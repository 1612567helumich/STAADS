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2_STAAD\5\"/>
    </mc:Choice>
  </mc:AlternateContent>
  <xr:revisionPtr revIDLastSave="0" documentId="8_{2C9CDF50-B11D-406E-85A9-2782AD44D49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5" i="14" l="1"/>
  <c r="G168" i="14"/>
  <c r="V283" i="14"/>
  <c r="C258" i="14"/>
  <c r="C257" i="14"/>
  <c r="K226" i="14"/>
  <c r="K225" i="14"/>
  <c r="K231" i="14" s="1"/>
  <c r="K232" i="14" s="1"/>
  <c r="G223" i="14"/>
  <c r="F223" i="14"/>
  <c r="E223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O189" i="14"/>
  <c r="I189" i="14"/>
  <c r="O188" i="14"/>
  <c r="I188" i="14"/>
  <c r="I187" i="14"/>
  <c r="I186" i="14"/>
  <c r="I185" i="14"/>
  <c r="I184" i="14"/>
  <c r="I183" i="14"/>
  <c r="I182" i="14"/>
  <c r="I181" i="14"/>
  <c r="I180" i="14"/>
  <c r="I179" i="14"/>
  <c r="O178" i="14"/>
  <c r="I178" i="14"/>
  <c r="O177" i="14"/>
  <c r="I177" i="14"/>
  <c r="G166" i="14"/>
  <c r="G165" i="14"/>
  <c r="G163" i="14"/>
  <c r="E163" i="14"/>
  <c r="F131" i="14"/>
  <c r="F133" i="14" s="1"/>
  <c r="F129" i="14"/>
  <c r="Q85" i="14"/>
  <c r="C256" i="14" s="1"/>
  <c r="P57" i="14"/>
  <c r="C255" i="14" s="1"/>
  <c r="P55" i="14"/>
  <c r="C254" i="14" s="1"/>
  <c r="P33" i="14"/>
  <c r="F139" i="14" s="1"/>
  <c r="H16" i="14"/>
  <c r="G16" i="14"/>
  <c r="F16" i="14"/>
  <c r="AW216" i="32"/>
  <c r="AV216" i="32"/>
  <c r="AB216" i="32"/>
  <c r="AA216" i="32"/>
  <c r="BI215" i="32"/>
  <c r="BH215" i="32"/>
  <c r="AW215" i="32"/>
  <c r="AV215" i="32"/>
  <c r="AN215" i="32"/>
  <c r="AM215" i="32"/>
  <c r="AB215" i="32"/>
  <c r="AA215" i="32"/>
  <c r="BI214" i="32"/>
  <c r="BH214" i="32"/>
  <c r="AW214" i="32"/>
  <c r="AV214" i="32"/>
  <c r="AN214" i="32"/>
  <c r="AM214" i="32"/>
  <c r="AB214" i="32"/>
  <c r="AA214" i="32"/>
  <c r="BI213" i="32"/>
  <c r="BH213" i="32"/>
  <c r="AW213" i="32"/>
  <c r="AV213" i="32"/>
  <c r="AN213" i="32"/>
  <c r="AM213" i="32"/>
  <c r="AB213" i="32"/>
  <c r="AA213" i="32"/>
  <c r="BI212" i="32"/>
  <c r="BH212" i="32"/>
  <c r="AW212" i="32"/>
  <c r="AV212" i="32"/>
  <c r="AN212" i="32"/>
  <c r="AM212" i="32"/>
  <c r="AB212" i="32"/>
  <c r="AA212" i="32"/>
  <c r="BI211" i="32"/>
  <c r="BH211" i="32"/>
  <c r="AW211" i="32"/>
  <c r="AV211" i="32"/>
  <c r="AN211" i="32"/>
  <c r="AM211" i="32"/>
  <c r="AB211" i="32"/>
  <c r="AA211" i="32"/>
  <c r="BI210" i="32"/>
  <c r="BH210" i="32"/>
  <c r="BE210" i="32"/>
  <c r="BD210" i="32"/>
  <c r="BA210" i="32"/>
  <c r="AZ210" i="32"/>
  <c r="AW210" i="32"/>
  <c r="AV210" i="32"/>
  <c r="AN210" i="32"/>
  <c r="AM210" i="32"/>
  <c r="AJ210" i="32"/>
  <c r="AI210" i="32"/>
  <c r="AF210" i="32"/>
  <c r="AE210" i="32"/>
  <c r="AB210" i="32"/>
  <c r="AA210" i="32"/>
  <c r="BI209" i="32"/>
  <c r="BH209" i="32"/>
  <c r="BE209" i="32"/>
  <c r="BD209" i="32"/>
  <c r="BA209" i="32"/>
  <c r="AZ209" i="32"/>
  <c r="AW209" i="32"/>
  <c r="AV209" i="32"/>
  <c r="AN209" i="32"/>
  <c r="AM209" i="32"/>
  <c r="AJ209" i="32"/>
  <c r="AI209" i="32"/>
  <c r="AF209" i="32"/>
  <c r="AE209" i="32"/>
  <c r="AB209" i="32"/>
  <c r="AA209" i="32"/>
  <c r="BI208" i="32"/>
  <c r="BH208" i="32"/>
  <c r="BE208" i="32"/>
  <c r="BD208" i="32"/>
  <c r="BA208" i="32"/>
  <c r="AZ208" i="32"/>
  <c r="AW208" i="32"/>
  <c r="AV208" i="32"/>
  <c r="AN208" i="32"/>
  <c r="AM208" i="32"/>
  <c r="AJ208" i="32"/>
  <c r="AI208" i="32"/>
  <c r="AF208" i="32"/>
  <c r="AE208" i="32"/>
  <c r="AB208" i="32"/>
  <c r="AA208" i="32"/>
  <c r="BI207" i="32"/>
  <c r="BH207" i="32"/>
  <c r="BE207" i="32"/>
  <c r="BD207" i="32"/>
  <c r="BA207" i="32"/>
  <c r="AZ207" i="32"/>
  <c r="AW207" i="32"/>
  <c r="AV207" i="32"/>
  <c r="AN207" i="32"/>
  <c r="AM207" i="32"/>
  <c r="AJ207" i="32"/>
  <c r="AI207" i="32"/>
  <c r="AF207" i="32"/>
  <c r="AE207" i="32"/>
  <c r="AB207" i="32"/>
  <c r="AA207" i="32"/>
  <c r="BI206" i="32"/>
  <c r="BH206" i="32"/>
  <c r="BE206" i="32"/>
  <c r="BD206" i="32"/>
  <c r="BA206" i="32"/>
  <c r="AZ206" i="32"/>
  <c r="AW206" i="32"/>
  <c r="AV206" i="32"/>
  <c r="AN206" i="32"/>
  <c r="AM206" i="32"/>
  <c r="AJ206" i="32"/>
  <c r="AI206" i="32"/>
  <c r="AF206" i="32"/>
  <c r="AE206" i="32"/>
  <c r="AB206" i="32"/>
  <c r="AA206" i="32"/>
  <c r="BI205" i="32"/>
  <c r="BH205" i="32"/>
  <c r="BE205" i="32"/>
  <c r="BD205" i="32"/>
  <c r="BA205" i="32"/>
  <c r="AZ205" i="32"/>
  <c r="AW205" i="32"/>
  <c r="AV205" i="32"/>
  <c r="AN205" i="32"/>
  <c r="AM205" i="32"/>
  <c r="AJ205" i="32"/>
  <c r="AI205" i="32"/>
  <c r="AF205" i="32"/>
  <c r="AE205" i="32"/>
  <c r="AB205" i="32"/>
  <c r="AA205" i="32"/>
  <c r="BI204" i="32"/>
  <c r="BH204" i="32"/>
  <c r="BE204" i="32"/>
  <c r="BD204" i="32"/>
  <c r="BA204" i="32"/>
  <c r="AZ204" i="32"/>
  <c r="AW204" i="32"/>
  <c r="AV204" i="32"/>
  <c r="AR204" i="32"/>
  <c r="AN204" i="32"/>
  <c r="AM204" i="32"/>
  <c r="AJ204" i="32"/>
  <c r="AI204" i="32"/>
  <c r="AF204" i="32"/>
  <c r="AE204" i="32"/>
  <c r="AB204" i="32"/>
  <c r="AA204" i="32"/>
  <c r="W204" i="32"/>
  <c r="BH201" i="32"/>
  <c r="BD201" i="32"/>
  <c r="AZ201" i="32"/>
  <c r="AV201" i="32"/>
  <c r="AR201" i="32"/>
  <c r="AM201" i="32"/>
  <c r="AI201" i="32"/>
  <c r="AE201" i="32"/>
  <c r="AA201" i="32"/>
  <c r="W201" i="32"/>
  <c r="AS185" i="32"/>
  <c r="AR185" i="32"/>
  <c r="X185" i="32"/>
  <c r="W185" i="32"/>
  <c r="BI184" i="32"/>
  <c r="BH184" i="32"/>
  <c r="AS184" i="32"/>
  <c r="AR184" i="32"/>
  <c r="AN184" i="32"/>
  <c r="AM184" i="32"/>
  <c r="X184" i="32"/>
  <c r="W184" i="32"/>
  <c r="BI183" i="32"/>
  <c r="BH183" i="32"/>
  <c r="AS183" i="32"/>
  <c r="AR183" i="32"/>
  <c r="AN183" i="32"/>
  <c r="AM183" i="32"/>
  <c r="X183" i="32"/>
  <c r="W183" i="32"/>
  <c r="BI182" i="32"/>
  <c r="BH182" i="32"/>
  <c r="AS182" i="32"/>
  <c r="AR182" i="32"/>
  <c r="AN182" i="32"/>
  <c r="AM182" i="32"/>
  <c r="X182" i="32"/>
  <c r="W182" i="32"/>
  <c r="BI181" i="32"/>
  <c r="BH181" i="32"/>
  <c r="AS181" i="32"/>
  <c r="AR181" i="32"/>
  <c r="AN181" i="32"/>
  <c r="AM181" i="32"/>
  <c r="X181" i="32"/>
  <c r="W181" i="32"/>
  <c r="BI180" i="32"/>
  <c r="BH180" i="32"/>
  <c r="AS180" i="32"/>
  <c r="AR180" i="32"/>
  <c r="AN180" i="32"/>
  <c r="AM180" i="32"/>
  <c r="X180" i="32"/>
  <c r="W180" i="32"/>
  <c r="BI179" i="32"/>
  <c r="BH179" i="32"/>
  <c r="BE179" i="32"/>
  <c r="BD179" i="32"/>
  <c r="BA179" i="32"/>
  <c r="AZ179" i="32"/>
  <c r="AS179" i="32"/>
  <c r="AR179" i="32"/>
  <c r="AN179" i="32"/>
  <c r="AM179" i="32"/>
  <c r="AJ179" i="32"/>
  <c r="AI179" i="32"/>
  <c r="AF179" i="32"/>
  <c r="AE179" i="32"/>
  <c r="X179" i="32"/>
  <c r="W179" i="32"/>
  <c r="BI178" i="32"/>
  <c r="BH178" i="32"/>
  <c r="BE178" i="32"/>
  <c r="BD178" i="32"/>
  <c r="BA178" i="32"/>
  <c r="AZ178" i="32"/>
  <c r="AS178" i="32"/>
  <c r="AR178" i="32"/>
  <c r="AN178" i="32"/>
  <c r="AM178" i="32"/>
  <c r="AJ178" i="32"/>
  <c r="AI178" i="32"/>
  <c r="AF178" i="32"/>
  <c r="AE178" i="32"/>
  <c r="X178" i="32"/>
  <c r="W178" i="32"/>
  <c r="BI177" i="32"/>
  <c r="BH177" i="32"/>
  <c r="BE177" i="32"/>
  <c r="BD177" i="32"/>
  <c r="BA177" i="32"/>
  <c r="AZ177" i="32"/>
  <c r="AS177" i="32"/>
  <c r="AR177" i="32"/>
  <c r="AN177" i="32"/>
  <c r="AM177" i="32"/>
  <c r="AJ177" i="32"/>
  <c r="AI177" i="32"/>
  <c r="AF177" i="32"/>
  <c r="AE177" i="32"/>
  <c r="X177" i="32"/>
  <c r="W177" i="32"/>
  <c r="BI176" i="32"/>
  <c r="BH176" i="32"/>
  <c r="BE176" i="32"/>
  <c r="BD176" i="32"/>
  <c r="BA176" i="32"/>
  <c r="AZ176" i="32"/>
  <c r="AS176" i="32"/>
  <c r="AR176" i="32"/>
  <c r="AN176" i="32"/>
  <c r="AM176" i="32"/>
  <c r="AJ176" i="32"/>
  <c r="AI176" i="32"/>
  <c r="AF176" i="32"/>
  <c r="AE176" i="32"/>
  <c r="X176" i="32"/>
  <c r="W176" i="32"/>
  <c r="BI175" i="32"/>
  <c r="BH175" i="32"/>
  <c r="BE175" i="32"/>
  <c r="BD175" i="32"/>
  <c r="BA175" i="32"/>
  <c r="AZ175" i="32"/>
  <c r="AS175" i="32"/>
  <c r="AR175" i="32"/>
  <c r="AN175" i="32"/>
  <c r="AM175" i="32"/>
  <c r="AJ175" i="32"/>
  <c r="AI175" i="32"/>
  <c r="AF175" i="32"/>
  <c r="AE175" i="32"/>
  <c r="X175" i="32"/>
  <c r="W175" i="32"/>
  <c r="BI174" i="32"/>
  <c r="BH174" i="32"/>
  <c r="BE174" i="32"/>
  <c r="BD174" i="32"/>
  <c r="BA174" i="32"/>
  <c r="AZ174" i="32"/>
  <c r="AS174" i="32"/>
  <c r="AR174" i="32"/>
  <c r="AN174" i="32"/>
  <c r="AM174" i="32"/>
  <c r="AJ174" i="32"/>
  <c r="AI174" i="32"/>
  <c r="AF174" i="32"/>
  <c r="AE174" i="32"/>
  <c r="X174" i="32"/>
  <c r="W174" i="32"/>
  <c r="BI173" i="32"/>
  <c r="BH173" i="32"/>
  <c r="BE173" i="32"/>
  <c r="BD173" i="32"/>
  <c r="BA173" i="32"/>
  <c r="AZ173" i="32"/>
  <c r="AV173" i="32"/>
  <c r="AS173" i="32"/>
  <c r="AR173" i="32"/>
  <c r="AN173" i="32"/>
  <c r="AM173" i="32"/>
  <c r="AJ173" i="32"/>
  <c r="AI173" i="32"/>
  <c r="AF173" i="32"/>
  <c r="AE173" i="32"/>
  <c r="AA173" i="32"/>
  <c r="X173" i="32"/>
  <c r="W173" i="32"/>
  <c r="BH170" i="32"/>
  <c r="BD170" i="32"/>
  <c r="AZ170" i="32"/>
  <c r="AV170" i="32"/>
  <c r="AR170" i="32"/>
  <c r="AM170" i="32"/>
  <c r="AI170" i="32"/>
  <c r="AE170" i="32"/>
  <c r="AA170" i="32"/>
  <c r="W170" i="32"/>
  <c r="BA154" i="32"/>
  <c r="AZ154" i="32"/>
  <c r="AF154" i="32"/>
  <c r="AE154" i="32"/>
  <c r="BI153" i="32"/>
  <c r="BH153" i="32"/>
  <c r="BA153" i="32"/>
  <c r="AZ153" i="32"/>
  <c r="AN153" i="32"/>
  <c r="AM153" i="32"/>
  <c r="AF153" i="32"/>
  <c r="AE153" i="32"/>
  <c r="BI152" i="32"/>
  <c r="BH152" i="32"/>
  <c r="BA152" i="32"/>
  <c r="AZ152" i="32"/>
  <c r="AN152" i="32"/>
  <c r="AM152" i="32"/>
  <c r="AF152" i="32"/>
  <c r="AE152" i="32"/>
  <c r="BI151" i="32"/>
  <c r="BH151" i="32"/>
  <c r="BA151" i="32"/>
  <c r="AZ151" i="32"/>
  <c r="AN151" i="32"/>
  <c r="AM151" i="32"/>
  <c r="AF151" i="32"/>
  <c r="AE151" i="32"/>
  <c r="BI150" i="32"/>
  <c r="BH150" i="32"/>
  <c r="BA150" i="32"/>
  <c r="AZ150" i="32"/>
  <c r="AN150" i="32"/>
  <c r="AM150" i="32"/>
  <c r="AF150" i="32"/>
  <c r="AE150" i="32"/>
  <c r="BI149" i="32"/>
  <c r="BH149" i="32"/>
  <c r="BA149" i="32"/>
  <c r="AZ149" i="32"/>
  <c r="AN149" i="32"/>
  <c r="AM149" i="32"/>
  <c r="AF149" i="32"/>
  <c r="AE149" i="32"/>
  <c r="BI148" i="32"/>
  <c r="BH148" i="32"/>
  <c r="BA148" i="32"/>
  <c r="AZ148" i="32"/>
  <c r="AW148" i="32"/>
  <c r="AV148" i="32"/>
  <c r="AS148" i="32"/>
  <c r="AR148" i="32"/>
  <c r="AN148" i="32"/>
  <c r="AM148" i="32"/>
  <c r="AF148" i="32"/>
  <c r="AE148" i="32"/>
  <c r="AB148" i="32"/>
  <c r="AA148" i="32"/>
  <c r="X148" i="32"/>
  <c r="W148" i="32"/>
  <c r="BI147" i="32"/>
  <c r="BH147" i="32"/>
  <c r="BA147" i="32"/>
  <c r="AZ147" i="32"/>
  <c r="AW147" i="32"/>
  <c r="AV147" i="32"/>
  <c r="AS147" i="32"/>
  <c r="AR147" i="32"/>
  <c r="AN147" i="32"/>
  <c r="AM147" i="32"/>
  <c r="AF147" i="32"/>
  <c r="AE147" i="32"/>
  <c r="AB147" i="32"/>
  <c r="AA147" i="32"/>
  <c r="X147" i="32"/>
  <c r="W147" i="32"/>
  <c r="BI146" i="32"/>
  <c r="BH146" i="32"/>
  <c r="BA146" i="32"/>
  <c r="AZ146" i="32"/>
  <c r="AW146" i="32"/>
  <c r="AV146" i="32"/>
  <c r="AS146" i="32"/>
  <c r="AR146" i="32"/>
  <c r="AN146" i="32"/>
  <c r="AM146" i="32"/>
  <c r="AF146" i="32"/>
  <c r="AE146" i="32"/>
  <c r="AB146" i="32"/>
  <c r="AA146" i="32"/>
  <c r="X146" i="32"/>
  <c r="W146" i="32"/>
  <c r="BI145" i="32"/>
  <c r="BH145" i="32"/>
  <c r="BA145" i="32"/>
  <c r="AZ145" i="32"/>
  <c r="AW145" i="32"/>
  <c r="AV145" i="32"/>
  <c r="AS145" i="32"/>
  <c r="AR145" i="32"/>
  <c r="AN145" i="32"/>
  <c r="AM145" i="32"/>
  <c r="AF145" i="32"/>
  <c r="AE145" i="32"/>
  <c r="AB145" i="32"/>
  <c r="AA145" i="32"/>
  <c r="X145" i="32"/>
  <c r="W145" i="32"/>
  <c r="BI144" i="32"/>
  <c r="BH144" i="32"/>
  <c r="BA144" i="32"/>
  <c r="AZ144" i="32"/>
  <c r="AW144" i="32"/>
  <c r="AV144" i="32"/>
  <c r="AS144" i="32"/>
  <c r="AR144" i="32"/>
  <c r="AN144" i="32"/>
  <c r="AM144" i="32"/>
  <c r="AF144" i="32"/>
  <c r="AE144" i="32"/>
  <c r="AB144" i="32"/>
  <c r="AA144" i="32"/>
  <c r="X144" i="32"/>
  <c r="W144" i="32"/>
  <c r="BI143" i="32"/>
  <c r="BH143" i="32"/>
  <c r="BA143" i="32"/>
  <c r="AZ143" i="32"/>
  <c r="AW143" i="32"/>
  <c r="AV143" i="32"/>
  <c r="AS143" i="32"/>
  <c r="AR143" i="32"/>
  <c r="AN143" i="32"/>
  <c r="AM143" i="32"/>
  <c r="AF143" i="32"/>
  <c r="AE143" i="32"/>
  <c r="AB143" i="32"/>
  <c r="AA143" i="32"/>
  <c r="X143" i="32"/>
  <c r="W143" i="32"/>
  <c r="BI142" i="32"/>
  <c r="BH142" i="32"/>
  <c r="BA142" i="32"/>
  <c r="AZ142" i="32"/>
  <c r="AW142" i="32"/>
  <c r="AV142" i="32"/>
  <c r="AS142" i="32"/>
  <c r="AR142" i="32"/>
  <c r="AN142" i="32"/>
  <c r="AM142" i="32"/>
  <c r="AF142" i="32"/>
  <c r="AE142" i="32"/>
  <c r="AB142" i="32"/>
  <c r="AA142" i="32"/>
  <c r="X142" i="32"/>
  <c r="W142" i="32"/>
  <c r="BH139" i="32"/>
  <c r="BD139" i="32"/>
  <c r="AZ139" i="32"/>
  <c r="AV139" i="32"/>
  <c r="AR139" i="32"/>
  <c r="AM139" i="32"/>
  <c r="AI139" i="32"/>
  <c r="AE139" i="32"/>
  <c r="AA139" i="32"/>
  <c r="W139" i="32"/>
  <c r="BA124" i="32"/>
  <c r="AZ124" i="32"/>
  <c r="AF124" i="32"/>
  <c r="AE124" i="32"/>
  <c r="BI123" i="32"/>
  <c r="BH123" i="32"/>
  <c r="BA123" i="32"/>
  <c r="AZ123" i="32"/>
  <c r="AN123" i="32"/>
  <c r="AM123" i="32"/>
  <c r="AF123" i="32"/>
  <c r="AE123" i="32"/>
  <c r="BI122" i="32"/>
  <c r="BH122" i="32"/>
  <c r="BA122" i="32"/>
  <c r="AZ122" i="32"/>
  <c r="AN122" i="32"/>
  <c r="AM122" i="32"/>
  <c r="AF122" i="32"/>
  <c r="AE122" i="32"/>
  <c r="BI121" i="32"/>
  <c r="BH121" i="32"/>
  <c r="BA121" i="32"/>
  <c r="AZ121" i="32"/>
  <c r="AN121" i="32"/>
  <c r="AM121" i="32"/>
  <c r="AF121" i="32"/>
  <c r="AE121" i="32"/>
  <c r="BI120" i="32"/>
  <c r="BH120" i="32"/>
  <c r="BA120" i="32"/>
  <c r="AZ120" i="32"/>
  <c r="AN120" i="32"/>
  <c r="AM120" i="32"/>
  <c r="AF120" i="32"/>
  <c r="AE120" i="32"/>
  <c r="BI119" i="32"/>
  <c r="BH119" i="32"/>
  <c r="BA119" i="32"/>
  <c r="AZ119" i="32"/>
  <c r="AN119" i="32"/>
  <c r="AM119" i="32"/>
  <c r="AF119" i="32"/>
  <c r="AE119" i="32"/>
  <c r="BI118" i="32"/>
  <c r="BH118" i="32"/>
  <c r="BA118" i="32"/>
  <c r="AZ118" i="32"/>
  <c r="AW118" i="32"/>
  <c r="AV118" i="32"/>
  <c r="AS118" i="32"/>
  <c r="AR118" i="32"/>
  <c r="AN118" i="32"/>
  <c r="AM118" i="32"/>
  <c r="AF118" i="32"/>
  <c r="AE118" i="32"/>
  <c r="AB118" i="32"/>
  <c r="AA118" i="32"/>
  <c r="X118" i="32"/>
  <c r="W118" i="32"/>
  <c r="BI117" i="32"/>
  <c r="BH117" i="32"/>
  <c r="BA117" i="32"/>
  <c r="AZ117" i="32"/>
  <c r="AW117" i="32"/>
  <c r="AV117" i="32"/>
  <c r="AS117" i="32"/>
  <c r="AR117" i="32"/>
  <c r="AN117" i="32"/>
  <c r="AM117" i="32"/>
  <c r="AF117" i="32"/>
  <c r="AE117" i="32"/>
  <c r="AB117" i="32"/>
  <c r="AA117" i="32"/>
  <c r="X117" i="32"/>
  <c r="W117" i="32"/>
  <c r="BI116" i="32"/>
  <c r="BH116" i="32"/>
  <c r="BA116" i="32"/>
  <c r="AZ116" i="32"/>
  <c r="AW116" i="32"/>
  <c r="AV116" i="32"/>
  <c r="AS116" i="32"/>
  <c r="AR116" i="32"/>
  <c r="AN116" i="32"/>
  <c r="AM116" i="32"/>
  <c r="AF116" i="32"/>
  <c r="AE116" i="32"/>
  <c r="AB116" i="32"/>
  <c r="AA116" i="32"/>
  <c r="X116" i="32"/>
  <c r="W116" i="32"/>
  <c r="BI115" i="32"/>
  <c r="BH115" i="32"/>
  <c r="BA115" i="32"/>
  <c r="AZ115" i="32"/>
  <c r="AW115" i="32"/>
  <c r="AV115" i="32"/>
  <c r="AS115" i="32"/>
  <c r="AR115" i="32"/>
  <c r="AN115" i="32"/>
  <c r="AM115" i="32"/>
  <c r="AF115" i="32"/>
  <c r="AE115" i="32"/>
  <c r="AB115" i="32"/>
  <c r="AA115" i="32"/>
  <c r="X115" i="32"/>
  <c r="W115" i="32"/>
  <c r="BI114" i="32"/>
  <c r="BH114" i="32"/>
  <c r="BA114" i="32"/>
  <c r="AZ114" i="32"/>
  <c r="AW114" i="32"/>
  <c r="AV114" i="32"/>
  <c r="AS114" i="32"/>
  <c r="AR114" i="32"/>
  <c r="AN114" i="32"/>
  <c r="AM114" i="32"/>
  <c r="AF114" i="32"/>
  <c r="AE114" i="32"/>
  <c r="AB114" i="32"/>
  <c r="AA114" i="32"/>
  <c r="X114" i="32"/>
  <c r="W114" i="32"/>
  <c r="BI113" i="32"/>
  <c r="BH113" i="32"/>
  <c r="BA113" i="32"/>
  <c r="AZ113" i="32"/>
  <c r="AW113" i="32"/>
  <c r="AV113" i="32"/>
  <c r="AS113" i="32"/>
  <c r="AR113" i="32"/>
  <c r="AN113" i="32"/>
  <c r="AM113" i="32"/>
  <c r="AF113" i="32"/>
  <c r="AE113" i="32"/>
  <c r="AB113" i="32"/>
  <c r="AA113" i="32"/>
  <c r="X113" i="32"/>
  <c r="W113" i="32"/>
  <c r="BI112" i="32"/>
  <c r="BH112" i="32"/>
  <c r="BA112" i="32"/>
  <c r="AZ112" i="32"/>
  <c r="AW112" i="32"/>
  <c r="AV112" i="32"/>
  <c r="AS112" i="32"/>
  <c r="AR112" i="32"/>
  <c r="AN112" i="32"/>
  <c r="AM112" i="32"/>
  <c r="AF112" i="32"/>
  <c r="AE112" i="32"/>
  <c r="AB112" i="32"/>
  <c r="AA112" i="32"/>
  <c r="X112" i="32"/>
  <c r="W112" i="32"/>
  <c r="BH109" i="32"/>
  <c r="BD109" i="32"/>
  <c r="AZ109" i="32"/>
  <c r="AV109" i="32"/>
  <c r="AR109" i="32"/>
  <c r="AM109" i="32"/>
  <c r="AI109" i="32"/>
  <c r="AE109" i="32"/>
  <c r="AA109" i="32"/>
  <c r="W109" i="32"/>
  <c r="H98" i="32"/>
  <c r="H97" i="32"/>
  <c r="H96" i="32"/>
  <c r="H95" i="32"/>
  <c r="G86" i="32"/>
  <c r="G90" i="32" s="1"/>
  <c r="H90" i="32" s="1"/>
  <c r="D51" i="32"/>
  <c r="E63" i="32" s="1"/>
  <c r="D46" i="32"/>
  <c r="D44" i="32"/>
  <c r="D26" i="32"/>
  <c r="D28" i="32" s="1"/>
  <c r="I96" i="32" l="1"/>
  <c r="E74" i="32"/>
  <c r="E71" i="32"/>
  <c r="Q73" i="32"/>
  <c r="I95" i="32"/>
  <c r="O73" i="32"/>
  <c r="I98" i="32"/>
  <c r="E73" i="32"/>
  <c r="I97" i="32"/>
  <c r="E72" i="32"/>
  <c r="C253" i="14"/>
  <c r="I514" i="14" s="1"/>
  <c r="I522" i="14"/>
  <c r="I466" i="14"/>
  <c r="I458" i="14"/>
  <c r="I402" i="14"/>
  <c r="I394" i="14"/>
  <c r="I338" i="14"/>
  <c r="I330" i="14"/>
  <c r="I275" i="14"/>
  <c r="J188" i="14" s="1"/>
  <c r="I267" i="14"/>
  <c r="J197" i="14" s="1"/>
  <c r="I513" i="14"/>
  <c r="I505" i="14"/>
  <c r="I449" i="14"/>
  <c r="I441" i="14"/>
  <c r="I385" i="14"/>
  <c r="I377" i="14"/>
  <c r="I321" i="14"/>
  <c r="I313" i="14"/>
  <c r="I258" i="14"/>
  <c r="I552" i="14"/>
  <c r="I496" i="14"/>
  <c r="I488" i="14"/>
  <c r="I432" i="14"/>
  <c r="I424" i="14"/>
  <c r="I368" i="14"/>
  <c r="I360" i="14"/>
  <c r="I304" i="14"/>
  <c r="I296" i="14"/>
  <c r="I535" i="14"/>
  <c r="I527" i="14"/>
  <c r="I471" i="14"/>
  <c r="I463" i="14"/>
  <c r="I407" i="14"/>
  <c r="I399" i="14"/>
  <c r="I343" i="14"/>
  <c r="I335" i="14"/>
  <c r="I280" i="14"/>
  <c r="I272" i="14"/>
  <c r="J189" i="14" s="1"/>
  <c r="I518" i="14"/>
  <c r="I510" i="14"/>
  <c r="I454" i="14"/>
  <c r="I446" i="14"/>
  <c r="I390" i="14"/>
  <c r="I382" i="14"/>
  <c r="I326" i="14"/>
  <c r="I318" i="14"/>
  <c r="I263" i="14"/>
  <c r="J218" i="14" s="1"/>
  <c r="I549" i="14"/>
  <c r="I493" i="14"/>
  <c r="I485" i="14"/>
  <c r="I429" i="14"/>
  <c r="I421" i="14"/>
  <c r="I365" i="14"/>
  <c r="I357" i="14"/>
  <c r="I301" i="14"/>
  <c r="I293" i="14"/>
  <c r="I540" i="14"/>
  <c r="I532" i="14"/>
  <c r="I476" i="14"/>
  <c r="I468" i="14"/>
  <c r="I412" i="14"/>
  <c r="I404" i="14"/>
  <c r="I348" i="14"/>
  <c r="I340" i="14"/>
  <c r="I284" i="14"/>
  <c r="J183" i="14" s="1"/>
  <c r="I277" i="14"/>
  <c r="J185" i="14" s="1"/>
  <c r="I515" i="14"/>
  <c r="I507" i="14"/>
  <c r="I451" i="14"/>
  <c r="I443" i="14"/>
  <c r="I387" i="14"/>
  <c r="I379" i="14"/>
  <c r="I323" i="14"/>
  <c r="I315" i="14"/>
  <c r="J217" i="14"/>
  <c r="L197" i="14" l="1"/>
  <c r="K197" i="14"/>
  <c r="K218" i="14"/>
  <c r="L218" i="14"/>
  <c r="L188" i="14"/>
  <c r="K188" i="14"/>
  <c r="L185" i="14"/>
  <c r="K185" i="14"/>
  <c r="J200" i="14"/>
  <c r="I292" i="14"/>
  <c r="I548" i="14"/>
  <c r="I373" i="14"/>
  <c r="I437" i="14"/>
  <c r="I501" i="14"/>
  <c r="I271" i="14"/>
  <c r="I334" i="14"/>
  <c r="I398" i="14"/>
  <c r="I462" i="14"/>
  <c r="I526" i="14"/>
  <c r="I287" i="14"/>
  <c r="I351" i="14"/>
  <c r="I415" i="14"/>
  <c r="I479" i="14"/>
  <c r="I543" i="14"/>
  <c r="I312" i="14"/>
  <c r="I376" i="14"/>
  <c r="I440" i="14"/>
  <c r="I504" i="14"/>
  <c r="I266" i="14"/>
  <c r="J213" i="14" s="1"/>
  <c r="I329" i="14"/>
  <c r="I393" i="14"/>
  <c r="I457" i="14"/>
  <c r="I521" i="14"/>
  <c r="I283" i="14"/>
  <c r="I346" i="14"/>
  <c r="I410" i="14"/>
  <c r="I474" i="14"/>
  <c r="I538" i="14"/>
  <c r="J202" i="14"/>
  <c r="J203" i="14"/>
  <c r="I260" i="14"/>
  <c r="I356" i="14"/>
  <c r="J201" i="14"/>
  <c r="I268" i="14"/>
  <c r="I339" i="14"/>
  <c r="I403" i="14"/>
  <c r="I467" i="14"/>
  <c r="I531" i="14"/>
  <c r="I300" i="14"/>
  <c r="I364" i="14"/>
  <c r="I428" i="14"/>
  <c r="I492" i="14"/>
  <c r="I256" i="14"/>
  <c r="I317" i="14"/>
  <c r="I381" i="14"/>
  <c r="I445" i="14"/>
  <c r="I509" i="14"/>
  <c r="I279" i="14"/>
  <c r="J184" i="14" s="1"/>
  <c r="I342" i="14"/>
  <c r="I406" i="14"/>
  <c r="I470" i="14"/>
  <c r="I534" i="14"/>
  <c r="I295" i="14"/>
  <c r="I359" i="14"/>
  <c r="I423" i="14"/>
  <c r="I487" i="14"/>
  <c r="I551" i="14"/>
  <c r="I320" i="14"/>
  <c r="I384" i="14"/>
  <c r="I448" i="14"/>
  <c r="I512" i="14"/>
  <c r="I274" i="14"/>
  <c r="I337" i="14"/>
  <c r="I401" i="14"/>
  <c r="I465" i="14"/>
  <c r="I529" i="14"/>
  <c r="I290" i="14"/>
  <c r="J180" i="14" s="1"/>
  <c r="I354" i="14"/>
  <c r="I418" i="14"/>
  <c r="I482" i="14"/>
  <c r="I546" i="14"/>
  <c r="J198" i="14"/>
  <c r="AO123" i="32"/>
  <c r="AO119" i="32"/>
  <c r="AK118" i="32"/>
  <c r="BF118" i="32" s="1"/>
  <c r="AC116" i="32"/>
  <c r="AK114" i="32"/>
  <c r="BF114" i="32" s="1"/>
  <c r="AC112" i="32"/>
  <c r="AG113" i="32"/>
  <c r="AG122" i="32"/>
  <c r="AG118" i="32"/>
  <c r="AO116" i="32"/>
  <c r="Y115" i="32"/>
  <c r="AG114" i="32"/>
  <c r="AO112" i="32"/>
  <c r="AO120" i="32"/>
  <c r="AC117" i="32"/>
  <c r="AK115" i="32"/>
  <c r="BF115" i="32" s="1"/>
  <c r="AC113" i="32"/>
  <c r="AG123" i="32"/>
  <c r="AG119" i="32"/>
  <c r="AO117" i="32"/>
  <c r="Y116" i="32"/>
  <c r="AG115" i="32"/>
  <c r="AO113" i="32"/>
  <c r="Y112" i="32"/>
  <c r="AG121" i="32"/>
  <c r="AG117" i="32"/>
  <c r="AO121" i="32"/>
  <c r="AC118" i="32"/>
  <c r="AK116" i="32"/>
  <c r="BF116" i="32" s="1"/>
  <c r="AC114" i="32"/>
  <c r="AK112" i="32"/>
  <c r="BF112" i="32" s="1"/>
  <c r="Y118" i="32"/>
  <c r="AG120" i="32"/>
  <c r="AO118" i="32"/>
  <c r="Y117" i="32"/>
  <c r="AG116" i="32"/>
  <c r="AO114" i="32"/>
  <c r="Y113" i="32"/>
  <c r="AG112" i="32"/>
  <c r="AC115" i="32"/>
  <c r="AO115" i="32"/>
  <c r="Y114" i="32"/>
  <c r="AG124" i="32"/>
  <c r="AO122" i="32"/>
  <c r="AK117" i="32"/>
  <c r="BF117" i="32" s="1"/>
  <c r="AK113" i="32"/>
  <c r="BF113" i="32" s="1"/>
  <c r="L189" i="14"/>
  <c r="K189" i="14"/>
  <c r="J205" i="14"/>
  <c r="J190" i="14"/>
  <c r="I331" i="14"/>
  <c r="I475" i="14"/>
  <c r="I372" i="14"/>
  <c r="I500" i="14"/>
  <c r="I325" i="14"/>
  <c r="I453" i="14"/>
  <c r="I517" i="14"/>
  <c r="I286" i="14"/>
  <c r="I350" i="14"/>
  <c r="I414" i="14"/>
  <c r="I478" i="14"/>
  <c r="I542" i="14"/>
  <c r="I303" i="14"/>
  <c r="I367" i="14"/>
  <c r="I431" i="14"/>
  <c r="I495" i="14"/>
  <c r="I265" i="14"/>
  <c r="I328" i="14"/>
  <c r="I392" i="14"/>
  <c r="I456" i="14"/>
  <c r="I520" i="14"/>
  <c r="I282" i="14"/>
  <c r="I345" i="14"/>
  <c r="I409" i="14"/>
  <c r="I473" i="14"/>
  <c r="I537" i="14"/>
  <c r="I298" i="14"/>
  <c r="I362" i="14"/>
  <c r="I426" i="14"/>
  <c r="I490" i="14"/>
  <c r="I554" i="14"/>
  <c r="P210" i="32"/>
  <c r="P206" i="32"/>
  <c r="L210" i="32"/>
  <c r="L206" i="32"/>
  <c r="P207" i="32"/>
  <c r="BF207" i="32" s="1"/>
  <c r="L178" i="32"/>
  <c r="L174" i="32"/>
  <c r="L173" i="32"/>
  <c r="L153" i="32"/>
  <c r="L149" i="32"/>
  <c r="L207" i="32"/>
  <c r="L208" i="32"/>
  <c r="BB208" i="32" s="1"/>
  <c r="L209" i="32"/>
  <c r="BB209" i="32" s="1"/>
  <c r="P177" i="32"/>
  <c r="P175" i="32"/>
  <c r="L152" i="32"/>
  <c r="L147" i="32"/>
  <c r="L143" i="32"/>
  <c r="L112" i="32"/>
  <c r="BB112" i="32" s="1"/>
  <c r="P179" i="32"/>
  <c r="L177" i="32"/>
  <c r="L175" i="32"/>
  <c r="L124" i="32"/>
  <c r="BB124" i="32" s="1"/>
  <c r="L120" i="32"/>
  <c r="BB120" i="32" s="1"/>
  <c r="L117" i="32"/>
  <c r="BB117" i="32" s="1"/>
  <c r="L113" i="32"/>
  <c r="BB113" i="32" s="1"/>
  <c r="L116" i="32"/>
  <c r="BB116" i="32" s="1"/>
  <c r="L179" i="32"/>
  <c r="L150" i="32"/>
  <c r="L148" i="32"/>
  <c r="L144" i="32"/>
  <c r="P204" i="32"/>
  <c r="P173" i="32"/>
  <c r="L121" i="32"/>
  <c r="BB121" i="32" s="1"/>
  <c r="L118" i="32"/>
  <c r="BB118" i="32" s="1"/>
  <c r="L114" i="32"/>
  <c r="BB114" i="32" s="1"/>
  <c r="G73" i="32"/>
  <c r="P205" i="32"/>
  <c r="L204" i="32"/>
  <c r="BB204" i="32" s="1"/>
  <c r="P176" i="32"/>
  <c r="L145" i="32"/>
  <c r="L123" i="32"/>
  <c r="BB123" i="32" s="1"/>
  <c r="L205" i="32"/>
  <c r="P178" i="32"/>
  <c r="L176" i="32"/>
  <c r="L154" i="32"/>
  <c r="L151" i="32"/>
  <c r="L122" i="32"/>
  <c r="BB122" i="32" s="1"/>
  <c r="L115" i="32"/>
  <c r="BB115" i="32" s="1"/>
  <c r="P208" i="32"/>
  <c r="P174" i="32"/>
  <c r="L146" i="32"/>
  <c r="L142" i="32"/>
  <c r="P209" i="32"/>
  <c r="L119" i="32"/>
  <c r="BB119" i="32" s="1"/>
  <c r="AC215" i="32"/>
  <c r="AC211" i="32"/>
  <c r="AG210" i="32"/>
  <c r="AO209" i="32"/>
  <c r="Y207" i="32"/>
  <c r="AT207" i="32" s="1"/>
  <c r="AG206" i="32"/>
  <c r="AO205" i="32"/>
  <c r="AC204" i="32"/>
  <c r="AO213" i="32"/>
  <c r="AC209" i="32"/>
  <c r="AK208" i="32"/>
  <c r="AC205" i="32"/>
  <c r="AC212" i="32"/>
  <c r="AO210" i="32"/>
  <c r="Y208" i="32"/>
  <c r="AT208" i="32" s="1"/>
  <c r="AG207" i="32"/>
  <c r="AO206" i="32"/>
  <c r="AK204" i="32"/>
  <c r="AC216" i="32"/>
  <c r="AO214" i="32"/>
  <c r="AC210" i="32"/>
  <c r="AK209" i="32"/>
  <c r="AC206" i="32"/>
  <c r="AK205" i="32"/>
  <c r="Y204" i="32"/>
  <c r="AT204" i="32" s="1"/>
  <c r="AO215" i="32"/>
  <c r="AO211" i="32"/>
  <c r="AK210" i="32"/>
  <c r="AC207" i="32"/>
  <c r="AK206" i="32"/>
  <c r="AG204" i="32"/>
  <c r="Y210" i="32"/>
  <c r="AT210" i="32" s="1"/>
  <c r="AG208" i="32"/>
  <c r="AG209" i="32"/>
  <c r="AO207" i="32"/>
  <c r="AO204" i="32"/>
  <c r="AO208" i="32"/>
  <c r="AC208" i="32"/>
  <c r="Y205" i="32"/>
  <c r="AT205" i="32" s="1"/>
  <c r="AC214" i="32"/>
  <c r="AK207" i="32"/>
  <c r="Y206" i="32"/>
  <c r="AT206" i="32" s="1"/>
  <c r="AO212" i="32"/>
  <c r="AC213" i="32"/>
  <c r="Y209" i="32"/>
  <c r="AT209" i="32" s="1"/>
  <c r="AG205" i="32"/>
  <c r="I459" i="14"/>
  <c r="I484" i="14"/>
  <c r="I276" i="14"/>
  <c r="I539" i="14"/>
  <c r="I436" i="14"/>
  <c r="I389" i="14"/>
  <c r="I291" i="14"/>
  <c r="I355" i="14"/>
  <c r="I419" i="14"/>
  <c r="I483" i="14"/>
  <c r="I547" i="14"/>
  <c r="I316" i="14"/>
  <c r="I380" i="14"/>
  <c r="I444" i="14"/>
  <c r="I508" i="14"/>
  <c r="I270" i="14"/>
  <c r="J191" i="14" s="1"/>
  <c r="I333" i="14"/>
  <c r="I397" i="14"/>
  <c r="I461" i="14"/>
  <c r="I525" i="14"/>
  <c r="I294" i="14"/>
  <c r="I358" i="14"/>
  <c r="I422" i="14"/>
  <c r="I486" i="14"/>
  <c r="I550" i="14"/>
  <c r="I311" i="14"/>
  <c r="I375" i="14"/>
  <c r="I439" i="14"/>
  <c r="I503" i="14"/>
  <c r="I273" i="14"/>
  <c r="I336" i="14"/>
  <c r="I400" i="14"/>
  <c r="I464" i="14"/>
  <c r="I528" i="14"/>
  <c r="I289" i="14"/>
  <c r="I353" i="14"/>
  <c r="I417" i="14"/>
  <c r="I481" i="14"/>
  <c r="I545" i="14"/>
  <c r="I306" i="14"/>
  <c r="I370" i="14"/>
  <c r="I434" i="14"/>
  <c r="I498" i="14"/>
  <c r="J207" i="14"/>
  <c r="J210" i="14"/>
  <c r="J209" i="14"/>
  <c r="D185" i="32"/>
  <c r="D181" i="32"/>
  <c r="D183" i="32"/>
  <c r="D146" i="32"/>
  <c r="D142" i="32"/>
  <c r="D115" i="32"/>
  <c r="AT115" i="32" s="1"/>
  <c r="G71" i="32"/>
  <c r="D116" i="32"/>
  <c r="AT116" i="32" s="1"/>
  <c r="D112" i="32"/>
  <c r="AT112" i="32" s="1"/>
  <c r="D180" i="32"/>
  <c r="D177" i="32"/>
  <c r="D175" i="32"/>
  <c r="D147" i="32"/>
  <c r="D143" i="32"/>
  <c r="D179" i="32"/>
  <c r="D117" i="32"/>
  <c r="AT117" i="32" s="1"/>
  <c r="D113" i="32"/>
  <c r="AT113" i="32" s="1"/>
  <c r="D182" i="32"/>
  <c r="D173" i="32"/>
  <c r="D148" i="32"/>
  <c r="D144" i="32"/>
  <c r="D174" i="32"/>
  <c r="D184" i="32"/>
  <c r="D118" i="32"/>
  <c r="AT118" i="32" s="1"/>
  <c r="D114" i="32"/>
  <c r="AT114" i="32" s="1"/>
  <c r="D178" i="32"/>
  <c r="D176" i="32"/>
  <c r="D145" i="32"/>
  <c r="L217" i="14"/>
  <c r="K217" i="14"/>
  <c r="I530" i="14"/>
  <c r="J212" i="14"/>
  <c r="I523" i="14"/>
  <c r="I420" i="14"/>
  <c r="I347" i="14"/>
  <c r="I308" i="14"/>
  <c r="I262" i="14"/>
  <c r="J211" i="14"/>
  <c r="I299" i="14"/>
  <c r="I363" i="14"/>
  <c r="I427" i="14"/>
  <c r="I491" i="14"/>
  <c r="I261" i="14"/>
  <c r="I324" i="14"/>
  <c r="I388" i="14"/>
  <c r="I452" i="14"/>
  <c r="I516" i="14"/>
  <c r="I278" i="14"/>
  <c r="I341" i="14"/>
  <c r="I405" i="14"/>
  <c r="I469" i="14"/>
  <c r="I533" i="14"/>
  <c r="I302" i="14"/>
  <c r="I366" i="14"/>
  <c r="I430" i="14"/>
  <c r="I494" i="14"/>
  <c r="I257" i="14"/>
  <c r="I319" i="14"/>
  <c r="I383" i="14"/>
  <c r="I447" i="14"/>
  <c r="I511" i="14"/>
  <c r="I281" i="14"/>
  <c r="I344" i="14"/>
  <c r="I408" i="14"/>
  <c r="I472" i="14"/>
  <c r="I536" i="14"/>
  <c r="I297" i="14"/>
  <c r="I361" i="14"/>
  <c r="I425" i="14"/>
  <c r="I489" i="14"/>
  <c r="I553" i="14"/>
  <c r="I314" i="14"/>
  <c r="I378" i="14"/>
  <c r="I442" i="14"/>
  <c r="I506" i="14"/>
  <c r="J199" i="14"/>
  <c r="J204" i="14"/>
  <c r="J208" i="14"/>
  <c r="H213" i="32"/>
  <c r="AX213" i="32" s="1"/>
  <c r="H209" i="32"/>
  <c r="AX209" i="32" s="1"/>
  <c r="H205" i="32"/>
  <c r="AX205" i="32" s="1"/>
  <c r="H204" i="32"/>
  <c r="AX204" i="32" s="1"/>
  <c r="H214" i="32"/>
  <c r="AX214" i="32" s="1"/>
  <c r="H210" i="32"/>
  <c r="AX210" i="32" s="1"/>
  <c r="H206" i="32"/>
  <c r="AX206" i="32" s="1"/>
  <c r="H116" i="32"/>
  <c r="AX116" i="32" s="1"/>
  <c r="H112" i="32"/>
  <c r="AX112" i="32" s="1"/>
  <c r="H147" i="32"/>
  <c r="H143" i="32"/>
  <c r="H113" i="32"/>
  <c r="AX113" i="32" s="1"/>
  <c r="H117" i="32"/>
  <c r="AX117" i="32" s="1"/>
  <c r="H216" i="32"/>
  <c r="AX216" i="32" s="1"/>
  <c r="H207" i="32"/>
  <c r="AX207" i="32" s="1"/>
  <c r="H148" i="32"/>
  <c r="H144" i="32"/>
  <c r="H212" i="32"/>
  <c r="AX212" i="32" s="1"/>
  <c r="H118" i="32"/>
  <c r="AX118" i="32" s="1"/>
  <c r="H114" i="32"/>
  <c r="AX114" i="32" s="1"/>
  <c r="H208" i="32"/>
  <c r="AX208" i="32" s="1"/>
  <c r="H146" i="32"/>
  <c r="H215" i="32"/>
  <c r="AX215" i="32" s="1"/>
  <c r="H145" i="32"/>
  <c r="G72" i="32"/>
  <c r="H115" i="32"/>
  <c r="AX115" i="32" s="1"/>
  <c r="H142" i="32"/>
  <c r="H211" i="32"/>
  <c r="AX211" i="32" s="1"/>
  <c r="T181" i="32"/>
  <c r="T214" i="32"/>
  <c r="BJ214" i="32" s="1"/>
  <c r="T207" i="32"/>
  <c r="BJ207" i="32" s="1"/>
  <c r="T182" i="32"/>
  <c r="T179" i="32"/>
  <c r="T175" i="32"/>
  <c r="T215" i="32"/>
  <c r="BJ215" i="32" s="1"/>
  <c r="T211" i="32"/>
  <c r="BJ211" i="32" s="1"/>
  <c r="T208" i="32"/>
  <c r="BJ208" i="32" s="1"/>
  <c r="T212" i="32"/>
  <c r="BJ212" i="32" s="1"/>
  <c r="T209" i="32"/>
  <c r="BJ209" i="32" s="1"/>
  <c r="T205" i="32"/>
  <c r="BJ205" i="32" s="1"/>
  <c r="T204" i="32"/>
  <c r="BJ204" i="32" s="1"/>
  <c r="T183" i="32"/>
  <c r="T120" i="32"/>
  <c r="BJ120" i="32" s="1"/>
  <c r="T117" i="32"/>
  <c r="BJ117" i="32" s="1"/>
  <c r="T113" i="32"/>
  <c r="BJ113" i="32" s="1"/>
  <c r="T213" i="32"/>
  <c r="BJ213" i="32" s="1"/>
  <c r="T210" i="32"/>
  <c r="BJ210" i="32" s="1"/>
  <c r="T180" i="32"/>
  <c r="T150" i="32"/>
  <c r="T148" i="32"/>
  <c r="T144" i="32"/>
  <c r="T173" i="32"/>
  <c r="T153" i="32"/>
  <c r="T121" i="32"/>
  <c r="BJ121" i="32" s="1"/>
  <c r="T118" i="32"/>
  <c r="BJ118" i="32" s="1"/>
  <c r="T114" i="32"/>
  <c r="BJ114" i="32" s="1"/>
  <c r="T176" i="32"/>
  <c r="T145" i="32"/>
  <c r="T152" i="32"/>
  <c r="T184" i="32"/>
  <c r="T178" i="32"/>
  <c r="T151" i="32"/>
  <c r="T122" i="32"/>
  <c r="BJ122" i="32" s="1"/>
  <c r="T115" i="32"/>
  <c r="BJ115" i="32" s="1"/>
  <c r="T177" i="32"/>
  <c r="T174" i="32"/>
  <c r="T146" i="32"/>
  <c r="T142" i="32"/>
  <c r="T112" i="32"/>
  <c r="BJ112" i="32" s="1"/>
  <c r="T147" i="32"/>
  <c r="T143" i="32"/>
  <c r="G74" i="32"/>
  <c r="T206" i="32"/>
  <c r="BJ206" i="32" s="1"/>
  <c r="T123" i="32"/>
  <c r="BJ123" i="32" s="1"/>
  <c r="T119" i="32"/>
  <c r="BJ119" i="32" s="1"/>
  <c r="T116" i="32"/>
  <c r="BJ116" i="32" s="1"/>
  <c r="T149" i="32"/>
  <c r="F141" i="14"/>
  <c r="F143" i="14" s="1"/>
  <c r="L183" i="14"/>
  <c r="K183" i="14"/>
  <c r="I395" i="14"/>
  <c r="I309" i="14"/>
  <c r="I411" i="14"/>
  <c r="J206" i="14"/>
  <c r="I307" i="14"/>
  <c r="I371" i="14"/>
  <c r="I435" i="14"/>
  <c r="I499" i="14"/>
  <c r="I269" i="14"/>
  <c r="J192" i="14" s="1"/>
  <c r="L228" i="14" s="1"/>
  <c r="I332" i="14"/>
  <c r="I396" i="14"/>
  <c r="I460" i="14"/>
  <c r="I524" i="14"/>
  <c r="I285" i="14"/>
  <c r="I349" i="14"/>
  <c r="I413" i="14"/>
  <c r="I477" i="14"/>
  <c r="I541" i="14"/>
  <c r="I310" i="14"/>
  <c r="I374" i="14"/>
  <c r="I438" i="14"/>
  <c r="I502" i="14"/>
  <c r="I264" i="14"/>
  <c r="J216" i="14" s="1"/>
  <c r="I327" i="14"/>
  <c r="I391" i="14"/>
  <c r="I455" i="14"/>
  <c r="I519" i="14"/>
  <c r="I288" i="14"/>
  <c r="I352" i="14"/>
  <c r="I416" i="14"/>
  <c r="I480" i="14"/>
  <c r="I544" i="14"/>
  <c r="I305" i="14"/>
  <c r="I369" i="14"/>
  <c r="I433" i="14"/>
  <c r="I497" i="14"/>
  <c r="I259" i="14"/>
  <c r="I322" i="14"/>
  <c r="J177" i="14" s="1"/>
  <c r="K228" i="14" s="1"/>
  <c r="I386" i="14"/>
  <c r="I450" i="14"/>
  <c r="AO184" i="32"/>
  <c r="AO180" i="32"/>
  <c r="AK179" i="32"/>
  <c r="Y183" i="32"/>
  <c r="AO181" i="32"/>
  <c r="AC177" i="32"/>
  <c r="AX177" i="32" s="1"/>
  <c r="AK176" i="32"/>
  <c r="AO173" i="32"/>
  <c r="Y184" i="32"/>
  <c r="Y181" i="32"/>
  <c r="AC178" i="32"/>
  <c r="AX178" i="32" s="1"/>
  <c r="Y176" i="32"/>
  <c r="AO174" i="32"/>
  <c r="Y185" i="32"/>
  <c r="Y182" i="32"/>
  <c r="Y178" i="32"/>
  <c r="AG177" i="32"/>
  <c r="AG175" i="32"/>
  <c r="AC174" i="32"/>
  <c r="AX174" i="32" s="1"/>
  <c r="AG179" i="32"/>
  <c r="AK178" i="32"/>
  <c r="Y174" i="32"/>
  <c r="AG173" i="32"/>
  <c r="AO183" i="32"/>
  <c r="AO177" i="32"/>
  <c r="AO175" i="32"/>
  <c r="AK174" i="32"/>
  <c r="Y177" i="32"/>
  <c r="AG176" i="32"/>
  <c r="AC175" i="32"/>
  <c r="AX175" i="32" s="1"/>
  <c r="AO178" i="32"/>
  <c r="AO179" i="32"/>
  <c r="AC179" i="32"/>
  <c r="AX179" i="32" s="1"/>
  <c r="AG178" i="32"/>
  <c r="Y175" i="32"/>
  <c r="AC173" i="32"/>
  <c r="AX173" i="32" s="1"/>
  <c r="AO176" i="32"/>
  <c r="AK173" i="32"/>
  <c r="AO182" i="32"/>
  <c r="Y180" i="32"/>
  <c r="Y179" i="32"/>
  <c r="AK177" i="32"/>
  <c r="AK175" i="32"/>
  <c r="AG174" i="32"/>
  <c r="AC176" i="32"/>
  <c r="AX176" i="32" s="1"/>
  <c r="Y173" i="32"/>
  <c r="AG151" i="32"/>
  <c r="AG148" i="32"/>
  <c r="AO146" i="32"/>
  <c r="Y145" i="32"/>
  <c r="AG144" i="32"/>
  <c r="AO142" i="32"/>
  <c r="AO152" i="32"/>
  <c r="AO149" i="32"/>
  <c r="AC147" i="32"/>
  <c r="AK145" i="32"/>
  <c r="BF145" i="32" s="1"/>
  <c r="AC143" i="32"/>
  <c r="AC146" i="32"/>
  <c r="AG154" i="32"/>
  <c r="AO147" i="32"/>
  <c r="Y146" i="32"/>
  <c r="AG145" i="32"/>
  <c r="AO143" i="32"/>
  <c r="Y142" i="32"/>
  <c r="AO150" i="32"/>
  <c r="AC148" i="32"/>
  <c r="AK146" i="32"/>
  <c r="BF146" i="32" s="1"/>
  <c r="AC144" i="32"/>
  <c r="AK142" i="32"/>
  <c r="BF142" i="32" s="1"/>
  <c r="AK148" i="32"/>
  <c r="BF148" i="32" s="1"/>
  <c r="AO153" i="32"/>
  <c r="AG152" i="32"/>
  <c r="AG149" i="32"/>
  <c r="AO148" i="32"/>
  <c r="Y147" i="32"/>
  <c r="AG146" i="32"/>
  <c r="AO144" i="32"/>
  <c r="Y143" i="32"/>
  <c r="AG142" i="32"/>
  <c r="AO151" i="32"/>
  <c r="AC142" i="32"/>
  <c r="AK147" i="32"/>
  <c r="BF147" i="32" s="1"/>
  <c r="AC145" i="32"/>
  <c r="AK143" i="32"/>
  <c r="BF143" i="32" s="1"/>
  <c r="AK144" i="32"/>
  <c r="BF144" i="32" s="1"/>
  <c r="AG150" i="32"/>
  <c r="Y148" i="32"/>
  <c r="AG147" i="32"/>
  <c r="AO145" i="32"/>
  <c r="Y144" i="32"/>
  <c r="AG143" i="32"/>
  <c r="AG153" i="32"/>
  <c r="BJ142" i="32" l="1"/>
  <c r="BJ184" i="32"/>
  <c r="BJ173" i="32"/>
  <c r="AT178" i="32"/>
  <c r="AT182" i="32"/>
  <c r="AT180" i="32"/>
  <c r="AT181" i="32"/>
  <c r="L191" i="14"/>
  <c r="K191" i="14"/>
  <c r="BB142" i="32"/>
  <c r="BB176" i="32"/>
  <c r="BB150" i="32"/>
  <c r="BB177" i="32"/>
  <c r="L203" i="14"/>
  <c r="K203" i="14"/>
  <c r="K192" i="14"/>
  <c r="L192" i="14"/>
  <c r="BJ146" i="32"/>
  <c r="BJ152" i="32"/>
  <c r="BJ144" i="32"/>
  <c r="AX142" i="32"/>
  <c r="AX143" i="32"/>
  <c r="AT185" i="32"/>
  <c r="J178" i="14"/>
  <c r="J179" i="14"/>
  <c r="BB146" i="32"/>
  <c r="BF178" i="32"/>
  <c r="BB179" i="32"/>
  <c r="BF179" i="32"/>
  <c r="BB206" i="32"/>
  <c r="K202" i="14"/>
  <c r="L202" i="14"/>
  <c r="BJ174" i="32"/>
  <c r="BJ145" i="32"/>
  <c r="BJ148" i="32"/>
  <c r="BJ183" i="32"/>
  <c r="BJ175" i="32"/>
  <c r="AX147" i="32"/>
  <c r="K212" i="14"/>
  <c r="L212" i="14"/>
  <c r="L209" i="14"/>
  <c r="K209" i="14"/>
  <c r="BF174" i="32"/>
  <c r="BB205" i="32"/>
  <c r="BB207" i="32"/>
  <c r="BB210" i="32"/>
  <c r="K216" i="14"/>
  <c r="L216" i="14"/>
  <c r="L229" i="14"/>
  <c r="BJ177" i="32"/>
  <c r="BJ176" i="32"/>
  <c r="BJ150" i="32"/>
  <c r="BJ179" i="32"/>
  <c r="AX144" i="32"/>
  <c r="AT184" i="32"/>
  <c r="AT179" i="32"/>
  <c r="K210" i="14"/>
  <c r="L210" i="14"/>
  <c r="BF208" i="32"/>
  <c r="BB143" i="32"/>
  <c r="BB149" i="32"/>
  <c r="BF206" i="32"/>
  <c r="J214" i="14"/>
  <c r="J215" i="14"/>
  <c r="L180" i="14"/>
  <c r="K180" i="14"/>
  <c r="L213" i="14"/>
  <c r="K213" i="14"/>
  <c r="K177" i="14"/>
  <c r="L177" i="14"/>
  <c r="BJ180" i="32"/>
  <c r="BJ182" i="32"/>
  <c r="AX145" i="32"/>
  <c r="AX148" i="32"/>
  <c r="K208" i="14"/>
  <c r="L208" i="14"/>
  <c r="L211" i="14"/>
  <c r="K211" i="14"/>
  <c r="AT174" i="32"/>
  <c r="AT143" i="32"/>
  <c r="L207" i="14"/>
  <c r="K207" i="14"/>
  <c r="BB145" i="32"/>
  <c r="BF173" i="32"/>
  <c r="BB147" i="32"/>
  <c r="BB153" i="32"/>
  <c r="BF210" i="32"/>
  <c r="K190" i="14"/>
  <c r="L190" i="14"/>
  <c r="J193" i="14"/>
  <c r="J194" i="14"/>
  <c r="J195" i="14"/>
  <c r="J196" i="14"/>
  <c r="J181" i="14"/>
  <c r="J182" i="14"/>
  <c r="L231" i="14"/>
  <c r="L232" i="14" s="1"/>
  <c r="G171" i="14"/>
  <c r="G170" i="14"/>
  <c r="BJ143" i="32"/>
  <c r="K204" i="14"/>
  <c r="L204" i="14"/>
  <c r="J220" i="14"/>
  <c r="J219" i="14"/>
  <c r="AT144" i="32"/>
  <c r="AT147" i="32"/>
  <c r="AT142" i="32"/>
  <c r="J187" i="14"/>
  <c r="J186" i="14"/>
  <c r="BF176" i="32"/>
  <c r="BF204" i="32"/>
  <c r="BB152" i="32"/>
  <c r="BB173" i="32"/>
  <c r="L205" i="14"/>
  <c r="K205" i="14"/>
  <c r="L201" i="14"/>
  <c r="K201" i="14"/>
  <c r="K206" i="14"/>
  <c r="L206" i="14"/>
  <c r="BJ147" i="32"/>
  <c r="BJ151" i="32"/>
  <c r="AX146" i="32"/>
  <c r="L199" i="14"/>
  <c r="K199" i="14"/>
  <c r="AT145" i="32"/>
  <c r="AT148" i="32"/>
  <c r="AT175" i="32"/>
  <c r="AT146" i="32"/>
  <c r="BB151" i="32"/>
  <c r="BB144" i="32"/>
  <c r="BF175" i="32"/>
  <c r="BB174" i="32"/>
  <c r="K198" i="14"/>
  <c r="L198" i="14"/>
  <c r="L184" i="14"/>
  <c r="K184" i="14"/>
  <c r="BJ149" i="32"/>
  <c r="BJ178" i="32"/>
  <c r="BJ153" i="32"/>
  <c r="BJ181" i="32"/>
  <c r="J221" i="14"/>
  <c r="AT176" i="32"/>
  <c r="AT173" i="32"/>
  <c r="AT177" i="32"/>
  <c r="AT183" i="32"/>
  <c r="BF209" i="32"/>
  <c r="BB154" i="32"/>
  <c r="BF205" i="32"/>
  <c r="BB148" i="32"/>
  <c r="BB175" i="32"/>
  <c r="BF177" i="32"/>
  <c r="BB178" i="32"/>
  <c r="K200" i="14"/>
  <c r="L200" i="14"/>
  <c r="L235" i="14" l="1"/>
  <c r="L239" i="14" s="1"/>
  <c r="K214" i="14"/>
  <c r="L214" i="14"/>
  <c r="L178" i="14"/>
  <c r="K178" i="14"/>
  <c r="K229" i="14"/>
  <c r="K235" i="14" s="1"/>
  <c r="K239" i="14" s="1"/>
  <c r="L186" i="14"/>
  <c r="K186" i="14"/>
  <c r="L195" i="14"/>
  <c r="K195" i="14"/>
  <c r="K194" i="14"/>
  <c r="L194" i="14"/>
  <c r="L221" i="14"/>
  <c r="K221" i="14"/>
  <c r="L193" i="14"/>
  <c r="K193" i="14"/>
  <c r="K196" i="14"/>
  <c r="L196" i="14"/>
  <c r="L181" i="14"/>
  <c r="K181" i="14"/>
  <c r="L219" i="14"/>
  <c r="K219" i="14"/>
  <c r="L187" i="14"/>
  <c r="K187" i="14"/>
  <c r="K220" i="14"/>
  <c r="L220" i="14"/>
  <c r="L182" i="14"/>
  <c r="K182" i="14"/>
  <c r="L215" i="14"/>
  <c r="K215" i="14"/>
  <c r="L179" i="14"/>
  <c r="K179" i="14"/>
  <c r="L223" i="14" l="1"/>
  <c r="L241" i="14" s="1"/>
  <c r="K223" i="14"/>
  <c r="K241" i="14" s="1"/>
  <c r="K244" i="14" l="1"/>
  <c r="K246" i="14"/>
  <c r="L244" i="14"/>
  <c r="L246" i="14"/>
  <c r="L240" i="14"/>
  <c r="L242" i="14" s="1"/>
  <c r="K240" i="14"/>
  <c r="K242" i="14" s="1"/>
</calcChain>
</file>

<file path=xl/sharedStrings.xml><?xml version="1.0" encoding="utf-8"?>
<sst xmlns="http://schemas.openxmlformats.org/spreadsheetml/2006/main" count="781" uniqueCount="288">
  <si>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</si>
  <si>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</si>
  <si>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</si>
  <si>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</si>
  <si>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</si>
  <si>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</si>
  <si>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</si>
  <si>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</si>
  <si>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</si>
  <si>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</si>
  <si>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</si>
  <si>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</si>
  <si>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</si>
  <si>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</si>
  <si>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</si>
  <si>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</si>
  <si>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</si>
  <si>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</si>
  <si>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</si>
  <si>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</si>
  <si>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</si>
  <si>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</si>
  <si>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</si>
  <si>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</si>
  <si>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</si>
  <si>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</si>
  <si>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</si>
  <si>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</si>
  <si>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</si>
  <si>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</si>
  <si>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</si>
  <si>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</si>
  <si>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</si>
  <si>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</si>
  <si>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</si>
  <si>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</si>
  <si>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</si>
  <si>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</si>
  <si>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</si>
  <si>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</si>
  <si>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</si>
  <si>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</si>
  <si>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</si>
  <si>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</si>
  <si>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</si>
  <si>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</si>
  <si>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</si>
  <si>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</si>
  <si>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</si>
  <si>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</si>
  <si>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</si>
  <si>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</si>
  <si>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</si>
  <si>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</si>
  <si>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</si>
  <si>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</si>
  <si>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</si>
  <si>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</si>
  <si>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</si>
  <si>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</si>
  <si>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</si>
  <si>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</si>
  <si>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</si>
  <si>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</si>
  <si>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</si>
  <si>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</si>
  <si>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</si>
  <si>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</si>
  <si>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</si>
  <si>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</si>
  <si>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</si>
  <si>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</si>
  <si>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</si>
  <si>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</si>
  <si>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</si>
  <si>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</si>
  <si>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</si>
  <si>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</si>
  <si>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</si>
  <si>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</si>
  <si>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</si>
  <si>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</si>
  <si>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</si>
  <si>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</si>
  <si>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</si>
  <si>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</si>
  <si>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</si>
  <si>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</si>
  <si>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</si>
  <si>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</si>
  <si>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</si>
  <si>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</si>
  <si>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</si>
  <si>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</si>
  <si>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</si>
  <si>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</si>
  <si>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</si>
  <si>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</si>
  <si>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</si>
  <si>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</si>
  <si>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</si>
  <si>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</si>
  <si>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</si>
  <si>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</si>
  <si>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</si>
  <si>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</si>
  <si>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</si>
  <si>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</si>
  <si>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</si>
  <si>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</si>
  <si>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</si>
  <si>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</si>
  <si>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</si>
  <si>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</si>
  <si>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</si>
  <si>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</si>
  <si>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</si>
  <si>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</si>
  <si>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</si>
  <si>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</si>
  <si>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</si>
  <si>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</si>
  <si>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</si>
  <si>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</si>
  <si>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</si>
  <si>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</si>
  <si>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</si>
  <si>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</si>
  <si>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</si>
  <si>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</si>
  <si>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</si>
  <si>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</si>
  <si>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</si>
  <si>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</si>
  <si>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</si>
  <si>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</si>
  <si>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</si>
  <si>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</si>
  <si>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</si>
  <si>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</si>
  <si>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</si>
  <si>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</si>
  <si>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</si>
  <si>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</si>
  <si>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</si>
  <si>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</si>
  <si>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</si>
  <si>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</si>
  <si>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</si>
  <si>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</si>
  <si>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</si>
  <si>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</si>
  <si>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</si>
  <si>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</si>
  <si>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</si>
  <si>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</si>
  <si>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</si>
  <si>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</si>
  <si>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</si>
  <si>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</si>
  <si>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</si>
  <si>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</si>
  <si>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</si>
  <si>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</si>
  <si>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</si>
  <si>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</si>
  <si>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</si>
  <si>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</si>
  <si>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</si>
  <si>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</si>
  <si>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</si>
  <si>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</si>
  <si>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</si>
  <si>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</si>
  <si>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</si>
  <si>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</si>
  <si>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</si>
  <si>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</si>
  <si>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</si>
  <si>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</si>
  <si>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</si>
  <si>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</si>
  <si>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</si>
  <si>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</si>
  <si>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</si>
  <si>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</si>
  <si>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</si>
  <si>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</si>
  <si>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</si>
  <si>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</si>
  <si>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</si>
  <si>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</si>
  <si>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</si>
  <si>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</si>
  <si>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</si>
  <si>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</si>
  <si>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</si>
  <si>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</si>
  <si>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</si>
  <si>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</si>
  <si>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</si>
  <si>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</si>
  <si>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</si>
  <si>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</si>
  <si>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</si>
  <si>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</si>
  <si>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</si>
  <si>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</si>
  <si>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</si>
  <si>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</si>
  <si>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</si>
  <si>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</si>
  <si>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</si>
  <si>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</si>
  <si>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</si>
  <si>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</si>
  <si>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</si>
  <si>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</si>
  <si>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</si>
  <si>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</si>
  <si>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</si>
  <si>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</si>
  <si>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</si>
  <si>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</si>
  <si>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</si>
  <si>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</si>
  <si>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</si>
  <si>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</si>
  <si>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</si>
  <si>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</si>
  <si>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</si>
  <si>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</si>
  <si>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</si>
  <si>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</si>
  <si>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</si>
  <si>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</si>
  <si>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</si>
  <si>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</si>
  <si>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</si>
  <si>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</si>
  <si>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</si>
  <si>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</si>
  <si>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</si>
  <si>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</si>
  <si>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</si>
  <si>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</si>
  <si>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</si>
  <si>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</si>
  <si>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</si>
  <si>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</si>
  <si>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</si>
  <si>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</si>
  <si>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</si>
  <si>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</si>
  <si>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</si>
  <si>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</si>
  <si>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</si>
  <si>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</si>
  <si>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</si>
  <si>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</si>
  <si>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</si>
  <si>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</si>
  <si>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</si>
  <si>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</si>
  <si>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</si>
  <si>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</si>
  <si>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</si>
  <si>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</si>
  <si>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</si>
  <si>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</si>
  <si>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</si>
  <si>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</si>
  <si>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</si>
  <si>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</si>
  <si>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</si>
  <si>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</si>
  <si>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</si>
  <si>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</si>
  <si>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</si>
  <si>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</si>
  <si>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</si>
  <si>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</si>
  <si>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</si>
  <si>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</si>
  <si>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</si>
  <si>
    <t>LA-9 (1-2)</t>
  </si>
  <si>
    <t>LB-9 (1-2)</t>
  </si>
  <si>
    <t>L1-9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</si>
</sst>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F1'!$H$255:$H$554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F1'!$I$255:$I$554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255</xdr:row>
      <xdr:rowOff>123265</xdr:rowOff>
    </xdr:from>
    <xdr:to>
      <xdr:col>18</xdr:col>
      <xdr:colOff>179294</xdr:colOff>
      <xdr:row>273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259</xdr:row>
      <xdr:rowOff>179295</xdr:rowOff>
    </xdr:from>
    <xdr:to>
      <xdr:col>4</xdr:col>
      <xdr:colOff>377985</xdr:colOff>
      <xdr:row>283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4"/>
  <sheetViews>
    <sheetView showGridLines="0" tabSelected="1" topLeftCell="A211" zoomScale="55" zoomScaleNormal="55" workbookViewId="0">
      <selection activeCell="O244" sqref="O244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0.7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0.15468635749362564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0.15468635749362564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14292.32</v>
      </c>
      <c r="F165" s="1" t="s">
        <v>85</v>
      </c>
      <c r="G165" s="55">
        <f>E165/1000</f>
        <v>14.29232</v>
      </c>
      <c r="H165" s="1" t="s">
        <v>86</v>
      </c>
    </row>
    <row r="166" spans="2:14" x14ac:dyDescent="0.3">
      <c r="D166" s="17" t="s">
        <v>88</v>
      </c>
      <c r="E166" s="82">
        <v>14292.32</v>
      </c>
      <c r="F166" s="1" t="s">
        <v>85</v>
      </c>
      <c r="G166" s="55">
        <f>E166/1000</f>
        <v>14.29232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2.4501120000000003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2.4501120000000003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1.419</v>
      </c>
      <c r="D177" s="64">
        <v>0.70499999999999996</v>
      </c>
      <c r="E177" s="28">
        <v>85.186000000000007</v>
      </c>
      <c r="F177" s="28">
        <v>0</v>
      </c>
      <c r="G177" s="28">
        <v>0</v>
      </c>
      <c r="H177" s="28" t="s">
        <v>113</v>
      </c>
      <c r="I177" s="29">
        <f>ROUND(D177,2)</f>
        <v>0.71</v>
      </c>
      <c r="J177" s="31">
        <f>VLOOKUP(I177,$H$255:$I$554,2,0)</f>
        <v>0.15323047239623552</v>
      </c>
      <c r="K177" s="32">
        <f>J177*$K$225*E177/100</f>
        <v>1865.5895386905831</v>
      </c>
      <c r="L177" s="34">
        <f>J177*$K$226*G177/100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2.8370000000000002</v>
      </c>
      <c r="D178" s="64">
        <v>0.35299999999999998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0.35</v>
      </c>
      <c r="J178" s="31">
        <f>VLOOKUP(I178,$H$255:$I$554,2,0)</f>
        <v>0.17142857142857146</v>
      </c>
      <c r="K178" s="32">
        <f>J178*$K$225*E178/100</f>
        <v>0</v>
      </c>
      <c r="L178" s="34">
        <f>J178*$K$226*G178/100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2.8370000000000002</v>
      </c>
      <c r="D179" s="64">
        <v>0.35299999999999998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0.35</v>
      </c>
      <c r="J179" s="31">
        <f t="shared" ref="J179" si="2">VLOOKUP(I179,$H$255:$I$554,2,0)</f>
        <v>0.17142857142857146</v>
      </c>
      <c r="K179" s="32">
        <f t="shared" ref="K179" si="3">J179*$K$225*E179/100</f>
        <v>0.24501120000000007</v>
      </c>
      <c r="L179" s="34">
        <f t="shared" ref="L179" si="4">J179*$K$226*G179/100</f>
        <v>0</v>
      </c>
      <c r="N179" s="10"/>
      <c r="O179" s="26"/>
    </row>
    <row r="180" spans="2:27" x14ac:dyDescent="0.3">
      <c r="B180" s="33">
        <v>4</v>
      </c>
      <c r="C180" s="28">
        <v>3.2080000000000002</v>
      </c>
      <c r="D180" s="64">
        <v>0.312</v>
      </c>
      <c r="E180" s="28">
        <v>1.0999999999999999E-2</v>
      </c>
      <c r="F180" s="28">
        <v>0</v>
      </c>
      <c r="G180" s="28">
        <v>0</v>
      </c>
      <c r="H180" s="28" t="s">
        <v>113</v>
      </c>
      <c r="I180" s="29">
        <f t="shared" ref="I180:I222" si="5">ROUND(D180,2)</f>
        <v>0.31</v>
      </c>
      <c r="J180" s="31">
        <f t="shared" ref="J180:J222" si="6">VLOOKUP(I180,$H$255:$I$554,2,0)</f>
        <v>0.17142857142857146</v>
      </c>
      <c r="K180" s="32">
        <f t="shared" ref="K180:K222" si="7">J180*$K$225*E180/100</f>
        <v>0.26951232000000003</v>
      </c>
      <c r="L180" s="34">
        <f t="shared" ref="L180:L222" si="8">J180*$K$226*G180/100</f>
        <v>0</v>
      </c>
      <c r="N180" s="10"/>
      <c r="O180" s="26"/>
    </row>
    <row r="181" spans="2:27" x14ac:dyDescent="0.3">
      <c r="B181" s="33">
        <v>5</v>
      </c>
      <c r="C181" s="28">
        <v>3.2080000000000002</v>
      </c>
      <c r="D181" s="64">
        <v>0.312</v>
      </c>
      <c r="E181" s="28">
        <v>8.0000000000000002E-3</v>
      </c>
      <c r="F181" s="28">
        <v>0</v>
      </c>
      <c r="G181" s="28">
        <v>0</v>
      </c>
      <c r="H181" s="28" t="s">
        <v>113</v>
      </c>
      <c r="I181" s="29">
        <f t="shared" si="5"/>
        <v>0.31</v>
      </c>
      <c r="J181" s="31">
        <f t="shared" si="6"/>
        <v>0.17142857142857146</v>
      </c>
      <c r="K181" s="32">
        <f t="shared" si="7"/>
        <v>0.19600896000000007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3.5630000000000002</v>
      </c>
      <c r="D182" s="64">
        <v>0.28100000000000003</v>
      </c>
      <c r="E182" s="28">
        <v>0.71899999999999997</v>
      </c>
      <c r="F182" s="28">
        <v>0</v>
      </c>
      <c r="G182" s="28">
        <v>1E-3</v>
      </c>
      <c r="H182" s="28" t="s">
        <v>113</v>
      </c>
      <c r="I182" s="29">
        <f t="shared" si="5"/>
        <v>0.28000000000000003</v>
      </c>
      <c r="J182" s="31">
        <f t="shared" si="6"/>
        <v>0.17142857142857146</v>
      </c>
      <c r="K182" s="32">
        <f t="shared" si="7"/>
        <v>17.616305280000002</v>
      </c>
      <c r="L182" s="34">
        <f t="shared" si="8"/>
        <v>2.4501120000000008E-2</v>
      </c>
      <c r="N182" s="10"/>
      <c r="O182" s="26"/>
    </row>
    <row r="183" spans="2:27" x14ac:dyDescent="0.3">
      <c r="B183" s="33">
        <v>7</v>
      </c>
      <c r="C183" s="28">
        <v>4.2469999999999999</v>
      </c>
      <c r="D183" s="64">
        <v>0.23499999999999999</v>
      </c>
      <c r="E183" s="28">
        <v>0</v>
      </c>
      <c r="F183" s="28">
        <v>0</v>
      </c>
      <c r="G183" s="28">
        <v>32.529000000000003</v>
      </c>
      <c r="H183" s="28" t="s">
        <v>113</v>
      </c>
      <c r="I183" s="29">
        <f t="shared" si="5"/>
        <v>0.24</v>
      </c>
      <c r="J183" s="31">
        <f t="shared" si="6"/>
        <v>0.17142857142857146</v>
      </c>
      <c r="K183" s="32">
        <f t="shared" si="7"/>
        <v>0</v>
      </c>
      <c r="L183" s="34">
        <f t="shared" si="8"/>
        <v>796.99693248000028</v>
      </c>
      <c r="N183" s="10"/>
      <c r="O183" s="26"/>
    </row>
    <row r="184" spans="2:27" x14ac:dyDescent="0.3">
      <c r="B184" s="33">
        <v>8</v>
      </c>
      <c r="C184" s="28">
        <v>4.2729999999999997</v>
      </c>
      <c r="D184" s="64">
        <v>0.23400000000000001</v>
      </c>
      <c r="E184" s="28">
        <v>0.48599999999999999</v>
      </c>
      <c r="F184" s="28">
        <v>0</v>
      </c>
      <c r="G184" s="28">
        <v>6.0000000000000001E-3</v>
      </c>
      <c r="H184" s="28" t="s">
        <v>113</v>
      </c>
      <c r="I184" s="29">
        <f t="shared" si="5"/>
        <v>0.23</v>
      </c>
      <c r="J184" s="31">
        <f t="shared" si="6"/>
        <v>0.17142857142857146</v>
      </c>
      <c r="K184" s="32">
        <f t="shared" si="7"/>
        <v>11.907544320000001</v>
      </c>
      <c r="L184" s="34">
        <f t="shared" si="8"/>
        <v>0.14700672000000004</v>
      </c>
      <c r="N184" s="10"/>
      <c r="O184" s="26"/>
    </row>
    <row r="185" spans="2:27" x14ac:dyDescent="0.3">
      <c r="B185" s="33">
        <v>9</v>
      </c>
      <c r="C185" s="28">
        <v>4.59</v>
      </c>
      <c r="D185" s="64">
        <v>0.218</v>
      </c>
      <c r="E185" s="28">
        <v>0</v>
      </c>
      <c r="F185" s="28">
        <v>0</v>
      </c>
      <c r="G185" s="28">
        <v>1.6319999999999999</v>
      </c>
      <c r="H185" s="28" t="s">
        <v>113</v>
      </c>
      <c r="I185" s="29">
        <f t="shared" si="5"/>
        <v>0.22</v>
      </c>
      <c r="J185" s="31">
        <f t="shared" si="6"/>
        <v>0.17142857142857146</v>
      </c>
      <c r="K185" s="32">
        <f t="shared" si="7"/>
        <v>0</v>
      </c>
      <c r="L185" s="34">
        <f t="shared" si="8"/>
        <v>39.985827840000006</v>
      </c>
      <c r="N185" s="10"/>
    </row>
    <row r="186" spans="2:27" x14ac:dyDescent="0.3">
      <c r="B186" s="33">
        <v>10</v>
      </c>
      <c r="C186" s="28">
        <v>4.8849999999999998</v>
      </c>
      <c r="D186" s="64">
        <v>0.20499999999999999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0.21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4.8849999999999998</v>
      </c>
      <c r="D187" s="64">
        <v>0.20499999999999999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0.21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5.181</v>
      </c>
      <c r="D188" s="64">
        <v>0.193</v>
      </c>
      <c r="E188" s="28">
        <v>0</v>
      </c>
      <c r="F188" s="28">
        <v>0</v>
      </c>
      <c r="G188" s="28">
        <v>2E-3</v>
      </c>
      <c r="H188" s="28" t="s">
        <v>113</v>
      </c>
      <c r="I188" s="29">
        <f t="shared" si="5"/>
        <v>0.19</v>
      </c>
      <c r="J188" s="31">
        <f t="shared" si="6"/>
        <v>0.16571428571428576</v>
      </c>
      <c r="K188" s="32">
        <f t="shared" si="7"/>
        <v>0</v>
      </c>
      <c r="L188" s="34">
        <f t="shared" si="8"/>
        <v>4.7368832000000013E-2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5.8789999999999996</v>
      </c>
      <c r="D189" s="64">
        <v>0.17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0.17</v>
      </c>
      <c r="J189" s="31">
        <f t="shared" si="6"/>
        <v>0.1542857142857143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5.8789999999999996</v>
      </c>
      <c r="D190" s="64">
        <v>0.17</v>
      </c>
      <c r="E190" s="28">
        <v>0</v>
      </c>
      <c r="F190" s="28">
        <v>0</v>
      </c>
      <c r="G190" s="28">
        <v>0</v>
      </c>
      <c r="H190" s="28" t="s">
        <v>113</v>
      </c>
      <c r="I190" s="29">
        <f t="shared" si="5"/>
        <v>0.17</v>
      </c>
      <c r="J190" s="31">
        <f t="shared" si="6"/>
        <v>0.1542857142857143</v>
      </c>
      <c r="K190" s="32">
        <f t="shared" si="7"/>
        <v>0</v>
      </c>
      <c r="L190" s="34">
        <f t="shared" si="8"/>
        <v>0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6.008</v>
      </c>
      <c r="D191" s="64">
        <v>0.16600000000000001</v>
      </c>
      <c r="E191" s="28">
        <v>1.1910000000000001</v>
      </c>
      <c r="F191" s="28">
        <v>0</v>
      </c>
      <c r="G191" s="28">
        <v>6.0000000000000001E-3</v>
      </c>
      <c r="H191" s="28" t="s">
        <v>113</v>
      </c>
      <c r="I191" s="29">
        <f t="shared" si="5"/>
        <v>0.17</v>
      </c>
      <c r="J191" s="31">
        <f t="shared" si="6"/>
        <v>0.1542857142857143</v>
      </c>
      <c r="K191" s="32">
        <f t="shared" si="7"/>
        <v>26.262750528000002</v>
      </c>
      <c r="L191" s="34">
        <f t="shared" si="8"/>
        <v>0.13230604800000001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6.15</v>
      </c>
      <c r="D192" s="64">
        <v>0.16300000000000001</v>
      </c>
      <c r="E192" s="28">
        <v>0</v>
      </c>
      <c r="F192" s="28">
        <v>0</v>
      </c>
      <c r="G192" s="28">
        <v>53.927999999999997</v>
      </c>
      <c r="H192" s="28" t="s">
        <v>113</v>
      </c>
      <c r="I192" s="29">
        <f t="shared" si="5"/>
        <v>0.16</v>
      </c>
      <c r="J192" s="31">
        <f t="shared" si="6"/>
        <v>0.14857142857142858</v>
      </c>
      <c r="K192" s="32">
        <f t="shared" si="7"/>
        <v>0</v>
      </c>
      <c r="L192" s="34">
        <f t="shared" si="8"/>
        <v>1145.123546112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7.6139999999999999</v>
      </c>
      <c r="D193" s="64">
        <v>0.13100000000000001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0.13</v>
      </c>
      <c r="J193" s="31">
        <f t="shared" si="6"/>
        <v>0.13142857142857142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7.6139999999999999</v>
      </c>
      <c r="D194" s="64">
        <v>0.13100000000000001</v>
      </c>
      <c r="E194" s="28">
        <v>0</v>
      </c>
      <c r="F194" s="28">
        <v>0</v>
      </c>
      <c r="G194" s="28">
        <v>0</v>
      </c>
      <c r="H194" s="28" t="s">
        <v>113</v>
      </c>
      <c r="I194" s="29">
        <f t="shared" si="5"/>
        <v>0.13</v>
      </c>
      <c r="J194" s="31">
        <f t="shared" si="6"/>
        <v>0.13142857142857142</v>
      </c>
      <c r="K194" s="32">
        <f t="shared" si="7"/>
        <v>0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7.7240000000000002</v>
      </c>
      <c r="D195" s="64">
        <v>0.129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0.13</v>
      </c>
      <c r="J195" s="31">
        <f t="shared" si="6"/>
        <v>0.13142857142857142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7.9619999999999997</v>
      </c>
      <c r="D196" s="64">
        <v>0.126</v>
      </c>
      <c r="E196" s="28">
        <v>2.351</v>
      </c>
      <c r="F196" s="28">
        <v>0</v>
      </c>
      <c r="G196" s="28">
        <v>0</v>
      </c>
      <c r="H196" s="28" t="s">
        <v>113</v>
      </c>
      <c r="I196" s="29">
        <f t="shared" si="5"/>
        <v>0.13</v>
      </c>
      <c r="J196" s="31">
        <f t="shared" si="6"/>
        <v>0.13142857142857142</v>
      </c>
      <c r="K196" s="32">
        <f t="shared" si="7"/>
        <v>44.161635392000001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8.4960000000000004</v>
      </c>
      <c r="D197" s="64">
        <v>0.11799999999999999</v>
      </c>
      <c r="E197" s="28">
        <v>0</v>
      </c>
      <c r="F197" s="28">
        <v>0</v>
      </c>
      <c r="G197" s="28">
        <v>8.4000000000000005E-2</v>
      </c>
      <c r="H197" s="28" t="s">
        <v>113</v>
      </c>
      <c r="I197" s="29">
        <f t="shared" si="5"/>
        <v>0.12</v>
      </c>
      <c r="J197" s="31">
        <f t="shared" si="6"/>
        <v>0.12571428571428572</v>
      </c>
      <c r="K197" s="32">
        <f t="shared" si="7"/>
        <v>0</v>
      </c>
      <c r="L197" s="34">
        <f t="shared" si="8"/>
        <v>1.509268992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8.5670000000000002</v>
      </c>
      <c r="D198" s="64">
        <v>0.11700000000000001</v>
      </c>
      <c r="E198" s="28">
        <v>1E-3</v>
      </c>
      <c r="F198" s="28">
        <v>0</v>
      </c>
      <c r="G198" s="28">
        <v>0</v>
      </c>
      <c r="H198" s="28" t="s">
        <v>113</v>
      </c>
      <c r="I198" s="29">
        <f t="shared" si="5"/>
        <v>0.12</v>
      </c>
      <c r="J198" s="31">
        <f t="shared" si="6"/>
        <v>0.12571428571428572</v>
      </c>
      <c r="K198" s="32">
        <f t="shared" si="7"/>
        <v>1.7967488E-2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8.5850000000000009</v>
      </c>
      <c r="D199" s="64">
        <v>0.11600000000000001</v>
      </c>
      <c r="E199" s="28">
        <v>0.72699999999999998</v>
      </c>
      <c r="F199" s="28">
        <v>0</v>
      </c>
      <c r="G199" s="28">
        <v>0</v>
      </c>
      <c r="H199" s="28" t="s">
        <v>113</v>
      </c>
      <c r="I199" s="29">
        <f t="shared" si="5"/>
        <v>0.12</v>
      </c>
      <c r="J199" s="31">
        <f t="shared" si="6"/>
        <v>0.12571428571428572</v>
      </c>
      <c r="K199" s="32">
        <f t="shared" si="7"/>
        <v>13.062363776</v>
      </c>
      <c r="L199" s="34">
        <f t="shared" si="8"/>
        <v>0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8.6519999999999992</v>
      </c>
      <c r="D200" s="64">
        <v>0.11600000000000001</v>
      </c>
      <c r="E200" s="28">
        <v>0</v>
      </c>
      <c r="F200" s="28">
        <v>0</v>
      </c>
      <c r="G200" s="28">
        <v>0</v>
      </c>
      <c r="H200" s="28" t="s">
        <v>113</v>
      </c>
      <c r="I200" s="29">
        <f t="shared" si="5"/>
        <v>0.12</v>
      </c>
      <c r="J200" s="31">
        <f t="shared" si="6"/>
        <v>0.12571428571428572</v>
      </c>
      <c r="K200" s="32">
        <f t="shared" si="7"/>
        <v>0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8.6539999999999999</v>
      </c>
      <c r="D201" s="64">
        <v>0.11600000000000001</v>
      </c>
      <c r="E201" s="28">
        <v>0.26500000000000001</v>
      </c>
      <c r="F201" s="28">
        <v>0</v>
      </c>
      <c r="G201" s="28">
        <v>0</v>
      </c>
      <c r="H201" s="28" t="s">
        <v>113</v>
      </c>
      <c r="I201" s="29">
        <f t="shared" si="5"/>
        <v>0.12</v>
      </c>
      <c r="J201" s="31">
        <f t="shared" si="6"/>
        <v>0.12571428571428572</v>
      </c>
      <c r="K201" s="32">
        <f t="shared" si="7"/>
        <v>4.7613843200000003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8.6690000000000005</v>
      </c>
      <c r="D202" s="64">
        <v>0.115</v>
      </c>
      <c r="E202" s="28">
        <v>0</v>
      </c>
      <c r="F202" s="28">
        <v>0</v>
      </c>
      <c r="G202" s="28">
        <v>0</v>
      </c>
      <c r="H202" s="28" t="s">
        <v>113</v>
      </c>
      <c r="I202" s="29">
        <f t="shared" si="5"/>
        <v>0.12</v>
      </c>
      <c r="J202" s="31">
        <f t="shared" si="6"/>
        <v>0.12571428571428572</v>
      </c>
      <c r="K202" s="32">
        <f t="shared" si="7"/>
        <v>0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8.6690000000000005</v>
      </c>
      <c r="D203" s="64">
        <v>0.115</v>
      </c>
      <c r="E203" s="28">
        <v>0.09</v>
      </c>
      <c r="F203" s="28">
        <v>0</v>
      </c>
      <c r="G203" s="28">
        <v>0</v>
      </c>
      <c r="H203" s="28" t="s">
        <v>113</v>
      </c>
      <c r="I203" s="29">
        <f t="shared" si="5"/>
        <v>0.12</v>
      </c>
      <c r="J203" s="31">
        <f t="shared" si="6"/>
        <v>0.12571428571428572</v>
      </c>
      <c r="K203" s="32">
        <f t="shared" si="7"/>
        <v>1.6170739199999999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8.6750000000000007</v>
      </c>
      <c r="D204" s="64">
        <v>0.115</v>
      </c>
      <c r="E204" s="28">
        <v>0</v>
      </c>
      <c r="F204" s="28">
        <v>0</v>
      </c>
      <c r="G204" s="28">
        <v>0</v>
      </c>
      <c r="H204" s="28" t="s">
        <v>113</v>
      </c>
      <c r="I204" s="29">
        <f t="shared" si="5"/>
        <v>0.12</v>
      </c>
      <c r="J204" s="31">
        <f t="shared" si="6"/>
        <v>0.12571428571428572</v>
      </c>
      <c r="K204" s="32">
        <f t="shared" si="7"/>
        <v>0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8.6750000000000007</v>
      </c>
      <c r="D205" s="64">
        <v>0.115</v>
      </c>
      <c r="E205" s="28">
        <v>2.7E-2</v>
      </c>
      <c r="F205" s="28">
        <v>0</v>
      </c>
      <c r="G205" s="28">
        <v>0</v>
      </c>
      <c r="H205" s="28" t="s">
        <v>113</v>
      </c>
      <c r="I205" s="29">
        <f t="shared" si="5"/>
        <v>0.12</v>
      </c>
      <c r="J205" s="31">
        <f t="shared" si="6"/>
        <v>0.12571428571428572</v>
      </c>
      <c r="K205" s="32">
        <f t="shared" si="7"/>
        <v>0.48512217600000002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8.6769999999999996</v>
      </c>
      <c r="D206" s="64">
        <v>0.115</v>
      </c>
      <c r="E206" s="28">
        <v>0</v>
      </c>
      <c r="F206" s="28">
        <v>0</v>
      </c>
      <c r="G206" s="28">
        <v>0</v>
      </c>
      <c r="H206" s="28" t="s">
        <v>113</v>
      </c>
      <c r="I206" s="29">
        <f t="shared" si="5"/>
        <v>0.12</v>
      </c>
      <c r="J206" s="31">
        <f t="shared" si="6"/>
        <v>0.12571428571428572</v>
      </c>
      <c r="K206" s="32">
        <f t="shared" si="7"/>
        <v>0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8.6780000000000008</v>
      </c>
      <c r="D207" s="64">
        <v>0.115</v>
      </c>
      <c r="E207" s="28">
        <v>5.0000000000000001E-3</v>
      </c>
      <c r="F207" s="28">
        <v>0</v>
      </c>
      <c r="G207" s="28">
        <v>0</v>
      </c>
      <c r="H207" s="28" t="s">
        <v>113</v>
      </c>
      <c r="I207" s="29">
        <f t="shared" si="5"/>
        <v>0.12</v>
      </c>
      <c r="J207" s="31">
        <f t="shared" si="6"/>
        <v>0.12571428571428572</v>
      </c>
      <c r="K207" s="32">
        <f t="shared" si="7"/>
        <v>8.9837439999999991E-2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8.68</v>
      </c>
      <c r="D208" s="64">
        <v>0.115</v>
      </c>
      <c r="E208" s="28">
        <v>0</v>
      </c>
      <c r="F208" s="28">
        <v>0</v>
      </c>
      <c r="G208" s="28">
        <v>0.32100000000000001</v>
      </c>
      <c r="H208" s="28" t="s">
        <v>113</v>
      </c>
      <c r="I208" s="29">
        <f t="shared" si="5"/>
        <v>0.12</v>
      </c>
      <c r="J208" s="31">
        <f t="shared" si="6"/>
        <v>0.12571428571428572</v>
      </c>
      <c r="K208" s="32">
        <f t="shared" si="7"/>
        <v>0</v>
      </c>
      <c r="L208" s="34">
        <f t="shared" si="8"/>
        <v>5.7675636480000003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8.7059999999999995</v>
      </c>
      <c r="D209" s="64">
        <v>0.115</v>
      </c>
      <c r="E209" s="28">
        <v>0</v>
      </c>
      <c r="F209" s="28">
        <v>0</v>
      </c>
      <c r="G209" s="28">
        <v>0</v>
      </c>
      <c r="H209" s="28" t="s">
        <v>113</v>
      </c>
      <c r="I209" s="29">
        <f t="shared" si="5"/>
        <v>0.12</v>
      </c>
      <c r="J209" s="31">
        <f t="shared" si="6"/>
        <v>0.12571428571428572</v>
      </c>
      <c r="K209" s="32">
        <f t="shared" si="7"/>
        <v>0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8.7289999999999992</v>
      </c>
      <c r="D210" s="64">
        <v>0.115</v>
      </c>
      <c r="E210" s="28">
        <v>0</v>
      </c>
      <c r="F210" s="28">
        <v>0</v>
      </c>
      <c r="G210" s="28">
        <v>0</v>
      </c>
      <c r="H210" s="28" t="s">
        <v>113</v>
      </c>
      <c r="I210" s="29">
        <f t="shared" si="5"/>
        <v>0.12</v>
      </c>
      <c r="J210" s="31">
        <f t="shared" si="6"/>
        <v>0.12571428571428572</v>
      </c>
      <c r="K210" s="32">
        <f t="shared" si="7"/>
        <v>0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8.7349999999999994</v>
      </c>
      <c r="D211" s="64">
        <v>0.114</v>
      </c>
      <c r="E211" s="28">
        <v>0.44700000000000001</v>
      </c>
      <c r="F211" s="28">
        <v>0</v>
      </c>
      <c r="G211" s="28">
        <v>0</v>
      </c>
      <c r="H211" s="28" t="s">
        <v>113</v>
      </c>
      <c r="I211" s="29">
        <f t="shared" si="5"/>
        <v>0.11</v>
      </c>
      <c r="J211" s="31">
        <f t="shared" si="6"/>
        <v>0.12000000000000001</v>
      </c>
      <c r="K211" s="32">
        <f t="shared" si="7"/>
        <v>7.666400448000001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8.7349999999999994</v>
      </c>
      <c r="D212" s="64">
        <v>0.114</v>
      </c>
      <c r="E212" s="28">
        <v>0.47</v>
      </c>
      <c r="F212" s="28">
        <v>0</v>
      </c>
      <c r="G212" s="28">
        <v>0</v>
      </c>
      <c r="H212" s="28" t="s">
        <v>113</v>
      </c>
      <c r="I212" s="29">
        <f t="shared" si="5"/>
        <v>0.11</v>
      </c>
      <c r="J212" s="31">
        <f t="shared" si="6"/>
        <v>0.12000000000000001</v>
      </c>
      <c r="K212" s="32">
        <f t="shared" si="7"/>
        <v>8.0608684799999999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9.31</v>
      </c>
      <c r="D213" s="64">
        <v>0.107</v>
      </c>
      <c r="E213" s="28">
        <v>0</v>
      </c>
      <c r="F213" s="28">
        <v>0</v>
      </c>
      <c r="G213" s="28">
        <v>1.2E-2</v>
      </c>
      <c r="H213" s="28" t="s">
        <v>113</v>
      </c>
      <c r="I213" s="29">
        <f t="shared" si="5"/>
        <v>0.11</v>
      </c>
      <c r="J213" s="31">
        <f t="shared" si="6"/>
        <v>0.12000000000000001</v>
      </c>
      <c r="K213" s="32">
        <f t="shared" si="7"/>
        <v>0</v>
      </c>
      <c r="L213" s="34">
        <f t="shared" si="8"/>
        <v>0.205809408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9.5809999999999995</v>
      </c>
      <c r="D214" s="64">
        <v>0.104</v>
      </c>
      <c r="E214" s="28">
        <v>4.0000000000000001E-3</v>
      </c>
      <c r="F214" s="28">
        <v>0</v>
      </c>
      <c r="G214" s="28">
        <v>3.0000000000000001E-3</v>
      </c>
      <c r="H214" s="28" t="s">
        <v>113</v>
      </c>
      <c r="I214" s="29">
        <f t="shared" si="5"/>
        <v>0.1</v>
      </c>
      <c r="J214" s="31">
        <f t="shared" si="6"/>
        <v>0.1142857142857143</v>
      </c>
      <c r="K214" s="32">
        <f t="shared" si="7"/>
        <v>6.5336320000000003E-2</v>
      </c>
      <c r="L214" s="34">
        <f t="shared" si="8"/>
        <v>4.9002240000000002E-2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10.509</v>
      </c>
      <c r="D215" s="64">
        <v>9.5000000000000001E-2</v>
      </c>
      <c r="E215" s="28">
        <v>1E-3</v>
      </c>
      <c r="F215" s="28">
        <v>0</v>
      </c>
      <c r="G215" s="28">
        <v>4.0000000000000001E-3</v>
      </c>
      <c r="H215" s="28" t="s">
        <v>113</v>
      </c>
      <c r="I215" s="29">
        <f t="shared" si="5"/>
        <v>0.1</v>
      </c>
      <c r="J215" s="31">
        <f t="shared" si="6"/>
        <v>0.1142857142857143</v>
      </c>
      <c r="K215" s="32">
        <f t="shared" si="7"/>
        <v>1.6334080000000001E-2</v>
      </c>
      <c r="L215" s="34">
        <f t="shared" si="8"/>
        <v>6.5336320000000003E-2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11.143000000000001</v>
      </c>
      <c r="D216" s="64">
        <v>0.09</v>
      </c>
      <c r="E216" s="28">
        <v>2E-3</v>
      </c>
      <c r="F216" s="28">
        <v>0</v>
      </c>
      <c r="G216" s="28">
        <v>0</v>
      </c>
      <c r="H216" s="28" t="s">
        <v>113</v>
      </c>
      <c r="I216" s="29">
        <f t="shared" si="5"/>
        <v>0.09</v>
      </c>
      <c r="J216" s="31">
        <f t="shared" si="6"/>
        <v>0.10857142857142858</v>
      </c>
      <c r="K216" s="32">
        <f t="shared" si="7"/>
        <v>3.1034752000000006E-2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11.472</v>
      </c>
      <c r="D217" s="64">
        <v>8.6999999999999994E-2</v>
      </c>
      <c r="E217" s="28">
        <v>0</v>
      </c>
      <c r="F217" s="28">
        <v>0</v>
      </c>
      <c r="G217" s="28">
        <v>2.9660000000000002</v>
      </c>
      <c r="H217" s="28" t="s">
        <v>113</v>
      </c>
      <c r="I217" s="29">
        <f t="shared" si="5"/>
        <v>0.09</v>
      </c>
      <c r="J217" s="31">
        <f t="shared" si="6"/>
        <v>0.10857142857142858</v>
      </c>
      <c r="K217" s="32">
        <f t="shared" si="7"/>
        <v>0</v>
      </c>
      <c r="L217" s="34">
        <f t="shared" si="8"/>
        <v>46.024537216000006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11.625</v>
      </c>
      <c r="D218" s="64">
        <v>8.5999999999999993E-2</v>
      </c>
      <c r="E218" s="28">
        <v>0</v>
      </c>
      <c r="F218" s="28">
        <v>0</v>
      </c>
      <c r="G218" s="28">
        <v>1.022</v>
      </c>
      <c r="H218" s="28" t="s">
        <v>113</v>
      </c>
      <c r="I218" s="29">
        <f t="shared" si="5"/>
        <v>0.09</v>
      </c>
      <c r="J218" s="31">
        <f t="shared" si="6"/>
        <v>0.10857142857142858</v>
      </c>
      <c r="K218" s="32">
        <f t="shared" si="7"/>
        <v>0</v>
      </c>
      <c r="L218" s="34">
        <f t="shared" si="8"/>
        <v>15.858758272000003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12.000999999999999</v>
      </c>
      <c r="D219" s="64">
        <v>8.3000000000000004E-2</v>
      </c>
      <c r="E219" s="28">
        <v>4.3999999999999997E-2</v>
      </c>
      <c r="F219" s="28">
        <v>0</v>
      </c>
      <c r="G219" s="28">
        <v>0</v>
      </c>
      <c r="H219" s="28" t="s">
        <v>113</v>
      </c>
      <c r="I219" s="29">
        <f t="shared" si="5"/>
        <v>0.08</v>
      </c>
      <c r="J219" s="31">
        <f t="shared" si="6"/>
        <v>0.10285714285714287</v>
      </c>
      <c r="K219" s="32">
        <f t="shared" si="7"/>
        <v>0.64682956800000002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 x14ac:dyDescent="0.3">
      <c r="B220" s="33">
        <v>44</v>
      </c>
      <c r="C220" s="28">
        <v>12.205</v>
      </c>
      <c r="D220" s="64">
        <v>8.2000000000000003E-2</v>
      </c>
      <c r="E220" s="28">
        <v>0</v>
      </c>
      <c r="F220" s="28">
        <v>0</v>
      </c>
      <c r="G220" s="28">
        <v>0</v>
      </c>
      <c r="H220" s="28" t="s">
        <v>113</v>
      </c>
      <c r="I220" s="29">
        <f t="shared" si="5"/>
        <v>0.08</v>
      </c>
      <c r="J220" s="31">
        <f t="shared" si="6"/>
        <v>0.10285714285714287</v>
      </c>
      <c r="K220" s="32">
        <f t="shared" si="7"/>
        <v>0</v>
      </c>
      <c r="L220" s="34">
        <f t="shared" si="8"/>
        <v>0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.6" customHeight="1" x14ac:dyDescent="0.3">
      <c r="B221" s="33">
        <v>45</v>
      </c>
      <c r="C221" s="28">
        <v>12.526999999999999</v>
      </c>
      <c r="D221" s="64">
        <v>0.08</v>
      </c>
      <c r="E221" s="28">
        <v>0.58099999999999996</v>
      </c>
      <c r="F221" s="28">
        <v>0</v>
      </c>
      <c r="G221" s="28">
        <v>0</v>
      </c>
      <c r="H221" s="28" t="s">
        <v>113</v>
      </c>
      <c r="I221" s="29">
        <f t="shared" si="5"/>
        <v>0.08</v>
      </c>
      <c r="J221" s="31">
        <f t="shared" si="6"/>
        <v>0.10285714285714287</v>
      </c>
      <c r="K221" s="32">
        <f t="shared" si="7"/>
        <v>8.5410904320000007</v>
      </c>
      <c r="L221" s="34">
        <f t="shared" si="8"/>
        <v>0</v>
      </c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ht="15.6" customHeight="1" x14ac:dyDescent="0.3">
      <c r="B222" s="33"/>
      <c r="C222" s="28"/>
      <c r="D222" s="64"/>
      <c r="E222" s="28"/>
      <c r="F222" s="28"/>
      <c r="G222" s="28"/>
      <c r="H222" s="28"/>
      <c r="I222" s="29"/>
      <c r="J222" s="31"/>
      <c r="K222" s="32"/>
      <c r="L222" s="34"/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ht="19.5" customHeight="1" x14ac:dyDescent="0.3">
      <c r="B223" s="114" t="s">
        <v>130</v>
      </c>
      <c r="C223" s="115"/>
      <c r="D223" s="115"/>
      <c r="E223" s="116">
        <f>SUM(E177:E222)</f>
        <v>92.626000000000019</v>
      </c>
      <c r="F223" s="116">
        <f t="shared" ref="F223" si="9">SUM(F177:F222)</f>
        <v>0</v>
      </c>
      <c r="G223" s="116">
        <f>SUM(G177:G222)</f>
        <v>92.516000000000005</v>
      </c>
      <c r="H223" s="140" t="s">
        <v>131</v>
      </c>
      <c r="I223" s="141"/>
      <c r="J223" s="142"/>
      <c r="K223" s="117">
        <f>SQRT(SUMSQ(K177:K222))</f>
        <v>1866.5234753655395</v>
      </c>
      <c r="L223" s="117">
        <f>SQRT(SUMSQ(L177:L222))</f>
        <v>1396.6088588368063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8:27" x14ac:dyDescent="0.3">
      <c r="H225" s="12" t="s">
        <v>132</v>
      </c>
      <c r="J225" s="12" t="s">
        <v>133</v>
      </c>
      <c r="K225" s="30">
        <f>E165</f>
        <v>14292.32</v>
      </c>
      <c r="L225" t="s">
        <v>134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8:27" x14ac:dyDescent="0.3">
      <c r="H226" s="12" t="s">
        <v>135</v>
      </c>
      <c r="J226" s="12" t="s">
        <v>136</v>
      </c>
      <c r="K226" s="30">
        <f>E166</f>
        <v>14292.32</v>
      </c>
      <c r="L226" t="s">
        <v>134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8:27" x14ac:dyDescent="0.3"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8:27" x14ac:dyDescent="0.3">
      <c r="H228" s="12" t="s">
        <v>137</v>
      </c>
      <c r="J228" s="12" t="s">
        <v>138</v>
      </c>
      <c r="K228" s="30">
        <f>K225*VLOOKUP(MAX(E177:E222),E177:J222,6,0)</f>
        <v>2190.0189452381646</v>
      </c>
      <c r="L228" s="30">
        <f>K225*VLOOKUP(MAX(G177:G222),G177:J222,4,0)</f>
        <v>2123.4304000000002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8:27" x14ac:dyDescent="0.3">
      <c r="J229" s="12" t="s">
        <v>139</v>
      </c>
      <c r="K229" s="30">
        <f>0.9*K228</f>
        <v>1971.0170507143482</v>
      </c>
      <c r="L229" s="30">
        <f>0.9*L228</f>
        <v>1911.0873600000002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8:27" x14ac:dyDescent="0.3">
      <c r="J230" s="12"/>
      <c r="K230" s="53"/>
      <c r="L230" s="53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8:27" x14ac:dyDescent="0.3">
      <c r="H231" s="12" t="s">
        <v>140</v>
      </c>
      <c r="J231" s="12" t="s">
        <v>141</v>
      </c>
      <c r="K231" s="30">
        <f>K225*G168</f>
        <v>2450.1120000000005</v>
      </c>
      <c r="L231" s="30">
        <f>K225*G168</f>
        <v>2450.1120000000005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8:27" x14ac:dyDescent="0.3">
      <c r="J232" s="12" t="s">
        <v>142</v>
      </c>
      <c r="K232" s="30">
        <f>0.8*K231</f>
        <v>1960.0896000000005</v>
      </c>
      <c r="L232" s="30">
        <f>0.8*L231</f>
        <v>1960.0896000000005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8:27" x14ac:dyDescent="0.3">
      <c r="J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8:27" x14ac:dyDescent="0.3"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8:27" x14ac:dyDescent="0.3">
      <c r="H235" s="12" t="s">
        <v>143</v>
      </c>
      <c r="J235" s="12" t="s">
        <v>144</v>
      </c>
      <c r="K235" s="44">
        <f>MAX(K232,K229)</f>
        <v>1971.0170507143482</v>
      </c>
      <c r="L235" s="44">
        <f>MAX(L232,L229)</f>
        <v>1960.0896000000005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8:27" x14ac:dyDescent="0.3">
      <c r="H236" s="12"/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8:27" x14ac:dyDescent="0.3">
      <c r="K237" s="134" t="s">
        <v>145</v>
      </c>
      <c r="L237" s="135"/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8:27" x14ac:dyDescent="0.3">
      <c r="K238" s="23" t="s">
        <v>146</v>
      </c>
      <c r="L238" s="23" t="s">
        <v>147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8:27" x14ac:dyDescent="0.3">
      <c r="J239" s="12" t="s">
        <v>148</v>
      </c>
      <c r="K239" s="47">
        <f>K235/1000</f>
        <v>1.9710170507143483</v>
      </c>
      <c r="L239" s="47">
        <f>L235/1000</f>
        <v>1.9600896000000005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8:27" x14ac:dyDescent="0.3">
      <c r="J240" s="12" t="s">
        <v>149</v>
      </c>
      <c r="K240" s="47">
        <f>K223/1000</f>
        <v>1.8665234753655395</v>
      </c>
      <c r="L240" s="47">
        <f>L223/1000</f>
        <v>1.3966088588368064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2" t="s">
        <v>150</v>
      </c>
      <c r="K241" s="68" t="str">
        <f>IF(K223&gt;=K235,"Se Cumple","No se Cumple")</f>
        <v>No se Cumple</v>
      </c>
      <c r="L241" s="68" t="str">
        <f>IF(L223&gt;=K235,"Se Cumple","No se Cumple")</f>
        <v>No se Cumple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J242" s="17" t="s">
        <v>151</v>
      </c>
      <c r="K242" s="86">
        <f>MAX(K239/K240,1)</f>
        <v>1.0559829955143452</v>
      </c>
      <c r="L242" s="86">
        <f>MAX(L239/L240,1)</f>
        <v>1.4034635306785181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J244" s="17" t="s">
        <v>152</v>
      </c>
      <c r="K244" s="86">
        <f>IF(K229/K223&lt;1,"N/A",K229/K223)</f>
        <v>1.0559829955143449</v>
      </c>
      <c r="L244" s="86">
        <f>IF(L229/L223&lt;1,"N/A",L229/L223)</f>
        <v>1.3683769424115551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K246" s="53">
        <f>K228/K223</f>
        <v>1.1733144394603834</v>
      </c>
      <c r="L246" s="53">
        <f>L228/L223</f>
        <v>1.5204188249017279</v>
      </c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B249" s="3" t="s">
        <v>153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t="s">
        <v>154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46</v>
      </c>
      <c r="C253" s="40">
        <f>P33</f>
        <v>0.4</v>
      </c>
      <c r="H253" t="s">
        <v>99</v>
      </c>
      <c r="I253" t="s">
        <v>155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156</v>
      </c>
      <c r="C254" s="40">
        <f>P55</f>
        <v>3</v>
      </c>
      <c r="H254" t="s">
        <v>108</v>
      </c>
      <c r="I254" t="s">
        <v>110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157</v>
      </c>
      <c r="C255" s="40">
        <f>P57</f>
        <v>0.6</v>
      </c>
      <c r="H255">
        <v>0.01</v>
      </c>
      <c r="I255" s="53">
        <v>6.2857142857142861E-2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B256" s="12" t="s">
        <v>158</v>
      </c>
      <c r="C256" s="40">
        <f>Q85</f>
        <v>1</v>
      </c>
      <c r="H256">
        <v>0.02</v>
      </c>
      <c r="I256" s="53">
        <f>IF(H256&lt;$C$255/3,   ($C$256*$C$253/$C$257)*(1+(3*($C$254-1)*H256/$C$255)),   IF(H256&lt;=$C$255,   $C$256*$C$253*$C$254/$C$257,   $C$256*$C$253*$C$254/$C$257*($C$255/H256)^(2/3)   ))</f>
        <v>6.8571428571428575E-2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B257" s="12" t="s">
        <v>58</v>
      </c>
      <c r="C257" s="40">
        <f>P99</f>
        <v>7</v>
      </c>
      <c r="H257">
        <v>0.03</v>
      </c>
      <c r="I257" s="53">
        <f t="shared" ref="I257:I319" si="10">IF(H257&lt;$C$255/3,   ($C$256*$C$253/$C$257)*(1+(3*($C$254-1)*H257/$C$255)),   IF(H257&lt;=$C$255,   $C$256*$C$253*$C$254/$C$257,   $C$256*$C$253*$C$254/$C$257*($C$255/H257)^(2/3)   ))</f>
        <v>7.4285714285714288E-2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B258" s="12" t="s">
        <v>159</v>
      </c>
      <c r="C258" s="40">
        <f>P97</f>
        <v>6</v>
      </c>
      <c r="H258">
        <v>0.04</v>
      </c>
      <c r="I258" s="53">
        <f t="shared" si="10"/>
        <v>0.08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0.05</v>
      </c>
      <c r="I259" s="53">
        <f>IF(H259&lt;$C$255/3,   ($C$256*$C$253/$C$257)*(1+(3*($C$254-1)*H259/$C$255)),   IF(H259&lt;=$C$255,   $C$256*$C$253*$C$254/$C$257,   $C$256*$C$253*$C$254/$C$257*($C$255/H259)^(2/3)   ))</f>
        <v>8.5714285714285715E-2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0.06</v>
      </c>
      <c r="I260" s="53">
        <f t="shared" si="10"/>
        <v>9.1428571428571442E-2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7.0000000000000007E-2</v>
      </c>
      <c r="I261" s="53">
        <f t="shared" si="10"/>
        <v>9.7142857142857156E-2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0.08</v>
      </c>
      <c r="I262" s="53">
        <f t="shared" si="10"/>
        <v>0.10285714285714287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0.09</v>
      </c>
      <c r="I263" s="53">
        <f t="shared" si="10"/>
        <v>0.10857142857142858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</v>
      </c>
      <c r="I264" s="53">
        <f t="shared" si="10"/>
        <v>0.1142857142857143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0.11</v>
      </c>
      <c r="I265" s="53">
        <f t="shared" si="10"/>
        <v>0.12000000000000001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 x14ac:dyDescent="0.3">
      <c r="H266">
        <v>0.12</v>
      </c>
      <c r="I266" s="53">
        <f t="shared" si="10"/>
        <v>0.12571428571428572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2:27" x14ac:dyDescent="0.3">
      <c r="H267">
        <v>0.13</v>
      </c>
      <c r="I267" s="53">
        <f t="shared" si="10"/>
        <v>0.13142857142857142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2:27" x14ac:dyDescent="0.3">
      <c r="H268">
        <v>0.14000000000000001</v>
      </c>
      <c r="I268" s="53">
        <f t="shared" si="10"/>
        <v>0.13714285714285718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2:27" x14ac:dyDescent="0.3">
      <c r="H269">
        <v>0.15</v>
      </c>
      <c r="I269" s="53">
        <f t="shared" si="10"/>
        <v>0.14285714285714288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2:27" x14ac:dyDescent="0.3">
      <c r="H270">
        <v>0.16</v>
      </c>
      <c r="I270" s="53">
        <f t="shared" si="10"/>
        <v>0.14857142857142858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2:27" x14ac:dyDescent="0.3">
      <c r="H271">
        <v>0.17</v>
      </c>
      <c r="I271" s="53">
        <f t="shared" si="10"/>
        <v>0.1542857142857143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2:27" x14ac:dyDescent="0.3">
      <c r="H272">
        <v>0.18</v>
      </c>
      <c r="I272" s="53">
        <f t="shared" si="10"/>
        <v>0.16000000000000003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0.19</v>
      </c>
      <c r="I273" s="53">
        <f t="shared" si="10"/>
        <v>0.16571428571428576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0.21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0.22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0.23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0.24</v>
      </c>
      <c r="I278" s="53">
        <f t="shared" si="10"/>
        <v>0.17142857142857146</v>
      </c>
      <c r="K278">
        <v>0.5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0.25</v>
      </c>
      <c r="I279" s="53">
        <f t="shared" si="10"/>
        <v>0.17142857142857146</v>
      </c>
      <c r="K279">
        <v>0.5</v>
      </c>
      <c r="L279">
        <v>0.33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0.26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0.27</v>
      </c>
      <c r="I281" s="53">
        <f t="shared" si="10"/>
        <v>0.17142857142857146</v>
      </c>
      <c r="K281">
        <v>0.71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0.28000000000000003</v>
      </c>
      <c r="I282" s="53">
        <f t="shared" si="10"/>
        <v>0.17142857142857146</v>
      </c>
      <c r="K282">
        <v>0.71</v>
      </c>
      <c r="L282">
        <v>0.26</v>
      </c>
    </row>
    <row r="283" spans="8:27" x14ac:dyDescent="0.3">
      <c r="H283">
        <v>0.28999999999999998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0.3</v>
      </c>
      <c r="I284" s="53">
        <f t="shared" si="10"/>
        <v>0.17142857142857146</v>
      </c>
      <c r="K284">
        <v>0.94</v>
      </c>
      <c r="L284">
        <v>0</v>
      </c>
    </row>
    <row r="285" spans="8:27" x14ac:dyDescent="0.3">
      <c r="H285">
        <v>0.31</v>
      </c>
      <c r="I285" s="53">
        <f t="shared" si="10"/>
        <v>0.17142857142857146</v>
      </c>
      <c r="K285">
        <v>0.94</v>
      </c>
      <c r="L285">
        <v>0.217</v>
      </c>
    </row>
    <row r="286" spans="8:27" x14ac:dyDescent="0.3">
      <c r="H286">
        <v>0.32</v>
      </c>
      <c r="I286" s="53">
        <f t="shared" si="10"/>
        <v>0.17142857142857146</v>
      </c>
    </row>
    <row r="287" spans="8:27" x14ac:dyDescent="0.3">
      <c r="H287">
        <v>0.33</v>
      </c>
      <c r="I287" s="53">
        <f t="shared" si="10"/>
        <v>0.17142857142857146</v>
      </c>
    </row>
    <row r="288" spans="8:27" x14ac:dyDescent="0.3">
      <c r="H288">
        <v>0.34</v>
      </c>
      <c r="I288" s="53">
        <f t="shared" si="10"/>
        <v>0.17142857142857146</v>
      </c>
    </row>
    <row r="289" spans="8:9" x14ac:dyDescent="0.3">
      <c r="H289">
        <v>0.35</v>
      </c>
      <c r="I289" s="53">
        <f t="shared" si="10"/>
        <v>0.17142857142857146</v>
      </c>
    </row>
    <row r="290" spans="8:9" x14ac:dyDescent="0.3">
      <c r="H290">
        <v>0.36</v>
      </c>
      <c r="I290" s="53">
        <f t="shared" si="10"/>
        <v>0.17142857142857146</v>
      </c>
    </row>
    <row r="291" spans="8:9" x14ac:dyDescent="0.3">
      <c r="H291">
        <v>0.37</v>
      </c>
      <c r="I291" s="53">
        <f t="shared" si="10"/>
        <v>0.17142857142857146</v>
      </c>
    </row>
    <row r="292" spans="8:9" x14ac:dyDescent="0.3">
      <c r="H292">
        <v>0.38</v>
      </c>
      <c r="I292" s="53">
        <f t="shared" si="10"/>
        <v>0.17142857142857146</v>
      </c>
    </row>
    <row r="293" spans="8:9" x14ac:dyDescent="0.3">
      <c r="H293">
        <v>0.39</v>
      </c>
      <c r="I293" s="53">
        <f t="shared" si="10"/>
        <v>0.17142857142857146</v>
      </c>
    </row>
    <row r="294" spans="8:9" x14ac:dyDescent="0.3">
      <c r="H294">
        <v>0.4</v>
      </c>
      <c r="I294" s="53">
        <f t="shared" si="10"/>
        <v>0.17142857142857146</v>
      </c>
    </row>
    <row r="295" spans="8:9" x14ac:dyDescent="0.3">
      <c r="H295">
        <v>0.41</v>
      </c>
      <c r="I295" s="53">
        <f t="shared" si="10"/>
        <v>0.17142857142857146</v>
      </c>
    </row>
    <row r="296" spans="8:9" x14ac:dyDescent="0.3">
      <c r="H296">
        <v>0.42</v>
      </c>
      <c r="I296" s="53">
        <f t="shared" si="10"/>
        <v>0.17142857142857146</v>
      </c>
    </row>
    <row r="297" spans="8:9" x14ac:dyDescent="0.3">
      <c r="H297">
        <v>0.43</v>
      </c>
      <c r="I297" s="53">
        <f t="shared" si="10"/>
        <v>0.17142857142857146</v>
      </c>
    </row>
    <row r="298" spans="8:9" x14ac:dyDescent="0.3">
      <c r="H298">
        <v>0.44</v>
      </c>
      <c r="I298" s="53">
        <f t="shared" si="10"/>
        <v>0.17142857142857146</v>
      </c>
    </row>
    <row r="299" spans="8:9" x14ac:dyDescent="0.3">
      <c r="H299">
        <v>0.45</v>
      </c>
      <c r="I299" s="53">
        <f t="shared" si="10"/>
        <v>0.17142857142857146</v>
      </c>
    </row>
    <row r="300" spans="8:9" x14ac:dyDescent="0.3">
      <c r="H300">
        <v>0.46</v>
      </c>
      <c r="I300" s="53">
        <f t="shared" si="10"/>
        <v>0.17142857142857146</v>
      </c>
    </row>
    <row r="301" spans="8:9" x14ac:dyDescent="0.3">
      <c r="H301">
        <v>0.47</v>
      </c>
      <c r="I301" s="53">
        <f t="shared" si="10"/>
        <v>0.17142857142857146</v>
      </c>
    </row>
    <row r="302" spans="8:9" x14ac:dyDescent="0.3">
      <c r="H302">
        <v>0.48</v>
      </c>
      <c r="I302" s="53">
        <f t="shared" si="10"/>
        <v>0.17142857142857146</v>
      </c>
    </row>
    <row r="303" spans="8:9" x14ac:dyDescent="0.3">
      <c r="H303">
        <v>0.49</v>
      </c>
      <c r="I303" s="53">
        <f t="shared" si="10"/>
        <v>0.17142857142857146</v>
      </c>
    </row>
    <row r="304" spans="8:9" x14ac:dyDescent="0.3">
      <c r="H304">
        <v>0.5</v>
      </c>
      <c r="I304" s="53">
        <f t="shared" si="10"/>
        <v>0.17142857142857146</v>
      </c>
    </row>
    <row r="305" spans="8:9" x14ac:dyDescent="0.3">
      <c r="H305">
        <v>0.51</v>
      </c>
      <c r="I305" s="53">
        <f t="shared" si="10"/>
        <v>0.17142857142857146</v>
      </c>
    </row>
    <row r="306" spans="8:9" x14ac:dyDescent="0.3">
      <c r="H306">
        <v>0.52</v>
      </c>
      <c r="I306" s="53">
        <f t="shared" si="10"/>
        <v>0.17142857142857146</v>
      </c>
    </row>
    <row r="307" spans="8:9" x14ac:dyDescent="0.3">
      <c r="H307">
        <v>0.53</v>
      </c>
      <c r="I307" s="53">
        <f t="shared" si="10"/>
        <v>0.17142857142857146</v>
      </c>
    </row>
    <row r="308" spans="8:9" x14ac:dyDescent="0.3">
      <c r="H308">
        <v>0.54</v>
      </c>
      <c r="I308" s="53">
        <f t="shared" si="10"/>
        <v>0.17142857142857146</v>
      </c>
    </row>
    <row r="309" spans="8:9" x14ac:dyDescent="0.3">
      <c r="H309">
        <v>0.55000000000000004</v>
      </c>
      <c r="I309" s="53">
        <f t="shared" si="10"/>
        <v>0.17142857142857146</v>
      </c>
    </row>
    <row r="310" spans="8:9" x14ac:dyDescent="0.3">
      <c r="H310">
        <v>0.56000000000000005</v>
      </c>
      <c r="I310" s="53">
        <f t="shared" si="10"/>
        <v>0.17142857142857146</v>
      </c>
    </row>
    <row r="311" spans="8:9" x14ac:dyDescent="0.3">
      <c r="H311">
        <v>0.56999999999999995</v>
      </c>
      <c r="I311" s="53">
        <f t="shared" si="10"/>
        <v>0.17142857142857146</v>
      </c>
    </row>
    <row r="312" spans="8:9" x14ac:dyDescent="0.3">
      <c r="H312">
        <v>0.57999999999999996</v>
      </c>
      <c r="I312" s="53">
        <f t="shared" si="10"/>
        <v>0.17142857142857146</v>
      </c>
    </row>
    <row r="313" spans="8:9" x14ac:dyDescent="0.3">
      <c r="H313">
        <v>0.59</v>
      </c>
      <c r="I313" s="53">
        <f t="shared" si="10"/>
        <v>0.17142857142857146</v>
      </c>
    </row>
    <row r="314" spans="8:9" x14ac:dyDescent="0.3">
      <c r="H314">
        <v>0.6</v>
      </c>
      <c r="I314" s="53">
        <f t="shared" si="10"/>
        <v>0.17142857142857146</v>
      </c>
    </row>
    <row r="315" spans="8:9" x14ac:dyDescent="0.3">
      <c r="H315">
        <v>0.61</v>
      </c>
      <c r="I315" s="53">
        <f t="shared" si="10"/>
        <v>0.16954987852001016</v>
      </c>
    </row>
    <row r="316" spans="8:9" x14ac:dyDescent="0.3">
      <c r="H316">
        <v>0.62</v>
      </c>
      <c r="I316" s="53">
        <f t="shared" si="10"/>
        <v>0.1677218252289068</v>
      </c>
    </row>
    <row r="317" spans="8:9" x14ac:dyDescent="0.3">
      <c r="H317">
        <v>0.63</v>
      </c>
      <c r="I317" s="53">
        <f t="shared" si="10"/>
        <v>0.16594226233711895</v>
      </c>
    </row>
    <row r="318" spans="8:9" x14ac:dyDescent="0.3">
      <c r="H318">
        <v>0.64</v>
      </c>
      <c r="I318" s="53">
        <f t="shared" si="10"/>
        <v>0.16420916408433284</v>
      </c>
    </row>
    <row r="319" spans="8:9" x14ac:dyDescent="0.3">
      <c r="H319">
        <v>0.65</v>
      </c>
      <c r="I319" s="53">
        <f t="shared" si="10"/>
        <v>0.16252061928129335</v>
      </c>
    </row>
    <row r="320" spans="8:9" x14ac:dyDescent="0.3">
      <c r="H320">
        <v>0.66</v>
      </c>
      <c r="I320" s="53">
        <f t="shared" ref="I320:I383" si="11">IF(H320&lt;$C$255/3,   ($C$256*$C$253/$C$257)*(1+(3*($C$254-1)*H320/$C$255)),   IF(H320&lt;=$C$255,   $C$256*$C$253*$C$254/$C$257,   $C$256*$C$253*$C$254/$C$257*($C$255/H320)^(2/3)   ))</f>
        <v>0.16087482318800531</v>
      </c>
    </row>
    <row r="321" spans="8:9" x14ac:dyDescent="0.3">
      <c r="H321">
        <v>0.67</v>
      </c>
      <c r="I321" s="53">
        <f t="shared" si="11"/>
        <v>0.15927007008059582</v>
      </c>
    </row>
    <row r="322" spans="8:9" x14ac:dyDescent="0.3">
      <c r="H322">
        <v>0.68</v>
      </c>
      <c r="I322" s="53">
        <f t="shared" si="11"/>
        <v>0.15770474643915294</v>
      </c>
    </row>
    <row r="323" spans="8:9" x14ac:dyDescent="0.3">
      <c r="H323">
        <v>0.69</v>
      </c>
      <c r="I323" s="53">
        <f t="shared" si="11"/>
        <v>0.15617732469639467</v>
      </c>
    </row>
    <row r="324" spans="8:9" x14ac:dyDescent="0.3">
      <c r="H324">
        <v>0.7</v>
      </c>
      <c r="I324" s="53">
        <f t="shared" si="11"/>
        <v>0.15468635749362564</v>
      </c>
    </row>
    <row r="325" spans="8:9" x14ac:dyDescent="0.3">
      <c r="H325">
        <v>0.71</v>
      </c>
      <c r="I325" s="53">
        <f t="shared" si="11"/>
        <v>0.15323047239623552</v>
      </c>
    </row>
    <row r="326" spans="8:9" x14ac:dyDescent="0.3">
      <c r="H326">
        <v>0.72</v>
      </c>
      <c r="I326" s="53">
        <f t="shared" si="11"/>
        <v>0.15180836702608733</v>
      </c>
    </row>
    <row r="327" spans="8:9" x14ac:dyDescent="0.3">
      <c r="H327">
        <v>0.73</v>
      </c>
      <c r="I327" s="53">
        <f t="shared" si="11"/>
        <v>0.15041880457263548</v>
      </c>
    </row>
    <row r="328" spans="8:9" x14ac:dyDescent="0.3">
      <c r="H328">
        <v>0.74</v>
      </c>
      <c r="I328" s="53">
        <f t="shared" si="11"/>
        <v>0.14906060964857532</v>
      </c>
    </row>
    <row r="329" spans="8:9" x14ac:dyDescent="0.3">
      <c r="H329">
        <v>0.75</v>
      </c>
      <c r="I329" s="53">
        <f t="shared" si="11"/>
        <v>0.1477326644593292</v>
      </c>
    </row>
    <row r="330" spans="8:9" x14ac:dyDescent="0.3">
      <c r="H330">
        <v>0.76</v>
      </c>
      <c r="I330" s="53">
        <f t="shared" si="11"/>
        <v>0.14643390525877864</v>
      </c>
    </row>
    <row r="331" spans="8:9" x14ac:dyDescent="0.3">
      <c r="H331">
        <v>0.77</v>
      </c>
      <c r="I331" s="53">
        <f t="shared" si="11"/>
        <v>0.14516331906640431</v>
      </c>
    </row>
    <row r="332" spans="8:9" x14ac:dyDescent="0.3">
      <c r="H332">
        <v>0.78</v>
      </c>
      <c r="I332" s="53">
        <f t="shared" si="11"/>
        <v>0.14391994062344254</v>
      </c>
    </row>
    <row r="333" spans="8:9" x14ac:dyDescent="0.3">
      <c r="H333">
        <v>0.79</v>
      </c>
      <c r="I333" s="53">
        <f t="shared" si="11"/>
        <v>0.1427028495678451</v>
      </c>
    </row>
    <row r="334" spans="8:9" x14ac:dyDescent="0.3">
      <c r="H334">
        <v>0.8</v>
      </c>
      <c r="I334" s="53">
        <f t="shared" si="11"/>
        <v>0.14151116780976972</v>
      </c>
    </row>
    <row r="335" spans="8:9" x14ac:dyDescent="0.3">
      <c r="H335">
        <v>0.81</v>
      </c>
      <c r="I335" s="53">
        <f t="shared" si="11"/>
        <v>0.14034405709106237</v>
      </c>
    </row>
    <row r="336" spans="8:9" x14ac:dyDescent="0.3">
      <c r="H336">
        <v>0.82</v>
      </c>
      <c r="I336" s="53">
        <f t="shared" si="11"/>
        <v>0.13920071671374129</v>
      </c>
    </row>
    <row r="337" spans="8:9" x14ac:dyDescent="0.3">
      <c r="H337">
        <v>0.83</v>
      </c>
      <c r="I337" s="53">
        <f t="shared" si="11"/>
        <v>0.13808038142388113</v>
      </c>
    </row>
    <row r="338" spans="8:9" x14ac:dyDescent="0.3">
      <c r="H338">
        <v>0.84</v>
      </c>
      <c r="I338" s="53">
        <f t="shared" si="11"/>
        <v>0.13698231943853842</v>
      </c>
    </row>
    <row r="339" spans="8:9" x14ac:dyDescent="0.3">
      <c r="H339">
        <v>0.85</v>
      </c>
      <c r="I339" s="53">
        <f t="shared" si="11"/>
        <v>0.13590583060447733</v>
      </c>
    </row>
    <row r="340" spans="8:9" x14ac:dyDescent="0.3">
      <c r="H340">
        <v>0.86</v>
      </c>
      <c r="I340" s="53">
        <f t="shared" si="11"/>
        <v>0.13485024467845858</v>
      </c>
    </row>
    <row r="341" spans="8:9" x14ac:dyDescent="0.3">
      <c r="H341">
        <v>0.87</v>
      </c>
      <c r="I341" s="53">
        <f t="shared" si="11"/>
        <v>0.13381491971975773</v>
      </c>
    </row>
    <row r="342" spans="8:9" x14ac:dyDescent="0.3">
      <c r="H342">
        <v>0.88</v>
      </c>
      <c r="I342" s="53">
        <f t="shared" si="11"/>
        <v>0.13279924058639495</v>
      </c>
    </row>
    <row r="343" spans="8:9" x14ac:dyDescent="0.3">
      <c r="H343">
        <v>0.89</v>
      </c>
      <c r="I343" s="53">
        <f t="shared" si="11"/>
        <v>0.131802617527292</v>
      </c>
    </row>
    <row r="344" spans="8:9" x14ac:dyDescent="0.3">
      <c r="H344">
        <v>0.9</v>
      </c>
      <c r="I344" s="53">
        <f t="shared" si="11"/>
        <v>0.13082448486323794</v>
      </c>
    </row>
    <row r="345" spans="8:9" x14ac:dyDescent="0.3">
      <c r="H345">
        <v>0.91</v>
      </c>
      <c r="I345" s="53">
        <f t="shared" si="11"/>
        <v>0.12986429975014538</v>
      </c>
    </row>
    <row r="346" spans="8:9" x14ac:dyDescent="0.3">
      <c r="H346">
        <v>0.92</v>
      </c>
      <c r="I346" s="53">
        <f t="shared" si="11"/>
        <v>0.1289215410186223</v>
      </c>
    </row>
    <row r="347" spans="8:9" x14ac:dyDescent="0.3">
      <c r="H347">
        <v>0.93</v>
      </c>
      <c r="I347" s="53">
        <f t="shared" si="11"/>
        <v>0.12799570808438024</v>
      </c>
    </row>
    <row r="348" spans="8:9" x14ac:dyDescent="0.3">
      <c r="H348">
        <v>0.94</v>
      </c>
      <c r="I348" s="53">
        <f t="shared" si="11"/>
        <v>0.12708631992444461</v>
      </c>
    </row>
    <row r="349" spans="8:9" x14ac:dyDescent="0.3">
      <c r="H349">
        <v>0.95</v>
      </c>
      <c r="I349" s="53">
        <f t="shared" si="11"/>
        <v>0.126192914114542</v>
      </c>
    </row>
    <row r="350" spans="8:9" x14ac:dyDescent="0.3">
      <c r="H350">
        <v>0.96</v>
      </c>
      <c r="I350" s="53">
        <f t="shared" si="11"/>
        <v>0.12531504592340856</v>
      </c>
    </row>
    <row r="351" spans="8:9" x14ac:dyDescent="0.3">
      <c r="H351">
        <v>0.97</v>
      </c>
      <c r="I351" s="53">
        <f t="shared" si="11"/>
        <v>0.12445228746010001</v>
      </c>
    </row>
    <row r="352" spans="8:9" x14ac:dyDescent="0.3">
      <c r="H352">
        <v>0.98</v>
      </c>
      <c r="I352" s="53">
        <f t="shared" si="11"/>
        <v>0.123604226870692</v>
      </c>
    </row>
    <row r="353" spans="8:9" x14ac:dyDescent="0.3">
      <c r="H353">
        <v>0.99</v>
      </c>
      <c r="I353" s="53">
        <f t="shared" si="11"/>
        <v>0.12277046758103911</v>
      </c>
    </row>
    <row r="354" spans="8:9" x14ac:dyDescent="0.3">
      <c r="H354">
        <v>1</v>
      </c>
      <c r="I354" s="53">
        <f t="shared" si="11"/>
        <v>0.12195062758251644</v>
      </c>
    </row>
    <row r="355" spans="8:9" x14ac:dyDescent="0.3">
      <c r="H355">
        <v>1.01</v>
      </c>
      <c r="I355" s="53">
        <f t="shared" si="11"/>
        <v>0.12114433875790227</v>
      </c>
    </row>
    <row r="356" spans="8:9" x14ac:dyDescent="0.3">
      <c r="H356">
        <v>1.02</v>
      </c>
      <c r="I356" s="53">
        <f t="shared" si="11"/>
        <v>0.1203512462447735</v>
      </c>
    </row>
    <row r="357" spans="8:9" x14ac:dyDescent="0.3">
      <c r="H357">
        <v>1.03</v>
      </c>
      <c r="I357" s="53">
        <f t="shared" si="11"/>
        <v>0.11957100783398215</v>
      </c>
    </row>
    <row r="358" spans="8:9" x14ac:dyDescent="0.3">
      <c r="H358">
        <v>1.04</v>
      </c>
      <c r="I358" s="53">
        <f t="shared" si="11"/>
        <v>0.11880329340096042</v>
      </c>
    </row>
    <row r="359" spans="8:9" x14ac:dyDescent="0.3">
      <c r="H359">
        <v>1.05</v>
      </c>
      <c r="I359" s="53">
        <f t="shared" si="11"/>
        <v>0.11804778436776639</v>
      </c>
    </row>
    <row r="360" spans="8:9" x14ac:dyDescent="0.3">
      <c r="H360">
        <v>1.06</v>
      </c>
      <c r="I360" s="53">
        <f t="shared" si="11"/>
        <v>0.11730417319393414</v>
      </c>
    </row>
    <row r="361" spans="8:9" x14ac:dyDescent="0.3">
      <c r="H361">
        <v>1.07</v>
      </c>
      <c r="I361" s="53">
        <f t="shared" si="11"/>
        <v>0.11657216289433078</v>
      </c>
    </row>
    <row r="362" spans="8:9" x14ac:dyDescent="0.3">
      <c r="H362">
        <v>1.08</v>
      </c>
      <c r="I362" s="53">
        <f t="shared" si="11"/>
        <v>0.1158514665823505</v>
      </c>
    </row>
    <row r="363" spans="8:9" x14ac:dyDescent="0.3">
      <c r="H363">
        <v>1.0900000000000001</v>
      </c>
      <c r="I363" s="53">
        <f t="shared" si="11"/>
        <v>0.11514180703689374</v>
      </c>
    </row>
    <row r="364" spans="8:9" x14ac:dyDescent="0.3">
      <c r="H364">
        <v>1.1000000000000001</v>
      </c>
      <c r="I364" s="53">
        <f t="shared" si="11"/>
        <v>0.11444291629168775</v>
      </c>
    </row>
    <row r="365" spans="8:9" x14ac:dyDescent="0.3">
      <c r="H365">
        <v>1.1100000000000001</v>
      </c>
      <c r="I365" s="53">
        <f t="shared" si="11"/>
        <v>0.1137545352456045</v>
      </c>
    </row>
    <row r="366" spans="8:9" x14ac:dyDescent="0.3">
      <c r="H366">
        <v>1.1200000000000001</v>
      </c>
      <c r="I366" s="53">
        <f t="shared" si="11"/>
        <v>0.11307641329272453</v>
      </c>
    </row>
    <row r="367" spans="8:9" x14ac:dyDescent="0.3">
      <c r="H367">
        <v>1.1299999999999999</v>
      </c>
      <c r="I367" s="53">
        <f t="shared" si="11"/>
        <v>0.11240830797097949</v>
      </c>
    </row>
    <row r="368" spans="8:9" x14ac:dyDescent="0.3">
      <c r="H368">
        <v>1.1399999999999999</v>
      </c>
      <c r="I368" s="53">
        <f t="shared" si="11"/>
        <v>0.11174998462828611</v>
      </c>
    </row>
    <row r="369" spans="8:9" x14ac:dyDescent="0.3">
      <c r="H369">
        <v>1.1499999999999999</v>
      </c>
      <c r="I369" s="53">
        <f t="shared" si="11"/>
        <v>0.11110121610515532</v>
      </c>
    </row>
    <row r="370" spans="8:9" x14ac:dyDescent="0.3">
      <c r="H370">
        <v>1.1599999999999999</v>
      </c>
      <c r="I370" s="53">
        <f t="shared" si="11"/>
        <v>0.11046178243282875</v>
      </c>
    </row>
    <row r="371" spans="8:9" x14ac:dyDescent="0.3">
      <c r="H371">
        <v>1.17</v>
      </c>
      <c r="I371" s="53">
        <f t="shared" si="11"/>
        <v>0.10983147054605637</v>
      </c>
    </row>
    <row r="372" spans="8:9" x14ac:dyDescent="0.3">
      <c r="H372">
        <v>1.18</v>
      </c>
      <c r="I372" s="53">
        <f t="shared" si="11"/>
        <v>0.10921007400968709</v>
      </c>
    </row>
    <row r="373" spans="8:9" x14ac:dyDescent="0.3">
      <c r="H373">
        <v>1.19</v>
      </c>
      <c r="I373" s="53">
        <f t="shared" si="11"/>
        <v>0.10859739275829733</v>
      </c>
    </row>
    <row r="374" spans="8:9" x14ac:dyDescent="0.3">
      <c r="H374">
        <v>1.2</v>
      </c>
      <c r="I374" s="53">
        <f t="shared" si="11"/>
        <v>0.107993232848132</v>
      </c>
    </row>
    <row r="375" spans="8:9" x14ac:dyDescent="0.3">
      <c r="H375">
        <v>1.21</v>
      </c>
      <c r="I375" s="53">
        <f t="shared" si="11"/>
        <v>0.10739740622067891</v>
      </c>
    </row>
    <row r="376" spans="8:9" x14ac:dyDescent="0.3">
      <c r="H376">
        <v>1.22</v>
      </c>
      <c r="I376" s="53">
        <f t="shared" si="11"/>
        <v>0.10680973047723971</v>
      </c>
    </row>
    <row r="377" spans="8:9" x14ac:dyDescent="0.3">
      <c r="H377">
        <v>1.23</v>
      </c>
      <c r="I377" s="53">
        <f t="shared" si="11"/>
        <v>0.10623002866390084</v>
      </c>
    </row>
    <row r="378" spans="8:9" x14ac:dyDescent="0.3">
      <c r="H378">
        <v>1.24</v>
      </c>
      <c r="I378" s="53">
        <f t="shared" si="11"/>
        <v>0.10565812906634435</v>
      </c>
    </row>
    <row r="379" spans="8:9" x14ac:dyDescent="0.3">
      <c r="H379">
        <v>1.25</v>
      </c>
      <c r="I379" s="53">
        <f t="shared" si="11"/>
        <v>0.10509386501397301</v>
      </c>
    </row>
    <row r="380" spans="8:9" x14ac:dyDescent="0.3">
      <c r="H380">
        <v>1.26</v>
      </c>
      <c r="I380" s="53">
        <f t="shared" si="11"/>
        <v>0.1045370746928567</v>
      </c>
    </row>
    <row r="381" spans="8:9" x14ac:dyDescent="0.3">
      <c r="H381">
        <v>1.27</v>
      </c>
      <c r="I381" s="53">
        <f t="shared" si="11"/>
        <v>0.10398760096703577</v>
      </c>
    </row>
    <row r="382" spans="8:9" x14ac:dyDescent="0.3">
      <c r="H382">
        <v>1.28</v>
      </c>
      <c r="I382" s="53">
        <f t="shared" si="11"/>
        <v>0.10344529120774607</v>
      </c>
    </row>
    <row r="383" spans="8:9" x14ac:dyDescent="0.3">
      <c r="H383">
        <v>1.29</v>
      </c>
      <c r="I383" s="53">
        <f t="shared" si="11"/>
        <v>0.10290999713015545</v>
      </c>
    </row>
    <row r="384" spans="8:9" x14ac:dyDescent="0.3">
      <c r="H384">
        <v>1.3</v>
      </c>
      <c r="I384" s="53">
        <f t="shared" ref="I384:I447" si="12">IF(H384&lt;$C$255/3,   ($C$256*$C$253/$C$257)*(1+(3*($C$254-1)*H384/$C$255)),   IF(H384&lt;=$C$255,   $C$256*$C$253*$C$254/$C$257,   $C$256*$C$253*$C$254/$C$257*($C$255/H384)^(2/3)   ))</f>
        <v>0.10238157463722605</v>
      </c>
    </row>
    <row r="385" spans="8:9" x14ac:dyDescent="0.3">
      <c r="H385">
        <v>1.31</v>
      </c>
      <c r="I385" s="53">
        <f t="shared" si="12"/>
        <v>0.10185988367033932</v>
      </c>
    </row>
    <row r="386" spans="8:9" x14ac:dyDescent="0.3">
      <c r="H386">
        <v>1.32</v>
      </c>
      <c r="I386" s="53">
        <f t="shared" si="12"/>
        <v>0.10134478806634185</v>
      </c>
    </row>
    <row r="387" spans="8:9" x14ac:dyDescent="0.3">
      <c r="H387">
        <v>1.33</v>
      </c>
      <c r="I387" s="53">
        <f t="shared" si="12"/>
        <v>0.10083615542068967</v>
      </c>
    </row>
    <row r="388" spans="8:9" x14ac:dyDescent="0.3">
      <c r="H388">
        <v>1.34</v>
      </c>
      <c r="I388" s="53">
        <f t="shared" si="12"/>
        <v>0.10033385695638715</v>
      </c>
    </row>
    <row r="389" spans="8:9" x14ac:dyDescent="0.3">
      <c r="H389">
        <v>1.35</v>
      </c>
      <c r="I389" s="53">
        <f t="shared" si="12"/>
        <v>9.9837767398434168E-2</v>
      </c>
    </row>
    <row r="390" spans="8:9" x14ac:dyDescent="0.3">
      <c r="H390">
        <v>1.36</v>
      </c>
      <c r="I390" s="53">
        <f t="shared" si="12"/>
        <v>9.934776485351117E-2</v>
      </c>
    </row>
    <row r="391" spans="8:9" x14ac:dyDescent="0.3">
      <c r="H391">
        <v>1.37</v>
      </c>
      <c r="I391" s="53">
        <f t="shared" si="12"/>
        <v>9.8863730694646768E-2</v>
      </c>
    </row>
    <row r="392" spans="8:9" x14ac:dyDescent="0.3">
      <c r="H392">
        <v>1.38</v>
      </c>
      <c r="I392" s="53">
        <f t="shared" si="12"/>
        <v>9.8385549450627038E-2</v>
      </c>
    </row>
    <row r="393" spans="8:9" x14ac:dyDescent="0.3">
      <c r="H393">
        <v>1.39</v>
      </c>
      <c r="I393" s="53">
        <f t="shared" si="12"/>
        <v>9.7913108699918719E-2</v>
      </c>
    </row>
    <row r="394" spans="8:9" x14ac:dyDescent="0.3">
      <c r="H394">
        <v>1.4</v>
      </c>
      <c r="I394" s="53">
        <f t="shared" si="12"/>
        <v>9.7446298968891246E-2</v>
      </c>
    </row>
    <row r="395" spans="8:9" x14ac:dyDescent="0.3">
      <c r="H395">
        <v>1.41</v>
      </c>
      <c r="I395" s="53">
        <f t="shared" si="12"/>
        <v>9.6985013634134004E-2</v>
      </c>
    </row>
    <row r="396" spans="8:9" x14ac:dyDescent="0.3">
      <c r="H396">
        <v>1.42</v>
      </c>
      <c r="I396" s="53">
        <f t="shared" si="12"/>
        <v>9.6529148828676206E-2</v>
      </c>
    </row>
    <row r="397" spans="8:9" x14ac:dyDescent="0.3">
      <c r="H397">
        <v>1.43</v>
      </c>
      <c r="I397" s="53">
        <f t="shared" si="12"/>
        <v>9.6078603351927624E-2</v>
      </c>
    </row>
    <row r="398" spans="8:9" x14ac:dyDescent="0.3">
      <c r="H398">
        <v>1.44</v>
      </c>
      <c r="I398" s="53">
        <f t="shared" si="12"/>
        <v>9.56332785831671E-2</v>
      </c>
    </row>
    <row r="399" spans="8:9" x14ac:dyDescent="0.3">
      <c r="H399">
        <v>1.45</v>
      </c>
      <c r="I399" s="53">
        <f t="shared" si="12"/>
        <v>9.5193078398416328E-2</v>
      </c>
    </row>
    <row r="400" spans="8:9" x14ac:dyDescent="0.3">
      <c r="H400">
        <v>1.46</v>
      </c>
      <c r="I400" s="53">
        <f t="shared" si="12"/>
        <v>9.4757909090543324E-2</v>
      </c>
    </row>
    <row r="401" spans="8:9" x14ac:dyDescent="0.3">
      <c r="H401">
        <v>1.47</v>
      </c>
      <c r="I401" s="53">
        <f t="shared" si="12"/>
        <v>9.432767929244959E-2</v>
      </c>
    </row>
    <row r="402" spans="8:9" x14ac:dyDescent="0.3">
      <c r="H402">
        <v>1.48</v>
      </c>
      <c r="I402" s="53">
        <f t="shared" si="12"/>
        <v>9.3902299903201439E-2</v>
      </c>
    </row>
    <row r="403" spans="8:9" x14ac:dyDescent="0.3">
      <c r="H403">
        <v>1.49</v>
      </c>
      <c r="I403" s="53">
        <f t="shared" si="12"/>
        <v>9.3481684016974015E-2</v>
      </c>
    </row>
    <row r="404" spans="8:9" x14ac:dyDescent="0.3">
      <c r="H404">
        <v>1.5</v>
      </c>
      <c r="I404" s="53">
        <f t="shared" si="12"/>
        <v>9.3065746854682524E-2</v>
      </c>
    </row>
    <row r="405" spans="8:9" x14ac:dyDescent="0.3">
      <c r="H405">
        <v>1.51</v>
      </c>
      <c r="I405" s="53">
        <f t="shared" si="12"/>
        <v>9.2654405698182091E-2</v>
      </c>
    </row>
    <row r="406" spans="8:9" x14ac:dyDescent="0.3">
      <c r="H406">
        <v>1.52</v>
      </c>
      <c r="I406" s="53">
        <f t="shared" si="12"/>
        <v>9.2247579826923401E-2</v>
      </c>
    </row>
    <row r="407" spans="8:9" x14ac:dyDescent="0.3">
      <c r="H407">
        <v>1.53</v>
      </c>
      <c r="I407" s="53">
        <f t="shared" si="12"/>
        <v>9.1845190456956952E-2</v>
      </c>
    </row>
    <row r="408" spans="8:9" x14ac:dyDescent="0.3">
      <c r="H408">
        <v>1.54</v>
      </c>
      <c r="I408" s="53">
        <f t="shared" si="12"/>
        <v>9.1447160682184309E-2</v>
      </c>
    </row>
    <row r="409" spans="8:9" x14ac:dyDescent="0.3">
      <c r="H409">
        <v>1.55</v>
      </c>
      <c r="I409" s="53">
        <f t="shared" si="12"/>
        <v>9.105341541775934E-2</v>
      </c>
    </row>
    <row r="410" spans="8:9" x14ac:dyDescent="0.3">
      <c r="H410">
        <v>1.56</v>
      </c>
      <c r="I410" s="53">
        <f t="shared" si="12"/>
        <v>9.0663881345547773E-2</v>
      </c>
    </row>
    <row r="411" spans="8:9" x14ac:dyDescent="0.3">
      <c r="H411">
        <v>1.57</v>
      </c>
      <c r="I411" s="53">
        <f t="shared" si="12"/>
        <v>9.0278486861557219E-2</v>
      </c>
    </row>
    <row r="412" spans="8:9" x14ac:dyDescent="0.3">
      <c r="H412">
        <v>1.58</v>
      </c>
      <c r="I412" s="53">
        <f t="shared" si="12"/>
        <v>8.9897162025254787E-2</v>
      </c>
    </row>
    <row r="413" spans="8:9" x14ac:dyDescent="0.3">
      <c r="H413">
        <v>1.59</v>
      </c>
      <c r="I413" s="53">
        <f t="shared" si="12"/>
        <v>8.9519838510692798E-2</v>
      </c>
    </row>
    <row r="414" spans="8:9" x14ac:dyDescent="0.3">
      <c r="H414">
        <v>1.6</v>
      </c>
      <c r="I414" s="53">
        <f t="shared" si="12"/>
        <v>8.9146449559367333E-2</v>
      </c>
    </row>
    <row r="415" spans="8:9" x14ac:dyDescent="0.3">
      <c r="H415">
        <v>1.61</v>
      </c>
      <c r="I415" s="53">
        <f t="shared" si="12"/>
        <v>8.8776929934737764E-2</v>
      </c>
    </row>
    <row r="416" spans="8:9" x14ac:dyDescent="0.3">
      <c r="H416">
        <v>1.62</v>
      </c>
      <c r="I416" s="53">
        <f t="shared" si="12"/>
        <v>8.8411215878338653E-2</v>
      </c>
    </row>
    <row r="417" spans="8:9" x14ac:dyDescent="0.3">
      <c r="H417">
        <v>1.63</v>
      </c>
      <c r="I417" s="53">
        <f t="shared" si="12"/>
        <v>8.8049245067419249E-2</v>
      </c>
    </row>
    <row r="418" spans="8:9" x14ac:dyDescent="0.3">
      <c r="H418">
        <v>1.64</v>
      </c>
      <c r="I418" s="53">
        <f t="shared" si="12"/>
        <v>8.7690956574047879E-2</v>
      </c>
    </row>
    <row r="419" spans="8:9" x14ac:dyDescent="0.3">
      <c r="H419">
        <v>1.65</v>
      </c>
      <c r="I419" s="53">
        <f t="shared" si="12"/>
        <v>8.7336290825622484E-2</v>
      </c>
    </row>
    <row r="420" spans="8:9" x14ac:dyDescent="0.3">
      <c r="H420">
        <v>1.66</v>
      </c>
      <c r="I420" s="53">
        <f t="shared" si="12"/>
        <v>8.6985189566730431E-2</v>
      </c>
    </row>
    <row r="421" spans="8:9" x14ac:dyDescent="0.3">
      <c r="H421">
        <v>1.67</v>
      </c>
      <c r="I421" s="53">
        <f t="shared" si="12"/>
        <v>8.6637595822303889E-2</v>
      </c>
    </row>
    <row r="422" spans="8:9" x14ac:dyDescent="0.3">
      <c r="H422">
        <v>1.68</v>
      </c>
      <c r="I422" s="53">
        <f t="shared" si="12"/>
        <v>8.6293453862019115E-2</v>
      </c>
    </row>
    <row r="423" spans="8:9" x14ac:dyDescent="0.3">
      <c r="H423">
        <v>1.69</v>
      </c>
      <c r="I423" s="53">
        <f t="shared" si="12"/>
        <v>8.5952709165890706E-2</v>
      </c>
    </row>
    <row r="424" spans="8:9" x14ac:dyDescent="0.3">
      <c r="H424">
        <v>1.7</v>
      </c>
      <c r="I424" s="53">
        <f t="shared" si="12"/>
        <v>8.5615308391013945E-2</v>
      </c>
    </row>
    <row r="425" spans="8:9" x14ac:dyDescent="0.3">
      <c r="H425">
        <v>1.71</v>
      </c>
      <c r="I425" s="53">
        <f t="shared" si="12"/>
        <v>8.5281199339410016E-2</v>
      </c>
    </row>
    <row r="426" spans="8:9" x14ac:dyDescent="0.3">
      <c r="H426">
        <v>1.72</v>
      </c>
      <c r="I426" s="53">
        <f t="shared" si="12"/>
        <v>8.4950330926932036E-2</v>
      </c>
    </row>
    <row r="427" spans="8:9" x14ac:dyDescent="0.3">
      <c r="H427">
        <v>1.73</v>
      </c>
      <c r="I427" s="53">
        <f t="shared" si="12"/>
        <v>8.462265315319023E-2</v>
      </c>
    </row>
    <row r="428" spans="8:9" x14ac:dyDescent="0.3">
      <c r="H428">
        <v>1.74</v>
      </c>
      <c r="I428" s="53">
        <f t="shared" si="12"/>
        <v>8.4298117072457671E-2</v>
      </c>
    </row>
    <row r="429" spans="8:9" x14ac:dyDescent="0.3">
      <c r="H429">
        <v>1.75</v>
      </c>
      <c r="I429" s="53">
        <f t="shared" si="12"/>
        <v>8.3976674765518997E-2</v>
      </c>
    </row>
    <row r="430" spans="8:9" x14ac:dyDescent="0.3">
      <c r="H430">
        <v>1.76</v>
      </c>
      <c r="I430" s="53">
        <f t="shared" si="12"/>
        <v>8.3658279312426295E-2</v>
      </c>
    </row>
    <row r="431" spans="8:9" x14ac:dyDescent="0.3">
      <c r="H431">
        <v>1.77</v>
      </c>
      <c r="I431" s="53">
        <f t="shared" si="12"/>
        <v>8.3342884766128181E-2</v>
      </c>
    </row>
    <row r="432" spans="8:9" x14ac:dyDescent="0.3">
      <c r="H432">
        <v>1.78</v>
      </c>
      <c r="I432" s="53">
        <f t="shared" si="12"/>
        <v>8.3030446126939078E-2</v>
      </c>
    </row>
    <row r="433" spans="8:9" x14ac:dyDescent="0.3">
      <c r="H433">
        <v>1.79</v>
      </c>
      <c r="I433" s="53">
        <f t="shared" si="12"/>
        <v>8.2720919317817471E-2</v>
      </c>
    </row>
    <row r="434" spans="8:9" x14ac:dyDescent="0.3">
      <c r="H434">
        <v>1.8</v>
      </c>
      <c r="I434" s="53">
        <f t="shared" si="12"/>
        <v>8.2414261160423344E-2</v>
      </c>
    </row>
    <row r="435" spans="8:9" x14ac:dyDescent="0.3">
      <c r="H435">
        <v>1.81</v>
      </c>
      <c r="I435" s="53">
        <f t="shared" si="12"/>
        <v>8.2110429351925696E-2</v>
      </c>
    </row>
    <row r="436" spans="8:9" x14ac:dyDescent="0.3">
      <c r="H436">
        <v>1.82</v>
      </c>
      <c r="I436" s="53">
        <f t="shared" si="12"/>
        <v>8.180938244253283E-2</v>
      </c>
    </row>
    <row r="437" spans="8:9" x14ac:dyDescent="0.3">
      <c r="H437">
        <v>1.83</v>
      </c>
      <c r="I437" s="53">
        <f t="shared" si="12"/>
        <v>8.1511079813719314E-2</v>
      </c>
    </row>
    <row r="438" spans="8:9" x14ac:dyDescent="0.3">
      <c r="H438">
        <v>1.84</v>
      </c>
      <c r="I438" s="53">
        <f t="shared" si="12"/>
        <v>8.1215481657123792E-2</v>
      </c>
    </row>
    <row r="439" spans="8:9" x14ac:dyDescent="0.3">
      <c r="H439">
        <v>1.85</v>
      </c>
      <c r="I439" s="53">
        <f t="shared" si="12"/>
        <v>8.0922548954093912E-2</v>
      </c>
    </row>
    <row r="440" spans="8:9" x14ac:dyDescent="0.3">
      <c r="H440">
        <v>1.86</v>
      </c>
      <c r="I440" s="53">
        <f t="shared" si="12"/>
        <v>8.063224345585504E-2</v>
      </c>
    </row>
    <row r="441" spans="8:9" x14ac:dyDescent="0.3">
      <c r="H441">
        <v>1.87</v>
      </c>
      <c r="I441" s="53">
        <f t="shared" si="12"/>
        <v>8.0344527664280296E-2</v>
      </c>
    </row>
    <row r="442" spans="8:9" x14ac:dyDescent="0.3">
      <c r="H442">
        <v>1.88</v>
      </c>
      <c r="I442" s="53">
        <f t="shared" si="12"/>
        <v>8.0059364813240996E-2</v>
      </c>
    </row>
    <row r="443" spans="8:9" x14ac:dyDescent="0.3">
      <c r="H443">
        <v>1.89</v>
      </c>
      <c r="I443" s="53">
        <f t="shared" si="12"/>
        <v>7.9776718850516348E-2</v>
      </c>
    </row>
    <row r="444" spans="8:9" x14ac:dyDescent="0.3">
      <c r="H444">
        <v>1.9</v>
      </c>
      <c r="I444" s="53">
        <f t="shared" si="12"/>
        <v>7.9496554420243656E-2</v>
      </c>
    </row>
    <row r="445" spans="8:9" x14ac:dyDescent="0.3">
      <c r="H445">
        <v>1.91</v>
      </c>
      <c r="I445" s="53">
        <f t="shared" si="12"/>
        <v>7.9218836845889234E-2</v>
      </c>
    </row>
    <row r="446" spans="8:9" x14ac:dyDescent="0.3">
      <c r="H446">
        <v>1.92</v>
      </c>
      <c r="I446" s="53">
        <f t="shared" si="12"/>
        <v>7.8943532113722584E-2</v>
      </c>
    </row>
    <row r="447" spans="8:9" x14ac:dyDescent="0.3">
      <c r="H447">
        <v>1.93</v>
      </c>
      <c r="I447" s="53">
        <f t="shared" si="12"/>
        <v>7.8670606856776112E-2</v>
      </c>
    </row>
    <row r="448" spans="8:9" x14ac:dyDescent="0.3">
      <c r="H448">
        <v>1.94</v>
      </c>
      <c r="I448" s="53">
        <f t="shared" ref="I448:I511" si="13">IF(H448&lt;$C$255/3,   ($C$256*$C$253/$C$257)*(1+(3*($C$254-1)*H448/$C$255)),   IF(H448&lt;=$C$255,   $C$256*$C$253*$C$254/$C$257,   $C$256*$C$253*$C$254/$C$257*($C$255/H448)^(2/3)   ))</f>
        <v>7.8400028339273883E-2</v>
      </c>
    </row>
    <row r="449" spans="8:9" x14ac:dyDescent="0.3">
      <c r="H449">
        <v>1.95</v>
      </c>
      <c r="I449" s="53">
        <f t="shared" si="13"/>
        <v>7.8131764441513082E-2</v>
      </c>
    </row>
    <row r="450" spans="8:9" x14ac:dyDescent="0.3">
      <c r="H450">
        <v>1.96</v>
      </c>
      <c r="I450" s="53">
        <f t="shared" si="13"/>
        <v>7.7865783645183179E-2</v>
      </c>
    </row>
    <row r="451" spans="8:9" x14ac:dyDescent="0.3">
      <c r="H451">
        <v>1.97</v>
      </c>
      <c r="I451" s="53">
        <f t="shared" si="13"/>
        <v>7.7602055019107566E-2</v>
      </c>
    </row>
    <row r="452" spans="8:9" x14ac:dyDescent="0.3">
      <c r="H452">
        <v>1.98</v>
      </c>
      <c r="I452" s="53">
        <f t="shared" si="13"/>
        <v>7.7340548205393655E-2</v>
      </c>
    </row>
    <row r="453" spans="8:9" x14ac:dyDescent="0.3">
      <c r="H453">
        <v>1.99</v>
      </c>
      <c r="I453" s="53">
        <f t="shared" si="13"/>
        <v>7.708123340597775E-2</v>
      </c>
    </row>
    <row r="454" spans="8:9" x14ac:dyDescent="0.3">
      <c r="H454">
        <v>2</v>
      </c>
      <c r="I454" s="53">
        <f t="shared" si="13"/>
        <v>7.6824081369551406E-2</v>
      </c>
    </row>
    <row r="455" spans="8:9" x14ac:dyDescent="0.3">
      <c r="H455">
        <v>2.0099999999999998</v>
      </c>
      <c r="I455" s="53">
        <f t="shared" si="13"/>
        <v>7.6569063378856717E-2</v>
      </c>
    </row>
    <row r="456" spans="8:9" x14ac:dyDescent="0.3">
      <c r="H456">
        <v>2.02</v>
      </c>
      <c r="I456" s="53">
        <f t="shared" si="13"/>
        <v>7.6316151238338195E-2</v>
      </c>
    </row>
    <row r="457" spans="8:9" x14ac:dyDescent="0.3">
      <c r="H457">
        <v>2.0299999999999998</v>
      </c>
      <c r="I457" s="53">
        <f t="shared" si="13"/>
        <v>7.6065317262139873E-2</v>
      </c>
    </row>
    <row r="458" spans="8:9" x14ac:dyDescent="0.3">
      <c r="H458">
        <v>2.04</v>
      </c>
      <c r="I458" s="53">
        <f t="shared" si="13"/>
        <v>7.5816534262435717E-2</v>
      </c>
    </row>
    <row r="459" spans="8:9" x14ac:dyDescent="0.3">
      <c r="H459">
        <v>2.0499999999999998</v>
      </c>
      <c r="I459" s="53">
        <f t="shared" si="13"/>
        <v>7.5569775538083292E-2</v>
      </c>
    </row>
    <row r="460" spans="8:9" x14ac:dyDescent="0.3">
      <c r="H460">
        <v>2.06</v>
      </c>
      <c r="I460" s="53">
        <f t="shared" si="13"/>
        <v>7.532501486358946E-2</v>
      </c>
    </row>
    <row r="461" spans="8:9" x14ac:dyDescent="0.3">
      <c r="H461">
        <v>2.0699999999999998</v>
      </c>
      <c r="I461" s="53">
        <f t="shared" si="13"/>
        <v>7.5082226478378589E-2</v>
      </c>
    </row>
    <row r="462" spans="8:9" x14ac:dyDescent="0.3">
      <c r="H462">
        <v>2.08</v>
      </c>
      <c r="I462" s="53">
        <f t="shared" si="13"/>
        <v>7.4841385076353351E-2</v>
      </c>
    </row>
    <row r="463" spans="8:9" x14ac:dyDescent="0.3">
      <c r="H463">
        <v>2.09</v>
      </c>
      <c r="I463" s="53">
        <f t="shared" si="13"/>
        <v>7.4602465795738634E-2</v>
      </c>
    </row>
    <row r="464" spans="8:9" x14ac:dyDescent="0.3">
      <c r="H464">
        <v>2.1</v>
      </c>
      <c r="I464" s="53">
        <f t="shared" si="13"/>
        <v>7.436544420919991E-2</v>
      </c>
    </row>
    <row r="465" spans="8:9" x14ac:dyDescent="0.3">
      <c r="H465">
        <v>2.11</v>
      </c>
      <c r="I465" s="53">
        <f t="shared" si="13"/>
        <v>7.4130296314227115E-2</v>
      </c>
    </row>
    <row r="466" spans="8:9" x14ac:dyDescent="0.3">
      <c r="H466">
        <v>2.12</v>
      </c>
      <c r="I466" s="53">
        <f t="shared" si="13"/>
        <v>7.3896998523775778E-2</v>
      </c>
    </row>
    <row r="467" spans="8:9" x14ac:dyDescent="0.3">
      <c r="H467">
        <v>2.13</v>
      </c>
      <c r="I467" s="53">
        <f t="shared" si="13"/>
        <v>7.3665527657157295E-2</v>
      </c>
    </row>
    <row r="468" spans="8:9" x14ac:dyDescent="0.3">
      <c r="H468">
        <v>2.14</v>
      </c>
      <c r="I468" s="53">
        <f t="shared" si="13"/>
        <v>7.3435860931170702E-2</v>
      </c>
    </row>
    <row r="469" spans="8:9" x14ac:dyDescent="0.3">
      <c r="H469">
        <v>2.15</v>
      </c>
      <c r="I469" s="53">
        <f t="shared" si="13"/>
        <v>7.3207975951468302E-2</v>
      </c>
    </row>
    <row r="470" spans="8:9" x14ac:dyDescent="0.3">
      <c r="H470">
        <v>2.16</v>
      </c>
      <c r="I470" s="53">
        <f t="shared" si="13"/>
        <v>7.2981850704147921E-2</v>
      </c>
    </row>
    <row r="471" spans="8:9" x14ac:dyDescent="0.3">
      <c r="H471">
        <v>2.17</v>
      </c>
      <c r="I471" s="53">
        <f t="shared" si="13"/>
        <v>7.2757463547565099E-2</v>
      </c>
    </row>
    <row r="472" spans="8:9" x14ac:dyDescent="0.3">
      <c r="H472">
        <v>2.1800000000000002</v>
      </c>
      <c r="I472" s="53">
        <f t="shared" si="13"/>
        <v>7.2534793204358031E-2</v>
      </c>
    </row>
    <row r="473" spans="8:9" x14ac:dyDescent="0.3">
      <c r="H473">
        <v>2.19</v>
      </c>
      <c r="I473" s="53">
        <f t="shared" si="13"/>
        <v>7.231381875367919E-2</v>
      </c>
    </row>
    <row r="474" spans="8:9" x14ac:dyDescent="0.3">
      <c r="H474">
        <v>2.2000000000000002</v>
      </c>
      <c r="I474" s="53">
        <f t="shared" si="13"/>
        <v>7.2094519623627146E-2</v>
      </c>
    </row>
    <row r="475" spans="8:9" x14ac:dyDescent="0.3">
      <c r="H475">
        <v>2.21</v>
      </c>
      <c r="I475" s="53">
        <f t="shared" si="13"/>
        <v>7.1876875583872596E-2</v>
      </c>
    </row>
    <row r="476" spans="8:9" x14ac:dyDescent="0.3">
      <c r="H476">
        <v>2.2200000000000002</v>
      </c>
      <c r="I476" s="53">
        <f t="shared" si="13"/>
        <v>7.1660866738472703E-2</v>
      </c>
    </row>
    <row r="477" spans="8:9" x14ac:dyDescent="0.3">
      <c r="H477">
        <v>2.23</v>
      </c>
      <c r="I477" s="53">
        <f t="shared" si="13"/>
        <v>7.1446473518868236E-2</v>
      </c>
    </row>
    <row r="478" spans="8:9" x14ac:dyDescent="0.3">
      <c r="H478">
        <v>2.2400000000000002</v>
      </c>
      <c r="I478" s="53">
        <f t="shared" si="13"/>
        <v>7.123367667705803E-2</v>
      </c>
    </row>
    <row r="479" spans="8:9" x14ac:dyDescent="0.3">
      <c r="H479">
        <v>2.25</v>
      </c>
      <c r="I479" s="53">
        <f t="shared" si="13"/>
        <v>7.1022457278945364E-2</v>
      </c>
    </row>
    <row r="480" spans="8:9" x14ac:dyDescent="0.3">
      <c r="H480">
        <v>2.2599999999999998</v>
      </c>
      <c r="I480" s="53">
        <f t="shared" si="13"/>
        <v>7.0812796697851343E-2</v>
      </c>
    </row>
    <row r="481" spans="8:9" x14ac:dyDescent="0.3">
      <c r="H481">
        <v>2.27</v>
      </c>
      <c r="I481" s="53">
        <f t="shared" si="13"/>
        <v>7.0604676608190434E-2</v>
      </c>
    </row>
    <row r="482" spans="8:9" x14ac:dyDescent="0.3">
      <c r="H482">
        <v>2.2799999999999998</v>
      </c>
      <c r="I482" s="53">
        <f t="shared" si="13"/>
        <v>7.0398078979303086E-2</v>
      </c>
    </row>
    <row r="483" spans="8:9" x14ac:dyDescent="0.3">
      <c r="H483">
        <v>2.29</v>
      </c>
      <c r="I483" s="53">
        <f t="shared" si="13"/>
        <v>7.0192986069441285E-2</v>
      </c>
    </row>
    <row r="484" spans="8:9" x14ac:dyDescent="0.3">
      <c r="H484">
        <v>2.2999999999999998</v>
      </c>
      <c r="I484" s="53">
        <f t="shared" si="13"/>
        <v>6.9989380419902256E-2</v>
      </c>
    </row>
    <row r="485" spans="8:9" x14ac:dyDescent="0.3">
      <c r="H485">
        <v>2.31</v>
      </c>
      <c r="I485" s="53">
        <f t="shared" si="13"/>
        <v>6.9787244849306276E-2</v>
      </c>
    </row>
    <row r="486" spans="8:9" x14ac:dyDescent="0.3">
      <c r="H486">
        <v>2.3199999999999998</v>
      </c>
      <c r="I486" s="53">
        <f t="shared" si="13"/>
        <v>6.9586562448014339E-2</v>
      </c>
    </row>
    <row r="487" spans="8:9" x14ac:dyDescent="0.3">
      <c r="H487">
        <v>2.33</v>
      </c>
      <c r="I487" s="53">
        <f t="shared" si="13"/>
        <v>6.9387316572681504E-2</v>
      </c>
    </row>
    <row r="488" spans="8:9" x14ac:dyDescent="0.3">
      <c r="H488">
        <v>2.34</v>
      </c>
      <c r="I488" s="53">
        <f t="shared" si="13"/>
        <v>6.91894908409426E-2</v>
      </c>
    </row>
    <row r="489" spans="8:9" x14ac:dyDescent="0.3">
      <c r="H489">
        <v>2.35</v>
      </c>
      <c r="I489" s="53">
        <f t="shared" si="13"/>
        <v>6.8993069126225728E-2</v>
      </c>
    </row>
    <row r="490" spans="8:9" x14ac:dyDescent="0.3">
      <c r="H490">
        <v>2.36</v>
      </c>
      <c r="I490" s="53">
        <f t="shared" si="13"/>
        <v>6.8798035552690887E-2</v>
      </c>
    </row>
    <row r="491" spans="8:9" x14ac:dyDescent="0.3">
      <c r="H491">
        <v>2.37</v>
      </c>
      <c r="I491" s="53">
        <f t="shared" si="13"/>
        <v>6.8604374490289111E-2</v>
      </c>
    </row>
    <row r="492" spans="8:9" x14ac:dyDescent="0.3">
      <c r="H492">
        <v>2.38</v>
      </c>
      <c r="I492" s="53">
        <f t="shared" si="13"/>
        <v>6.8412070549939946E-2</v>
      </c>
    </row>
    <row r="493" spans="8:9" x14ac:dyDescent="0.3">
      <c r="H493">
        <v>2.39</v>
      </c>
      <c r="I493" s="53">
        <f t="shared" si="13"/>
        <v>6.8221108578822798E-2</v>
      </c>
    </row>
    <row r="494" spans="8:9" x14ac:dyDescent="0.3">
      <c r="H494">
        <v>2.4</v>
      </c>
      <c r="I494" s="53">
        <f t="shared" si="13"/>
        <v>6.8031473655779995E-2</v>
      </c>
    </row>
    <row r="495" spans="8:9" x14ac:dyDescent="0.3">
      <c r="H495">
        <v>2.41</v>
      </c>
      <c r="I495" s="53">
        <f t="shared" si="13"/>
        <v>6.7843151086827647E-2</v>
      </c>
    </row>
    <row r="496" spans="8:9" x14ac:dyDescent="0.3">
      <c r="H496">
        <v>2.42</v>
      </c>
      <c r="I496" s="53">
        <f t="shared" si="13"/>
        <v>6.7656126400771982E-2</v>
      </c>
    </row>
    <row r="497" spans="8:9" x14ac:dyDescent="0.3">
      <c r="H497">
        <v>2.4300000000000002</v>
      </c>
      <c r="I497" s="53">
        <f t="shared" si="13"/>
        <v>6.7470385344927691E-2</v>
      </c>
    </row>
    <row r="498" spans="8:9" x14ac:dyDescent="0.3">
      <c r="H498">
        <v>2.44</v>
      </c>
      <c r="I498" s="53">
        <f t="shared" si="13"/>
        <v>6.7285913880936132E-2</v>
      </c>
    </row>
    <row r="499" spans="8:9" x14ac:dyDescent="0.3">
      <c r="H499">
        <v>2.4500000000000002</v>
      </c>
      <c r="I499" s="53">
        <f t="shared" si="13"/>
        <v>6.7102698180679973E-2</v>
      </c>
    </row>
    <row r="500" spans="8:9" x14ac:dyDescent="0.3">
      <c r="H500">
        <v>2.46</v>
      </c>
      <c r="I500" s="53">
        <f t="shared" si="13"/>
        <v>6.6920724622292219E-2</v>
      </c>
    </row>
    <row r="501" spans="8:9" x14ac:dyDescent="0.3">
      <c r="H501">
        <v>2.4700000000000002</v>
      </c>
      <c r="I501" s="53">
        <f t="shared" si="13"/>
        <v>6.6739979786256801E-2</v>
      </c>
    </row>
    <row r="502" spans="8:9" x14ac:dyDescent="0.3">
      <c r="H502">
        <v>2.48</v>
      </c>
      <c r="I502" s="53">
        <f t="shared" si="13"/>
        <v>6.6560450451598294E-2</v>
      </c>
    </row>
    <row r="503" spans="8:9" x14ac:dyDescent="0.3">
      <c r="H503">
        <v>2.4900000000000002</v>
      </c>
      <c r="I503" s="53">
        <f t="shared" si="13"/>
        <v>6.6382123592158546E-2</v>
      </c>
    </row>
    <row r="504" spans="8:9" x14ac:dyDescent="0.3">
      <c r="H504">
        <v>2.5</v>
      </c>
      <c r="I504" s="53">
        <f t="shared" si="13"/>
        <v>6.6204986372957478E-2</v>
      </c>
    </row>
    <row r="505" spans="8:9" x14ac:dyDescent="0.3">
      <c r="H505">
        <v>2.5099999999999998</v>
      </c>
      <c r="I505" s="53">
        <f t="shared" si="13"/>
        <v>6.6029026146636471E-2</v>
      </c>
    </row>
    <row r="506" spans="8:9" x14ac:dyDescent="0.3">
      <c r="H506">
        <v>2.52</v>
      </c>
      <c r="I506" s="53">
        <f t="shared" si="13"/>
        <v>6.5854230449981385E-2</v>
      </c>
    </row>
    <row r="507" spans="8:9" x14ac:dyDescent="0.3">
      <c r="H507">
        <v>2.5299999999999998</v>
      </c>
      <c r="I507" s="53">
        <f t="shared" si="13"/>
        <v>6.5680587000523913E-2</v>
      </c>
    </row>
    <row r="508" spans="8:9" x14ac:dyDescent="0.3">
      <c r="H508">
        <v>2.54</v>
      </c>
      <c r="I508" s="53">
        <f t="shared" si="13"/>
        <v>6.5508083693218408E-2</v>
      </c>
    </row>
    <row r="509" spans="8:9" x14ac:dyDescent="0.3">
      <c r="H509">
        <v>2.5499999999999998</v>
      </c>
      <c r="I509" s="53">
        <f t="shared" si="13"/>
        <v>6.5336708597192955E-2</v>
      </c>
    </row>
    <row r="510" spans="8:9" x14ac:dyDescent="0.3">
      <c r="H510">
        <v>2.56</v>
      </c>
      <c r="I510" s="53">
        <f t="shared" si="13"/>
        <v>6.5166449952572161E-2</v>
      </c>
    </row>
    <row r="511" spans="8:9" x14ac:dyDescent="0.3">
      <c r="H511">
        <v>2.57</v>
      </c>
      <c r="I511" s="53">
        <f t="shared" si="13"/>
        <v>6.4997296167370169E-2</v>
      </c>
    </row>
    <row r="512" spans="8:9" x14ac:dyDescent="0.3">
      <c r="H512">
        <v>2.58</v>
      </c>
      <c r="I512" s="53">
        <f t="shared" ref="I512:I554" si="14">IF(H512&lt;$C$255/3,   ($C$256*$C$253/$C$257)*(1+(3*($C$254-1)*H512/$C$255)),   IF(H512&lt;=$C$255,   $C$256*$C$253*$C$254/$C$257,   $C$256*$C$253*$C$254/$C$257*($C$255/H512)^(2/3)   ))</f>
        <v>6.4829235814451935E-2</v>
      </c>
    </row>
    <row r="513" spans="8:9" x14ac:dyDescent="0.3">
      <c r="H513">
        <v>2.59</v>
      </c>
      <c r="I513" s="53">
        <f t="shared" si="14"/>
        <v>6.4662257628560982E-2</v>
      </c>
    </row>
    <row r="514" spans="8:9" x14ac:dyDescent="0.3">
      <c r="H514">
        <v>2.6</v>
      </c>
      <c r="I514" s="53">
        <f t="shared" si="14"/>
        <v>6.449635050341207E-2</v>
      </c>
    </row>
    <row r="515" spans="8:9" x14ac:dyDescent="0.3">
      <c r="H515">
        <v>2.61</v>
      </c>
      <c r="I515" s="53">
        <f t="shared" si="14"/>
        <v>6.4331503488846975E-2</v>
      </c>
    </row>
    <row r="516" spans="8:9" x14ac:dyDescent="0.3">
      <c r="H516">
        <v>2.62</v>
      </c>
      <c r="I516" s="53">
        <f t="shared" si="14"/>
        <v>6.4167705788051782E-2</v>
      </c>
    </row>
    <row r="517" spans="8:9" x14ac:dyDescent="0.3">
      <c r="H517">
        <v>2.63</v>
      </c>
      <c r="I517" s="53">
        <f t="shared" si="14"/>
        <v>6.4004946754834202E-2</v>
      </c>
    </row>
    <row r="518" spans="8:9" x14ac:dyDescent="0.3">
      <c r="H518">
        <v>2.64</v>
      </c>
      <c r="I518" s="53">
        <f t="shared" si="14"/>
        <v>6.3843215890959426E-2</v>
      </c>
    </row>
    <row r="519" spans="8:9" x14ac:dyDescent="0.3">
      <c r="H519">
        <v>2.65</v>
      </c>
      <c r="I519" s="53">
        <f t="shared" si="14"/>
        <v>6.3682502843542974E-2</v>
      </c>
    </row>
    <row r="520" spans="8:9" x14ac:dyDescent="0.3">
      <c r="H520">
        <v>2.66</v>
      </c>
      <c r="I520" s="53">
        <f t="shared" si="14"/>
        <v>6.3522797402498971E-2</v>
      </c>
    </row>
    <row r="521" spans="8:9" x14ac:dyDescent="0.3">
      <c r="H521">
        <v>2.67</v>
      </c>
      <c r="I521" s="53">
        <f t="shared" si="14"/>
        <v>6.3364089498042855E-2</v>
      </c>
    </row>
    <row r="522" spans="8:9" x14ac:dyDescent="0.3">
      <c r="H522">
        <v>2.68</v>
      </c>
      <c r="I522" s="53">
        <f t="shared" si="14"/>
        <v>6.3206369198246654E-2</v>
      </c>
    </row>
    <row r="523" spans="8:9" x14ac:dyDescent="0.3">
      <c r="H523">
        <v>2.69</v>
      </c>
      <c r="I523" s="53">
        <f t="shared" si="14"/>
        <v>6.30496267066461E-2</v>
      </c>
    </row>
    <row r="524" spans="8:9" x14ac:dyDescent="0.3">
      <c r="H524">
        <v>2.7</v>
      </c>
      <c r="I524" s="53">
        <f t="shared" si="14"/>
        <v>6.2893852359897653E-2</v>
      </c>
    </row>
    <row r="525" spans="8:9" x14ac:dyDescent="0.3">
      <c r="H525">
        <v>2.71</v>
      </c>
      <c r="I525" s="53">
        <f t="shared" si="14"/>
        <v>6.2739036625484884E-2</v>
      </c>
    </row>
    <row r="526" spans="8:9" x14ac:dyDescent="0.3">
      <c r="H526">
        <v>2.72</v>
      </c>
      <c r="I526" s="53">
        <f t="shared" si="14"/>
        <v>6.2585170099472384E-2</v>
      </c>
    </row>
    <row r="527" spans="8:9" x14ac:dyDescent="0.3">
      <c r="H527">
        <v>2.73</v>
      </c>
      <c r="I527" s="53">
        <f t="shared" si="14"/>
        <v>6.2432243504306546E-2</v>
      </c>
    </row>
    <row r="528" spans="8:9" x14ac:dyDescent="0.3">
      <c r="H528">
        <v>2.74</v>
      </c>
      <c r="I528" s="53">
        <f t="shared" si="14"/>
        <v>6.2280247686661676E-2</v>
      </c>
    </row>
    <row r="529" spans="8:9" x14ac:dyDescent="0.3">
      <c r="H529">
        <v>2.75</v>
      </c>
      <c r="I529" s="53">
        <f t="shared" si="14"/>
        <v>6.2129173615330699E-2</v>
      </c>
    </row>
    <row r="530" spans="8:9" x14ac:dyDescent="0.3">
      <c r="H530">
        <v>2.76</v>
      </c>
      <c r="I530" s="53">
        <f t="shared" si="14"/>
        <v>6.1979012379158996E-2</v>
      </c>
    </row>
    <row r="531" spans="8:9" x14ac:dyDescent="0.3">
      <c r="H531">
        <v>2.77</v>
      </c>
      <c r="I531" s="53">
        <f t="shared" si="14"/>
        <v>6.18297551850207E-2</v>
      </c>
    </row>
    <row r="532" spans="8:9" x14ac:dyDescent="0.3">
      <c r="H532">
        <v>2.78</v>
      </c>
      <c r="I532" s="53">
        <f t="shared" si="14"/>
        <v>6.1681393355836216E-2</v>
      </c>
    </row>
    <row r="533" spans="8:9" x14ac:dyDescent="0.3">
      <c r="H533">
        <v>2.79</v>
      </c>
      <c r="I533" s="53">
        <f t="shared" si="14"/>
        <v>6.153391832862997E-2</v>
      </c>
    </row>
    <row r="534" spans="8:9" x14ac:dyDescent="0.3">
      <c r="H534">
        <v>2.8</v>
      </c>
      <c r="I534" s="53">
        <f t="shared" si="14"/>
        <v>6.1387321652627579E-2</v>
      </c>
    </row>
    <row r="535" spans="8:9" x14ac:dyDescent="0.3">
      <c r="H535">
        <v>2.81</v>
      </c>
      <c r="I535" s="53">
        <f t="shared" si="14"/>
        <v>6.1241594987391366E-2</v>
      </c>
    </row>
    <row r="536" spans="8:9" x14ac:dyDescent="0.3">
      <c r="H536">
        <v>2.82</v>
      </c>
      <c r="I536" s="53">
        <f t="shared" si="14"/>
        <v>6.1096730100993361E-2</v>
      </c>
    </row>
    <row r="537" spans="8:9" x14ac:dyDescent="0.3">
      <c r="H537">
        <v>2.83</v>
      </c>
      <c r="I537" s="53">
        <f t="shared" si="14"/>
        <v>6.0952718868224912E-2</v>
      </c>
    </row>
    <row r="538" spans="8:9" x14ac:dyDescent="0.3">
      <c r="H538">
        <v>2.84</v>
      </c>
      <c r="I538" s="53">
        <f t="shared" si="14"/>
        <v>6.0809553268842097E-2</v>
      </c>
    </row>
    <row r="539" spans="8:9" x14ac:dyDescent="0.3">
      <c r="H539">
        <v>2.85</v>
      </c>
      <c r="I539" s="53">
        <f t="shared" si="14"/>
        <v>6.0667225385845965E-2</v>
      </c>
    </row>
    <row r="540" spans="8:9" x14ac:dyDescent="0.3">
      <c r="H540">
        <v>2.86</v>
      </c>
      <c r="I540" s="53">
        <f t="shared" si="14"/>
        <v>6.0525727403796865E-2</v>
      </c>
    </row>
    <row r="541" spans="8:9" x14ac:dyDescent="0.3">
      <c r="H541">
        <v>2.87</v>
      </c>
      <c r="I541" s="53">
        <f t="shared" si="14"/>
        <v>6.0385051607162142E-2</v>
      </c>
    </row>
    <row r="542" spans="8:9" x14ac:dyDescent="0.3">
      <c r="H542">
        <v>2.88</v>
      </c>
      <c r="I542" s="53">
        <f t="shared" si="14"/>
        <v>6.0245190378696391E-2</v>
      </c>
    </row>
    <row r="543" spans="8:9" x14ac:dyDescent="0.3">
      <c r="H543">
        <v>2.89</v>
      </c>
      <c r="I543" s="53">
        <f t="shared" si="14"/>
        <v>6.0106136197853308E-2</v>
      </c>
    </row>
    <row r="544" spans="8:9" x14ac:dyDescent="0.3">
      <c r="H544">
        <v>2.9</v>
      </c>
      <c r="I544" s="53">
        <f t="shared" si="14"/>
        <v>5.9967881639228844E-2</v>
      </c>
    </row>
    <row r="545" spans="8:9" x14ac:dyDescent="0.3">
      <c r="H545">
        <v>2.91</v>
      </c>
      <c r="I545" s="53">
        <f t="shared" si="14"/>
        <v>5.9830419371034442E-2</v>
      </c>
    </row>
    <row r="546" spans="8:9" x14ac:dyDescent="0.3">
      <c r="H546">
        <v>2.92</v>
      </c>
      <c r="I546" s="53">
        <f t="shared" si="14"/>
        <v>5.9693742153600148E-2</v>
      </c>
    </row>
    <row r="547" spans="8:9" x14ac:dyDescent="0.3">
      <c r="H547">
        <v>2.93</v>
      </c>
      <c r="I547" s="53">
        <f t="shared" si="14"/>
        <v>5.9557842837906549E-2</v>
      </c>
    </row>
    <row r="548" spans="8:9" x14ac:dyDescent="0.3">
      <c r="H548">
        <v>2.94</v>
      </c>
      <c r="I548" s="53">
        <f t="shared" si="14"/>
        <v>5.9422714364145E-2</v>
      </c>
    </row>
    <row r="549" spans="8:9" x14ac:dyDescent="0.3">
      <c r="H549">
        <v>2.95</v>
      </c>
      <c r="I549" s="53">
        <f t="shared" si="14"/>
        <v>5.9288349760305649E-2</v>
      </c>
    </row>
    <row r="550" spans="8:9" x14ac:dyDescent="0.3">
      <c r="H550">
        <v>2.96</v>
      </c>
      <c r="I550" s="53">
        <f t="shared" si="14"/>
        <v>5.9154742140792402E-2</v>
      </c>
    </row>
    <row r="551" spans="8:9" x14ac:dyDescent="0.3">
      <c r="H551">
        <v>2.97</v>
      </c>
      <c r="I551" s="53">
        <f t="shared" si="14"/>
        <v>5.9021884705064413E-2</v>
      </c>
    </row>
    <row r="552" spans="8:9" x14ac:dyDescent="0.3">
      <c r="H552">
        <v>2.98</v>
      </c>
      <c r="I552" s="53">
        <f t="shared" si="14"/>
        <v>5.8889770736303346E-2</v>
      </c>
    </row>
    <row r="553" spans="8:9" x14ac:dyDescent="0.3">
      <c r="H553">
        <v>2.99</v>
      </c>
      <c r="I553" s="53">
        <f t="shared" si="14"/>
        <v>5.8758393600105874E-2</v>
      </c>
    </row>
    <row r="554" spans="8:9" x14ac:dyDescent="0.3">
      <c r="H554">
        <v>3</v>
      </c>
      <c r="I554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7:L237"/>
    <mergeCell ref="B173:L173"/>
    <mergeCell ref="E174:G174"/>
    <mergeCell ref="K174:L174"/>
    <mergeCell ref="H223:J223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>   &gt; 30%   Hay presiones internas</v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 t="shared" ref="D112:D118" si="2">$E$71*C112/100</f>
        <v>0.34978229419451934</v>
      </c>
      <c r="F112" s="122" t="s">
        <v>206</v>
      </c>
      <c r="G112" s="123">
        <v>0.9</v>
      </c>
      <c r="H112" s="124">
        <f t="shared" ref="H112:H118" si="3">$E$72*G112/100</f>
        <v>-0.21861393387157457</v>
      </c>
      <c r="J112" s="122" t="s">
        <v>207</v>
      </c>
      <c r="K112" s="123">
        <v>0.9</v>
      </c>
      <c r="L112" s="124">
        <f t="shared" ref="L112:L124" si="4"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 t="shared" ref="T112:T123" si="5">$E$74*S112/100</f>
        <v>-0.17003305967789131</v>
      </c>
      <c r="W112" s="122" t="str">
        <f t="shared" ref="W112:X118" si="6">B112</f>
        <v>LA-1</v>
      </c>
      <c r="X112" s="123">
        <f t="shared" si="6"/>
        <v>0.9</v>
      </c>
      <c r="Y112" s="124">
        <f t="shared" ref="Y112:Y118" si="7">-$I$95*C112/100</f>
        <v>0.21861393387157457</v>
      </c>
      <c r="AA112" s="122" t="str">
        <f t="shared" ref="AA112:AB118" si="8">F112</f>
        <v>LB-1</v>
      </c>
      <c r="AB112" s="123">
        <f t="shared" si="8"/>
        <v>0.9</v>
      </c>
      <c r="AC112" s="124">
        <f t="shared" ref="AC112:AC118" si="9">-$I$95*G112/100</f>
        <v>0.21861393387157457</v>
      </c>
      <c r="AE112" s="122" t="str">
        <f t="shared" ref="AE112:AE124" si="10">J112</f>
        <v>L1-1</v>
      </c>
      <c r="AF112" s="123">
        <f t="shared" ref="AF112:AF124" si="11">K112</f>
        <v>0.9</v>
      </c>
      <c r="AG112" s="124">
        <f t="shared" ref="AG112:AG124" si="12"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 t="shared" ref="AM112:AM123" si="14">R112</f>
        <v>VM-1</v>
      </c>
      <c r="AN112" s="123">
        <f t="shared" ref="AN112:AN123" si="15">S112</f>
        <v>0.5</v>
      </c>
      <c r="AO112" s="124">
        <f t="shared" ref="AO112:AO123" si="16">-$I$95*S112/100</f>
        <v>0.12145218548420809</v>
      </c>
      <c r="AR112" s="122" t="str">
        <f t="shared" ref="AR112:AS118" si="17">B112</f>
        <v>LA-1</v>
      </c>
      <c r="AS112" s="123">
        <f t="shared" si="17"/>
        <v>0.9</v>
      </c>
      <c r="AT112" s="124">
        <f t="shared" ref="AT112:AT118" si="18">D112+Y112</f>
        <v>0.56839622806609391</v>
      </c>
      <c r="AV112" s="122" t="str">
        <f t="shared" ref="AV112:AW118" si="19">F112</f>
        <v>LB-1</v>
      </c>
      <c r="AW112" s="123">
        <f t="shared" si="19"/>
        <v>0.9</v>
      </c>
      <c r="AX112" s="124">
        <f t="shared" ref="AX112:AX118" si="20">H112+AC112</f>
        <v>0</v>
      </c>
      <c r="AZ112" s="122" t="str">
        <f t="shared" ref="AZ112:AZ124" si="21">J112</f>
        <v>L1-1</v>
      </c>
      <c r="BA112" s="123">
        <f t="shared" ref="BA112:BA124" si="22">K112</f>
        <v>0.9</v>
      </c>
      <c r="BB112" s="124">
        <f t="shared" ref="BB112:BB124" si="23"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 t="shared" ref="BH112:BH123" si="25">R112</f>
        <v>VM-1</v>
      </c>
      <c r="BI112" s="123">
        <f t="shared" ref="BI112:BI123" si="26">S112</f>
        <v>0.5</v>
      </c>
      <c r="BJ112" s="124">
        <f t="shared" ref="BJ112:BJ123" si="27"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 t="shared" si="2"/>
        <v>0.46637639225935912</v>
      </c>
      <c r="F113" s="122" t="s">
        <v>209</v>
      </c>
      <c r="G113" s="123">
        <v>1.2</v>
      </c>
      <c r="H113" s="124">
        <f t="shared" si="3"/>
        <v>-0.29148524516209939</v>
      </c>
      <c r="J113" s="122" t="s">
        <v>210</v>
      </c>
      <c r="K113" s="123">
        <v>1.2</v>
      </c>
      <c r="L113" s="124">
        <f t="shared" si="4"/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 t="shared" si="5"/>
        <v>-0.42508264919472827</v>
      </c>
      <c r="W113" s="122" t="str">
        <f t="shared" si="6"/>
        <v>LA-2 a 7</v>
      </c>
      <c r="X113" s="123">
        <f t="shared" si="6"/>
        <v>1.2</v>
      </c>
      <c r="Y113" s="124">
        <f t="shared" si="7"/>
        <v>0.29148524516209939</v>
      </c>
      <c r="AA113" s="122" t="str">
        <f t="shared" si="8"/>
        <v>LB-2 a 7</v>
      </c>
      <c r="AB113" s="123">
        <f t="shared" si="8"/>
        <v>1.2</v>
      </c>
      <c r="AC113" s="124">
        <f t="shared" si="9"/>
        <v>0.29148524516209939</v>
      </c>
      <c r="AE113" s="122" t="str">
        <f t="shared" si="10"/>
        <v>L1-2</v>
      </c>
      <c r="AF113" s="123">
        <f t="shared" si="11"/>
        <v>1.2</v>
      </c>
      <c r="AG113" s="124">
        <f t="shared" si="12"/>
        <v>0.29148524516209939</v>
      </c>
      <c r="AI113" s="122"/>
      <c r="AJ113" s="123"/>
      <c r="AK113" s="124">
        <f t="shared" si="13"/>
        <v>0</v>
      </c>
      <c r="AM113" s="122" t="str">
        <f t="shared" si="14"/>
        <v>LT-1</v>
      </c>
      <c r="AN113" s="123">
        <f t="shared" si="15"/>
        <v>1.25</v>
      </c>
      <c r="AO113" s="124">
        <f t="shared" si="16"/>
        <v>0.30363046371052022</v>
      </c>
      <c r="AR113" s="122" t="str">
        <f t="shared" si="17"/>
        <v>LA-2 a 7</v>
      </c>
      <c r="AS113" s="123">
        <f t="shared" si="17"/>
        <v>1.2</v>
      </c>
      <c r="AT113" s="124">
        <f t="shared" si="18"/>
        <v>0.75786163742145851</v>
      </c>
      <c r="AV113" s="122" t="str">
        <f t="shared" si="19"/>
        <v>LB-2 a 7</v>
      </c>
      <c r="AW113" s="123">
        <f t="shared" si="19"/>
        <v>1.2</v>
      </c>
      <c r="AX113" s="124">
        <f t="shared" si="20"/>
        <v>0</v>
      </c>
      <c r="AZ113" s="122" t="str">
        <f t="shared" si="21"/>
        <v>L1-2</v>
      </c>
      <c r="BA113" s="123">
        <f t="shared" si="22"/>
        <v>1.2</v>
      </c>
      <c r="BB113" s="124">
        <f t="shared" si="23"/>
        <v>-0.11659409806483978</v>
      </c>
      <c r="BD113" s="122"/>
      <c r="BE113" s="123"/>
      <c r="BF113" s="124">
        <f t="shared" si="24"/>
        <v>0</v>
      </c>
      <c r="BH113" s="122" t="str">
        <f t="shared" si="25"/>
        <v>LT-1</v>
      </c>
      <c r="BI113" s="123">
        <f t="shared" si="26"/>
        <v>1.25</v>
      </c>
      <c r="BJ113" s="124">
        <f t="shared" si="27"/>
        <v>-0.12145218548420805</v>
      </c>
    </row>
    <row r="114" spans="2:62" x14ac:dyDescent="0.3">
      <c r="B114" s="122" t="s">
        <v>211</v>
      </c>
      <c r="C114" s="123">
        <v>0.82499999999999996</v>
      </c>
      <c r="D114" s="124">
        <f t="shared" si="2"/>
        <v>0.32063376967830942</v>
      </c>
      <c r="F114" s="122" t="s">
        <v>212</v>
      </c>
      <c r="G114" s="123">
        <v>0.82499999999999996</v>
      </c>
      <c r="H114" s="124">
        <f t="shared" si="3"/>
        <v>-0.20039610604894334</v>
      </c>
      <c r="J114" s="122" t="s">
        <v>213</v>
      </c>
      <c r="K114" s="123">
        <v>0.3</v>
      </c>
      <c r="L114" s="124">
        <f t="shared" si="4"/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 t="shared" si="5"/>
        <v>-0.51009917903367397</v>
      </c>
      <c r="W114" s="122" t="str">
        <f t="shared" si="6"/>
        <v>LA-8 (1-2)</v>
      </c>
      <c r="X114" s="123">
        <f t="shared" si="6"/>
        <v>0.82499999999999996</v>
      </c>
      <c r="Y114" s="124">
        <f t="shared" si="7"/>
        <v>0.20039610604894334</v>
      </c>
      <c r="AA114" s="122" t="str">
        <f t="shared" si="8"/>
        <v>LB-8 (1-2)</v>
      </c>
      <c r="AB114" s="123">
        <f t="shared" si="8"/>
        <v>0.82499999999999996</v>
      </c>
      <c r="AC114" s="124">
        <f t="shared" si="9"/>
        <v>0.20039610604894334</v>
      </c>
      <c r="AE114" s="122" t="str">
        <f t="shared" si="10"/>
        <v>Dintel P.</v>
      </c>
      <c r="AF114" s="123">
        <f t="shared" si="11"/>
        <v>0.3</v>
      </c>
      <c r="AG114" s="124">
        <f t="shared" si="12"/>
        <v>7.2871311290524848E-2</v>
      </c>
      <c r="AI114" s="122"/>
      <c r="AJ114" s="123"/>
      <c r="AK114" s="124">
        <f t="shared" si="13"/>
        <v>0</v>
      </c>
      <c r="AM114" s="122" t="str">
        <f t="shared" si="14"/>
        <v>LT-2</v>
      </c>
      <c r="AN114" s="123">
        <f t="shared" si="15"/>
        <v>1.5</v>
      </c>
      <c r="AO114" s="124">
        <f t="shared" si="16"/>
        <v>0.36435655645262427</v>
      </c>
      <c r="AR114" s="122" t="str">
        <f t="shared" si="17"/>
        <v>LA-8 (1-2)</v>
      </c>
      <c r="AS114" s="123">
        <f t="shared" si="17"/>
        <v>0.82499999999999996</v>
      </c>
      <c r="AT114" s="124">
        <f t="shared" si="18"/>
        <v>0.52102987572725279</v>
      </c>
      <c r="AV114" s="122" t="str">
        <f t="shared" si="19"/>
        <v>LB-8 (1-2)</v>
      </c>
      <c r="AW114" s="123">
        <f t="shared" si="19"/>
        <v>0.82499999999999996</v>
      </c>
      <c r="AX114" s="124">
        <f t="shared" si="20"/>
        <v>0</v>
      </c>
      <c r="AZ114" s="122" t="str">
        <f t="shared" si="21"/>
        <v>Dintel P.</v>
      </c>
      <c r="BA114" s="123">
        <f t="shared" si="22"/>
        <v>0.3</v>
      </c>
      <c r="BB114" s="124">
        <f t="shared" si="23"/>
        <v>-2.9148524516209945E-2</v>
      </c>
      <c r="BD114" s="122"/>
      <c r="BE114" s="123"/>
      <c r="BF114" s="124">
        <f t="shared" si="24"/>
        <v>0</v>
      </c>
      <c r="BH114" s="122" t="str">
        <f t="shared" si="25"/>
        <v>LT-2</v>
      </c>
      <c r="BI114" s="123">
        <f t="shared" si="26"/>
        <v>1.5</v>
      </c>
      <c r="BJ114" s="124">
        <f t="shared" si="27"/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 t="shared" si="2"/>
        <v>0.38002680323253879</v>
      </c>
      <c r="F115" s="122" t="s">
        <v>215</v>
      </c>
      <c r="G115" s="123">
        <v>0.97782000000000002</v>
      </c>
      <c r="H115" s="124">
        <f t="shared" si="3"/>
        <v>-0.2375167520203367</v>
      </c>
      <c r="J115" s="122" t="s">
        <v>216</v>
      </c>
      <c r="K115" s="123">
        <v>1.2</v>
      </c>
      <c r="L115" s="124">
        <f t="shared" si="4"/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 t="shared" si="5"/>
        <v>-0.51009917903367397</v>
      </c>
      <c r="W115" s="122" t="str">
        <f t="shared" si="6"/>
        <v>LA-8 (2-3)</v>
      </c>
      <c r="X115" s="123">
        <f t="shared" si="6"/>
        <v>0.97782000000000002</v>
      </c>
      <c r="Y115" s="124">
        <f t="shared" si="7"/>
        <v>0.2375167520203367</v>
      </c>
      <c r="AA115" s="122" t="str">
        <f t="shared" si="8"/>
        <v>LB-8 (2-3)</v>
      </c>
      <c r="AB115" s="123">
        <f t="shared" si="8"/>
        <v>0.97782000000000002</v>
      </c>
      <c r="AC115" s="124">
        <f t="shared" si="9"/>
        <v>0.2375167520203367</v>
      </c>
      <c r="AE115" s="122" t="str">
        <f t="shared" si="10"/>
        <v>L1-3</v>
      </c>
      <c r="AF115" s="123">
        <f t="shared" si="11"/>
        <v>1.2</v>
      </c>
      <c r="AG115" s="124">
        <f t="shared" si="12"/>
        <v>0.29148524516209939</v>
      </c>
      <c r="AI115" s="122"/>
      <c r="AJ115" s="123"/>
      <c r="AK115" s="124">
        <f t="shared" si="13"/>
        <v>0</v>
      </c>
      <c r="AM115" s="122" t="str">
        <f t="shared" si="14"/>
        <v>LT-3</v>
      </c>
      <c r="AN115" s="123">
        <f t="shared" si="15"/>
        <v>1.5</v>
      </c>
      <c r="AO115" s="124">
        <f t="shared" si="16"/>
        <v>0.36435655645262427</v>
      </c>
      <c r="AR115" s="122" t="str">
        <f t="shared" si="17"/>
        <v>LA-8 (2-3)</v>
      </c>
      <c r="AS115" s="123">
        <f t="shared" si="17"/>
        <v>0.97782000000000002</v>
      </c>
      <c r="AT115" s="124">
        <f t="shared" si="18"/>
        <v>0.61754355525287552</v>
      </c>
      <c r="AV115" s="122" t="str">
        <f t="shared" si="19"/>
        <v>LB-8 (2-3)</v>
      </c>
      <c r="AW115" s="123">
        <f t="shared" si="19"/>
        <v>0.97782000000000002</v>
      </c>
      <c r="AX115" s="124">
        <f t="shared" si="20"/>
        <v>0</v>
      </c>
      <c r="AZ115" s="122" t="str">
        <f t="shared" si="21"/>
        <v>L1-3</v>
      </c>
      <c r="BA115" s="123">
        <f t="shared" si="22"/>
        <v>1.2</v>
      </c>
      <c r="BB115" s="124">
        <f t="shared" si="23"/>
        <v>-0.11659409806483978</v>
      </c>
      <c r="BD115" s="122"/>
      <c r="BE115" s="123"/>
      <c r="BF115" s="124">
        <f t="shared" si="24"/>
        <v>0</v>
      </c>
      <c r="BH115" s="122" t="str">
        <f t="shared" si="25"/>
        <v>LT-3</v>
      </c>
      <c r="BI115" s="123">
        <f t="shared" si="26"/>
        <v>1.5</v>
      </c>
      <c r="BJ115" s="124">
        <f t="shared" si="27"/>
        <v>-0.1457426225810497</v>
      </c>
    </row>
    <row r="116" spans="2:62" x14ac:dyDescent="0.3">
      <c r="B116" s="122" t="s">
        <v>285</v>
      </c>
      <c r="C116" s="123">
        <v>0.58531500000000003</v>
      </c>
      <c r="D116" s="124">
        <f t="shared" si="2"/>
        <v>0.22748091502940568</v>
      </c>
      <c r="F116" s="122" t="s">
        <v>286</v>
      </c>
      <c r="G116" s="123">
        <v>0.58531500000000003</v>
      </c>
      <c r="H116" s="124">
        <f t="shared" si="3"/>
        <v>-0.14217557189337854</v>
      </c>
      <c r="J116" s="122" t="s">
        <v>219</v>
      </c>
      <c r="K116" s="123">
        <v>0.9</v>
      </c>
      <c r="L116" s="124">
        <f t="shared" si="4"/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 t="shared" si="5"/>
        <v>-0.51009917903367397</v>
      </c>
      <c r="W116" s="122" t="str">
        <f t="shared" si="6"/>
        <v>LA-9 (1-2)</v>
      </c>
      <c r="X116" s="123">
        <f t="shared" si="6"/>
        <v>0.58531500000000003</v>
      </c>
      <c r="Y116" s="124">
        <f t="shared" si="7"/>
        <v>0.14217557189337854</v>
      </c>
      <c r="AA116" s="122" t="str">
        <f t="shared" si="8"/>
        <v>LB-9 (1-2)</v>
      </c>
      <c r="AB116" s="123">
        <f t="shared" si="8"/>
        <v>0.58531500000000003</v>
      </c>
      <c r="AC116" s="124">
        <f t="shared" si="9"/>
        <v>0.14217557189337854</v>
      </c>
      <c r="AE116" s="122" t="str">
        <f t="shared" si="10"/>
        <v>L1-3 P.</v>
      </c>
      <c r="AF116" s="123">
        <f t="shared" si="11"/>
        <v>0.9</v>
      </c>
      <c r="AG116" s="124">
        <f t="shared" si="12"/>
        <v>0.21861393387157457</v>
      </c>
      <c r="AI116" s="122"/>
      <c r="AJ116" s="123"/>
      <c r="AK116" s="124">
        <f t="shared" si="13"/>
        <v>0</v>
      </c>
      <c r="AM116" s="122" t="str">
        <f t="shared" si="14"/>
        <v>LT-4</v>
      </c>
      <c r="AN116" s="123">
        <f t="shared" si="15"/>
        <v>1.5</v>
      </c>
      <c r="AO116" s="124">
        <f t="shared" si="16"/>
        <v>0.36435655645262427</v>
      </c>
      <c r="AR116" s="122" t="str">
        <f t="shared" si="17"/>
        <v>LA-9 (1-2)</v>
      </c>
      <c r="AS116" s="123">
        <f t="shared" si="17"/>
        <v>0.58531500000000003</v>
      </c>
      <c r="AT116" s="124">
        <f t="shared" si="18"/>
        <v>0.36965648692278419</v>
      </c>
      <c r="AV116" s="122" t="str">
        <f t="shared" si="19"/>
        <v>LB-9 (1-2)</v>
      </c>
      <c r="AW116" s="123">
        <f t="shared" si="19"/>
        <v>0.58531500000000003</v>
      </c>
      <c r="AX116" s="124">
        <f t="shared" si="20"/>
        <v>0</v>
      </c>
      <c r="AZ116" s="122" t="str">
        <f t="shared" si="21"/>
        <v>L1-3 P.</v>
      </c>
      <c r="BA116" s="123">
        <f t="shared" si="22"/>
        <v>0.9</v>
      </c>
      <c r="BB116" s="124">
        <f t="shared" si="23"/>
        <v>-8.7445573548629807E-2</v>
      </c>
      <c r="BD116" s="122"/>
      <c r="BE116" s="123"/>
      <c r="BF116" s="124">
        <f t="shared" si="24"/>
        <v>0</v>
      </c>
      <c r="BH116" s="122" t="str">
        <f t="shared" si="25"/>
        <v>LT-4</v>
      </c>
      <c r="BI116" s="123">
        <f t="shared" si="26"/>
        <v>1.5</v>
      </c>
      <c r="BJ116" s="124">
        <f t="shared" si="27"/>
        <v>-0.1457426225810497</v>
      </c>
    </row>
    <row r="117" spans="2:62" x14ac:dyDescent="0.3">
      <c r="B117" s="122" t="s">
        <v>217</v>
      </c>
      <c r="C117" s="123">
        <v>0.360315</v>
      </c>
      <c r="D117" s="124">
        <f t="shared" si="2"/>
        <v>0.14003534148077582</v>
      </c>
      <c r="F117" s="122" t="s">
        <v>218</v>
      </c>
      <c r="G117" s="123">
        <v>0.360315</v>
      </c>
      <c r="H117" s="124">
        <f t="shared" si="3"/>
        <v>-8.7522088425484867E-2</v>
      </c>
      <c r="J117" s="122" t="s">
        <v>222</v>
      </c>
      <c r="K117" s="123">
        <v>1.2</v>
      </c>
      <c r="L117" s="124">
        <f t="shared" si="4"/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 t="shared" si="5"/>
        <v>-0.51009917903367397</v>
      </c>
      <c r="W117" s="122" t="str">
        <f t="shared" si="6"/>
        <v>VA-1 sup.</v>
      </c>
      <c r="X117" s="123">
        <f t="shared" si="6"/>
        <v>0.360315</v>
      </c>
      <c r="Y117" s="124">
        <f t="shared" si="7"/>
        <v>8.7522088425484867E-2</v>
      </c>
      <c r="AA117" s="122" t="str">
        <f t="shared" si="8"/>
        <v>VB-1 sup.</v>
      </c>
      <c r="AB117" s="123">
        <f t="shared" si="8"/>
        <v>0.360315</v>
      </c>
      <c r="AC117" s="124">
        <f t="shared" si="9"/>
        <v>8.7522088425484867E-2</v>
      </c>
      <c r="AE117" s="122" t="str">
        <f t="shared" si="10"/>
        <v>L1-4</v>
      </c>
      <c r="AF117" s="123">
        <f t="shared" si="11"/>
        <v>1.2</v>
      </c>
      <c r="AG117" s="124">
        <f t="shared" si="12"/>
        <v>0.29148524516209939</v>
      </c>
      <c r="AI117" s="122"/>
      <c r="AJ117" s="123"/>
      <c r="AK117" s="124">
        <f t="shared" si="13"/>
        <v>0</v>
      </c>
      <c r="AM117" s="122" t="str">
        <f t="shared" si="14"/>
        <v>LT-5</v>
      </c>
      <c r="AN117" s="123">
        <f t="shared" si="15"/>
        <v>1.5</v>
      </c>
      <c r="AO117" s="124">
        <f t="shared" si="16"/>
        <v>0.36435655645262427</v>
      </c>
      <c r="AR117" s="122" t="str">
        <f t="shared" si="17"/>
        <v>VA-1 sup.</v>
      </c>
      <c r="AS117" s="123">
        <f t="shared" si="17"/>
        <v>0.360315</v>
      </c>
      <c r="AT117" s="124">
        <f t="shared" si="18"/>
        <v>0.22755742990626068</v>
      </c>
      <c r="AV117" s="122" t="str">
        <f t="shared" si="19"/>
        <v>VB-1 sup.</v>
      </c>
      <c r="AW117" s="123">
        <f t="shared" si="19"/>
        <v>0.360315</v>
      </c>
      <c r="AX117" s="124">
        <f t="shared" si="20"/>
        <v>0</v>
      </c>
      <c r="AZ117" s="122" t="str">
        <f t="shared" si="21"/>
        <v>L1-4</v>
      </c>
      <c r="BA117" s="123">
        <f t="shared" si="22"/>
        <v>1.2</v>
      </c>
      <c r="BB117" s="124">
        <f t="shared" si="23"/>
        <v>-0.11659409806483978</v>
      </c>
      <c r="BD117" s="122"/>
      <c r="BE117" s="123"/>
      <c r="BF117" s="124">
        <f t="shared" si="24"/>
        <v>0</v>
      </c>
      <c r="BH117" s="122" t="str">
        <f t="shared" si="25"/>
        <v>LT-5</v>
      </c>
      <c r="BI117" s="123">
        <f t="shared" si="26"/>
        <v>1.5</v>
      </c>
      <c r="BJ117" s="124">
        <f t="shared" si="27"/>
        <v>-0.1457426225810497</v>
      </c>
    </row>
    <row r="118" spans="2:62" x14ac:dyDescent="0.3">
      <c r="B118" s="122" t="s">
        <v>220</v>
      </c>
      <c r="C118" s="123">
        <v>0.37781999999999999</v>
      </c>
      <c r="D118" s="124">
        <f t="shared" si="2"/>
        <v>0.14683860710285923</v>
      </c>
      <c r="F118" s="122" t="s">
        <v>221</v>
      </c>
      <c r="G118" s="123">
        <v>0.37781999999999999</v>
      </c>
      <c r="H118" s="124">
        <f t="shared" si="3"/>
        <v>-9.1774129439286992E-2</v>
      </c>
      <c r="J118" s="122" t="s">
        <v>223</v>
      </c>
      <c r="K118" s="123">
        <v>1.2</v>
      </c>
      <c r="L118" s="124">
        <f t="shared" si="4"/>
        <v>-0.408079343226939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 t="shared" si="5"/>
        <v>-0.51009917903367397</v>
      </c>
      <c r="W118" s="122" t="str">
        <f t="shared" si="6"/>
        <v>VA-2 sup.</v>
      </c>
      <c r="X118" s="123">
        <f t="shared" si="6"/>
        <v>0.37781999999999999</v>
      </c>
      <c r="Y118" s="124">
        <f t="shared" si="7"/>
        <v>9.1774129439286992E-2</v>
      </c>
      <c r="AA118" s="122" t="str">
        <f t="shared" si="8"/>
        <v>VB-2 sup.</v>
      </c>
      <c r="AB118" s="123">
        <f t="shared" si="8"/>
        <v>0.37781999999999999</v>
      </c>
      <c r="AC118" s="124">
        <f t="shared" si="9"/>
        <v>9.1774129439286992E-2</v>
      </c>
      <c r="AE118" s="122" t="str">
        <f t="shared" si="10"/>
        <v>L1-5</v>
      </c>
      <c r="AF118" s="123">
        <f t="shared" si="11"/>
        <v>1.2</v>
      </c>
      <c r="AG118" s="124">
        <f t="shared" si="12"/>
        <v>0.291485245162099</v>
      </c>
      <c r="AI118" s="122"/>
      <c r="AJ118" s="123"/>
      <c r="AK118" s="124">
        <f t="shared" si="13"/>
        <v>0</v>
      </c>
      <c r="AM118" s="122" t="str">
        <f t="shared" si="14"/>
        <v>LT-6</v>
      </c>
      <c r="AN118" s="123">
        <f t="shared" si="15"/>
        <v>1.5</v>
      </c>
      <c r="AO118" s="124">
        <f t="shared" si="16"/>
        <v>0.36435655645262427</v>
      </c>
      <c r="AR118" s="122" t="str">
        <f t="shared" si="17"/>
        <v>VA-2 sup.</v>
      </c>
      <c r="AS118" s="123">
        <f t="shared" si="17"/>
        <v>0.37781999999999999</v>
      </c>
      <c r="AT118" s="124">
        <f t="shared" si="18"/>
        <v>0.23861273654214621</v>
      </c>
      <c r="AV118" s="122" t="str">
        <f t="shared" si="19"/>
        <v>VB-2 sup.</v>
      </c>
      <c r="AW118" s="123">
        <f t="shared" si="19"/>
        <v>0.37781999999999999</v>
      </c>
      <c r="AX118" s="124">
        <f t="shared" si="20"/>
        <v>0</v>
      </c>
      <c r="AZ118" s="122" t="str">
        <f t="shared" si="21"/>
        <v>L1-5</v>
      </c>
      <c r="BA118" s="123">
        <f t="shared" si="22"/>
        <v>1.2</v>
      </c>
      <c r="BB118" s="124">
        <f t="shared" si="23"/>
        <v>-0.11659409806484</v>
      </c>
      <c r="BD118" s="122"/>
      <c r="BE118" s="123"/>
      <c r="BF118" s="124">
        <f t="shared" si="24"/>
        <v>0</v>
      </c>
      <c r="BH118" s="122" t="str">
        <f t="shared" si="25"/>
        <v>LT-6</v>
      </c>
      <c r="BI118" s="123">
        <f t="shared" si="26"/>
        <v>1.5</v>
      </c>
      <c r="BJ118" s="124">
        <f t="shared" si="27"/>
        <v>-0.1457426225810497</v>
      </c>
    </row>
    <row r="119" spans="2:62" x14ac:dyDescent="0.3">
      <c r="J119" s="122" t="s">
        <v>224</v>
      </c>
      <c r="K119" s="123">
        <v>1.2</v>
      </c>
      <c r="L119" s="124">
        <f t="shared" si="4"/>
        <v>-0.40807934322693917</v>
      </c>
      <c r="R119" s="122" t="s">
        <v>241</v>
      </c>
      <c r="S119" s="123">
        <v>1.5</v>
      </c>
      <c r="T119" s="124">
        <f t="shared" si="5"/>
        <v>-0.51009917903367397</v>
      </c>
      <c r="AE119" s="122" t="str">
        <f t="shared" si="10"/>
        <v>L1-6 lat.</v>
      </c>
      <c r="AF119" s="123">
        <f t="shared" si="11"/>
        <v>1.2</v>
      </c>
      <c r="AG119" s="124">
        <f t="shared" si="12"/>
        <v>0.29148524516209939</v>
      </c>
      <c r="AM119" s="122" t="str">
        <f t="shared" si="14"/>
        <v>VM-2</v>
      </c>
      <c r="AN119" s="123">
        <f t="shared" si="15"/>
        <v>1.5</v>
      </c>
      <c r="AO119" s="124">
        <f t="shared" si="16"/>
        <v>0.36435655645262427</v>
      </c>
      <c r="AZ119" s="122" t="str">
        <f t="shared" si="21"/>
        <v>L1-6 lat.</v>
      </c>
      <c r="BA119" s="123">
        <f t="shared" si="22"/>
        <v>1.2</v>
      </c>
      <c r="BB119" s="124">
        <f t="shared" si="23"/>
        <v>-0.11659409806483978</v>
      </c>
      <c r="BH119" s="122" t="str">
        <f t="shared" si="25"/>
        <v>VM-2</v>
      </c>
      <c r="BI119" s="123">
        <f t="shared" si="26"/>
        <v>1.5</v>
      </c>
      <c r="BJ119" s="124">
        <f t="shared" si="27"/>
        <v>-0.1457426225810497</v>
      </c>
    </row>
    <row r="120" spans="2:62" x14ac:dyDescent="0.3">
      <c r="J120" s="122" t="s">
        <v>225</v>
      </c>
      <c r="K120" s="123">
        <v>0.6</v>
      </c>
      <c r="L120" s="124">
        <f t="shared" si="4"/>
        <v>-0.20403967161347</v>
      </c>
      <c r="R120" s="122" t="s">
        <v>233</v>
      </c>
      <c r="S120" s="123">
        <v>1.5</v>
      </c>
      <c r="T120" s="124">
        <f t="shared" si="5"/>
        <v>-0.51009917903367397</v>
      </c>
      <c r="AE120" s="122" t="str">
        <f t="shared" si="10"/>
        <v>L1-6 cen.</v>
      </c>
      <c r="AF120" s="123">
        <f t="shared" si="11"/>
        <v>0.6</v>
      </c>
      <c r="AG120" s="124">
        <f t="shared" si="12"/>
        <v>0.14574262258105</v>
      </c>
      <c r="AM120" s="122" t="str">
        <f t="shared" si="14"/>
        <v>LT-7</v>
      </c>
      <c r="AN120" s="123">
        <f t="shared" si="15"/>
        <v>1.5</v>
      </c>
      <c r="AO120" s="124">
        <f t="shared" si="16"/>
        <v>0.36435655645262427</v>
      </c>
      <c r="AZ120" s="122" t="str">
        <f t="shared" si="21"/>
        <v>L1-6 cen.</v>
      </c>
      <c r="BA120" s="123">
        <f t="shared" si="22"/>
        <v>0.6</v>
      </c>
      <c r="BB120" s="124">
        <f t="shared" si="23"/>
        <v>-0.0582970490324199</v>
      </c>
      <c r="BH120" s="122" t="str">
        <f t="shared" si="25"/>
        <v>LT-7</v>
      </c>
      <c r="BI120" s="123">
        <f t="shared" si="26"/>
        <v>1.5</v>
      </c>
      <c r="BJ120" s="124">
        <f t="shared" si="27"/>
        <v>-0.1457426225810497</v>
      </c>
    </row>
    <row r="121" spans="2:62" x14ac:dyDescent="0.3">
      <c r="J121" s="122" t="s">
        <v>226</v>
      </c>
      <c r="K121" s="123">
        <v>1.2</v>
      </c>
      <c r="L121" s="124">
        <f t="shared" si="4"/>
        <v>-0.408079343226939</v>
      </c>
      <c r="R121" s="122" t="s">
        <v>236</v>
      </c>
      <c r="S121" s="123">
        <v>1.5</v>
      </c>
      <c r="T121" s="124">
        <f t="shared" si="5"/>
        <v>-0.51009917903367397</v>
      </c>
      <c r="AE121" s="122" t="str">
        <f t="shared" si="10"/>
        <v>L1-7</v>
      </c>
      <c r="AF121" s="123">
        <f t="shared" si="11"/>
        <v>1.2</v>
      </c>
      <c r="AG121" s="124">
        <f t="shared" si="12"/>
        <v>0.291485245162099</v>
      </c>
      <c r="AM121" s="122" t="str">
        <f t="shared" si="14"/>
        <v>LT-8</v>
      </c>
      <c r="AN121" s="123">
        <f t="shared" si="15"/>
        <v>1.5</v>
      </c>
      <c r="AO121" s="124">
        <f t="shared" si="16"/>
        <v>0.36435655645262427</v>
      </c>
      <c r="AZ121" s="122" t="str">
        <f t="shared" si="21"/>
        <v>L1-7</v>
      </c>
      <c r="BA121" s="123">
        <f t="shared" si="22"/>
        <v>1.2</v>
      </c>
      <c r="BB121" s="124">
        <f t="shared" si="23"/>
        <v>-0.11659409806484</v>
      </c>
      <c r="BH121" s="122" t="str">
        <f t="shared" si="25"/>
        <v>LT-8</v>
      </c>
      <c r="BI121" s="123">
        <f t="shared" si="26"/>
        <v>1.5</v>
      </c>
      <c r="BJ121" s="124">
        <f t="shared" si="27"/>
        <v>-0.1457426225810497</v>
      </c>
    </row>
    <row r="122" spans="2:62" x14ac:dyDescent="0.3">
      <c r="J122" s="122" t="s">
        <v>227</v>
      </c>
      <c r="K122" s="123">
        <v>0.82499999999999996</v>
      </c>
      <c r="L122" s="124">
        <f t="shared" si="4"/>
        <v>-0.28055454846852063</v>
      </c>
      <c r="R122" s="122" t="s">
        <v>239</v>
      </c>
      <c r="S122" s="123">
        <v>1.5</v>
      </c>
      <c r="T122" s="124">
        <f t="shared" si="5"/>
        <v>-0.51009917903367397</v>
      </c>
      <c r="AE122" s="122" t="str">
        <f t="shared" si="10"/>
        <v>L1-8</v>
      </c>
      <c r="AF122" s="123">
        <f t="shared" si="11"/>
        <v>0.82499999999999996</v>
      </c>
      <c r="AG122" s="124">
        <f t="shared" si="12"/>
        <v>0.20039610604894334</v>
      </c>
      <c r="AM122" s="122" t="str">
        <f t="shared" si="14"/>
        <v>LT-9</v>
      </c>
      <c r="AN122" s="123">
        <f t="shared" si="15"/>
        <v>1.5</v>
      </c>
      <c r="AO122" s="124">
        <f t="shared" si="16"/>
        <v>0.36435655645262427</v>
      </c>
      <c r="AZ122" s="122" t="str">
        <f t="shared" si="21"/>
        <v>L1-8</v>
      </c>
      <c r="BA122" s="123">
        <f t="shared" si="22"/>
        <v>0.82499999999999996</v>
      </c>
      <c r="BB122" s="124">
        <f t="shared" si="23"/>
        <v>-8.0158442419577286E-2</v>
      </c>
      <c r="BH122" s="122" t="str">
        <f t="shared" si="25"/>
        <v>LT-9</v>
      </c>
      <c r="BI122" s="123">
        <f t="shared" si="26"/>
        <v>1.5</v>
      </c>
      <c r="BJ122" s="124">
        <f t="shared" si="27"/>
        <v>-0.1457426225810497</v>
      </c>
    </row>
    <row r="123" spans="2:62" x14ac:dyDescent="0.3">
      <c r="J123" s="122" t="s">
        <v>287</v>
      </c>
      <c r="K123" s="123">
        <v>0.71499999999999997</v>
      </c>
      <c r="L123" s="124">
        <f t="shared" si="4"/>
        <v>-0.24314727533938454</v>
      </c>
      <c r="R123" s="122" t="s">
        <v>242</v>
      </c>
      <c r="S123" s="123">
        <v>0.75</v>
      </c>
      <c r="T123" s="124">
        <f t="shared" si="5"/>
        <v>-0.25504958951683698</v>
      </c>
      <c r="AE123" s="122" t="str">
        <f t="shared" si="10"/>
        <v>L1-9</v>
      </c>
      <c r="AF123" s="123">
        <f t="shared" si="11"/>
        <v>0.71499999999999997</v>
      </c>
      <c r="AG123" s="124">
        <f t="shared" si="12"/>
        <v>0.17367662524241756</v>
      </c>
      <c r="AM123" s="122" t="str">
        <f t="shared" si="14"/>
        <v>VM-3</v>
      </c>
      <c r="AN123" s="123">
        <f t="shared" si="15"/>
        <v>0.75</v>
      </c>
      <c r="AO123" s="124">
        <f t="shared" si="16"/>
        <v>0.18217827822631213</v>
      </c>
      <c r="AZ123" s="122" t="str">
        <f t="shared" si="21"/>
        <v>L1-9</v>
      </c>
      <c r="BA123" s="123">
        <f t="shared" si="22"/>
        <v>0.71499999999999997</v>
      </c>
      <c r="BB123" s="124">
        <f t="shared" si="23"/>
        <v>-6.9470650096966985E-2</v>
      </c>
      <c r="BH123" s="122" t="str">
        <f t="shared" si="25"/>
        <v>VM-3</v>
      </c>
      <c r="BI123" s="123">
        <f t="shared" si="26"/>
        <v>0.75</v>
      </c>
      <c r="BJ123" s="124">
        <f t="shared" si="27"/>
        <v>-7.2871311290524848E-2</v>
      </c>
    </row>
    <row r="124" spans="2:62" x14ac:dyDescent="0.3">
      <c r="J124" s="122" t="s">
        <v>228</v>
      </c>
      <c r="K124" s="123">
        <v>0.49</v>
      </c>
      <c r="L124" s="124">
        <f t="shared" si="4"/>
        <v>-0.1666323984843335</v>
      </c>
      <c r="AE124" s="122" t="str">
        <f t="shared" si="10"/>
        <v>VM-1 sup.</v>
      </c>
      <c r="AF124" s="123">
        <f t="shared" si="11"/>
        <v>0.49</v>
      </c>
      <c r="AG124" s="124">
        <f t="shared" si="12"/>
        <v>0.11902314177452393</v>
      </c>
      <c r="AZ124" s="122" t="str">
        <f t="shared" si="21"/>
        <v>VM-1 sup.</v>
      </c>
      <c r="BA124" s="123">
        <f t="shared" si="22"/>
        <v>0.49</v>
      </c>
      <c r="BB124" s="124">
        <f t="shared" si="23"/>
        <v>-4.7609256709809575E-2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 t="shared" ref="D142:D148" si="28">$E$71*C142/100</f>
        <v>0.34978229419451934</v>
      </c>
      <c r="F142" s="122" t="s">
        <v>205</v>
      </c>
      <c r="G142" s="123">
        <v>0.9</v>
      </c>
      <c r="H142" s="124">
        <f t="shared" ref="H142:H148" si="29">$E$72*G142/100</f>
        <v>-0.21861393387157457</v>
      </c>
      <c r="J142" s="122" t="s">
        <v>207</v>
      </c>
      <c r="K142" s="123">
        <v>0.9</v>
      </c>
      <c r="L142" s="124">
        <f t="shared" ref="L142:L154" si="30"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 t="shared" ref="T142:T153" si="31">$E$74*S142/100</f>
        <v>-0.17003305967789131</v>
      </c>
      <c r="W142" s="122" t="str">
        <f t="shared" ref="W142:X148" si="32">B142</f>
        <v>LB-1</v>
      </c>
      <c r="X142" s="123">
        <f t="shared" si="32"/>
        <v>0.9</v>
      </c>
      <c r="Y142" s="124">
        <f t="shared" ref="Y142:Y148" si="33">-$I$96*C142/100</f>
        <v>0.21861393387157457</v>
      </c>
      <c r="AA142" s="122" t="str">
        <f t="shared" ref="AA142:AB148" si="34">F142</f>
        <v>LA-1</v>
      </c>
      <c r="AB142" s="123">
        <f t="shared" si="34"/>
        <v>0.9</v>
      </c>
      <c r="AC142" s="124">
        <f t="shared" ref="AC142:AC148" si="35">-$I$96*G142/100</f>
        <v>0.21861393387157457</v>
      </c>
      <c r="AE142" s="122" t="str">
        <f t="shared" ref="AE142:AE154" si="36">J142</f>
        <v>L1-1</v>
      </c>
      <c r="AF142" s="123">
        <f t="shared" ref="AF142:AF154" si="37">K142</f>
        <v>0.9</v>
      </c>
      <c r="AG142" s="124">
        <f t="shared" ref="AG142:AG154" si="38"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 t="shared" ref="AM142:AM153" si="40">R142</f>
        <v>VM-1</v>
      </c>
      <c r="AN142" s="123">
        <f t="shared" ref="AN142:AN153" si="41">S142</f>
        <v>0.5</v>
      </c>
      <c r="AO142" s="124">
        <f t="shared" ref="AO142:AO153" si="42">-$I$96*S142/100</f>
        <v>0.12145218548420809</v>
      </c>
      <c r="AR142" s="122" t="str">
        <f t="shared" ref="AR142:AS148" si="43">B142</f>
        <v>LB-1</v>
      </c>
      <c r="AS142" s="123">
        <f t="shared" si="43"/>
        <v>0.9</v>
      </c>
      <c r="AT142" s="124">
        <f t="shared" ref="AT142:AT148" si="44">D142+Y142</f>
        <v>0.56839622806609391</v>
      </c>
      <c r="AV142" s="122" t="str">
        <f t="shared" ref="AV142:AW148" si="45">F142</f>
        <v>LA-1</v>
      </c>
      <c r="AW142" s="123">
        <f t="shared" si="45"/>
        <v>0.9</v>
      </c>
      <c r="AX142" s="124">
        <f t="shared" ref="AX142:AX148" si="46">H142+AC142</f>
        <v>0</v>
      </c>
      <c r="AZ142" s="122" t="str">
        <f t="shared" ref="AZ142:AZ154" si="47">J142</f>
        <v>L1-1</v>
      </c>
      <c r="BA142" s="123">
        <f t="shared" ref="BA142:BA154" si="48">K142</f>
        <v>0.9</v>
      </c>
      <c r="BB142" s="124">
        <f t="shared" ref="BB142:BB154" si="49"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 t="shared" ref="BH142:BH153" si="51">R142</f>
        <v>VM-1</v>
      </c>
      <c r="BI142" s="123">
        <f t="shared" ref="BI142:BI153" si="52">S142</f>
        <v>0.5</v>
      </c>
      <c r="BJ142" s="124">
        <f t="shared" ref="BJ142:BJ153" si="53"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 t="shared" si="28"/>
        <v>0.46637639225935912</v>
      </c>
      <c r="F143" s="122" t="s">
        <v>208</v>
      </c>
      <c r="G143" s="123">
        <v>1.2</v>
      </c>
      <c r="H143" s="124">
        <f t="shared" si="29"/>
        <v>-0.29148524516209939</v>
      </c>
      <c r="J143" s="122" t="s">
        <v>210</v>
      </c>
      <c r="K143" s="123">
        <v>1.2</v>
      </c>
      <c r="L143" s="124">
        <f t="shared" si="30"/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 t="shared" si="31"/>
        <v>-0.42508264919472827</v>
      </c>
      <c r="W143" s="122" t="str">
        <f t="shared" si="32"/>
        <v>LB-2 a 7</v>
      </c>
      <c r="X143" s="123">
        <f t="shared" si="32"/>
        <v>1.2</v>
      </c>
      <c r="Y143" s="124">
        <f t="shared" si="33"/>
        <v>0.29148524516209939</v>
      </c>
      <c r="AA143" s="122" t="str">
        <f t="shared" si="34"/>
        <v>LA-2 a 7</v>
      </c>
      <c r="AB143" s="123">
        <f t="shared" si="34"/>
        <v>1.2</v>
      </c>
      <c r="AC143" s="124">
        <f t="shared" si="35"/>
        <v>0.29148524516209939</v>
      </c>
      <c r="AE143" s="122" t="str">
        <f t="shared" si="36"/>
        <v>L1-2</v>
      </c>
      <c r="AF143" s="123">
        <f t="shared" si="37"/>
        <v>1.2</v>
      </c>
      <c r="AG143" s="124">
        <f t="shared" si="38"/>
        <v>0.29148524516209939</v>
      </c>
      <c r="AI143" s="122"/>
      <c r="AJ143" s="123"/>
      <c r="AK143" s="124">
        <f t="shared" si="39"/>
        <v>0</v>
      </c>
      <c r="AM143" s="122" t="str">
        <f t="shared" si="40"/>
        <v>LT-1</v>
      </c>
      <c r="AN143" s="123">
        <f t="shared" si="41"/>
        <v>1.25</v>
      </c>
      <c r="AO143" s="124">
        <f t="shared" si="42"/>
        <v>0.30363046371052022</v>
      </c>
      <c r="AR143" s="122" t="str">
        <f t="shared" si="43"/>
        <v>LB-2 a 7</v>
      </c>
      <c r="AS143" s="123">
        <f t="shared" si="43"/>
        <v>1.2</v>
      </c>
      <c r="AT143" s="124">
        <f t="shared" si="44"/>
        <v>0.75786163742145851</v>
      </c>
      <c r="AV143" s="122" t="str">
        <f t="shared" si="45"/>
        <v>LA-2 a 7</v>
      </c>
      <c r="AW143" s="123">
        <f t="shared" si="45"/>
        <v>1.2</v>
      </c>
      <c r="AX143" s="124">
        <f t="shared" si="46"/>
        <v>0</v>
      </c>
      <c r="AZ143" s="122" t="str">
        <f t="shared" si="47"/>
        <v>L1-2</v>
      </c>
      <c r="BA143" s="123">
        <f t="shared" si="48"/>
        <v>1.2</v>
      </c>
      <c r="BB143" s="124">
        <f t="shared" si="49"/>
        <v>-0.11659409806483978</v>
      </c>
      <c r="BD143" s="122"/>
      <c r="BE143" s="123"/>
      <c r="BF143" s="124">
        <f t="shared" si="50"/>
        <v>0</v>
      </c>
      <c r="BH143" s="122" t="str">
        <f t="shared" si="51"/>
        <v>LT-1</v>
      </c>
      <c r="BI143" s="123">
        <f t="shared" si="52"/>
        <v>1.25</v>
      </c>
      <c r="BJ143" s="124">
        <f t="shared" si="53"/>
        <v>-0.12145218548420805</v>
      </c>
    </row>
    <row r="144" spans="2:63" x14ac:dyDescent="0.3">
      <c r="B144" s="122" t="s">
        <v>212</v>
      </c>
      <c r="C144" s="123">
        <v>0.82499999999999996</v>
      </c>
      <c r="D144" s="124">
        <f t="shared" si="28"/>
        <v>0.32063376967830942</v>
      </c>
      <c r="F144" s="122" t="s">
        <v>211</v>
      </c>
      <c r="G144" s="123">
        <v>0.82499999999999996</v>
      </c>
      <c r="H144" s="124">
        <f t="shared" si="29"/>
        <v>-0.20039610604894334</v>
      </c>
      <c r="J144" s="122" t="s">
        <v>213</v>
      </c>
      <c r="K144" s="123">
        <v>0.3</v>
      </c>
      <c r="L144" s="124">
        <f t="shared" si="30"/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 t="shared" si="31"/>
        <v>-0.51009917903367397</v>
      </c>
      <c r="W144" s="122" t="str">
        <f t="shared" si="32"/>
        <v>LB-8 (1-2)</v>
      </c>
      <c r="X144" s="123">
        <f t="shared" si="32"/>
        <v>0.82499999999999996</v>
      </c>
      <c r="Y144" s="124">
        <f t="shared" si="33"/>
        <v>0.20039610604894334</v>
      </c>
      <c r="AA144" s="122" t="str">
        <f t="shared" si="34"/>
        <v>LA-8 (1-2)</v>
      </c>
      <c r="AB144" s="123">
        <f t="shared" si="34"/>
        <v>0.82499999999999996</v>
      </c>
      <c r="AC144" s="124">
        <f t="shared" si="35"/>
        <v>0.20039610604894334</v>
      </c>
      <c r="AE144" s="122" t="str">
        <f t="shared" si="36"/>
        <v>Dintel P.</v>
      </c>
      <c r="AF144" s="123">
        <f t="shared" si="37"/>
        <v>0.3</v>
      </c>
      <c r="AG144" s="124">
        <f t="shared" si="38"/>
        <v>7.2871311290524848E-2</v>
      </c>
      <c r="AI144" s="122"/>
      <c r="AJ144" s="123"/>
      <c r="AK144" s="124">
        <f t="shared" si="39"/>
        <v>0</v>
      </c>
      <c r="AM144" s="122" t="str">
        <f t="shared" si="40"/>
        <v>LT-2</v>
      </c>
      <c r="AN144" s="123">
        <f t="shared" si="41"/>
        <v>1.5</v>
      </c>
      <c r="AO144" s="124">
        <f t="shared" si="42"/>
        <v>0.36435655645262427</v>
      </c>
      <c r="AR144" s="122" t="str">
        <f t="shared" si="43"/>
        <v>LB-8 (1-2)</v>
      </c>
      <c r="AS144" s="123">
        <f t="shared" si="43"/>
        <v>0.82499999999999996</v>
      </c>
      <c r="AT144" s="124">
        <f t="shared" si="44"/>
        <v>0.52102987572725279</v>
      </c>
      <c r="AV144" s="122" t="str">
        <f t="shared" si="45"/>
        <v>LA-8 (1-2)</v>
      </c>
      <c r="AW144" s="123">
        <f t="shared" si="45"/>
        <v>0.82499999999999996</v>
      </c>
      <c r="AX144" s="124">
        <f t="shared" si="46"/>
        <v>0</v>
      </c>
      <c r="AZ144" s="122" t="str">
        <f t="shared" si="47"/>
        <v>Dintel P.</v>
      </c>
      <c r="BA144" s="123">
        <f t="shared" si="48"/>
        <v>0.3</v>
      </c>
      <c r="BB144" s="124">
        <f t="shared" si="49"/>
        <v>-2.9148524516209945E-2</v>
      </c>
      <c r="BD144" s="122"/>
      <c r="BE144" s="123"/>
      <c r="BF144" s="124">
        <f t="shared" si="50"/>
        <v>0</v>
      </c>
      <c r="BH144" s="122" t="str">
        <f t="shared" si="51"/>
        <v>LT-2</v>
      </c>
      <c r="BI144" s="123">
        <f t="shared" si="52"/>
        <v>1.5</v>
      </c>
      <c r="BJ144" s="124">
        <f t="shared" si="53"/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 t="shared" si="28"/>
        <v>0.38002680323253879</v>
      </c>
      <c r="F145" s="122" t="s">
        <v>214</v>
      </c>
      <c r="G145" s="123">
        <v>0.97782000000000002</v>
      </c>
      <c r="H145" s="124">
        <f t="shared" si="29"/>
        <v>-0.2375167520203367</v>
      </c>
      <c r="J145" s="122" t="s">
        <v>216</v>
      </c>
      <c r="K145" s="123">
        <v>1.2</v>
      </c>
      <c r="L145" s="124">
        <f t="shared" si="30"/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 t="shared" si="31"/>
        <v>-0.51009917903367397</v>
      </c>
      <c r="W145" s="122" t="str">
        <f t="shared" si="32"/>
        <v>LB-8 (2-3)</v>
      </c>
      <c r="X145" s="123">
        <f t="shared" si="32"/>
        <v>0.97782000000000002</v>
      </c>
      <c r="Y145" s="124">
        <f t="shared" si="33"/>
        <v>0.2375167520203367</v>
      </c>
      <c r="AA145" s="122" t="str">
        <f t="shared" si="34"/>
        <v>LA-8 (2-3)</v>
      </c>
      <c r="AB145" s="123">
        <f t="shared" si="34"/>
        <v>0.97782000000000002</v>
      </c>
      <c r="AC145" s="124">
        <f t="shared" si="35"/>
        <v>0.2375167520203367</v>
      </c>
      <c r="AE145" s="122" t="str">
        <f t="shared" si="36"/>
        <v>L1-3</v>
      </c>
      <c r="AF145" s="123">
        <f t="shared" si="37"/>
        <v>1.2</v>
      </c>
      <c r="AG145" s="124">
        <f t="shared" si="38"/>
        <v>0.29148524516209939</v>
      </c>
      <c r="AI145" s="122"/>
      <c r="AJ145" s="123"/>
      <c r="AK145" s="124">
        <f t="shared" si="39"/>
        <v>0</v>
      </c>
      <c r="AM145" s="122" t="str">
        <f t="shared" si="40"/>
        <v>LT-3</v>
      </c>
      <c r="AN145" s="123">
        <f t="shared" si="41"/>
        <v>1.5</v>
      </c>
      <c r="AO145" s="124">
        <f t="shared" si="42"/>
        <v>0.36435655645262427</v>
      </c>
      <c r="AR145" s="122" t="str">
        <f t="shared" si="43"/>
        <v>LB-8 (2-3)</v>
      </c>
      <c r="AS145" s="123">
        <f t="shared" si="43"/>
        <v>0.97782000000000002</v>
      </c>
      <c r="AT145" s="124">
        <f t="shared" si="44"/>
        <v>0.61754355525287552</v>
      </c>
      <c r="AV145" s="122" t="str">
        <f t="shared" si="45"/>
        <v>LA-8 (2-3)</v>
      </c>
      <c r="AW145" s="123">
        <f t="shared" si="45"/>
        <v>0.97782000000000002</v>
      </c>
      <c r="AX145" s="124">
        <f t="shared" si="46"/>
        <v>0</v>
      </c>
      <c r="AZ145" s="122" t="str">
        <f t="shared" si="47"/>
        <v>L1-3</v>
      </c>
      <c r="BA145" s="123">
        <f t="shared" si="48"/>
        <v>1.2</v>
      </c>
      <c r="BB145" s="124">
        <f t="shared" si="49"/>
        <v>-0.11659409806483978</v>
      </c>
      <c r="BD145" s="122"/>
      <c r="BE145" s="123"/>
      <c r="BF145" s="124">
        <f t="shared" si="50"/>
        <v>0</v>
      </c>
      <c r="BH145" s="122" t="str">
        <f t="shared" si="51"/>
        <v>LT-3</v>
      </c>
      <c r="BI145" s="123">
        <f t="shared" si="52"/>
        <v>1.5</v>
      </c>
      <c r="BJ145" s="124">
        <f t="shared" si="53"/>
        <v>-0.1457426225810497</v>
      </c>
    </row>
    <row r="146" spans="2:62" x14ac:dyDescent="0.3">
      <c r="B146" s="122" t="s">
        <v>286</v>
      </c>
      <c r="C146" s="123">
        <v>0.58531500000000003</v>
      </c>
      <c r="D146" s="124">
        <f t="shared" si="28"/>
        <v>0.22748091502940568</v>
      </c>
      <c r="F146" s="122" t="s">
        <v>285</v>
      </c>
      <c r="G146" s="123">
        <v>0.58531500000000003</v>
      </c>
      <c r="H146" s="124">
        <f t="shared" si="29"/>
        <v>-0.14217557189337854</v>
      </c>
      <c r="J146" s="122" t="s">
        <v>219</v>
      </c>
      <c r="K146" s="123">
        <v>0.9</v>
      </c>
      <c r="L146" s="124">
        <f t="shared" si="30"/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 t="shared" si="31"/>
        <v>-0.51009917903367397</v>
      </c>
      <c r="W146" s="122" t="str">
        <f t="shared" si="32"/>
        <v>LB-9 (1-2)</v>
      </c>
      <c r="X146" s="123">
        <f t="shared" si="32"/>
        <v>0.58531500000000003</v>
      </c>
      <c r="Y146" s="124">
        <f t="shared" si="33"/>
        <v>0.14217557189337854</v>
      </c>
      <c r="AA146" s="122" t="str">
        <f t="shared" si="34"/>
        <v>LA-9 (1-2)</v>
      </c>
      <c r="AB146" s="123">
        <f t="shared" si="34"/>
        <v>0.58531500000000003</v>
      </c>
      <c r="AC146" s="124">
        <f t="shared" si="35"/>
        <v>0.14217557189337854</v>
      </c>
      <c r="AE146" s="122" t="str">
        <f t="shared" si="36"/>
        <v>L1-3 P.</v>
      </c>
      <c r="AF146" s="123">
        <f t="shared" si="37"/>
        <v>0.9</v>
      </c>
      <c r="AG146" s="124">
        <f t="shared" si="38"/>
        <v>0.21861393387157457</v>
      </c>
      <c r="AI146" s="122"/>
      <c r="AJ146" s="123"/>
      <c r="AK146" s="124">
        <f t="shared" si="39"/>
        <v>0</v>
      </c>
      <c r="AM146" s="122" t="str">
        <f t="shared" si="40"/>
        <v>LT-4</v>
      </c>
      <c r="AN146" s="123">
        <f t="shared" si="41"/>
        <v>1.5</v>
      </c>
      <c r="AO146" s="124">
        <f t="shared" si="42"/>
        <v>0.36435655645262427</v>
      </c>
      <c r="AR146" s="122" t="str">
        <f t="shared" si="43"/>
        <v>LB-9 (1-2)</v>
      </c>
      <c r="AS146" s="123">
        <f t="shared" si="43"/>
        <v>0.58531500000000003</v>
      </c>
      <c r="AT146" s="124">
        <f t="shared" si="44"/>
        <v>0.36965648692278419</v>
      </c>
      <c r="AV146" s="122" t="str">
        <f t="shared" si="45"/>
        <v>LA-9 (1-2)</v>
      </c>
      <c r="AW146" s="123">
        <f t="shared" si="45"/>
        <v>0.58531500000000003</v>
      </c>
      <c r="AX146" s="124">
        <f t="shared" si="46"/>
        <v>0</v>
      </c>
      <c r="AZ146" s="122" t="str">
        <f t="shared" si="47"/>
        <v>L1-3 P.</v>
      </c>
      <c r="BA146" s="123">
        <f t="shared" si="48"/>
        <v>0.9</v>
      </c>
      <c r="BB146" s="124">
        <f t="shared" si="49"/>
        <v>-8.7445573548629807E-2</v>
      </c>
      <c r="BD146" s="122"/>
      <c r="BE146" s="123"/>
      <c r="BF146" s="124">
        <f t="shared" si="50"/>
        <v>0</v>
      </c>
      <c r="BH146" s="122" t="str">
        <f t="shared" si="51"/>
        <v>LT-4</v>
      </c>
      <c r="BI146" s="123">
        <f t="shared" si="52"/>
        <v>1.5</v>
      </c>
      <c r="BJ146" s="124">
        <f t="shared" si="53"/>
        <v>-0.1457426225810497</v>
      </c>
    </row>
    <row r="147" spans="2:62" x14ac:dyDescent="0.3">
      <c r="B147" s="122" t="s">
        <v>218</v>
      </c>
      <c r="C147" s="123">
        <v>0.360315</v>
      </c>
      <c r="D147" s="124">
        <f t="shared" si="28"/>
        <v>0.14003534148077582</v>
      </c>
      <c r="F147" s="122" t="s">
        <v>217</v>
      </c>
      <c r="G147" s="123">
        <v>0.360315</v>
      </c>
      <c r="H147" s="124">
        <f t="shared" si="29"/>
        <v>-8.7522088425484867E-2</v>
      </c>
      <c r="J147" s="122" t="s">
        <v>222</v>
      </c>
      <c r="K147" s="123">
        <v>1.2</v>
      </c>
      <c r="L147" s="124">
        <f t="shared" si="30"/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 t="shared" si="31"/>
        <v>-0.51009917903367397</v>
      </c>
      <c r="W147" s="122" t="str">
        <f t="shared" si="32"/>
        <v>VB-1 sup.</v>
      </c>
      <c r="X147" s="123">
        <f t="shared" si="32"/>
        <v>0.360315</v>
      </c>
      <c r="Y147" s="124">
        <f t="shared" si="33"/>
        <v>8.7522088425484867E-2</v>
      </c>
      <c r="AA147" s="122" t="str">
        <f t="shared" si="34"/>
        <v>VA-1 sup.</v>
      </c>
      <c r="AB147" s="123">
        <f t="shared" si="34"/>
        <v>0.360315</v>
      </c>
      <c r="AC147" s="124">
        <f t="shared" si="35"/>
        <v>8.7522088425484867E-2</v>
      </c>
      <c r="AE147" s="122" t="str">
        <f t="shared" si="36"/>
        <v>L1-4</v>
      </c>
      <c r="AF147" s="123">
        <f t="shared" si="37"/>
        <v>1.2</v>
      </c>
      <c r="AG147" s="124">
        <f t="shared" si="38"/>
        <v>0.29148524516209939</v>
      </c>
      <c r="AI147" s="122"/>
      <c r="AJ147" s="123"/>
      <c r="AK147" s="124">
        <f t="shared" si="39"/>
        <v>0</v>
      </c>
      <c r="AM147" s="122" t="str">
        <f t="shared" si="40"/>
        <v>LT-5</v>
      </c>
      <c r="AN147" s="123">
        <f t="shared" si="41"/>
        <v>1.5</v>
      </c>
      <c r="AO147" s="124">
        <f t="shared" si="42"/>
        <v>0.36435655645262427</v>
      </c>
      <c r="AR147" s="122" t="str">
        <f t="shared" si="43"/>
        <v>VB-1 sup.</v>
      </c>
      <c r="AS147" s="123">
        <f t="shared" si="43"/>
        <v>0.360315</v>
      </c>
      <c r="AT147" s="124">
        <f t="shared" si="44"/>
        <v>0.22755742990626068</v>
      </c>
      <c r="AV147" s="122" t="str">
        <f t="shared" si="45"/>
        <v>VA-1 sup.</v>
      </c>
      <c r="AW147" s="123">
        <f t="shared" si="45"/>
        <v>0.360315</v>
      </c>
      <c r="AX147" s="124">
        <f t="shared" si="46"/>
        <v>0</v>
      </c>
      <c r="AZ147" s="122" t="str">
        <f t="shared" si="47"/>
        <v>L1-4</v>
      </c>
      <c r="BA147" s="123">
        <f t="shared" si="48"/>
        <v>1.2</v>
      </c>
      <c r="BB147" s="124">
        <f t="shared" si="49"/>
        <v>-0.11659409806483978</v>
      </c>
      <c r="BD147" s="122"/>
      <c r="BE147" s="123"/>
      <c r="BF147" s="124">
        <f t="shared" si="50"/>
        <v>0</v>
      </c>
      <c r="BH147" s="122" t="str">
        <f t="shared" si="51"/>
        <v>LT-5</v>
      </c>
      <c r="BI147" s="123">
        <f t="shared" si="52"/>
        <v>1.5</v>
      </c>
      <c r="BJ147" s="124">
        <f t="shared" si="53"/>
        <v>-0.1457426225810497</v>
      </c>
    </row>
    <row r="148" spans="2:62" x14ac:dyDescent="0.3">
      <c r="B148" s="122" t="s">
        <v>221</v>
      </c>
      <c r="C148" s="123">
        <v>0.37781999999999999</v>
      </c>
      <c r="D148" s="124">
        <f t="shared" si="28"/>
        <v>0.14683860710285923</v>
      </c>
      <c r="F148" s="122" t="s">
        <v>220</v>
      </c>
      <c r="G148" s="123">
        <v>0.37781999999999999</v>
      </c>
      <c r="H148" s="124">
        <f t="shared" si="29"/>
        <v>-9.1774129439286992E-2</v>
      </c>
      <c r="J148" s="122" t="s">
        <v>223</v>
      </c>
      <c r="K148" s="123">
        <v>1.2</v>
      </c>
      <c r="L148" s="124">
        <f t="shared" si="30"/>
        <v>-0.408079343226939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 t="shared" si="31"/>
        <v>-0.51009917903367397</v>
      </c>
      <c r="W148" s="122" t="str">
        <f t="shared" si="32"/>
        <v>VB-2 sup.</v>
      </c>
      <c r="X148" s="123">
        <f t="shared" si="32"/>
        <v>0.37781999999999999</v>
      </c>
      <c r="Y148" s="124">
        <f t="shared" si="33"/>
        <v>9.1774129439286992E-2</v>
      </c>
      <c r="AA148" s="122" t="str">
        <f t="shared" si="34"/>
        <v>VA-2 sup.</v>
      </c>
      <c r="AB148" s="123">
        <f t="shared" si="34"/>
        <v>0.37781999999999999</v>
      </c>
      <c r="AC148" s="124">
        <f t="shared" si="35"/>
        <v>9.1774129439286992E-2</v>
      </c>
      <c r="AE148" s="122" t="str">
        <f t="shared" si="36"/>
        <v>L1-5</v>
      </c>
      <c r="AF148" s="123">
        <f t="shared" si="37"/>
        <v>1.2</v>
      </c>
      <c r="AG148" s="124">
        <f t="shared" si="38"/>
        <v>0.291485245162099</v>
      </c>
      <c r="AI148" s="122"/>
      <c r="AJ148" s="123"/>
      <c r="AK148" s="124">
        <f t="shared" si="39"/>
        <v>0</v>
      </c>
      <c r="AM148" s="122" t="str">
        <f t="shared" si="40"/>
        <v>LT-6</v>
      </c>
      <c r="AN148" s="123">
        <f t="shared" si="41"/>
        <v>1.5</v>
      </c>
      <c r="AO148" s="124">
        <f t="shared" si="42"/>
        <v>0.36435655645262427</v>
      </c>
      <c r="AR148" s="122" t="str">
        <f t="shared" si="43"/>
        <v>VB-2 sup.</v>
      </c>
      <c r="AS148" s="123">
        <f t="shared" si="43"/>
        <v>0.37781999999999999</v>
      </c>
      <c r="AT148" s="124">
        <f t="shared" si="44"/>
        <v>0.23861273654214621</v>
      </c>
      <c r="AV148" s="122" t="str">
        <f t="shared" si="45"/>
        <v>VA-2 sup.</v>
      </c>
      <c r="AW148" s="123">
        <f t="shared" si="45"/>
        <v>0.37781999999999999</v>
      </c>
      <c r="AX148" s="124">
        <f t="shared" si="46"/>
        <v>0</v>
      </c>
      <c r="AZ148" s="122" t="str">
        <f t="shared" si="47"/>
        <v>L1-5</v>
      </c>
      <c r="BA148" s="123">
        <f t="shared" si="48"/>
        <v>1.2</v>
      </c>
      <c r="BB148" s="124">
        <f t="shared" si="49"/>
        <v>-0.11659409806484</v>
      </c>
      <c r="BD148" s="122"/>
      <c r="BE148" s="123"/>
      <c r="BF148" s="124">
        <f t="shared" si="50"/>
        <v>0</v>
      </c>
      <c r="BH148" s="122" t="str">
        <f t="shared" si="51"/>
        <v>LT-6</v>
      </c>
      <c r="BI148" s="123">
        <f t="shared" si="52"/>
        <v>1.5</v>
      </c>
      <c r="BJ148" s="124">
        <f t="shared" si="53"/>
        <v>-0.1457426225810497</v>
      </c>
    </row>
    <row r="149" spans="2:62" x14ac:dyDescent="0.3">
      <c r="J149" s="122" t="s">
        <v>224</v>
      </c>
      <c r="K149" s="123">
        <v>1.2</v>
      </c>
      <c r="L149" s="124">
        <f t="shared" si="30"/>
        <v>-0.40807934322693917</v>
      </c>
      <c r="R149" s="122" t="s">
        <v>241</v>
      </c>
      <c r="S149" s="123">
        <v>1.5</v>
      </c>
      <c r="T149" s="124">
        <f t="shared" si="31"/>
        <v>-0.51009917903367397</v>
      </c>
      <c r="AE149" s="122" t="str">
        <f t="shared" si="36"/>
        <v>L1-6 lat.</v>
      </c>
      <c r="AF149" s="123">
        <f t="shared" si="37"/>
        <v>1.2</v>
      </c>
      <c r="AG149" s="124">
        <f t="shared" si="38"/>
        <v>0.29148524516209939</v>
      </c>
      <c r="AM149" s="122" t="str">
        <f t="shared" si="40"/>
        <v>VM-2</v>
      </c>
      <c r="AN149" s="123">
        <f t="shared" si="41"/>
        <v>1.5</v>
      </c>
      <c r="AO149" s="124">
        <f t="shared" si="42"/>
        <v>0.36435655645262427</v>
      </c>
      <c r="AZ149" s="122" t="str">
        <f t="shared" si="47"/>
        <v>L1-6 lat.</v>
      </c>
      <c r="BA149" s="123">
        <f t="shared" si="48"/>
        <v>1.2</v>
      </c>
      <c r="BB149" s="124">
        <f t="shared" si="49"/>
        <v>-0.11659409806483978</v>
      </c>
      <c r="BH149" s="122" t="str">
        <f t="shared" si="51"/>
        <v>VM-2</v>
      </c>
      <c r="BI149" s="123">
        <f t="shared" si="52"/>
        <v>1.5</v>
      </c>
      <c r="BJ149" s="124">
        <f t="shared" si="53"/>
        <v>-0.1457426225810497</v>
      </c>
    </row>
    <row r="150" spans="2:62" x14ac:dyDescent="0.3">
      <c r="J150" s="122" t="s">
        <v>225</v>
      </c>
      <c r="K150" s="123">
        <v>0.6</v>
      </c>
      <c r="L150" s="124">
        <f t="shared" si="30"/>
        <v>-0.20403967161347</v>
      </c>
      <c r="R150" s="122" t="s">
        <v>233</v>
      </c>
      <c r="S150" s="123">
        <v>1.5</v>
      </c>
      <c r="T150" s="124">
        <f t="shared" si="31"/>
        <v>-0.51009917903367397</v>
      </c>
      <c r="AE150" s="122" t="str">
        <f t="shared" si="36"/>
        <v>L1-6 cen.</v>
      </c>
      <c r="AF150" s="123">
        <f t="shared" si="37"/>
        <v>0.6</v>
      </c>
      <c r="AG150" s="124">
        <f t="shared" si="38"/>
        <v>0.14574262258105</v>
      </c>
      <c r="AM150" s="122" t="str">
        <f t="shared" si="40"/>
        <v>LT-7</v>
      </c>
      <c r="AN150" s="123">
        <f t="shared" si="41"/>
        <v>1.5</v>
      </c>
      <c r="AO150" s="124">
        <f t="shared" si="42"/>
        <v>0.36435655645262427</v>
      </c>
      <c r="AZ150" s="122" t="str">
        <f t="shared" si="47"/>
        <v>L1-6 cen.</v>
      </c>
      <c r="BA150" s="123">
        <f t="shared" si="48"/>
        <v>0.6</v>
      </c>
      <c r="BB150" s="124">
        <f t="shared" si="49"/>
        <v>-0.0582970490324199</v>
      </c>
      <c r="BH150" s="122" t="str">
        <f t="shared" si="51"/>
        <v>LT-7</v>
      </c>
      <c r="BI150" s="123">
        <f t="shared" si="52"/>
        <v>1.5</v>
      </c>
      <c r="BJ150" s="124">
        <f t="shared" si="53"/>
        <v>-0.1457426225810497</v>
      </c>
    </row>
    <row r="151" spans="2:62" x14ac:dyDescent="0.3">
      <c r="J151" s="122" t="s">
        <v>226</v>
      </c>
      <c r="K151" s="123">
        <v>1.2</v>
      </c>
      <c r="L151" s="124">
        <f t="shared" si="30"/>
        <v>-0.408079343226939</v>
      </c>
      <c r="R151" s="122" t="s">
        <v>236</v>
      </c>
      <c r="S151" s="123">
        <v>1.5</v>
      </c>
      <c r="T151" s="124">
        <f t="shared" si="31"/>
        <v>-0.51009917903367397</v>
      </c>
      <c r="AE151" s="122" t="str">
        <f t="shared" si="36"/>
        <v>L1-7</v>
      </c>
      <c r="AF151" s="123">
        <f t="shared" si="37"/>
        <v>1.2</v>
      </c>
      <c r="AG151" s="124">
        <f t="shared" si="38"/>
        <v>0.291485245162099</v>
      </c>
      <c r="AM151" s="122" t="str">
        <f t="shared" si="40"/>
        <v>LT-8</v>
      </c>
      <c r="AN151" s="123">
        <f t="shared" si="41"/>
        <v>1.5</v>
      </c>
      <c r="AO151" s="124">
        <f t="shared" si="42"/>
        <v>0.36435655645262427</v>
      </c>
      <c r="AZ151" s="122" t="str">
        <f t="shared" si="47"/>
        <v>L1-7</v>
      </c>
      <c r="BA151" s="123">
        <f t="shared" si="48"/>
        <v>1.2</v>
      </c>
      <c r="BB151" s="124">
        <f t="shared" si="49"/>
        <v>-0.11659409806484</v>
      </c>
      <c r="BH151" s="122" t="str">
        <f t="shared" si="51"/>
        <v>LT-8</v>
      </c>
      <c r="BI151" s="123">
        <f t="shared" si="52"/>
        <v>1.5</v>
      </c>
      <c r="BJ151" s="124">
        <f t="shared" si="53"/>
        <v>-0.1457426225810497</v>
      </c>
    </row>
    <row r="152" spans="2:62" x14ac:dyDescent="0.3">
      <c r="J152" s="122" t="s">
        <v>227</v>
      </c>
      <c r="K152" s="123">
        <v>0.82499999999999996</v>
      </c>
      <c r="L152" s="124">
        <f t="shared" si="30"/>
        <v>-0.28055454846852063</v>
      </c>
      <c r="R152" s="122" t="s">
        <v>239</v>
      </c>
      <c r="S152" s="123">
        <v>1.5</v>
      </c>
      <c r="T152" s="124">
        <f t="shared" si="31"/>
        <v>-0.51009917903367397</v>
      </c>
      <c r="AE152" s="122" t="str">
        <f t="shared" si="36"/>
        <v>L1-8</v>
      </c>
      <c r="AF152" s="123">
        <f t="shared" si="37"/>
        <v>0.82499999999999996</v>
      </c>
      <c r="AG152" s="124">
        <f t="shared" si="38"/>
        <v>0.20039610604894334</v>
      </c>
      <c r="AM152" s="122" t="str">
        <f t="shared" si="40"/>
        <v>LT-9</v>
      </c>
      <c r="AN152" s="123">
        <f t="shared" si="41"/>
        <v>1.5</v>
      </c>
      <c r="AO152" s="124">
        <f t="shared" si="42"/>
        <v>0.36435655645262427</v>
      </c>
      <c r="AZ152" s="122" t="str">
        <f t="shared" si="47"/>
        <v>L1-8</v>
      </c>
      <c r="BA152" s="123">
        <f t="shared" si="48"/>
        <v>0.82499999999999996</v>
      </c>
      <c r="BB152" s="124">
        <f t="shared" si="49"/>
        <v>-8.0158442419577286E-2</v>
      </c>
      <c r="BH152" s="122" t="str">
        <f t="shared" si="51"/>
        <v>LT-9</v>
      </c>
      <c r="BI152" s="123">
        <f t="shared" si="52"/>
        <v>1.5</v>
      </c>
      <c r="BJ152" s="124">
        <f t="shared" si="53"/>
        <v>-0.1457426225810497</v>
      </c>
    </row>
    <row r="153" spans="2:62" x14ac:dyDescent="0.3">
      <c r="J153" s="122" t="s">
        <v>287</v>
      </c>
      <c r="K153" s="123">
        <v>0.71499999999999997</v>
      </c>
      <c r="L153" s="124">
        <f t="shared" si="30"/>
        <v>-0.24314727533938454</v>
      </c>
      <c r="R153" s="122" t="s">
        <v>242</v>
      </c>
      <c r="S153" s="123">
        <v>0.75</v>
      </c>
      <c r="T153" s="124">
        <f t="shared" si="31"/>
        <v>-0.25504958951683698</v>
      </c>
      <c r="AE153" s="122" t="str">
        <f t="shared" si="36"/>
        <v>L1-9</v>
      </c>
      <c r="AF153" s="123">
        <f t="shared" si="37"/>
        <v>0.71499999999999997</v>
      </c>
      <c r="AG153" s="124">
        <f t="shared" si="38"/>
        <v>0.17367662524241756</v>
      </c>
      <c r="AM153" s="122" t="str">
        <f t="shared" si="40"/>
        <v>VM-3</v>
      </c>
      <c r="AN153" s="123">
        <f t="shared" si="41"/>
        <v>0.75</v>
      </c>
      <c r="AO153" s="124">
        <f t="shared" si="42"/>
        <v>0.18217827822631213</v>
      </c>
      <c r="AZ153" s="122" t="str">
        <f t="shared" si="47"/>
        <v>L1-9</v>
      </c>
      <c r="BA153" s="123">
        <f t="shared" si="48"/>
        <v>0.71499999999999997</v>
      </c>
      <c r="BB153" s="124">
        <f t="shared" si="49"/>
        <v>-6.9470650096966985E-2</v>
      </c>
      <c r="BH153" s="122" t="str">
        <f t="shared" si="51"/>
        <v>VM-3</v>
      </c>
      <c r="BI153" s="123">
        <f t="shared" si="52"/>
        <v>0.75</v>
      </c>
      <c r="BJ153" s="124">
        <f t="shared" si="53"/>
        <v>-7.2871311290524848E-2</v>
      </c>
    </row>
    <row r="154" spans="2:62" x14ac:dyDescent="0.3">
      <c r="J154" s="122" t="s">
        <v>228</v>
      </c>
      <c r="K154" s="123">
        <v>0.49</v>
      </c>
      <c r="L154" s="124">
        <f t="shared" si="30"/>
        <v>-0.1666323984843335</v>
      </c>
      <c r="AE154" s="122" t="str">
        <f t="shared" si="36"/>
        <v>VM-1 sup.</v>
      </c>
      <c r="AF154" s="123">
        <f t="shared" si="37"/>
        <v>0.49</v>
      </c>
      <c r="AG154" s="124">
        <f t="shared" si="38"/>
        <v>0.11902314177452393</v>
      </c>
      <c r="AZ154" s="122" t="str">
        <f t="shared" si="47"/>
        <v>VM-1 sup.</v>
      </c>
      <c r="BA154" s="123">
        <f t="shared" si="48"/>
        <v>0.49</v>
      </c>
      <c r="BB154" s="124">
        <f t="shared" si="49"/>
        <v>-4.7609256709809575E-2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 t="shared" ref="D173:D185" si="54"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 t="shared" ref="L173:L179" si="55">$E$73*K173/100</f>
        <v>-0.30605950742020438</v>
      </c>
      <c r="N173" s="122" t="s">
        <v>206</v>
      </c>
      <c r="O173" s="123">
        <v>0.9</v>
      </c>
      <c r="P173" s="124">
        <f t="shared" ref="P173:P179" si="56">$E$73*O173/100</f>
        <v>-0.30605950742020438</v>
      </c>
      <c r="R173" s="122" t="s">
        <v>231</v>
      </c>
      <c r="S173" s="123">
        <v>0.5</v>
      </c>
      <c r="T173" s="124">
        <f t="shared" ref="T173:T184" si="57">$E$74*S173/100</f>
        <v>-0.17003305967789131</v>
      </c>
      <c r="W173" s="122" t="str">
        <f t="shared" ref="W173:W185" si="58">B173</f>
        <v>L1-1</v>
      </c>
      <c r="X173" s="123">
        <f t="shared" ref="X173:X185" si="59">C173</f>
        <v>0.9</v>
      </c>
      <c r="Y173" s="124">
        <f t="shared" ref="Y173:Y185" si="60"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 t="shared" ref="AE173:AF179" si="62">J173</f>
        <v>LA-1</v>
      </c>
      <c r="AF173" s="123">
        <f t="shared" si="62"/>
        <v>0.9</v>
      </c>
      <c r="AG173" s="124">
        <f t="shared" ref="AG173:AG179" si="63">-$I$97*K173/100</f>
        <v>0.26233672064588942</v>
      </c>
      <c r="AI173" s="122" t="str">
        <f t="shared" ref="AI173:AJ179" si="64">N173</f>
        <v>LB-1</v>
      </c>
      <c r="AJ173" s="123">
        <f t="shared" si="64"/>
        <v>0.9</v>
      </c>
      <c r="AK173" s="124">
        <f t="shared" ref="AK173:AK179" si="65">-$I$97*O173/100</f>
        <v>0.26233672064588942</v>
      </c>
      <c r="AM173" s="122" t="str">
        <f t="shared" ref="AM173:AM184" si="66">R173</f>
        <v>VM-1</v>
      </c>
      <c r="AN173" s="123">
        <f t="shared" ref="AN173:AN184" si="67">S173</f>
        <v>0.5</v>
      </c>
      <c r="AO173" s="124">
        <f t="shared" ref="AO173:AO184" si="68">-$I$97*S173/100</f>
        <v>0.1457426225810497</v>
      </c>
      <c r="AR173" s="122" t="str">
        <f t="shared" ref="AR173:AR185" si="69">B173</f>
        <v>L1-1</v>
      </c>
      <c r="AS173" s="123">
        <f t="shared" ref="AS173:AS185" si="70">C173</f>
        <v>0.9</v>
      </c>
      <c r="AT173" s="124">
        <f t="shared" ref="AT173:AT185" si="71"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 t="shared" ref="AZ173:BA179" si="73">J173</f>
        <v>LA-1</v>
      </c>
      <c r="BA173" s="123">
        <f t="shared" si="73"/>
        <v>0.9</v>
      </c>
      <c r="BB173" s="124">
        <f t="shared" ref="BB173:BB179" si="74">L173+AG173</f>
        <v>-4.3722786774314959E-2</v>
      </c>
      <c r="BD173" s="122" t="str">
        <f t="shared" ref="BD173:BE179" si="75">N173</f>
        <v>LB-1</v>
      </c>
      <c r="BE173" s="123">
        <f t="shared" si="75"/>
        <v>0.9</v>
      </c>
      <c r="BF173" s="124">
        <f t="shared" ref="BF173:BF179" si="76">P173+AK173</f>
        <v>-4.3722786774314959E-2</v>
      </c>
      <c r="BH173" s="122" t="str">
        <f t="shared" ref="BH173:BH184" si="77">R173</f>
        <v>VM-1</v>
      </c>
      <c r="BI173" s="123">
        <f t="shared" ref="BI173:BI184" si="78">S173</f>
        <v>0.5</v>
      </c>
      <c r="BJ173" s="124">
        <f t="shared" ref="BJ173:BJ184" si="79"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 t="shared" si="54"/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 t="shared" si="55"/>
        <v>-0.40807934322693917</v>
      </c>
      <c r="N174" s="122" t="s">
        <v>209</v>
      </c>
      <c r="O174" s="123">
        <v>1.2</v>
      </c>
      <c r="P174" s="124">
        <f t="shared" si="56"/>
        <v>-0.40807934322693917</v>
      </c>
      <c r="R174" s="122" t="s">
        <v>234</v>
      </c>
      <c r="S174" s="123">
        <v>1.25</v>
      </c>
      <c r="T174" s="124">
        <f t="shared" si="57"/>
        <v>-0.42508264919472827</v>
      </c>
      <c r="W174" s="122" t="str">
        <f t="shared" si="58"/>
        <v>L1-2</v>
      </c>
      <c r="X174" s="123">
        <f t="shared" si="59"/>
        <v>1.2</v>
      </c>
      <c r="Y174" s="124">
        <f t="shared" si="60"/>
        <v>0.34978229419451928</v>
      </c>
      <c r="AA174" s="122"/>
      <c r="AB174" s="123"/>
      <c r="AC174" s="124">
        <f t="shared" si="61"/>
        <v>0</v>
      </c>
      <c r="AE174" s="122" t="str">
        <f t="shared" si="62"/>
        <v>LA-2 a 7</v>
      </c>
      <c r="AF174" s="123">
        <f t="shared" si="62"/>
        <v>1.2</v>
      </c>
      <c r="AG174" s="124">
        <f t="shared" si="63"/>
        <v>0.34978229419451928</v>
      </c>
      <c r="AI174" s="122" t="str">
        <f t="shared" si="64"/>
        <v>LB-2 a 7</v>
      </c>
      <c r="AJ174" s="123">
        <f t="shared" si="64"/>
        <v>1.2</v>
      </c>
      <c r="AK174" s="124">
        <f t="shared" si="65"/>
        <v>0.34978229419451928</v>
      </c>
      <c r="AM174" s="122" t="str">
        <f t="shared" si="66"/>
        <v>LT-1</v>
      </c>
      <c r="AN174" s="123">
        <f t="shared" si="67"/>
        <v>1.25</v>
      </c>
      <c r="AO174" s="124">
        <f t="shared" si="68"/>
        <v>0.36435655645262421</v>
      </c>
      <c r="AR174" s="122" t="str">
        <f t="shared" si="69"/>
        <v>L1-2</v>
      </c>
      <c r="AS174" s="123">
        <f t="shared" si="70"/>
        <v>1.2</v>
      </c>
      <c r="AT174" s="124">
        <f t="shared" si="71"/>
        <v>0.81615868645387835</v>
      </c>
      <c r="AV174" s="122"/>
      <c r="AW174" s="123"/>
      <c r="AX174" s="124">
        <f t="shared" si="72"/>
        <v>0</v>
      </c>
      <c r="AZ174" s="122" t="str">
        <f t="shared" si="73"/>
        <v>LA-2 a 7</v>
      </c>
      <c r="BA174" s="123">
        <f t="shared" si="73"/>
        <v>1.2</v>
      </c>
      <c r="BB174" s="124">
        <f t="shared" si="74"/>
        <v>-5.829704903241989E-2</v>
      </c>
      <c r="BD174" s="122" t="str">
        <f t="shared" si="75"/>
        <v>LB-2 a 7</v>
      </c>
      <c r="BE174" s="123">
        <f t="shared" si="75"/>
        <v>1.2</v>
      </c>
      <c r="BF174" s="124">
        <f t="shared" si="76"/>
        <v>-5.829704903241989E-2</v>
      </c>
      <c r="BH174" s="122" t="str">
        <f t="shared" si="77"/>
        <v>LT-1</v>
      </c>
      <c r="BI174" s="123">
        <f t="shared" si="78"/>
        <v>1.25</v>
      </c>
      <c r="BJ174" s="124">
        <f t="shared" si="79"/>
        <v>-6.0726092742104054E-2</v>
      </c>
    </row>
    <row r="175" spans="2:63" x14ac:dyDescent="0.3">
      <c r="B175" s="122" t="s">
        <v>213</v>
      </c>
      <c r="C175" s="123">
        <v>0.3</v>
      </c>
      <c r="D175" s="124">
        <f t="shared" si="54"/>
        <v>0.11659409806483978</v>
      </c>
      <c r="F175" s="122"/>
      <c r="G175" s="123"/>
      <c r="H175" s="124">
        <v>0</v>
      </c>
      <c r="J175" s="122" t="s">
        <v>211</v>
      </c>
      <c r="K175" s="123">
        <v>0.82499999999999996</v>
      </c>
      <c r="L175" s="124">
        <f t="shared" si="55"/>
        <v>-0.28055454846852063</v>
      </c>
      <c r="N175" s="122" t="s">
        <v>212</v>
      </c>
      <c r="O175" s="123">
        <v>0.82499999999999996</v>
      </c>
      <c r="P175" s="124">
        <f t="shared" si="56"/>
        <v>-0.28055454846852063</v>
      </c>
      <c r="R175" s="122" t="s">
        <v>237</v>
      </c>
      <c r="S175" s="123">
        <v>1.5</v>
      </c>
      <c r="T175" s="124">
        <f t="shared" si="57"/>
        <v>-0.51009917903367397</v>
      </c>
      <c r="W175" s="122" t="str">
        <f t="shared" si="58"/>
        <v>Dintel P.</v>
      </c>
      <c r="X175" s="123">
        <f t="shared" si="59"/>
        <v>0.3</v>
      </c>
      <c r="Y175" s="124">
        <f t="shared" si="60"/>
        <v>8.7445573548629821E-2</v>
      </c>
      <c r="AA175" s="122"/>
      <c r="AB175" s="123"/>
      <c r="AC175" s="124">
        <f t="shared" si="61"/>
        <v>0</v>
      </c>
      <c r="AE175" s="122" t="str">
        <f t="shared" si="62"/>
        <v>LA-8 (1-2)</v>
      </c>
      <c r="AF175" s="123">
        <f t="shared" si="62"/>
        <v>0.82499999999999996</v>
      </c>
      <c r="AG175" s="124">
        <f t="shared" si="63"/>
        <v>0.24047532725873197</v>
      </c>
      <c r="AI175" s="122" t="str">
        <f t="shared" si="64"/>
        <v>LB-8 (1-2)</v>
      </c>
      <c r="AJ175" s="123">
        <f t="shared" si="64"/>
        <v>0.82499999999999996</v>
      </c>
      <c r="AK175" s="124">
        <f t="shared" si="65"/>
        <v>0.24047532725873197</v>
      </c>
      <c r="AM175" s="122" t="str">
        <f t="shared" si="66"/>
        <v>LT-2</v>
      </c>
      <c r="AN175" s="123">
        <f t="shared" si="67"/>
        <v>1.5</v>
      </c>
      <c r="AO175" s="124">
        <f t="shared" si="68"/>
        <v>0.43722786774314915</v>
      </c>
      <c r="AR175" s="122" t="str">
        <f t="shared" si="69"/>
        <v>Dintel P.</v>
      </c>
      <c r="AS175" s="123">
        <f t="shared" si="70"/>
        <v>0.3</v>
      </c>
      <c r="AT175" s="124">
        <f t="shared" si="71"/>
        <v>0.20403967161346959</v>
      </c>
      <c r="AV175" s="122"/>
      <c r="AW175" s="123"/>
      <c r="AX175" s="124">
        <f t="shared" si="72"/>
        <v>0</v>
      </c>
      <c r="AZ175" s="122" t="str">
        <f t="shared" si="73"/>
        <v>LA-8 (1-2)</v>
      </c>
      <c r="BA175" s="123">
        <f t="shared" si="73"/>
        <v>0.82499999999999996</v>
      </c>
      <c r="BB175" s="124">
        <f t="shared" si="74"/>
        <v>-4.0079221209788657E-2</v>
      </c>
      <c r="BD175" s="122" t="str">
        <f t="shared" si="75"/>
        <v>LB-8 (1-2)</v>
      </c>
      <c r="BE175" s="123">
        <f t="shared" si="75"/>
        <v>0.82499999999999996</v>
      </c>
      <c r="BF175" s="124">
        <f t="shared" si="76"/>
        <v>-4.0079221209788657E-2</v>
      </c>
      <c r="BH175" s="122" t="str">
        <f t="shared" si="77"/>
        <v>LT-2</v>
      </c>
      <c r="BI175" s="123">
        <f t="shared" si="78"/>
        <v>1.5</v>
      </c>
      <c r="BJ175" s="124">
        <f t="shared" si="79"/>
        <v>-7.2871311290524821E-2</v>
      </c>
    </row>
    <row r="176" spans="2:63" x14ac:dyDescent="0.3">
      <c r="B176" s="122" t="s">
        <v>216</v>
      </c>
      <c r="C176" s="123">
        <v>1.2</v>
      </c>
      <c r="D176" s="124">
        <f t="shared" si="54"/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 t="shared" si="55"/>
        <v>-0.3325234528284714</v>
      </c>
      <c r="N176" s="122" t="s">
        <v>215</v>
      </c>
      <c r="O176" s="123">
        <v>0.97782000000000002</v>
      </c>
      <c r="P176" s="124">
        <f t="shared" si="56"/>
        <v>-0.3325234528284714</v>
      </c>
      <c r="R176" s="122" t="s">
        <v>240</v>
      </c>
      <c r="S176" s="123">
        <v>1.5</v>
      </c>
      <c r="T176" s="124">
        <f t="shared" si="57"/>
        <v>-0.51009917903367397</v>
      </c>
      <c r="W176" s="122" t="str">
        <f t="shared" si="58"/>
        <v>L1-3</v>
      </c>
      <c r="X176" s="123">
        <f t="shared" si="59"/>
        <v>1.2</v>
      </c>
      <c r="Y176" s="124">
        <f t="shared" si="60"/>
        <v>0.34978229419451928</v>
      </c>
      <c r="AA176" s="122"/>
      <c r="AB176" s="123"/>
      <c r="AC176" s="124">
        <f t="shared" si="61"/>
        <v>0</v>
      </c>
      <c r="AE176" s="122" t="str">
        <f t="shared" si="62"/>
        <v>LA-8 (2-3)</v>
      </c>
      <c r="AF176" s="123">
        <f t="shared" si="62"/>
        <v>0.97782000000000002</v>
      </c>
      <c r="AG176" s="124">
        <f t="shared" si="63"/>
        <v>0.28502010242440401</v>
      </c>
      <c r="AI176" s="122" t="str">
        <f t="shared" si="64"/>
        <v>LB-8 (2-3)</v>
      </c>
      <c r="AJ176" s="123">
        <f t="shared" si="64"/>
        <v>0.97782000000000002</v>
      </c>
      <c r="AK176" s="124">
        <f t="shared" si="65"/>
        <v>0.28502010242440401</v>
      </c>
      <c r="AM176" s="122" t="str">
        <f t="shared" si="66"/>
        <v>LT-3</v>
      </c>
      <c r="AN176" s="123">
        <f t="shared" si="67"/>
        <v>1.5</v>
      </c>
      <c r="AO176" s="124">
        <f t="shared" si="68"/>
        <v>0.43722786774314915</v>
      </c>
      <c r="AR176" s="122" t="str">
        <f t="shared" si="69"/>
        <v>L1-3</v>
      </c>
      <c r="AS176" s="123">
        <f t="shared" si="70"/>
        <v>1.2</v>
      </c>
      <c r="AT176" s="124">
        <f t="shared" si="71"/>
        <v>0.81615868645387835</v>
      </c>
      <c r="AV176" s="122"/>
      <c r="AW176" s="123"/>
      <c r="AX176" s="124">
        <f t="shared" si="72"/>
        <v>0</v>
      </c>
      <c r="AZ176" s="122" t="str">
        <f t="shared" si="73"/>
        <v>LA-8 (2-3)</v>
      </c>
      <c r="BA176" s="123">
        <f t="shared" si="73"/>
        <v>0.97782000000000002</v>
      </c>
      <c r="BB176" s="124">
        <f t="shared" si="74"/>
        <v>-4.750335040406739E-2</v>
      </c>
      <c r="BD176" s="122" t="str">
        <f t="shared" si="75"/>
        <v>LB-8 (2-3)</v>
      </c>
      <c r="BE176" s="123">
        <f t="shared" si="75"/>
        <v>0.97782000000000002</v>
      </c>
      <c r="BF176" s="124">
        <f t="shared" si="76"/>
        <v>-4.750335040406739E-2</v>
      </c>
      <c r="BH176" s="122" t="str">
        <f t="shared" si="77"/>
        <v>LT-3</v>
      </c>
      <c r="BI176" s="123">
        <f t="shared" si="78"/>
        <v>1.5</v>
      </c>
      <c r="BJ176" s="124">
        <f t="shared" si="79"/>
        <v>-7.2871311290524821E-2</v>
      </c>
    </row>
    <row r="177" spans="2:62" x14ac:dyDescent="0.3">
      <c r="B177" s="122" t="s">
        <v>219</v>
      </c>
      <c r="C177" s="123">
        <v>0.9</v>
      </c>
      <c r="D177" s="124">
        <f t="shared" si="54"/>
        <v>0.34978229419451934</v>
      </c>
      <c r="F177" s="122"/>
      <c r="G177" s="123"/>
      <c r="H177" s="124">
        <v>0</v>
      </c>
      <c r="J177" s="122" t="s">
        <v>285</v>
      </c>
      <c r="K177" s="123">
        <v>0.58531500000000003</v>
      </c>
      <c r="L177" s="124">
        <f t="shared" si="55"/>
        <v>-0.19904580065072991</v>
      </c>
      <c r="N177" s="122" t="s">
        <v>286</v>
      </c>
      <c r="O177" s="123">
        <v>0.58531500000000003</v>
      </c>
      <c r="P177" s="124">
        <f t="shared" si="56"/>
        <v>-0.19904580065072991</v>
      </c>
      <c r="R177" s="122" t="s">
        <v>232</v>
      </c>
      <c r="S177" s="123">
        <v>1.5</v>
      </c>
      <c r="T177" s="124">
        <f t="shared" si="57"/>
        <v>-0.51009917903367397</v>
      </c>
      <c r="W177" s="122" t="str">
        <f t="shared" si="58"/>
        <v>L1-3 P.</v>
      </c>
      <c r="X177" s="123">
        <f t="shared" si="59"/>
        <v>0.9</v>
      </c>
      <c r="Y177" s="124">
        <f t="shared" si="60"/>
        <v>0.26233672064588942</v>
      </c>
      <c r="AA177" s="122"/>
      <c r="AB177" s="123"/>
      <c r="AC177" s="124">
        <f t="shared" si="61"/>
        <v>0</v>
      </c>
      <c r="AE177" s="122" t="str">
        <f t="shared" si="62"/>
        <v>LA-9 (1-2)</v>
      </c>
      <c r="AF177" s="123">
        <f t="shared" si="62"/>
        <v>0.58531500000000003</v>
      </c>
      <c r="AG177" s="124">
        <f t="shared" si="63"/>
        <v>0.17061068627205422</v>
      </c>
      <c r="AI177" s="122" t="str">
        <f t="shared" si="64"/>
        <v>LB-9 (1-2)</v>
      </c>
      <c r="AJ177" s="123">
        <f t="shared" si="64"/>
        <v>0.58531500000000003</v>
      </c>
      <c r="AK177" s="124">
        <f t="shared" si="65"/>
        <v>0.17061068627205422</v>
      </c>
      <c r="AM177" s="122" t="str">
        <f t="shared" si="66"/>
        <v>LT-4</v>
      </c>
      <c r="AN177" s="123">
        <f t="shared" si="67"/>
        <v>1.5</v>
      </c>
      <c r="AO177" s="124">
        <f t="shared" si="68"/>
        <v>0.43722786774314915</v>
      </c>
      <c r="AR177" s="122" t="str">
        <f t="shared" si="69"/>
        <v>L1-3 P.</v>
      </c>
      <c r="AS177" s="123">
        <f t="shared" si="70"/>
        <v>0.9</v>
      </c>
      <c r="AT177" s="124">
        <f t="shared" si="71"/>
        <v>0.61211901484040876</v>
      </c>
      <c r="AV177" s="122"/>
      <c r="AW177" s="123"/>
      <c r="AX177" s="124">
        <f t="shared" si="72"/>
        <v>0</v>
      </c>
      <c r="AZ177" s="122" t="str">
        <f t="shared" si="73"/>
        <v>LA-9 (1-2)</v>
      </c>
      <c r="BA177" s="123">
        <f t="shared" si="73"/>
        <v>0.58531500000000003</v>
      </c>
      <c r="BB177" s="124">
        <f t="shared" si="74"/>
        <v>-2.8435114378675685E-2</v>
      </c>
      <c r="BD177" s="122" t="str">
        <f t="shared" si="75"/>
        <v>LB-9 (1-2)</v>
      </c>
      <c r="BE177" s="123">
        <f t="shared" si="75"/>
        <v>0.58531500000000003</v>
      </c>
      <c r="BF177" s="124">
        <f t="shared" si="76"/>
        <v>-2.8435114378675685E-2</v>
      </c>
      <c r="BH177" s="122" t="str">
        <f t="shared" si="77"/>
        <v>LT-4</v>
      </c>
      <c r="BI177" s="123">
        <f t="shared" si="78"/>
        <v>1.5</v>
      </c>
      <c r="BJ177" s="124">
        <f t="shared" si="79"/>
        <v>-7.2871311290524821E-2</v>
      </c>
    </row>
    <row r="178" spans="2:62" x14ac:dyDescent="0.3">
      <c r="B178" s="122" t="s">
        <v>222</v>
      </c>
      <c r="C178" s="123">
        <v>1.2</v>
      </c>
      <c r="D178" s="124">
        <f t="shared" si="54"/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 t="shared" si="55"/>
        <v>-0.12253092379567881</v>
      </c>
      <c r="N178" s="122" t="s">
        <v>218</v>
      </c>
      <c r="O178" s="123">
        <v>0.360315</v>
      </c>
      <c r="P178" s="124">
        <f t="shared" si="56"/>
        <v>-0.12253092379567881</v>
      </c>
      <c r="R178" s="122" t="s">
        <v>235</v>
      </c>
      <c r="S178" s="123">
        <v>1.5</v>
      </c>
      <c r="T178" s="124">
        <f t="shared" si="57"/>
        <v>-0.51009917903367397</v>
      </c>
      <c r="W178" s="122" t="str">
        <f t="shared" si="58"/>
        <v>L1-4</v>
      </c>
      <c r="X178" s="123">
        <f t="shared" si="59"/>
        <v>1.2</v>
      </c>
      <c r="Y178" s="124">
        <f t="shared" si="60"/>
        <v>0.34978229419451928</v>
      </c>
      <c r="AA178" s="122"/>
      <c r="AB178" s="123"/>
      <c r="AC178" s="124">
        <f t="shared" si="61"/>
        <v>0</v>
      </c>
      <c r="AE178" s="122" t="str">
        <f t="shared" si="62"/>
        <v>VA-1 sup.</v>
      </c>
      <c r="AF178" s="123">
        <f t="shared" si="62"/>
        <v>0.360315</v>
      </c>
      <c r="AG178" s="124">
        <f t="shared" si="63"/>
        <v>0.10502650611058184</v>
      </c>
      <c r="AI178" s="122" t="str">
        <f t="shared" si="64"/>
        <v>VB-1 sup.</v>
      </c>
      <c r="AJ178" s="123">
        <f t="shared" si="64"/>
        <v>0.360315</v>
      </c>
      <c r="AK178" s="124">
        <f t="shared" si="65"/>
        <v>0.10502650611058184</v>
      </c>
      <c r="AM178" s="122" t="str">
        <f t="shared" si="66"/>
        <v>LT-5</v>
      </c>
      <c r="AN178" s="123">
        <f t="shared" si="67"/>
        <v>1.5</v>
      </c>
      <c r="AO178" s="124">
        <f t="shared" si="68"/>
        <v>0.43722786774314915</v>
      </c>
      <c r="AR178" s="122" t="str">
        <f t="shared" si="69"/>
        <v>L1-4</v>
      </c>
      <c r="AS178" s="123">
        <f t="shared" si="70"/>
        <v>1.2</v>
      </c>
      <c r="AT178" s="124">
        <f t="shared" si="71"/>
        <v>0.81615868645387835</v>
      </c>
      <c r="AV178" s="122"/>
      <c r="AW178" s="123"/>
      <c r="AX178" s="124">
        <f t="shared" si="72"/>
        <v>0</v>
      </c>
      <c r="AZ178" s="122" t="str">
        <f t="shared" si="73"/>
        <v>VA-1 sup.</v>
      </c>
      <c r="BA178" s="123">
        <f t="shared" si="73"/>
        <v>0.360315</v>
      </c>
      <c r="BB178" s="124">
        <f t="shared" si="74"/>
        <v>-1.7504417685096973E-2</v>
      </c>
      <c r="BD178" s="122" t="str">
        <f t="shared" si="75"/>
        <v>VB-1 sup.</v>
      </c>
      <c r="BE178" s="123">
        <f t="shared" si="75"/>
        <v>0.360315</v>
      </c>
      <c r="BF178" s="124">
        <f t="shared" si="76"/>
        <v>-1.7504417685096973E-2</v>
      </c>
      <c r="BH178" s="122" t="str">
        <f t="shared" si="77"/>
        <v>LT-5</v>
      </c>
      <c r="BI178" s="123">
        <f t="shared" si="78"/>
        <v>1.5</v>
      </c>
      <c r="BJ178" s="124">
        <f t="shared" si="79"/>
        <v>-7.2871311290524821E-2</v>
      </c>
    </row>
    <row r="179" spans="2:62" x14ac:dyDescent="0.3">
      <c r="B179" s="122" t="s">
        <v>223</v>
      </c>
      <c r="C179" s="123">
        <v>1.2</v>
      </c>
      <c r="D179" s="124">
        <f t="shared" si="54"/>
        <v>0.466376392259359</v>
      </c>
      <c r="F179" s="122"/>
      <c r="G179" s="123"/>
      <c r="H179" s="124">
        <v>0</v>
      </c>
      <c r="J179" s="122" t="s">
        <v>220</v>
      </c>
      <c r="K179" s="123">
        <v>0.37781999999999999</v>
      </c>
      <c r="L179" s="124">
        <f t="shared" si="55"/>
        <v>-0.12848378121500179</v>
      </c>
      <c r="N179" s="122" t="s">
        <v>221</v>
      </c>
      <c r="O179" s="123">
        <v>0.37781999999999999</v>
      </c>
      <c r="P179" s="124">
        <f t="shared" si="56"/>
        <v>-0.12848378121500179</v>
      </c>
      <c r="R179" s="122" t="s">
        <v>238</v>
      </c>
      <c r="S179" s="123">
        <v>1.5</v>
      </c>
      <c r="T179" s="124">
        <f t="shared" si="57"/>
        <v>-0.51009917903367397</v>
      </c>
      <c r="W179" s="122" t="str">
        <f t="shared" si="58"/>
        <v>L1-5</v>
      </c>
      <c r="X179" s="123">
        <f t="shared" si="59"/>
        <v>1.2</v>
      </c>
      <c r="Y179" s="124">
        <f t="shared" si="60"/>
        <v>0.349782294194519</v>
      </c>
      <c r="AA179" s="122"/>
      <c r="AB179" s="123"/>
      <c r="AC179" s="124">
        <f t="shared" si="61"/>
        <v>0</v>
      </c>
      <c r="AE179" s="122" t="str">
        <f t="shared" si="62"/>
        <v>VA-2 sup.</v>
      </c>
      <c r="AF179" s="123">
        <f t="shared" si="62"/>
        <v>0.37781999999999999</v>
      </c>
      <c r="AG179" s="124">
        <f t="shared" si="63"/>
        <v>0.11012895532714438</v>
      </c>
      <c r="AI179" s="122" t="str">
        <f t="shared" si="64"/>
        <v>VB-2 sup.</v>
      </c>
      <c r="AJ179" s="123">
        <f t="shared" si="64"/>
        <v>0.37781999999999999</v>
      </c>
      <c r="AK179" s="124">
        <f t="shared" si="65"/>
        <v>0.11012895532714438</v>
      </c>
      <c r="AM179" s="122" t="str">
        <f t="shared" si="66"/>
        <v>LT-6</v>
      </c>
      <c r="AN179" s="123">
        <f t="shared" si="67"/>
        <v>1.5</v>
      </c>
      <c r="AO179" s="124">
        <f t="shared" si="68"/>
        <v>0.43722786774314915</v>
      </c>
      <c r="AR179" s="122" t="str">
        <f t="shared" si="69"/>
        <v>L1-5</v>
      </c>
      <c r="AS179" s="123">
        <f t="shared" si="70"/>
        <v>1.2</v>
      </c>
      <c r="AT179" s="124">
        <f t="shared" si="71"/>
        <v>0.816158686453878</v>
      </c>
      <c r="AV179" s="122"/>
      <c r="AW179" s="123"/>
      <c r="AX179" s="124">
        <f t="shared" si="72"/>
        <v>0</v>
      </c>
      <c r="AZ179" s="122" t="str">
        <f t="shared" si="73"/>
        <v>VA-2 sup.</v>
      </c>
      <c r="BA179" s="123">
        <f t="shared" si="73"/>
        <v>0.37781999999999999</v>
      </c>
      <c r="BB179" s="124">
        <f t="shared" si="74"/>
        <v>-1.8354825887857404E-2</v>
      </c>
      <c r="BD179" s="122" t="str">
        <f t="shared" si="75"/>
        <v>VB-2 sup.</v>
      </c>
      <c r="BE179" s="123">
        <f t="shared" si="75"/>
        <v>0.37781999999999999</v>
      </c>
      <c r="BF179" s="124">
        <f t="shared" si="76"/>
        <v>-1.8354825887857404E-2</v>
      </c>
      <c r="BH179" s="122" t="str">
        <f t="shared" si="77"/>
        <v>LT-6</v>
      </c>
      <c r="BI179" s="123">
        <f t="shared" si="78"/>
        <v>1.5</v>
      </c>
      <c r="BJ179" s="124">
        <f t="shared" si="79"/>
        <v>-7.2871311290524821E-2</v>
      </c>
    </row>
    <row r="180" spans="2:62" x14ac:dyDescent="0.3">
      <c r="B180" s="122" t="s">
        <v>224</v>
      </c>
      <c r="C180" s="123">
        <v>1.2</v>
      </c>
      <c r="D180" s="124">
        <f t="shared" si="54"/>
        <v>0.46637639225935912</v>
      </c>
      <c r="R180" s="122" t="s">
        <v>241</v>
      </c>
      <c r="S180" s="123">
        <v>1.5</v>
      </c>
      <c r="T180" s="124">
        <f t="shared" si="57"/>
        <v>-0.51009917903367397</v>
      </c>
      <c r="W180" s="122" t="str">
        <f t="shared" si="58"/>
        <v>L1-6 lat.</v>
      </c>
      <c r="X180" s="123">
        <f t="shared" si="59"/>
        <v>1.2</v>
      </c>
      <c r="Y180" s="124">
        <f t="shared" si="60"/>
        <v>0.34978229419451928</v>
      </c>
      <c r="AM180" s="122" t="str">
        <f t="shared" si="66"/>
        <v>VM-2</v>
      </c>
      <c r="AN180" s="123">
        <f t="shared" si="67"/>
        <v>1.5</v>
      </c>
      <c r="AO180" s="124">
        <f t="shared" si="68"/>
        <v>0.43722786774314915</v>
      </c>
      <c r="AR180" s="122" t="str">
        <f t="shared" si="69"/>
        <v>L1-6 lat.</v>
      </c>
      <c r="AS180" s="123">
        <f t="shared" si="70"/>
        <v>1.2</v>
      </c>
      <c r="AT180" s="124">
        <f t="shared" si="71"/>
        <v>0.81615868645387835</v>
      </c>
      <c r="BH180" s="122" t="str">
        <f t="shared" si="77"/>
        <v>VM-2</v>
      </c>
      <c r="BI180" s="123">
        <f t="shared" si="78"/>
        <v>1.5</v>
      </c>
      <c r="BJ180" s="124">
        <f t="shared" si="79"/>
        <v>-7.2871311290524821E-2</v>
      </c>
    </row>
    <row r="181" spans="2:62" x14ac:dyDescent="0.3">
      <c r="B181" s="122" t="s">
        <v>225</v>
      </c>
      <c r="C181" s="123">
        <v>0.6</v>
      </c>
      <c r="D181" s="124">
        <f t="shared" si="54"/>
        <v>0.23318819612968</v>
      </c>
      <c r="R181" s="122" t="s">
        <v>233</v>
      </c>
      <c r="S181" s="123">
        <v>1.5</v>
      </c>
      <c r="T181" s="124">
        <f t="shared" si="57"/>
        <v>-0.51009917903367397</v>
      </c>
      <c r="W181" s="122" t="str">
        <f t="shared" si="58"/>
        <v>L1-6 cen.</v>
      </c>
      <c r="X181" s="123">
        <f t="shared" si="59"/>
        <v>0.6</v>
      </c>
      <c r="Y181" s="124">
        <f t="shared" si="60"/>
        <v>0.17489114709726</v>
      </c>
      <c r="AM181" s="122" t="str">
        <f t="shared" si="66"/>
        <v>LT-7</v>
      </c>
      <c r="AN181" s="123">
        <f t="shared" si="67"/>
        <v>1.5</v>
      </c>
      <c r="AO181" s="124">
        <f t="shared" si="68"/>
        <v>0.43722786774314915</v>
      </c>
      <c r="AR181" s="122" t="str">
        <f t="shared" si="69"/>
        <v>L1-6 cen.</v>
      </c>
      <c r="AS181" s="123">
        <f t="shared" si="70"/>
        <v>0.6</v>
      </c>
      <c r="AT181" s="124">
        <f t="shared" si="71"/>
        <v>0.408079343226939</v>
      </c>
      <c r="BH181" s="122" t="str">
        <f t="shared" si="77"/>
        <v>LT-7</v>
      </c>
      <c r="BI181" s="123">
        <f t="shared" si="78"/>
        <v>1.5</v>
      </c>
      <c r="BJ181" s="124">
        <f t="shared" si="79"/>
        <v>-7.2871311290524821E-2</v>
      </c>
    </row>
    <row r="182" spans="2:62" x14ac:dyDescent="0.3">
      <c r="B182" s="122" t="s">
        <v>226</v>
      </c>
      <c r="C182" s="123">
        <v>1.2</v>
      </c>
      <c r="D182" s="124">
        <f t="shared" si="54"/>
        <v>0.466376392259359</v>
      </c>
      <c r="R182" s="122" t="s">
        <v>236</v>
      </c>
      <c r="S182" s="123">
        <v>1.5</v>
      </c>
      <c r="T182" s="124">
        <f t="shared" si="57"/>
        <v>-0.51009917903367397</v>
      </c>
      <c r="W182" s="122" t="str">
        <f t="shared" si="58"/>
        <v>L1-7</v>
      </c>
      <c r="X182" s="123">
        <f t="shared" si="59"/>
        <v>1.2</v>
      </c>
      <c r="Y182" s="124">
        <f t="shared" si="60"/>
        <v>0.349782294194519</v>
      </c>
      <c r="AM182" s="122" t="str">
        <f t="shared" si="66"/>
        <v>LT-8</v>
      </c>
      <c r="AN182" s="123">
        <f t="shared" si="67"/>
        <v>1.5</v>
      </c>
      <c r="AO182" s="124">
        <f t="shared" si="68"/>
        <v>0.43722786774314915</v>
      </c>
      <c r="AR182" s="122" t="str">
        <f t="shared" si="69"/>
        <v>L1-7</v>
      </c>
      <c r="AS182" s="123">
        <f t="shared" si="70"/>
        <v>1.2</v>
      </c>
      <c r="AT182" s="124">
        <f t="shared" si="71"/>
        <v>0.816158686453878</v>
      </c>
      <c r="BH182" s="122" t="str">
        <f t="shared" si="77"/>
        <v>LT-8</v>
      </c>
      <c r="BI182" s="123">
        <f t="shared" si="78"/>
        <v>1.5</v>
      </c>
      <c r="BJ182" s="124">
        <f t="shared" si="79"/>
        <v>-7.2871311290524821E-2</v>
      </c>
    </row>
    <row r="183" spans="2:62" x14ac:dyDescent="0.3">
      <c r="B183" s="122" t="s">
        <v>227</v>
      </c>
      <c r="C183" s="123">
        <v>0.82499999999999996</v>
      </c>
      <c r="D183" s="124">
        <f t="shared" si="54"/>
        <v>0.32063376967830942</v>
      </c>
      <c r="R183" s="122" t="s">
        <v>239</v>
      </c>
      <c r="S183" s="123">
        <v>1.5</v>
      </c>
      <c r="T183" s="124">
        <f t="shared" si="57"/>
        <v>-0.51009917903367397</v>
      </c>
      <c r="W183" s="122" t="str">
        <f t="shared" si="58"/>
        <v>L1-8</v>
      </c>
      <c r="X183" s="123">
        <f t="shared" si="59"/>
        <v>0.82499999999999996</v>
      </c>
      <c r="Y183" s="124">
        <f t="shared" si="60"/>
        <v>0.24047532725873197</v>
      </c>
      <c r="AM183" s="122" t="str">
        <f t="shared" si="66"/>
        <v>LT-9</v>
      </c>
      <c r="AN183" s="123">
        <f t="shared" si="67"/>
        <v>1.5</v>
      </c>
      <c r="AO183" s="124">
        <f t="shared" si="68"/>
        <v>0.43722786774314915</v>
      </c>
      <c r="AR183" s="122" t="str">
        <f t="shared" si="69"/>
        <v>L1-8</v>
      </c>
      <c r="AS183" s="123">
        <f t="shared" si="70"/>
        <v>0.82499999999999996</v>
      </c>
      <c r="AT183" s="124">
        <f t="shared" si="71"/>
        <v>0.56110909693704136</v>
      </c>
      <c r="BH183" s="122" t="str">
        <f t="shared" si="77"/>
        <v>LT-9</v>
      </c>
      <c r="BI183" s="123">
        <f t="shared" si="78"/>
        <v>1.5</v>
      </c>
      <c r="BJ183" s="124">
        <f t="shared" si="79"/>
        <v>-7.2871311290524821E-2</v>
      </c>
    </row>
    <row r="184" spans="2:62" x14ac:dyDescent="0.3">
      <c r="B184" s="122" t="s">
        <v>287</v>
      </c>
      <c r="C184" s="123">
        <v>0.71499999999999997</v>
      </c>
      <c r="D184" s="124">
        <f t="shared" si="54"/>
        <v>0.27788260038786811</v>
      </c>
      <c r="R184" s="122" t="s">
        <v>242</v>
      </c>
      <c r="S184" s="123">
        <v>0.75</v>
      </c>
      <c r="T184" s="124">
        <f t="shared" si="57"/>
        <v>-0.25504958951683698</v>
      </c>
      <c r="W184" s="122" t="str">
        <f t="shared" si="58"/>
        <v>L1-9</v>
      </c>
      <c r="X184" s="123">
        <f t="shared" si="59"/>
        <v>0.71499999999999997</v>
      </c>
      <c r="Y184" s="124">
        <f t="shared" si="60"/>
        <v>0.20841195029090107</v>
      </c>
      <c r="AM184" s="122" t="str">
        <f t="shared" si="66"/>
        <v>VM-3</v>
      </c>
      <c r="AN184" s="123">
        <f t="shared" si="67"/>
        <v>0.75</v>
      </c>
      <c r="AO184" s="124">
        <f t="shared" si="68"/>
        <v>0.21861393387157457</v>
      </c>
      <c r="AR184" s="122" t="str">
        <f t="shared" si="69"/>
        <v>L1-9</v>
      </c>
      <c r="AS184" s="123">
        <f t="shared" si="70"/>
        <v>0.71499999999999997</v>
      </c>
      <c r="AT184" s="124">
        <f t="shared" si="71"/>
        <v>0.48629455067876914</v>
      </c>
      <c r="BH184" s="122" t="str">
        <f t="shared" si="77"/>
        <v>VM-3</v>
      </c>
      <c r="BI184" s="123">
        <f t="shared" si="78"/>
        <v>0.75</v>
      </c>
      <c r="BJ184" s="124">
        <f t="shared" si="79"/>
        <v>-3.643565564526241E-2</v>
      </c>
    </row>
    <row r="185" spans="2:62" x14ac:dyDescent="0.3">
      <c r="B185" s="122" t="s">
        <v>228</v>
      </c>
      <c r="C185" s="123">
        <v>0.49</v>
      </c>
      <c r="D185" s="124">
        <f t="shared" si="54"/>
        <v>0.19043702683923833</v>
      </c>
      <c r="W185" s="122" t="str">
        <f t="shared" si="58"/>
        <v>VM-1 sup.</v>
      </c>
      <c r="X185" s="123">
        <f t="shared" si="59"/>
        <v>0.49</v>
      </c>
      <c r="Y185" s="124">
        <f t="shared" si="60"/>
        <v>0.14282777012942868</v>
      </c>
      <c r="AR185" s="122" t="str">
        <f t="shared" si="69"/>
        <v>VM-1 sup.</v>
      </c>
      <c r="AS185" s="123">
        <f t="shared" si="70"/>
        <v>0.49</v>
      </c>
      <c r="AT185" s="124">
        <f t="shared" si="71"/>
        <v>0.33326479696866701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 t="shared" ref="H204:H216" si="80">$E$72*G204/100</f>
        <v>-0.21861393387157457</v>
      </c>
      <c r="J204" s="122" t="s">
        <v>205</v>
      </c>
      <c r="K204" s="123">
        <v>0.9</v>
      </c>
      <c r="L204" s="124">
        <f t="shared" ref="L204:L210" si="81">$E$73*K204/100</f>
        <v>-0.30605950742020438</v>
      </c>
      <c r="N204" s="122" t="s">
        <v>206</v>
      </c>
      <c r="O204" s="123">
        <v>0.9</v>
      </c>
      <c r="P204" s="124">
        <f t="shared" ref="P204:P210" si="82">$E$73*O204/100</f>
        <v>-0.30605950742020438</v>
      </c>
      <c r="R204" s="122" t="s">
        <v>231</v>
      </c>
      <c r="S204" s="123">
        <v>0.5</v>
      </c>
      <c r="T204" s="124">
        <f t="shared" ref="T204:T215" si="83"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 t="shared" ref="AA204:AA216" si="85">F204</f>
        <v>L1-1</v>
      </c>
      <c r="AB204" s="123">
        <f t="shared" ref="AB204:AB216" si="86">G204</f>
        <v>0.9</v>
      </c>
      <c r="AC204" s="124">
        <f t="shared" ref="AC204:AC216" si="87">-$I$98*G204/100</f>
        <v>-0.32792090080736186</v>
      </c>
      <c r="AE204" s="122" t="str">
        <f t="shared" ref="AE204:AF210" si="88">J204</f>
        <v>LA-1</v>
      </c>
      <c r="AF204" s="123">
        <f t="shared" si="88"/>
        <v>0.9</v>
      </c>
      <c r="AG204" s="124">
        <f t="shared" ref="AG204:AG210" si="89">-$I$98*K204/100</f>
        <v>-0.32792090080736186</v>
      </c>
      <c r="AI204" s="122" t="str">
        <f t="shared" ref="AI204:AJ210" si="90">N204</f>
        <v>LB-1</v>
      </c>
      <c r="AJ204" s="123">
        <f t="shared" si="90"/>
        <v>0.9</v>
      </c>
      <c r="AK204" s="124">
        <f t="shared" ref="AK204:AK210" si="91">-$I$98*O204/100</f>
        <v>-0.32792090080736186</v>
      </c>
      <c r="AM204" s="122" t="str">
        <f t="shared" ref="AM204:AM215" si="92">R204</f>
        <v>VM-1</v>
      </c>
      <c r="AN204" s="123">
        <f t="shared" ref="AN204:AN215" si="93">S204</f>
        <v>0.5</v>
      </c>
      <c r="AO204" s="124">
        <f t="shared" ref="AO204:AO215" si="94"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 t="shared" ref="AV204:AV216" si="96">F204</f>
        <v>L1-1</v>
      </c>
      <c r="AW204" s="123">
        <f t="shared" ref="AW204:AW216" si="97">G204</f>
        <v>0.9</v>
      </c>
      <c r="AX204" s="124">
        <f t="shared" ref="AX204:AX216" si="98">H204+AC204</f>
        <v>-0.54653483467893649</v>
      </c>
      <c r="AZ204" s="122" t="str">
        <f t="shared" ref="AZ204:BA210" si="99">J204</f>
        <v>LA-1</v>
      </c>
      <c r="BA204" s="123">
        <f t="shared" si="99"/>
        <v>0.9</v>
      </c>
      <c r="BB204" s="124">
        <f t="shared" ref="BB204:BB210" si="100">L204+AG204</f>
        <v>-0.63398040822756618</v>
      </c>
      <c r="BD204" s="122" t="str">
        <f t="shared" ref="BD204:BE210" si="101">N204</f>
        <v>LB-1</v>
      </c>
      <c r="BE204" s="123">
        <f t="shared" si="101"/>
        <v>0.9</v>
      </c>
      <c r="BF204" s="124">
        <f t="shared" ref="BF204:BF210" si="102">P204+AK204</f>
        <v>-0.63398040822756618</v>
      </c>
      <c r="BH204" s="122" t="str">
        <f t="shared" ref="BH204:BH215" si="103">R204</f>
        <v>VM-1</v>
      </c>
      <c r="BI204" s="123">
        <f t="shared" ref="BI204:BI215" si="104">S204</f>
        <v>0.5</v>
      </c>
      <c r="BJ204" s="124">
        <f t="shared" ref="BJ204:BJ215" si="105"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 t="shared" si="80"/>
        <v>-0.29148524516209939</v>
      </c>
      <c r="J205" s="122" t="s">
        <v>208</v>
      </c>
      <c r="K205" s="123">
        <v>1.2</v>
      </c>
      <c r="L205" s="124">
        <f t="shared" si="81"/>
        <v>-0.40807934322693917</v>
      </c>
      <c r="N205" s="122" t="s">
        <v>209</v>
      </c>
      <c r="O205" s="123">
        <v>1.2</v>
      </c>
      <c r="P205" s="124">
        <f t="shared" si="82"/>
        <v>-0.40807934322693917</v>
      </c>
      <c r="R205" s="122" t="s">
        <v>234</v>
      </c>
      <c r="S205" s="123">
        <v>1.25</v>
      </c>
      <c r="T205" s="124">
        <f t="shared" si="83"/>
        <v>-0.42508264919472827</v>
      </c>
      <c r="W205" s="122"/>
      <c r="X205" s="123"/>
      <c r="Y205" s="124">
        <f t="shared" si="84"/>
        <v>0</v>
      </c>
      <c r="AA205" s="122" t="str">
        <f t="shared" si="85"/>
        <v>L1-2</v>
      </c>
      <c r="AB205" s="123">
        <f t="shared" si="86"/>
        <v>1.2</v>
      </c>
      <c r="AC205" s="124">
        <f t="shared" si="87"/>
        <v>-0.43722786774314915</v>
      </c>
      <c r="AE205" s="122" t="str">
        <f t="shared" si="88"/>
        <v>LA-2 a 7</v>
      </c>
      <c r="AF205" s="123">
        <f t="shared" si="88"/>
        <v>1.2</v>
      </c>
      <c r="AG205" s="124">
        <f t="shared" si="89"/>
        <v>-0.43722786774314915</v>
      </c>
      <c r="AI205" s="122" t="str">
        <f t="shared" si="90"/>
        <v>LB-2 a 7</v>
      </c>
      <c r="AJ205" s="123">
        <f t="shared" si="90"/>
        <v>1.2</v>
      </c>
      <c r="AK205" s="124">
        <f t="shared" si="91"/>
        <v>-0.43722786774314915</v>
      </c>
      <c r="AM205" s="122" t="str">
        <f t="shared" si="92"/>
        <v>LT-1</v>
      </c>
      <c r="AN205" s="123">
        <f t="shared" si="93"/>
        <v>1.25</v>
      </c>
      <c r="AO205" s="124">
        <f t="shared" si="94"/>
        <v>-0.45544569556578041</v>
      </c>
      <c r="AR205" s="122"/>
      <c r="AS205" s="123"/>
      <c r="AT205" s="124">
        <f t="shared" si="95"/>
        <v>0</v>
      </c>
      <c r="AV205" s="122" t="str">
        <f t="shared" si="96"/>
        <v>L1-2</v>
      </c>
      <c r="AW205" s="123">
        <f t="shared" si="97"/>
        <v>1.2</v>
      </c>
      <c r="AX205" s="124">
        <f t="shared" si="98"/>
        <v>-0.72871311290524854</v>
      </c>
      <c r="AZ205" s="122" t="str">
        <f t="shared" si="99"/>
        <v>LA-2 a 7</v>
      </c>
      <c r="BA205" s="123">
        <f t="shared" si="99"/>
        <v>1.2</v>
      </c>
      <c r="BB205" s="124">
        <f t="shared" si="100"/>
        <v>-0.84530721097008832</v>
      </c>
      <c r="BD205" s="122" t="str">
        <f t="shared" si="101"/>
        <v>LB-2 a 7</v>
      </c>
      <c r="BE205" s="123">
        <f t="shared" si="101"/>
        <v>1.2</v>
      </c>
      <c r="BF205" s="124">
        <f t="shared" si="102"/>
        <v>-0.84530721097008832</v>
      </c>
      <c r="BH205" s="122" t="str">
        <f t="shared" si="103"/>
        <v>LT-1</v>
      </c>
      <c r="BI205" s="123">
        <f t="shared" si="104"/>
        <v>1.25</v>
      </c>
      <c r="BJ205" s="124">
        <f t="shared" si="105"/>
        <v>-0.88052834476050867</v>
      </c>
    </row>
    <row r="206" spans="2:63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 t="shared" si="80"/>
        <v>-7.2871311290524848E-2</v>
      </c>
      <c r="J206" s="122" t="s">
        <v>211</v>
      </c>
      <c r="K206" s="123">
        <v>0.82499999999999996</v>
      </c>
      <c r="L206" s="124">
        <f t="shared" si="81"/>
        <v>-0.28055454846852063</v>
      </c>
      <c r="N206" s="122" t="s">
        <v>212</v>
      </c>
      <c r="O206" s="123">
        <v>0.82499999999999996</v>
      </c>
      <c r="P206" s="124">
        <f t="shared" si="82"/>
        <v>-0.28055454846852063</v>
      </c>
      <c r="R206" s="122" t="s">
        <v>237</v>
      </c>
      <c r="S206" s="123">
        <v>1.5</v>
      </c>
      <c r="T206" s="124">
        <f t="shared" si="83"/>
        <v>-0.51009917903367397</v>
      </c>
      <c r="W206" s="122"/>
      <c r="X206" s="123"/>
      <c r="Y206" s="124">
        <f t="shared" si="84"/>
        <v>0</v>
      </c>
      <c r="AA206" s="122" t="str">
        <f t="shared" si="85"/>
        <v>Dintel P.</v>
      </c>
      <c r="AB206" s="123">
        <f t="shared" si="86"/>
        <v>0.3</v>
      </c>
      <c r="AC206" s="124">
        <f t="shared" si="87"/>
        <v>-0.10930696693578729</v>
      </c>
      <c r="AE206" s="122" t="str">
        <f t="shared" si="88"/>
        <v>LA-8 (1-2)</v>
      </c>
      <c r="AF206" s="123">
        <f t="shared" si="88"/>
        <v>0.82499999999999996</v>
      </c>
      <c r="AG206" s="124">
        <f t="shared" si="89"/>
        <v>-0.30059415907341502</v>
      </c>
      <c r="AI206" s="122" t="str">
        <f t="shared" si="90"/>
        <v>LB-8 (1-2)</v>
      </c>
      <c r="AJ206" s="123">
        <f t="shared" si="90"/>
        <v>0.82499999999999996</v>
      </c>
      <c r="AK206" s="124">
        <f t="shared" si="91"/>
        <v>-0.30059415907341502</v>
      </c>
      <c r="AM206" s="122" t="str">
        <f t="shared" si="92"/>
        <v>LT-2</v>
      </c>
      <c r="AN206" s="123">
        <f t="shared" si="93"/>
        <v>1.5</v>
      </c>
      <c r="AO206" s="124">
        <f t="shared" si="94"/>
        <v>-0.54653483467893649</v>
      </c>
      <c r="AR206" s="122"/>
      <c r="AS206" s="123"/>
      <c r="AT206" s="124">
        <f t="shared" si="95"/>
        <v>0</v>
      </c>
      <c r="AV206" s="122" t="str">
        <f t="shared" si="96"/>
        <v>Dintel P.</v>
      </c>
      <c r="AW206" s="123">
        <f t="shared" si="97"/>
        <v>0.3</v>
      </c>
      <c r="AX206" s="124">
        <f t="shared" si="98"/>
        <v>-0.18217827822631213</v>
      </c>
      <c r="AZ206" s="122" t="str">
        <f t="shared" si="99"/>
        <v>LA-8 (1-2)</v>
      </c>
      <c r="BA206" s="123">
        <f t="shared" si="99"/>
        <v>0.82499999999999996</v>
      </c>
      <c r="BB206" s="124">
        <f t="shared" si="100"/>
        <v>-0.58114870754193571</v>
      </c>
      <c r="BD206" s="122" t="str">
        <f t="shared" si="101"/>
        <v>LB-8 (1-2)</v>
      </c>
      <c r="BE206" s="123">
        <f t="shared" si="101"/>
        <v>0.82499999999999996</v>
      </c>
      <c r="BF206" s="124">
        <f t="shared" si="102"/>
        <v>-0.58114870754193571</v>
      </c>
      <c r="BH206" s="122" t="str">
        <f t="shared" si="103"/>
        <v>LT-2</v>
      </c>
      <c r="BI206" s="123">
        <f t="shared" si="104"/>
        <v>1.5</v>
      </c>
      <c r="BJ206" s="124">
        <f t="shared" si="105"/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 t="shared" si="80"/>
        <v>-0.29148524516209939</v>
      </c>
      <c r="J207" s="122" t="s">
        <v>214</v>
      </c>
      <c r="K207" s="123">
        <v>0.97782000000000002</v>
      </c>
      <c r="L207" s="124">
        <f t="shared" si="81"/>
        <v>-0.3325234528284714</v>
      </c>
      <c r="N207" s="122" t="s">
        <v>215</v>
      </c>
      <c r="O207" s="123">
        <v>0.97782000000000002</v>
      </c>
      <c r="P207" s="124">
        <f t="shared" si="82"/>
        <v>-0.3325234528284714</v>
      </c>
      <c r="R207" s="122" t="s">
        <v>240</v>
      </c>
      <c r="S207" s="123">
        <v>1.5</v>
      </c>
      <c r="T207" s="124">
        <f t="shared" si="83"/>
        <v>-0.51009917903367397</v>
      </c>
      <c r="W207" s="122"/>
      <c r="X207" s="123"/>
      <c r="Y207" s="124">
        <f t="shared" si="84"/>
        <v>0</v>
      </c>
      <c r="AA207" s="122" t="str">
        <f t="shared" si="85"/>
        <v>L1-3</v>
      </c>
      <c r="AB207" s="123">
        <f t="shared" si="86"/>
        <v>1.2</v>
      </c>
      <c r="AC207" s="124">
        <f t="shared" si="87"/>
        <v>-0.43722786774314915</v>
      </c>
      <c r="AE207" s="122" t="str">
        <f t="shared" si="88"/>
        <v>LA-8 (2-3)</v>
      </c>
      <c r="AF207" s="123">
        <f t="shared" si="88"/>
        <v>0.97782000000000002</v>
      </c>
      <c r="AG207" s="124">
        <f t="shared" si="89"/>
        <v>-0.35627512803050509</v>
      </c>
      <c r="AI207" s="122" t="str">
        <f t="shared" si="90"/>
        <v>LB-8 (2-3)</v>
      </c>
      <c r="AJ207" s="123">
        <f t="shared" si="90"/>
        <v>0.97782000000000002</v>
      </c>
      <c r="AK207" s="124">
        <f t="shared" si="91"/>
        <v>-0.35627512803050509</v>
      </c>
      <c r="AM207" s="122" t="str">
        <f t="shared" si="92"/>
        <v>LT-3</v>
      </c>
      <c r="AN207" s="123">
        <f t="shared" si="93"/>
        <v>1.5</v>
      </c>
      <c r="AO207" s="124">
        <f t="shared" si="94"/>
        <v>-0.54653483467893649</v>
      </c>
      <c r="AR207" s="122"/>
      <c r="AS207" s="123"/>
      <c r="AT207" s="124">
        <f t="shared" si="95"/>
        <v>0</v>
      </c>
      <c r="AV207" s="122" t="str">
        <f t="shared" si="96"/>
        <v>L1-3</v>
      </c>
      <c r="AW207" s="123">
        <f t="shared" si="97"/>
        <v>1.2</v>
      </c>
      <c r="AX207" s="124">
        <f t="shared" si="98"/>
        <v>-0.72871311290524854</v>
      </c>
      <c r="AZ207" s="122" t="str">
        <f t="shared" si="99"/>
        <v>LA-8 (2-3)</v>
      </c>
      <c r="BA207" s="123">
        <f t="shared" si="99"/>
        <v>0.97782000000000002</v>
      </c>
      <c r="BB207" s="124">
        <f t="shared" si="100"/>
        <v>-0.68879858085897649</v>
      </c>
      <c r="BD207" s="122" t="str">
        <f t="shared" si="101"/>
        <v>LB-8 (2-3)</v>
      </c>
      <c r="BE207" s="123">
        <f t="shared" si="101"/>
        <v>0.97782000000000002</v>
      </c>
      <c r="BF207" s="124">
        <f t="shared" si="102"/>
        <v>-0.68879858085897649</v>
      </c>
      <c r="BH207" s="122" t="str">
        <f t="shared" si="103"/>
        <v>LT-3</v>
      </c>
      <c r="BI207" s="123">
        <f t="shared" si="104"/>
        <v>1.5</v>
      </c>
      <c r="BJ207" s="124">
        <f t="shared" si="105"/>
        <v>-1.0566340137126105</v>
      </c>
    </row>
    <row r="208" spans="2:63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 t="shared" si="80"/>
        <v>-0.21861393387157457</v>
      </c>
      <c r="J208" s="122" t="s">
        <v>285</v>
      </c>
      <c r="K208" s="123">
        <v>0.58531500000000003</v>
      </c>
      <c r="L208" s="124">
        <f t="shared" si="81"/>
        <v>-0.19904580065072991</v>
      </c>
      <c r="N208" s="122" t="s">
        <v>286</v>
      </c>
      <c r="O208" s="123">
        <v>0.58531500000000003</v>
      </c>
      <c r="P208" s="124">
        <f t="shared" si="82"/>
        <v>-0.19904580065072991</v>
      </c>
      <c r="R208" s="122" t="s">
        <v>232</v>
      </c>
      <c r="S208" s="123">
        <v>1.5</v>
      </c>
      <c r="T208" s="124">
        <f t="shared" si="83"/>
        <v>-0.51009917903367397</v>
      </c>
      <c r="W208" s="122"/>
      <c r="X208" s="123"/>
      <c r="Y208" s="124">
        <f t="shared" si="84"/>
        <v>0</v>
      </c>
      <c r="AA208" s="122" t="str">
        <f t="shared" si="85"/>
        <v>L1-3 P.</v>
      </c>
      <c r="AB208" s="123">
        <f t="shared" si="86"/>
        <v>0.9</v>
      </c>
      <c r="AC208" s="124">
        <f t="shared" si="87"/>
        <v>-0.32792090080736186</v>
      </c>
      <c r="AE208" s="122" t="str">
        <f t="shared" si="88"/>
        <v>LA-9 (1-2)</v>
      </c>
      <c r="AF208" s="123">
        <f t="shared" si="88"/>
        <v>0.58531500000000003</v>
      </c>
      <c r="AG208" s="124">
        <f t="shared" si="89"/>
        <v>-0.21326335784006781</v>
      </c>
      <c r="AI208" s="122" t="str">
        <f t="shared" si="90"/>
        <v>LB-9 (1-2)</v>
      </c>
      <c r="AJ208" s="123">
        <f t="shared" si="90"/>
        <v>0.58531500000000003</v>
      </c>
      <c r="AK208" s="124">
        <f t="shared" si="91"/>
        <v>-0.21326335784006781</v>
      </c>
      <c r="AM208" s="122" t="str">
        <f t="shared" si="92"/>
        <v>LT-4</v>
      </c>
      <c r="AN208" s="123">
        <f t="shared" si="93"/>
        <v>1.5</v>
      </c>
      <c r="AO208" s="124">
        <f t="shared" si="94"/>
        <v>-0.54653483467893649</v>
      </c>
      <c r="AR208" s="122"/>
      <c r="AS208" s="123"/>
      <c r="AT208" s="124">
        <f t="shared" si="95"/>
        <v>0</v>
      </c>
      <c r="AV208" s="122" t="str">
        <f t="shared" si="96"/>
        <v>L1-3 P.</v>
      </c>
      <c r="AW208" s="123">
        <f t="shared" si="97"/>
        <v>0.9</v>
      </c>
      <c r="AX208" s="124">
        <f t="shared" si="98"/>
        <v>-0.54653483467893649</v>
      </c>
      <c r="AZ208" s="122" t="str">
        <f t="shared" si="99"/>
        <v>LA-9 (1-2)</v>
      </c>
      <c r="BA208" s="123">
        <f t="shared" si="99"/>
        <v>0.58531500000000003</v>
      </c>
      <c r="BB208" s="124">
        <f t="shared" si="100"/>
        <v>-0.41230915849079774</v>
      </c>
      <c r="BD208" s="122" t="str">
        <f t="shared" si="101"/>
        <v>LB-9 (1-2)</v>
      </c>
      <c r="BE208" s="123">
        <f t="shared" si="101"/>
        <v>0.58531500000000003</v>
      </c>
      <c r="BF208" s="124">
        <f t="shared" si="102"/>
        <v>-0.41230915849079774</v>
      </c>
      <c r="BH208" s="122" t="str">
        <f t="shared" si="103"/>
        <v>LT-4</v>
      </c>
      <c r="BI208" s="123">
        <f t="shared" si="104"/>
        <v>1.5</v>
      </c>
      <c r="BJ208" s="124">
        <f t="shared" si="105"/>
        <v>-1.0566340137126105</v>
      </c>
    </row>
    <row r="209" spans="2:62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 t="shared" si="80"/>
        <v>-0.29148524516209939</v>
      </c>
      <c r="J209" s="122" t="s">
        <v>217</v>
      </c>
      <c r="K209" s="123">
        <v>0.360315</v>
      </c>
      <c r="L209" s="124">
        <f t="shared" si="81"/>
        <v>-0.12253092379567881</v>
      </c>
      <c r="N209" s="122" t="s">
        <v>218</v>
      </c>
      <c r="O209" s="123">
        <v>0.360315</v>
      </c>
      <c r="P209" s="124">
        <f t="shared" si="82"/>
        <v>-0.12253092379567881</v>
      </c>
      <c r="R209" s="122" t="s">
        <v>235</v>
      </c>
      <c r="S209" s="123">
        <v>1.5</v>
      </c>
      <c r="T209" s="124">
        <f t="shared" si="83"/>
        <v>-0.51009917903367397</v>
      </c>
      <c r="W209" s="122"/>
      <c r="X209" s="123"/>
      <c r="Y209" s="124">
        <f t="shared" si="84"/>
        <v>0</v>
      </c>
      <c r="AA209" s="122" t="str">
        <f t="shared" si="85"/>
        <v>L1-4</v>
      </c>
      <c r="AB209" s="123">
        <f t="shared" si="86"/>
        <v>1.2</v>
      </c>
      <c r="AC209" s="124">
        <f t="shared" si="87"/>
        <v>-0.43722786774314915</v>
      </c>
      <c r="AE209" s="122" t="str">
        <f t="shared" si="88"/>
        <v>VA-1 sup.</v>
      </c>
      <c r="AF209" s="123">
        <f t="shared" si="88"/>
        <v>0.360315</v>
      </c>
      <c r="AG209" s="124">
        <f t="shared" si="89"/>
        <v>-0.1312831326382273</v>
      </c>
      <c r="AI209" s="122" t="str">
        <f t="shared" si="90"/>
        <v>VB-1 sup.</v>
      </c>
      <c r="AJ209" s="123">
        <f t="shared" si="90"/>
        <v>0.360315</v>
      </c>
      <c r="AK209" s="124">
        <f t="shared" si="91"/>
        <v>-0.1312831326382273</v>
      </c>
      <c r="AM209" s="122" t="str">
        <f t="shared" si="92"/>
        <v>LT-5</v>
      </c>
      <c r="AN209" s="123">
        <f t="shared" si="93"/>
        <v>1.5</v>
      </c>
      <c r="AO209" s="124">
        <f t="shared" si="94"/>
        <v>-0.54653483467893649</v>
      </c>
      <c r="AR209" s="122"/>
      <c r="AS209" s="123"/>
      <c r="AT209" s="124">
        <f t="shared" si="95"/>
        <v>0</v>
      </c>
      <c r="AV209" s="122" t="str">
        <f t="shared" si="96"/>
        <v>L1-4</v>
      </c>
      <c r="AW209" s="123">
        <f t="shared" si="97"/>
        <v>1.2</v>
      </c>
      <c r="AX209" s="124">
        <f t="shared" si="98"/>
        <v>-0.72871311290524854</v>
      </c>
      <c r="AZ209" s="122" t="str">
        <f t="shared" si="99"/>
        <v>VA-1 sup.</v>
      </c>
      <c r="BA209" s="123">
        <f t="shared" si="99"/>
        <v>0.360315</v>
      </c>
      <c r="BB209" s="124">
        <f t="shared" si="100"/>
        <v>-0.25381405643390609</v>
      </c>
      <c r="BD209" s="122" t="str">
        <f t="shared" si="101"/>
        <v>VB-1 sup.</v>
      </c>
      <c r="BE209" s="123">
        <f t="shared" si="101"/>
        <v>0.360315</v>
      </c>
      <c r="BF209" s="124">
        <f t="shared" si="102"/>
        <v>-0.25381405643390609</v>
      </c>
      <c r="BH209" s="122" t="str">
        <f t="shared" si="103"/>
        <v>LT-5</v>
      </c>
      <c r="BI209" s="123">
        <f t="shared" si="104"/>
        <v>1.5</v>
      </c>
      <c r="BJ209" s="124">
        <f t="shared" si="105"/>
        <v>-1.0566340137126105</v>
      </c>
    </row>
    <row r="210" spans="2:62" x14ac:dyDescent="0.3">
      <c r="B210" s="122"/>
      <c r="C210" s="123"/>
      <c r="D210" s="124">
        <v>0</v>
      </c>
      <c r="F210" s="122" t="s">
        <v>223</v>
      </c>
      <c r="G210" s="123">
        <v>1.2</v>
      </c>
      <c r="H210" s="124">
        <f t="shared" si="80"/>
        <v>-0.291485245162099</v>
      </c>
      <c r="J210" s="122" t="s">
        <v>220</v>
      </c>
      <c r="K210" s="123">
        <v>0.37781999999999999</v>
      </c>
      <c r="L210" s="124">
        <f t="shared" si="81"/>
        <v>-0.12848378121500179</v>
      </c>
      <c r="N210" s="122" t="s">
        <v>221</v>
      </c>
      <c r="O210" s="123">
        <v>0.37781999999999999</v>
      </c>
      <c r="P210" s="124">
        <f t="shared" si="82"/>
        <v>-0.12848378121500179</v>
      </c>
      <c r="R210" s="122" t="s">
        <v>238</v>
      </c>
      <c r="S210" s="123">
        <v>1.5</v>
      </c>
      <c r="T210" s="124">
        <f t="shared" si="83"/>
        <v>-0.51009917903367397</v>
      </c>
      <c r="W210" s="122"/>
      <c r="X210" s="123"/>
      <c r="Y210" s="124">
        <f t="shared" si="84"/>
        <v>0</v>
      </c>
      <c r="AA210" s="122" t="str">
        <f t="shared" si="85"/>
        <v>L1-5</v>
      </c>
      <c r="AB210" s="123">
        <f t="shared" si="86"/>
        <v>1.2</v>
      </c>
      <c r="AC210" s="124">
        <f t="shared" si="87"/>
        <v>-0.437227867743149</v>
      </c>
      <c r="AE210" s="122" t="str">
        <f t="shared" si="88"/>
        <v>VA-2 sup.</v>
      </c>
      <c r="AF210" s="123">
        <f t="shared" si="88"/>
        <v>0.37781999999999999</v>
      </c>
      <c r="AG210" s="124">
        <f t="shared" si="89"/>
        <v>-0.13766119415893052</v>
      </c>
      <c r="AI210" s="122" t="str">
        <f t="shared" si="90"/>
        <v>VB-2 sup.</v>
      </c>
      <c r="AJ210" s="123">
        <f t="shared" si="90"/>
        <v>0.37781999999999999</v>
      </c>
      <c r="AK210" s="124">
        <f t="shared" si="91"/>
        <v>-0.13766119415893052</v>
      </c>
      <c r="AM210" s="122" t="str">
        <f t="shared" si="92"/>
        <v>LT-6</v>
      </c>
      <c r="AN210" s="123">
        <f t="shared" si="93"/>
        <v>1.5</v>
      </c>
      <c r="AO210" s="124">
        <f t="shared" si="94"/>
        <v>-0.54653483467893649</v>
      </c>
      <c r="AR210" s="122"/>
      <c r="AS210" s="123"/>
      <c r="AT210" s="124">
        <f t="shared" si="95"/>
        <v>0</v>
      </c>
      <c r="AV210" s="122" t="str">
        <f t="shared" si="96"/>
        <v>L1-5</v>
      </c>
      <c r="AW210" s="123">
        <f t="shared" si="97"/>
        <v>1.2</v>
      </c>
      <c r="AX210" s="124">
        <f t="shared" si="98"/>
        <v>-0.728713112905249</v>
      </c>
      <c r="AZ210" s="122" t="str">
        <f t="shared" si="99"/>
        <v>VA-2 sup.</v>
      </c>
      <c r="BA210" s="123">
        <f t="shared" si="99"/>
        <v>0.37781999999999999</v>
      </c>
      <c r="BB210" s="124">
        <f t="shared" si="100"/>
        <v>-0.26614497537393234</v>
      </c>
      <c r="BD210" s="122" t="str">
        <f t="shared" si="101"/>
        <v>VB-2 sup.</v>
      </c>
      <c r="BE210" s="123">
        <f t="shared" si="101"/>
        <v>0.37781999999999999</v>
      </c>
      <c r="BF210" s="124">
        <f t="shared" si="102"/>
        <v>-0.26614497537393234</v>
      </c>
      <c r="BH210" s="122" t="str">
        <f t="shared" si="103"/>
        <v>LT-6</v>
      </c>
      <c r="BI210" s="123">
        <f t="shared" si="104"/>
        <v>1.5</v>
      </c>
      <c r="BJ210" s="124">
        <f t="shared" si="105"/>
        <v>-1.0566340137126105</v>
      </c>
    </row>
    <row r="211" spans="2:62" x14ac:dyDescent="0.3">
      <c r="F211" s="122" t="s">
        <v>224</v>
      </c>
      <c r="G211" s="123">
        <v>1.2</v>
      </c>
      <c r="H211" s="124">
        <f t="shared" si="80"/>
        <v>-0.29148524516209939</v>
      </c>
      <c r="R211" s="122" t="s">
        <v>241</v>
      </c>
      <c r="S211" s="123">
        <v>1.5</v>
      </c>
      <c r="T211" s="124">
        <f t="shared" si="83"/>
        <v>-0.51009917903367397</v>
      </c>
      <c r="AA211" s="122" t="str">
        <f t="shared" si="85"/>
        <v>L1-6 lat.</v>
      </c>
      <c r="AB211" s="123">
        <f t="shared" si="86"/>
        <v>1.2</v>
      </c>
      <c r="AC211" s="124">
        <f t="shared" si="87"/>
        <v>-0.43722786774314915</v>
      </c>
      <c r="AM211" s="122" t="str">
        <f t="shared" si="92"/>
        <v>VM-2</v>
      </c>
      <c r="AN211" s="123">
        <f t="shared" si="93"/>
        <v>1.5</v>
      </c>
      <c r="AO211" s="124">
        <f t="shared" si="94"/>
        <v>-0.54653483467893649</v>
      </c>
      <c r="AV211" s="122" t="str">
        <f t="shared" si="96"/>
        <v>L1-6 lat.</v>
      </c>
      <c r="AW211" s="123">
        <f t="shared" si="97"/>
        <v>1.2</v>
      </c>
      <c r="AX211" s="124">
        <f t="shared" si="98"/>
        <v>-0.72871311290524854</v>
      </c>
      <c r="BH211" s="122" t="str">
        <f t="shared" si="103"/>
        <v>VM-2</v>
      </c>
      <c r="BI211" s="123">
        <f t="shared" si="104"/>
        <v>1.5</v>
      </c>
      <c r="BJ211" s="124">
        <f t="shared" si="105"/>
        <v>-1.0566340137126105</v>
      </c>
    </row>
    <row r="212" spans="2:62" x14ac:dyDescent="0.3">
      <c r="F212" s="122" t="s">
        <v>225</v>
      </c>
      <c r="G212" s="123">
        <v>0.6</v>
      </c>
      <c r="H212" s="124">
        <f t="shared" si="80"/>
        <v>-0.14574262258105</v>
      </c>
      <c r="R212" s="122" t="s">
        <v>233</v>
      </c>
      <c r="S212" s="123">
        <v>1.5</v>
      </c>
      <c r="T212" s="124">
        <f t="shared" si="83"/>
        <v>-0.51009917903367397</v>
      </c>
      <c r="AA212" s="122" t="str">
        <f t="shared" si="85"/>
        <v>L1-6 cen.</v>
      </c>
      <c r="AB212" s="123">
        <f t="shared" si="86"/>
        <v>0.6</v>
      </c>
      <c r="AC212" s="124">
        <f t="shared" si="87"/>
        <v>-0.218613933871575</v>
      </c>
      <c r="AM212" s="122" t="str">
        <f t="shared" si="92"/>
        <v>LT-7</v>
      </c>
      <c r="AN212" s="123">
        <f t="shared" si="93"/>
        <v>1.5</v>
      </c>
      <c r="AO212" s="124">
        <f t="shared" si="94"/>
        <v>-0.54653483467893649</v>
      </c>
      <c r="AV212" s="122" t="str">
        <f t="shared" si="96"/>
        <v>L1-6 cen.</v>
      </c>
      <c r="AW212" s="123">
        <f t="shared" si="97"/>
        <v>0.6</v>
      </c>
      <c r="AX212" s="124">
        <f t="shared" si="98"/>
        <v>-0.364356556452624</v>
      </c>
      <c r="BH212" s="122" t="str">
        <f t="shared" si="103"/>
        <v>LT-7</v>
      </c>
      <c r="BI212" s="123">
        <f t="shared" si="104"/>
        <v>1.5</v>
      </c>
      <c r="BJ212" s="124">
        <f t="shared" si="105"/>
        <v>-1.0566340137126105</v>
      </c>
    </row>
    <row r="213" spans="2:62" x14ac:dyDescent="0.3">
      <c r="F213" s="122" t="s">
        <v>226</v>
      </c>
      <c r="G213" s="123">
        <v>1.2</v>
      </c>
      <c r="H213" s="124">
        <f t="shared" si="80"/>
        <v>-0.291485245162099</v>
      </c>
      <c r="R213" s="122" t="s">
        <v>236</v>
      </c>
      <c r="S213" s="123">
        <v>1.5</v>
      </c>
      <c r="T213" s="124">
        <f t="shared" si="83"/>
        <v>-0.51009917903367397</v>
      </c>
      <c r="AA213" s="122" t="str">
        <f t="shared" si="85"/>
        <v>L1-7</v>
      </c>
      <c r="AB213" s="123">
        <f t="shared" si="86"/>
        <v>1.2</v>
      </c>
      <c r="AC213" s="124">
        <f t="shared" si="87"/>
        <v>-0.437227867743149</v>
      </c>
      <c r="AM213" s="122" t="str">
        <f t="shared" si="92"/>
        <v>LT-8</v>
      </c>
      <c r="AN213" s="123">
        <f t="shared" si="93"/>
        <v>1.5</v>
      </c>
      <c r="AO213" s="124">
        <f t="shared" si="94"/>
        <v>-0.54653483467893649</v>
      </c>
      <c r="AV213" s="122" t="str">
        <f t="shared" si="96"/>
        <v>L1-7</v>
      </c>
      <c r="AW213" s="123">
        <f t="shared" si="97"/>
        <v>1.2</v>
      </c>
      <c r="AX213" s="124">
        <f t="shared" si="98"/>
        <v>-0.728713112905249</v>
      </c>
      <c r="BH213" s="122" t="str">
        <f t="shared" si="103"/>
        <v>LT-8</v>
      </c>
      <c r="BI213" s="123">
        <f t="shared" si="104"/>
        <v>1.5</v>
      </c>
      <c r="BJ213" s="124">
        <f t="shared" si="105"/>
        <v>-1.0566340137126105</v>
      </c>
    </row>
    <row r="214" spans="2:62" x14ac:dyDescent="0.3">
      <c r="F214" s="122" t="s">
        <v>227</v>
      </c>
      <c r="G214" s="123">
        <v>0.82499999999999996</v>
      </c>
      <c r="H214" s="124">
        <f t="shared" si="80"/>
        <v>-0.20039610604894334</v>
      </c>
      <c r="R214" s="122" t="s">
        <v>239</v>
      </c>
      <c r="S214" s="123">
        <v>1.5</v>
      </c>
      <c r="T214" s="124">
        <f t="shared" si="83"/>
        <v>-0.51009917903367397</v>
      </c>
      <c r="AA214" s="122" t="str">
        <f t="shared" si="85"/>
        <v>L1-8</v>
      </c>
      <c r="AB214" s="123">
        <f t="shared" si="86"/>
        <v>0.82499999999999996</v>
      </c>
      <c r="AC214" s="124">
        <f t="shared" si="87"/>
        <v>-0.30059415907341502</v>
      </c>
      <c r="AM214" s="122" t="str">
        <f t="shared" si="92"/>
        <v>LT-9</v>
      </c>
      <c r="AN214" s="123">
        <f t="shared" si="93"/>
        <v>1.5</v>
      </c>
      <c r="AO214" s="124">
        <f t="shared" si="94"/>
        <v>-0.54653483467893649</v>
      </c>
      <c r="AV214" s="122" t="str">
        <f t="shared" si="96"/>
        <v>L1-8</v>
      </c>
      <c r="AW214" s="123">
        <f t="shared" si="97"/>
        <v>0.82499999999999996</v>
      </c>
      <c r="AX214" s="124">
        <f t="shared" si="98"/>
        <v>-0.50099026512235834</v>
      </c>
      <c r="BH214" s="122" t="str">
        <f t="shared" si="103"/>
        <v>LT-9</v>
      </c>
      <c r="BI214" s="123">
        <f t="shared" si="104"/>
        <v>1.5</v>
      </c>
      <c r="BJ214" s="124">
        <f t="shared" si="105"/>
        <v>-1.0566340137126105</v>
      </c>
    </row>
    <row r="215" spans="2:62" x14ac:dyDescent="0.3">
      <c r="F215" s="122" t="s">
        <v>287</v>
      </c>
      <c r="G215" s="123">
        <v>0.71499999999999997</v>
      </c>
      <c r="H215" s="124">
        <f t="shared" si="80"/>
        <v>-0.17367662524241756</v>
      </c>
      <c r="R215" s="122" t="s">
        <v>242</v>
      </c>
      <c r="S215" s="123">
        <v>0.75</v>
      </c>
      <c r="T215" s="124">
        <f t="shared" si="83"/>
        <v>-0.25504958951683698</v>
      </c>
      <c r="AA215" s="122" t="str">
        <f t="shared" si="85"/>
        <v>L1-9</v>
      </c>
      <c r="AB215" s="123">
        <f t="shared" si="86"/>
        <v>0.71499999999999997</v>
      </c>
      <c r="AC215" s="124">
        <f t="shared" si="87"/>
        <v>-0.26051493786362634</v>
      </c>
      <c r="AM215" s="122" t="str">
        <f t="shared" si="92"/>
        <v>VM-3</v>
      </c>
      <c r="AN215" s="123">
        <f t="shared" si="93"/>
        <v>0.75</v>
      </c>
      <c r="AO215" s="124">
        <f t="shared" si="94"/>
        <v>-0.27326741733946824</v>
      </c>
      <c r="AV215" s="122" t="str">
        <f t="shared" si="96"/>
        <v>L1-9</v>
      </c>
      <c r="AW215" s="123">
        <f t="shared" si="97"/>
        <v>0.71499999999999997</v>
      </c>
      <c r="AX215" s="124">
        <f t="shared" si="98"/>
        <v>-0.4341915631060439</v>
      </c>
      <c r="BH215" s="122" t="str">
        <f t="shared" si="103"/>
        <v>VM-3</v>
      </c>
      <c r="BI215" s="123">
        <f t="shared" si="104"/>
        <v>0.75</v>
      </c>
      <c r="BJ215" s="124">
        <f t="shared" si="105"/>
        <v>-0.52831700685630523</v>
      </c>
    </row>
    <row r="216" spans="2:62" x14ac:dyDescent="0.3">
      <c r="F216" s="122" t="s">
        <v>228</v>
      </c>
      <c r="G216" s="123">
        <v>0.49</v>
      </c>
      <c r="H216" s="124">
        <f t="shared" si="80"/>
        <v>-0.11902314177452393</v>
      </c>
      <c r="AA216" s="122" t="str">
        <f t="shared" si="85"/>
        <v>VM-1 sup.</v>
      </c>
      <c r="AB216" s="123">
        <f t="shared" si="86"/>
        <v>0.49</v>
      </c>
      <c r="AC216" s="124">
        <f t="shared" si="87"/>
        <v>-0.17853471266178592</v>
      </c>
      <c r="AV216" s="122" t="str">
        <f t="shared" si="96"/>
        <v>VM-1 sup.</v>
      </c>
      <c r="AW216" s="123">
        <f t="shared" si="97"/>
        <v>0.49</v>
      </c>
      <c r="AX216" s="124">
        <f t="shared" si="98"/>
        <v>-0.29755785443630983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2026-10-07T16:13:16Z</dcterms:modified>
</cp:coreProperties>
</file>