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6586A300-A571-434E-9440-F44DD869DE21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DATOS" sheetId="1" r:id="rId1"/>
    <sheet name="COEFICIENTE" sheetId="2" r:id="rId2"/>
    <sheet name="ESPECTROS" sheetId="3" r:id="rId3"/>
    <sheet name="STAAD" sheetId="4" r:id="rId4"/>
    <sheet name="CM_CV_MASA" sheetId="9" r:id="rId5"/>
    <sheet name="TABLA_T_Sa" sheetId="5" r:id="rId6"/>
    <sheet name="SV_vs_MEXICO" sheetId="6" r:id="rId7"/>
    <sheet name="TABLAS" sheetId="7" r:id="rId8"/>
    <sheet name="REFERENCIAS" sheetId="8" r:id="rId9"/>
  </sheets>
  <definedNames>
    <definedName name="_xlnm.Print_Area" localSheetId="2">ESPECTROS!$A$1:$O$179</definedName>
  </definedNames>
  <calcPr calcId="191029" iterateDelta="1E-4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<sst xmlns="http://schemas.openxmlformats.org/spreadsheetml/2006/main" count="1385" uniqueCount="1014">
  <si>
    <t>ESPECTROS DE DISEÑO POR DIRECCIÓN — RESULTADO FINAL</t>
  </si>
  <si>
    <t>NTDS §5.2: C_sm = I·A/R·[1 + 3(C_o−1)T/T_o] si T &lt; T_o/3; I·A·C_o/R hasta T_o; I·A·C_o/R·(T_o/T)^(2/3) hasta 4 s; 2.5·I·A·C_o·T_o^(2/3)/(R·T^(4/3)) después.  ASCE §11.4.6: S_DS(0.4 + 0.6T/T_0); S_DS; S_D1/T; S_D1·T_L/T².</t>
  </si>
  <si>
    <t>CÓMO SE LEE: todas las ordenadas en g. NTDS: C_sm ya trae I y el R de cada dirección. ASCE: S_a es el de diseño elástico (⅔ del MCE_R) y el reducido es S_a·I_e/R de cada dirección. «NTDS a comparar» = C_sm × factor de DATOS. Si la relación sale menor que 1 dentro del AMSS, OPAMSS pide calibrar. La columna O es la que se pega en STAAD.</t>
  </si>
  <si>
    <t>A. GRÁFICAS (de 0 a 6 s; la tabla sigue hasta 10 s)</t>
  </si>
  <si>
    <t>1) Reducidos X y Z: lo que entra al análisis modal.  2) Elásticos: el peligro de cada norma sin reducir.  3) Relación ASCE / NTDS por dirección: si baja de 1.0 esa zona no cumple la revisión de OPAMSS (sólo AMSS).</t>
  </si>
  <si>
    <t>B. TABLA DE ORDENADAS (todas en g)</t>
  </si>
  <si>
    <t>Los quiebres de cada espectro (T_o/3, T_o, T_0, T_S y T_L) se meten exactos en la malla de periodos: por eso algunos T no son redondos. Las columnas grises de la derecha son la malla base; no se tocan.</t>
  </si>
  <si>
    <t>T (s)</t>
  </si>
  <si>
    <t>NTDS elástico
(R = 1)</t>
  </si>
  <si>
    <t>NTDS diseño X
C_sm (÷ R_X)</t>
  </si>
  <si>
    <t>NTDS diseño Z
C_sm (÷ R_Z)</t>
  </si>
  <si>
    <t>ASCE MCE_R
1.5·S_a</t>
  </si>
  <si>
    <t>ASCE diseño
S_a elástico</t>
  </si>
  <si>
    <t>ASCE reducido X
S_a·I_e/R_X</t>
  </si>
  <si>
    <t>ASCE reducido Z
S_a·I_e/R_Z</t>
  </si>
  <si>
    <t>NTDS a comparar X</t>
  </si>
  <si>
    <t>NTDS a comparar Z</t>
  </si>
  <si>
    <t>Relación X
ASCE / NTDS</t>
  </si>
  <si>
    <t>Relación Z
ASCE / NTDS</t>
  </si>
  <si>
    <t>¿Cumple
OPAMSS?</t>
  </si>
  <si>
    <t>Para STAAD
(elástico elegido)</t>
  </si>
  <si>
    <t>auxiliar:
malla (s)</t>
  </si>
  <si>
    <t>auxiliar:
½ paso (s)</t>
  </si>
  <si>
    <t>auxiliar:
línea 1.0</t>
  </si>
  <si>
    <t>ESPECTROS Y CARGAS SÍSMICAS PARA NAVES — EL SALVADOR — DATOS DE ENTRADA</t>
  </si>
  <si>
    <t>Norma Técnica para Diseño por Sismo NTDS-1994 (MOP, rige en todo el país) y, dentro del AMSS, la Reforma OPAMSS de 2022 que manda usar ASCE/SEI 7-16 con su Anexo 37. Eliges el tipo de estructura de cada dirección de la nave y salen el coeficiente, el cortante basal y el espectro para STAAD.</t>
  </si>
  <si>
    <t>1. PROYECTO Y NORMA QUE RIGE</t>
  </si>
  <si>
    <t>La norma nacional es la NTDS-1994 (parte de la RESESCO). Si el predio está en el Área Metropolitana de San Salvador además rige la Reforma OPAMSS publicada el 6 de enero de 2022, que mete ASCE/SEI 7-16 con su Anexo 37.</t>
  </si>
  <si>
    <t>Concepto</t>
  </si>
  <si>
    <t>Valor</t>
  </si>
  <si>
    <t>Unidad</t>
  </si>
  <si>
    <t>Cómo se calcula / de dónde sale</t>
  </si>
  <si>
    <t>Referencia</t>
  </si>
  <si>
    <t>Proyecto</t>
  </si>
  <si>
    <t>HANGAR NOSE-DOCK H5-H6</t>
  </si>
  <si>
    <t>CAPTURA. Sólo para identificar la corrida.</t>
  </si>
  <si>
    <t>NTDS-1994 · §1.2.3, pág. 1 (datos que pide la memoria)</t>
  </si>
  <si>
    <t>Ubicación</t>
  </si>
  <si>
    <t>Departamento de LA PAZ, EL SALVADOR</t>
  </si>
  <si>
    <t>CAPTURA. Municipio y departamento. La zona sísmica se elige abajo con el mapa de la Fig. 1.</t>
  </si>
  <si>
    <t>NTDS-1994 · §1.2.3, pág. 1</t>
  </si>
  <si>
    <t>¿El predio está dentro del AMSS?</t>
  </si>
  <si>
    <t>NO</t>
  </si>
  <si>
    <t>—</t>
  </si>
  <si>
    <t>SELECTOR SÍ / NO. El AMSS son 14: San Salvador, Mejicanos, Ayutuxtepeque, Cuscatancingo, Ciudad Delgado, Apopa, Nejapa, Tonacatepeque, Soyapango, Ilopango, San Martín, San Marcos, Santa Tecla y Antiguo Cuscatlán. Fuera de ahí sólo rige la NTDS.</t>
  </si>
  <si>
    <t>Reforma OPAMSS · Considerando II · DO Tomo 434, pág. 67</t>
  </si>
  <si>
    <t>¿Lleva aisladores o disipadores de energía?</t>
  </si>
  <si>
    <t>SELECTOR SÍ / NO. Con SÍ, en el AMSS la ASCE 7-16 es obligatoria y también el estudio de respuesta sísmica local.</t>
  </si>
  <si>
    <t>Art. VI.7-B lit. C y Anexo 37 punto 1.a · DO págs. 74 y 75</t>
  </si>
  <si>
    <t>Criterio para comparar ASCE contra la NTDS</t>
  </si>
  <si>
    <t>FACTORIZADA</t>
  </si>
  <si>
    <t>SELECTOR. FACTORIZADA: la NTDS se lleva a nivel último antes de comparar, porque sus fuerzas son de esfuerzos permisibles y las de ASCE son de resistencia. DIRECTA: se comparan los coeficientes tal cual (menos exigente). Recomendado: FACTORIZADA.</t>
  </si>
  <si>
    <t>Art. VI.7-B lit. B, DO pág. 73 · Comentarios NTDS, pág. 7 · RESESCO Art. 21, págs. 7 y 8</t>
  </si>
  <si>
    <t>Factor que se le aplica a la NTDS al comparar</t>
  </si>
  <si>
    <t>CALCULADA. 1.43 es el mayor factor que la RESESCO le pone al sismo: 0.75 × 1.87 = 1.40 en la ec. (2) y 1.43 en la ec. (3). ASCE lo combina con 1.0.</t>
  </si>
  <si>
    <t>RESESCO 1996 · Art. 21, ecs. (2) y (3), págs. 7 y 8</t>
  </si>
  <si>
    <t>Norma que rige el diseño sísmico</t>
  </si>
  <si>
    <t>CALCULADA. Fuera del AMSS: NTDS. En el AMSS con aisladores o disipadores: ASCE 7-16 obligatoria. En el AMSS sin ellos se puede escoger; si usas ASCE hay que demostrar que no queda abajo de la NTDS (hoja COEFICIENTE, sección C).</t>
  </si>
  <si>
    <t>Art. VI.7-B, lits. A, B y C · DO págs. 73 y 74</t>
  </si>
  <si>
    <t>¿Se exige estudio de respuesta sísmica local?</t>
  </si>
  <si>
    <t>CALCULADA. La guía lo pide con aisladores o disipadores (1.a), con inversión de Vs entre estratos (1.f) y en clase F. No es lo mismo que el estudio de amplificación sísmica local.</t>
  </si>
  <si>
    <t>Anexo 37 · puntos 1.a y 1.f y Tabla 2 · DO págs. 75 y 76</t>
  </si>
  <si>
    <t>2. NTDS-1994 — ZONA, SUELO Y OCUPACIÓN</t>
  </si>
  <si>
    <t>Con A (zona), C_o y T_o (suelo) e I (ocupación) sale el espectro nacional; R lo pone el tipo de estructura de cada dirección (sección 4). Aplica en todo el país, dentro y fuera del AMSS.</t>
  </si>
  <si>
    <t>Zona sísmica</t>
  </si>
  <si>
    <t>SELECTOR 1 ó 2 con la Fig. 1. La línea divisoria va de San Antonio Pajonal (Santa Ana) a la frontera con Honduras sobre el río Goascorán. Zona 1 al sur: todo el AMSS, la franja costera y todas las islas. Zona 2 al norte.</t>
  </si>
  <si>
    <t>NTDS-1994 · Tabla 1 y Fig. 1, pág. 19</t>
  </si>
  <si>
    <t>A — factor de zonificación sísmica</t>
  </si>
  <si>
    <t>g</t>
  </si>
  <si>
    <t>CALCULADA. Aceleración pico efectiva del terreno para el sismo de 10% de excedencia en 50 años.</t>
  </si>
  <si>
    <t>NTDS-1994 · Tabla 1, pág. 19 · Comentarios, pág. 8</t>
  </si>
  <si>
    <t>Perfil de suelo</t>
  </si>
  <si>
    <t>S3</t>
  </si>
  <si>
    <t>SELECTOR S1 a S4 con el estudio geotécnico. S1 roca o suelo muy denso de menos de 30 m; S2 denso de 30 m o más, o compacto de menos de 30 m; S3 de 4 a 12 m de suelo blando o suelto; S4 más de 12 m blando con Vs &lt; 150 m/s. Sin datos suficientes, S3.</t>
  </si>
  <si>
    <t>NTDS-1994 · Tabla 2 y nota (1), pág. 20</t>
  </si>
  <si>
    <t>C_o — coeficiente de sitio</t>
  </si>
  <si>
    <t>CALCULADA. Cuántas veces A vale la meseta del espectro.</t>
  </si>
  <si>
    <t>NTDS-1994 · Tabla 2, pág. 20</t>
  </si>
  <si>
    <t>T_o — periodo del sitio</t>
  </si>
  <si>
    <t>s</t>
  </si>
  <si>
    <t>CALCULADA. Donde termina la meseta. La meseta empieza en T_o/3.</t>
  </si>
  <si>
    <t>Categoría de ocupación</t>
  </si>
  <si>
    <t>II</t>
  </si>
  <si>
    <t>SELECTOR. I esenciales o peligrosos. II ocupación especial: incluye locales que alojan equipo especialmente costoso y almacenes de 500 m² o más, o de más de 10 m de alto. III ocupación normal, incluye edificaciones industriales. EJEMPLO: II porque el hangar aloja la aeronave; si se acepta como industrial normal, pon III.</t>
  </si>
  <si>
    <t>NTDS-1994 · Tabla 3, pág. 21</t>
  </si>
  <si>
    <t>I — factor de importancia</t>
  </si>
  <si>
    <t>CALCULADA: 1.5 / 1.2 / 1.0. Multiplica todo el espectro.</t>
  </si>
  <si>
    <t>NTDS-1994 · Tabla 4, pág. 21</t>
  </si>
  <si>
    <t>Meseta elástica = I·A·C_o (con R = 1)</t>
  </si>
  <si>
    <t>CALCULADA. La de diseño de cada dirección (÷ R) sale en COEFICIENTE y ESPECTROS.</t>
  </si>
  <si>
    <t>NTDS-1994 · §5.2, pág. 11</t>
  </si>
  <si>
    <t>3. ASCE/SEI 7-16 CON EL ANEXO 37 DE OPAMSS (SÓLO AMSS)</t>
  </si>
  <si>
    <t>La guía fija un solo S_S y S_1 para todo el AMSS y trae su propia clasificación de sitio y sus propios F_a y F_v. Todo lo demás es ASCE 7-16 íntegro. Fuera del AMSS esta sección queda sólo de referencia (sus capturas se ponen grises).</t>
  </si>
  <si>
    <t>S_S — aceleración espectral MCE en 0.2 s</t>
  </si>
  <si>
    <t>FIJA. Sismo de 2% de excedencia en 50 años (≈ 2,500 años de retorno). No se busca en mapas: es la misma para todo el AMSS.</t>
  </si>
  <si>
    <t>Anexo 37 · punto 2 · DO pág. 76</t>
  </si>
  <si>
    <t>S_1 — aceleración espectral MCE en 1 s</t>
  </si>
  <si>
    <t>FIJA. Mismo nivel de peligro. Como S_1 ≥ 0.6 g, siempre aplica el mínimo de la ec. 12.8-6.</t>
  </si>
  <si>
    <t>V_s30 — velocidad de onda de corte promedio en 30 m</t>
  </si>
  <si>
    <t>m/s</t>
  </si>
  <si>
    <t>CAPTURA. Medida con métodos directos o indirectos en dos direcciones ortogonales, una medición por cada 2,000 m². No se permite sacarla de SPT o CPT salvo edificios de hasta 2 niveles, de 500 m² o menos y con menos de 100 personas.</t>
  </si>
  <si>
    <t>Anexo 37 · puntos 1.b y 1.d · DO pág. 75</t>
  </si>
  <si>
    <t>¿Suelo especial o inversión de V_s?</t>
  </si>
  <si>
    <t>SELECTOR. SÍ si hay suelos licuables, turbas, arcillas muy sensibles o muy plásticas, o si los datos geofísicos muestran inversión de V_s entre estratos. Con SÍ la clase es F.</t>
  </si>
  <si>
    <t>Anexo 37 · punto 1.f · DO pág. 76 · ASCE 7-16 §20.3.1</t>
  </si>
  <si>
    <t>Clase de sitio</t>
  </si>
  <si>
    <t>CALCULADA con V_s30: A &gt; 1500; B 760–1500; C 360–760; D 180–360; E &lt; 180 m/s. En los límites exactos se toma la clase más rígida.</t>
  </si>
  <si>
    <t>Anexo 37 · Tabla 1 · DO pág. 75</t>
  </si>
  <si>
    <t>F_a — coeficiente de sitio en periodo corto</t>
  </si>
  <si>
    <t>CALCULADA. Tabla propia del Anexo: no depende de S_S. En clase F usa el de E sólo como referencia.</t>
  </si>
  <si>
    <t>Anexo 37 · Tabla 2 · DO pág. 76 (sustituye la Tabla 11.4-1)</t>
  </si>
  <si>
    <t>F_v — coeficiente de sitio en 1 s</t>
  </si>
  <si>
    <t>CALCULADA. Tabla propia del Anexo: no depende de S_1. En clase F usa el de E sólo como referencia.</t>
  </si>
  <si>
    <t>Anexo 37 · Tabla 2 · DO pág. 76 (sustituye la Tabla 11.4-2)</t>
  </si>
  <si>
    <t>S_MS = F_a · S_S</t>
  </si>
  <si>
    <t>CALCULADA. MCE_R ajustado por sitio, periodo corto.</t>
  </si>
  <si>
    <t>ASCE 7-16 · ec. 11.4-1</t>
  </si>
  <si>
    <t>S_M1 = F_v · S_1</t>
  </si>
  <si>
    <t>CALCULADA. MCE_R ajustado por sitio, 1 s.</t>
  </si>
  <si>
    <t>ASCE 7-16 · ec. 11.4-2</t>
  </si>
  <si>
    <t>S_DS = ⅔ · S_MS</t>
  </si>
  <si>
    <t>CALCULADA. Meseta del espectro de diseño (elástico).</t>
  </si>
  <si>
    <t>ASCE 7-16 · ec. 11.4-3</t>
  </si>
  <si>
    <t>S_D1 = ⅔ · S_M1</t>
  </si>
  <si>
    <t>CALCULADA. Ordenada de diseño en T = 1 s.</t>
  </si>
  <si>
    <t>ASCE 7-16 · ec. 11.4-4</t>
  </si>
  <si>
    <t>T_0 = 0.2 · S_D1 / S_DS</t>
  </si>
  <si>
    <t>CALCULADA. Donde empieza la meseta.</t>
  </si>
  <si>
    <t>ASCE 7-16 · §11.4.6</t>
  </si>
  <si>
    <t>T_S = S_D1 / S_DS</t>
  </si>
  <si>
    <t>CALCULADA. Donde termina la meseta.</t>
  </si>
  <si>
    <t>T_L — periodo de transición a periodo largo</t>
  </si>
  <si>
    <t>CAPTURA. El Anexo 37 no lo fija y los mapas de ASCE (Figs. 22-14 a 22-17) no cubren El Salvador. Se proponen 8 s; sólo afecta a periodos mayores que T_L y un valor mayor es más conservador. Confírmalo con OPAMSS o con el estudio de sitio.</t>
  </si>
  <si>
    <t>ASCE 7-16 · §11.4.6 · no definido en el Anexo 37</t>
  </si>
  <si>
    <t>Categoría de riesgo (ASCE)</t>
  </si>
  <si>
    <t>SELECTOR I a IV. Equivalencia sugerida con las categorías de OPAMSS (Art. VI.3): Cat. 1 esenciales o peligrosos → IV; Cat. 2 ocupación especial → III; Cat. 3 ocupación normal → II. La equivalencia es criterio de esta hoja.</t>
  </si>
  <si>
    <t>ASCE 7-16 · Tabla 1.5-1 · OPAMSS Art. VI.3, DO págs. 68 y 69</t>
  </si>
  <si>
    <t>I_e — factor de importancia sísmica</t>
  </si>
  <si>
    <t>CALCULADA: 1.00 / 1.00 / 1.25 / 1.50.</t>
  </si>
  <si>
    <t>ASCE 7-16 · Tabla 1.5-2</t>
  </si>
  <si>
    <t>Categoría de diseño sísmico (SDC)</t>
  </si>
  <si>
    <t>CALCULADA con S_DS y S_D1 (manda la más severa). Con los valores del AMSS sale D para cualquier clase de sitio.</t>
  </si>
  <si>
    <t>ASCE 7-16 · §11.6, Tablas 11.6-1 y 11.6-2</t>
  </si>
  <si>
    <t>¿Carga muerta de techo ≤ 0.96 kPa (≈ 98 kg/m²)?</t>
  </si>
  <si>
    <t>SÍ</t>
  </si>
  <si>
    <t>SELECTOR. En naves de un nivel ASCE permite en SDC D los marcos ordinarios e intermedios de acero y el contraventeo concéntrico ordinario sólo si la muerta de techo no pasa de 0.96 kPa.</t>
  </si>
  <si>
    <t>ASCE 7-16 · §12.2.5.6.1, §12.2.5.7.1 y nota j de la Tabla 12.2-1</t>
  </si>
  <si>
    <t>4. LA NAVE: TIPO DE ESTRUCTURA, ALTURA Y PESO</t>
  </si>
  <si>
    <t>X = dirección transversal (en el plano de los marcos); Z = dirección longitudinal (a lo largo de la nave). El tipo de estructura de cada dirección saca R, C_d y Ω_0 de la Tabla 7 de la NTDS y de la 12.2-1 de ASCE (catálogo de naves en TABLAS).</t>
  </si>
  <si>
    <t>Tipo de estructura — dirección X (transversal)</t>
  </si>
  <si>
    <t>MARCO RÍGIDO ORDINARIO</t>
  </si>
  <si>
    <t>Catálogo en TABLAS · NTDS Tabla 7, pág. 23 · ASCE Tabla 12.2-1</t>
  </si>
  <si>
    <t>Tipo de estructura — dirección Z (longitudinal)</t>
  </si>
  <si>
    <t>h_n — altura de la nave</t>
  </si>
  <si>
    <t>m</t>
  </si>
  <si>
    <t>NTDS-1994 · §4.2.2, pág. 7 · ASCE 7-16 §11.2</t>
  </si>
  <si>
    <t>Número de niveles</t>
  </si>
  <si>
    <t>CAPTURA. Nave sin entrepisos = 1. Sirve para el método estático en estructuras irregulares y para las excepciones de un nivel de ASCE.</t>
  </si>
  <si>
    <t>NTDS-1994 · §3.9, pág. 6 · ASCE 7-16 §12.2.5</t>
  </si>
  <si>
    <t>¿Estructura regular?</t>
  </si>
  <si>
    <t>SELECTOR SÍ / NO. Regular si no tiene ninguna irregularidad de las Tablas 5 y 6 de la NTDS (12.3-1 y 12.3-2 de ASCE). Decide si procede el método estático y cómo se escala el dinámico.</t>
  </si>
  <si>
    <t>NTDS-1994 · §3.5 y Tablas 5 y 6, págs. 4 y 22</t>
  </si>
  <si>
    <t>T del modelo — dirección X (opcional)</t>
  </si>
  <si>
    <t>CAPTURA opcional: periodo fundamental del modelo en la dirección que revisas. Con 0 se usan los aproximados. NTDS: se acepta con C_s ≥ 80% del de Método A. ASCE: se usa hasta C_u·T_a.</t>
  </si>
  <si>
    <t>NTDS §4.2.2 (2), págs. 7 y 8 · ASCE §12.8.2</t>
  </si>
  <si>
    <t>T del modelo — dirección Z (opcional)</t>
  </si>
  <si>
    <t>CAPTURA opcional, igual que en X.</t>
  </si>
  <si>
    <t>W para la NTDS</t>
  </si>
  <si>
    <t>t</t>
  </si>
  <si>
    <t>NTDS §4.1.3, pág. 7 · RESESCO Art. 25.2, pág. 10 y tabla, pág. 12</t>
  </si>
  <si>
    <t>W para ASCE</t>
  </si>
  <si>
    <t>ASCE 7-16 · §12.7.2</t>
  </si>
  <si>
    <t>¿Están completos y consistentes los datos?</t>
  </si>
  <si>
    <t>Semáforo de esta hoja: FALTA en rojo, OJO en amarillo. Si sale SÍ, ve a ESPECTROS.</t>
  </si>
  <si>
    <t>Revisión de esta hoja</t>
  </si>
  <si>
    <t>COEFICIENTE SÍSMICO Y CORTANTE BASAL POR DIRECCIÓN — RESULTADO</t>
  </si>
  <si>
    <t>V = C_s·W en cada dirección de la nave: X (transversal) y Z (longitudinal). Aquí salen el cortante estático, el mínimo para escalar el modal y la revisión que pide OPAMSS: que la demanda de ASCE no quede abajo de la NTDS.</t>
  </si>
  <si>
    <t>CÓMO SE LEE: columna C = dirección X, columna D = dirección Z. La sección A es la norma nacional, la B es ASCE con el Anexo 37 (fuera del AMSS sólo es referencia, en gris) y la C es la comprobación de OPAMSS. V sale en toneladas con los W de DATOS. Aquí no se captura nada.</t>
  </si>
  <si>
    <t>A. NTDS-1994 — MÉTODO ESTÁTICO (§4.2)</t>
  </si>
  <si>
    <t>V = C_s·W. Si capturaste el periodo del modelo se usa con el tope del 80%; si no, el del Método A. Fuerzas a nivel de esfuerzos permisibles.</t>
  </si>
  <si>
    <t>Dir. X (transversal)</t>
  </si>
  <si>
    <t>Dir. Z (longitudinal)</t>
  </si>
  <si>
    <t>Tipo de estructura</t>
  </si>
  <si>
    <t>De DATOS §4.</t>
  </si>
  <si>
    <t>DATOS §4</t>
  </si>
  <si>
    <t>Sistema de la Tabla 7 — código</t>
  </si>
  <si>
    <t>Del catálogo de naves (TABLAS).</t>
  </si>
  <si>
    <t>NTDS-1994 · Tabla 7, pág. 23 · catálogo en TABLAS</t>
  </si>
  <si>
    <t>Sistema de la Tabla 7 — descripción</t>
  </si>
  <si>
    <t>Sistemas A a E definidos en §3.6.</t>
  </si>
  <si>
    <t>NTDS-1994 · §3.6, págs. 4 y 5</t>
  </si>
  <si>
    <t>R — factor de modificación de respuesta</t>
  </si>
  <si>
    <t>Divide el espectro. Está a nivel de esfuerzos permisibles.</t>
  </si>
  <si>
    <t>NTDS-1994 · Tabla 7, pág. 23</t>
  </si>
  <si>
    <t>C_d — amplificación de desplazamientos</t>
  </si>
  <si>
    <t>Desplazamiento de diseño = C_d × el elástico del análisis; la deriva se compara con la Tabla 8 (TABLAS).</t>
  </si>
  <si>
    <t>NTDS-1994 · ec. 4.11, pág. 9 · Tabla 8, pág. 24</t>
  </si>
  <si>
    <t>H — altura límite del sistema</t>
  </si>
  <si>
    <t>S.L. = sin límite.</t>
  </si>
  <si>
    <t>¿h_n dentro del límite?</t>
  </si>
  <si>
    <t>Revisa la h_n de DATOS contra H.</t>
  </si>
  <si>
    <t>Tipo para el periodo aproximado</t>
  </si>
  <si>
    <t>Del catálogo. Define C_t.</t>
  </si>
  <si>
    <t>NTDS ec. 4.3, pág. 7 · ASCE Tabla 12.8-2</t>
  </si>
  <si>
    <t>C_t — NTDS</t>
  </si>
  <si>
    <t>0.085 marcos de acero, 0.073 marcos de concreto, 0.049 lo demás.</t>
  </si>
  <si>
    <t>NTDS-1994 · §4.2.2 (1), pág. 7</t>
  </si>
  <si>
    <t>T — Método A = C_t · h_n^(3/4)</t>
  </si>
  <si>
    <t>Periodo empírico: límite inferior del real.</t>
  </si>
  <si>
    <t>NTDS-1994 · ec. 4.3, pág. 7</t>
  </si>
  <si>
    <t>T que se usa</t>
  </si>
  <si>
    <t>CALCULADA. Periodo del modelo si lo capturaste; si no, el del Método A.</t>
  </si>
  <si>
    <t>NTDS-1994 · §4.2.2, pág. 7</t>
  </si>
  <si>
    <t>T para la ec. 4.2 (entre T_o y 6T_o)</t>
  </si>
  <si>
    <t>CALCULADA. La norma no deja usar un T menor que T_o ni mayor que 6T_o en esta ecuación.</t>
  </si>
  <si>
    <t>NTDS-1994 · §4.2.1, pág. 7</t>
  </si>
  <si>
    <t>C_s con ese T = A·I·C_o / R · (T_o/T)^(2/3)</t>
  </si>
  <si>
    <t>CALCULADA.</t>
  </si>
  <si>
    <t>NTDS-1994 · ec. 4.2, pág. 7</t>
  </si>
  <si>
    <t>C_s con el T del Método A</t>
  </si>
  <si>
    <t>CALCULADA. Referencia para el tope del 80% y para escalar el dinámico.</t>
  </si>
  <si>
    <t>NTDS-1994 · §4.2.2 (2), págs. 7 y 8</t>
  </si>
  <si>
    <t>C_s de diseño</t>
  </si>
  <si>
    <t>CALCULADA. Con periodo del modelo, nunca menos del 80% del de Método A.</t>
  </si>
  <si>
    <t>NTDS-1994 · §4.2.2 (2), pág. 8</t>
  </si>
  <si>
    <t>V = C_s · W</t>
  </si>
  <si>
    <t>CALCULADA con el W de la NTDS. Es fuerza a nivel de esfuerzos permisibles.</t>
  </si>
  <si>
    <t>NTDS-1994 · ec. 4.1, pág. 7</t>
  </si>
  <si>
    <t>F_t / V — fuerza extra en el último nivel</t>
  </si>
  <si>
    <t>CALCULADA. F_t = 0.07·T·V ≤ 0.25V y vale cero si T ≤ 0.7 s. El resto (V − F_t) se reparte proporcional a w_x·h_x.</t>
  </si>
  <si>
    <t>NTDS-1994 · ecs. 4.6 a 4.8, pág. 8</t>
  </si>
  <si>
    <t>¿Procede el método estático?</t>
  </si>
  <si>
    <t>Regular: sí hasta 70 m, salvo suelo S4 con T &gt; 0.7 s. Irregular: sólo hasta 5 pisos y 20 m (y cumpliendo §3.8.1). Si no, análisis dinámico del Capítulo 5.</t>
  </si>
  <si>
    <t>NTDS-1994 · §3.9, pág. 6</t>
  </si>
  <si>
    <t>Cortante mínimo para escalar el dinámico (÷ W)</t>
  </si>
  <si>
    <t>CALCULADA. Regular: el mayor de 90% del estático y 80% del de Método A. Irregular: 100% del estático. Nunca hace falta usar más que el estático.</t>
  </si>
  <si>
    <t>NTDS-1994 · §5.4.1 (3), pág. 12</t>
  </si>
  <si>
    <t>C_s llevado a nivel último (× factor de DATOS)</t>
  </si>
  <si>
    <t>CALCULADA. Es el que se compara contra ASCE cuando el criterio es FACTORIZADA.</t>
  </si>
  <si>
    <t>RESESCO 1996 · Art. 21, págs. 7 y 8</t>
  </si>
  <si>
    <t>B. ASCE 7-16 CON EL ANEXO 37 — FUERZA LATERAL EQUIVALENTE (§12.8)</t>
  </si>
  <si>
    <t>V = C_s·W. El análisis modal espectral se escala al 100% de este V. Fuera del AMSS es sólo de referencia.</t>
  </si>
  <si>
    <t>Sistema de la Tabla 12.2-1 — código</t>
  </si>
  <si>
    <t>ASCE 7-16 · Tabla 12.2-1 · catálogo en TABLAS</t>
  </si>
  <si>
    <t>Sistema de la Tabla 12.2-1 — descripción</t>
  </si>
  <si>
    <t>Extracto en TABLAS.</t>
  </si>
  <si>
    <t>ASCE 7-16 · Tabla 12.2-1</t>
  </si>
  <si>
    <t>R — coeficiente de modificación de respuesta</t>
  </si>
  <si>
    <t>Está a nivel de resistencia.</t>
  </si>
  <si>
    <t>Ω_0 — factor de sobrerresistencia</t>
  </si>
  <si>
    <t>CALCULADA. Para los elementos y conexiones que se diseñan con el sismo amplificado.</t>
  </si>
  <si>
    <t>ASCE 7-16 · Tabla 12.2-1 · §12.4.3</t>
  </si>
  <si>
    <t>CALCULADA. Desplazamiento de diseño = C_d · δ_e / I_e.</t>
  </si>
  <si>
    <t>ASCE 7-16 · Tabla 12.2-1 · ec. 12.8-15</t>
  </si>
  <si>
    <t>Límite de altura del sistema en SDC D</t>
  </si>
  <si>
    <t>NL = sin límite; NP = no permitido.</t>
  </si>
  <si>
    <t>ASCE 7-16 · Tabla 12.2-1, columna de SDC D</t>
  </si>
  <si>
    <t>Excepción de un nivel: h_n máxima</t>
  </si>
  <si>
    <t>Marcos ordinarios o intermedios de acero y contraventeo concéntrico ordinario en naves de un nivel con muerta de techo ≤ 0.96 kPa.</t>
  </si>
  <si>
    <t>ASCE 7-16 · §12.2.5.6.1, §12.2.5.7.1 y nota j</t>
  </si>
  <si>
    <t>¿Sistema permitido a esa altura (SDC D)?</t>
  </si>
  <si>
    <t>Con la h_n, el número de niveles y la muerta de techo de DATOS. Con marcos ordinarios revisa además que los muros de más de 10.7 m de altura no pasen de 0.96 kPa.</t>
  </si>
  <si>
    <t>ASCE 7-16 · Tabla 12.2-1 y §12.2.5</t>
  </si>
  <si>
    <t>C_t — ASCE (valor métrico)</t>
  </si>
  <si>
    <t>Tabla 12.8-2 con h_n en metros.</t>
  </si>
  <si>
    <t>ASCE 7-16 · Tabla 12.8-2</t>
  </si>
  <si>
    <t>x — exponente de ASCE</t>
  </si>
  <si>
    <t>Tabla 12.8-2.</t>
  </si>
  <si>
    <t>T_a = C_t · h_n^x</t>
  </si>
  <si>
    <t>Periodo aproximado de ASCE.</t>
  </si>
  <si>
    <t>ASCE 7-16 · ec. 12.8-7</t>
  </si>
  <si>
    <t>C_u — límite superior del periodo</t>
  </si>
  <si>
    <t>CALCULADA con S_D1 (≥ 0.3 g → 1.4; con los valores del AMSS siempre 1.4).</t>
  </si>
  <si>
    <t>ASCE 7-16 · Tabla 12.8-1</t>
  </si>
  <si>
    <t>CALCULADA. Periodo del modelo sin pasar de C_u·T_a; si no hay modelo, T_a.</t>
  </si>
  <si>
    <t>ASCE 7-16 · §12.8.2</t>
  </si>
  <si>
    <t>C_s = S_DS / (R/I_e)</t>
  </si>
  <si>
    <t>Meseta.</t>
  </si>
  <si>
    <t>ASCE 7-16 · ec. 12.8-2</t>
  </si>
  <si>
    <t>C_s máximo (ramas 1/T y 1/T²)</t>
  </si>
  <si>
    <t>ASCE 7-16 · ecs. 12.8-3 y 12.8-4</t>
  </si>
  <si>
    <t>C_s mínimo general</t>
  </si>
  <si>
    <t>Es 0.044·S_DS·I_e, sin bajar de 0.01.</t>
  </si>
  <si>
    <t>ASCE 7-16 · ec. 12.8-5</t>
  </si>
  <si>
    <t>C_s mínimo por S_1 ≥ 0.6 g</t>
  </si>
  <si>
    <t>CALCULADA = 0.5·S_1 / (R/I_e). En el AMSS siempre aplica porque S_1 = 0.62 g.</t>
  </si>
  <si>
    <t>ASCE 7-16 · ec. 12.8-6</t>
  </si>
  <si>
    <t>CALCULADA. El menor de meseta y rama descendente, sin bajar de los mínimos.</t>
  </si>
  <si>
    <t>ASCE 7-16 · §12.8.1.1</t>
  </si>
  <si>
    <t>CALCULADA con el W de ASCE. Es fuerza a nivel de resistencia.</t>
  </si>
  <si>
    <t>ASCE 7-16 · ec. 12.8-1</t>
  </si>
  <si>
    <t>k — exponente de la distribución vertical</t>
  </si>
  <si>
    <t>CALCULADA. F_x proporcional a w_x·h_x^k.</t>
  </si>
  <si>
    <t>ASCE 7-16 · §12.8.3</t>
  </si>
  <si>
    <t>¿Se permite la fuerza lateral equivalente?</t>
  </si>
  <si>
    <t>SDC D: sí en estructuras regulares con T &lt; 3.5·T_S, o de categoría I–II con 2 niveles o menos. Con irregularidades revisa la Tabla 12.6-1.</t>
  </si>
  <si>
    <t>ASCE 7-16 · Tabla 12.6-1</t>
  </si>
  <si>
    <t>Cortante mínimo para escalar el modal (÷ W)</t>
  </si>
  <si>
    <t>CALCULADA. El modal se escala al 100% del V de la fuerza lateral equivalente.</t>
  </si>
  <si>
    <t>ASCE 7-16 · §12.9.1.4.1</t>
  </si>
  <si>
    <t>Desplazamiento de diseño = (C_d / I_e) × δ_e</t>
  </si>
  <si>
    <t>×</t>
  </si>
  <si>
    <t>CALCULADA. Compara la deriva con la Tabla 12.12-1 (en TABLAS).</t>
  </si>
  <si>
    <t>ASCE 7-16 · ec. 12.8-15 · Tabla 12.12-1</t>
  </si>
  <si>
    <t>C. VERIFICACIÓN OPAMSS — ¿LA DEMANDA DE ASCE ES MAYOR O IGUAL QUE LA DE LA NTDS?</t>
  </si>
  <si>
    <t>El Art. VI.7-B pide que, si diseñas con ASCE, compruebes que la demanda no es menor que la de la norma nacional; si sale menor, hay que calibrarla. Se revisa con el cortante estático y ordenada por ordenada del espectro.</t>
  </si>
  <si>
    <t>V de la NTDS a comparar (× factor de DATOS)</t>
  </si>
  <si>
    <t>CALCULADA = V_NTDS × factor (1.43 con FACTORIZADA).</t>
  </si>
  <si>
    <t>Art. VI.7-B lit. B · DO pág. 73</t>
  </si>
  <si>
    <t>V de ASCE</t>
  </si>
  <si>
    <t>Sección B de esta hoja</t>
  </si>
  <si>
    <t>Relación V_ASCE / V_NTDS</t>
  </si>
  <si>
    <t>Debe ser ≥ 1.0.</t>
  </si>
  <si>
    <t>Art. VI.7-B lit. B · DO págs. 73 y 74</t>
  </si>
  <si>
    <t>Resultado con el cortante estático</t>
  </si>
  <si>
    <t>Si no cumple, las fuerzas de ASCE se multiplican por el factor de abajo.</t>
  </si>
  <si>
    <t>Factor de calibración del cortante ASCE</t>
  </si>
  <si>
    <t>CALCULADA. 1.00 si ya cumple.</t>
  </si>
  <si>
    <t>Art. VI.7-B lit. B · DO pág. 74</t>
  </si>
  <si>
    <t>Relación mínima a lo largo del espectro (0 a 10 s)</t>
  </si>
  <si>
    <t>CALCULADA en ESPECTROS: ASCE reducido / NTDS a comparar, ordenada por ordenada.</t>
  </si>
  <si>
    <t>ESPECTROS · columnas L y M</t>
  </si>
  <si>
    <t>Periodo donde ocurre</t>
  </si>
  <si>
    <t>ESPECTROS</t>
  </si>
  <si>
    <t>Resultado en todo el espectro</t>
  </si>
  <si>
    <t>Es la revisión más exigente: sirve si OPAMSS te pide cumplir ordenada por ordenada en el modal.</t>
  </si>
  <si>
    <t>Art. VI.7-B lit. B</t>
  </si>
  <si>
    <t>Factor para escalar el espectro ASCE en todo el rango</t>
  </si>
  <si>
    <t>CALCULADA. Ya va en el SCALE de ASCE de la hoja STAAD (sólo dentro del AMSS).</t>
  </si>
  <si>
    <t>Hoja STAAD</t>
  </si>
  <si>
    <t>ESPECTROS Y CORTANTES PARA STAAD PRO V8i — COPIAR Y PEGAR</t>
  </si>
  <si>
    <t>En STAAD el espectro se pega elástico (con I) y el R de cada dirección va en el SCALE: un mismo juego de pares sirve para X y para Z. El caso de sismo necesita antes sus masas (SELFWEIGHT X 1 / Y 1 / Z 1 y JOINT LOAD con los pesos en FX, FY y FZ).</t>
  </si>
  <si>
    <t>A. RESUMEN POR DIRECCIÓN</t>
  </si>
  <si>
    <t>NTDS rige en todo el país; ASCE sólo en el AMSS (DATOS §1). Las fuerzas de la NTDS son de servicio: en las combinaciones de la RESESCO el sismo entra × 1.4025 (ec. 2) y × 1.43 (ec. 3), con 100% + 30% (NTDS §6.1.4).</t>
  </si>
  <si>
    <t>Dir. X</t>
  </si>
  <si>
    <t>Dir. Z</t>
  </si>
  <si>
    <t>Cómo se calcula</t>
  </si>
  <si>
    <t>V estático NTDS</t>
  </si>
  <si>
    <t>De COEFICIENTE §A.</t>
  </si>
  <si>
    <t>kN</t>
  </si>
  <si>
    <t>El mismo × 9.80665.</t>
  </si>
  <si>
    <t>F_t en el último nivel (NTDS)</t>
  </si>
  <si>
    <t>Va al nivel de cubierta; el resto de V se reparte con w·h.</t>
  </si>
  <si>
    <t>Cortante mínimo del espectro NTDS</t>
  </si>
  <si>
    <t>Regular: 90% del estático sin bajar de 80% del de Método A; irregular: 100%.</t>
  </si>
  <si>
    <t>Factor para desplazamientos NTDS (C_d)</t>
  </si>
  <si>
    <t>Desplazamiento de STAAD × C_d; la deriva contra la Tabla 8 (TABLAS).</t>
  </si>
  <si>
    <t>V estático ASCE (sólo AMSS)</t>
  </si>
  <si>
    <t>De COEFICIENTE §B, a nivel de resistencia.</t>
  </si>
  <si>
    <t>Cortante mínimo del espectro ASCE</t>
  </si>
  <si>
    <t>100% del V estático de ASCE (calibrado dentro del AMSS).</t>
  </si>
  <si>
    <t>Factor para desplazamientos ASCE (C_d / I_e)</t>
  </si>
  <si>
    <t>Deriva contra la Tabla 12.12-1 (TABLAS).</t>
  </si>
  <si>
    <t>ASCE 7-16 · ec. 12.8-15</t>
  </si>
  <si>
    <t>Norma del espectro que se pega abajo</t>
  </si>
  <si>
    <t>NTDS-1994</t>
  </si>
  <si>
    <t>SELECTOR. Fuera del AMSS siempre NTDS-1994.</t>
  </si>
  <si>
    <t>DATOS §1</t>
  </si>
  <si>
    <t>SCALE para STAAD (si usa el bloque elástico de abajo)</t>
  </si>
  <si>
    <t>cm/s²</t>
  </si>
  <si>
    <t>En kgf–cm: el modelo usa cm, por lo que g=980.665 cm/s². Este SCALE es g/R (o g·Iₑ/R para ASCE) expresado en cm/s².</t>
  </si>
  <si>
    <t>NTDS §5.2, pág. 11 · ASCE §12.9.1</t>
  </si>
  <si>
    <t>B. BLOQUE PARA EL CASO DE SISMO EN X — COPIA SÓLO LA COLUMNA B</t>
  </si>
  <si>
    <t>* SISMO X - ELÁSTICO - unidades kgf-cm - SCALE en cm/s2 - CQC 5% LIN</t>
  </si>
  <si>
    <t>C. BLOQUE PARA EL CASO DE SISMO EN Z — COPIA SÓLO LA COLUMNA B</t>
  </si>
  <si>
    <t>* SISMO Z - ELÁSTICO - unidades kgf-cm - SCALE en cm/s2 - CQC 5% LIN</t>
  </si>
  <si>
    <t>D. NOTAS</t>
  </si>
  <si>
    <t>•  Pon CUT OFF MODE SHAPE suficiente para que la masa participante pase de 90% (NTDS §5.4, pág. 12).</t>
  </si>
  <si>
    <t>•  Vertical, si la ocupas: ⅔ del horizontal (NTDS §5.2, pág. 11): mismo bloque con dirección Y y SCALE × ⅔.</t>
  </si>
  <si>
    <t>•  Si usas el espectro ASCE que trae STAAD, revisa S_DS y S_D1 contra DATOS: con sus tablas internas saldrían otros F_a y F_v, no los del Anexo 37.</t>
  </si>
  <si>
    <t>ESPECTROS — PERIODO T (s) CONTRA PSEUDOACELERACIÓN Sₐ EN g Y EN cm/s² (UNIDADES kgf–cm)</t>
  </si>
  <si>
    <t>La ordenada es la PSEUDOACELERACIÓN espectral Sₐ = ω²·S_d. Se conserva en fracción de g y se agrega/usa su equivalente en cm/s² para sistemas kgf–cm. Conversión: Sₐ(cm/s²) = Sₐ(g) × 980.665. Para STAAD con longitud en cm y fuerza en kgf, la aceleración es cm/s²; no es kg/cm² ni cm²/kg.</t>
  </si>
  <si>
    <t>A. TABLAS T – S_a (DE 0 A 10 s)</t>
  </si>
  <si>
    <t>B. CON QUÉ SALEN Y CON QUÉ FACTOR SE USAN</t>
  </si>
  <si>
    <t>Los quiebres de cada espectro (T_o/3, T_o, T_0, T_S y T_L) van exactos en la malla: por eso algunos T no son redondos.</t>
  </si>
  <si>
    <t>Resumen de la hoja STAAD y de COEFICIENTE para usar los bloques de la izquierda.</t>
  </si>
  <si>
    <t>1) ELÁSTICO NTDS — R = 1</t>
  </si>
  <si>
    <t>2) DISEÑO X — ÷ R_X</t>
  </si>
  <si>
    <t>3) DISEÑO Z — ÷ R_Z</t>
  </si>
  <si>
    <t>Norma del espectro</t>
  </si>
  <si>
    <t>Selector de la hoja STAAD · fuera del AMSS rige la NTDS-1994 (OPAMSS Art. VI.7-B, DO pág. 73)</t>
  </si>
  <si>
    <t>Sₐ PSEUDOACELERACIÓN (g)</t>
  </si>
  <si>
    <t>Sₐ PSEUDOACELERACIÓN (cm/s²)</t>
  </si>
  <si>
    <t>R — factor de reducción</t>
  </si>
  <si>
    <t>NTDS-1994 Tabla 7, pág. 23 · ASCE 7-16 Tabla 12.2-1</t>
  </si>
  <si>
    <t>Factor de escala con el bloque 1 (g/R)</t>
  </si>
  <si>
    <t>m/s²</t>
  </si>
  <si>
    <t>NTDS-1994 §5.2, pág. 11 · ASCE 7-16 §12.9.1 (con I_e)</t>
  </si>
  <si>
    <t>Factor de escala con los bloques 2 y 3 (g)</t>
  </si>
  <si>
    <t>g estándar; los bloques 2 y 3 ya traen el ÷ R</t>
  </si>
  <si>
    <t>Meseta del bloque 1 (elástico)</t>
  </si>
  <si>
    <t>NTDS-1994 §5.2, pág. 11: I·A·C_o · ASCE 7-16 §11.4.6: S_DS</t>
  </si>
  <si>
    <t>Meseta de los bloques 2 y 3 (diseño)</t>
  </si>
  <si>
    <t>NTDS-1994 §5.2, pág. 11: I·A·C_o/R · ASCE 7-16 ec. 12.8-2</t>
  </si>
  <si>
    <t>Cortante basal mínimo para escalar el modal</t>
  </si>
  <si>
    <t>NTDS-1994 §5.4.1 (3), pág. 12 · ASCE 7-16 §12.9.1.4.1</t>
  </si>
  <si>
    <t>g en kgf·cm (ETABS)</t>
  </si>
  <si>
    <t>g estándar 9.80665 m/s² × 100 cm/m</t>
  </si>
  <si>
    <t>ETABS kgf·cm · bloque 1 con S_a (g): g/R</t>
  </si>
  <si>
    <t>NTDS-1994 §5.2, pág. 11 · ASCE 7-16 §12.9.1 · fila 11 × 100</t>
  </si>
  <si>
    <t>ETABS kgf·cm · bloques 2 y 3 con S_a (g): g</t>
  </si>
  <si>
    <t>ETABS kgf·cm · bloque 1 con S_a (cm/s²): 1/R</t>
  </si>
  <si>
    <t>NTDS-1994 §5.2, pág. 11 · ASCE 7-16 §12.9.1 · fila 11 ÷ g</t>
  </si>
  <si>
    <t>ETABS kgf·cm · bloques 2 y 3 con S_a (cm/s²)</t>
  </si>
  <si>
    <t>Ya vienen en cm/s² y ÷ R: no se vuelven a escalar</t>
  </si>
  <si>
    <t>Meseta de los bloques 2 y 3 en cm/s²</t>
  </si>
  <si>
    <t>NTDS-1994 §5.2, pág. 11 · ASCE 7-16 ec. 12.8-2 · fila 14 × g</t>
  </si>
  <si>
    <t>CÓMO SE HACE EN EL SALVADOR Y EN QUÉ SE PARECE AL MDOC-CFE</t>
  </si>
  <si>
    <t>Paso por paso: NTDS-1994 (todo el país), ASCE 7-16 con el Anexo 37 (AMSS) y el equivalente en México con el MDOC-CFE Diseño por Sismo 2015. Del MDOC se describe el procedimiento por concepto (no se citan páginas porque el impreso no está en este paquete).</t>
  </si>
  <si>
    <t>A. PASO A PASO</t>
  </si>
  <si>
    <t>Paso</t>
  </si>
  <si>
    <t>NTDS-1994 (todo el país)</t>
  </si>
  <si>
    <t>ASCE 7-16 + Anexo 37 (AMSS)</t>
  </si>
  <si>
    <t>México — MDOC-CFE Sismo 2015</t>
  </si>
  <si>
    <t>Dónde cae en este libro</t>
  </si>
  <si>
    <t>1. Qué norma</t>
  </si>
  <si>
    <t>NTDS-1994 del MOP, junto con el Reglamento para la Seguridad Estructural (RESESCO, 1996).</t>
  </si>
  <si>
    <t>En los 14 municipios del AMSS: ASCE/SEI 7-16 con el Anexo 37. Obligatoria con aisladores o disipadores; opcional en lo demás, pero sin quedar abajo de la NTDS.</t>
  </si>
  <si>
    <t>Capítulo de Diseño por Sismo del MDOC-CFE, edición 2015 (o el reglamento local, como las NTC en la CDMX).</t>
  </si>
  <si>
    <t>2. Peligro del sitio</t>
  </si>
  <si>
    <t>Zona 1 ó 2 en el mapa de la Fig. 1 → A = 0.40 ó 0.30 g. No hay programa ni coordenadas.</t>
  </si>
  <si>
    <t>No se busca nada: S_S = 2.21 g y S_1 = 0.62 g para todo el AMSS.</t>
  </si>
  <si>
    <t>PRODISIS con las coordenadas del sitio: a0r en roca del espectro de referencia, o espectros de periodo de retorno especificado según el grupo.</t>
  </si>
  <si>
    <t>DATOS §2 y §3</t>
  </si>
  <si>
    <t>3. Nivel de peligro</t>
  </si>
  <si>
    <t>10% de excedencia en 50 años (≈ 475 años), Comentarios págs. 7 y 9.</t>
  </si>
  <si>
    <t>⅔ del sismo de 2% en 50 años (≈ 2,475 años).</t>
  </si>
  <si>
    <t>Grupo B: periodo de retorno óptimo, que cambia de sitio a sitio. Grupos A y A+: periodos de retorno especificados o sismo máximo creíble.</t>
  </si>
  <si>
    <t>4. Suelo</t>
  </si>
  <si>
    <t>Perfil S1 a S4 por descripción del estudio geotécnico → C_o y T_o. Sin datos, S3.</t>
  </si>
  <si>
    <t>Clase A a F por V_s30 medida → F_a y F_v de la tabla del Anexo.</t>
  </si>
  <si>
    <t>Periodo dominante T_s y velocidad v_s del estrato (o zona y tipo de terreno) → F_Sit, F_Res, T_a, T_b.</t>
  </si>
  <si>
    <t>5. Importancia</t>
  </si>
  <si>
    <t>Categoría I, II o III → I = 1.5 / 1.2 / 1.0, multiplica todo el espectro.</t>
  </si>
  <si>
    <t>Categoría de riesgo I a IV → I_e = 1.0 / 1.0 / 1.25 / 1.5.</t>
  </si>
  <si>
    <t>Grupo B, A o A+ → qué espectro de peligro se usa y su factor de importancia.</t>
  </si>
  <si>
    <t>6. Espectro elástico</t>
  </si>
  <si>
    <t>Sube de I·A (T = 0) a I·A·C_o en T_o/3; meseta hasta T_o; baja con (T_o/T)^(2/3) hasta 4 s y luego con T^(−4/3).</t>
  </si>
  <si>
    <t>Sube de 0.4·S_DS a S_DS en T_0; meseta hasta T_S; baja con S_D1/T hasta T_L y luego con S_D1·T_L/T².</t>
  </si>
  <si>
    <t>Sube de a0 a β·c en T_a; meseta hasta T_b; baja con (T_b/T)^r hasta T_c; después una rama controlada por k.</t>
  </si>
  <si>
    <t>ESPECTROS, gráfica 2</t>
  </si>
  <si>
    <t>7. Reducción</t>
  </si>
  <si>
    <t>Todo el espectro entre R (Tabla 7, de 3 a 12), constante en todo el periodo.</t>
  </si>
  <si>
    <t>S_a·I_e/R (Tabla 12.2-1, R de 1.25 a 8), constante.</t>
  </si>
  <si>
    <t>Entre α·Q'·R·ρ: Q' (ductilidad) y R (sobrerresistencia) cambian con el periodo; ρ por redundancia y α por irregularidad.</t>
  </si>
  <si>
    <t>ESPECTROS, gráfica 1</t>
  </si>
  <si>
    <t>8. Periodo y cortante estático</t>
  </si>
  <si>
    <t>T = C_t·h_n^(3/4). C_s = A·I·C_o/R·(T_o/T)^(2/3) con T entre T_o y 6T_o; con T del modelo, C_s ≥ 80% del de Método A.</t>
  </si>
  <si>
    <t>T_a = C_t·h_n^x y T ≤ C_u·T_a. C_s = S_DS·I_e/R con topes y mínimos; en el AMSS siempre rige el mínimo por S_1 ≥ 0.6 g.</t>
  </si>
  <si>
    <t>Ordenada del espectro reducido en el periodo de la estructura, repartida en la altura.</t>
  </si>
  <si>
    <t>COEFICIENTE §A y §B</t>
  </si>
  <si>
    <t>9. Análisis modal</t>
  </si>
  <si>
    <t>Espectro elástico en STAAD con SCALE = g/R por dirección. Escalar el cortante a 90% (regular) o 100% (irregular) del estático.</t>
  </si>
  <si>
    <t>S_a elástico con factor g·I_e/R. Escalar al 100% del cortante estático.</t>
  </si>
  <si>
    <t>Espectro reducido en el programa y revisión del cortante basal mínimo.</t>
  </si>
  <si>
    <t>STAAD · COEFICIENTE</t>
  </si>
  <si>
    <t>10. Combinaciones</t>
  </si>
  <si>
    <t>RESESCO Art. 21: 0.75(1.4CM + 1.7CV + 1.87S) y 0.9CM + 1.43S → el sismo va por 1.40–1.43.</t>
  </si>
  <si>
    <t>Las de ASCE (1.2D + E + L y 0.9D + E) y además siempre 1.4D + 1.7L (Anexo 37, punto 4.a).</t>
  </si>
  <si>
    <t>En la práctica mexicana (NTC-2017, Criterios y Acciones) la combinación con sismo lleva factor 1.1.</t>
  </si>
  <si>
    <t>TABLAS</t>
  </si>
  <si>
    <t>11. Desplazamientos</t>
  </si>
  <si>
    <t>δ = C_d·δ_e; deriva admisible 0.010 a 0.020·h (Tabla 8, pág. 24).</t>
  </si>
  <si>
    <t>δ = C_d·δ_e/I_e; deriva admisible 0.007 a 0.025·h (Tabla 12.12-1).</t>
  </si>
  <si>
    <t>Desplazamientos del análisis reducido amplificados por los factores de reducción, contra distorsiones permisibles por sistema; además hay revisión de servicio con el espectro entre F_Ser = 5.5.</t>
  </si>
  <si>
    <t>COEFICIENTE · TABLAS</t>
  </si>
  <si>
    <t>12. Revisión extra</t>
  </si>
  <si>
    <t>Demostrar que la demanda de ASCE no es menor que la de la NTDS; si lo es, calibrar (Art. VI.7-B).</t>
  </si>
  <si>
    <t>No existe nada equivalente.</t>
  </si>
  <si>
    <t>COEFICIENTE §C</t>
  </si>
  <si>
    <t>B. LO QUE MÁS CONFUNDE SI VIENES DEL MDOC</t>
  </si>
  <si>
    <t>•  El R salvadoreño no es el R del MDOC. En el MDOC, R es sólo la sobrerresistencia y Q' la ductilidad; el R de la NTDS junta todo y además está a esfuerzos permisibles. Por eso un marco especial lleva R = 12 en la NTDS, R = 8 en ASCE y un Q'·R del orden de 8 en el MDOC con Q = 4.</t>
  </si>
  <si>
    <t>•  Las fuerzas de la NTDS son de servicio (Comentarios, pág. 7). La RESESCO las multiplica por 1.40 a 1.43 en las combinaciones; ASCE va con 1.0 y en México se usa 1.1. Nunca compares coeficientes entre normas sin llevarlos al mismo nivel.</t>
  </si>
  <si>
    <t>•  En la NTDS el suelo no amplifica la aceleración del terreno: en T = 0 el espectro vale I·A/R para cualquier perfil. El suelo sólo sube la meseta (C_o) y la alarga (T_o). En el MDOC el factor de sitio sí amplifica a0.</t>
  </si>
  <si>
    <t>•  La rama descendente de la NTDS cae lento, (T_o/T)^(2/3), y sólo después de 4 s cambia a T^(−4/3): en periodos largos pesa más que una rama 1/T como la de ASCE.</t>
  </si>
  <si>
    <t>•  C_o y T_o se calibraron con suelos del AMSS y se generalizaron a todo el país (Comentarios, pág. 9). No hay nada parecido a caracterizar T_s y v_s como en el MDOC.</t>
  </si>
  <si>
    <t>•  En el AMSS con ASCE la categoría de diseño sísmico sale D para cualquier suelo: revisa los sistemas y alturas permitidos en SDC D (por ejemplo, los marcos ordinarios de acero no se permiten salvo las excepciones de las notas de la Tabla 12.2-1).</t>
  </si>
  <si>
    <t>•  Si usas el espectro ASCE 7-16 que traen STAAD o ETABS, verifica S_DS y S_D1: con las tablas internas de ASCE saldrían otros F_a y F_v. Lo seguro es el espectro de la hoja STAAD.</t>
  </si>
  <si>
    <t>•  El capítulo de sismo vigente del MDOC es la edición 2015 (la de 2020 es la de viento).</t>
  </si>
  <si>
    <t>TABLAS DE LAS NORMAS — VALORES DE CONSULTA</t>
  </si>
  <si>
    <t>Transcritas de la NTDS-1994, del Anexo 37 de la Reforma OPAMSS (Diario Oficial Tomo 434) y de ASCE/SEI 7-16, más el catálogo de naves de esta hoja. No se tocan: las leen las demás hojas. Páginas = numeración IMPRESA.</t>
  </si>
  <si>
    <t>NTDS TABLA 1 — FACTOR A DE ZONIFICACIÓN SÍSMICA  ·  pág. 19</t>
  </si>
  <si>
    <t>A es la aceleración pico efectiva del terreno (fracción de g) para el sismo de 10% de excedencia en 50 años (Comentarios, págs. 7 a 9). La línea divisoria va de San Antonio Pajonal al río Goascorán (Fig. 1).</t>
  </si>
  <si>
    <t>Zona</t>
  </si>
  <si>
    <t>Dónde queda</t>
  </si>
  <si>
    <t>A (g)</t>
  </si>
  <si>
    <t>Al sur de la línea divisoria: incluye todo el AMSS, la franja costera y todas las islas</t>
  </si>
  <si>
    <t>Al norte de la línea divisoria</t>
  </si>
  <si>
    <t>NTDS TABLA 2 — COEFICIENTES DE SITIO Co Y To  ·  pág. 20</t>
  </si>
  <si>
    <t>Si las propiedades del suelo no se conocen con detalle se usa S3 (nota 1). El impreso trae «0 6» en el To de S3: es 0.6 s. Co y To se calibraron con suelos del AMSS y se generalizaron al país (Comentarios, pág. 9).</t>
  </si>
  <si>
    <t>Perfil</t>
  </si>
  <si>
    <t>Descripción</t>
  </si>
  <si>
    <t>C_o</t>
  </si>
  <si>
    <t>T_o (s)</t>
  </si>
  <si>
    <t>S1</t>
  </si>
  <si>
    <t>(a) Material de apariencia rocosa con Vs &gt; 500 m/s; (b) suelo rígido o muy denso de menos de 30 m sobre roca</t>
  </si>
  <si>
    <t>S2</t>
  </si>
  <si>
    <t>(a) Suelo rígido o muy denso de 30 m o más sobre roca; (b) suelo compacto a medianamente denso de menos de 30 m</t>
  </si>
  <si>
    <t>Espesor acumulado de 4 a 12 m de suelos cohesivos blandos a medianamente compactos o no cohesivos sueltos</t>
  </si>
  <si>
    <t>S4</t>
  </si>
  <si>
    <t>Más de 12 m de suelo cohesivo blando o no cohesivo suelto, con Vs &lt; 150 m/s</t>
  </si>
  <si>
    <t>NTDS TABLAS 3 Y 4 — CATEGORÍA DE OCUPACIÓN Y FACTOR DE IMPORTANCIA I  ·  pág. 21</t>
  </si>
  <si>
    <t>I multiplica todo el espectro.</t>
  </si>
  <si>
    <t>Categoría</t>
  </si>
  <si>
    <t>Qué incluye</t>
  </si>
  <si>
    <t>I</t>
  </si>
  <si>
    <t>Esenciales o peligrosos: hospitales, centros de salud, bomberos, centrales telefónicas y de telecomunicaciones, escuelas, instalaciones militares, servicio público para la emergencia, almacenamiento de sustancias tóxicas</t>
  </si>
  <si>
    <t>Ocupación especial: gobierno, universidades, guarderías, mercados, centros comerciales de más de 3000 m², almacenes de 500 m² o más de 10 m de alto, salones de más de 200 personas, estadios de 2000 o más, edificios de más de 4 pisos o más de 1000 m² por piso, museos, terminales</t>
  </si>
  <si>
    <t>III</t>
  </si>
  <si>
    <t>Ocupación normal: vivienda, oficinas, locales comerciales, hoteles, edificaciones industriales y todo lo que no está en I ni en II</t>
  </si>
  <si>
    <t>NTDS TABLA 7 — SISTEMAS ESTRUCTURALES: R, Cd Y ALTURA LÍMITE  ·  pág. 23</t>
  </si>
  <si>
    <t>R divide el espectro y está a nivel de esfuerzos permisibles (por eso llega a 12). Cd amplifica los desplazamientos elásticos. H en metros; S.L. = sin límite. Sistemas definidos en §3.6, págs. 4 y 5.</t>
  </si>
  <si>
    <t>Código</t>
  </si>
  <si>
    <t>Sistema — descripción</t>
  </si>
  <si>
    <t>C_d</t>
  </si>
  <si>
    <t>R</t>
  </si>
  <si>
    <t>H (m)</t>
  </si>
  <si>
    <t>A1</t>
  </si>
  <si>
    <t>Sistema A (marcos a momento) — marcos de acero o concreto con detallado especial</t>
  </si>
  <si>
    <t>S.L.</t>
  </si>
  <si>
    <t>A2</t>
  </si>
  <si>
    <t>Sistema A — marcos de concreto con detallado intermedio</t>
  </si>
  <si>
    <t>A3</t>
  </si>
  <si>
    <t>Sistema A — marcos de acero con detallado ordinario</t>
  </si>
  <si>
    <t>B1a</t>
  </si>
  <si>
    <t>Sistema B (marcos cargan gravedad; paredes o contravientos toman el sismo) — paredes de concreto</t>
  </si>
  <si>
    <t>B1b</t>
  </si>
  <si>
    <t>Sistema B — paredes de mampostería</t>
  </si>
  <si>
    <t>B2a</t>
  </si>
  <si>
    <t>Sistema B — marcos de acero arriostrados excéntricamente</t>
  </si>
  <si>
    <t>B2b</t>
  </si>
  <si>
    <t>Sistema B — marcos de acero arriostrados concéntricamente</t>
  </si>
  <si>
    <t>C1a</t>
  </si>
  <si>
    <t>Sistema C (dual) — paredes de concreto + marcos de concreto o acero con detallado especial</t>
  </si>
  <si>
    <t>C1b</t>
  </si>
  <si>
    <t>Sistema C — paredes de concreto + marcos de concreto intermedio o de acero ordinario</t>
  </si>
  <si>
    <t>C2a</t>
  </si>
  <si>
    <t>Sistema C — paredes de mampostería + marcos de concreto o acero con detallado especial</t>
  </si>
  <si>
    <t>C2b</t>
  </si>
  <si>
    <t>Sistema C — paredes de mampostería + marcos de concreto intermedio o de acero ordinario</t>
  </si>
  <si>
    <t>C3a</t>
  </si>
  <si>
    <t>Sistema C — arriostramiento excéntrico de acero + marcos con detallado especial</t>
  </si>
  <si>
    <t>C3b</t>
  </si>
  <si>
    <t>Sistema C — arriostramiento concéntrico de acero + marcos con detallado especial</t>
  </si>
  <si>
    <t>D1a</t>
  </si>
  <si>
    <t>Sistema D (paredes o contravientos cargan gravedad y sismo) — paredes de concreto</t>
  </si>
  <si>
    <t>D1b</t>
  </si>
  <si>
    <t>Sistema D — paredes de mampostería</t>
  </si>
  <si>
    <t>D2</t>
  </si>
  <si>
    <t>Sistema D — marcos de acero arriostrados</t>
  </si>
  <si>
    <t>E1</t>
  </si>
  <si>
    <t>Sistema E — péndulo invertido (masa concentrada en el extremo superior)</t>
  </si>
  <si>
    <t>E2</t>
  </si>
  <si>
    <t>Sistema E — masa esencialmente distribuida en su altura</t>
  </si>
  <si>
    <t>CATÁLOGO DE NAVES — TIPO DE ESTRUCTURA → SISTEMA DE CADA NORMA  ·  criterio de esta hoja</t>
  </si>
  <si>
    <t>Traduce el tipo de estructura que eliges en DATOS §4 a un sistema de la Tabla 7 de la NTDS (pág. 23) y a uno de la Tabla 12.2-1 de ASCE. Donde la NTDS no distingue (acero intermedio, contraventeo especial) se tomó el del lado seguro.</t>
  </si>
  <si>
    <t>#</t>
  </si>
  <si>
    <t>NTDS Tabla 7</t>
  </si>
  <si>
    <t>ASCE 12.2-1</t>
  </si>
  <si>
    <t>Tipo para el periodo</t>
  </si>
  <si>
    <t>Nota</t>
  </si>
  <si>
    <t>C4</t>
  </si>
  <si>
    <t>MARCOS ACERO</t>
  </si>
  <si>
    <t>Marcos de acero de alma llena con conexiones rígidas, detallado ordinario. ASCE sólo lo permite en SDC D con la excepción de un nivel.</t>
  </si>
  <si>
    <t>MARCO RÍGIDO INTERMEDIO</t>
  </si>
  <si>
    <t>C3</t>
  </si>
  <si>
    <t>La NTDS no tiene marco de acero intermedio: se toma A3 (ordinario), del lado seguro.</t>
  </si>
  <si>
    <t>MARCO RÍGIDO ESPECIAL</t>
  </si>
  <si>
    <t>C1</t>
  </si>
  <si>
    <t>Marcos de acero con detallado especial.</t>
  </si>
  <si>
    <t>CONTRAVENTEO CONCÉNTRICO ORDINARIO</t>
  </si>
  <si>
    <t>B3</t>
  </si>
  <si>
    <t>OTROS</t>
  </si>
  <si>
    <t>Contravientos en X, V o diagonal; los marcos sólo cargan gravedad en esa dirección (sistema B).</t>
  </si>
  <si>
    <t>CONTRAVENTEO CONCÉNTRICO ESPECIAL</t>
  </si>
  <si>
    <t>B2</t>
  </si>
  <si>
    <t>Igual con detallado especial; la NTDS no distingue ordinario de especial.</t>
  </si>
  <si>
    <t>CONTRAVENTEO EXCÉNTRICO</t>
  </si>
  <si>
    <t>B1</t>
  </si>
  <si>
    <t>EXCÉNTRICO/BRB</t>
  </si>
  <si>
    <t>Arriostramiento excéntrico con eslabón.</t>
  </si>
  <si>
    <t>CONTRAVENTEO QUE CARGA GRAVEDAD</t>
  </si>
  <si>
    <t>Cuando los contravientos también cargan gravedad (sistema D).</t>
  </si>
  <si>
    <t>COLUMNAS EN VOLADIZO ORDINARIAS</t>
  </si>
  <si>
    <t>G2</t>
  </si>
  <si>
    <t>Columnas empotradas en la base con trabe articulada (péndulo invertido). ASCE: no permitido en SDC D.</t>
  </si>
  <si>
    <t>COLUMNAS EN VOLADIZO ESPECIALES</t>
  </si>
  <si>
    <t>G1</t>
  </si>
  <si>
    <t>Igual con detallado especial; ASCE hasta 10.7 m en SDC D.</t>
  </si>
  <si>
    <t>MARCO DE CONCRETO INTERMEDIO</t>
  </si>
  <si>
    <t>C6</t>
  </si>
  <si>
    <t>MARCOS CONCRETO</t>
  </si>
  <si>
    <t>Marcos de concreto con detallado intermedio.</t>
  </si>
  <si>
    <t>MUROS DE MAMPOSTERÍA REFORZADA</t>
  </si>
  <si>
    <t>A7</t>
  </si>
  <si>
    <t>PAREDES</t>
  </si>
  <si>
    <t>Muros de carga de mampostería reforzada que toman el sismo.</t>
  </si>
  <si>
    <t>PERIODO APROXIMADO — Ct DE LA NTDS (ec. 4.3, pág. 7) Y Ct, x DE ASCE 7-16 (Tabla 12.8-2)</t>
  </si>
  <si>
    <t>NTDS: T = C_t·h_n^(3/4). ASCE: T_a = C_t·h_n^x. Las dos con h_n en metros (en ASCE son los valores métricos de la tabla).</t>
  </si>
  <si>
    <t>Tipo</t>
  </si>
  <si>
    <t>C_t NTDS</t>
  </si>
  <si>
    <t>C_t ASCE</t>
  </si>
  <si>
    <t>x ASCE</t>
  </si>
  <si>
    <t>Marcos de acero resistentes a momento (Sistema A de la NTDS)</t>
  </si>
  <si>
    <t>Marcos de concreto resistentes a momento (Sistema A de la NTDS)</t>
  </si>
  <si>
    <t>Marcos de acero con arriostramiento excéntrico o de pandeo restringido</t>
  </si>
  <si>
    <t>Paredes de cortante de concreto o mampostería (la NTDS permite C_t = 0.074/√A_c)</t>
  </si>
  <si>
    <t>Todos los demás sistemas</t>
  </si>
  <si>
    <t>NTDS TABLA 8 — DERIVA DE ENTREPISO ADMISIBLE Δa (fracción de h_sx)  ·  pág. 24</t>
  </si>
  <si>
    <t>La deriva se calcula con los desplazamientos multiplicados por C_d (ec. 4.11, pág. 9). S.L. = sin límite.</t>
  </si>
  <si>
    <t>Tipo de edificio</t>
  </si>
  <si>
    <t>Cat. I</t>
  </si>
  <si>
    <t>Cat. II</t>
  </si>
  <si>
    <t>Cat. III</t>
  </si>
  <si>
    <t>UN PISO ACERO</t>
  </si>
  <si>
    <t>Edificio de un piso de acero estructural, sin equipo ligado a la estructura y sin acabados frágiles</t>
  </si>
  <si>
    <t>≤ 4 PISOS</t>
  </si>
  <si>
    <t>Edificios de 4 pisos o menos y sin acabados frágiles</t>
  </si>
  <si>
    <t>Todos los otros edificios</t>
  </si>
  <si>
    <t>ANEXO 37, TABLA 1 — CLASE DE SITIO POR Vs30  ·  DO Tomo 434, pág. 75</t>
  </si>
  <si>
    <t>Sustituye la Tabla 20.3-1 de ASCE. El impreso pone «&lt; 1,500» en la clase A: debe leerse más de 1,500 m/s. E y F son ambas &lt; 180 m/s; F es la que exige estudio de respuesta sísmica local. Nombres de clase tomados de ASCE.</t>
  </si>
  <si>
    <t>Clase</t>
  </si>
  <si>
    <t>Vs30 desde</t>
  </si>
  <si>
    <t>Vs30 hasta</t>
  </si>
  <si>
    <t>A</t>
  </si>
  <si>
    <t>Roca dura</t>
  </si>
  <si>
    <t>B</t>
  </si>
  <si>
    <t>Roca</t>
  </si>
  <si>
    <t>C</t>
  </si>
  <si>
    <t>Suelo muy denso o roca blanda</t>
  </si>
  <si>
    <t>D</t>
  </si>
  <si>
    <t>Suelo rígido</t>
  </si>
  <si>
    <t>E</t>
  </si>
  <si>
    <t>Suelo blando</t>
  </si>
  <si>
    <t>F</t>
  </si>
  <si>
    <t>Suelo especial: requiere estudio de respuesta sísmica local (RSL)</t>
  </si>
  <si>
    <t>ANEXO 37, TABLA 2 — COEFICIENTES DE SITIO Fa Y Fv  ·  DO Tomo 434, pág. 76</t>
  </si>
  <si>
    <t>Sustituyen las Tablas 11.4-1 y 11.4-2 de ASCE y no dependen de Ss ni de S1. Para F el Anexo pide estudio según §11.4.8 de ASCE; esta hoja pone los de la clase E sólo para dibujar un espectro de referencia.</t>
  </si>
  <si>
    <t>F_a</t>
  </si>
  <si>
    <t>F_v</t>
  </si>
  <si>
    <t>Manda el estudio de sitio. Valores de E sólo como referencia</t>
  </si>
  <si>
    <t>ANEXO 37, PUNTO 2 — ACELERACIONES ESPECTRALES MCE PARA EL AMSS  ·  DO Tomo 434, pág. 76</t>
  </si>
  <si>
    <t>Un solo par de valores para todo el AMSS, para el sismo con 2% de excedencia en 50 años (≈ 2,500 años de retorno).</t>
  </si>
  <si>
    <t>Parámetro</t>
  </si>
  <si>
    <t>Qué es</t>
  </si>
  <si>
    <t>Valor (g)</t>
  </si>
  <si>
    <t>S_S</t>
  </si>
  <si>
    <t>Aceleración espectral en periodo corto (0.2 s)</t>
  </si>
  <si>
    <t>S_1</t>
  </si>
  <si>
    <t>Aceleración espectral en 1 s</t>
  </si>
  <si>
    <t>ASCE 7-16 TABLA 1.5-2 — FACTOR DE IMPORTANCIA SÍSMICA Ie</t>
  </si>
  <si>
    <t>La equivalencia con las categorías de la Reforma OPAMSS (Art. VI.3, DO págs. 68 y 69) es propuesta de esta hoja: la reforma no la escribe.</t>
  </si>
  <si>
    <t>Cat. de riesgo</t>
  </si>
  <si>
    <t>Qué es / equivalencia sugerida con OPAMSS</t>
  </si>
  <si>
    <t>I_e</t>
  </si>
  <si>
    <t>Bajo riesgo para la vida (bodegas agrícolas, instalaciones temporales)</t>
  </si>
  <si>
    <t>Todo lo que no es I, III ni IV — equivale a la Categoría 3 de OPAMSS (ocupación normal)</t>
  </si>
  <si>
    <t>Riesgo sustancial o mucha gente — equivale a la Categoría 2 de OPAMSS (ocupación especial)</t>
  </si>
  <si>
    <t>IV</t>
  </si>
  <si>
    <t>Esenciales — equivale a la Categoría 1 de OPAMSS (establecimientos esenciales o peligrosos)</t>
  </si>
  <si>
    <t>ASCE 7-16 TABLA 12.8-1 — COEFICIENTE Cu DEL LÍMITE SUPERIOR DEL PERIODO</t>
  </si>
  <si>
    <t>El periodo del modelo no puede pasar de C_u·T_a para calcular C_s. Entre renglones se interpola.</t>
  </si>
  <si>
    <t>S_D1 (g)</t>
  </si>
  <si>
    <t>Comentario</t>
  </si>
  <si>
    <t>C_u</t>
  </si>
  <si>
    <t>≥ 0.40</t>
  </si>
  <si>
    <t>Con los valores del AMSS siempre cae aquí</t>
  </si>
  <si>
    <t>0.30</t>
  </si>
  <si>
    <t>0.20</t>
  </si>
  <si>
    <t>0.15</t>
  </si>
  <si>
    <t>≤ 0.10</t>
  </si>
  <si>
    <t>ASCE 7-16 TABLA 12.2-1 (EXTRACTO) — R, Ω0, Cd Y ALTURA LÍMITE EN SDC D</t>
  </si>
  <si>
    <t>Sistemas más comunes. Límite de altura de SDC D en metros (160 ft = 48.8 m, 35 ft = 10.7 m); NL = sin límite, NP = no permitido. Se agregó G2 y la columna I con las excepciones de un nivel para naves.</t>
  </si>
  <si>
    <t>Sistema</t>
  </si>
  <si>
    <t>Ω_0</t>
  </si>
  <si>
    <t>Límite SDC D</t>
  </si>
  <si>
    <t>Excepción 1 nivel: h_n máx (m)</t>
  </si>
  <si>
    <t>Marcos especiales de acero a momento (SMF)</t>
  </si>
  <si>
    <t>NL</t>
  </si>
  <si>
    <t>Marcos intermedios de acero a momento (IMF)</t>
  </si>
  <si>
    <t>Un nivel: hasta h_n = 20 m con muerta de techo ≤ 0.96 kPa (§12.2.5.7.1)</t>
  </si>
  <si>
    <t>Marcos ordinarios de acero a momento (OMF)</t>
  </si>
  <si>
    <t>NP</t>
  </si>
  <si>
    <t>Un nivel: hasta h_n = 20 m con muerta de techo ≤ 0.96 kPa (§12.2.5.6.1)</t>
  </si>
  <si>
    <t>C5</t>
  </si>
  <si>
    <t>Marcos especiales de concreto a momento</t>
  </si>
  <si>
    <t>Marcos intermedios de concreto a momento</t>
  </si>
  <si>
    <t>Marcos de acero con arriostramiento excéntrico (EBF)</t>
  </si>
  <si>
    <t>Marcos especiales de acero con arriostramiento concéntrico (SCBF)</t>
  </si>
  <si>
    <t>Marcos ordinarios de acero con arriostramiento concéntrico (OCBF)</t>
  </si>
  <si>
    <t>Un nivel: hasta h_n = 18.3 m con muerta de techo ≤ 0.96 kPa (nota j)</t>
  </si>
  <si>
    <t>B25</t>
  </si>
  <si>
    <t>Marcos de acero con arriostramiento de pandeo restringido (BRBF)</t>
  </si>
  <si>
    <t>B4</t>
  </si>
  <si>
    <t>Muros especiales de concreto (sistema de marco)</t>
  </si>
  <si>
    <t>Muros especiales de concreto de carga</t>
  </si>
  <si>
    <t>Muros especiales de mampostería reforzada de carga</t>
  </si>
  <si>
    <t>A8</t>
  </si>
  <si>
    <t>Muros intermedios de mampostería reforzada de carga</t>
  </si>
  <si>
    <t>D1</t>
  </si>
  <si>
    <t>Dual: arriostramiento excéntrico de acero + marcos especiales</t>
  </si>
  <si>
    <t>Dual: arriostramiento concéntrico especial de acero + marcos especiales</t>
  </si>
  <si>
    <t>D3</t>
  </si>
  <si>
    <t>Dual: muros especiales de concreto + marcos especiales</t>
  </si>
  <si>
    <t>Dual: muros especiales de concreto + marcos intermedios</t>
  </si>
  <si>
    <t>Columnas en voladizo especiales de acero</t>
  </si>
  <si>
    <t>Columnas en voladizo ordinarias de acero</t>
  </si>
  <si>
    <t>No permitido en SDC D</t>
  </si>
  <si>
    <t>G3</t>
  </si>
  <si>
    <t>Columnas en voladizo de marcos especiales de concreto</t>
  </si>
  <si>
    <t>H</t>
  </si>
  <si>
    <t>Sistemas de acero sin detallado sísmico</t>
  </si>
  <si>
    <t>ASCE 7-16 TABLAS 11.6-1 Y 11.6-2 — CATEGORÍA DE DISEÑO SÍSMICO (SDC)</t>
  </si>
  <si>
    <t>Se calcula con S_DS y con S_D1 y manda la más severa. Con S_1 ≥ 0.75 g sale E (o F en categoría IV). En el AMSS siempre sale D.</t>
  </si>
  <si>
    <t>S_DS (g)</t>
  </si>
  <si>
    <t>Cat. I–III</t>
  </si>
  <si>
    <t>Cat. IV</t>
  </si>
  <si>
    <t>&lt; 0.167</t>
  </si>
  <si>
    <t>&lt; 0.067</t>
  </si>
  <si>
    <t>0.167 a 0.33</t>
  </si>
  <si>
    <t>0.067 a 0.133</t>
  </si>
  <si>
    <t>0.33 a 0.50</t>
  </si>
  <si>
    <t>0.133 a 0.20</t>
  </si>
  <si>
    <t>≥ 0.50</t>
  </si>
  <si>
    <t>≥ 0.20</t>
  </si>
  <si>
    <t>S_1 ≥ 0.75</t>
  </si>
  <si>
    <t>(cualquiera)</t>
  </si>
  <si>
    <t>ASCE 7-16 TABLA 12.12-1 — DERIVA DE ENTREPISO ADMISIBLE Δa (fracción de h_sx)</t>
  </si>
  <si>
    <t>La deriva se calcula con δ = C_d·δ_e / I_e (ec. 12.8-15).</t>
  </si>
  <si>
    <t>Estructura</t>
  </si>
  <si>
    <t>Cat. I–II</t>
  </si>
  <si>
    <t>4 pisos o menos (no de mampostería) con muros, particiones, plafones y fachadas diseñados para aceptar la deriva</t>
  </si>
  <si>
    <t>MAMP. VOLADIZO</t>
  </si>
  <si>
    <t>Muros de cortante de mampostería en voladizo</t>
  </si>
  <si>
    <t>OTRA MAMP.</t>
  </si>
  <si>
    <t>Otras estructuras de muros de mampostería</t>
  </si>
  <si>
    <t>LAS DEMÁS</t>
  </si>
  <si>
    <t>Todas las demás estructuras</t>
  </si>
  <si>
    <t>RESESCO ART. 21 — COMBINACIONES CON SISMO  ·  Reglamento 1996, págs. 7 y 8</t>
  </si>
  <si>
    <t>S es la fuerza de la NTDS (a esfuerzos permisibles). En ninguna combinación U puede ser menor que la (1). Con viento se sustituye S por 0.91V.</t>
  </si>
  <si>
    <t>Ecuación</t>
  </si>
  <si>
    <t>Combinación</t>
  </si>
  <si>
    <t>Factor del sismo</t>
  </si>
  <si>
    <t>(1)</t>
  </si>
  <si>
    <t>U = 1.4 CM + 1.7 CV</t>
  </si>
  <si>
    <t>(2)</t>
  </si>
  <si>
    <t>U = 0.75 (1.4 CM + 1.7 CV + 1.87 S)</t>
  </si>
  <si>
    <t>(3)</t>
  </si>
  <si>
    <t>U = 0.9 CM + 1.43 S</t>
  </si>
  <si>
    <t>DE DÓNDE SALE CADA COSA</t>
  </si>
  <si>
    <t>Todas las páginas son las IMPRESAS: NTDS con la numeración de la Norma; sus Comentarios con la propia; RESESCO con la del Reglamento; la Reforma OPAMSS con la del Diario Oficial Tomo 434, N° 4 (6 de enero de 2022). ASCE 7-16 va por sección porque no está en este paquete.</t>
  </si>
  <si>
    <t>DOCUMENTOS BASE</t>
  </si>
  <si>
    <t>Qué</t>
  </si>
  <si>
    <t>Página</t>
  </si>
  <si>
    <t>Para qué se usa</t>
  </si>
  <si>
    <t>Hoja donde cae</t>
  </si>
  <si>
    <t>NTDS §1.2.3 — qué debe traer la memoria</t>
  </si>
  <si>
    <t>1</t>
  </si>
  <si>
    <t>Zona, parámetros del sitio, categoría, sistema y coeficiente usado.</t>
  </si>
  <si>
    <t>DATOS</t>
  </si>
  <si>
    <t>NTDS §3.5 y §3.6 — regularidad y sistemas</t>
  </si>
  <si>
    <t>4 y 5</t>
  </si>
  <si>
    <t>Definición de estructura regular y de los sistemas A a E.</t>
  </si>
  <si>
    <t>NTDS §3.9 — cuándo procede el método estático</t>
  </si>
  <si>
    <t>6</t>
  </si>
  <si>
    <t>Regulares &lt; 70 m (salvo S4 con T &gt; 0.7 s); irregulares ≤ 5 pisos y 20 m.</t>
  </si>
  <si>
    <t>COEFICIENTE</t>
  </si>
  <si>
    <t>NTDS §4.1.3 — carga sísmica W</t>
  </si>
  <si>
    <t>7</t>
  </si>
  <si>
    <t>W = carga muerta + carga viva instantánea.</t>
  </si>
  <si>
    <t>NTDS ec. 4.2 — coeficiente sísmico</t>
  </si>
  <si>
    <t>C_s = A·I·C_o/R·(T_o/T)^(2/3), con T_o ≤ T ≤ 6T_o.</t>
  </si>
  <si>
    <t>NTDS ecs. 4.3 y 4.4 — periodo Método A</t>
  </si>
  <si>
    <t>T = C_t·h_n^(3/4); C_t = 0.085 / 0.073 / 0.049 o 0.074/√A_c.</t>
  </si>
  <si>
    <t>NTDS ec. 4.5 y tope del 80% — Método B</t>
  </si>
  <si>
    <t>7 y 8</t>
  </si>
  <si>
    <t>Con el periodo del modelo, C_s ≥ 80% del de Método A.</t>
  </si>
  <si>
    <t>NTDS ecs. 4.6 a 4.8 — distribución vertical y F_t</t>
  </si>
  <si>
    <t>8</t>
  </si>
  <si>
    <t>F_t = 0.07·T·V ≤ 0.25V; cero si T ≤ 0.7 s.</t>
  </si>
  <si>
    <t>NTDS ec. 4.11 — desplazamientos</t>
  </si>
  <si>
    <t>9</t>
  </si>
  <si>
    <t>δ_x = C_d·δ_xe.</t>
  </si>
  <si>
    <t>NTDS §5.2 — espectro de diseño</t>
  </si>
  <si>
    <t>11</t>
  </si>
  <si>
    <t>Las cuatro ramas de C_sm y la componente vertical de ⅔.</t>
  </si>
  <si>
    <t>ESPECTROS · TABLA_T_Sa</t>
  </si>
  <si>
    <t>NTDS §5.4.1 (3) — escalado del dinámico</t>
  </si>
  <si>
    <t>12</t>
  </si>
  <si>
    <t>90% (regular) o 100% (irregular) del estático; mínimo 80% con T de Método A.</t>
  </si>
  <si>
    <t>NTDS Tabla 1 y Fig. 1 — zonas</t>
  </si>
  <si>
    <t>19</t>
  </si>
  <si>
    <t>A = 0.40 (zona 1) o 0.30 (zona 2).</t>
  </si>
  <si>
    <t>NTDS Tabla 2 — perfiles de suelo</t>
  </si>
  <si>
    <t>20</t>
  </si>
  <si>
    <t>C_o y T_o; sin datos se usa S3.</t>
  </si>
  <si>
    <t>NTDS Tablas 3 y 4 — ocupación e importancia</t>
  </si>
  <si>
    <t>21</t>
  </si>
  <si>
    <t>I = 1.5 / 1.2 / 1.0.</t>
  </si>
  <si>
    <t>NTDS Tablas 5 y 6 — irregularidades</t>
  </si>
  <si>
    <t>22</t>
  </si>
  <si>
    <t>Para decidir si la estructura es regular.</t>
  </si>
  <si>
    <t>NTDS Tabla 7 — sistemas estructurales</t>
  </si>
  <si>
    <t>23</t>
  </si>
  <si>
    <t>R, C_d y altura límite.</t>
  </si>
  <si>
    <t>NTDS Tabla 8 — derivas admisibles</t>
  </si>
  <si>
    <t>24</t>
  </si>
  <si>
    <t>0.010 a 0.020·h_sx.</t>
  </si>
  <si>
    <t>Comentarios NTDS, C4.2</t>
  </si>
  <si>
    <t>7 a 9</t>
  </si>
  <si>
    <t>Fuerzas a esfuerzos permisibles; espectro de 10% en 50 años; A = aceleración pico efectiva; C_o y T_o salieron del AMSS.</t>
  </si>
  <si>
    <t>SV_vs_MEXICO</t>
  </si>
  <si>
    <t>RESESCO Art. 21 — combinaciones</t>
  </si>
  <si>
    <t>0.75(1.4CM + 1.7CV + 1.87S) y 0.9CM + 1.43S.</t>
  </si>
  <si>
    <t>RESESCO Art. 25 y tabla de cargas vivas</t>
  </si>
  <si>
    <t>9, 10 y 12</t>
  </si>
  <si>
    <t>Carga viva instantánea w_i para el W sísmico.</t>
  </si>
  <si>
    <t>DO 434 · Considerando II del Decreto 17</t>
  </si>
  <si>
    <t>67</t>
  </si>
  <si>
    <t>El AMSS: catorce municipios en dos departamentos.</t>
  </si>
  <si>
    <t>DO 434 · Art. VI.3 — categorías de edificación</t>
  </si>
  <si>
    <t>68 y 69</t>
  </si>
  <si>
    <t>Categorías 1, 2 y 3 (equivalencia sugerida con riesgo ASCE).</t>
  </si>
  <si>
    <t>DO 434 · Art. VI.7-B — demanda mínima y ASCE 7-16</t>
  </si>
  <si>
    <t>73 y 74</t>
  </si>
  <si>
    <t>Lit. A: no menor que la nacional; B: comprobarlo o calibrar; C: ASCE obligatoria con aisladores o disipadores.</t>
  </si>
  <si>
    <t>DO 434 · Anexo 37, punto 1 y Tabla 1</t>
  </si>
  <si>
    <t>75 y 76</t>
  </si>
  <si>
    <t>Clase de sitio por V_s30 y cuándo se exige estudio de respuesta sísmica local.</t>
  </si>
  <si>
    <t>DO 434 · Anexo 37, punto 2</t>
  </si>
  <si>
    <t>76</t>
  </si>
  <si>
    <t>S_S = 2.21 g y S_1 = 0.62 g.</t>
  </si>
  <si>
    <t>DO 434 · Anexo 37, Tabla 2</t>
  </si>
  <si>
    <t>F_a y F_v.</t>
  </si>
  <si>
    <t>DO 434 · Anexo 37, punto 4</t>
  </si>
  <si>
    <t>Combinaciones de ASCE + siempre 1.4D + 1.7L; R de la Tabla 12.2-1; viento con la norma nacional y el factor de la RESESCO.</t>
  </si>
  <si>
    <t>ASCE 7-16 §11.4.4 a §11.4.7</t>
  </si>
  <si>
    <t>sección</t>
  </si>
  <si>
    <t>S_MS, S_M1, S_DS, S_D1, espectro de diseño y MCE_R.</t>
  </si>
  <si>
    <t>DATOS / ESPECTROS</t>
  </si>
  <si>
    <t>ASCE 7-16 §11.6</t>
  </si>
  <si>
    <t>Categoría de diseño sísmico.</t>
  </si>
  <si>
    <t>ASCE 7-16 §12.8 y §12.9.1.4.1</t>
  </si>
  <si>
    <t>C_s, T_a, C_u, k y escalado del modal al 100%.</t>
  </si>
  <si>
    <t>ASCE 7-16 Tablas 1.5-2, 12.2-1, 12.8-1, 12.8-2 y 12.12-1</t>
  </si>
  <si>
    <t>I_e, R/Ω_0/C_d, C_u, C_t/x y derivas.</t>
  </si>
  <si>
    <t>NTDS §4.4.2 a §4.4.4 — torsión accidental</t>
  </si>
  <si>
    <t>Excentricidad accidental de 5% sólo con diafragma no flexible.</t>
  </si>
  <si>
    <t>STAAD (modelo)</t>
  </si>
  <si>
    <t>NTDS §6.1.4 — combinación 100% + 30%</t>
  </si>
  <si>
    <t>13</t>
  </si>
  <si>
    <t>Columnas que forman parte de dos sistemas que se cruzan (esquinas de la nave).</t>
  </si>
  <si>
    <t>STAAD</t>
  </si>
  <si>
    <t>ASCE 7-16 §11.2 — altura de techos inclinados</t>
  </si>
  <si>
    <t>h_n = altura promedio del techo.</t>
  </si>
  <si>
    <t>ASCE 7-16 §12.2.5.6.1, §12.2.5.7.1 y nota j de la Tabla 12.2-1</t>
  </si>
  <si>
    <t>Naves de un nivel: marcos ordinarios e intermedios hasta 20 m y contraventeo ordinario hasta 18.3 m con muerta de techo ≤ 0.96 kPa.</t>
  </si>
  <si>
    <t>STAAD Pro V8i — Technical Reference</t>
  </si>
  <si>
    <t>manual</t>
  </si>
  <si>
    <t>Comando SPECTRUM (pares periodo-aceleración, SCALE, DAMP, LIN).</t>
  </si>
  <si>
    <t>CRITERIOS DE ESTA HOJA (LO QUE LA NORMA NO DICE CON TODAS SUS LETRAS)</t>
  </si>
  <si>
    <t>•  La comparación contra la NTDS se hace a nivel último: la NTDS está a esfuerzos permisibles y la RESESCO le pone 1.40 a 1.43 al sismo, mientras ASCE le pone 1.0. Se toma 1.43 (el mayor). Se puede cambiar a DIRECTA en DATOS.</t>
  </si>
  <si>
    <t>•  La equivalencia de categorías OPAMSS → categoría de riesgo ASCE (1 → IV, 2 → III, 3 → II) es propuesta de esta hoja.</t>
  </si>
  <si>
    <t>•  T_L no lo da el Anexo 37: queda capturable, con 8 s propuestos.</t>
  </si>
  <si>
    <t>•  Clase F: la hoja dibuja el espectro con F_a y F_v de la clase E sólo como referencia; manda el estudio de sitio.</t>
  </si>
  <si>
    <t>•  En la Tabla 1 del Anexo la clase A dice «&lt; 1,500»; se tomó más de 1,500 m/s como en ASCE. En los límites exactos (1500, 760, 360, 180 m/s) se asigna la clase más rígida.</t>
  </si>
  <si>
    <t>•  El T_o de S3 viene impreso «0 6»; se tomó 0.6 s.</t>
  </si>
  <si>
    <t>•  ASCE §11.4.8 pediría análisis de sitio (o sus excepciones) para clase D con S_1 ≥ 0.2 g y para clase E; el Anexo 37 da F_a y F_v propios para D y E y sólo exige el estudio en F. La hoja sigue el Anexo: en proyectos grandes confírmalo con OPAMSS.</t>
  </si>
  <si>
    <t>•  Los límites de altura de ASCE están en metros para SDC D; las excepciones de un nivel para naves están en la columna I de la Tabla 12.2-1 (TABLAS).</t>
  </si>
  <si>
    <t>•  La malla de periodos mete exactos los quiebres (T_o/3, T_o, T_0, T_S y T_L); por eso algunos T de la tabla no son redondos.</t>
  </si>
  <si>
    <t>•  El catálogo de naves traduce cada tipo de estructura a un sistema de la Tabla 7 de la NTDS y otro de la Tabla 12.2-1 de ASCE; donde la NTDS no distingue (marco de acero intermedio, contraventeo especial) se tomó el del lado seguro.</t>
  </si>
  <si>
    <t>•  El sistema se elige por dirección: en una nave los marcos resisten en X y los contravientos en Z, con R distinto.</t>
  </si>
  <si>
    <t>•  En STAAD se pega el espectro elástico y el R va en el SCALE de cada dirección.</t>
  </si>
  <si>
    <t>SELECTOR. Del modelo 001_NOSE_DOCK_H5_H6_R2.9.STD: marcos de los ejes 1, 2 y 3 con columnas HSS10×10×5/16 y vigas MCC12-12 sin liberaciones (conexión rígida).</t>
  </si>
  <si>
    <t>SELECTOR. Del modelo: no hay contravientos; en Z trabajan los marcos de los ejes A y B (columnas + vigas de alero MCC12-12 rígidas). Si agregas contravientos, cambia este tipo.</t>
  </si>
  <si>
    <t>CAPTURA. Del modelo R2.9: base de columnas en Y = 0; techo a 10.43 m en el eje 1 y a 9.60 m en el eje 3 (pendiente en Z) → promedio (10.43 + 9.60)/2 = 10.02 m.</t>
  </si>
  <si>
    <t>CAPTURA. De AreasTributarias_NOSE_DOCK_H5_H6_R2.9.xlsx, hoja RESUMEN: acero 11.82 t + CM techo 3.12 t + CM muros 2.15 t + cortina 0.40 t + w_i = 0 (pendiente &gt; 5%) = 17.49 t. Compáralo con la suma de cargas del caso 1 en STAAD.</t>
  </si>
  <si>
    <t>CAPTURA. CM sin almacenamiento, particiones ni equipo permanente: igual que la NTDS, 17.49 t (fuera del AMSS sólo es referencia).</t>
  </si>
  <si>
    <t>CÓMO SE USA: copia la columna B de cada bloque al caso de sismo del .STD. Las ordenadas van en g y el SCALE convierte a cm/s² con el R de cada dirección (factor de dirección 1). La masa del caso sale de la hoja CM_CV_MASA.</t>
  </si>
  <si>
    <t>•  En el mismo caso de sismo, ANTES del SPECTRUM, va su masa: las líneas de la hoja CM_CV_MASA (cubierta en los nodos de arriba de las columnas y muros por larguero) con SELFWEIGHT X 1 y Z 1.</t>
  </si>
  <si>
    <t>•  Las tablas T–Sₐ están en TABLA_T_Sa en g y cm/s². En un modelo kgf–cm la aceleración va en cm/s² (no kg/cm²): por eso el SCALE lleva g = 980.665 cm/s².</t>
  </si>
  <si>
    <t>CM, CV Y MASA DEL SISMO PARA STAAD — COPIAR Y PEGAR</t>
  </si>
  <si>
    <t>De aquí salen las cargas de los casos 1 (CM), 2 (CV) y 4 (masa del sismo) del .STD R2.9. Techo en UNI por larguero y viga con su ancho tributario; en el sismo la cubierta va a los nodos de arriba de las columnas; muros con una carga uniforme por larguero completo.</t>
  </si>
  <si>
    <t>A. DATOS</t>
  </si>
  <si>
    <t>De dónde sale</t>
  </si>
  <si>
    <t/>
  </si>
  <si>
    <t>CM de techo</t>
  </si>
  <si>
    <t>kg/m²</t>
  </si>
  <si>
    <t>Panel Glamet 9.32 + instalaciones 10.00 (AreasTributarias R2.9, DATOS C8)</t>
  </si>
  <si>
    <t>CV máxima de techo w_m</t>
  </si>
  <si>
    <t>RESESCO, tabla de cargas vivas, inciso i (pendiente mayor de 5%), pág. 12</t>
  </si>
  <si>
    <t>CV instantánea de techo w_i</t>
  </si>
  <si>
    <t>RESESCO, inciso i, pág. 12: con 0 no suma masa</t>
  </si>
  <si>
    <t>CM de muro</t>
  </si>
  <si>
    <t>Lámina KR-18 cal. 24</t>
  </si>
  <si>
    <t>B — claro de los marcos (X)</t>
  </si>
  <si>
    <t>Modelo STAAD R2.9: X de 0 a 1008 cm</t>
  </si>
  <si>
    <t>L — largo de la nave (Z)</t>
  </si>
  <si>
    <t>Modelo STAAD R2.9: Z de 0 a 1600 cm</t>
  </si>
  <si>
    <t>Altura del techo en el eje 1 (Z = 0)</t>
  </si>
  <si>
    <t>Modelo STAAD R2.9: nodos 7 y 8</t>
  </si>
  <si>
    <t>Altura del techo en el eje 2 (Z = 10 m)</t>
  </si>
  <si>
    <t>Modelo STAAD R2.9: nodos 75 y 76</t>
  </si>
  <si>
    <t>Altura del techo en el eje 3 (Z = L)</t>
  </si>
  <si>
    <t>Modelo STAAD R2.9: nodos 9 y 10</t>
  </si>
  <si>
    <t>Z del eje 2</t>
  </si>
  <si>
    <t>Modelo STAAD R2.9: nodos 2 y 5</t>
  </si>
  <si>
    <t>Separación de largueros de muro</t>
  </si>
  <si>
    <t>Modelo STAAD R2.9: largueros a 1.20, 2.40 … 9.60 m</t>
  </si>
  <si>
    <t>Nivel del último larguero de muro</t>
  </si>
  <si>
    <t>Modelo STAAD R2.9</t>
  </si>
  <si>
    <t>Nivel del dintel de la puerta</t>
  </si>
  <si>
    <t>Modelo STAAD R2.9: miembro 204</t>
  </si>
  <si>
    <t>Nivel del dintel de la cortina</t>
  </si>
  <si>
    <t>Modelo STAAD R2.9: nodos 69 y 70 (miembro 234)</t>
  </si>
  <si>
    <t>Nivel de los largueros bajo el dintel de la cortina</t>
  </si>
  <si>
    <t>Modelo STAAD R2.9: miembros 35 y 157</t>
  </si>
  <si>
    <t>Nivel del larguero sobre el dintel de la cortina</t>
  </si>
  <si>
    <t>Modelo STAAD R2.9: miembro 39</t>
  </si>
  <si>
    <t>Peso de la cortina</t>
  </si>
  <si>
    <t>kg</t>
  </si>
  <si>
    <t>AreasTributarias R2.9, DATOS C52: 12 kg/m² × 5.10 × 6.50 m</t>
  </si>
  <si>
    <t>Largo del dintel de la cortina (miembro 234)</t>
  </si>
  <si>
    <t>cm</t>
  </si>
  <si>
    <t>Modelo STAAD R2.9: X de 232 a 742 cm</t>
  </si>
  <si>
    <t>Factor kg/m → unidades del .STD</t>
  </si>
  <si>
    <t>UNIT CM KG: carga lineal en kg/cm</t>
  </si>
  <si>
    <t>Factor kg/m² → unidades del .STD</t>
  </si>
  <si>
    <t>UNIT CM KG: presión en kg/cm²</t>
  </si>
  <si>
    <t>B. TECHO EN LARGUEROS Y VIGAS (CASOS 1 Y 2)</t>
  </si>
  <si>
    <t>Cada línea de largueros o viga de marco toma la mitad de la separación con sus vecinas (b, hoja TECHO de AreasTributarias R2.9). Las que tienen el mismo b van en un renglón.</t>
  </si>
  <si>
    <t>Líneas</t>
  </si>
  <si>
    <t>Miembros de STAAD</t>
  </si>
  <si>
    <t>b (m)</t>
  </si>
  <si>
    <t>w CM (kg/m)</t>
  </si>
  <si>
    <t>w CV (kg/m)</t>
  </si>
  <si>
    <t>w CM (unid. .STD)</t>
  </si>
  <si>
    <t>LT-2 a LT-6, VM-2, LT-7 a LT-9</t>
  </si>
  <si>
    <t>74 121 TO 124 285 TO 287 310 TO 326 352 TO 371</t>
  </si>
  <si>
    <t>LT-1</t>
  </si>
  <si>
    <t>327 372 TO 375</t>
  </si>
  <si>
    <t>VM-1</t>
  </si>
  <si>
    <t>11 48 TO 51</t>
  </si>
  <si>
    <t>VM-3</t>
  </si>
  <si>
    <t>12 52 TO 55</t>
  </si>
  <si>
    <t>Revisión</t>
  </si>
  <si>
    <t>C. CUBIERTA EN LOS NODOS DE ARRIBA DE LAS COLUMNAS (MASA DEL SISMO, CASO 4)</t>
  </si>
  <si>
    <t>Cada nodo toma la mitad del claro B y la mitad de la separación con los marcos vecinos. Peso = (CM + w_i) × área tributaria; en el caso 4 va en FX y en FZ.</t>
  </si>
  <si>
    <t>Marco</t>
  </si>
  <si>
    <t>Nodos de arriba (X = 0 y X = B)</t>
  </si>
  <si>
    <t>Z (m)</t>
  </si>
  <si>
    <t>Ancho tributario en Z (m)</t>
  </si>
  <si>
    <t>Área por nodo (m²)</t>
  </si>
  <si>
    <t>Peso por nodo (kg)</t>
  </si>
  <si>
    <t>Eje 1</t>
  </si>
  <si>
    <t>7 8</t>
  </si>
  <si>
    <t>Eje 2</t>
  </si>
  <si>
    <t>75 76</t>
  </si>
  <si>
    <t>Eje 3</t>
  </si>
  <si>
    <t>9 10</t>
  </si>
  <si>
    <t>Total (los dos nodos de cada marco)</t>
  </si>
  <si>
    <t>D. MUROS: UNA CARGA UNIFORME POR LARGUERO COMPLETO (CASOS 1 Y 4)</t>
  </si>
  <si>
    <t>Altura tributaria = la mitad hacia el larguero de abajo más la mitad hacia el de arriba. En las orillas inclinadas se usa la altura media del techo a lo largo del larguero: la carga queda uniforme en todo el larguero y la fuerza total no cambia.</t>
  </si>
  <si>
    <t>Elemento</t>
  </si>
  <si>
    <t>Altura trib. (m)</t>
  </si>
  <si>
    <t>Cómo sale la altura</t>
  </si>
  <si>
    <t>w (kg/m)</t>
  </si>
  <si>
    <t>w (unid. .STD)</t>
  </si>
  <si>
    <t>Largueros típicos (h = 1.20 m) de los muros 3 y 4</t>
  </si>
  <si>
    <t>16 17 20 21 24 25 28 29 32 33 36 37 40 41 199 TO 202 205 TO 214</t>
  </si>
  <si>
    <t>Separación de largueros</t>
  </si>
  <si>
    <t>Largueros típicos (h = 1.20 m) del muro 1</t>
  </si>
  <si>
    <t>23 27 31 43 46 149 153 155 159 161 203</t>
  </si>
  <si>
    <t>Último larguero de los muros 3 y 4, claro 1-2 (LA-8.1, LB-8.1)</t>
  </si>
  <si>
    <t>44 45</t>
  </si>
  <si>
    <t>Mitad hacia abajo + mitad hasta el alero, con la altura media del techo entre los ejes 1 y 2</t>
  </si>
  <si>
    <t>Último larguero de los muros 3 y 4, claro 2-3 (LA-8.2, LB-8.2)</t>
  </si>
  <si>
    <t>215 216</t>
  </si>
  <si>
    <t>Mitad hacia abajo + mitad hasta el alero, con la altura media del techo entre los ejes 2 y 3</t>
  </si>
  <si>
    <t>Dintel de la puerta y largueros a 6.50 m junto a la cortina</t>
  </si>
  <si>
    <t>68 204 233</t>
  </si>
  <si>
    <t>204: de 2.40 a 3.00 m. 68 y 233: de 6.25 a 6.85 m = 0.60 m, lo mismo</t>
  </si>
  <si>
    <t>Largueros a 6.00 m junto a la cortina (L1-5)</t>
  </si>
  <si>
    <t>35 157</t>
  </si>
  <si>
    <t>Mitad hacia abajo + mitad hasta el larguero de 6.50 m</t>
  </si>
  <si>
    <t>Dintel de la cortina (L1-6.2)</t>
  </si>
  <si>
    <t>234</t>
  </si>
  <si>
    <t>Del dintel a la mitad hacia el larguero de arriba</t>
  </si>
  <si>
    <t>Larguero a 7.20 m del muro 1 (L1-7.1)</t>
  </si>
  <si>
    <t>39</t>
  </si>
  <si>
    <t>Mitad hacia arriba + mitad hasta el dintel de la cortina</t>
  </si>
  <si>
    <t>Último larguero del muro 1 (L1-9.1)</t>
  </si>
  <si>
    <t>47</t>
  </si>
  <si>
    <t>Mitad hacia abajo + mitad hasta la viga del eje 1</t>
  </si>
  <si>
    <t>Franja alta del muro 1 a la viga del eje 1 (VM-1)</t>
  </si>
  <si>
    <t>Mitad de arriba entre el último larguero y la viga del eje 1</t>
  </si>
  <si>
    <t>Vigas de alero del claro 1-2 (VA-1 y VB-1)</t>
  </si>
  <si>
    <t>241 242 269 TO 280</t>
  </si>
  <si>
    <t>Mitad de arriba, con la altura media del techo entre los ejes 1 y 2</t>
  </si>
  <si>
    <t>Vigas de alero del claro 2-3 (VA-2 y VB-2)</t>
  </si>
  <si>
    <t>243 TO 250</t>
  </si>
  <si>
    <t>Mitad de arriba, con la altura media del techo entre los ejes 2 y 3</t>
  </si>
  <si>
    <t>Cortina en el dintel (miembro 234)</t>
  </si>
  <si>
    <t>Peso de la cortina ÷ largo del dintel</t>
  </si>
  <si>
    <t>E. LÍNEAS PARA EL .STD — COPIA LA COLUMNA B DEBAJO DEL TÍTULO DE CADA CASO</t>
  </si>
  <si>
    <t>Caso 1: después de SELFWEIGHT Y -1. Caso 2: completo. Caso 4: ANTES del SPECTRUM y sus pares (hoja STAAD), porque STAAD toma como masa las cargas escritas antes del SPECTRUM; el SELFWEIGHT X 1 y Z 1 hace que el peso propio también sea masa.</t>
  </si>
  <si>
    <t>Caso 1 — carga muerta</t>
  </si>
  <si>
    <t>MEMBER LOAD</t>
  </si>
  <si>
    <t>Caso 2 — carga viva</t>
  </si>
  <si>
    <t>Caso 4 — masa del sismo (antes del SPECTRUM)</t>
  </si>
  <si>
    <t>JOINT LOAD</t>
  </si>
  <si>
    <t>SELFWEIGHT X 1</t>
  </si>
  <si>
    <t>SELFWEIGHT Z 1</t>
  </si>
  <si>
    <t>CÓMO SE USA: en esta hoja cada uno de los tres espectros tiene T (s), Sₐ (g) y Sₐ (cm/s²). Para STAAD usa el bloque de la hoja STAAD (ordenadas en g con el SCALE en cm/s²).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</si>
</sst>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A1A1A"/>
      <name val="Arial"/>
      <family val="2"/>
    </font>
    <font>
      <b/>
      <sz val="10"/>
      <color rgb="FF0000CC"/>
      <name val="Arial"/>
      <family val="2"/>
    </font>
    <font>
      <sz val="8"/>
      <color rgb="FF1F4E79"/>
      <name val="Arial"/>
      <family val="2"/>
    </font>
    <font>
      <b/>
      <sz val="10"/>
      <color rgb="FF1A1A1A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sz val="9"/>
      <color rgb="FF843C0C"/>
      <name val="Arial"/>
      <family val="2"/>
    </font>
    <font>
      <sz val="8"/>
      <color rgb="FFA6A6A6"/>
      <name val="Arial"/>
      <family val="2"/>
    </font>
    <font>
      <b/>
      <sz val="10"/>
      <color rgb="FF1F4E79"/>
      <name val="Arial"/>
      <family val="2"/>
    </font>
    <font>
      <sz val="9"/>
      <color rgb="FF1A1A1A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6100"/>
      <name val="Arial"/>
      <family val="2"/>
    </font>
    <font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F2F2F2"/>
        <bgColor rgb="FFFFF0E0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 style="medium">
        <color rgb="FF00602B"/>
      </left>
      <right style="medium">
        <color rgb="FF00602B"/>
      </right>
      <top style="medium">
        <color rgb="FF00602B"/>
      </top>
      <bottom style="medium">
        <color rgb="FF00602B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9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7" fontId="9" fillId="7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166" fontId="9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5" fontId="15" fillId="9" borderId="3" xfId="0" applyNumberFormat="1" applyFont="1" applyFill="1" applyBorder="1" applyAlignment="1">
      <alignment horizontal="center" vertical="center" wrapText="1"/>
    </xf>
    <xf numFmtId="0" fontId="16" fillId="9" borderId="3" xfId="0" applyNumberFormat="1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left" vertical="center" wrapText="1"/>
    </xf>
    <xf numFmtId="165" fontId="18" fillId="0" borderId="1" xfId="0" applyNumberFormat="1" applyFont="1" applyFill="1" applyBorder="1" applyAlignment="1">
      <alignment horizontal="center" vertical="center" wrapText="1"/>
    </xf>
    <xf numFmtId="166" fontId="18" fillId="0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78787"/>
      <rgbColor rgb="FF8EA9DB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4B183"/>
      <rgbColor rgb="FFFFF0E0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REDUCIDOS — lo que entra al análisis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ESPECTROS!$D$73:$D$179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8-4E9C-A8F2-70DF1C4D1CFB}"/>
            </c:ext>
          </c:extLst>
        </c:ser>
        <c:ser>
          <c:idx val="1"/>
          <c:order val="1"/>
          <c:tx>
            <c:v>NTDS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ESPECTROS!$E$73:$E$179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28-4E9C-A8F2-70DF1C4D1CFB}"/>
            </c:ext>
          </c:extLst>
        </c:ser>
        <c:ser>
          <c:idx val="2"/>
          <c:order val="2"/>
          <c:tx>
            <c:v>ASCE X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ESPECTROS!$H$73:$H$179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8-4E9C-A8F2-70DF1C4D1CFB}"/>
            </c:ext>
          </c:extLst>
        </c:ser>
        <c:ser>
          <c:idx val="3"/>
          <c:order val="3"/>
          <c:tx>
            <c:v>ASCE Z</c:v>
          </c:tx>
          <c:spPr>
            <a:ln w="21960">
              <a:solidFill>
                <a:srgbClr val="F4B18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ESPECTROS!$I$73:$I$179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8-4E9C-A8F2-70DF1C4D1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0299"/>
        <c:axId val="12542088"/>
      </c:scatterChart>
      <c:valAx>
        <c:axId val="9437029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12542088"/>
        <c:crosses val="autoZero"/>
        <c:crossBetween val="midCat"/>
        <c:majorUnit val="0.5"/>
      </c:valAx>
      <c:valAx>
        <c:axId val="1254208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9437029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ELÁSTICOS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elástico (R = 1)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ESPECTROS!$C$73:$C$179</c:f>
              <c:numCache>
                <c:formatCode>0.0000</c:formatCode>
                <c:ptCount val="107"/>
                <c:pt idx="0">
                  <c:v>0.48</c:v>
                </c:pt>
                <c:pt idx="1">
                  <c:v>0.57599999999999996</c:v>
                </c:pt>
                <c:pt idx="2">
                  <c:v>0.67199999999999993</c:v>
                </c:pt>
                <c:pt idx="3">
                  <c:v>0.76800000000000002</c:v>
                </c:pt>
                <c:pt idx="4">
                  <c:v>0.86399999999999999</c:v>
                </c:pt>
                <c:pt idx="5">
                  <c:v>0.96</c:v>
                </c:pt>
                <c:pt idx="6">
                  <c:v>1.056</c:v>
                </c:pt>
                <c:pt idx="7">
                  <c:v>1.1520000000000001</c:v>
                </c:pt>
                <c:pt idx="8">
                  <c:v>1.2345638945233268</c:v>
                </c:pt>
                <c:pt idx="9">
                  <c:v>1.3440000000000001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  <c:pt idx="15">
                  <c:v>1.44</c:v>
                </c:pt>
                <c:pt idx="16">
                  <c:v>1.44</c:v>
                </c:pt>
                <c:pt idx="17">
                  <c:v>1.44</c:v>
                </c:pt>
                <c:pt idx="18">
                  <c:v>1.44</c:v>
                </c:pt>
                <c:pt idx="19">
                  <c:v>1.44</c:v>
                </c:pt>
                <c:pt idx="20">
                  <c:v>1.44</c:v>
                </c:pt>
                <c:pt idx="21">
                  <c:v>1.44</c:v>
                </c:pt>
                <c:pt idx="22">
                  <c:v>1.44</c:v>
                </c:pt>
                <c:pt idx="23">
                  <c:v>1.44</c:v>
                </c:pt>
                <c:pt idx="24">
                  <c:v>1.44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1.408863331922817</c:v>
                </c:pt>
                <c:pt idx="32">
                  <c:v>1.3793569783083954</c:v>
                </c:pt>
                <c:pt idx="33">
                  <c:v>1.3513485147792441</c:v>
                </c:pt>
                <c:pt idx="34">
                  <c:v>1.3247198700888845</c:v>
                </c:pt>
                <c:pt idx="35">
                  <c:v>1.2993654029464552</c:v>
                </c:pt>
                <c:pt idx="36">
                  <c:v>1.2751902830191333</c:v>
                </c:pt>
                <c:pt idx="37">
                  <c:v>1.2521091210480324</c:v>
                </c:pt>
                <c:pt idx="38">
                  <c:v>1.2300448041737404</c:v>
                </c:pt>
                <c:pt idx="39">
                  <c:v>1.2027632058417421</c:v>
                </c:pt>
                <c:pt idx="40">
                  <c:v>1.1886938096020654</c:v>
                </c:pt>
                <c:pt idx="41">
                  <c:v>1.1692860203954265</c:v>
                </c:pt>
                <c:pt idx="42">
                  <c:v>1.1506514832837225</c:v>
                </c:pt>
                <c:pt idx="43">
                  <c:v>1.1327420552990517</c:v>
                </c:pt>
                <c:pt idx="44">
                  <c:v>1.1155136209257173</c:v>
                </c:pt>
                <c:pt idx="45">
                  <c:v>1.0989256728511985</c:v>
                </c:pt>
                <c:pt idx="46">
                  <c:v>1.0829409445564271</c:v>
                </c:pt>
                <c:pt idx="47">
                  <c:v>1.0675250873653346</c:v>
                </c:pt>
                <c:pt idx="48">
                  <c:v>1.0526463857566317</c:v>
                </c:pt>
                <c:pt idx="49">
                  <c:v>1.0382755057138127</c:v>
                </c:pt>
                <c:pt idx="50">
                  <c:v>1.0243852716931379</c:v>
                </c:pt>
                <c:pt idx="51">
                  <c:v>0.99160138868923742</c:v>
                </c:pt>
                <c:pt idx="52">
                  <c:v>0.96132049685017695</c:v>
                </c:pt>
                <c:pt idx="53">
                  <c:v>0.93325021528330454</c:v>
                </c:pt>
                <c:pt idx="54">
                  <c:v>0.90714315592430861</c:v>
                </c:pt>
                <c:pt idx="55">
                  <c:v>0.88278846611737305</c:v>
                </c:pt>
                <c:pt idx="56">
                  <c:v>0.86000522695269865</c:v>
                </c:pt>
                <c:pt idx="57">
                  <c:v>0.83863724614684687</c:v>
                </c:pt>
                <c:pt idx="58">
                  <c:v>0.81854891133868624</c:v>
                </c:pt>
                <c:pt idx="59">
                  <c:v>0.79962185854669698</c:v>
                </c:pt>
                <c:pt idx="60">
                  <c:v>0.78175227357933297</c:v>
                </c:pt>
                <c:pt idx="61">
                  <c:v>0.76484868950917828</c:v>
                </c:pt>
                <c:pt idx="62">
                  <c:v>0.74883017629868542</c:v>
                </c:pt>
                <c:pt idx="63">
                  <c:v>0.73362484293522867</c:v>
                </c:pt>
                <c:pt idx="64">
                  <c:v>0.71916859048451698</c:v>
                </c:pt>
                <c:pt idx="65">
                  <c:v>0.70540406803035938</c:v>
                </c:pt>
                <c:pt idx="66">
                  <c:v>0.69227979374755599</c:v>
                </c:pt>
                <c:pt idx="67">
                  <c:v>0.6797494112143887</c:v>
                </c:pt>
                <c:pt idx="68">
                  <c:v>0.66777105713004659</c:v>
                </c:pt>
                <c:pt idx="69">
                  <c:v>0.65630682130870976</c:v>
                </c:pt>
                <c:pt idx="70">
                  <c:v>0.6453222835042316</c:v>
                </c:pt>
                <c:pt idx="71">
                  <c:v>0.6246697313572791</c:v>
                </c:pt>
                <c:pt idx="72">
                  <c:v>0.60559396483846795</c:v>
                </c:pt>
                <c:pt idx="73">
                  <c:v>0.58791079552717884</c:v>
                </c:pt>
                <c:pt idx="74">
                  <c:v>0.57146437870855182</c:v>
                </c:pt>
                <c:pt idx="75">
                  <c:v>0.5561218855328427</c:v>
                </c:pt>
                <c:pt idx="76">
                  <c:v>0.5417693442286613</c:v>
                </c:pt>
                <c:pt idx="77">
                  <c:v>0.52830835982314017</c:v>
                </c:pt>
                <c:pt idx="78">
                  <c:v>0.51565350188207149</c:v>
                </c:pt>
                <c:pt idx="79">
                  <c:v>0.50373020576952221</c:v>
                </c:pt>
                <c:pt idx="80">
                  <c:v>0.4924730726428887</c:v>
                </c:pt>
                <c:pt idx="81">
                  <c:v>0.48182448194856087</c:v>
                </c:pt>
                <c:pt idx="82">
                  <c:v>0.47173345095760144</c:v>
                </c:pt>
                <c:pt idx="83">
                  <c:v>0.46215469116995744</c:v>
                </c:pt>
                <c:pt idx="84">
                  <c:v>0.4530478227873343</c:v>
                </c:pt>
                <c:pt idx="85">
                  <c:v>0.44437671699646253</c:v>
                </c:pt>
                <c:pt idx="86">
                  <c:v>0.43610894227971359</c:v>
                </c:pt>
                <c:pt idx="87">
                  <c:v>0.42821529592132723</c:v>
                </c:pt>
                <c:pt idx="88">
                  <c:v>0.42066940569434885</c:v>
                </c:pt>
                <c:pt idx="89">
                  <c:v>0.41344738967821826</c:v>
                </c:pt>
                <c:pt idx="90">
                  <c:v>0.40652756447660432</c:v>
                </c:pt>
                <c:pt idx="91">
                  <c:v>0.37200727034429398</c:v>
                </c:pt>
                <c:pt idx="92">
                  <c:v>0.34470955040510143</c:v>
                </c:pt>
                <c:pt idx="93">
                  <c:v>0.32073413856987704</c:v>
                </c:pt>
                <c:pt idx="94">
                  <c:v>0.29953207051947439</c:v>
                </c:pt>
                <c:pt idx="95">
                  <c:v>0.28066672679144594</c:v>
                </c:pt>
                <c:pt idx="96">
                  <c:v>0.26378681349494709</c:v>
                </c:pt>
                <c:pt idx="97">
                  <c:v>0.24860672632311859</c:v>
                </c:pt>
                <c:pt idx="98">
                  <c:v>0.23489205847013189</c:v>
                </c:pt>
                <c:pt idx="99">
                  <c:v>0.21111488684875349</c:v>
                </c:pt>
                <c:pt idx="100">
                  <c:v>0.19125198336582322</c:v>
                </c:pt>
                <c:pt idx="101">
                  <c:v>0.17444357691188547</c:v>
                </c:pt>
                <c:pt idx="102">
                  <c:v>0.16006019870205293</c:v>
                </c:pt>
                <c:pt idx="103">
                  <c:v>0.14763118307108769</c:v>
                </c:pt>
                <c:pt idx="104">
                  <c:v>0.13679807573413577</c:v>
                </c:pt>
                <c:pt idx="105">
                  <c:v>0.12728342724198421</c:v>
                </c:pt>
                <c:pt idx="106">
                  <c:v>0.11886938096020655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9-49DA-A95D-4F42262B8D34}"/>
            </c:ext>
          </c:extLst>
        </c:ser>
        <c:ser>
          <c:idx val="1"/>
          <c:order val="1"/>
          <c:tx>
            <c:v>ASCE S_a de diseño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ESPECTROS!$G$73:$G$179</c:f>
              <c:numCache>
                <c:formatCode>0.0000</c:formatCode>
                <c:ptCount val="107"/>
                <c:pt idx="0">
                  <c:v>0.6836266666666666</c:v>
                </c:pt>
                <c:pt idx="1">
                  <c:v>0.8140890976344084</c:v>
                </c:pt>
                <c:pt idx="2">
                  <c:v>0.9445515286021503</c:v>
                </c:pt>
                <c:pt idx="3">
                  <c:v>1.075013959569892</c:v>
                </c:pt>
                <c:pt idx="4">
                  <c:v>1.205476390537634</c:v>
                </c:pt>
                <c:pt idx="5">
                  <c:v>1.3359388215053758</c:v>
                </c:pt>
                <c:pt idx="6">
                  <c:v>1.4664012524731178</c:v>
                </c:pt>
                <c:pt idx="7">
                  <c:v>1.5968636834408598</c:v>
                </c:pt>
                <c:pt idx="8">
                  <c:v>1.7090666666666663</c:v>
                </c:pt>
                <c:pt idx="9">
                  <c:v>1.7090666666666663</c:v>
                </c:pt>
                <c:pt idx="10">
                  <c:v>1.7090666666666663</c:v>
                </c:pt>
                <c:pt idx="11">
                  <c:v>1.7090666666666663</c:v>
                </c:pt>
                <c:pt idx="12">
                  <c:v>1.7090666666666663</c:v>
                </c:pt>
                <c:pt idx="13">
                  <c:v>1.7090666666666663</c:v>
                </c:pt>
                <c:pt idx="14">
                  <c:v>1.7090666666666663</c:v>
                </c:pt>
                <c:pt idx="15">
                  <c:v>1.7090666666666663</c:v>
                </c:pt>
                <c:pt idx="16">
                  <c:v>1.7090666666666663</c:v>
                </c:pt>
                <c:pt idx="17">
                  <c:v>1.7090666666666663</c:v>
                </c:pt>
                <c:pt idx="18">
                  <c:v>1.7090666666666663</c:v>
                </c:pt>
                <c:pt idx="19">
                  <c:v>1.7090666666666663</c:v>
                </c:pt>
                <c:pt idx="20">
                  <c:v>1.7090666666666663</c:v>
                </c:pt>
                <c:pt idx="21">
                  <c:v>1.7090666666666663</c:v>
                </c:pt>
                <c:pt idx="22">
                  <c:v>1.7090666666666663</c:v>
                </c:pt>
                <c:pt idx="23">
                  <c:v>1.7090666666666663</c:v>
                </c:pt>
                <c:pt idx="24">
                  <c:v>1.7090666666666663</c:v>
                </c:pt>
                <c:pt idx="25">
                  <c:v>1.7090666666666663</c:v>
                </c:pt>
                <c:pt idx="26">
                  <c:v>1.7090666666666663</c:v>
                </c:pt>
                <c:pt idx="27">
                  <c:v>1.7090666666666663</c:v>
                </c:pt>
                <c:pt idx="28">
                  <c:v>1.7090666666666663</c:v>
                </c:pt>
                <c:pt idx="29">
                  <c:v>1.7090666666666663</c:v>
                </c:pt>
                <c:pt idx="30">
                  <c:v>1.7090666666666663</c:v>
                </c:pt>
                <c:pt idx="31">
                  <c:v>1.7090666666666663</c:v>
                </c:pt>
                <c:pt idx="32">
                  <c:v>1.7090666666666663</c:v>
                </c:pt>
                <c:pt idx="33">
                  <c:v>1.7090666666666663</c:v>
                </c:pt>
                <c:pt idx="34">
                  <c:v>1.7090666666666663</c:v>
                </c:pt>
                <c:pt idx="35">
                  <c:v>1.7090666666666663</c:v>
                </c:pt>
                <c:pt idx="36">
                  <c:v>1.7090666666666663</c:v>
                </c:pt>
                <c:pt idx="37">
                  <c:v>1.7090666666666663</c:v>
                </c:pt>
                <c:pt idx="38">
                  <c:v>1.7090666666666663</c:v>
                </c:pt>
                <c:pt idx="39">
                  <c:v>1.7090666666666663</c:v>
                </c:pt>
                <c:pt idx="40">
                  <c:v>1.6791666666666665</c:v>
                </c:pt>
                <c:pt idx="41">
                  <c:v>1.6382113821138211</c:v>
                </c:pt>
                <c:pt idx="42">
                  <c:v>1.5992063492063493</c:v>
                </c:pt>
                <c:pt idx="43">
                  <c:v>1.5620155038759689</c:v>
                </c:pt>
                <c:pt idx="44">
                  <c:v>1.5265151515151514</c:v>
                </c:pt>
                <c:pt idx="45">
                  <c:v>1.4925925925925925</c:v>
                </c:pt>
                <c:pt idx="46">
                  <c:v>1.4601449275362317</c:v>
                </c:pt>
                <c:pt idx="47">
                  <c:v>1.4290780141843973</c:v>
                </c:pt>
                <c:pt idx="48">
                  <c:v>1.3993055555555556</c:v>
                </c:pt>
                <c:pt idx="49">
                  <c:v>1.3707482993197277</c:v>
                </c:pt>
                <c:pt idx="50">
                  <c:v>1.3433333333333333</c:v>
                </c:pt>
                <c:pt idx="51">
                  <c:v>1.2793650793650793</c:v>
                </c:pt>
                <c:pt idx="52">
                  <c:v>1.221212121212121</c:v>
                </c:pt>
                <c:pt idx="53">
                  <c:v>1.1681159420289855</c:v>
                </c:pt>
                <c:pt idx="54">
                  <c:v>1.1194444444444445</c:v>
                </c:pt>
                <c:pt idx="55">
                  <c:v>1.0746666666666667</c:v>
                </c:pt>
                <c:pt idx="56">
                  <c:v>1.0333333333333332</c:v>
                </c:pt>
                <c:pt idx="57">
                  <c:v>0.99506172839506157</c:v>
                </c:pt>
                <c:pt idx="58">
                  <c:v>0.95952380952380956</c:v>
                </c:pt>
                <c:pt idx="59">
                  <c:v>0.9264367816091954</c:v>
                </c:pt>
                <c:pt idx="60">
                  <c:v>0.89555555555555555</c:v>
                </c:pt>
                <c:pt idx="61">
                  <c:v>0.86666666666666659</c:v>
                </c:pt>
                <c:pt idx="62">
                  <c:v>0.83958333333333324</c:v>
                </c:pt>
                <c:pt idx="63">
                  <c:v>0.81414141414141417</c:v>
                </c:pt>
                <c:pt idx="64">
                  <c:v>0.79019607843137252</c:v>
                </c:pt>
                <c:pt idx="65">
                  <c:v>0.76761904761904753</c:v>
                </c:pt>
                <c:pt idx="66">
                  <c:v>0.74629629629629624</c:v>
                </c:pt>
                <c:pt idx="67">
                  <c:v>0.72612612612612604</c:v>
                </c:pt>
                <c:pt idx="68">
                  <c:v>0.7070175438596491</c:v>
                </c:pt>
                <c:pt idx="69">
                  <c:v>0.68888888888888888</c:v>
                </c:pt>
                <c:pt idx="70">
                  <c:v>0.67166666666666663</c:v>
                </c:pt>
                <c:pt idx="71">
                  <c:v>0.63968253968253963</c:v>
                </c:pt>
                <c:pt idx="72">
                  <c:v>0.61060606060606049</c:v>
                </c:pt>
                <c:pt idx="73">
                  <c:v>0.58405797101449275</c:v>
                </c:pt>
                <c:pt idx="74">
                  <c:v>0.55972222222222223</c:v>
                </c:pt>
                <c:pt idx="75">
                  <c:v>0.53733333333333333</c:v>
                </c:pt>
                <c:pt idx="76">
                  <c:v>0.51666666666666661</c:v>
                </c:pt>
                <c:pt idx="77">
                  <c:v>0.49753086419753079</c:v>
                </c:pt>
                <c:pt idx="78">
                  <c:v>0.47976190476190478</c:v>
                </c:pt>
                <c:pt idx="79">
                  <c:v>0.4632183908045977</c:v>
                </c:pt>
                <c:pt idx="80">
                  <c:v>0.44777777777777777</c:v>
                </c:pt>
                <c:pt idx="81">
                  <c:v>0.43333333333333329</c:v>
                </c:pt>
                <c:pt idx="82">
                  <c:v>0.41979166666666662</c:v>
                </c:pt>
                <c:pt idx="83">
                  <c:v>0.40707070707070708</c:v>
                </c:pt>
                <c:pt idx="84">
                  <c:v>0.39509803921568626</c:v>
                </c:pt>
                <c:pt idx="85">
                  <c:v>0.38380952380952377</c:v>
                </c:pt>
                <c:pt idx="86">
                  <c:v>0.37314814814814812</c:v>
                </c:pt>
                <c:pt idx="87">
                  <c:v>0.36306306306306302</c:v>
                </c:pt>
                <c:pt idx="88">
                  <c:v>0.35350877192982455</c:v>
                </c:pt>
                <c:pt idx="89">
                  <c:v>0.34444444444444444</c:v>
                </c:pt>
                <c:pt idx="90">
                  <c:v>0.33583333333333332</c:v>
                </c:pt>
                <c:pt idx="91">
                  <c:v>0.31607843137254898</c:v>
                </c:pt>
                <c:pt idx="92">
                  <c:v>0.29851851851851852</c:v>
                </c:pt>
                <c:pt idx="93">
                  <c:v>0.28280701754385962</c:v>
                </c:pt>
                <c:pt idx="94">
                  <c:v>0.26866666666666666</c:v>
                </c:pt>
                <c:pt idx="95">
                  <c:v>0.25587301587301586</c:v>
                </c:pt>
                <c:pt idx="96">
                  <c:v>0.24424242424242423</c:v>
                </c:pt>
                <c:pt idx="97">
                  <c:v>0.2336231884057971</c:v>
                </c:pt>
                <c:pt idx="98">
                  <c:v>0.22388888888888889</c:v>
                </c:pt>
                <c:pt idx="99">
                  <c:v>0.20666666666666667</c:v>
                </c:pt>
                <c:pt idx="100">
                  <c:v>0.19190476190476188</c:v>
                </c:pt>
                <c:pt idx="101">
                  <c:v>0.17911111111111111</c:v>
                </c:pt>
                <c:pt idx="102">
                  <c:v>0.16791666666666666</c:v>
                </c:pt>
                <c:pt idx="103">
                  <c:v>0.14874279123414072</c:v>
                </c:pt>
                <c:pt idx="104">
                  <c:v>0.13267489711934155</c:v>
                </c:pt>
                <c:pt idx="105">
                  <c:v>0.11907663896583563</c:v>
                </c:pt>
                <c:pt idx="106">
                  <c:v>0.10746666666666665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9-49DA-A95D-4F42262B8D34}"/>
            </c:ext>
          </c:extLst>
        </c:ser>
        <c:ser>
          <c:idx val="2"/>
          <c:order val="2"/>
          <c:tx>
            <c:v>ASCE MCE_R</c:v>
          </c:tx>
          <c:spPr>
            <a:ln w="21960">
              <a:solidFill>
                <a:srgbClr val="F4B18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ESPECTROS!$F$73:$F$179</c:f>
              <c:numCache>
                <c:formatCode>0.0000</c:formatCode>
                <c:ptCount val="107"/>
                <c:pt idx="0">
                  <c:v>1.0254399999999999</c:v>
                </c:pt>
                <c:pt idx="1">
                  <c:v>1.2211336464516127</c:v>
                </c:pt>
                <c:pt idx="2">
                  <c:v>1.4168272929032255</c:v>
                </c:pt>
                <c:pt idx="3">
                  <c:v>1.6125209393548379</c:v>
                </c:pt>
                <c:pt idx="4">
                  <c:v>1.8082145858064509</c:v>
                </c:pt>
                <c:pt idx="5">
                  <c:v>2.0039082322580635</c:v>
                </c:pt>
                <c:pt idx="6">
                  <c:v>2.1996018787096769</c:v>
                </c:pt>
                <c:pt idx="7">
                  <c:v>2.3952955251612895</c:v>
                </c:pt>
                <c:pt idx="8">
                  <c:v>2.5635999999999992</c:v>
                </c:pt>
                <c:pt idx="9">
                  <c:v>2.5635999999999992</c:v>
                </c:pt>
                <c:pt idx="10">
                  <c:v>2.5635999999999992</c:v>
                </c:pt>
                <c:pt idx="11">
                  <c:v>2.5635999999999992</c:v>
                </c:pt>
                <c:pt idx="12">
                  <c:v>2.5635999999999992</c:v>
                </c:pt>
                <c:pt idx="13">
                  <c:v>2.5635999999999992</c:v>
                </c:pt>
                <c:pt idx="14">
                  <c:v>2.5635999999999992</c:v>
                </c:pt>
                <c:pt idx="15">
                  <c:v>2.5635999999999992</c:v>
                </c:pt>
                <c:pt idx="16">
                  <c:v>2.5635999999999992</c:v>
                </c:pt>
                <c:pt idx="17">
                  <c:v>2.5635999999999992</c:v>
                </c:pt>
                <c:pt idx="18">
                  <c:v>2.5635999999999992</c:v>
                </c:pt>
                <c:pt idx="19">
                  <c:v>2.5635999999999992</c:v>
                </c:pt>
                <c:pt idx="20">
                  <c:v>2.5635999999999992</c:v>
                </c:pt>
                <c:pt idx="21">
                  <c:v>2.5635999999999992</c:v>
                </c:pt>
                <c:pt idx="22">
                  <c:v>2.5635999999999992</c:v>
                </c:pt>
                <c:pt idx="23">
                  <c:v>2.5635999999999992</c:v>
                </c:pt>
                <c:pt idx="24">
                  <c:v>2.5635999999999992</c:v>
                </c:pt>
                <c:pt idx="25">
                  <c:v>2.5635999999999992</c:v>
                </c:pt>
                <c:pt idx="26">
                  <c:v>2.5635999999999992</c:v>
                </c:pt>
                <c:pt idx="27">
                  <c:v>2.5635999999999992</c:v>
                </c:pt>
                <c:pt idx="28">
                  <c:v>2.5635999999999992</c:v>
                </c:pt>
                <c:pt idx="29">
                  <c:v>2.5635999999999992</c:v>
                </c:pt>
                <c:pt idx="30">
                  <c:v>2.5635999999999992</c:v>
                </c:pt>
                <c:pt idx="31">
                  <c:v>2.5635999999999992</c:v>
                </c:pt>
                <c:pt idx="32">
                  <c:v>2.5635999999999992</c:v>
                </c:pt>
                <c:pt idx="33">
                  <c:v>2.5635999999999992</c:v>
                </c:pt>
                <c:pt idx="34">
                  <c:v>2.5635999999999992</c:v>
                </c:pt>
                <c:pt idx="35">
                  <c:v>2.5635999999999992</c:v>
                </c:pt>
                <c:pt idx="36">
                  <c:v>2.5635999999999992</c:v>
                </c:pt>
                <c:pt idx="37">
                  <c:v>2.5635999999999992</c:v>
                </c:pt>
                <c:pt idx="38">
                  <c:v>2.5635999999999992</c:v>
                </c:pt>
                <c:pt idx="39">
                  <c:v>2.5635999999999992</c:v>
                </c:pt>
                <c:pt idx="40">
                  <c:v>2.5187499999999998</c:v>
                </c:pt>
                <c:pt idx="41">
                  <c:v>2.4573170731707314</c:v>
                </c:pt>
                <c:pt idx="42">
                  <c:v>2.3988095238095237</c:v>
                </c:pt>
                <c:pt idx="43">
                  <c:v>2.3430232558139532</c:v>
                </c:pt>
                <c:pt idx="44">
                  <c:v>2.2897727272727271</c:v>
                </c:pt>
                <c:pt idx="45">
                  <c:v>2.2388888888888889</c:v>
                </c:pt>
                <c:pt idx="46">
                  <c:v>2.1902173913043477</c:v>
                </c:pt>
                <c:pt idx="47">
                  <c:v>2.1436170212765959</c:v>
                </c:pt>
                <c:pt idx="48">
                  <c:v>2.0989583333333335</c:v>
                </c:pt>
                <c:pt idx="49">
                  <c:v>2.0561224489795915</c:v>
                </c:pt>
                <c:pt idx="50">
                  <c:v>2.0149999999999997</c:v>
                </c:pt>
                <c:pt idx="51">
                  <c:v>1.9190476190476189</c:v>
                </c:pt>
                <c:pt idx="52">
                  <c:v>1.8318181818181816</c:v>
                </c:pt>
                <c:pt idx="53">
                  <c:v>1.7521739130434781</c:v>
                </c:pt>
                <c:pt idx="54">
                  <c:v>1.6791666666666667</c:v>
                </c:pt>
                <c:pt idx="55">
                  <c:v>1.6120000000000001</c:v>
                </c:pt>
                <c:pt idx="56">
                  <c:v>1.5499999999999998</c:v>
                </c:pt>
                <c:pt idx="57">
                  <c:v>1.4925925925925925</c:v>
                </c:pt>
                <c:pt idx="58">
                  <c:v>1.4392857142857143</c:v>
                </c:pt>
                <c:pt idx="59">
                  <c:v>1.3896551724137931</c:v>
                </c:pt>
                <c:pt idx="60">
                  <c:v>1.3433333333333333</c:v>
                </c:pt>
                <c:pt idx="61">
                  <c:v>1.2999999999999998</c:v>
                </c:pt>
                <c:pt idx="62">
                  <c:v>1.2593749999999999</c:v>
                </c:pt>
                <c:pt idx="63">
                  <c:v>1.2212121212121212</c:v>
                </c:pt>
                <c:pt idx="64">
                  <c:v>1.1852941176470588</c:v>
                </c:pt>
                <c:pt idx="65">
                  <c:v>1.1514285714285712</c:v>
                </c:pt>
                <c:pt idx="66">
                  <c:v>1.1194444444444445</c:v>
                </c:pt>
                <c:pt idx="67">
                  <c:v>1.0891891891891889</c:v>
                </c:pt>
                <c:pt idx="68">
                  <c:v>1.0605263157894735</c:v>
                </c:pt>
                <c:pt idx="69">
                  <c:v>1.0333333333333332</c:v>
                </c:pt>
                <c:pt idx="70">
                  <c:v>1.0074999999999998</c:v>
                </c:pt>
                <c:pt idx="71">
                  <c:v>0.95952380952380945</c:v>
                </c:pt>
                <c:pt idx="72">
                  <c:v>0.91590909090909078</c:v>
                </c:pt>
                <c:pt idx="73">
                  <c:v>0.87608695652173907</c:v>
                </c:pt>
                <c:pt idx="74">
                  <c:v>0.83958333333333335</c:v>
                </c:pt>
                <c:pt idx="75">
                  <c:v>0.80600000000000005</c:v>
                </c:pt>
                <c:pt idx="76">
                  <c:v>0.77499999999999991</c:v>
                </c:pt>
                <c:pt idx="77">
                  <c:v>0.74629629629629624</c:v>
                </c:pt>
                <c:pt idx="78">
                  <c:v>0.71964285714285714</c:v>
                </c:pt>
                <c:pt idx="79">
                  <c:v>0.69482758620689655</c:v>
                </c:pt>
                <c:pt idx="80">
                  <c:v>0.67166666666666663</c:v>
                </c:pt>
                <c:pt idx="81">
                  <c:v>0.64999999999999991</c:v>
                </c:pt>
                <c:pt idx="82">
                  <c:v>0.62968749999999996</c:v>
                </c:pt>
                <c:pt idx="83">
                  <c:v>0.6106060606060606</c:v>
                </c:pt>
                <c:pt idx="84">
                  <c:v>0.59264705882352942</c:v>
                </c:pt>
                <c:pt idx="85">
                  <c:v>0.57571428571428562</c:v>
                </c:pt>
                <c:pt idx="86">
                  <c:v>0.55972222222222223</c:v>
                </c:pt>
                <c:pt idx="87">
                  <c:v>0.54459459459459447</c:v>
                </c:pt>
                <c:pt idx="88">
                  <c:v>0.53026315789473677</c:v>
                </c:pt>
                <c:pt idx="89">
                  <c:v>0.51666666666666661</c:v>
                </c:pt>
                <c:pt idx="90">
                  <c:v>0.50374999999999992</c:v>
                </c:pt>
                <c:pt idx="91">
                  <c:v>0.47411764705882348</c:v>
                </c:pt>
                <c:pt idx="92">
                  <c:v>0.44777777777777777</c:v>
                </c:pt>
                <c:pt idx="93">
                  <c:v>0.42421052631578943</c:v>
                </c:pt>
                <c:pt idx="94">
                  <c:v>0.40300000000000002</c:v>
                </c:pt>
                <c:pt idx="95">
                  <c:v>0.38380952380952382</c:v>
                </c:pt>
                <c:pt idx="96">
                  <c:v>0.36636363636363634</c:v>
                </c:pt>
                <c:pt idx="97">
                  <c:v>0.35043478260869565</c:v>
                </c:pt>
                <c:pt idx="98">
                  <c:v>0.33583333333333332</c:v>
                </c:pt>
                <c:pt idx="99">
                  <c:v>0.31</c:v>
                </c:pt>
                <c:pt idx="100">
                  <c:v>0.28785714285714281</c:v>
                </c:pt>
                <c:pt idx="101">
                  <c:v>0.26866666666666666</c:v>
                </c:pt>
                <c:pt idx="102">
                  <c:v>0.25187499999999996</c:v>
                </c:pt>
                <c:pt idx="103">
                  <c:v>0.22311418685121109</c:v>
                </c:pt>
                <c:pt idx="104">
                  <c:v>0.19901234567901233</c:v>
                </c:pt>
                <c:pt idx="105">
                  <c:v>0.17861495844875344</c:v>
                </c:pt>
                <c:pt idx="106">
                  <c:v>0.16119999999999998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D9-49DA-A95D-4F42262B8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6259"/>
        <c:axId val="81621363"/>
      </c:scatterChart>
      <c:valAx>
        <c:axId val="7761625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81621363"/>
        <c:crosses val="autoZero"/>
        <c:crossBetween val="midCat"/>
        <c:majorUnit val="0.5"/>
      </c:valAx>
      <c:valAx>
        <c:axId val="81621363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7761625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Relación ASCE / NTDS a comparar (≥ 1.0 en el AMSS)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Relación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ESPECTROS!$L$73:$L$179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9-45F7-A143-08B0E6C9D12A}"/>
            </c:ext>
          </c:extLst>
        </c:ser>
        <c:ser>
          <c:idx val="1"/>
          <c:order val="1"/>
          <c:tx>
            <c:v>Relación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ESPECTROS!$M$73:$M$179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9-45F7-A143-08B0E6C9D12A}"/>
            </c:ext>
          </c:extLst>
        </c:ser>
        <c:ser>
          <c:idx val="2"/>
          <c:order val="2"/>
          <c:tx>
            <c:v>Límite 1.0</c:v>
          </c:tx>
          <c:spPr>
            <a:ln w="21960">
              <a:solidFill>
                <a:srgbClr val="37562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ESPECTROS!$T$73:$T$74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ESPECTROS!$U$73:$U$74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9-45F7-A143-08B0E6C9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0117"/>
        <c:axId val="46519751"/>
      </c:scatterChart>
      <c:valAx>
        <c:axId val="3240117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46519751"/>
        <c:crosses val="autoZero"/>
        <c:crossBetween val="midCat"/>
        <c:majorUnit val="0.5"/>
      </c:valAx>
      <c:valAx>
        <c:axId val="46519751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ASCE / NTDS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3240117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91440</xdr:rowOff>
    </xdr:from>
    <xdr:to>
      <xdr:col>10</xdr:col>
      <xdr:colOff>757800</xdr:colOff>
      <xdr:row>27</xdr:row>
      <xdr:rowOff>127440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91440</xdr:rowOff>
    </xdr:from>
    <xdr:to>
      <xdr:col>10</xdr:col>
      <xdr:colOff>757800</xdr:colOff>
      <xdr:row>47</xdr:row>
      <xdr:rowOff>127440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91440</xdr:rowOff>
    </xdr:from>
    <xdr:to>
      <xdr:col>10</xdr:col>
      <xdr:colOff>757800</xdr:colOff>
      <xdr:row>67</xdr:row>
      <xdr:rowOff>127080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EDB8-E985-48AC-9CEC-F47391CA5E84}">
  <sheetPr>
    <pageSetUpPr fitToPage="1"/>
  </sheetPr>
  <dimension ref="B1:F62"/>
  <sheetViews>
    <sheetView showGridLines="0" topLeftCell="A12" zoomScale="70" zoomScaleNormal="70" workbookViewId="0">
      <selection activeCell="C23" sqref="C23"/>
    </sheetView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5" customHeight="1" x14ac:dyDescent="0.3">
      <c r="B1" s="38" t="s">
        <v>24</v>
      </c>
      <c r="C1" s="34"/>
      <c r="D1" s="34"/>
      <c r="E1" s="34"/>
      <c r="F1" s="34"/>
    </row>
    <row r="2" spans="2:6" ht="30" customHeight="1" x14ac:dyDescent="0.3">
      <c r="B2" s="33" t="s">
        <v>25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26</v>
      </c>
      <c r="C4" s="34"/>
      <c r="D4" s="34"/>
      <c r="E4" s="34"/>
      <c r="F4" s="34"/>
    </row>
    <row r="5" spans="2:6" ht="30" customHeight="1" x14ac:dyDescent="0.3">
      <c r="B5" s="35" t="s">
        <v>27</v>
      </c>
      <c r="C5" s="36"/>
      <c r="D5" s="36"/>
      <c r="E5" s="36"/>
      <c r="F5" s="36"/>
    </row>
    <row r="6" spans="2:6" ht="30" customHeight="1" x14ac:dyDescent="0.3"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2:6" ht="30" customHeight="1" x14ac:dyDescent="0.3">
      <c r="B7" s="2" t="s">
        <v>33</v>
      </c>
      <c r="C7" s="42" t="s">
        <v>34</v>
      </c>
      <c r="D7" s="36"/>
      <c r="E7" s="3" t="s">
        <v>35</v>
      </c>
      <c r="F7" s="4" t="s">
        <v>36</v>
      </c>
    </row>
    <row r="8" spans="2:6" ht="31.5" customHeight="1" x14ac:dyDescent="0.3">
      <c r="B8" s="2" t="s">
        <v>37</v>
      </c>
      <c r="C8" s="42" t="s">
        <v>38</v>
      </c>
      <c r="D8" s="36"/>
      <c r="E8" s="3" t="s">
        <v>39</v>
      </c>
      <c r="F8" s="4" t="s">
        <v>40</v>
      </c>
    </row>
    <row r="9" spans="2:6" ht="54" customHeight="1" x14ac:dyDescent="0.3">
      <c r="B9" s="2" t="s">
        <v>41</v>
      </c>
      <c r="C9" s="5" t="s">
        <v>42</v>
      </c>
      <c r="D9" s="6" t="s">
        <v>43</v>
      </c>
      <c r="E9" s="3" t="s">
        <v>44</v>
      </c>
      <c r="F9" s="4" t="s">
        <v>45</v>
      </c>
    </row>
    <row r="10" spans="2:6" ht="30" customHeight="1" x14ac:dyDescent="0.3">
      <c r="B10" s="2" t="s">
        <v>46</v>
      </c>
      <c r="C10" s="5" t="s">
        <v>42</v>
      </c>
      <c r="D10" s="6" t="s">
        <v>43</v>
      </c>
      <c r="E10" s="3" t="s">
        <v>47</v>
      </c>
      <c r="F10" s="4" t="s">
        <v>48</v>
      </c>
    </row>
    <row r="11" spans="2:6" ht="54" customHeight="1" x14ac:dyDescent="0.3">
      <c r="B11" s="2" t="s">
        <v>49</v>
      </c>
      <c r="C11" s="5" t="s">
        <v>50</v>
      </c>
      <c r="D11" s="6" t="s">
        <v>43</v>
      </c>
      <c r="E11" s="3" t="s">
        <v>51</v>
      </c>
      <c r="F11" s="4" t="s">
        <v>52</v>
      </c>
    </row>
    <row r="12" spans="2:6" ht="42" customHeight="1" x14ac:dyDescent="0.3">
      <c r="B12" s="2" t="s">
        <v>53</v>
      </c>
      <c r="C12" s="7">
        <f>IF($C$11="FACTORIZADA",1.43,1)</f>
        <v>1.43</v>
      </c>
      <c r="D12" s="6" t="s">
        <v>43</v>
      </c>
      <c r="E12" s="3" t="s">
        <v>54</v>
      </c>
      <c r="F12" s="4" t="s">
        <v>55</v>
      </c>
    </row>
    <row r="13" spans="2:6" ht="54" customHeight="1" x14ac:dyDescent="0.3">
      <c r="B13" s="8" t="s">
        <v>56</v>
      </c>
      <c r="C13" s="9" t="str">
        <f>IF($C$9="NO","NTDS-1994",IF($C$10="SÍ","ASCE 7-16","NTDS o ASCE 7-16"))</f>
        <v>NTDS-1994</v>
      </c>
      <c r="D13" s="6" t="s">
        <v>43</v>
      </c>
      <c r="E13" s="3" t="s">
        <v>57</v>
      </c>
      <c r="F13" s="4" t="s">
        <v>58</v>
      </c>
    </row>
    <row r="14" spans="2:6" ht="42" customHeight="1" x14ac:dyDescent="0.3">
      <c r="B14" s="2" t="s">
        <v>59</v>
      </c>
      <c r="C14" s="10" t="str">
        <f>IF($C$9="NO","NO SE EXIGE",IF(OR($C$10="SÍ",$C$34="SÍ"),"OBLIGATORIO","NO SE EXIGE"))</f>
        <v>NO SE EXIGE</v>
      </c>
      <c r="D14" s="6" t="s">
        <v>43</v>
      </c>
      <c r="E14" s="3" t="s">
        <v>60</v>
      </c>
      <c r="F14" s="4" t="s">
        <v>61</v>
      </c>
    </row>
    <row r="15" spans="2:6" ht="6" customHeight="1" x14ac:dyDescent="0.3"/>
    <row r="16" spans="2:6" ht="21" customHeight="1" x14ac:dyDescent="0.3">
      <c r="B16" s="37" t="s">
        <v>62</v>
      </c>
      <c r="C16" s="34"/>
      <c r="D16" s="34"/>
      <c r="E16" s="34"/>
      <c r="F16" s="34"/>
    </row>
    <row r="17" spans="2:6" ht="18" customHeight="1" x14ac:dyDescent="0.3">
      <c r="B17" s="35" t="s">
        <v>63</v>
      </c>
      <c r="C17" s="36"/>
      <c r="D17" s="36"/>
      <c r="E17" s="36"/>
      <c r="F17" s="36"/>
    </row>
    <row r="18" spans="2:6" ht="30" customHeight="1" x14ac:dyDescent="0.3"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</row>
    <row r="19" spans="2:6" ht="54" customHeight="1" x14ac:dyDescent="0.3">
      <c r="B19" s="2" t="s">
        <v>64</v>
      </c>
      <c r="C19" s="11">
        <v>1</v>
      </c>
      <c r="D19" s="6" t="s">
        <v>43</v>
      </c>
      <c r="E19" s="3" t="s">
        <v>65</v>
      </c>
      <c r="F19" s="4" t="s">
        <v>66</v>
      </c>
    </row>
    <row r="20" spans="2:6" ht="30" customHeight="1" x14ac:dyDescent="0.3">
      <c r="B20" s="2" t="s">
        <v>67</v>
      </c>
      <c r="C20" s="7">
        <f>INDEX(TABLAS!$D$7:$D$8,MATCH($C$19,TABLAS!$B$7:$B$8,0))</f>
        <v>0.4</v>
      </c>
      <c r="D20" s="6" t="s">
        <v>68</v>
      </c>
      <c r="E20" s="3" t="s">
        <v>69</v>
      </c>
      <c r="F20" s="4" t="s">
        <v>70</v>
      </c>
    </row>
    <row r="21" spans="2:6" ht="54" customHeight="1" x14ac:dyDescent="0.3">
      <c r="B21" s="2" t="s">
        <v>71</v>
      </c>
      <c r="C21" s="5" t="s">
        <v>72</v>
      </c>
      <c r="D21" s="6" t="s">
        <v>43</v>
      </c>
      <c r="E21" s="3" t="s">
        <v>73</v>
      </c>
      <c r="F21" s="4" t="s">
        <v>74</v>
      </c>
    </row>
    <row r="22" spans="2:6" ht="30" customHeight="1" x14ac:dyDescent="0.3">
      <c r="B22" s="2" t="s">
        <v>75</v>
      </c>
      <c r="C22" s="7">
        <f>INDEX(TABLAS!$D$13:$D$16,MATCH($C$21,TABLAS!$B$13:$B$16,0))</f>
        <v>3.0</v>
      </c>
      <c r="D22" s="6" t="s">
        <v>43</v>
      </c>
      <c r="E22" s="3" t="s">
        <v>76</v>
      </c>
      <c r="F22" s="4" t="s">
        <v>77</v>
      </c>
    </row>
    <row r="23" spans="2:6" ht="30" customHeight="1" x14ac:dyDescent="0.3">
      <c r="B23" s="2" t="s">
        <v>78</v>
      </c>
      <c r="C23" s="7">
        <f>INDEX(TABLAS!$E$13:$E$16,MATCH($C$21,TABLAS!$B$13:$B$16,0))</f>
        <v>0.6</v>
      </c>
      <c r="D23" s="6" t="s">
        <v>79</v>
      </c>
      <c r="E23" s="3" t="s">
        <v>80</v>
      </c>
      <c r="F23" s="4" t="s">
        <v>77</v>
      </c>
    </row>
    <row r="24" spans="2:6" ht="78" customHeight="1" x14ac:dyDescent="0.3">
      <c r="B24" s="2" t="s">
        <v>81</v>
      </c>
      <c r="C24" s="5" t="s">
        <v>82</v>
      </c>
      <c r="D24" s="6" t="s">
        <v>43</v>
      </c>
      <c r="E24" s="3" t="s">
        <v>83</v>
      </c>
      <c r="F24" s="4" t="s">
        <v>84</v>
      </c>
    </row>
    <row r="25" spans="2:6" ht="30" customHeight="1" x14ac:dyDescent="0.3">
      <c r="B25" s="2" t="s">
        <v>85</v>
      </c>
      <c r="C25" s="12">
        <f>INDEX(TABLAS!$D$21:$D$23,MATCH($C$24,TABLAS!$B$21:$B$23,0))</f>
        <v>1.2</v>
      </c>
      <c r="D25" s="6" t="s">
        <v>43</v>
      </c>
      <c r="E25" s="3" t="s">
        <v>86</v>
      </c>
      <c r="F25" s="4" t="s">
        <v>87</v>
      </c>
    </row>
    <row r="26" spans="2:6" ht="30" customHeight="1" x14ac:dyDescent="0.3">
      <c r="B26" s="2" t="s">
        <v>88</v>
      </c>
      <c r="C26" s="13">
        <f>$C$25*$C$20*$C$22</f>
        <v>1.44</v>
      </c>
      <c r="D26" s="6" t="s">
        <v>68</v>
      </c>
      <c r="E26" s="3" t="s">
        <v>89</v>
      </c>
      <c r="F26" s="4" t="s">
        <v>90</v>
      </c>
    </row>
    <row r="27" spans="2:6" ht="6" customHeight="1" x14ac:dyDescent="0.3"/>
    <row r="28" spans="2:6" ht="21" customHeight="1" x14ac:dyDescent="0.3">
      <c r="B28" s="37" t="s">
        <v>91</v>
      </c>
      <c r="C28" s="34"/>
      <c r="D28" s="34"/>
      <c r="E28" s="34"/>
      <c r="F28" s="34"/>
    </row>
    <row r="29" spans="2:6" ht="30" customHeight="1" x14ac:dyDescent="0.3">
      <c r="B29" s="35" t="s">
        <v>92</v>
      </c>
      <c r="C29" s="36"/>
      <c r="D29" s="36"/>
      <c r="E29" s="36"/>
      <c r="F29" s="36"/>
    </row>
    <row r="30" spans="2:6" ht="30" customHeight="1" x14ac:dyDescent="0.3">
      <c r="B30" s="1" t="s">
        <v>28</v>
      </c>
      <c r="C30" s="1" t="s">
        <v>29</v>
      </c>
      <c r="D30" s="1" t="s">
        <v>30</v>
      </c>
      <c r="E30" s="1" t="s">
        <v>31</v>
      </c>
      <c r="F30" s="1" t="s">
        <v>32</v>
      </c>
    </row>
    <row r="31" spans="2:6" ht="30" customHeight="1" x14ac:dyDescent="0.3">
      <c r="B31" s="2" t="s">
        <v>93</v>
      </c>
      <c r="C31" s="7">
        <f>TABLAS!$D$101</f>
        <v>2.21</v>
      </c>
      <c r="D31" s="6" t="s">
        <v>68</v>
      </c>
      <c r="E31" s="3" t="s">
        <v>94</v>
      </c>
      <c r="F31" s="4" t="s">
        <v>95</v>
      </c>
    </row>
    <row r="32" spans="2:6" ht="30" customHeight="1" x14ac:dyDescent="0.3">
      <c r="B32" s="2" t="s">
        <v>96</v>
      </c>
      <c r="C32" s="7">
        <f>TABLAS!$D$102</f>
        <v>0.62</v>
      </c>
      <c r="D32" s="6" t="s">
        <v>68</v>
      </c>
      <c r="E32" s="3" t="s">
        <v>97</v>
      </c>
      <c r="F32" s="4" t="s">
        <v>95</v>
      </c>
    </row>
    <row r="33" spans="2:6" ht="54" customHeight="1" x14ac:dyDescent="0.3">
      <c r="B33" s="2" t="s">
        <v>98</v>
      </c>
      <c r="C33" s="11">
        <v>250</v>
      </c>
      <c r="D33" s="6" t="s">
        <v>99</v>
      </c>
      <c r="E33" s="3" t="s">
        <v>100</v>
      </c>
      <c r="F33" s="4" t="s">
        <v>101</v>
      </c>
    </row>
    <row r="34" spans="2:6" ht="42" customHeight="1" x14ac:dyDescent="0.3">
      <c r="B34" s="2" t="s">
        <v>102</v>
      </c>
      <c r="C34" s="5" t="s">
        <v>42</v>
      </c>
      <c r="D34" s="6" t="s">
        <v>43</v>
      </c>
      <c r="E34" s="3" t="s">
        <v>103</v>
      </c>
      <c r="F34" s="4" t="s">
        <v>104</v>
      </c>
    </row>
    <row r="35" spans="2:6" ht="42" customHeight="1" x14ac:dyDescent="0.3">
      <c r="B35" s="2" t="s">
        <v>105</v>
      </c>
      <c r="C35" s="10" t="str">
        <f>IF($C$34="SÍ","F",IF($C$33&gt;1500,"A",IF($C$33&gt;=760,"B",IF($C$33&gt;=360,"C",IF($C$33&gt;=180,"D","E")))))</f>
        <v>D</v>
      </c>
      <c r="D35" s="6" t="s">
        <v>43</v>
      </c>
      <c r="E35" s="3" t="s">
        <v>106</v>
      </c>
      <c r="F35" s="4" t="s">
        <v>107</v>
      </c>
    </row>
    <row r="36" spans="2:6" ht="30" customHeight="1" x14ac:dyDescent="0.3">
      <c r="B36" s="2" t="s">
        <v>108</v>
      </c>
      <c r="C36" s="7">
        <f>INDEX(TABLAS!$D$91:$D$96,MATCH($C$35,TABLAS!$B$91:$B$96,0))</f>
        <v>1.16</v>
      </c>
      <c r="D36" s="6" t="s">
        <v>43</v>
      </c>
      <c r="E36" s="3" t="s">
        <v>109</v>
      </c>
      <c r="F36" s="4" t="s">
        <v>110</v>
      </c>
    </row>
    <row r="37" spans="2:6" ht="30" customHeight="1" x14ac:dyDescent="0.3">
      <c r="B37" s="2" t="s">
        <v>111</v>
      </c>
      <c r="C37" s="7">
        <f>INDEX(TABLAS!$E$91:$E$96,MATCH($C$35,TABLAS!$B$91:$B$96,0))</f>
        <v>3.25</v>
      </c>
      <c r="D37" s="6" t="s">
        <v>43</v>
      </c>
      <c r="E37" s="3" t="s">
        <v>112</v>
      </c>
      <c r="F37" s="4" t="s">
        <v>113</v>
      </c>
    </row>
    <row r="38" spans="2:6" ht="30" customHeight="1" x14ac:dyDescent="0.3">
      <c r="B38" s="2" t="s">
        <v>114</v>
      </c>
      <c r="C38" s="13">
        <f>$C$36*$C$31</f>
        <v>2.5635999999999997</v>
      </c>
      <c r="D38" s="6" t="s">
        <v>68</v>
      </c>
      <c r="E38" s="3" t="s">
        <v>115</v>
      </c>
      <c r="F38" s="4" t="s">
        <v>116</v>
      </c>
    </row>
    <row r="39" spans="2:6" ht="30" customHeight="1" x14ac:dyDescent="0.3">
      <c r="B39" s="2" t="s">
        <v>117</v>
      </c>
      <c r="C39" s="13">
        <f>$C$37*$C$32</f>
        <v>2.015</v>
      </c>
      <c r="D39" s="6" t="s">
        <v>68</v>
      </c>
      <c r="E39" s="3" t="s">
        <v>118</v>
      </c>
      <c r="F39" s="4" t="s">
        <v>119</v>
      </c>
    </row>
    <row r="40" spans="2:6" ht="30" customHeight="1" x14ac:dyDescent="0.3">
      <c r="B40" s="2" t="s">
        <v>120</v>
      </c>
      <c r="C40" s="13">
        <f>2/3*$C$38</f>
        <v>1.7090666666666663</v>
      </c>
      <c r="D40" s="6" t="s">
        <v>68</v>
      </c>
      <c r="E40" s="3" t="s">
        <v>121</v>
      </c>
      <c r="F40" s="4" t="s">
        <v>122</v>
      </c>
    </row>
    <row r="41" spans="2:6" ht="30" customHeight="1" x14ac:dyDescent="0.3">
      <c r="B41" s="2" t="s">
        <v>123</v>
      </c>
      <c r="C41" s="13">
        <f>2/3*$C$39</f>
        <v>1.3433333333333333</v>
      </c>
      <c r="D41" s="6" t="s">
        <v>68</v>
      </c>
      <c r="E41" s="3" t="s">
        <v>124</v>
      </c>
      <c r="F41" s="4" t="s">
        <v>125</v>
      </c>
    </row>
    <row r="42" spans="2:6" ht="30" customHeight="1" x14ac:dyDescent="0.3">
      <c r="B42" s="2" t="s">
        <v>126</v>
      </c>
      <c r="C42" s="13">
        <f>0.2*$C$41/$C$40</f>
        <v>0.15720081135902642</v>
      </c>
      <c r="D42" s="6" t="s">
        <v>79</v>
      </c>
      <c r="E42" s="3" t="s">
        <v>127</v>
      </c>
      <c r="F42" s="4" t="s">
        <v>128</v>
      </c>
    </row>
    <row r="43" spans="2:6" ht="30" customHeight="1" x14ac:dyDescent="0.3">
      <c r="B43" s="2" t="s">
        <v>129</v>
      </c>
      <c r="C43" s="13">
        <f>$C$41/$C$40</f>
        <v>0.786004056795132</v>
      </c>
      <c r="D43" s="6" t="s">
        <v>79</v>
      </c>
      <c r="E43" s="3" t="s">
        <v>130</v>
      </c>
      <c r="F43" s="4" t="s">
        <v>128</v>
      </c>
    </row>
    <row r="44" spans="2:6" ht="54" customHeight="1" x14ac:dyDescent="0.3">
      <c r="B44" s="2" t="s">
        <v>131</v>
      </c>
      <c r="C44" s="14">
        <v>8</v>
      </c>
      <c r="D44" s="6" t="s">
        <v>79</v>
      </c>
      <c r="E44" s="3" t="s">
        <v>132</v>
      </c>
      <c r="F44" s="4" t="s">
        <v>133</v>
      </c>
    </row>
    <row r="45" spans="2:6" ht="54" customHeight="1" x14ac:dyDescent="0.3">
      <c r="B45" s="2" t="s">
        <v>134</v>
      </c>
      <c r="C45" s="5" t="s">
        <v>82</v>
      </c>
      <c r="D45" s="6" t="s">
        <v>43</v>
      </c>
      <c r="E45" s="3" t="s">
        <v>135</v>
      </c>
      <c r="F45" s="4" t="s">
        <v>136</v>
      </c>
    </row>
    <row r="46" spans="2:6" ht="30" customHeight="1" x14ac:dyDescent="0.3">
      <c r="B46" s="2" t="s">
        <v>137</v>
      </c>
      <c r="C46" s="7">
        <f>INDEX(TABLAS!$D$107:$D$110,MATCH($C$45,TABLAS!$B$107:$B$110,0))</f>
        <v>1.0</v>
      </c>
      <c r="D46" s="6" t="s">
        <v>43</v>
      </c>
      <c r="E46" s="3" t="s">
        <v>138</v>
      </c>
      <c r="F46" s="4" t="s">
        <v>139</v>
      </c>
    </row>
    <row r="47" spans="2:6" ht="31.5" customHeight="1" x14ac:dyDescent="0.3">
      <c r="B47" s="2" t="s">
        <v>140</v>
      </c>
      <c r="C47" s="10" t="str">
        <f>MID("ABCDEF",IF($C$32&gt;=0.75,IF($C$45="IV",6,5),MAX(IF($C$40&lt;0.167,1,IF($C$40&lt;0.33,IF($C$45="IV",3,2),IF($C$40&lt;0.5,IF($C$45="IV",4,3),4))),IF($C$41&lt;0.067,1,IF($C$41&lt;0.133,IF($C$45="IV",3,2),IF($C$41&lt;0.2,IF($C$45="IV",4,3),4))))),1)</f>
        <v>D</v>
      </c>
      <c r="D47" s="6" t="s">
        <v>43</v>
      </c>
      <c r="E47" s="3" t="s">
        <v>141</v>
      </c>
      <c r="F47" s="4" t="s">
        <v>142</v>
      </c>
    </row>
    <row r="48" spans="2:6" ht="42" customHeight="1" x14ac:dyDescent="0.3">
      <c r="B48" s="2" t="s">
        <v>143</v>
      </c>
      <c r="C48" s="5" t="s">
        <v>144</v>
      </c>
      <c r="D48" s="6" t="s">
        <v>43</v>
      </c>
      <c r="E48" s="3" t="s">
        <v>145</v>
      </c>
      <c r="F48" s="4" t="s">
        <v>146</v>
      </c>
    </row>
    <row r="49" spans="2:6" ht="6" customHeight="1" x14ac:dyDescent="0.3"/>
    <row r="50" spans="2:6" ht="21" customHeight="1" x14ac:dyDescent="0.3">
      <c r="B50" s="37" t="s">
        <v>147</v>
      </c>
      <c r="C50" s="34"/>
      <c r="D50" s="34"/>
      <c r="E50" s="34"/>
      <c r="F50" s="34"/>
    </row>
    <row r="51" spans="2:6" ht="30" customHeight="1" x14ac:dyDescent="0.3">
      <c r="B51" s="35" t="s">
        <v>148</v>
      </c>
      <c r="C51" s="36"/>
      <c r="D51" s="36"/>
      <c r="E51" s="36"/>
      <c r="F51" s="36"/>
    </row>
    <row r="52" spans="2:6" ht="30" customHeight="1" x14ac:dyDescent="0.3">
      <c r="B52" s="1" t="s">
        <v>28</v>
      </c>
      <c r="C52" s="1" t="s">
        <v>29</v>
      </c>
      <c r="D52" s="1" t="s">
        <v>30</v>
      </c>
      <c r="E52" s="1" t="s">
        <v>31</v>
      </c>
      <c r="F52" s="1" t="s">
        <v>32</v>
      </c>
    </row>
    <row r="53" spans="2:6" ht="31.5" customHeight="1" x14ac:dyDescent="0.3">
      <c r="B53" s="2" t="s">
        <v>149</v>
      </c>
      <c r="C53" s="5" t="s">
        <v>150</v>
      </c>
      <c r="D53" s="6" t="s">
        <v>43</v>
      </c>
      <c r="E53" s="3" t="inlineStr">
        <is>
          <t xml:space="preserve">SELECTOR. Del modelo 001_NOSE_DOCK_H5_H6_R3.8.STD: marcos de los ejes 1, 2 y 3 con columnas HSS 8×8×3/16 (ejes 1 y 3) y HSS 10×10×1/4 (eje 2) y vigas de marco MCE12-14 sin liberaciones (conexión rígida).</t>
        </is>
      </c>
      <c r="F53" s="4" t="s">
        <v>151</v>
      </c>
    </row>
    <row r="54" spans="2:6" ht="45" customHeight="1" x14ac:dyDescent="0.3">
      <c r="B54" s="2" t="s">
        <v>152</v>
      </c>
      <c r="C54" s="5" t="s">
        <v>150</v>
      </c>
      <c r="D54" s="6" t="s">
        <v>43</v>
      </c>
      <c r="E54" s="3" t="s">
        <v>874</v>
      </c>
      <c r="F54" s="4" t="s">
        <v>151</v>
      </c>
    </row>
    <row r="55" spans="2:6" ht="42" customHeight="1" x14ac:dyDescent="0.3">
      <c r="B55" s="2" t="s">
        <v>153</v>
      </c>
      <c r="C55" s="15">
        <v>10.015000000000001</v>
      </c>
      <c r="D55" s="6" t="s">
        <v>154</v>
      </c>
      <c r="E55" s="3" t="s">
        <v>875</v>
      </c>
      <c r="F55" s="4" t="s">
        <v>155</v>
      </c>
    </row>
    <row r="56" spans="2:6" ht="42" customHeight="1" x14ac:dyDescent="0.3">
      <c r="B56" s="2" t="s">
        <v>156</v>
      </c>
      <c r="C56" s="11">
        <v>1</v>
      </c>
      <c r="D56" s="6" t="s">
        <v>43</v>
      </c>
      <c r="E56" s="3" t="s">
        <v>157</v>
      </c>
      <c r="F56" s="4" t="s">
        <v>158</v>
      </c>
    </row>
    <row r="57" spans="2:6" ht="42" customHeight="1" x14ac:dyDescent="0.3">
      <c r="B57" s="2" t="s">
        <v>159</v>
      </c>
      <c r="C57" s="5" t="s">
        <v>144</v>
      </c>
      <c r="D57" s="6" t="s">
        <v>43</v>
      </c>
      <c r="E57" s="3" t="s">
        <v>160</v>
      </c>
      <c r="F57" s="4" t="s">
        <v>161</v>
      </c>
    </row>
    <row r="58" spans="2:6" ht="42" customHeight="1" x14ac:dyDescent="0.3">
      <c r="B58" s="2" t="s">
        <v>162</v>
      </c>
      <c r="C58" s="16">
        <v>0.465</v>
      </c>
      <c r="D58" s="6" t="s">
        <v>79</v>
      </c>
      <c r="E58" s="3" t="inlineStr">
        <is>
          <t xml:space="preserve">ESTIMADO R3.8 (recaptura del .anl R3.8): con las secciones nuevas el modo 1, T ≈ 0.465 s, pasa a ser el de más masa en X (R3.7: modo 3, T = 0.356 s). Como T &lt; To no cambia el cortante.</t>
        </is>
      </c>
      <c r="F58" s="4" t="s">
        <v>164</v>
      </c>
    </row>
    <row r="59" spans="2:6" ht="30" customHeight="1" x14ac:dyDescent="0.3">
      <c r="B59" s="2" t="s">
        <v>165</v>
      </c>
      <c r="C59" s="16">
        <v>0.137</v>
      </c>
      <c r="D59" s="6" t="s">
        <v>79</v>
      </c>
      <c r="E59" s="3" t="inlineStr">
        <is>
          <t xml:space="preserve">ESTIMADO R3.8 (recaptura del .anl R3.8): modo con más masa en Z, T ≈ 0.137 s (R3.7: modo 13, T = 0.113 s).</t>
        </is>
      </c>
      <c r="F59" s="4" t="s">
        <v>164</v>
      </c>
    </row>
    <row r="60" spans="2:6" ht="57.6" customHeight="1" x14ac:dyDescent="0.3">
      <c r="B60" s="2" t="s">
        <v>167</v>
      </c>
      <c r="C60" s="15">
        <v>13.598</v>
      </c>
      <c r="D60" s="6" t="s">
        <v>168</v>
      </c>
      <c r="E60" s="3" t="inlineStr">
        <is>
          <t xml:space="preserve">ESTIMADO R3.8 = 15,841.91 kg (.anl R3.7) × 13,556 / 15,793 (modelo de revisión con las secciones nuevas: columnas, contravientos, VM y largueros de 6 m). RECAPTURA el DYNAMIC WEIGHT del .anl R3.8.</t>
        </is>
      </c>
      <c r="F60" s="4" t="s">
        <v>169</v>
      </c>
    </row>
    <row r="61" spans="2:6" ht="64.2" customHeight="1" x14ac:dyDescent="0.3">
      <c r="B61" s="2" t="s">
        <v>170</v>
      </c>
      <c r="C61" s="15">
        <v>13.598</v>
      </c>
      <c r="D61" s="6" t="s">
        <v>168</v>
      </c>
      <c r="E61" s="3" t="inlineStr">
        <is>
          <t xml:space="preserve">Igual que la NTDS (ESTIMADO R3.8; recaptura del .anl R3.8).</t>
        </is>
      </c>
      <c r="F61" s="4" t="s">
        <v>171</v>
      </c>
    </row>
    <row r="62" spans="2:6" ht="45" customHeight="1" x14ac:dyDescent="0.3">
      <c r="B62" s="8" t="s">
        <v>172</v>
      </c>
      <c r="C62" s="41" t="str">
        <f>IF($C$55&lt;=0,"FALTA h_n",IF(OR($C$60&lt;=0,$C$61&lt;=0),"FALTA W",IF(AND($C$9="SÍ",$C$35="F"),"OJO: clase F, manda el estudio de sitio",IF(OR(LEFT(COEFICIENTE!$C$15,2)="NO",LEFT(COEFICIENTE!$D$15,2)="NO"),"OJO: h_n pasa el límite de la Tabla 7",IF(AND($C$9="SÍ",OR(LEFT(COEFICIENTE!$C$40,2)="NO",LEFT(COEFICIENTE!$D$40,2)="NO")),"OJO: sistema ASCE no permitido en SDC D","SÍ — datos completos; sigue en COEFICIENTE")))))</f>
        <v>SÍ — datos completos; sigue en COEFICIENTE</v>
      </c>
      <c r="D62" s="36"/>
      <c r="E62" s="3" t="s">
        <v>173</v>
      </c>
      <c r="F62" s="4" t="s">
        <v>174</v>
      </c>
    </row>
  </sheetData>
  <mergeCells count="13">
    <mergeCell ref="B1:F1"/>
    <mergeCell ref="B50:F50"/>
    <mergeCell ref="B17:F17"/>
    <mergeCell ref="C8:D8"/>
    <mergeCell ref="B4:F4"/>
    <mergeCell ref="B29:F29"/>
    <mergeCell ref="C7:D7"/>
    <mergeCell ref="C62:D62"/>
    <mergeCell ref="B2:F2"/>
    <mergeCell ref="B16:F16"/>
    <mergeCell ref="B28:F28"/>
    <mergeCell ref="B5:F5"/>
    <mergeCell ref="B51:F51"/>
  </mergeCells>
  <conditionalFormatting sqref="C14">
    <cfRule type="expression" dxfId="21" priority="8">
      <formula>$C$14="OBLIGATORIO"</formula>
    </cfRule>
  </conditionalFormatting>
  <conditionalFormatting sqref="C33:C34">
    <cfRule type="expression" dxfId="20" priority="5">
      <formula>$C$9="NO"</formula>
    </cfRule>
  </conditionalFormatting>
  <conditionalFormatting sqref="C35">
    <cfRule type="expression" dxfId="19" priority="9">
      <formula>$C$35="F"</formula>
    </cfRule>
  </conditionalFormatting>
  <conditionalFormatting sqref="C44:C45">
    <cfRule type="expression" dxfId="18" priority="6">
      <formula>$C$9="NO"</formula>
    </cfRule>
  </conditionalFormatting>
  <conditionalFormatting sqref="C48">
    <cfRule type="expression" dxfId="17" priority="7">
      <formula>$C$9="NO"</formula>
    </cfRule>
  </conditionalFormatting>
  <conditionalFormatting sqref="C62:D62">
    <cfRule type="expression" dxfId="16" priority="2">
      <formula>LEFT($C$62,5)="FALTA"</formula>
    </cfRule>
    <cfRule type="expression" dxfId="15" priority="3">
      <formula>LEFT($C$62,3)="OJO"</formula>
    </cfRule>
    <cfRule type="expression" dxfId="14" priority="4">
      <formula>LEFT($C$62,2)="SÍ"</formula>
    </cfRule>
  </conditionalFormatting>
  <dataValidations disablePrompts="1" count="6">
    <dataValidation type="list" allowBlank="1" showErrorMessage="1" errorTitle="Valor no válido" error="Elige un valor de la lista." sqref="C9:C10 C34 C48 C57" xr:uid="{00000000-0002-0000-0000-000000000000}">
      <formula1>"SÍ,NO"</formula1>
      <formula2>0</formula2>
    </dataValidation>
    <dataValidation type="list" allowBlank="1" showErrorMessage="1" errorTitle="Valor no válido" error="Elige un valor de la lista." sqref="C11" xr:uid="{00000000-0002-0000-0000-000001000000}">
      <formula1>"FACTORIZADA,DIRECTA"</formula1>
      <formula2>0</formula2>
    </dataValidation>
    <dataValidation type="list" allowBlank="1" showErrorMessage="1" errorTitle="Valor no válido" error="Elige un valor de la lista." sqref="C19" xr:uid="{00000000-0002-0000-0000-000002000000}">
      <formula1>"1,2"</formula1>
      <formula2>0</formula2>
    </dataValidation>
    <dataValidation type="list" allowBlank="1" showErrorMessage="1" errorTitle="Valor no válido" error="Elige un valor de la lista." sqref="C21" xr:uid="{00000000-0002-0000-0000-000003000000}">
      <formula1>"S1,S2,S3,S4"</formula1>
      <formula2>0</formula2>
    </dataValidation>
    <dataValidation type="list" allowBlank="1" showErrorMessage="1" errorTitle="Valor no válido" error="Elige un valor de la lista." sqref="C24" xr:uid="{00000000-0002-0000-0000-000004000000}">
      <formula1>"I,II,III"</formula1>
      <formula2>0</formula2>
    </dataValidation>
    <dataValidation type="list" allowBlank="1" showErrorMessage="1" errorTitle="Valor no válido" error="Elige un valor de la lista." sqref="C45" xr:uid="{00000000-0002-0000-0000-000005000000}">
      <formula1>"I,II,III,IV"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errorTitle="Valor no válido" error="Elige un valor de la lista." xr:uid="{00000000-0002-0000-0000-000006000000}">
          <x14:formula1>
            <xm:f>TABLAS!$C$50:$C$60</xm:f>
          </x14:formula1>
          <x14:formula2>
            <xm:f>0</xm:f>
          </x14:formula2>
          <xm:sqref>C53:C54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7601-409D-4312-BB0E-C31CB855FC3D}">
  <sheetPr>
    <pageSetUpPr fitToPage="1"/>
  </sheetPr>
  <dimension ref="B1:G106"/>
  <sheetViews>
    <sheetView showGridLines="0" tabSelected="1" topLeftCell="A70" zoomScaleNormal="100" workbookViewId="0">
      <selection activeCell="C76" sqref="C76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7" customWidth="1"/>
    <col min="5" max="5" width="8" customWidth="1"/>
    <col min="6" max="6" width="50" customWidth="1"/>
    <col min="7" max="7" width="40" customWidth="1"/>
  </cols>
  <sheetData>
    <row r="1" spans="2:7" ht="25.5" customHeight="1" x14ac:dyDescent="0.3">
      <c r="B1" s="38" t="s">
        <v>175</v>
      </c>
      <c r="C1" s="34"/>
      <c r="D1" s="34"/>
      <c r="E1" s="34"/>
      <c r="F1" s="34"/>
      <c r="G1" s="34"/>
    </row>
    <row r="2" spans="2:7" ht="30" customHeight="1" x14ac:dyDescent="0.3">
      <c r="B2" s="33" t="s">
        <v>176</v>
      </c>
      <c r="C2" s="34"/>
      <c r="D2" s="34"/>
      <c r="E2" s="34"/>
      <c r="F2" s="34"/>
      <c r="G2" s="34"/>
    </row>
    <row r="3" spans="2:7" ht="30" customHeight="1" x14ac:dyDescent="0.3">
      <c r="B3" s="40" t="str">
        <f>IF(LEFT(DATOS!$C$62,5)="FALTA","¡ATENCIÓN! Faltan datos en DATOS ("&amp;DATOS!$C$62&amp;").",IF(AND(DATOS!$C$9="SÍ",DATOS!$C$35="F"),"¡ATENCIÓN! Clase F: manda el estudio de respuesta sísmica local; el espectro ASCE usa F_a y F_v de la clase E sólo como referencia.",IF(DATOS!$C$14="OBLIGATORIO","¡ATENCIÓN! La guía de OPAMSS exige estudio de respuesta sísmica local para este caso.",IF(OR(LEFT($C$15,2)="NO",LEFT($D$15,2)="NO"),"¡ATENCIÓN! h_n pasa la altura límite de la Tabla 7 para el sistema elegido.",IF(OR(LEFT($C$26,2)="NO",LEFT($D$26,2)="NO"),"¡ATENCIÓN! El método estático no procede: usa el espectro (hoja STAAD).",IF(AND(DATOS!$C$9="SÍ",OR(LEFT($C$40,2)="NO",LEFT($D$40,2)="NO")),"¡ATENCIÓN! El sistema ASCE no está permitido en SDC D a esa altura.",IF(AND(DATOS!$C$9="SÍ",OR(LEFT($C$63,9)="NO CUMPLE",LEFT($D$63,9)="NO CUMPLE")),"¡ATENCIÓN! ASCE queda abajo de la NTDS: calibra con el factor de la sección C.","Sin alertas: datos completos y sistemas dentro de sus límites.")))))))</f>
        <v>Sin alertas: datos completos y sistemas dentro de sus límites.</v>
      </c>
      <c r="C3" s="34"/>
      <c r="D3" s="34"/>
      <c r="E3" s="34"/>
      <c r="F3" s="34"/>
      <c r="G3" s="34"/>
    </row>
    <row r="4" spans="2:7" ht="30" customHeight="1" x14ac:dyDescent="0.3">
      <c r="B4" s="39" t="s">
        <v>177</v>
      </c>
      <c r="C4" s="36"/>
      <c r="D4" s="36"/>
      <c r="E4" s="36"/>
      <c r="F4" s="36"/>
      <c r="G4" s="36"/>
    </row>
    <row r="5" spans="2:7" ht="6" customHeight="1" x14ac:dyDescent="0.3"/>
    <row r="6" spans="2:7" ht="21" customHeight="1" x14ac:dyDescent="0.3">
      <c r="B6" s="37" t="s">
        <v>178</v>
      </c>
      <c r="C6" s="34"/>
      <c r="D6" s="34"/>
      <c r="E6" s="34"/>
      <c r="F6" s="34"/>
      <c r="G6" s="34"/>
    </row>
    <row r="7" spans="2:7" ht="18" customHeight="1" x14ac:dyDescent="0.3">
      <c r="B7" s="35" t="s">
        <v>179</v>
      </c>
      <c r="C7" s="36"/>
      <c r="D7" s="36"/>
      <c r="E7" s="36"/>
      <c r="F7" s="36"/>
      <c r="G7" s="36"/>
    </row>
    <row r="8" spans="2:7" ht="30" customHeight="1" x14ac:dyDescent="0.3">
      <c r="B8" s="1" t="s">
        <v>28</v>
      </c>
      <c r="C8" s="1" t="s">
        <v>180</v>
      </c>
      <c r="D8" s="1" t="s">
        <v>181</v>
      </c>
      <c r="E8" s="1" t="s">
        <v>30</v>
      </c>
      <c r="F8" s="1" t="s">
        <v>31</v>
      </c>
      <c r="G8" s="1" t="s">
        <v>32</v>
      </c>
    </row>
    <row r="9" spans="2:7" ht="30" customHeight="1" x14ac:dyDescent="0.3">
      <c r="B9" s="8" t="s">
        <v>182</v>
      </c>
      <c r="C9" s="17" t="str">
        <f>DATOS!$C$53</f>
        <v>MARCO RÍGIDO ORDINARIO</v>
      </c>
      <c r="D9" s="17" t="str">
        <f>DATOS!$C$54</f>
        <v>MARCO RÍGIDO ORDINARIO</v>
      </c>
      <c r="E9" s="6" t="s">
        <v>43</v>
      </c>
      <c r="F9" s="3" t="s">
        <v>183</v>
      </c>
      <c r="G9" s="4" t="s">
        <v>184</v>
      </c>
    </row>
    <row r="10" spans="2:7" ht="30" customHeight="1" x14ac:dyDescent="0.3">
      <c r="B10" s="2" t="s">
        <v>185</v>
      </c>
      <c r="C10" s="10" t="str">
        <f>INDEX(TABLAS!$D$50:$D$60,MATCH(DATOS!$C$53,TABLAS!$C$50:$C$60,0))</f>
        <v>A3</v>
      </c>
      <c r="D10" s="10" t="str">
        <f>INDEX(TABLAS!$D$50:$D$60,MATCH(DATOS!$C$54,TABLAS!$C$50:$C$60,0))</f>
        <v>A3</v>
      </c>
      <c r="E10" s="6" t="s">
        <v>43</v>
      </c>
      <c r="F10" s="3" t="s">
        <v>186</v>
      </c>
      <c r="G10" s="4" t="s">
        <v>187</v>
      </c>
    </row>
    <row r="11" spans="2:7" ht="54" customHeight="1" x14ac:dyDescent="0.3">
      <c r="B11" s="2" t="s">
        <v>188</v>
      </c>
      <c r="C11" s="10" t="str">
        <f>INDEX(TABLAS!$C$28:$C$45,MATCH($C$10,TABLAS!$B$28:$B$45,0))</f>
        <v>Sistema A — marcos de acero con detallado ordinario</v>
      </c>
      <c r="D11" s="10" t="str">
        <f>INDEX(TABLAS!$C$28:$C$45,MATCH($D$10,TABLAS!$B$28:$B$45,0))</f>
        <v>Sistema A — marcos de acero con detallado ordinario</v>
      </c>
      <c r="E11" s="6" t="s">
        <v>43</v>
      </c>
      <c r="F11" s="3" t="s">
        <v>189</v>
      </c>
      <c r="G11" s="4" t="s">
        <v>190</v>
      </c>
    </row>
    <row r="12" spans="2:7" ht="30" customHeight="1" x14ac:dyDescent="0.3">
      <c r="B12" s="8" t="s">
        <v>191</v>
      </c>
      <c r="C12" s="18">
        <f>INDEX(TABLAS!$E$28:$E$45,MATCH($C$10,TABLAS!$B$28:$B$45,0))</f>
        <v>7.0</v>
      </c>
      <c r="D12" s="18">
        <f>INDEX(TABLAS!$E$28:$E$45,MATCH($D$10,TABLAS!$B$28:$B$45,0))</f>
        <v>7.0</v>
      </c>
      <c r="E12" s="6" t="s">
        <v>43</v>
      </c>
      <c r="F12" s="3" t="s">
        <v>192</v>
      </c>
      <c r="G12" s="4" t="s">
        <v>193</v>
      </c>
    </row>
    <row r="13" spans="2:7" ht="30" customHeight="1" x14ac:dyDescent="0.3">
      <c r="B13" s="2" t="s">
        <v>194</v>
      </c>
      <c r="C13" s="12">
        <f>INDEX(TABLAS!$D$28:$D$45,MATCH($C$10,TABLAS!$B$28:$B$45,0))</f>
        <v>6.0</v>
      </c>
      <c r="D13" s="12">
        <f>INDEX(TABLAS!$D$28:$D$45,MATCH($D$10,TABLAS!$B$28:$B$45,0))</f>
        <v>6.0</v>
      </c>
      <c r="E13" s="6" t="s">
        <v>43</v>
      </c>
      <c r="F13" s="3" t="s">
        <v>195</v>
      </c>
      <c r="G13" s="4" t="s">
        <v>196</v>
      </c>
    </row>
    <row r="14" spans="2:7" ht="30" customHeight="1" x14ac:dyDescent="0.3">
      <c r="B14" s="2" t="s">
        <v>197</v>
      </c>
      <c r="C14" s="10">
        <f>INDEX(TABLAS!$F$28:$F$45,MATCH($C$10,TABLAS!$B$28:$B$45,0))</f>
        <v>30.0</v>
      </c>
      <c r="D14" s="10">
        <f>INDEX(TABLAS!$F$28:$F$45,MATCH($D$10,TABLAS!$B$28:$B$45,0))</f>
        <v>30.0</v>
      </c>
      <c r="E14" s="6" t="s">
        <v>154</v>
      </c>
      <c r="F14" s="3" t="s">
        <v>198</v>
      </c>
      <c r="G14" s="4" t="s">
        <v>193</v>
      </c>
    </row>
    <row r="15" spans="2:7" ht="31.5" customHeight="1" x14ac:dyDescent="0.3">
      <c r="B15" s="8" t="s">
        <v>199</v>
      </c>
      <c r="C15" s="17" t="str">
        <f>IF(ISNUMBER($C$14),IF(DATOS!$C$55&lt;=$C$14,"SÍ","NO — excede "&amp;TEXT($C$14,"0")&amp;" m"),"SÍ — sin límite")</f>
        <v>SÍ</v>
      </c>
      <c r="D15" s="17" t="str">
        <f>IF(ISNUMBER($D$14),IF(DATOS!$C$55&lt;=$D$14,"SÍ","NO — excede "&amp;TEXT($D$14,"0")&amp;" m"),"SÍ — sin límite")</f>
        <v>SÍ</v>
      </c>
      <c r="E15" s="6" t="s">
        <v>43</v>
      </c>
      <c r="F15" s="3" t="s">
        <v>200</v>
      </c>
      <c r="G15" s="4" t="s">
        <v>193</v>
      </c>
    </row>
    <row r="16" spans="2:7" ht="30" customHeight="1" x14ac:dyDescent="0.3">
      <c r="B16" s="2" t="s">
        <v>201</v>
      </c>
      <c r="C16" s="10" t="str">
        <f>INDEX(TABLAS!$F$50:$F$60,MATCH(DATOS!$C$53,TABLAS!$C$50:$C$60,0))</f>
        <v>MARCOS ACERO</v>
      </c>
      <c r="D16" s="10" t="str">
        <f>INDEX(TABLAS!$F$50:$F$60,MATCH(DATOS!$C$54,TABLAS!$C$50:$C$60,0))</f>
        <v>MARCOS ACERO</v>
      </c>
      <c r="E16" s="6" t="s">
        <v>43</v>
      </c>
      <c r="F16" s="3" t="s">
        <v>202</v>
      </c>
      <c r="G16" s="4" t="s">
        <v>203</v>
      </c>
    </row>
    <row r="17" spans="2:7" ht="30" customHeight="1" x14ac:dyDescent="0.3">
      <c r="B17" s="2" t="s">
        <v>204</v>
      </c>
      <c r="C17" s="13">
        <f>INDEX(TABLAS!$D$65:$D$69,MATCH($C$16,TABLAS!$B$65:$B$69,0))</f>
        <v>0.085</v>
      </c>
      <c r="D17" s="13">
        <f>INDEX(TABLAS!$D$65:$D$69,MATCH($D$16,TABLAS!$B$65:$B$69,0))</f>
        <v>0.085</v>
      </c>
      <c r="E17" s="6" t="s">
        <v>43</v>
      </c>
      <c r="F17" s="3" t="s">
        <v>205</v>
      </c>
      <c r="G17" s="4" t="s">
        <v>206</v>
      </c>
    </row>
    <row r="18" spans="2:7" ht="30" customHeight="1" x14ac:dyDescent="0.3">
      <c r="B18" s="2" t="s">
        <v>207</v>
      </c>
      <c r="C18" s="13">
        <f>$C$17*DATOS!$C$55^(3/4)</f>
        <v>0.4785277645409309</v>
      </c>
      <c r="D18" s="13">
        <f>$D$17*DATOS!$C$55^(3/4)</f>
        <v>0.4785277645409309</v>
      </c>
      <c r="E18" s="6" t="s">
        <v>79</v>
      </c>
      <c r="F18" s="3" t="s">
        <v>208</v>
      </c>
      <c r="G18" s="4" t="s">
        <v>209</v>
      </c>
    </row>
    <row r="19" spans="2:7" ht="30" customHeight="1" x14ac:dyDescent="0.3">
      <c r="B19" s="2" t="s">
        <v>210</v>
      </c>
      <c r="C19" s="13">
        <f>IF(DATOS!$C$58&gt;0,DATOS!$C$58,$C$18)</f>
        <v>0.375</v>
      </c>
      <c r="D19" s="13">
        <f>IF(DATOS!$C$59&gt;0,DATOS!$C$59,$D$18)</f>
        <v>0.12</v>
      </c>
      <c r="E19" s="6" t="s">
        <v>79</v>
      </c>
      <c r="F19" s="3" t="s">
        <v>211</v>
      </c>
      <c r="G19" s="4" t="s">
        <v>212</v>
      </c>
    </row>
    <row r="20" spans="2:7" ht="30" customHeight="1" x14ac:dyDescent="0.3">
      <c r="B20" s="2" t="s">
        <v>213</v>
      </c>
      <c r="C20" s="13">
        <f>MIN(MAX($C$19,DATOS!$C$23),6*DATOS!$C$23)</f>
        <v>0.6</v>
      </c>
      <c r="D20" s="13">
        <f>MIN(MAX($D$19,DATOS!$C$23),6*DATOS!$C$23)</f>
        <v>0.6</v>
      </c>
      <c r="E20" s="6" t="s">
        <v>79</v>
      </c>
      <c r="F20" s="3" t="s">
        <v>214</v>
      </c>
      <c r="G20" s="4" t="s">
        <v>215</v>
      </c>
    </row>
    <row r="21" spans="2:7" ht="30" customHeight="1" x14ac:dyDescent="0.3">
      <c r="B21" s="2" t="s">
        <v>216</v>
      </c>
      <c r="C21" s="19">
        <f>DATOS!$C$20*DATOS!$C$25*DATOS!$C$22/$C$12*(DATOS!$C$23/$C$20)^(2/3)</f>
        <v>0.2057142857142857</v>
      </c>
      <c r="D21" s="19">
        <f>DATOS!$C$20*DATOS!$C$25*DATOS!$C$22/$D$12*(DATOS!$C$23/$D$20)^(2/3)</f>
        <v>0.2057142857142857</v>
      </c>
      <c r="E21" s="6" t="s">
        <v>43</v>
      </c>
      <c r="F21" s="3" t="s">
        <v>217</v>
      </c>
      <c r="G21" s="4" t="s">
        <v>218</v>
      </c>
    </row>
    <row r="22" spans="2:7" ht="30" customHeight="1" x14ac:dyDescent="0.3">
      <c r="B22" s="2" t="s">
        <v>219</v>
      </c>
      <c r="C22" s="19">
        <f>DATOS!$C$20*DATOS!$C$25*DATOS!$C$22/$C$12*(DATOS!$C$23/MIN(MAX($C$18,DATOS!$C$23),6*DATOS!$C$23))^(2/3)</f>
        <v>0.2057142857142857</v>
      </c>
      <c r="D22" s="19">
        <f>DATOS!$C$20*DATOS!$C$25*DATOS!$C$22/$D$12*(DATOS!$C$23/MIN(MAX($D$18,DATOS!$C$23),6*DATOS!$C$23))^(2/3)</f>
        <v>0.2057142857142857</v>
      </c>
      <c r="E22" s="6" t="s">
        <v>43</v>
      </c>
      <c r="F22" s="3" t="s">
        <v>220</v>
      </c>
      <c r="G22" s="4" t="s">
        <v>221</v>
      </c>
    </row>
    <row r="23" spans="2:7" ht="30" customHeight="1" x14ac:dyDescent="0.3">
      <c r="B23" s="8" t="s">
        <v>222</v>
      </c>
      <c r="C23" s="20">
        <f>IF(DATOS!$C$58&gt;0,MAX($C$21,0.8*$C$22),$C$22)</f>
        <v>0.2057142857142857</v>
      </c>
      <c r="D23" s="20">
        <f>IF(DATOS!$C$59&gt;0,MAX($D$21,0.8*$D$22),$D$22)</f>
        <v>0.2057142857142857</v>
      </c>
      <c r="E23" s="6" t="s">
        <v>43</v>
      </c>
      <c r="F23" s="3" t="s">
        <v>223</v>
      </c>
      <c r="G23" s="4" t="s">
        <v>224</v>
      </c>
    </row>
    <row r="24" spans="2:7" ht="30" customHeight="1" x14ac:dyDescent="0.3">
      <c r="B24" s="8" t="s">
        <v>225</v>
      </c>
      <c r="C24" s="21">
        <f>$C$23*DATOS!$C$60</f>
        <v>3.5335542857142856</v>
      </c>
      <c r="D24" s="21">
        <f>$D$23*DATOS!$C$60</f>
        <v>3.5335542857142856</v>
      </c>
      <c r="E24" s="6" t="s">
        <v>168</v>
      </c>
      <c r="F24" s="3" t="s">
        <v>226</v>
      </c>
      <c r="G24" s="4" t="s">
        <v>227</v>
      </c>
    </row>
    <row r="25" spans="2:7" ht="30" customHeight="1" x14ac:dyDescent="0.3">
      <c r="B25" s="2" t="s">
        <v>228</v>
      </c>
      <c r="C25" s="13">
        <f>IF($C$19&lt;=0.7,0,MIN(0.07*$C$19,0.25))</f>
        <v>0.0</v>
      </c>
      <c r="D25" s="13">
        <f>IF($D$19&lt;=0.7,0,MIN(0.07*$D$19,0.25))</f>
        <v>0.0</v>
      </c>
      <c r="E25" s="6" t="s">
        <v>43</v>
      </c>
      <c r="F25" s="3" t="s">
        <v>229</v>
      </c>
      <c r="G25" s="4" t="s">
        <v>230</v>
      </c>
    </row>
    <row r="26" spans="2:7" ht="42" customHeight="1" x14ac:dyDescent="0.3">
      <c r="B26" s="8" t="s">
        <v>231</v>
      </c>
      <c r="C26" s="17" t="str">
        <f>IF(DATOS!$C$57="SÍ",IF(AND(DATOS!$C$55&lt;70,NOT(AND(DATOS!$C$21="S4",$C$19&gt;0.7))),"SÍ — regular &lt; 70 m","NO — usar dinámico"),IF(AND(DATOS!$C$56&lt;=5,DATOS!$C$55&lt;=20),"SÍ — irregular chico","NO — usar dinámico"))</f>
        <v>SÍ — regular &lt; 70 m</v>
      </c>
      <c r="D26" s="17" t="str">
        <f>IF(DATOS!$C$57="SÍ",IF(AND(DATOS!$C$55&lt;70,NOT(AND(DATOS!$C$21="S4",$D$19&gt;0.7))),"SÍ — regular &lt; 70 m","NO — usar dinámico"),IF(AND(DATOS!$C$56&lt;=5,DATOS!$C$55&lt;=20),"SÍ — irregular chico","NO — usar dinámico"))</f>
        <v>SÍ — regular &lt; 70 m</v>
      </c>
      <c r="E26" s="6" t="s">
        <v>43</v>
      </c>
      <c r="F26" s="3" t="s">
        <v>232</v>
      </c>
      <c r="G26" s="4" t="s">
        <v>233</v>
      </c>
    </row>
    <row r="27" spans="2:7" ht="42" customHeight="1" x14ac:dyDescent="0.3">
      <c r="B27" s="2" t="s">
        <v>234</v>
      </c>
      <c r="C27" s="19">
        <f>IF(DATOS!$C$57="SÍ",MAX(0.9*$C$23,0.8*$C$22),$C$23)</f>
        <v>0.18514285714285714</v>
      </c>
      <c r="D27" s="19">
        <f>IF(DATOS!$C$57="SÍ",MAX(0.9*$D$23,0.8*$D$22),$D$23)</f>
        <v>0.18514285714285714</v>
      </c>
      <c r="E27" s="6" t="s">
        <v>43</v>
      </c>
      <c r="F27" s="3" t="s">
        <v>235</v>
      </c>
      <c r="G27" s="4" t="s">
        <v>236</v>
      </c>
    </row>
    <row r="28" spans="2:7" ht="31.5" customHeight="1" x14ac:dyDescent="0.3">
      <c r="B28" s="2" t="s">
        <v>237</v>
      </c>
      <c r="C28" s="19">
        <f>$C$23*DATOS!$C$12</f>
        <v>0.29417142857142853</v>
      </c>
      <c r="D28" s="19">
        <f>$D$23*DATOS!$C$12</f>
        <v>0.29417142857142853</v>
      </c>
      <c r="E28" s="6" t="s">
        <v>43</v>
      </c>
      <c r="F28" s="3" t="s">
        <v>238</v>
      </c>
      <c r="G28" s="4" t="s">
        <v>239</v>
      </c>
    </row>
    <row r="29" spans="2:7" ht="6" customHeight="1" x14ac:dyDescent="0.3"/>
    <row r="30" spans="2:7" ht="21" customHeight="1" x14ac:dyDescent="0.3">
      <c r="B30" s="37" t="s">
        <v>240</v>
      </c>
      <c r="C30" s="34"/>
      <c r="D30" s="34"/>
      <c r="E30" s="34"/>
      <c r="F30" s="34"/>
      <c r="G30" s="34"/>
    </row>
    <row r="31" spans="2:7" ht="18" customHeight="1" x14ac:dyDescent="0.3">
      <c r="B31" s="35" t="s">
        <v>241</v>
      </c>
      <c r="C31" s="36"/>
      <c r="D31" s="36"/>
      <c r="E31" s="36"/>
      <c r="F31" s="36"/>
      <c r="G31" s="36"/>
    </row>
    <row r="32" spans="2:7" ht="30" customHeight="1" x14ac:dyDescent="0.3">
      <c r="B32" s="1" t="s">
        <v>28</v>
      </c>
      <c r="C32" s="1" t="s">
        <v>180</v>
      </c>
      <c r="D32" s="1" t="s">
        <v>181</v>
      </c>
      <c r="E32" s="1" t="s">
        <v>30</v>
      </c>
      <c r="F32" s="1" t="s">
        <v>31</v>
      </c>
      <c r="G32" s="1" t="s">
        <v>32</v>
      </c>
    </row>
    <row r="33" spans="2:7" ht="30" customHeight="1" x14ac:dyDescent="0.3">
      <c r="B33" s="2" t="s">
        <v>242</v>
      </c>
      <c r="C33" s="10" t="str">
        <f>INDEX(TABLAS!$E$50:$E$60,MATCH(DATOS!$C$53,TABLAS!$C$50:$C$60,0))</f>
        <v>C4</v>
      </c>
      <c r="D33" s="10" t="str">
        <f>INDEX(TABLAS!$E$50:$E$60,MATCH(DATOS!$C$54,TABLAS!$C$50:$C$60,0))</f>
        <v>C4</v>
      </c>
      <c r="E33" s="6" t="s">
        <v>43</v>
      </c>
      <c r="F33" s="3" t="s">
        <v>186</v>
      </c>
      <c r="G33" s="4" t="s">
        <v>243</v>
      </c>
    </row>
    <row r="34" spans="2:7" ht="42" customHeight="1" x14ac:dyDescent="0.3">
      <c r="B34" s="2" t="s">
        <v>244</v>
      </c>
      <c r="C34" s="10" t="str">
        <f>INDEX(TABLAS!$C$124:$C$144,MATCH($C$33,TABLAS!$B$124:$B$144,0))</f>
        <v>Marcos ordinarios de acero a momento (OMF)</v>
      </c>
      <c r="D34" s="10" t="str">
        <f>INDEX(TABLAS!$C$124:$C$144,MATCH($D$33,TABLAS!$B$124:$B$144,0))</f>
        <v>Marcos ordinarios de acero a momento (OMF)</v>
      </c>
      <c r="E34" s="6" t="s">
        <v>43</v>
      </c>
      <c r="F34" s="3" t="s">
        <v>245</v>
      </c>
      <c r="G34" s="4" t="s">
        <v>246</v>
      </c>
    </row>
    <row r="35" spans="2:7" ht="31.5" customHeight="1" x14ac:dyDescent="0.3">
      <c r="B35" s="8" t="s">
        <v>247</v>
      </c>
      <c r="C35" s="22">
        <f>INDEX(TABLAS!$D$124:$D$144,MATCH($C$33,TABLAS!$B$124:$B$144,0))</f>
        <v>3.5</v>
      </c>
      <c r="D35" s="22">
        <f>INDEX(TABLAS!$D$124:$D$144,MATCH($D$33,TABLAS!$B$124:$B$144,0))</f>
        <v>3.5</v>
      </c>
      <c r="E35" s="6" t="s">
        <v>43</v>
      </c>
      <c r="F35" s="3" t="s">
        <v>248</v>
      </c>
      <c r="G35" s="4" t="s">
        <v>246</v>
      </c>
    </row>
    <row r="36" spans="2:7" ht="30" customHeight="1" x14ac:dyDescent="0.3">
      <c r="B36" s="2" t="s">
        <v>249</v>
      </c>
      <c r="C36" s="7">
        <f>INDEX(TABLAS!$E$124:$E$144,MATCH($C$33,TABLAS!$B$124:$B$144,0))</f>
        <v>3.0</v>
      </c>
      <c r="D36" s="7">
        <f>INDEX(TABLAS!$E$124:$E$144,MATCH($D$33,TABLAS!$B$124:$B$144,0))</f>
        <v>3.0</v>
      </c>
      <c r="E36" s="6" t="s">
        <v>43</v>
      </c>
      <c r="F36" s="3" t="s">
        <v>250</v>
      </c>
      <c r="G36" s="4" t="s">
        <v>251</v>
      </c>
    </row>
    <row r="37" spans="2:7" ht="30" customHeight="1" x14ac:dyDescent="0.3">
      <c r="B37" s="2" t="s">
        <v>194</v>
      </c>
      <c r="C37" s="7">
        <f>INDEX(TABLAS!$F$124:$F$144,MATCH($C$33,TABLAS!$B$124:$B$144,0))</f>
        <v>3.0</v>
      </c>
      <c r="D37" s="7">
        <f>INDEX(TABLAS!$F$124:$F$144,MATCH($D$33,TABLAS!$B$124:$B$144,0))</f>
        <v>3.0</v>
      </c>
      <c r="E37" s="6" t="s">
        <v>43</v>
      </c>
      <c r="F37" s="3" t="s">
        <v>252</v>
      </c>
      <c r="G37" s="4" t="s">
        <v>253</v>
      </c>
    </row>
    <row r="38" spans="2:7" ht="30" customHeight="1" x14ac:dyDescent="0.3">
      <c r="B38" s="2" t="s">
        <v>254</v>
      </c>
      <c r="C38" s="10" t="str">
        <f>INDEX(TABLAS!$G$124:$G$144,MATCH($C$33,TABLAS!$B$124:$B$144,0))</f>
        <v>NP</v>
      </c>
      <c r="D38" s="10" t="str">
        <f>INDEX(TABLAS!$G$124:$G$144,MATCH($D$33,TABLAS!$B$124:$B$144,0))</f>
        <v>NP</v>
      </c>
      <c r="E38" s="6" t="s">
        <v>154</v>
      </c>
      <c r="F38" s="3" t="s">
        <v>255</v>
      </c>
      <c r="G38" s="4" t="s">
        <v>256</v>
      </c>
    </row>
    <row r="39" spans="2:7" ht="42" customHeight="1" x14ac:dyDescent="0.3">
      <c r="B39" s="2" t="s">
        <v>257</v>
      </c>
      <c r="C39" s="10">
        <f>INDEX(TABLAS!$I$124:$I$144,MATCH($C$33,TABLAS!$B$124:$B$144,0))</f>
        <v>20.0</v>
      </c>
      <c r="D39" s="10">
        <f>INDEX(TABLAS!$I$124:$I$144,MATCH($D$33,TABLAS!$B$124:$B$144,0))</f>
        <v>20.0</v>
      </c>
      <c r="E39" s="6" t="s">
        <v>154</v>
      </c>
      <c r="F39" s="3" t="s">
        <v>258</v>
      </c>
      <c r="G39" s="4" t="s">
        <v>259</v>
      </c>
    </row>
    <row r="40" spans="2:7" ht="45" customHeight="1" x14ac:dyDescent="0.3">
      <c r="B40" s="8" t="s">
        <v>260</v>
      </c>
      <c r="C40" s="17" t="str">
        <f>IF($C$38="NL","SÍ — sin límite",IF(AND(ISNUMBER($C$38),DATOS!$C$55&lt;=$C$38),"SÍ",IF(AND(ISNUMBER($C$39),DATOS!$C$56=1,DATOS!$C$55&lt;=$C$39,DATOS!$C$48="SÍ"),"SÍ — excepción de un nivel",IF($C$38="NP","NO — NP en SDC D","NO — excede "&amp;TEXT($C$38,"0.0")&amp;" m"))))</f>
        <v>SÍ — excepción de un nivel</v>
      </c>
      <c r="D40" s="17" t="str">
        <f>IF($D$38="NL","SÍ — sin límite",IF(AND(ISNUMBER($D$38),DATOS!$C$55&lt;=$D$38),"SÍ",IF(AND(ISNUMBER($D$39),DATOS!$C$56=1,DATOS!$C$55&lt;=$D$39,DATOS!$C$48="SÍ"),"SÍ — excepción de un nivel",IF($D$38="NP","NO — NP en SDC D","NO — excede "&amp;TEXT($D$38,"0.0")&amp;" m"))))</f>
        <v>SÍ — excepción de un nivel</v>
      </c>
      <c r="E40" s="6" t="s">
        <v>43</v>
      </c>
      <c r="F40" s="3" t="s">
        <v>261</v>
      </c>
      <c r="G40" s="4" t="s">
        <v>262</v>
      </c>
    </row>
    <row r="41" spans="2:7" ht="30" customHeight="1" x14ac:dyDescent="0.3">
      <c r="B41" s="2" t="s">
        <v>263</v>
      </c>
      <c r="C41" s="19">
        <f>INDEX(TABLAS!$E$65:$E$69,MATCH($C$16,TABLAS!$B$65:$B$69,0))</f>
        <v>0.0724</v>
      </c>
      <c r="D41" s="19">
        <f>INDEX(TABLAS!$E$65:$E$69,MATCH($D$16,TABLAS!$B$65:$B$69,0))</f>
        <v>0.0724</v>
      </c>
      <c r="E41" s="6" t="s">
        <v>43</v>
      </c>
      <c r="F41" s="3" t="s">
        <v>264</v>
      </c>
      <c r="G41" s="4" t="s">
        <v>265</v>
      </c>
    </row>
    <row r="42" spans="2:7" ht="30" customHeight="1" x14ac:dyDescent="0.3">
      <c r="B42" s="2" t="s">
        <v>266</v>
      </c>
      <c r="C42" s="7">
        <f>INDEX(TABLAS!$F$65:$F$69,MATCH($C$16,TABLAS!$B$65:$B$69,0))</f>
        <v>0.8</v>
      </c>
      <c r="D42" s="7">
        <f>INDEX(TABLAS!$F$65:$F$69,MATCH($D$16,TABLAS!$B$65:$B$69,0))</f>
        <v>0.8</v>
      </c>
      <c r="E42" s="6" t="s">
        <v>43</v>
      </c>
      <c r="F42" s="3" t="s">
        <v>267</v>
      </c>
      <c r="G42" s="4" t="s">
        <v>265</v>
      </c>
    </row>
    <row r="43" spans="2:7" ht="30" customHeight="1" x14ac:dyDescent="0.3">
      <c r="B43" s="2" t="s">
        <v>268</v>
      </c>
      <c r="C43" s="13">
        <f>$C$41*DATOS!$C$55^$C$42</f>
        <v>0.4573612109674784</v>
      </c>
      <c r="D43" s="13">
        <f>$D$41*DATOS!$C$55^$D$42</f>
        <v>0.4573612109674784</v>
      </c>
      <c r="E43" s="6" t="s">
        <v>79</v>
      </c>
      <c r="F43" s="3" t="s">
        <v>269</v>
      </c>
      <c r="G43" s="4" t="s">
        <v>270</v>
      </c>
    </row>
    <row r="44" spans="2:7" ht="30" customHeight="1" x14ac:dyDescent="0.3">
      <c r="B44" s="2" t="s">
        <v>271</v>
      </c>
      <c r="C44" s="7">
        <f>IF(DATOS!$C$41&gt;=0.3,1.4,IF(DATOS!$C$41&gt;=0.2,1.5-(DATOS!$C$41-0.2),IF(DATOS!$C$41&gt;=0.15,1.6-2*(DATOS!$C$41-0.15),IF(DATOS!$C$41&gt;0.1,1.7-2*(DATOS!$C$41-0.1),1.7))))</f>
        <v>1.4</v>
      </c>
      <c r="D44" s="7">
        <f>IF(DATOS!$C$41&gt;=0.3,1.4,IF(DATOS!$C$41&gt;=0.2,1.5-(DATOS!$C$41-0.2),IF(DATOS!$C$41&gt;=0.15,1.6-2*(DATOS!$C$41-0.15),IF(DATOS!$C$41&gt;0.1,1.7-2*(DATOS!$C$41-0.1),1.7))))</f>
        <v>1.4</v>
      </c>
      <c r="E44" s="6" t="s">
        <v>43</v>
      </c>
      <c r="F44" s="3" t="s">
        <v>272</v>
      </c>
      <c r="G44" s="4" t="s">
        <v>273</v>
      </c>
    </row>
    <row r="45" spans="2:7" ht="30" customHeight="1" x14ac:dyDescent="0.3">
      <c r="B45" s="2" t="s">
        <v>210</v>
      </c>
      <c r="C45" s="13">
        <f>MAX(0.01,IF(DATOS!$C$58&gt;0,MIN(DATOS!$C$58,$C$44*$C$43),$C$43))</f>
        <v>0.375</v>
      </c>
      <c r="D45" s="13">
        <f>MAX(0.01,IF(DATOS!$C$59&gt;0,MIN(DATOS!$C$59,$D$44*$D$43),$D$43))</f>
        <v>0.12</v>
      </c>
      <c r="E45" s="6" t="s">
        <v>79</v>
      </c>
      <c r="F45" s="3" t="s">
        <v>274</v>
      </c>
      <c r="G45" s="4" t="s">
        <v>275</v>
      </c>
    </row>
    <row r="46" spans="2:7" ht="30" customHeight="1" x14ac:dyDescent="0.3">
      <c r="B46" s="2" t="s">
        <v>276</v>
      </c>
      <c r="C46" s="19">
        <f>DATOS!$C$40/($C$35/DATOS!$C$46)</f>
        <v>0.4883047619047618</v>
      </c>
      <c r="D46" s="19">
        <f>DATOS!$C$40/($D$35/DATOS!$C$46)</f>
        <v>0.4883047619047618</v>
      </c>
      <c r="E46" s="6" t="s">
        <v>43</v>
      </c>
      <c r="F46" s="3" t="s">
        <v>277</v>
      </c>
      <c r="G46" s="4" t="s">
        <v>278</v>
      </c>
    </row>
    <row r="47" spans="2:7" ht="30" customHeight="1" x14ac:dyDescent="0.3">
      <c r="B47" s="2" t="s">
        <v>279</v>
      </c>
      <c r="C47" s="19">
        <f>IF($C$45&lt;=DATOS!$C$44,DATOS!$C$41/($C$45*$C$35/DATOS!$C$46),DATOS!$C$41*DATOS!$C$44/($C$45^2*$C$35/DATOS!$C$46))</f>
        <v>1.0234920634920635</v>
      </c>
      <c r="D47" s="19">
        <f>IF($D$45&lt;=DATOS!$C$44,DATOS!$C$41/($D$45*$D$35/DATOS!$C$46),DATOS!$C$41*DATOS!$C$44/($D$45^2*$D$35/DATOS!$C$46))</f>
        <v>3.1984126984126986</v>
      </c>
      <c r="E47" s="6" t="s">
        <v>43</v>
      </c>
      <c r="F47" s="3" t="s">
        <v>217</v>
      </c>
      <c r="G47" s="4" t="s">
        <v>280</v>
      </c>
    </row>
    <row r="48" spans="2:7" ht="30" customHeight="1" x14ac:dyDescent="0.3">
      <c r="B48" s="2" t="s">
        <v>281</v>
      </c>
      <c r="C48" s="19">
        <f>MAX(0.044*DATOS!$C$40*DATOS!$C$46,0.01)</f>
        <v>0.07519893333333331</v>
      </c>
      <c r="D48" s="19">
        <f>MAX(0.044*DATOS!$C$40*DATOS!$C$46,0.01)</f>
        <v>0.07519893333333331</v>
      </c>
      <c r="E48" s="6" t="s">
        <v>43</v>
      </c>
      <c r="F48" s="3" t="s">
        <v>282</v>
      </c>
      <c r="G48" s="4" t="s">
        <v>283</v>
      </c>
    </row>
    <row r="49" spans="2:7" ht="30" customHeight="1" x14ac:dyDescent="0.3">
      <c r="B49" s="2" t="s">
        <v>284</v>
      </c>
      <c r="C49" s="19">
        <f>IF(DATOS!$C$32&gt;=0.6,0.5*DATOS!$C$32/($C$35/DATOS!$C$46),0)</f>
        <v>0.08857142857142856</v>
      </c>
      <c r="D49" s="19">
        <f>IF(DATOS!$C$32&gt;=0.6,0.5*DATOS!$C$32/($D$35/DATOS!$C$46),0)</f>
        <v>0.08857142857142856</v>
      </c>
      <c r="E49" s="6" t="s">
        <v>43</v>
      </c>
      <c r="F49" s="3" t="s">
        <v>285</v>
      </c>
      <c r="G49" s="4" t="s">
        <v>286</v>
      </c>
    </row>
    <row r="50" spans="2:7" ht="30" customHeight="1" x14ac:dyDescent="0.3">
      <c r="B50" s="8" t="s">
        <v>222</v>
      </c>
      <c r="C50" s="20">
        <f>MAX(MIN($C$46,$C$47),$C$48,$C$49)</f>
        <v>0.4883047619047618</v>
      </c>
      <c r="D50" s="20">
        <f>MAX(MIN($D$46,$D$47),$D$48,$D$49)</f>
        <v>0.4883047619047618</v>
      </c>
      <c r="E50" s="6" t="s">
        <v>43</v>
      </c>
      <c r="F50" s="3" t="s">
        <v>287</v>
      </c>
      <c r="G50" s="4" t="s">
        <v>288</v>
      </c>
    </row>
    <row r="51" spans="2:7" ht="30" customHeight="1" x14ac:dyDescent="0.3">
      <c r="B51" s="8" t="s">
        <v>225</v>
      </c>
      <c r="C51" s="21">
        <f>$C$50*DATOS!$C$61</f>
        <v>8.387610895238094</v>
      </c>
      <c r="D51" s="21">
        <f>$D$50*DATOS!$C$61</f>
        <v>8.387610895238094</v>
      </c>
      <c r="E51" s="6" t="s">
        <v>168</v>
      </c>
      <c r="F51" s="3" t="s">
        <v>289</v>
      </c>
      <c r="G51" s="4" t="s">
        <v>290</v>
      </c>
    </row>
    <row r="52" spans="2:7" ht="30" customHeight="1" x14ac:dyDescent="0.3">
      <c r="B52" s="2" t="s">
        <v>291</v>
      </c>
      <c r="C52" s="7">
        <f>IF($C$45&lt;=0.5,1,IF($C$45&gt;=2.5,2,1+($C$45-0.5)/2))</f>
        <v>1.0</v>
      </c>
      <c r="D52" s="7">
        <f>IF($D$45&lt;=0.5,1,IF($D$45&gt;=2.5,2,1+($D$45-0.5)/2))</f>
        <v>1.0</v>
      </c>
      <c r="E52" s="6" t="s">
        <v>43</v>
      </c>
      <c r="F52" s="3" t="s">
        <v>292</v>
      </c>
      <c r="G52" s="4" t="s">
        <v>293</v>
      </c>
    </row>
    <row r="53" spans="2:7" ht="45" customHeight="1" x14ac:dyDescent="0.3">
      <c r="B53" s="8" t="s">
        <v>294</v>
      </c>
      <c r="C53" s="17" t="str">
        <f>IF(OR(AND(OR(DATOS!$C$45="I",DATOS!$C$45="II"),DATOS!$C$56&lt;=2),AND(DATOS!$C$57="SÍ",$C$45&lt;3.5*DATOS!$C$43)),"SÍ","NO / REVISAR Tabla 12.6-1")</f>
        <v>SÍ</v>
      </c>
      <c r="D53" s="17" t="str">
        <f>IF(OR(AND(OR(DATOS!$C$45="I",DATOS!$C$45="II"),DATOS!$C$56&lt;=2),AND(DATOS!$C$57="SÍ",$D$45&lt;3.5*DATOS!$C$43)),"SÍ","NO / REVISAR Tabla 12.6-1")</f>
        <v>SÍ</v>
      </c>
      <c r="E53" s="6" t="s">
        <v>43</v>
      </c>
      <c r="F53" s="3" t="s">
        <v>295</v>
      </c>
      <c r="G53" s="4" t="s">
        <v>296</v>
      </c>
    </row>
    <row r="54" spans="2:7" ht="30" customHeight="1" x14ac:dyDescent="0.3">
      <c r="B54" s="2" t="s">
        <v>297</v>
      </c>
      <c r="C54" s="19">
        <f>$C$50</f>
        <v>0.4883047619047618</v>
      </c>
      <c r="D54" s="19">
        <f>$D$50</f>
        <v>0.4883047619047618</v>
      </c>
      <c r="E54" s="6" t="s">
        <v>43</v>
      </c>
      <c r="F54" s="3" t="s">
        <v>298</v>
      </c>
      <c r="G54" s="4" t="s">
        <v>299</v>
      </c>
    </row>
    <row r="55" spans="2:7" ht="30" customHeight="1" x14ac:dyDescent="0.3">
      <c r="B55" s="2" t="s">
        <v>300</v>
      </c>
      <c r="C55" s="7">
        <f>$C$37/DATOS!$C$46</f>
        <v>3.0</v>
      </c>
      <c r="D55" s="7">
        <f>$D$37/DATOS!$C$46</f>
        <v>3.0</v>
      </c>
      <c r="E55" s="6" t="s">
        <v>301</v>
      </c>
      <c r="F55" s="3" t="s">
        <v>302</v>
      </c>
      <c r="G55" s="4" t="s">
        <v>303</v>
      </c>
    </row>
    <row r="56" spans="2:7" ht="6" customHeight="1" x14ac:dyDescent="0.3"/>
    <row r="57" spans="2:7" ht="21" customHeight="1" x14ac:dyDescent="0.3">
      <c r="B57" s="37" t="s">
        <v>304</v>
      </c>
      <c r="C57" s="34"/>
      <c r="D57" s="34"/>
      <c r="E57" s="34"/>
      <c r="F57" s="34"/>
      <c r="G57" s="34"/>
    </row>
    <row r="58" spans="2:7" ht="30" customHeight="1" x14ac:dyDescent="0.3">
      <c r="B58" s="35" t="s">
        <v>305</v>
      </c>
      <c r="C58" s="36"/>
      <c r="D58" s="36"/>
      <c r="E58" s="36"/>
      <c r="F58" s="36"/>
      <c r="G58" s="36"/>
    </row>
    <row r="59" spans="2:7" ht="30" customHeight="1" x14ac:dyDescent="0.3">
      <c r="B59" s="1" t="s">
        <v>28</v>
      </c>
      <c r="C59" s="1" t="s">
        <v>180</v>
      </c>
      <c r="D59" s="1" t="s">
        <v>181</v>
      </c>
      <c r="E59" s="1" t="s">
        <v>30</v>
      </c>
      <c r="F59" s="1" t="s">
        <v>31</v>
      </c>
      <c r="G59" s="1" t="s">
        <v>32</v>
      </c>
    </row>
    <row r="60" spans="2:7" ht="30" customHeight="1" x14ac:dyDescent="0.3">
      <c r="B60" s="2" t="s">
        <v>306</v>
      </c>
      <c r="C60" s="13">
        <f>$C$24*DATOS!$C$12</f>
        <v>5.052982628571428</v>
      </c>
      <c r="D60" s="13">
        <f>$D$24*DATOS!$C$12</f>
        <v>5.052982628571428</v>
      </c>
      <c r="E60" s="6" t="s">
        <v>168</v>
      </c>
      <c r="F60" s="3" t="s">
        <v>307</v>
      </c>
      <c r="G60" s="4" t="s">
        <v>308</v>
      </c>
    </row>
    <row r="61" spans="2:7" ht="30" customHeight="1" x14ac:dyDescent="0.3">
      <c r="B61" s="2" t="s">
        <v>309</v>
      </c>
      <c r="C61" s="13">
        <f>$C$51</f>
        <v>8.387610895238094</v>
      </c>
      <c r="D61" s="13">
        <f>$D$51</f>
        <v>8.387610895238094</v>
      </c>
      <c r="E61" s="6" t="s">
        <v>168</v>
      </c>
      <c r="F61" s="3" t="s">
        <v>217</v>
      </c>
      <c r="G61" s="4" t="s">
        <v>310</v>
      </c>
    </row>
    <row r="62" spans="2:7" ht="30" customHeight="1" x14ac:dyDescent="0.3">
      <c r="B62" s="2" t="s">
        <v>311</v>
      </c>
      <c r="C62" s="7">
        <f>IF($C$60&gt;0,$C$61/$C$60,0)</f>
        <v>1.6599326599326598</v>
      </c>
      <c r="D62" s="7">
        <f>IF($D$60&gt;0,$D$61/$D$60,0)</f>
        <v>1.6599326599326598</v>
      </c>
      <c r="E62" s="6" t="s">
        <v>43</v>
      </c>
      <c r="F62" s="3" t="s">
        <v>312</v>
      </c>
      <c r="G62" s="4" t="s">
        <v>313</v>
      </c>
    </row>
    <row r="63" spans="2:7" ht="45" customHeight="1" x14ac:dyDescent="0.3">
      <c r="B63" s="8" t="s">
        <v>314</v>
      </c>
      <c r="C63" s="17" t="str">
        <f>IF(DATOS!$C$9="NO","NO APLICA — fuera del AMSS",IF($C$62&gt;=1,"CUMPLE","NO CUMPLE — calibrar"))</f>
        <v>NO APLICA — fuera del AMSS</v>
      </c>
      <c r="D63" s="17" t="str">
        <f>IF(DATOS!$C$9="NO","NO APLICA — fuera del AMSS",IF($D$62&gt;=1,"CUMPLE","NO CUMPLE — calibrar"))</f>
        <v>NO APLICA — fuera del AMSS</v>
      </c>
      <c r="E63" s="6" t="s">
        <v>43</v>
      </c>
      <c r="F63" s="3" t="s">
        <v>315</v>
      </c>
      <c r="G63" s="4" t="s">
        <v>313</v>
      </c>
    </row>
    <row r="64" spans="2:7" ht="30" customHeight="1" x14ac:dyDescent="0.3">
      <c r="B64" s="2" t="s">
        <v>316</v>
      </c>
      <c r="C64" s="7">
        <f>IF($C$62&gt;0,MAX(1,1/$C$62),1)</f>
        <v>1.0</v>
      </c>
      <c r="D64" s="7">
        <f>IF($D$62&gt;0,MAX(1,1/$D$62),1)</f>
        <v>1.0</v>
      </c>
      <c r="E64" s="6" t="s">
        <v>43</v>
      </c>
      <c r="F64" s="3" t="s">
        <v>317</v>
      </c>
      <c r="G64" s="4" t="s">
        <v>318</v>
      </c>
    </row>
    <row r="65" spans="2:7" ht="31.5" customHeight="1" x14ac:dyDescent="0.3">
      <c r="B65" s="2" t="s">
        <v>319</v>
      </c>
      <c r="C65" s="7">
        <f>MIN(ESPECTROS!$L$73:$L$179)</f>
        <v>1.1553877540916435</v>
      </c>
      <c r="D65" s="7">
        <f>MIN(ESPECTROS!$M$73:$M$179)</f>
        <v>1.1553877540916435</v>
      </c>
      <c r="E65" s="6" t="s">
        <v>43</v>
      </c>
      <c r="F65" s="3" t="s">
        <v>320</v>
      </c>
      <c r="G65" s="4" t="s">
        <v>321</v>
      </c>
    </row>
    <row r="66" spans="2:7" ht="30" customHeight="1" x14ac:dyDescent="0.3">
      <c r="B66" s="2" t="s">
        <v>322</v>
      </c>
      <c r="C66" s="7">
        <f>INDEX(ESPECTROS!$B$73:$B$179,MATCH($C$65,ESPECTROS!$L$73:$L$179,0))</f>
        <v>4.0</v>
      </c>
      <c r="D66" s="7">
        <f>INDEX(ESPECTROS!$B$73:$B$179,MATCH($D$65,ESPECTROS!$M$73:$M$179,0))</f>
        <v>4.0</v>
      </c>
      <c r="E66" s="6" t="s">
        <v>79</v>
      </c>
      <c r="F66" s="3" t="s">
        <v>217</v>
      </c>
      <c r="G66" s="4" t="s">
        <v>323</v>
      </c>
    </row>
    <row r="67" spans="2:7" ht="45" customHeight="1" x14ac:dyDescent="0.3">
      <c r="B67" s="8" t="s">
        <v>324</v>
      </c>
      <c r="C67" s="17" t="str">
        <f>IF(DATOS!$C$9="NO","NO APLICA — fuera del AMSS",IF($C$65&gt;=1,"CUMPLE en todo el rango","NO CUMPLE en parte del rango"))</f>
        <v>NO APLICA — fuera del AMSS</v>
      </c>
      <c r="D67" s="17" t="str">
        <f>IF(DATOS!$C$9="NO","NO APLICA — fuera del AMSS",IF($D$65&gt;=1,"CUMPLE en todo el rango","NO CUMPLE en parte del rango"))</f>
        <v>NO APLICA — fuera del AMSS</v>
      </c>
      <c r="E67" s="6" t="s">
        <v>43</v>
      </c>
      <c r="F67" s="3" t="s">
        <v>325</v>
      </c>
      <c r="G67" s="4" t="s">
        <v>326</v>
      </c>
    </row>
    <row r="68" spans="2:7" ht="31.5" customHeight="1" x14ac:dyDescent="0.3">
      <c r="B68" s="2" t="s">
        <v>327</v>
      </c>
      <c r="C68" s="7">
        <f>IF($C$65&gt;0,MAX(1,1/$C$65),1)</f>
        <v>1.0</v>
      </c>
      <c r="D68" s="7">
        <f>IF($D$65&gt;0,MAX(1,1/$D$65),1)</f>
        <v>1.0</v>
      </c>
      <c r="E68" s="6" t="s">
        <v>43</v>
      </c>
      <c r="F68" s="3" t="s">
        <v>328</v>
      </c>
      <c r="G68" s="4" t="s">
        <v>329</v>
      </c>
    </row>
    <row r="69" ht="6" customHeight="1"/>
    <row r="70" ht="21" customHeight="1">
      <c r="B70" s="37" t="inlineStr">
        <is>
          <t>D. NTDS-1994 — ESCALAMIENTO DEL ANÁLISIS DINÁMICO (§5.4.1)</t>
        </is>
      </c>
      <c r="C70" s="37"/>
      <c r="D70" s="37"/>
      <c r="E70" s="37"/>
      <c r="F70" s="37"/>
      <c r="G70" s="37"/>
    </row>
    <row r="71" ht="30" customHeight="1">
      <c r="B71" s="35" t="inlineStr">
        <is>
          <t>Captura el cortante basal que da STAAD en el análisis modal espectral. Si es menor que el mínimo, el factor dice cuánto hay que subir el SCALE del espectro.</t>
        </is>
      </c>
      <c r="C71" s="35"/>
      <c r="D71" s="35"/>
      <c r="E71" s="35"/>
      <c r="F71" s="35"/>
      <c r="G71" s="35"/>
    </row>
    <row r="72" ht="30" customHeight="1">
      <c r="B72" s="45" t="inlineStr">
        <is>
          <t>Concepto</t>
        </is>
      </c>
      <c r="C72" s="45" t="inlineStr">
        <is>
          <t>Dir. X (transversal)</t>
        </is>
      </c>
      <c r="D72" s="45" t="inlineStr">
        <is>
          <t>Dir. Z (longitudinal)</t>
        </is>
      </c>
      <c r="E72" s="45" t="inlineStr">
        <is>
          <t>Unidad</t>
        </is>
      </c>
      <c r="F72" s="45" t="inlineStr">
        <is>
          <t>Cómo se calcula / de dónde sale</t>
        </is>
      </c>
      <c r="G72" s="45" t="inlineStr">
        <is>
          <t>Referencia</t>
        </is>
      </c>
    </row>
    <row r="73" ht="42" customHeight="1">
      <c r="B73" s="8" t="inlineStr">
        <is>
          <t>V dinámico del modelo (SRSS)</t>
        </is>
      </c>
      <c r="C73" s="16">
        <v>1.3681</v>
      </c>
      <c r="D73" s="16">
        <v>1.3803</v>
      </c>
      <c r="E73" s="6" t="inlineStr">
        <is>
          <t>t</t>
        </is>
      </c>
      <c r="F73" s="44" t="inlineStr">
        <is>
          <t xml:space="preserve">ESTIMADO R3.8 (sin factor): X = 1,652.3 kg × 1,285 / 1,552 = 1,368.1 kg; Z = 1,522.6 kg × 1,387 / 1,530 = 1,380.3 kg (.anl R3.7 escalado con el modelo de revisión). El .STD R3.8 usa 1.86 en X y 1.84 en Z (1 % arriba de lo que da esta hoja). RECAPTURA: SRSS del caso 4 / 1.86 y del caso 5 / 1.84 del .anl R3.8.</t>
        </is>
      </c>
      <c r="G73" s="48" t="inlineStr">
        <is>
          <t>Salida de STAAD (.anl)</t>
        </is>
      </c>
    </row>
    <row r="74" ht="30" customHeight="1">
      <c r="B74" s="2" t="inlineStr">
        <is>
          <t>V mínimo para fuerzas = C_s mínimo · W</t>
        </is>
      </c>
      <c r="C74" s="13">
        <f>$C$27*DATOS!$C$60</f>
        <v>3.180198857142857</v>
      </c>
      <c r="D74" s="13">
        <f>$D$27*DATOS!$C$60</f>
        <v>3.180198857142857</v>
      </c>
      <c r="E74" s="6" t="inlineStr">
        <is>
          <t>t</t>
        </is>
      </c>
      <c r="F74" s="44" t="inlineStr">
        <is>
          <t>CALCULADA. El de la fila 27 por W; es el mismo de la hoja STAAD, fila 12.</t>
        </is>
      </c>
      <c r="G74" s="48" t="inlineStr">
        <is>
          <t>NTDS-1994 · §5.4.1 (3), pág. 12</t>
        </is>
      </c>
    </row>
    <row r="75" ht="42" customHeight="1">
      <c r="B75" s="8" t="inlineStr">
        <is>
          <t>¿Hay que escalar?</t>
        </is>
      </c>
      <c r="C75" s="41" t="str">
        <f>IF($C$73&gt;0,IF($C$73&lt;$C$74,"SÍ — el dinámico es menor","NO — ya pasa"),"FALTA EL V DINÁMICO")</f>
        <v>SÍ — el dinámico es menor</v>
      </c>
      <c r="D75" s="41" t="str">
        <f>IF($D$73&gt;0,IF($D$73&lt;$D$74,"SÍ — el dinámico es menor","NO — ya pasa"),"FALTA EL V DINÁMICO")</f>
        <v>SÍ — el dinámico es menor</v>
      </c>
      <c r="E75" s="6" t="inlineStr">
        <is>
          <t>—</t>
        </is>
      </c>
      <c r="F75" s="44" t="inlineStr">
        <is>
          <t>CALCULADA.</t>
        </is>
      </c>
      <c r="G75" s="48" t="inlineStr">
        <is>
          <t>NTDS-1994 · §5.4.1 (3), pág. 12</t>
        </is>
      </c>
    </row>
    <row r="76" ht="54" customHeight="1">
      <c r="B76" s="51" t="inlineStr">
        <is>
          <t>Factor para fuerzas = V mínimo / V dinámico</t>
        </is>
      </c>
      <c r="C76" s="50">
        <f>IF($C$73&gt;0,MAX(1,$C$74/$C$73),1)</f>
        <v>1.4709522928505352</v>
      </c>
      <c r="D76" s="50">
        <f>IF($D$73&gt;0,MAX(1,$D$74/$D$73),1)</f>
        <v>1.8277004926108373</v>
      </c>
      <c r="E76" s="6" t="inlineStr">
        <is>
          <t>×</t>
        </is>
      </c>
      <c r="F76" s="52" t="inlineStr">
        <is>
          <t>◀ CALCULADA = V mín / V dinámico. Va en la dirección del SPECTRUM.</t>
        </is>
      </c>
      <c r="G76" s="48" t="inlineStr">
        <is>
          <t>NTDS-1994 · §5.4.1 (3), pág. 12</t>
        </is>
      </c>
    </row>
    <row r="77" ht="66" customHeight="1">
      <c r="B77" s="2" t="inlineStr">
        <is>
          <t>SCALE en STAAD</t>
        </is>
      </c>
      <c r="C77" s="16">
        <v>981</v>
      </c>
      <c r="D77" s="16">
        <v>981</v>
      </c>
      <c r="E77" s="6" t="inlineStr">
        <is>
          <t>—</t>
        </is>
      </c>
      <c r="F77" s="44" t="inlineStr">
        <is>
          <t>FIJO. Convierte g a cm/s² (modelo en kg-cm).</t>
        </is>
      </c>
      <c r="G77" s="48" t="inlineStr">
        <is>
          <t>Archivo .STD R2.9 · casos 4 a 7</t>
        </is>
      </c>
    </row>
    <row r="78" ht="30" customHeight="1">
      <c r="B78" s="8" t="inlineStr">
        <is>
          <t>Factor de dirección en SPECTRUM</t>
        </is>
      </c>
      <c r="C78" s="21">
        <f>$C$76</f>
        <v>1.4709522928505352</v>
      </c>
      <c r="D78" s="21">
        <f>$D$76</f>
        <v>1.8277004926108373</v>
      </c>
      <c r="E78" s="6" t="inlineStr">
        <is>
          <t>—</t>
        </is>
      </c>
      <c r="F78" s="44" t="inlineStr">
        <is>
          <t>= fila 76. X: caso 4 (+), 6 (−). Z: caso 5 (+), 7 (−).</t>
        </is>
      </c>
      <c r="G78" s="48" t="inlineStr">
        <is>
          <t>Manual técnico de STAAD.Pro · comando SPECTRUM</t>
        </is>
      </c>
    </row>
    <row r="79" ht="42" customHeight="1">
      <c r="B79" s="2" t="inlineStr">
        <is>
          <t>V mínimo para desplazamientos</t>
        </is>
      </c>
      <c r="C79" s="13">
        <f>IF(DATOS!$C$57="SÍ",0.9,1)*$C$21*DATOS!$C$60</f>
        <v>3.180198857142857</v>
      </c>
      <c r="D79" s="13">
        <f>IF(DATOS!$C$57="SÍ",0.9,1)*$D$21*DATOS!$C$60</f>
        <v>3.180198857142857</v>
      </c>
      <c r="E79" s="6" t="inlineStr">
        <is>
          <t>t</t>
        </is>
      </c>
      <c r="F79" s="44" t="inlineStr">
        <is>
          <t>CALCULADA = 90% de C_s(T) × W, sin el 80% del Método A.</t>
        </is>
      </c>
      <c r="G79" s="48" t="inlineStr">
        <is>
          <t>NTDS-1994 · §5.4.1 (3), pág. 12 · §4.6.2, pág. 9</t>
        </is>
      </c>
    </row>
    <row r="80" ht="30" customHeight="1">
      <c r="B80" s="8" t="inlineStr">
        <is>
          <t>Factor para desplazamientos = V mínimo desp. / V dinámico</t>
        </is>
      </c>
      <c r="C80" s="21">
        <f>IF($C$73&gt;0,MAX(1,$C$79/$C$73),1)</f>
        <v>1.4709522928505352</v>
      </c>
      <c r="D80" s="21">
        <f>IF($D$73&gt;0,MAX(1,$D$79/$D$73),1)</f>
        <v>1.8277004926108373</v>
      </c>
      <c r="E80" s="6" t="inlineStr">
        <is>
          <t>×</t>
        </is>
      </c>
      <c r="F80" s="44" t="inlineStr">
        <is>
          <t>CALCULADA. Deriva = δ × C_d × factor.</t>
        </is>
      </c>
      <c r="G80" s="48" t="inlineStr">
        <is>
          <t>NTDS-1994 · ec. 4.11 y §4.6.2, pág. 9 · Tabla 8, pág. 24</t>
        </is>
      </c>
    </row>
    <row r="82" ht="21" customHeight="1">
      <c r="B82" s="37" t="inlineStr">
        <is>
          <t>E. COMPARACIÓN CON LA HOJA DE ÉL (ANALISIS_CARGAS_NAVE.xlsx, hoja «CARGAS Y SISMO F1»)</t>
        </is>
      </c>
      <c r="C82" s="37"/>
      <c r="D82" s="37"/>
      <c r="E82" s="37"/>
      <c r="F82" s="37"/>
      <c r="G82" s="37"/>
    </row>
    <row r="83" ht="42" customHeight="1">
      <c r="B83" s="35" t="inlineStr">
        <is>
          <t>Mismo método en las dos. Valores de él en azul.</t>
        </is>
      </c>
      <c r="C83" s="35"/>
      <c r="D83" s="35"/>
      <c r="E83" s="35"/>
      <c r="F83" s="35"/>
      <c r="G83" s="35"/>
    </row>
    <row r="84" ht="30" customHeight="1">
      <c r="B84" s="45" t="inlineStr">
        <is>
          <t>Concepto</t>
        </is>
      </c>
      <c r="C84" s="45" t="inlineStr">
        <is>
          <t>Tú (R2.9)</t>
        </is>
      </c>
      <c r="D84" s="45" t="inlineStr">
        <is>
          <t>Él</t>
        </is>
      </c>
      <c r="E84" s="45" t="inlineStr">
        <is>
          <t>Unidad</t>
        </is>
      </c>
      <c r="F84" s="45" t="inlineStr">
        <is>
          <t>De dónde sale</t>
        </is>
      </c>
      <c r="G84" s="45" t="inlineStr">
        <is>
          <t>Referencia</t>
        </is>
      </c>
    </row>
    <row r="85" ht="21" customHeight="1">
      <c r="B85" s="8" t="inlineStr">
        <is>
          <t>Dirección X (transversal)</t>
        </is>
      </c>
      <c r="C85" s="2"/>
      <c r="D85" s="2"/>
      <c r="E85" s="2"/>
      <c r="F85" s="2"/>
      <c r="G85" s="2"/>
    </row>
    <row r="86" ht="42" customHeight="1">
      <c r="B86" s="2" t="inlineStr">
        <is>
          <t>W sísmico</t>
        </is>
      </c>
      <c r="C86" s="13">
        <f>DATOS!$C$60</f>
        <v>17.177</v>
      </c>
      <c r="D86" s="53">
        <v>17.12906</v>
      </c>
      <c r="E86" s="6" t="inlineStr">
        <is>
          <t>t</t>
        </is>
      </c>
      <c r="F86" s="44" t="inlineStr">
        <is>
          <t>Tú: CAPTURA de STAAD, DYNAMIC WEIGHT (.anl R3.3). Él: E165 (modelo sin contravientos).</t>
        </is>
      </c>
      <c r="G86" s="48" t="inlineStr">
        <is>
          <t>NTDS-1994 · §4.1.3, pág. 7</t>
        </is>
      </c>
    </row>
    <row r="87" ht="30" customHeight="1">
      <c r="B87" s="2" t="inlineStr">
        <is>
          <t>T del modelo</t>
        </is>
      </c>
      <c r="C87" s="13">
        <f>DATOS!$C$58</f>
        <v>0.375</v>
      </c>
      <c r="D87" s="53">
        <v>0.81</v>
      </c>
      <c r="E87" s="6" t="inlineStr">
        <is>
          <t>s</t>
        </is>
      </c>
      <c r="F87" s="44" t="inlineStr">
        <is>
          <t>Tú: CAPTURA de STAAD, periodo del modo en X (.anl). Él: D177, redondeado.</t>
        </is>
      </c>
      <c r="G87" s="48" t="inlineStr">
        <is>
          <t>NTDS-1994 · §4.2.2 (2), págs. 7 y 8</t>
        </is>
      </c>
    </row>
    <row r="88" ht="30" customHeight="1">
      <c r="B88" s="2" t="inlineStr">
        <is>
          <t>C_s con el T del modelo</t>
        </is>
      </c>
      <c r="C88" s="55">
        <f>$C$21</f>
        <v>0.2057142857142857</v>
      </c>
      <c r="D88" s="54">
        <v>0.1684128685092748</v>
      </c>
      <c r="E88" s="6" t="inlineStr">
        <is>
          <t>—</t>
        </is>
      </c>
      <c r="F88" s="44" t="inlineStr">
        <is>
          <t>CALCULADA con el T de arriba. Él: J177.</t>
        </is>
      </c>
      <c r="G88" s="48" t="inlineStr">
        <is>
          <t>NTDS-1994 · ec. 4.2, pág. 7</t>
        </is>
      </c>
    </row>
    <row r="89" ht="30" customHeight="1">
      <c r="B89" s="2" t="inlineStr">
        <is>
          <t>80% del C_s de Método A</t>
        </is>
      </c>
      <c r="C89" s="55">
        <f>0.8*$C$22</f>
        <v>0.1645714285714286</v>
      </c>
      <c r="D89" s="55">
        <f>0.8*0.4*1.2*3/7</f>
        <v>0.1645714285714286</v>
      </c>
      <c r="E89" s="6" t="inlineStr">
        <is>
          <t>—</t>
        </is>
      </c>
      <c r="F89" s="44" t="inlineStr">
        <is>
          <t>CALCULADA = 0.8 × A·I·C_o / R. Él: F141.</t>
        </is>
      </c>
      <c r="G89" s="48" t="inlineStr">
        <is>
          <t>NTDS-1994 · ec. 4.3, pág. 7 · §5.4.1 (3), pág. 12</t>
        </is>
      </c>
    </row>
    <row r="90" ht="30" customHeight="1">
      <c r="B90" s="2" t="inlineStr">
        <is>
          <t>C_s mínimo para escalar</t>
        </is>
      </c>
      <c r="C90" s="55">
        <f>$C$27</f>
        <v>0.18514285714285714</v>
      </c>
      <c r="D90" s="55">
        <f>MAX(0.9*D88,D89)</f>
        <v>0.1645714285714286</v>
      </c>
      <c r="E90" s="6" t="inlineStr">
        <is>
          <t>—</t>
        </is>
      </c>
      <c r="F90" s="44" t="inlineStr">
        <is>
          <t>CALCULADA: mayor de 90% C_s(T) y 80% Método A. Él: K207 ÷ W.</t>
        </is>
      </c>
      <c r="G90" s="48" t="inlineStr">
        <is>
          <t>NTDS-1994 · §5.4.1 (3), pág. 12</t>
        </is>
      </c>
    </row>
    <row r="91" ht="30" customHeight="1">
      <c r="B91" s="2" t="inlineStr">
        <is>
          <t>V mínimo</t>
        </is>
      </c>
      <c r="C91" s="13">
        <f>$C$74</f>
        <v>3.180198857142857</v>
      </c>
      <c r="D91" s="13">
        <f>D90*D86</f>
        <v>2.8189538742857145</v>
      </c>
      <c r="E91" s="6" t="inlineStr">
        <is>
          <t>t</t>
        </is>
      </c>
      <c r="F91" s="44" t="inlineStr">
        <is>
          <t>CALCULADA = C_s mín × W. Él: K211.</t>
        </is>
      </c>
      <c r="G91" s="48" t="inlineStr">
        <is>
          <t>NTDS-1994 · ec. 4.1, pág. 7 · §5.4.1 (3), pág. 12</t>
        </is>
      </c>
    </row>
    <row r="92" ht="54" customHeight="1">
      <c r="B92" s="2" t="inlineStr">
        <is>
          <t>V modal (dinámico)</t>
        </is>
      </c>
      <c r="C92" s="13">
        <f>$C$73</f>
        <v>2.162</v>
      </c>
      <c r="D92" s="53">
        <v>1.82038061</v>
      </c>
      <c r="E92" s="6" t="inlineStr">
        <is>
          <t>t</t>
        </is>
      </c>
      <c r="F92" s="44" t="inlineStr">
        <is>
          <t>Tú: CAPTURA de STAAD, cortante SRSS del caso 4 (.anl). Él: K212, a mano.</t>
        </is>
      </c>
      <c r="G92" s="48" t="inlineStr">
        <is>
          <t>Salida de STAAD (.anl) · NTDS-1994 · §5.4.1 (3), pág. 12</t>
        </is>
      </c>
    </row>
    <row r="93" ht="30" customHeight="1">
      <c r="B93" s="8" t="inlineStr">
        <is>
          <t>Factor = V mínimo / V modal</t>
        </is>
      </c>
      <c r="C93" s="21">
        <f>$C$76</f>
        <v>1.4709522928505352</v>
      </c>
      <c r="D93" s="21">
        <f>MAX(1,D91/D92)</f>
        <v>1.5485519120563005</v>
      </c>
      <c r="E93" s="6" t="inlineStr">
        <is>
          <t>×</t>
        </is>
      </c>
      <c r="F93" s="44" t="inlineStr">
        <is>
          <t>CALCULADA = V mín / V modal. Tú: fila 76. Él: K214.</t>
        </is>
      </c>
      <c r="G93" s="48" t="inlineStr">
        <is>
          <t>NTDS-1994 · §5.4.1 (3), pág. 12</t>
        </is>
      </c>
    </row>
    <row r="94" ht="21" customHeight="1">
      <c r="B94" s="8" t="inlineStr">
        <is>
          <t>Dirección Z (longitudinal)</t>
        </is>
      </c>
      <c r="C94" s="2"/>
      <c r="D94" s="2"/>
      <c r="E94" s="2"/>
      <c r="F94" s="2"/>
      <c r="G94" s="2"/>
    </row>
    <row r="95" ht="42" customHeight="1">
      <c r="B95" s="2" t="inlineStr">
        <is>
          <t>W sísmico</t>
        </is>
      </c>
      <c r="C95" s="13">
        <f>DATOS!$C$60</f>
        <v>17.177</v>
      </c>
      <c r="D95" s="53">
        <v>17.12906</v>
      </c>
      <c r="E95" s="6" t="inlineStr">
        <is>
          <t>t</t>
        </is>
      </c>
      <c r="F95" s="44" t="inlineStr">
        <is>
          <t>Tú: CAPTURA de STAAD, DYNAMIC WEIGHT (.anl R3.3). Él: E165 (modelo sin contravientos).</t>
        </is>
      </c>
      <c r="G95" s="48" t="inlineStr">
        <is>
          <t>NTDS-1994 · §4.1.3, pág. 7</t>
        </is>
      </c>
    </row>
    <row r="96" ht="30" customHeight="1">
      <c r="B96" s="2" t="inlineStr">
        <is>
          <t>T del modelo</t>
        </is>
      </c>
      <c r="C96" s="13">
        <f>DATOS!$C$59</f>
        <v>0.12</v>
      </c>
      <c r="D96" s="53">
        <v>0.63</v>
      </c>
      <c r="E96" s="6" t="inlineStr">
        <is>
          <t>s</t>
        </is>
      </c>
      <c r="F96" s="44" t="inlineStr">
        <is>
          <t>Tú: CAPTURA de STAAD, periodo del modo en Z (.anl). Él: D178, redondeado.</t>
        </is>
      </c>
      <c r="G96" s="48" t="inlineStr">
        <is>
          <t>NTDS-1994 · §4.2.2 (2), págs. 7 y 8</t>
        </is>
      </c>
    </row>
    <row r="97" ht="30" customHeight="1">
      <c r="B97" s="2" t="inlineStr">
        <is>
          <t>C_s con el T del modelo</t>
        </is>
      </c>
      <c r="C97" s="55">
        <f>$D$21</f>
        <v>0.2057142857142857</v>
      </c>
      <c r="D97" s="54">
        <v>0.1991307148045427</v>
      </c>
      <c r="E97" s="6" t="inlineStr">
        <is>
          <t>—</t>
        </is>
      </c>
      <c r="F97" s="44" t="inlineStr">
        <is>
          <t>CALCULADA con el T de arriba. Él: J178.</t>
        </is>
      </c>
      <c r="G97" s="48" t="inlineStr">
        <is>
          <t>NTDS-1994 · ec. 4.2, pág. 7</t>
        </is>
      </c>
    </row>
    <row r="98" ht="30" customHeight="1">
      <c r="B98" s="2" t="inlineStr">
        <is>
          <t>80% del C_s de Método A</t>
        </is>
      </c>
      <c r="C98" s="55">
        <f>0.8*$D$22</f>
        <v>0.1645714285714286</v>
      </c>
      <c r="D98" s="55">
        <f>0.8*0.4*1.2*3/7</f>
        <v>0.1645714285714286</v>
      </c>
      <c r="E98" s="6" t="inlineStr">
        <is>
          <t>—</t>
        </is>
      </c>
      <c r="F98" s="44" t="inlineStr">
        <is>
          <t>CALCULADA = 0.8 × A·I·C_o / R. Él: F141.</t>
        </is>
      </c>
      <c r="G98" s="48" t="inlineStr">
        <is>
          <t>NTDS-1994 · ec. 4.3, pág. 7 · §5.4.1 (3), pág. 12</t>
        </is>
      </c>
    </row>
    <row r="99" ht="30" customHeight="1">
      <c r="B99" s="2" t="inlineStr">
        <is>
          <t>C_s mínimo para escalar</t>
        </is>
      </c>
      <c r="C99" s="55">
        <f>$D$27</f>
        <v>0.18514285714285714</v>
      </c>
      <c r="D99" s="55">
        <f>MAX(0.9*D97,D98)</f>
        <v>0.1792176433240887</v>
      </c>
      <c r="E99" s="6" t="inlineStr">
        <is>
          <t>—</t>
        </is>
      </c>
      <c r="F99" s="44" t="inlineStr">
        <is>
          <t>CALCULADA: mayor de 90% C_s(T) y 80% Método A. Él: L207 ÷ W.</t>
        </is>
      </c>
      <c r="G99" s="48" t="inlineStr">
        <is>
          <t>NTDS-1994 · §5.4.1 (3), pág. 12</t>
        </is>
      </c>
    </row>
    <row r="100" ht="30" customHeight="1">
      <c r="B100" s="2" t="inlineStr">
        <is>
          <t>V mínimo</t>
        </is>
      </c>
      <c r="C100" s="13">
        <f>$D$74</f>
        <v>3.180198857142857</v>
      </c>
      <c r="D100" s="13">
        <f>D99*D95</f>
        <v>3.0698297655569147</v>
      </c>
      <c r="E100" s="6" t="inlineStr">
        <is>
          <t>t</t>
        </is>
      </c>
      <c r="F100" s="44" t="inlineStr">
        <is>
          <t>CALCULADA = C_s mín × W. Él: L211.</t>
        </is>
      </c>
      <c r="G100" s="48" t="inlineStr">
        <is>
          <t>NTDS-1994 · ec. 4.1, pág. 7 · §5.4.1 (3), pág. 12</t>
        </is>
      </c>
    </row>
    <row r="101" ht="54" customHeight="1">
      <c r="B101" s="2" t="inlineStr">
        <is>
          <t>V modal (dinámico)</t>
        </is>
      </c>
      <c r="C101" s="13">
        <f>$D$73</f>
        <v>1.74</v>
      </c>
      <c r="D101" s="53">
        <v>2.72429032</v>
      </c>
      <c r="E101" s="6" t="inlineStr">
        <is>
          <t>t</t>
        </is>
      </c>
      <c r="F101" s="44" t="inlineStr">
        <is>
          <t>Tú: CAPTURA de STAAD, cortante SRSS del caso 5 (.anl). Él: L212, a mano.</t>
        </is>
      </c>
      <c r="G101" s="48" t="inlineStr">
        <is>
          <t>Salida de STAAD (.anl) · NTDS-1994 · §5.4.1 (3), pág. 12</t>
        </is>
      </c>
    </row>
    <row r="102" ht="30" customHeight="1">
      <c r="B102" s="8" t="inlineStr">
        <is>
          <t>Factor = V mínimo / V modal</t>
        </is>
      </c>
      <c r="C102" s="21">
        <f>$D$76</f>
        <v>1.8277004926108373</v>
      </c>
      <c r="D102" s="21">
        <f>MAX(1,D100/D101)</f>
        <v>1.126836498672768</v>
      </c>
      <c r="E102" s="6" t="inlineStr">
        <is>
          <t>×</t>
        </is>
      </c>
      <c r="F102" s="44" t="inlineStr">
        <is>
          <t>CALCULADA = V mín / V modal. Tú: fila 76. Él: L214.</t>
        </is>
      </c>
      <c r="G102" s="48" t="inlineStr">
        <is>
          <t>NTDS-1994 · §5.4.1 (3), pág. 12</t>
        </is>
      </c>
    </row>
    <row r="103" ht="30" customHeight="1">
      <c r="B103" s="45" t="inlineStr">
        <is>
          <t>Cómo queda en STAAD (SCALE 981)</t>
        </is>
      </c>
      <c r="C103" s="45" t="inlineStr">
        <is>
          <t>Dir. X</t>
        </is>
      </c>
      <c r="D103" s="45" t="inlineStr">
        <is>
          <t>Dir. Z</t>
        </is>
      </c>
      <c r="E103" s="45" t="inlineStr">
        <is>
          <t>Unidad</t>
        </is>
      </c>
      <c r="F103" s="45" t="inlineStr">
        <is>
          <t>De dónde sale</t>
        </is>
      </c>
      <c r="G103" s="45" t="inlineStr">
        <is>
          <t>Referencia</t>
        </is>
      </c>
    </row>
    <row r="104" ht="42" customHeight="1">
      <c r="B104" s="2" t="inlineStr">
        <is>
          <t>Factor de dirección, casos 4 y 5</t>
        </is>
      </c>
      <c r="C104" s="13">
        <f>$C$76</f>
        <v>1.4709522928505352</v>
      </c>
      <c r="D104" s="13">
        <f>$D$76</f>
        <v>1.8277004926108373</v>
      </c>
      <c r="E104" s="6" t="inlineStr">
        <is>
          <t>cm/s²</t>
        </is>
      </c>
      <c r="F104" s="44" t="inlineStr">
        <is>
          <t>= fila 76, con signo +.</t>
        </is>
      </c>
      <c r="G104" s="48" t="inlineStr">
        <is>
          <t>Manual técnico de STAAD.Pro · comando SPECTRUM</t>
        </is>
      </c>
    </row>
    <row r="105" ht="42" customHeight="1">
      <c r="B105" s="2" t="inlineStr">
        <is>
          <t>Factor de dirección, casos 6 y 7</t>
        </is>
      </c>
      <c r="C105" s="13">
        <f>-$C$76</f>
        <v>-1.4709522928505352</v>
      </c>
      <c r="D105" s="13">
        <f>-$D$76</f>
        <v>-1.8277004926108373</v>
      </c>
      <c r="E105" s="6" t="inlineStr">
        <is>
          <t>cm/s²</t>
        </is>
      </c>
      <c r="F105" s="44" t="inlineStr">
        <is>
          <t>= fila 76, con signo −.</t>
        </is>
      </c>
      <c r="G105" s="48" t="inlineStr">
        <is>
          <t>Manual técnico de STAAD.Pro · comando SPECTRUM</t>
        </is>
      </c>
    </row>
    <row r="106" ht="30" customHeight="1">
      <c r="B106" s="2" t="inlineStr">
        <is>
          <t>Meseta que aplica STAAD ya escalada</t>
        </is>
      </c>
      <c r="C106" s="55">
        <f>DATOS!$C$26/$C$12*$C$76</f>
        <v>0.30259590024353866</v>
      </c>
      <c r="D106" s="55">
        <f>DATOS!$C$26/$D$12*$D$76</f>
        <v>0.37598410133708654</v>
      </c>
      <c r="E106" s="6" t="inlineStr">
        <is>
          <t>g</t>
        </is>
      </c>
      <c r="F106" s="44" t="inlineStr">
        <is>
          <t>CALCULADA = I·A·C_o / R × factor.</t>
        </is>
      </c>
      <c r="G106" s="48" t="inlineStr">
        <is>
          <t>NTDS-1994 · §5.2, pág. 11 · §5.4.1 (3), pág. 12</t>
        </is>
      </c>
    </row>
  </sheetData>
  <mergeCells count="14">
    <mergeCell ref="B82:G82"/>
    <mergeCell ref="B83:G83"/>
    <mergeCell ref="B58:G58"/>
    <mergeCell ref="B30:G30"/>
    <mergeCell ref="B7:G7"/>
    <mergeCell ref="B6:G6"/>
    <mergeCell ref="B3:G3"/>
    <mergeCell ref="B2:G2"/>
    <mergeCell ref="B31:G31"/>
    <mergeCell ref="B57:G57"/>
    <mergeCell ref="B1:G1"/>
    <mergeCell ref="B4:G4"/>
    <mergeCell ref="B70:G70"/>
    <mergeCell ref="B71:G71"/>
  </mergeCells>
  <conditionalFormatting sqref="B3">
    <cfRule type="expression" dxfId="13" priority="2">
      <formula>LEFT($B$3,3)="Sin"</formula>
    </cfRule>
  </conditionalFormatting>
  <conditionalFormatting sqref="C15:D15">
    <cfRule type="expression" dxfId="12" priority="3">
      <formula>LEFT(C15,2)="NO"</formula>
    </cfRule>
  </conditionalFormatting>
  <conditionalFormatting sqref="C26:D26">
    <cfRule type="expression" dxfId="11" priority="4">
      <formula>LEFT(C26,2)="NO"</formula>
    </cfRule>
  </conditionalFormatting>
  <conditionalFormatting sqref="C33:D55">
    <cfRule type="expression" dxfId="10" priority="5">
      <formula>LEFT($C$63,9)="NO APLICA"</formula>
    </cfRule>
  </conditionalFormatting>
  <conditionalFormatting sqref="C40:D40">
    <cfRule type="expression" dxfId="9" priority="7">
      <formula>LEFT(C40,2)="NO"</formula>
    </cfRule>
  </conditionalFormatting>
  <conditionalFormatting sqref="C53:D53">
    <cfRule type="expression" dxfId="8" priority="8">
      <formula>LEFT(C53,2)="NO"</formula>
    </cfRule>
  </conditionalFormatting>
  <conditionalFormatting sqref="C60:D68">
    <cfRule type="expression" dxfId="7" priority="6">
      <formula>LEFT($C$63,9)="NO APLICA"</formula>
    </cfRule>
  </conditionalFormatting>
  <conditionalFormatting sqref="C63:D63">
    <cfRule type="expression" dxfId="6" priority="9">
      <formula>LEFT(C63,9)="NO CUMPLE"</formula>
    </cfRule>
  </conditionalFormatting>
  <conditionalFormatting sqref="C67:D67">
    <cfRule type="expression" dxfId="5" priority="10">
      <formula>LEFT(C67,9)="NO CUMPLE"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6DD8-257C-4D56-B7C6-9C288011EA2C}">
  <sheetPr>
    <pageSetUpPr fitToPage="1"/>
  </sheetPr>
  <dimension ref="B1:U179"/>
  <sheetViews>
    <sheetView showGridLines="0" topLeftCell="A67" zoomScaleNormal="100" workbookViewId="0">
      <selection activeCell="R71" sqref="R71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11" width="12" customWidth="1"/>
    <col min="12" max="14" width="11" customWidth="1"/>
    <col min="15" max="15" width="12" customWidth="1"/>
    <col min="16" max="16" width="3" customWidth="1"/>
    <col min="17" max="18" width="10" customWidth="1"/>
    <col min="19" max="19" width="3" customWidth="1"/>
    <col min="20" max="21" width="8" customWidth="1"/>
  </cols>
  <sheetData>
    <row r="1" spans="2:15" ht="25.5" customHeight="1" x14ac:dyDescent="0.3">
      <c r="B1" s="38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2:15" ht="30" customHeight="1" x14ac:dyDescent="0.3">
      <c r="B2" s="33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2:15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5" ht="30" customHeight="1" x14ac:dyDescent="0.3">
      <c r="B4" s="39" t="s">
        <v>2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2:15" ht="30" customHeight="1" x14ac:dyDescent="0.3">
      <c r="B5" s="43" t="str">
        <f>"EN CORTO  ·  NTDS (ya ÷ R): meseta X "&amp;TEXT(DATOS!$C$26/COEFICIENTE!$C$12,"0.0000")&amp;" g y Z "&amp;TEXT(DATOS!$C$26/COEFICIENTE!$D$12,"0.0000")&amp;" g entre "&amp;TEXT(DATOS!$C$23/3,"0.000")&amp;" y "&amp;TEXT(DATOS!$C$23,"0.00")&amp;" s  ·  ASCE reducido: X "&amp;TEXT(DATOS!$C$40*DATOS!$C$46/COEFICIENTE!$C$35,"0.0000")&amp;" g y Z "&amp;TEXT(DATOS!$C$40*DATOS!$C$46/COEFICIENTE!$D$35,"0.0000")&amp;" g  ·  Relación mínima ASCE / NTDS: X "&amp;TEXT(MIN($L$73:$L$179),"0.00")&amp;" y Z "&amp;TEXT(MIN($M$73:$M$179),"0.00")&amp;IF(DATOS!$C$9="NO","  (fuera del AMSS sólo es referencia)","")</f>
        <v>EN CORTO  ·  NTDS (ya ÷ R): meseta X 0.2057 g y Z 0.2057 g entre 0.200 y 0.60 s  ·  ASCE reducido: X 0.4883 g y Z 0.4883 g  ·  Relación mínima ASCE / NTDS: X 1.16 y Z 1.16  (fuera del AMSS sólo es referencia)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2:15" ht="6" customHeight="1" x14ac:dyDescent="0.3"/>
    <row r="7" spans="2:15" ht="21" customHeight="1" x14ac:dyDescent="0.3">
      <c r="B7" s="37" t="s">
        <v>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2:15" ht="30" customHeight="1" x14ac:dyDescent="0.3">
      <c r="B8" s="35" t="s">
        <v>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70" spans="2:21" ht="21" customHeight="1" x14ac:dyDescent="0.3">
      <c r="B70" s="37" t="s">
        <v>5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</row>
    <row r="71" spans="2:21" ht="30" customHeight="1" x14ac:dyDescent="0.3">
      <c r="B71" s="35" t="s">
        <v>6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spans="2:21" ht="45" customHeight="1" x14ac:dyDescent="0.3">
      <c r="B72" s="1" t="s">
        <v>7</v>
      </c>
      <c r="C72" s="1" t="s">
        <v>8</v>
      </c>
      <c r="D72" s="1" t="s">
        <v>9</v>
      </c>
      <c r="E72" s="1" t="s">
        <v>10</v>
      </c>
      <c r="F72" s="1" t="s">
        <v>11</v>
      </c>
      <c r="G72" s="1" t="s">
        <v>12</v>
      </c>
      <c r="H72" s="1" t="s">
        <v>13</v>
      </c>
      <c r="I72" s="1" t="s">
        <v>14</v>
      </c>
      <c r="J72" s="1" t="s">
        <v>15</v>
      </c>
      <c r="K72" s="1" t="s">
        <v>16</v>
      </c>
      <c r="L72" s="1" t="s">
        <v>17</v>
      </c>
      <c r="M72" s="1" t="s">
        <v>18</v>
      </c>
      <c r="N72" s="1" t="s">
        <v>19</v>
      </c>
      <c r="O72" s="1" t="s">
        <v>20</v>
      </c>
      <c r="Q72" s="23" t="s">
        <v>21</v>
      </c>
      <c r="R72" s="23" t="s">
        <v>22</v>
      </c>
      <c r="T72" s="23" t="s">
        <v>23</v>
      </c>
      <c r="U72" s="23"/>
    </row>
    <row r="73" spans="2:21" ht="31.5" customHeight="1" x14ac:dyDescent="0.3">
      <c r="B73" s="24">
        <f>$Q73</f>
        <v>0.0</v>
      </c>
      <c r="C73" s="19">
        <f>IF($B73&lt;DATOS!$C$23/3,DATOS!$C$25*DATOS!$C$20*(1+3*(DATOS!$C$22-1)*$B73/DATOS!$C$23),IF($B73&lt;=DATOS!$C$23,DATOS!$C$25*DATOS!$C$20*DATOS!$C$22,IF($B73&lt;=4,DATOS!$C$25*DATOS!$C$20*DATOS!$C$22*(DATOS!$C$23/$B73)^(2/3),2.5*DATOS!$C$25*DATOS!$C$20*DATOS!$C$22*DATOS!$C$23^(2/3)/$B73^(4/3))))</f>
        <v>0.48</v>
      </c>
      <c r="D73" s="25">
        <f>$C73/COEFICIENTE!$C$12</f>
        <v>0.06857142857142857</v>
      </c>
      <c r="E73" s="25">
        <f>$C73/COEFICIENTE!$D$12</f>
        <v>0.06857142857142857</v>
      </c>
      <c r="F73" s="19">
        <f t="shared" ref="F73:F104" si="0">1.5*$G73</f>
        <v>1.02544</v>
      </c>
      <c r="G73" s="19">
        <f>IF($B73&lt;DATOS!$C$42,DATOS!$C$40*(0.4+0.6*$B73/DATOS!$C$42),IF($B73&lt;=DATOS!$C$43,DATOS!$C$40,IF($B73&lt;=DATOS!$C$44,DATOS!$C$41/$B73,DATOS!$C$41*DATOS!$C$44/$B73^2)))</f>
        <v>0.6836266666666666</v>
      </c>
      <c r="H73" s="19">
        <f>$G73*DATOS!$C$46/COEFICIENTE!$C$35</f>
        <v>0.19532190476190475</v>
      </c>
      <c r="I73" s="19">
        <f>$G73*DATOS!$C$46/COEFICIENTE!$D$35</f>
        <v>0.19532190476190475</v>
      </c>
      <c r="J73" s="19">
        <f>$D73*DATOS!$C$12</f>
        <v>0.09805714285714286</v>
      </c>
      <c r="K73" s="19">
        <f>$E73*DATOS!$C$12</f>
        <v>0.09805714285714286</v>
      </c>
      <c r="L73" s="7">
        <f t="shared" ref="L73:L104" si="1">IF($J73&gt;0,$H73/$J73,0)</f>
        <v>1.99191919191919</v>
      </c>
      <c r="M73" s="7">
        <f t="shared" ref="M73:M104" si="2">IF($K73&gt;0,$I73/$K73,0)</f>
        <v>1.99191919191919</v>
      </c>
      <c r="N73" s="10" t="str">
        <f>IF(DATOS!$C$9="NO","—",IF(AND($L73&gt;=1,$M73&gt;=1),"OK","CALIBRAR"))</f>
        <v>—</v>
      </c>
      <c r="O73" s="25">
        <f>IF(STAAD!$C$17="ASCE 7-16",$G73,$C73)</f>
        <v>0.48</v>
      </c>
      <c r="Q73" s="26">
        <v>0</v>
      </c>
      <c r="R73" s="27">
        <v>0</v>
      </c>
      <c r="T73" s="23">
        <v>0</v>
      </c>
      <c r="U73" s="23">
        <v>1</v>
      </c>
    </row>
    <row r="74" spans="2:21" ht="31.5" customHeight="1" x14ac:dyDescent="0.3">
      <c r="B74" s="24">
        <f>IF(ABS($Q74-DATOS!$C$23/3)&lt;$R74,DATOS!$C$23/3,IF(ABS($Q74-DATOS!$C$23)&lt;$R74,DATOS!$C$23,IF(ABS($Q74-DATOS!$C$42)&lt;$R74,DATOS!$C$42,IF(ABS($Q74-DATOS!$C$43)&lt;$R74,DATOS!$C$43,IF(ABS($Q74-DATOS!$C$44)&lt;$R74,DATOS!$C$44,$Q74)))))</f>
        <v>0.02</v>
      </c>
      <c r="C74" s="19">
        <f>IF($B74&lt;DATOS!$C$23/3,DATOS!$C$25*DATOS!$C$20*(1+3*(DATOS!$C$22-1)*$B74/DATOS!$C$23),IF($B74&lt;=DATOS!$C$23,DATOS!$C$25*DATOS!$C$20*DATOS!$C$22,IF($B74&lt;=4,DATOS!$C$25*DATOS!$C$20*DATOS!$C$22*(DATOS!$C$23/$B74)^(2/3),2.5*DATOS!$C$25*DATOS!$C$20*DATOS!$C$22*DATOS!$C$23^(2/3)/$B74^(4/3))))</f>
        <v>0.576</v>
      </c>
      <c r="D74" s="25">
        <f>$C74/COEFICIENTE!$C$12</f>
        <v>0.08228571428571428</v>
      </c>
      <c r="E74" s="25">
        <f>$C74/COEFICIENTE!$D$12</f>
        <v>0.08228571428571428</v>
      </c>
      <c r="F74" s="19">
        <f t="shared" si="0"/>
        <v>1.2211336464516127</v>
      </c>
      <c r="G74" s="19">
        <f>IF($B74&lt;DATOS!$C$42,DATOS!$C$40*(0.4+0.6*$B74/DATOS!$C$42),IF($B74&lt;=DATOS!$C$43,DATOS!$C$40,IF($B74&lt;=DATOS!$C$44,DATOS!$C$41/$B74,DATOS!$C$41*DATOS!$C$44/$B74^2)))</f>
        <v>0.8140890976344084</v>
      </c>
      <c r="H74" s="19">
        <f>$G74*DATOS!$C$46/COEFICIENTE!$C$35</f>
        <v>0.2325968850384024</v>
      </c>
      <c r="I74" s="19">
        <f>$G74*DATOS!$C$46/COEFICIENTE!$D$35</f>
        <v>0.2325968850384024</v>
      </c>
      <c r="J74" s="19">
        <f>$D74*DATOS!$C$12</f>
        <v>0.11766857142857141</v>
      </c>
      <c r="K74" s="19">
        <f>$E74*DATOS!$C$12</f>
        <v>0.11766857142857141</v>
      </c>
      <c r="L74" s="7">
        <f t="shared" si="1"/>
        <v>1.976712066905615</v>
      </c>
      <c r="M74" s="7">
        <f t="shared" si="2"/>
        <v>1.976712066905615</v>
      </c>
      <c r="N74" s="10" t="str">
        <f>IF(DATOS!$C$9="NO","—",IF(AND($L74&gt;=1,$M74&gt;=1),"OK","CALIBRAR"))</f>
        <v>—</v>
      </c>
      <c r="O74" s="25">
        <f>IF(STAAD!$C$17="ASCE 7-16",$G74,$C74)</f>
        <v>0.576</v>
      </c>
      <c r="Q74" s="26">
        <v>0.02</v>
      </c>
      <c r="R74" s="27">
        <v>0.01</v>
      </c>
      <c r="T74" s="23">
        <v>6</v>
      </c>
      <c r="U74" s="23">
        <v>1</v>
      </c>
    </row>
    <row r="75" spans="2:21" ht="31.5" customHeight="1" x14ac:dyDescent="0.3">
      <c r="B75" s="24">
        <f>IF(ABS($Q75-DATOS!$C$23/3)&lt;$R75,DATOS!$C$23/3,IF(ABS($Q75-DATOS!$C$23)&lt;$R75,DATOS!$C$23,IF(ABS($Q75-DATOS!$C$42)&lt;$R75,DATOS!$C$42,IF(ABS($Q75-DATOS!$C$43)&lt;$R75,DATOS!$C$43,IF(ABS($Q75-DATOS!$C$44)&lt;$R75,DATOS!$C$44,$Q75)))))</f>
        <v>0.04</v>
      </c>
      <c r="C75" s="19">
        <f>IF($B75&lt;DATOS!$C$23/3,DATOS!$C$25*DATOS!$C$20*(1+3*(DATOS!$C$22-1)*$B75/DATOS!$C$23),IF($B75&lt;=DATOS!$C$23,DATOS!$C$25*DATOS!$C$20*DATOS!$C$22,IF($B75&lt;=4,DATOS!$C$25*DATOS!$C$20*DATOS!$C$22*(DATOS!$C$23/$B75)^(2/3),2.5*DATOS!$C$25*DATOS!$C$20*DATOS!$C$22*DATOS!$C$23^(2/3)/$B75^(4/3))))</f>
        <v>0.6719999999999999</v>
      </c>
      <c r="D75" s="25">
        <f>$C75/COEFICIENTE!$C$12</f>
        <v>0.09599999999999999</v>
      </c>
      <c r="E75" s="25">
        <f>$C75/COEFICIENTE!$D$12</f>
        <v>0.09599999999999999</v>
      </c>
      <c r="F75" s="19">
        <f t="shared" si="0"/>
        <v>1.4168272929032255</v>
      </c>
      <c r="G75" s="19">
        <f>IF($B75&lt;DATOS!$C$42,DATOS!$C$40*(0.4+0.6*$B75/DATOS!$C$42),IF($B75&lt;=DATOS!$C$43,DATOS!$C$40,IF($B75&lt;=DATOS!$C$44,DATOS!$C$41/$B75,DATOS!$C$41*DATOS!$C$44/$B75^2)))</f>
        <v>0.9445515286021503</v>
      </c>
      <c r="H75" s="19">
        <f>$G75*DATOS!$C$46/COEFICIENTE!$C$35</f>
        <v>0.2698718653149001</v>
      </c>
      <c r="I75" s="19">
        <f>$G75*DATOS!$C$46/COEFICIENTE!$D$35</f>
        <v>0.2698718653149001</v>
      </c>
      <c r="J75" s="19">
        <f>$D75*DATOS!$C$12</f>
        <v>0.13727999999999999</v>
      </c>
      <c r="K75" s="19">
        <f>$E75*DATOS!$C$12</f>
        <v>0.13727999999999999</v>
      </c>
      <c r="L75" s="7">
        <f t="shared" si="1"/>
        <v>1.9658498347530604</v>
      </c>
      <c r="M75" s="7">
        <f t="shared" si="2"/>
        <v>1.9658498347530604</v>
      </c>
      <c r="N75" s="10" t="str">
        <f>IF(DATOS!$C$9="NO","—",IF(AND($L75&gt;=1,$M75&gt;=1),"OK","CALIBRAR"))</f>
        <v>—</v>
      </c>
      <c r="O75" s="25">
        <f>IF(STAAD!$C$17="ASCE 7-16",$G75,$C75)</f>
        <v>0.6719999999999999</v>
      </c>
      <c r="Q75" s="26">
        <v>0.04</v>
      </c>
      <c r="R75" s="27">
        <v>0.01</v>
      </c>
    </row>
    <row r="76" spans="2:21" ht="31.5" customHeight="1" x14ac:dyDescent="0.3">
      <c r="B76" s="24">
        <f>IF(ABS($Q76-DATOS!$C$23/3)&lt;$R76,DATOS!$C$23/3,IF(ABS($Q76-DATOS!$C$23)&lt;$R76,DATOS!$C$23,IF(ABS($Q76-DATOS!$C$42)&lt;$R76,DATOS!$C$42,IF(ABS($Q76-DATOS!$C$43)&lt;$R76,DATOS!$C$43,IF(ABS($Q76-DATOS!$C$44)&lt;$R76,DATOS!$C$44,$Q76)))))</f>
        <v>0.06</v>
      </c>
      <c r="C76" s="19">
        <f>IF($B76&lt;DATOS!$C$23/3,DATOS!$C$25*DATOS!$C$20*(1+3*(DATOS!$C$22-1)*$B76/DATOS!$C$23),IF($B76&lt;=DATOS!$C$23,DATOS!$C$25*DATOS!$C$20*DATOS!$C$22,IF($B76&lt;=4,DATOS!$C$25*DATOS!$C$20*DATOS!$C$22*(DATOS!$C$23/$B76)^(2/3),2.5*DATOS!$C$25*DATOS!$C$20*DATOS!$C$22*DATOS!$C$23^(2/3)/$B76^(4/3))))</f>
        <v>0.768</v>
      </c>
      <c r="D76" s="25">
        <f>$C76/COEFICIENTE!$C$12</f>
        <v>0.10971428571428572</v>
      </c>
      <c r="E76" s="25">
        <f>$C76/COEFICIENTE!$D$12</f>
        <v>0.10971428571428572</v>
      </c>
      <c r="F76" s="19">
        <f t="shared" si="0"/>
        <v>1.6125209393548379</v>
      </c>
      <c r="G76" s="19">
        <f>IF($B76&lt;DATOS!$C$42,DATOS!$C$40*(0.4+0.6*$B76/DATOS!$C$42),IF($B76&lt;=DATOS!$C$43,DATOS!$C$40,IF($B76&lt;=DATOS!$C$44,DATOS!$C$41/$B76,DATOS!$C$41*DATOS!$C$44/$B76^2)))</f>
        <v>1.075013959569892</v>
      </c>
      <c r="H76" s="19">
        <f>$G76*DATOS!$C$46/COEFICIENTE!$C$35</f>
        <v>0.3071468455913977</v>
      </c>
      <c r="I76" s="19">
        <f>$G76*DATOS!$C$46/COEFICIENTE!$D$35</f>
        <v>0.3071468455913977</v>
      </c>
      <c r="J76" s="19">
        <f>$D76*DATOS!$C$12</f>
        <v>0.15689142857142857</v>
      </c>
      <c r="K76" s="19">
        <f>$E76*DATOS!$C$12</f>
        <v>0.15689142857142857</v>
      </c>
      <c r="L76" s="7">
        <f t="shared" si="1"/>
        <v>1.9577031606386437</v>
      </c>
      <c r="M76" s="7">
        <f t="shared" si="2"/>
        <v>1.9577031606386437</v>
      </c>
      <c r="N76" s="10" t="str">
        <f>IF(DATOS!$C$9="NO","—",IF(AND($L76&gt;=1,$M76&gt;=1),"OK","CALIBRAR"))</f>
        <v>—</v>
      </c>
      <c r="O76" s="25">
        <f>IF(STAAD!$C$17="ASCE 7-16",$G76,$C76)</f>
        <v>0.768</v>
      </c>
      <c r="Q76" s="26">
        <v>0.06</v>
      </c>
      <c r="R76" s="27">
        <v>0.01</v>
      </c>
    </row>
    <row r="77" spans="2:21" ht="31.5" customHeight="1" x14ac:dyDescent="0.3">
      <c r="B77" s="24">
        <f>IF(ABS($Q77-DATOS!$C$23/3)&lt;$R77,DATOS!$C$23/3,IF(ABS($Q77-DATOS!$C$23)&lt;$R77,DATOS!$C$23,IF(ABS($Q77-DATOS!$C$42)&lt;$R77,DATOS!$C$42,IF(ABS($Q77-DATOS!$C$43)&lt;$R77,DATOS!$C$43,IF(ABS($Q77-DATOS!$C$44)&lt;$R77,DATOS!$C$44,$Q77)))))</f>
        <v>0.08</v>
      </c>
      <c r="C77" s="19">
        <f>IF($B77&lt;DATOS!$C$23/3,DATOS!$C$25*DATOS!$C$20*(1+3*(DATOS!$C$22-1)*$B77/DATOS!$C$23),IF($B77&lt;=DATOS!$C$23,DATOS!$C$25*DATOS!$C$20*DATOS!$C$22,IF($B77&lt;=4,DATOS!$C$25*DATOS!$C$20*DATOS!$C$22*(DATOS!$C$23/$B77)^(2/3),2.5*DATOS!$C$25*DATOS!$C$20*DATOS!$C$22*DATOS!$C$23^(2/3)/$B77^(4/3))))</f>
        <v>0.864</v>
      </c>
      <c r="D77" s="25">
        <f>$C77/COEFICIENTE!$C$12</f>
        <v>0.12342857142857143</v>
      </c>
      <c r="E77" s="25">
        <f>$C77/COEFICIENTE!$D$12</f>
        <v>0.12342857142857143</v>
      </c>
      <c r="F77" s="19">
        <f t="shared" si="0"/>
        <v>1.808214585806451</v>
      </c>
      <c r="G77" s="19">
        <f>IF($B77&lt;DATOS!$C$42,DATOS!$C$40*(0.4+0.6*$B77/DATOS!$C$42),IF($B77&lt;=DATOS!$C$43,DATOS!$C$40,IF($B77&lt;=DATOS!$C$44,DATOS!$C$41/$B77,DATOS!$C$41*DATOS!$C$44/$B77^2)))</f>
        <v>1.205476390537634</v>
      </c>
      <c r="H77" s="19">
        <f>$G77*DATOS!$C$46/COEFICIENTE!$C$35</f>
        <v>0.34442182586789544</v>
      </c>
      <c r="I77" s="19">
        <f>$G77*DATOS!$C$46/COEFICIENTE!$D$35</f>
        <v>0.34442182586789544</v>
      </c>
      <c r="J77" s="19">
        <f>$D77*DATOS!$C$12</f>
        <v>0.17650285714285713</v>
      </c>
      <c r="K77" s="19">
        <f>$E77*DATOS!$C$12</f>
        <v>0.17650285714285713</v>
      </c>
      <c r="L77" s="7">
        <f t="shared" si="1"/>
        <v>1.9513668585496537</v>
      </c>
      <c r="M77" s="7">
        <f t="shared" si="2"/>
        <v>1.9513668585496537</v>
      </c>
      <c r="N77" s="10" t="str">
        <f>IF(DATOS!$C$9="NO","—",IF(AND($L77&gt;=1,$M77&gt;=1),"OK","CALIBRAR"))</f>
        <v>—</v>
      </c>
      <c r="O77" s="25">
        <f>IF(STAAD!$C$17="ASCE 7-16",$G77,$C77)</f>
        <v>0.864</v>
      </c>
      <c r="Q77" s="26">
        <v>0.08</v>
      </c>
      <c r="R77" s="27">
        <v>0.01</v>
      </c>
    </row>
    <row r="78" spans="2:21" ht="31.5" customHeight="1" x14ac:dyDescent="0.3">
      <c r="B78" s="24">
        <f>IF(ABS($Q78-DATOS!$C$23/3)&lt;$R78,DATOS!$C$23/3,IF(ABS($Q78-DATOS!$C$23)&lt;$R78,DATOS!$C$23,IF(ABS($Q78-DATOS!$C$42)&lt;$R78,DATOS!$C$42,IF(ABS($Q78-DATOS!$C$43)&lt;$R78,DATOS!$C$43,IF(ABS($Q78-DATOS!$C$44)&lt;$R78,DATOS!$C$44,$Q78)))))</f>
        <v>0.1</v>
      </c>
      <c r="C78" s="19">
        <f>IF($B78&lt;DATOS!$C$23/3,DATOS!$C$25*DATOS!$C$20*(1+3*(DATOS!$C$22-1)*$B78/DATOS!$C$23),IF($B78&lt;=DATOS!$C$23,DATOS!$C$25*DATOS!$C$20*DATOS!$C$22,IF($B78&lt;=4,DATOS!$C$25*DATOS!$C$20*DATOS!$C$22*(DATOS!$C$23/$B78)^(2/3),2.5*DATOS!$C$25*DATOS!$C$20*DATOS!$C$22*DATOS!$C$23^(2/3)/$B78^(4/3))))</f>
        <v>0.96</v>
      </c>
      <c r="D78" s="25">
        <f>$C78/COEFICIENTE!$C$12</f>
        <v>0.13714285714285715</v>
      </c>
      <c r="E78" s="25">
        <f>$C78/COEFICIENTE!$D$12</f>
        <v>0.13714285714285715</v>
      </c>
      <c r="F78" s="19">
        <f t="shared" si="0"/>
        <v>2.0039082322580635</v>
      </c>
      <c r="G78" s="19">
        <f>IF($B78&lt;DATOS!$C$42,DATOS!$C$40*(0.4+0.6*$B78/DATOS!$C$42),IF($B78&lt;=DATOS!$C$43,DATOS!$C$40,IF($B78&lt;=DATOS!$C$44,DATOS!$C$41/$B78,DATOS!$C$41*DATOS!$C$44/$B78^2)))</f>
        <v>1.3359388215053758</v>
      </c>
      <c r="H78" s="19">
        <f>$G78*DATOS!$C$46/COEFICIENTE!$C$35</f>
        <v>0.3816968061443931</v>
      </c>
      <c r="I78" s="19">
        <f>$G78*DATOS!$C$46/COEFICIENTE!$D$35</f>
        <v>0.3816968061443931</v>
      </c>
      <c r="J78" s="19">
        <f>$D78*DATOS!$C$12</f>
        <v>0.1961142857142857</v>
      </c>
      <c r="K78" s="19">
        <f>$E78*DATOS!$C$12</f>
        <v>0.1961142857142857</v>
      </c>
      <c r="L78" s="7">
        <f t="shared" si="1"/>
        <v>1.9462978168784613</v>
      </c>
      <c r="M78" s="7">
        <f t="shared" si="2"/>
        <v>1.9462978168784613</v>
      </c>
      <c r="N78" s="10" t="str">
        <f>IF(DATOS!$C$9="NO","—",IF(AND($L78&gt;=1,$M78&gt;=1),"OK","CALIBRAR"))</f>
        <v>—</v>
      </c>
      <c r="O78" s="25">
        <f>IF(STAAD!$C$17="ASCE 7-16",$G78,$C78)</f>
        <v>0.96</v>
      </c>
      <c r="Q78" s="26">
        <v>0.1</v>
      </c>
      <c r="R78" s="27">
        <v>0.01</v>
      </c>
    </row>
    <row r="79" spans="2:21" ht="31.5" customHeight="1" x14ac:dyDescent="0.3">
      <c r="B79" s="24">
        <f>IF(ABS($Q79-DATOS!$C$23/3)&lt;$R79,DATOS!$C$23/3,IF(ABS($Q79-DATOS!$C$23)&lt;$R79,DATOS!$C$23,IF(ABS($Q79-DATOS!$C$42)&lt;$R79,DATOS!$C$42,IF(ABS($Q79-DATOS!$C$43)&lt;$R79,DATOS!$C$43,IF(ABS($Q79-DATOS!$C$44)&lt;$R79,DATOS!$C$44,$Q79)))))</f>
        <v>0.12</v>
      </c>
      <c r="C79" s="19">
        <f>IF($B79&lt;DATOS!$C$23/3,DATOS!$C$25*DATOS!$C$20*(1+3*(DATOS!$C$22-1)*$B79/DATOS!$C$23),IF($B79&lt;=DATOS!$C$23,DATOS!$C$25*DATOS!$C$20*DATOS!$C$22,IF($B79&lt;=4,DATOS!$C$25*DATOS!$C$20*DATOS!$C$22*(DATOS!$C$23/$B79)^(2/3),2.5*DATOS!$C$25*DATOS!$C$20*DATOS!$C$22*DATOS!$C$23^(2/3)/$B79^(4/3))))</f>
        <v>1.056</v>
      </c>
      <c r="D79" s="25">
        <f>$C79/COEFICIENTE!$C$12</f>
        <v>0.15085714285714286</v>
      </c>
      <c r="E79" s="25">
        <f>$C79/COEFICIENTE!$D$12</f>
        <v>0.15085714285714286</v>
      </c>
      <c r="F79" s="19">
        <f t="shared" si="0"/>
        <v>2.199601878709677</v>
      </c>
      <c r="G79" s="19">
        <f>IF($B79&lt;DATOS!$C$42,DATOS!$C$40*(0.4+0.6*$B79/DATOS!$C$42),IF($B79&lt;=DATOS!$C$43,DATOS!$C$40,IF($B79&lt;=DATOS!$C$44,DATOS!$C$41/$B79,DATOS!$C$41*DATOS!$C$44/$B79^2)))</f>
        <v>1.4664012524731178</v>
      </c>
      <c r="H79" s="19">
        <f>$G79*DATOS!$C$46/COEFICIENTE!$C$35</f>
        <v>0.4189717864208908</v>
      </c>
      <c r="I79" s="19">
        <f>$G79*DATOS!$C$46/COEFICIENTE!$D$35</f>
        <v>0.4189717864208908</v>
      </c>
      <c r="J79" s="19">
        <f>$D79*DATOS!$C$12</f>
        <v>0.21572571428571427</v>
      </c>
      <c r="K79" s="19">
        <f>$E79*DATOS!$C$12</f>
        <v>0.21572571428571427</v>
      </c>
      <c r="L79" s="7">
        <f t="shared" si="1"/>
        <v>1.942150419147486</v>
      </c>
      <c r="M79" s="7">
        <f t="shared" si="2"/>
        <v>1.942150419147486</v>
      </c>
      <c r="N79" s="10" t="str">
        <f>IF(DATOS!$C$9="NO","—",IF(AND($L79&gt;=1,$M79&gt;=1),"OK","CALIBRAR"))</f>
        <v>—</v>
      </c>
      <c r="O79" s="25">
        <f>IF(STAAD!$C$17="ASCE 7-16",$G79,$C79)</f>
        <v>1.056</v>
      </c>
      <c r="Q79" s="26">
        <v>0.12</v>
      </c>
      <c r="R79" s="27">
        <v>0.01</v>
      </c>
    </row>
    <row r="80" spans="2:21" ht="31.5" customHeight="1" x14ac:dyDescent="0.3">
      <c r="B80" s="24">
        <f>IF(ABS($Q80-DATOS!$C$23/3)&lt;$R80,DATOS!$C$23/3,IF(ABS($Q80-DATOS!$C$23)&lt;$R80,DATOS!$C$23,IF(ABS($Q80-DATOS!$C$42)&lt;$R80,DATOS!$C$42,IF(ABS($Q80-DATOS!$C$43)&lt;$R80,DATOS!$C$43,IF(ABS($Q80-DATOS!$C$44)&lt;$R80,DATOS!$C$44,$Q80)))))</f>
        <v>0.14</v>
      </c>
      <c r="C80" s="19">
        <f>IF($B80&lt;DATOS!$C$23/3,DATOS!$C$25*DATOS!$C$20*(1+3*(DATOS!$C$22-1)*$B80/DATOS!$C$23),IF($B80&lt;=DATOS!$C$23,DATOS!$C$25*DATOS!$C$20*DATOS!$C$22,IF($B80&lt;=4,DATOS!$C$25*DATOS!$C$20*DATOS!$C$22*(DATOS!$C$23/$B80)^(2/3),2.5*DATOS!$C$25*DATOS!$C$20*DATOS!$C$22*DATOS!$C$23^(2/3)/$B80^(4/3))))</f>
        <v>1.1520000000000001</v>
      </c>
      <c r="D80" s="25">
        <f>$C80/COEFICIENTE!$C$12</f>
        <v>0.1645714285714286</v>
      </c>
      <c r="E80" s="25">
        <f>$C80/COEFICIENTE!$D$12</f>
        <v>0.1645714285714286</v>
      </c>
      <c r="F80" s="19">
        <f t="shared" si="0"/>
        <v>2.3952955251612895</v>
      </c>
      <c r="G80" s="19">
        <f>IF($B80&lt;DATOS!$C$42,DATOS!$C$40*(0.4+0.6*$B80/DATOS!$C$42),IF($B80&lt;=DATOS!$C$43,DATOS!$C$40,IF($B80&lt;=DATOS!$C$44,DATOS!$C$41/$B80,DATOS!$C$41*DATOS!$C$44/$B80^2)))</f>
        <v>1.5968636834408598</v>
      </c>
      <c r="H80" s="19">
        <f>$G80*DATOS!$C$46/COEFICIENTE!$C$35</f>
        <v>0.4562467666973885</v>
      </c>
      <c r="I80" s="19">
        <f>$G80*DATOS!$C$46/COEFICIENTE!$D$35</f>
        <v>0.4562467666973885</v>
      </c>
      <c r="J80" s="19">
        <f>$D80*DATOS!$C$12</f>
        <v>0.23533714285714288</v>
      </c>
      <c r="K80" s="19">
        <f>$E80*DATOS!$C$12</f>
        <v>0.23533714285714288</v>
      </c>
      <c r="L80" s="7">
        <f t="shared" si="1"/>
        <v>1.938694254371673</v>
      </c>
      <c r="M80" s="7">
        <f t="shared" si="2"/>
        <v>1.938694254371673</v>
      </c>
      <c r="N80" s="10" t="str">
        <f>IF(DATOS!$C$9="NO","—",IF(AND($L80&gt;=1,$M80&gt;=1),"OK","CALIBRAR"))</f>
        <v>—</v>
      </c>
      <c r="O80" s="25">
        <f>IF(STAAD!$C$17="ASCE 7-16",$G80,$C80)</f>
        <v>1.1520000000000001</v>
      </c>
      <c r="Q80" s="26">
        <v>0.14000000000000001</v>
      </c>
      <c r="R80" s="27">
        <v>0.01</v>
      </c>
    </row>
    <row r="81" spans="2:18" ht="31.5" customHeight="1" x14ac:dyDescent="0.3">
      <c r="B81" s="24">
        <f>IF(ABS($Q81-DATOS!$C$23/3)&lt;$R81,DATOS!$C$23/3,IF(ABS($Q81-DATOS!$C$23)&lt;$R81,DATOS!$C$23,IF(ABS($Q81-DATOS!$C$42)&lt;$R81,DATOS!$C$42,IF(ABS($Q81-DATOS!$C$43)&lt;$R81,DATOS!$C$43,IF(ABS($Q81-DATOS!$C$44)&lt;$R81,DATOS!$C$44,$Q81)))))</f>
        <v>0.15720081135902642</v>
      </c>
      <c r="C81" s="19">
        <f>IF($B81&lt;DATOS!$C$23/3,DATOS!$C$25*DATOS!$C$20*(1+3*(DATOS!$C$22-1)*$B81/DATOS!$C$23),IF($B81&lt;=DATOS!$C$23,DATOS!$C$25*DATOS!$C$20*DATOS!$C$22,IF($B81&lt;=4,DATOS!$C$25*DATOS!$C$20*DATOS!$C$22*(DATOS!$C$23/$B81)^(2/3),2.5*DATOS!$C$25*DATOS!$C$20*DATOS!$C$22*DATOS!$C$23^(2/3)/$B81^(4/3))))</f>
        <v>1.2345638945233268</v>
      </c>
      <c r="D81" s="25">
        <f>$C81/COEFICIENTE!$C$12</f>
        <v>0.17636627064618954</v>
      </c>
      <c r="E81" s="25">
        <f>$C81/COEFICIENTE!$D$12</f>
        <v>0.17636627064618954</v>
      </c>
      <c r="F81" s="19">
        <f t="shared" si="0"/>
        <v>2.563599999999999</v>
      </c>
      <c r="G81" s="19">
        <f>IF($B81&lt;DATOS!$C$42,DATOS!$C$40*(0.4+0.6*$B81/DATOS!$C$42),IF($B81&lt;=DATOS!$C$43,DATOS!$C$40,IF($B81&lt;=DATOS!$C$44,DATOS!$C$41/$B81,DATOS!$C$41*DATOS!$C$44/$B81^2)))</f>
        <v>1.7090666666666663</v>
      </c>
      <c r="H81" s="19">
        <f>$G81*DATOS!$C$46/COEFICIENTE!$C$35</f>
        <v>0.4883047619047618</v>
      </c>
      <c r="I81" s="19">
        <f>$G81*DATOS!$C$46/COEFICIENTE!$D$35</f>
        <v>0.4883047619047618</v>
      </c>
      <c r="J81" s="19">
        <f>$D81*DATOS!$C$12</f>
        <v>0.252203767024051</v>
      </c>
      <c r="K81" s="19">
        <f>$E81*DATOS!$C$12</f>
        <v>0.252203767024051</v>
      </c>
      <c r="L81" s="7">
        <f t="shared" si="1"/>
        <v>1.9361517382022109</v>
      </c>
      <c r="M81" s="7">
        <f t="shared" si="2"/>
        <v>1.9361517382022109</v>
      </c>
      <c r="N81" s="10" t="str">
        <f>IF(DATOS!$C$9="NO","—",IF(AND($L81&gt;=1,$M81&gt;=1),"OK","CALIBRAR"))</f>
        <v>—</v>
      </c>
      <c r="O81" s="25">
        <f>IF(STAAD!$C$17="ASCE 7-16",$G81,$C81)</f>
        <v>1.2345638945233268</v>
      </c>
      <c r="Q81" s="26">
        <v>0.16</v>
      </c>
      <c r="R81" s="27">
        <v>0.01</v>
      </c>
    </row>
    <row r="82" spans="2:18" ht="31.5" customHeight="1" x14ac:dyDescent="0.3">
      <c r="B82" s="24">
        <f>IF(ABS($Q82-DATOS!$C$23/3)&lt;$R82,DATOS!$C$23/3,IF(ABS($Q82-DATOS!$C$23)&lt;$R82,DATOS!$C$23,IF(ABS($Q82-DATOS!$C$42)&lt;$R82,DATOS!$C$42,IF(ABS($Q82-DATOS!$C$43)&lt;$R82,DATOS!$C$43,IF(ABS($Q82-DATOS!$C$44)&lt;$R82,DATOS!$C$44,$Q82)))))</f>
        <v>0.18</v>
      </c>
      <c r="C82" s="19">
        <f>IF($B82&lt;DATOS!$C$23/3,DATOS!$C$25*DATOS!$C$20*(1+3*(DATOS!$C$22-1)*$B82/DATOS!$C$23),IF($B82&lt;=DATOS!$C$23,DATOS!$C$25*DATOS!$C$20*DATOS!$C$22,IF($B82&lt;=4,DATOS!$C$25*DATOS!$C$20*DATOS!$C$22*(DATOS!$C$23/$B82)^(2/3),2.5*DATOS!$C$25*DATOS!$C$20*DATOS!$C$22*DATOS!$C$23^(2/3)/$B82^(4/3))))</f>
        <v>1.344</v>
      </c>
      <c r="D82" s="25">
        <f>$C82/COEFICIENTE!$C$12</f>
        <v>0.192</v>
      </c>
      <c r="E82" s="25">
        <f>$C82/COEFICIENTE!$D$12</f>
        <v>0.192</v>
      </c>
      <c r="F82" s="19">
        <f t="shared" si="0"/>
        <v>2.563599999999999</v>
      </c>
      <c r="G82" s="19">
        <f>IF($B82&lt;DATOS!$C$42,DATOS!$C$40*(0.4+0.6*$B82/DATOS!$C$42),IF($B82&lt;=DATOS!$C$43,DATOS!$C$40,IF($B82&lt;=DATOS!$C$44,DATOS!$C$41/$B82,DATOS!$C$41*DATOS!$C$44/$B82^2)))</f>
        <v>1.7090666666666663</v>
      </c>
      <c r="H82" s="19">
        <f>$G82*DATOS!$C$46/COEFICIENTE!$C$35</f>
        <v>0.4883047619047618</v>
      </c>
      <c r="I82" s="19">
        <f>$G82*DATOS!$C$46/COEFICIENTE!$D$35</f>
        <v>0.4883047619047618</v>
      </c>
      <c r="J82" s="19">
        <f>$D82*DATOS!$C$12</f>
        <v>0.27455999999999997</v>
      </c>
      <c r="K82" s="19">
        <f>$E82*DATOS!$C$12</f>
        <v>0.27455999999999997</v>
      </c>
      <c r="L82" s="7">
        <f t="shared" si="1"/>
        <v>1.7784992784992784</v>
      </c>
      <c r="M82" s="7">
        <f t="shared" si="2"/>
        <v>1.7784992784992784</v>
      </c>
      <c r="N82" s="10" t="str">
        <f>IF(DATOS!$C$9="NO","—",IF(AND($L82&gt;=1,$M82&gt;=1),"OK","CALIBRAR"))</f>
        <v>—</v>
      </c>
      <c r="O82" s="25">
        <f>IF(STAAD!$C$17="ASCE 7-16",$G82,$C82)</f>
        <v>1.344</v>
      </c>
      <c r="Q82" s="26">
        <v>0.18</v>
      </c>
      <c r="R82" s="27">
        <v>0.01</v>
      </c>
    </row>
    <row r="83" spans="2:18" ht="31.5" customHeight="1" x14ac:dyDescent="0.3">
      <c r="B83" s="24">
        <f>IF(ABS($Q83-DATOS!$C$23/3)&lt;$R83,DATOS!$C$23/3,IF(ABS($Q83-DATOS!$C$23)&lt;$R83,DATOS!$C$23,IF(ABS($Q83-DATOS!$C$42)&lt;$R83,DATOS!$C$42,IF(ABS($Q83-DATOS!$C$43)&lt;$R83,DATOS!$C$43,IF(ABS($Q83-DATOS!$C$44)&lt;$R83,DATOS!$C$44,$Q83)))))</f>
        <v>0.19999999999999998</v>
      </c>
      <c r="C83" s="19">
        <f>IF($B83&lt;DATOS!$C$23/3,DATOS!$C$25*DATOS!$C$20*(1+3*(DATOS!$C$22-1)*$B83/DATOS!$C$23),IF($B83&lt;=DATOS!$C$23,DATOS!$C$25*DATOS!$C$20*DATOS!$C$22,IF($B83&lt;=4,DATOS!$C$25*DATOS!$C$20*DATOS!$C$22*(DATOS!$C$23/$B83)^(2/3),2.5*DATOS!$C$25*DATOS!$C$20*DATOS!$C$22*DATOS!$C$23^(2/3)/$B83^(4/3))))</f>
        <v>1.44</v>
      </c>
      <c r="D83" s="25">
        <f>$C83/COEFICIENTE!$C$12</f>
        <v>0.2057142857142857</v>
      </c>
      <c r="E83" s="25">
        <f>$C83/COEFICIENTE!$D$12</f>
        <v>0.2057142857142857</v>
      </c>
      <c r="F83" s="19">
        <f t="shared" si="0"/>
        <v>2.563599999999999</v>
      </c>
      <c r="G83" s="19">
        <f>IF($B83&lt;DATOS!$C$42,DATOS!$C$40*(0.4+0.6*$B83/DATOS!$C$42),IF($B83&lt;=DATOS!$C$43,DATOS!$C$40,IF($B83&lt;=DATOS!$C$44,DATOS!$C$41/$B83,DATOS!$C$41*DATOS!$C$44/$B83^2)))</f>
        <v>1.7090666666666663</v>
      </c>
      <c r="H83" s="19">
        <f>$G83*DATOS!$C$46/COEFICIENTE!$C$35</f>
        <v>0.4883047619047618</v>
      </c>
      <c r="I83" s="19">
        <f>$G83*DATOS!$C$46/COEFICIENTE!$D$35</f>
        <v>0.4883047619047618</v>
      </c>
      <c r="J83" s="19">
        <f>$D83*DATOS!$C$12</f>
        <v>0.29417142857142853</v>
      </c>
      <c r="K83" s="19">
        <f>$E83*DATOS!$C$12</f>
        <v>0.29417142857142853</v>
      </c>
      <c r="L83" s="7">
        <f t="shared" si="1"/>
        <v>1.6599326599326598</v>
      </c>
      <c r="M83" s="7">
        <f t="shared" si="2"/>
        <v>1.6599326599326598</v>
      </c>
      <c r="N83" s="10" t="str">
        <f>IF(DATOS!$C$9="NO","—",IF(AND($L83&gt;=1,$M83&gt;=1),"OK","CALIBRAR"))</f>
        <v>—</v>
      </c>
      <c r="O83" s="25">
        <f>IF(STAAD!$C$17="ASCE 7-16",$G83,$C83)</f>
        <v>1.44</v>
      </c>
      <c r="Q83" s="26">
        <v>0.2</v>
      </c>
      <c r="R83" s="27">
        <v>0.01</v>
      </c>
    </row>
    <row r="84" spans="2:18" ht="31.5" customHeight="1" x14ac:dyDescent="0.3">
      <c r="B84" s="24">
        <f>IF(ABS($Q84-DATOS!$C$23/3)&lt;$R84,DATOS!$C$23/3,IF(ABS($Q84-DATOS!$C$23)&lt;$R84,DATOS!$C$23,IF(ABS($Q84-DATOS!$C$42)&lt;$R84,DATOS!$C$42,IF(ABS($Q84-DATOS!$C$43)&lt;$R84,DATOS!$C$43,IF(ABS($Q84-DATOS!$C$44)&lt;$R84,DATOS!$C$44,$Q84)))))</f>
        <v>0.22</v>
      </c>
      <c r="C84" s="19">
        <f>IF($B84&lt;DATOS!$C$23/3,DATOS!$C$25*DATOS!$C$20*(1+3*(DATOS!$C$22-1)*$B84/DATOS!$C$23),IF($B84&lt;=DATOS!$C$23,DATOS!$C$25*DATOS!$C$20*DATOS!$C$22,IF($B84&lt;=4,DATOS!$C$25*DATOS!$C$20*DATOS!$C$22*(DATOS!$C$23/$B84)^(2/3),2.5*DATOS!$C$25*DATOS!$C$20*DATOS!$C$22*DATOS!$C$23^(2/3)/$B84^(4/3))))</f>
        <v>1.44</v>
      </c>
      <c r="D84" s="25">
        <f>$C84/COEFICIENTE!$C$12</f>
        <v>0.2057142857142857</v>
      </c>
      <c r="E84" s="25">
        <f>$C84/COEFICIENTE!$D$12</f>
        <v>0.2057142857142857</v>
      </c>
      <c r="F84" s="19">
        <f t="shared" si="0"/>
        <v>2.563599999999999</v>
      </c>
      <c r="G84" s="19">
        <f>IF($B84&lt;DATOS!$C$42,DATOS!$C$40*(0.4+0.6*$B84/DATOS!$C$42),IF($B84&lt;=DATOS!$C$43,DATOS!$C$40,IF($B84&lt;=DATOS!$C$44,DATOS!$C$41/$B84,DATOS!$C$41*DATOS!$C$44/$B84^2)))</f>
        <v>1.7090666666666663</v>
      </c>
      <c r="H84" s="19">
        <f>$G84*DATOS!$C$46/COEFICIENTE!$C$35</f>
        <v>0.4883047619047618</v>
      </c>
      <c r="I84" s="19">
        <f>$G84*DATOS!$C$46/COEFICIENTE!$D$35</f>
        <v>0.4883047619047618</v>
      </c>
      <c r="J84" s="19">
        <f>$D84*DATOS!$C$12</f>
        <v>0.29417142857142853</v>
      </c>
      <c r="K84" s="19">
        <f>$E84*DATOS!$C$12</f>
        <v>0.29417142857142853</v>
      </c>
      <c r="L84" s="7">
        <f t="shared" si="1"/>
        <v>1.6599326599326598</v>
      </c>
      <c r="M84" s="7">
        <f t="shared" si="2"/>
        <v>1.6599326599326598</v>
      </c>
      <c r="N84" s="10" t="str">
        <f>IF(DATOS!$C$9="NO","—",IF(AND($L84&gt;=1,$M84&gt;=1),"OK","CALIBRAR"))</f>
        <v>—</v>
      </c>
      <c r="O84" s="25">
        <f>IF(STAAD!$C$17="ASCE 7-16",$G84,$C84)</f>
        <v>1.44</v>
      </c>
      <c r="Q84" s="26">
        <v>0.22</v>
      </c>
      <c r="R84" s="27">
        <v>0.01</v>
      </c>
    </row>
    <row r="85" spans="2:18" ht="31.5" customHeight="1" x14ac:dyDescent="0.3">
      <c r="B85" s="24">
        <f>IF(ABS($Q85-DATOS!$C$23/3)&lt;$R85,DATOS!$C$23/3,IF(ABS($Q85-DATOS!$C$23)&lt;$R85,DATOS!$C$23,IF(ABS($Q85-DATOS!$C$42)&lt;$R85,DATOS!$C$42,IF(ABS($Q85-DATOS!$C$43)&lt;$R85,DATOS!$C$43,IF(ABS($Q85-DATOS!$C$44)&lt;$R85,DATOS!$C$44,$Q85)))))</f>
        <v>0.24</v>
      </c>
      <c r="C85" s="19">
        <f>IF($B85&lt;DATOS!$C$23/3,DATOS!$C$25*DATOS!$C$20*(1+3*(DATOS!$C$22-1)*$B85/DATOS!$C$23),IF($B85&lt;=DATOS!$C$23,DATOS!$C$25*DATOS!$C$20*DATOS!$C$22,IF($B85&lt;=4,DATOS!$C$25*DATOS!$C$20*DATOS!$C$22*(DATOS!$C$23/$B85)^(2/3),2.5*DATOS!$C$25*DATOS!$C$20*DATOS!$C$22*DATOS!$C$23^(2/3)/$B85^(4/3))))</f>
        <v>1.44</v>
      </c>
      <c r="D85" s="25">
        <f>$C85/COEFICIENTE!$C$12</f>
        <v>0.2057142857142857</v>
      </c>
      <c r="E85" s="25">
        <f>$C85/COEFICIENTE!$D$12</f>
        <v>0.2057142857142857</v>
      </c>
      <c r="F85" s="19">
        <f t="shared" si="0"/>
        <v>2.563599999999999</v>
      </c>
      <c r="G85" s="19">
        <f>IF($B85&lt;DATOS!$C$42,DATOS!$C$40*(0.4+0.6*$B85/DATOS!$C$42),IF($B85&lt;=DATOS!$C$43,DATOS!$C$40,IF($B85&lt;=DATOS!$C$44,DATOS!$C$41/$B85,DATOS!$C$41*DATOS!$C$44/$B85^2)))</f>
        <v>1.7090666666666663</v>
      </c>
      <c r="H85" s="19">
        <f>$G85*DATOS!$C$46/COEFICIENTE!$C$35</f>
        <v>0.4883047619047618</v>
      </c>
      <c r="I85" s="19">
        <f>$G85*DATOS!$C$46/COEFICIENTE!$D$35</f>
        <v>0.4883047619047618</v>
      </c>
      <c r="J85" s="19">
        <f>$D85*DATOS!$C$12</f>
        <v>0.29417142857142853</v>
      </c>
      <c r="K85" s="19">
        <f>$E85*DATOS!$C$12</f>
        <v>0.29417142857142853</v>
      </c>
      <c r="L85" s="7">
        <f t="shared" si="1"/>
        <v>1.6599326599326598</v>
      </c>
      <c r="M85" s="7">
        <f t="shared" si="2"/>
        <v>1.6599326599326598</v>
      </c>
      <c r="N85" s="10" t="str">
        <f>IF(DATOS!$C$9="NO","—",IF(AND($L85&gt;=1,$M85&gt;=1),"OK","CALIBRAR"))</f>
        <v>—</v>
      </c>
      <c r="O85" s="25">
        <f>IF(STAAD!$C$17="ASCE 7-16",$G85,$C85)</f>
        <v>1.44</v>
      </c>
      <c r="Q85" s="26">
        <v>0.24</v>
      </c>
      <c r="R85" s="27">
        <v>0.01</v>
      </c>
    </row>
    <row r="86" spans="2:18" ht="31.5" customHeight="1" x14ac:dyDescent="0.3">
      <c r="B86" s="24">
        <f>IF(ABS($Q86-DATOS!$C$23/3)&lt;$R86,DATOS!$C$23/3,IF(ABS($Q86-DATOS!$C$23)&lt;$R86,DATOS!$C$23,IF(ABS($Q86-DATOS!$C$42)&lt;$R86,DATOS!$C$42,IF(ABS($Q86-DATOS!$C$43)&lt;$R86,DATOS!$C$43,IF(ABS($Q86-DATOS!$C$44)&lt;$R86,DATOS!$C$44,$Q86)))))</f>
        <v>0.26</v>
      </c>
      <c r="C86" s="19">
        <f>IF($B86&lt;DATOS!$C$23/3,DATOS!$C$25*DATOS!$C$20*(1+3*(DATOS!$C$22-1)*$B86/DATOS!$C$23),IF($B86&lt;=DATOS!$C$23,DATOS!$C$25*DATOS!$C$20*DATOS!$C$22,IF($B86&lt;=4,DATOS!$C$25*DATOS!$C$20*DATOS!$C$22*(DATOS!$C$23/$B86)^(2/3),2.5*DATOS!$C$25*DATOS!$C$20*DATOS!$C$22*DATOS!$C$23^(2/3)/$B86^(4/3))))</f>
        <v>1.44</v>
      </c>
      <c r="D86" s="25">
        <f>$C86/COEFICIENTE!$C$12</f>
        <v>0.2057142857142857</v>
      </c>
      <c r="E86" s="25">
        <f>$C86/COEFICIENTE!$D$12</f>
        <v>0.2057142857142857</v>
      </c>
      <c r="F86" s="19">
        <f t="shared" si="0"/>
        <v>2.563599999999999</v>
      </c>
      <c r="G86" s="19">
        <f>IF($B86&lt;DATOS!$C$42,DATOS!$C$40*(0.4+0.6*$B86/DATOS!$C$42),IF($B86&lt;=DATOS!$C$43,DATOS!$C$40,IF($B86&lt;=DATOS!$C$44,DATOS!$C$41/$B86,DATOS!$C$41*DATOS!$C$44/$B86^2)))</f>
        <v>1.7090666666666663</v>
      </c>
      <c r="H86" s="19">
        <f>$G86*DATOS!$C$46/COEFICIENTE!$C$35</f>
        <v>0.4883047619047618</v>
      </c>
      <c r="I86" s="19">
        <f>$G86*DATOS!$C$46/COEFICIENTE!$D$35</f>
        <v>0.4883047619047618</v>
      </c>
      <c r="J86" s="19">
        <f>$D86*DATOS!$C$12</f>
        <v>0.29417142857142853</v>
      </c>
      <c r="K86" s="19">
        <f>$E86*DATOS!$C$12</f>
        <v>0.29417142857142853</v>
      </c>
      <c r="L86" s="7">
        <f t="shared" si="1"/>
        <v>1.6599326599326598</v>
      </c>
      <c r="M86" s="7">
        <f t="shared" si="2"/>
        <v>1.6599326599326598</v>
      </c>
      <c r="N86" s="10" t="str">
        <f>IF(DATOS!$C$9="NO","—",IF(AND($L86&gt;=1,$M86&gt;=1),"OK","CALIBRAR"))</f>
        <v>—</v>
      </c>
      <c r="O86" s="25">
        <f>IF(STAAD!$C$17="ASCE 7-16",$G86,$C86)</f>
        <v>1.44</v>
      </c>
      <c r="Q86" s="26">
        <v>0.26</v>
      </c>
      <c r="R86" s="27">
        <v>0.01</v>
      </c>
    </row>
    <row r="87" spans="2:18" ht="31.5" customHeight="1" x14ac:dyDescent="0.3">
      <c r="B87" s="24">
        <f>IF(ABS($Q87-DATOS!$C$23/3)&lt;$R87,DATOS!$C$23/3,IF(ABS($Q87-DATOS!$C$23)&lt;$R87,DATOS!$C$23,IF(ABS($Q87-DATOS!$C$42)&lt;$R87,DATOS!$C$42,IF(ABS($Q87-DATOS!$C$43)&lt;$R87,DATOS!$C$43,IF(ABS($Q87-DATOS!$C$44)&lt;$R87,DATOS!$C$44,$Q87)))))</f>
        <v>0.28</v>
      </c>
      <c r="C87" s="19">
        <f>IF($B87&lt;DATOS!$C$23/3,DATOS!$C$25*DATOS!$C$20*(1+3*(DATOS!$C$22-1)*$B87/DATOS!$C$23),IF($B87&lt;=DATOS!$C$23,DATOS!$C$25*DATOS!$C$20*DATOS!$C$22,IF($B87&lt;=4,DATOS!$C$25*DATOS!$C$20*DATOS!$C$22*(DATOS!$C$23/$B87)^(2/3),2.5*DATOS!$C$25*DATOS!$C$20*DATOS!$C$22*DATOS!$C$23^(2/3)/$B87^(4/3))))</f>
        <v>1.44</v>
      </c>
      <c r="D87" s="25">
        <f>$C87/COEFICIENTE!$C$12</f>
        <v>0.2057142857142857</v>
      </c>
      <c r="E87" s="25">
        <f>$C87/COEFICIENTE!$D$12</f>
        <v>0.2057142857142857</v>
      </c>
      <c r="F87" s="19">
        <f t="shared" si="0"/>
        <v>2.563599999999999</v>
      </c>
      <c r="G87" s="19">
        <f>IF($B87&lt;DATOS!$C$42,DATOS!$C$40*(0.4+0.6*$B87/DATOS!$C$42),IF($B87&lt;=DATOS!$C$43,DATOS!$C$40,IF($B87&lt;=DATOS!$C$44,DATOS!$C$41/$B87,DATOS!$C$41*DATOS!$C$44/$B87^2)))</f>
        <v>1.7090666666666663</v>
      </c>
      <c r="H87" s="19">
        <f>$G87*DATOS!$C$46/COEFICIENTE!$C$35</f>
        <v>0.4883047619047618</v>
      </c>
      <c r="I87" s="19">
        <f>$G87*DATOS!$C$46/COEFICIENTE!$D$35</f>
        <v>0.4883047619047618</v>
      </c>
      <c r="J87" s="19">
        <f>$D87*DATOS!$C$12</f>
        <v>0.29417142857142853</v>
      </c>
      <c r="K87" s="19">
        <f>$E87*DATOS!$C$12</f>
        <v>0.29417142857142853</v>
      </c>
      <c r="L87" s="7">
        <f t="shared" si="1"/>
        <v>1.6599326599326598</v>
      </c>
      <c r="M87" s="7">
        <f t="shared" si="2"/>
        <v>1.6599326599326598</v>
      </c>
      <c r="N87" s="10" t="str">
        <f>IF(DATOS!$C$9="NO","—",IF(AND($L87&gt;=1,$M87&gt;=1),"OK","CALIBRAR"))</f>
        <v>—</v>
      </c>
      <c r="O87" s="25">
        <f>IF(STAAD!$C$17="ASCE 7-16",$G87,$C87)</f>
        <v>1.44</v>
      </c>
      <c r="Q87" s="26">
        <v>0.28000000000000003</v>
      </c>
      <c r="R87" s="27">
        <v>0.01</v>
      </c>
    </row>
    <row r="88" spans="2:18" ht="31.5" customHeight="1" x14ac:dyDescent="0.3">
      <c r="B88" s="24">
        <f>IF(ABS($Q88-DATOS!$C$23/3)&lt;$R88,DATOS!$C$23/3,IF(ABS($Q88-DATOS!$C$23)&lt;$R88,DATOS!$C$23,IF(ABS($Q88-DATOS!$C$42)&lt;$R88,DATOS!$C$42,IF(ABS($Q88-DATOS!$C$43)&lt;$R88,DATOS!$C$43,IF(ABS($Q88-DATOS!$C$44)&lt;$R88,DATOS!$C$44,$Q88)))))</f>
        <v>0.3</v>
      </c>
      <c r="C88" s="19">
        <f>IF($B88&lt;DATOS!$C$23/3,DATOS!$C$25*DATOS!$C$20*(1+3*(DATOS!$C$22-1)*$B88/DATOS!$C$23),IF($B88&lt;=DATOS!$C$23,DATOS!$C$25*DATOS!$C$20*DATOS!$C$22,IF($B88&lt;=4,DATOS!$C$25*DATOS!$C$20*DATOS!$C$22*(DATOS!$C$23/$B88)^(2/3),2.5*DATOS!$C$25*DATOS!$C$20*DATOS!$C$22*DATOS!$C$23^(2/3)/$B88^(4/3))))</f>
        <v>1.44</v>
      </c>
      <c r="D88" s="25">
        <f>$C88/COEFICIENTE!$C$12</f>
        <v>0.2057142857142857</v>
      </c>
      <c r="E88" s="25">
        <f>$C88/COEFICIENTE!$D$12</f>
        <v>0.2057142857142857</v>
      </c>
      <c r="F88" s="19">
        <f t="shared" si="0"/>
        <v>2.563599999999999</v>
      </c>
      <c r="G88" s="19">
        <f>IF($B88&lt;DATOS!$C$42,DATOS!$C$40*(0.4+0.6*$B88/DATOS!$C$42),IF($B88&lt;=DATOS!$C$43,DATOS!$C$40,IF($B88&lt;=DATOS!$C$44,DATOS!$C$41/$B88,DATOS!$C$41*DATOS!$C$44/$B88^2)))</f>
        <v>1.7090666666666663</v>
      </c>
      <c r="H88" s="19">
        <f>$G88*DATOS!$C$46/COEFICIENTE!$C$35</f>
        <v>0.4883047619047618</v>
      </c>
      <c r="I88" s="19">
        <f>$G88*DATOS!$C$46/COEFICIENTE!$D$35</f>
        <v>0.4883047619047618</v>
      </c>
      <c r="J88" s="19">
        <f>$D88*DATOS!$C$12</f>
        <v>0.29417142857142853</v>
      </c>
      <c r="K88" s="19">
        <f>$E88*DATOS!$C$12</f>
        <v>0.29417142857142853</v>
      </c>
      <c r="L88" s="7">
        <f t="shared" si="1"/>
        <v>1.6599326599326598</v>
      </c>
      <c r="M88" s="7">
        <f t="shared" si="2"/>
        <v>1.6599326599326598</v>
      </c>
      <c r="N88" s="10" t="str">
        <f>IF(DATOS!$C$9="NO","—",IF(AND($L88&gt;=1,$M88&gt;=1),"OK","CALIBRAR"))</f>
        <v>—</v>
      </c>
      <c r="O88" s="25">
        <f>IF(STAAD!$C$17="ASCE 7-16",$G88,$C88)</f>
        <v>1.44</v>
      </c>
      <c r="Q88" s="26">
        <v>0.3</v>
      </c>
      <c r="R88" s="27">
        <v>0.01</v>
      </c>
    </row>
    <row r="89" spans="2:18" ht="31.5" customHeight="1" x14ac:dyDescent="0.3">
      <c r="B89" s="24">
        <f>IF(ABS($Q89-DATOS!$C$23/3)&lt;$R89,DATOS!$C$23/3,IF(ABS($Q89-DATOS!$C$23)&lt;$R89,DATOS!$C$23,IF(ABS($Q89-DATOS!$C$42)&lt;$R89,DATOS!$C$42,IF(ABS($Q89-DATOS!$C$43)&lt;$R89,DATOS!$C$43,IF(ABS($Q89-DATOS!$C$44)&lt;$R89,DATOS!$C$44,$Q89)))))</f>
        <v>0.32</v>
      </c>
      <c r="C89" s="19">
        <f>IF($B89&lt;DATOS!$C$23/3,DATOS!$C$25*DATOS!$C$20*(1+3*(DATOS!$C$22-1)*$B89/DATOS!$C$23),IF($B89&lt;=DATOS!$C$23,DATOS!$C$25*DATOS!$C$20*DATOS!$C$22,IF($B89&lt;=4,DATOS!$C$25*DATOS!$C$20*DATOS!$C$22*(DATOS!$C$23/$B89)^(2/3),2.5*DATOS!$C$25*DATOS!$C$20*DATOS!$C$22*DATOS!$C$23^(2/3)/$B89^(4/3))))</f>
        <v>1.44</v>
      </c>
      <c r="D89" s="25">
        <f>$C89/COEFICIENTE!$C$12</f>
        <v>0.2057142857142857</v>
      </c>
      <c r="E89" s="25">
        <f>$C89/COEFICIENTE!$D$12</f>
        <v>0.2057142857142857</v>
      </c>
      <c r="F89" s="19">
        <f t="shared" si="0"/>
        <v>2.563599999999999</v>
      </c>
      <c r="G89" s="19">
        <f>IF($B89&lt;DATOS!$C$42,DATOS!$C$40*(0.4+0.6*$B89/DATOS!$C$42),IF($B89&lt;=DATOS!$C$43,DATOS!$C$40,IF($B89&lt;=DATOS!$C$44,DATOS!$C$41/$B89,DATOS!$C$41*DATOS!$C$44/$B89^2)))</f>
        <v>1.7090666666666663</v>
      </c>
      <c r="H89" s="19">
        <f>$G89*DATOS!$C$46/COEFICIENTE!$C$35</f>
        <v>0.4883047619047618</v>
      </c>
      <c r="I89" s="19">
        <f>$G89*DATOS!$C$46/COEFICIENTE!$D$35</f>
        <v>0.4883047619047618</v>
      </c>
      <c r="J89" s="19">
        <f>$D89*DATOS!$C$12</f>
        <v>0.29417142857142853</v>
      </c>
      <c r="K89" s="19">
        <f>$E89*DATOS!$C$12</f>
        <v>0.29417142857142853</v>
      </c>
      <c r="L89" s="7">
        <f t="shared" si="1"/>
        <v>1.6599326599326598</v>
      </c>
      <c r="M89" s="7">
        <f t="shared" si="2"/>
        <v>1.6599326599326598</v>
      </c>
      <c r="N89" s="10" t="str">
        <f>IF(DATOS!$C$9="NO","—",IF(AND($L89&gt;=1,$M89&gt;=1),"OK","CALIBRAR"))</f>
        <v>—</v>
      </c>
      <c r="O89" s="25">
        <f>IF(STAAD!$C$17="ASCE 7-16",$G89,$C89)</f>
        <v>1.44</v>
      </c>
      <c r="Q89" s="26">
        <v>0.32</v>
      </c>
      <c r="R89" s="27">
        <v>0.01</v>
      </c>
    </row>
    <row r="90" spans="2:18" ht="31.5" customHeight="1" x14ac:dyDescent="0.3">
      <c r="B90" s="24">
        <f>IF(ABS($Q90-DATOS!$C$23/3)&lt;$R90,DATOS!$C$23/3,IF(ABS($Q90-DATOS!$C$23)&lt;$R90,DATOS!$C$23,IF(ABS($Q90-DATOS!$C$42)&lt;$R90,DATOS!$C$42,IF(ABS($Q90-DATOS!$C$43)&lt;$R90,DATOS!$C$43,IF(ABS($Q90-DATOS!$C$44)&lt;$R90,DATOS!$C$44,$Q90)))))</f>
        <v>0.34</v>
      </c>
      <c r="C90" s="19">
        <f>IF($B90&lt;DATOS!$C$23/3,DATOS!$C$25*DATOS!$C$20*(1+3*(DATOS!$C$22-1)*$B90/DATOS!$C$23),IF($B90&lt;=DATOS!$C$23,DATOS!$C$25*DATOS!$C$20*DATOS!$C$22,IF($B90&lt;=4,DATOS!$C$25*DATOS!$C$20*DATOS!$C$22*(DATOS!$C$23/$B90)^(2/3),2.5*DATOS!$C$25*DATOS!$C$20*DATOS!$C$22*DATOS!$C$23^(2/3)/$B90^(4/3))))</f>
        <v>1.44</v>
      </c>
      <c r="D90" s="25">
        <f>$C90/COEFICIENTE!$C$12</f>
        <v>0.2057142857142857</v>
      </c>
      <c r="E90" s="25">
        <f>$C90/COEFICIENTE!$D$12</f>
        <v>0.2057142857142857</v>
      </c>
      <c r="F90" s="19">
        <f t="shared" si="0"/>
        <v>2.563599999999999</v>
      </c>
      <c r="G90" s="19">
        <f>IF($B90&lt;DATOS!$C$42,DATOS!$C$40*(0.4+0.6*$B90/DATOS!$C$42),IF($B90&lt;=DATOS!$C$43,DATOS!$C$40,IF($B90&lt;=DATOS!$C$44,DATOS!$C$41/$B90,DATOS!$C$41*DATOS!$C$44/$B90^2)))</f>
        <v>1.7090666666666663</v>
      </c>
      <c r="H90" s="19">
        <f>$G90*DATOS!$C$46/COEFICIENTE!$C$35</f>
        <v>0.4883047619047618</v>
      </c>
      <c r="I90" s="19">
        <f>$G90*DATOS!$C$46/COEFICIENTE!$D$35</f>
        <v>0.4883047619047618</v>
      </c>
      <c r="J90" s="19">
        <f>$D90*DATOS!$C$12</f>
        <v>0.29417142857142853</v>
      </c>
      <c r="K90" s="19">
        <f>$E90*DATOS!$C$12</f>
        <v>0.29417142857142853</v>
      </c>
      <c r="L90" s="7">
        <f t="shared" si="1"/>
        <v>1.6599326599326598</v>
      </c>
      <c r="M90" s="7">
        <f t="shared" si="2"/>
        <v>1.6599326599326598</v>
      </c>
      <c r="N90" s="10" t="str">
        <f>IF(DATOS!$C$9="NO","—",IF(AND($L90&gt;=1,$M90&gt;=1),"OK","CALIBRAR"))</f>
        <v>—</v>
      </c>
      <c r="O90" s="25">
        <f>IF(STAAD!$C$17="ASCE 7-16",$G90,$C90)</f>
        <v>1.44</v>
      </c>
      <c r="Q90" s="26">
        <v>0.34</v>
      </c>
      <c r="R90" s="27">
        <v>0.01</v>
      </c>
    </row>
    <row r="91" spans="2:18" ht="31.5" customHeight="1" x14ac:dyDescent="0.3">
      <c r="B91" s="24">
        <f>IF(ABS($Q91-DATOS!$C$23/3)&lt;$R91,DATOS!$C$23/3,IF(ABS($Q91-DATOS!$C$23)&lt;$R91,DATOS!$C$23,IF(ABS($Q91-DATOS!$C$42)&lt;$R91,DATOS!$C$42,IF(ABS($Q91-DATOS!$C$43)&lt;$R91,DATOS!$C$43,IF(ABS($Q91-DATOS!$C$44)&lt;$R91,DATOS!$C$44,$Q91)))))</f>
        <v>0.36</v>
      </c>
      <c r="C91" s="19">
        <f>IF($B91&lt;DATOS!$C$23/3,DATOS!$C$25*DATOS!$C$20*(1+3*(DATOS!$C$22-1)*$B91/DATOS!$C$23),IF($B91&lt;=DATOS!$C$23,DATOS!$C$25*DATOS!$C$20*DATOS!$C$22,IF($B91&lt;=4,DATOS!$C$25*DATOS!$C$20*DATOS!$C$22*(DATOS!$C$23/$B91)^(2/3),2.5*DATOS!$C$25*DATOS!$C$20*DATOS!$C$22*DATOS!$C$23^(2/3)/$B91^(4/3))))</f>
        <v>1.44</v>
      </c>
      <c r="D91" s="25">
        <f>$C91/COEFICIENTE!$C$12</f>
        <v>0.2057142857142857</v>
      </c>
      <c r="E91" s="25">
        <f>$C91/COEFICIENTE!$D$12</f>
        <v>0.2057142857142857</v>
      </c>
      <c r="F91" s="19">
        <f t="shared" si="0"/>
        <v>2.563599999999999</v>
      </c>
      <c r="G91" s="19">
        <f>IF($B91&lt;DATOS!$C$42,DATOS!$C$40*(0.4+0.6*$B91/DATOS!$C$42),IF($B91&lt;=DATOS!$C$43,DATOS!$C$40,IF($B91&lt;=DATOS!$C$44,DATOS!$C$41/$B91,DATOS!$C$41*DATOS!$C$44/$B91^2)))</f>
        <v>1.7090666666666663</v>
      </c>
      <c r="H91" s="19">
        <f>$G91*DATOS!$C$46/COEFICIENTE!$C$35</f>
        <v>0.4883047619047618</v>
      </c>
      <c r="I91" s="19">
        <f>$G91*DATOS!$C$46/COEFICIENTE!$D$35</f>
        <v>0.4883047619047618</v>
      </c>
      <c r="J91" s="19">
        <f>$D91*DATOS!$C$12</f>
        <v>0.29417142857142853</v>
      </c>
      <c r="K91" s="19">
        <f>$E91*DATOS!$C$12</f>
        <v>0.29417142857142853</v>
      </c>
      <c r="L91" s="7">
        <f t="shared" si="1"/>
        <v>1.6599326599326598</v>
      </c>
      <c r="M91" s="7">
        <f t="shared" si="2"/>
        <v>1.6599326599326598</v>
      </c>
      <c r="N91" s="10" t="str">
        <f>IF(DATOS!$C$9="NO","—",IF(AND($L91&gt;=1,$M91&gt;=1),"OK","CALIBRAR"))</f>
        <v>—</v>
      </c>
      <c r="O91" s="25">
        <f>IF(STAAD!$C$17="ASCE 7-16",$G91,$C91)</f>
        <v>1.44</v>
      </c>
      <c r="Q91" s="26">
        <v>0.36</v>
      </c>
      <c r="R91" s="27">
        <v>0.01</v>
      </c>
    </row>
    <row r="92" spans="2:18" ht="31.5" customHeight="1" x14ac:dyDescent="0.3">
      <c r="B92" s="24">
        <f>IF(ABS($Q92-DATOS!$C$23/3)&lt;$R92,DATOS!$C$23/3,IF(ABS($Q92-DATOS!$C$23)&lt;$R92,DATOS!$C$23,IF(ABS($Q92-DATOS!$C$42)&lt;$R92,DATOS!$C$42,IF(ABS($Q92-DATOS!$C$43)&lt;$R92,DATOS!$C$43,IF(ABS($Q92-DATOS!$C$44)&lt;$R92,DATOS!$C$44,$Q92)))))</f>
        <v>0.38</v>
      </c>
      <c r="C92" s="19">
        <f>IF($B92&lt;DATOS!$C$23/3,DATOS!$C$25*DATOS!$C$20*(1+3*(DATOS!$C$22-1)*$B92/DATOS!$C$23),IF($B92&lt;=DATOS!$C$23,DATOS!$C$25*DATOS!$C$20*DATOS!$C$22,IF($B92&lt;=4,DATOS!$C$25*DATOS!$C$20*DATOS!$C$22*(DATOS!$C$23/$B92)^(2/3),2.5*DATOS!$C$25*DATOS!$C$20*DATOS!$C$22*DATOS!$C$23^(2/3)/$B92^(4/3))))</f>
        <v>1.44</v>
      </c>
      <c r="D92" s="25">
        <f>$C92/COEFICIENTE!$C$12</f>
        <v>0.2057142857142857</v>
      </c>
      <c r="E92" s="25">
        <f>$C92/COEFICIENTE!$D$12</f>
        <v>0.2057142857142857</v>
      </c>
      <c r="F92" s="19">
        <f t="shared" si="0"/>
        <v>2.563599999999999</v>
      </c>
      <c r="G92" s="19">
        <f>IF($B92&lt;DATOS!$C$42,DATOS!$C$40*(0.4+0.6*$B92/DATOS!$C$42),IF($B92&lt;=DATOS!$C$43,DATOS!$C$40,IF($B92&lt;=DATOS!$C$44,DATOS!$C$41/$B92,DATOS!$C$41*DATOS!$C$44/$B92^2)))</f>
        <v>1.7090666666666663</v>
      </c>
      <c r="H92" s="19">
        <f>$G92*DATOS!$C$46/COEFICIENTE!$C$35</f>
        <v>0.4883047619047618</v>
      </c>
      <c r="I92" s="19">
        <f>$G92*DATOS!$C$46/COEFICIENTE!$D$35</f>
        <v>0.4883047619047618</v>
      </c>
      <c r="J92" s="19">
        <f>$D92*DATOS!$C$12</f>
        <v>0.29417142857142853</v>
      </c>
      <c r="K92" s="19">
        <f>$E92*DATOS!$C$12</f>
        <v>0.29417142857142853</v>
      </c>
      <c r="L92" s="7">
        <f t="shared" si="1"/>
        <v>1.6599326599326598</v>
      </c>
      <c r="M92" s="7">
        <f t="shared" si="2"/>
        <v>1.6599326599326598</v>
      </c>
      <c r="N92" s="10" t="str">
        <f>IF(DATOS!$C$9="NO","—",IF(AND($L92&gt;=1,$M92&gt;=1),"OK","CALIBRAR"))</f>
        <v>—</v>
      </c>
      <c r="O92" s="25">
        <f>IF(STAAD!$C$17="ASCE 7-16",$G92,$C92)</f>
        <v>1.44</v>
      </c>
      <c r="Q92" s="26">
        <v>0.38</v>
      </c>
      <c r="R92" s="27">
        <v>0.01</v>
      </c>
    </row>
    <row r="93" spans="2:18" ht="31.5" customHeight="1" x14ac:dyDescent="0.3">
      <c r="B93" s="24">
        <f>IF(ABS($Q93-DATOS!$C$23/3)&lt;$R93,DATOS!$C$23/3,IF(ABS($Q93-DATOS!$C$23)&lt;$R93,DATOS!$C$23,IF(ABS($Q93-DATOS!$C$42)&lt;$R93,DATOS!$C$42,IF(ABS($Q93-DATOS!$C$43)&lt;$R93,DATOS!$C$43,IF(ABS($Q93-DATOS!$C$44)&lt;$R93,DATOS!$C$44,$Q93)))))</f>
        <v>0.4</v>
      </c>
      <c r="C93" s="19">
        <f>IF($B93&lt;DATOS!$C$23/3,DATOS!$C$25*DATOS!$C$20*(1+3*(DATOS!$C$22-1)*$B93/DATOS!$C$23),IF($B93&lt;=DATOS!$C$23,DATOS!$C$25*DATOS!$C$20*DATOS!$C$22,IF($B93&lt;=4,DATOS!$C$25*DATOS!$C$20*DATOS!$C$22*(DATOS!$C$23/$B93)^(2/3),2.5*DATOS!$C$25*DATOS!$C$20*DATOS!$C$22*DATOS!$C$23^(2/3)/$B93^(4/3))))</f>
        <v>1.44</v>
      </c>
      <c r="D93" s="25">
        <f>$C93/COEFICIENTE!$C$12</f>
        <v>0.2057142857142857</v>
      </c>
      <c r="E93" s="25">
        <f>$C93/COEFICIENTE!$D$12</f>
        <v>0.2057142857142857</v>
      </c>
      <c r="F93" s="19">
        <f t="shared" si="0"/>
        <v>2.563599999999999</v>
      </c>
      <c r="G93" s="19">
        <f>IF($B93&lt;DATOS!$C$42,DATOS!$C$40*(0.4+0.6*$B93/DATOS!$C$42),IF($B93&lt;=DATOS!$C$43,DATOS!$C$40,IF($B93&lt;=DATOS!$C$44,DATOS!$C$41/$B93,DATOS!$C$41*DATOS!$C$44/$B93^2)))</f>
        <v>1.7090666666666663</v>
      </c>
      <c r="H93" s="19">
        <f>$G93*DATOS!$C$46/COEFICIENTE!$C$35</f>
        <v>0.4883047619047618</v>
      </c>
      <c r="I93" s="19">
        <f>$G93*DATOS!$C$46/COEFICIENTE!$D$35</f>
        <v>0.4883047619047618</v>
      </c>
      <c r="J93" s="19">
        <f>$D93*DATOS!$C$12</f>
        <v>0.29417142857142853</v>
      </c>
      <c r="K93" s="19">
        <f>$E93*DATOS!$C$12</f>
        <v>0.29417142857142853</v>
      </c>
      <c r="L93" s="7">
        <f t="shared" si="1"/>
        <v>1.6599326599326598</v>
      </c>
      <c r="M93" s="7">
        <f t="shared" si="2"/>
        <v>1.6599326599326598</v>
      </c>
      <c r="N93" s="10" t="str">
        <f>IF(DATOS!$C$9="NO","—",IF(AND($L93&gt;=1,$M93&gt;=1),"OK","CALIBRAR"))</f>
        <v>—</v>
      </c>
      <c r="O93" s="25">
        <f>IF(STAAD!$C$17="ASCE 7-16",$G93,$C93)</f>
        <v>1.44</v>
      </c>
      <c r="Q93" s="26">
        <v>0.4</v>
      </c>
      <c r="R93" s="27">
        <v>0.01</v>
      </c>
    </row>
    <row r="94" spans="2:18" ht="31.5" customHeight="1" x14ac:dyDescent="0.3">
      <c r="B94" s="24">
        <f>IF(ABS($Q94-DATOS!$C$23/3)&lt;$R94,DATOS!$C$23/3,IF(ABS($Q94-DATOS!$C$23)&lt;$R94,DATOS!$C$23,IF(ABS($Q94-DATOS!$C$42)&lt;$R94,DATOS!$C$42,IF(ABS($Q94-DATOS!$C$43)&lt;$R94,DATOS!$C$43,IF(ABS($Q94-DATOS!$C$44)&lt;$R94,DATOS!$C$44,$Q94)))))</f>
        <v>0.42</v>
      </c>
      <c r="C94" s="19">
        <f>IF($B94&lt;DATOS!$C$23/3,DATOS!$C$25*DATOS!$C$20*(1+3*(DATOS!$C$22-1)*$B94/DATOS!$C$23),IF($B94&lt;=DATOS!$C$23,DATOS!$C$25*DATOS!$C$20*DATOS!$C$22,IF($B94&lt;=4,DATOS!$C$25*DATOS!$C$20*DATOS!$C$22*(DATOS!$C$23/$B94)^(2/3),2.5*DATOS!$C$25*DATOS!$C$20*DATOS!$C$22*DATOS!$C$23^(2/3)/$B94^(4/3))))</f>
        <v>1.44</v>
      </c>
      <c r="D94" s="25">
        <f>$C94/COEFICIENTE!$C$12</f>
        <v>0.2057142857142857</v>
      </c>
      <c r="E94" s="25">
        <f>$C94/COEFICIENTE!$D$12</f>
        <v>0.2057142857142857</v>
      </c>
      <c r="F94" s="19">
        <f t="shared" si="0"/>
        <v>2.563599999999999</v>
      </c>
      <c r="G94" s="19">
        <f>IF($B94&lt;DATOS!$C$42,DATOS!$C$40*(0.4+0.6*$B94/DATOS!$C$42),IF($B94&lt;=DATOS!$C$43,DATOS!$C$40,IF($B94&lt;=DATOS!$C$44,DATOS!$C$41/$B94,DATOS!$C$41*DATOS!$C$44/$B94^2)))</f>
        <v>1.7090666666666663</v>
      </c>
      <c r="H94" s="19">
        <f>$G94*DATOS!$C$46/COEFICIENTE!$C$35</f>
        <v>0.4883047619047618</v>
      </c>
      <c r="I94" s="19">
        <f>$G94*DATOS!$C$46/COEFICIENTE!$D$35</f>
        <v>0.4883047619047618</v>
      </c>
      <c r="J94" s="19">
        <f>$D94*DATOS!$C$12</f>
        <v>0.29417142857142853</v>
      </c>
      <c r="K94" s="19">
        <f>$E94*DATOS!$C$12</f>
        <v>0.29417142857142853</v>
      </c>
      <c r="L94" s="7">
        <f t="shared" si="1"/>
        <v>1.6599326599326598</v>
      </c>
      <c r="M94" s="7">
        <f t="shared" si="2"/>
        <v>1.6599326599326598</v>
      </c>
      <c r="N94" s="10" t="str">
        <f>IF(DATOS!$C$9="NO","—",IF(AND($L94&gt;=1,$M94&gt;=1),"OK","CALIBRAR"))</f>
        <v>—</v>
      </c>
      <c r="O94" s="25">
        <f>IF(STAAD!$C$17="ASCE 7-16",$G94,$C94)</f>
        <v>1.44</v>
      </c>
      <c r="Q94" s="26">
        <v>0.42</v>
      </c>
      <c r="R94" s="27">
        <v>0.01</v>
      </c>
    </row>
    <row r="95" spans="2:18" ht="31.5" customHeight="1" x14ac:dyDescent="0.3">
      <c r="B95" s="24">
        <f>IF(ABS($Q95-DATOS!$C$23/3)&lt;$R95,DATOS!$C$23/3,IF(ABS($Q95-DATOS!$C$23)&lt;$R95,DATOS!$C$23,IF(ABS($Q95-DATOS!$C$42)&lt;$R95,DATOS!$C$42,IF(ABS($Q95-DATOS!$C$43)&lt;$R95,DATOS!$C$43,IF(ABS($Q95-DATOS!$C$44)&lt;$R95,DATOS!$C$44,$Q95)))))</f>
        <v>0.44</v>
      </c>
      <c r="C95" s="19">
        <f>IF($B95&lt;DATOS!$C$23/3,DATOS!$C$25*DATOS!$C$20*(1+3*(DATOS!$C$22-1)*$B95/DATOS!$C$23),IF($B95&lt;=DATOS!$C$23,DATOS!$C$25*DATOS!$C$20*DATOS!$C$22,IF($B95&lt;=4,DATOS!$C$25*DATOS!$C$20*DATOS!$C$22*(DATOS!$C$23/$B95)^(2/3),2.5*DATOS!$C$25*DATOS!$C$20*DATOS!$C$22*DATOS!$C$23^(2/3)/$B95^(4/3))))</f>
        <v>1.44</v>
      </c>
      <c r="D95" s="25">
        <f>$C95/COEFICIENTE!$C$12</f>
        <v>0.2057142857142857</v>
      </c>
      <c r="E95" s="25">
        <f>$C95/COEFICIENTE!$D$12</f>
        <v>0.2057142857142857</v>
      </c>
      <c r="F95" s="19">
        <f t="shared" si="0"/>
        <v>2.563599999999999</v>
      </c>
      <c r="G95" s="19">
        <f>IF($B95&lt;DATOS!$C$42,DATOS!$C$40*(0.4+0.6*$B95/DATOS!$C$42),IF($B95&lt;=DATOS!$C$43,DATOS!$C$40,IF($B95&lt;=DATOS!$C$44,DATOS!$C$41/$B95,DATOS!$C$41*DATOS!$C$44/$B95^2)))</f>
        <v>1.7090666666666663</v>
      </c>
      <c r="H95" s="19">
        <f>$G95*DATOS!$C$46/COEFICIENTE!$C$35</f>
        <v>0.4883047619047618</v>
      </c>
      <c r="I95" s="19">
        <f>$G95*DATOS!$C$46/COEFICIENTE!$D$35</f>
        <v>0.4883047619047618</v>
      </c>
      <c r="J95" s="19">
        <f>$D95*DATOS!$C$12</f>
        <v>0.29417142857142853</v>
      </c>
      <c r="K95" s="19">
        <f>$E95*DATOS!$C$12</f>
        <v>0.29417142857142853</v>
      </c>
      <c r="L95" s="7">
        <f t="shared" si="1"/>
        <v>1.6599326599326598</v>
      </c>
      <c r="M95" s="7">
        <f t="shared" si="2"/>
        <v>1.6599326599326598</v>
      </c>
      <c r="N95" s="10" t="str">
        <f>IF(DATOS!$C$9="NO","—",IF(AND($L95&gt;=1,$M95&gt;=1),"OK","CALIBRAR"))</f>
        <v>—</v>
      </c>
      <c r="O95" s="25">
        <f>IF(STAAD!$C$17="ASCE 7-16",$G95,$C95)</f>
        <v>1.44</v>
      </c>
      <c r="Q95" s="26">
        <v>0.44</v>
      </c>
      <c r="R95" s="27">
        <v>0.01</v>
      </c>
    </row>
    <row r="96" spans="2:18" ht="31.5" customHeight="1" x14ac:dyDescent="0.3">
      <c r="B96" s="24">
        <f>IF(ABS($Q96-DATOS!$C$23/3)&lt;$R96,DATOS!$C$23/3,IF(ABS($Q96-DATOS!$C$23)&lt;$R96,DATOS!$C$23,IF(ABS($Q96-DATOS!$C$42)&lt;$R96,DATOS!$C$42,IF(ABS($Q96-DATOS!$C$43)&lt;$R96,DATOS!$C$43,IF(ABS($Q96-DATOS!$C$44)&lt;$R96,DATOS!$C$44,$Q96)))))</f>
        <v>0.46</v>
      </c>
      <c r="C96" s="19">
        <f>IF($B96&lt;DATOS!$C$23/3,DATOS!$C$25*DATOS!$C$20*(1+3*(DATOS!$C$22-1)*$B96/DATOS!$C$23),IF($B96&lt;=DATOS!$C$23,DATOS!$C$25*DATOS!$C$20*DATOS!$C$22,IF($B96&lt;=4,DATOS!$C$25*DATOS!$C$20*DATOS!$C$22*(DATOS!$C$23/$B96)^(2/3),2.5*DATOS!$C$25*DATOS!$C$20*DATOS!$C$22*DATOS!$C$23^(2/3)/$B96^(4/3))))</f>
        <v>1.44</v>
      </c>
      <c r="D96" s="25">
        <f>$C96/COEFICIENTE!$C$12</f>
        <v>0.2057142857142857</v>
      </c>
      <c r="E96" s="25">
        <f>$C96/COEFICIENTE!$D$12</f>
        <v>0.2057142857142857</v>
      </c>
      <c r="F96" s="19">
        <f t="shared" si="0"/>
        <v>2.563599999999999</v>
      </c>
      <c r="G96" s="19">
        <f>IF($B96&lt;DATOS!$C$42,DATOS!$C$40*(0.4+0.6*$B96/DATOS!$C$42),IF($B96&lt;=DATOS!$C$43,DATOS!$C$40,IF($B96&lt;=DATOS!$C$44,DATOS!$C$41/$B96,DATOS!$C$41*DATOS!$C$44/$B96^2)))</f>
        <v>1.7090666666666663</v>
      </c>
      <c r="H96" s="19">
        <f>$G96*DATOS!$C$46/COEFICIENTE!$C$35</f>
        <v>0.4883047619047618</v>
      </c>
      <c r="I96" s="19">
        <f>$G96*DATOS!$C$46/COEFICIENTE!$D$35</f>
        <v>0.4883047619047618</v>
      </c>
      <c r="J96" s="19">
        <f>$D96*DATOS!$C$12</f>
        <v>0.29417142857142853</v>
      </c>
      <c r="K96" s="19">
        <f>$E96*DATOS!$C$12</f>
        <v>0.29417142857142853</v>
      </c>
      <c r="L96" s="7">
        <f t="shared" si="1"/>
        <v>1.6599326599326598</v>
      </c>
      <c r="M96" s="7">
        <f t="shared" si="2"/>
        <v>1.6599326599326598</v>
      </c>
      <c r="N96" s="10" t="str">
        <f>IF(DATOS!$C$9="NO","—",IF(AND($L96&gt;=1,$M96&gt;=1),"OK","CALIBRAR"))</f>
        <v>—</v>
      </c>
      <c r="O96" s="25">
        <f>IF(STAAD!$C$17="ASCE 7-16",$G96,$C96)</f>
        <v>1.44</v>
      </c>
      <c r="Q96" s="26">
        <v>0.46</v>
      </c>
      <c r="R96" s="27">
        <v>0.01</v>
      </c>
    </row>
    <row r="97" spans="2:18" ht="31.5" customHeight="1" x14ac:dyDescent="0.3">
      <c r="B97" s="24">
        <f>IF(ABS($Q97-DATOS!$C$23/3)&lt;$R97,DATOS!$C$23/3,IF(ABS($Q97-DATOS!$C$23)&lt;$R97,DATOS!$C$23,IF(ABS($Q97-DATOS!$C$42)&lt;$R97,DATOS!$C$42,IF(ABS($Q97-DATOS!$C$43)&lt;$R97,DATOS!$C$43,IF(ABS($Q97-DATOS!$C$44)&lt;$R97,DATOS!$C$44,$Q97)))))</f>
        <v>0.48</v>
      </c>
      <c r="C97" s="19">
        <f>IF($B97&lt;DATOS!$C$23/3,DATOS!$C$25*DATOS!$C$20*(1+3*(DATOS!$C$22-1)*$B97/DATOS!$C$23),IF($B97&lt;=DATOS!$C$23,DATOS!$C$25*DATOS!$C$20*DATOS!$C$22,IF($B97&lt;=4,DATOS!$C$25*DATOS!$C$20*DATOS!$C$22*(DATOS!$C$23/$B97)^(2/3),2.5*DATOS!$C$25*DATOS!$C$20*DATOS!$C$22*DATOS!$C$23^(2/3)/$B97^(4/3))))</f>
        <v>1.44</v>
      </c>
      <c r="D97" s="25">
        <f>$C97/COEFICIENTE!$C$12</f>
        <v>0.2057142857142857</v>
      </c>
      <c r="E97" s="25">
        <f>$C97/COEFICIENTE!$D$12</f>
        <v>0.2057142857142857</v>
      </c>
      <c r="F97" s="19">
        <f t="shared" si="0"/>
        <v>2.563599999999999</v>
      </c>
      <c r="G97" s="19">
        <f>IF($B97&lt;DATOS!$C$42,DATOS!$C$40*(0.4+0.6*$B97/DATOS!$C$42),IF($B97&lt;=DATOS!$C$43,DATOS!$C$40,IF($B97&lt;=DATOS!$C$44,DATOS!$C$41/$B97,DATOS!$C$41*DATOS!$C$44/$B97^2)))</f>
        <v>1.7090666666666663</v>
      </c>
      <c r="H97" s="19">
        <f>$G97*DATOS!$C$46/COEFICIENTE!$C$35</f>
        <v>0.4883047619047618</v>
      </c>
      <c r="I97" s="19">
        <f>$G97*DATOS!$C$46/COEFICIENTE!$D$35</f>
        <v>0.4883047619047618</v>
      </c>
      <c r="J97" s="19">
        <f>$D97*DATOS!$C$12</f>
        <v>0.29417142857142853</v>
      </c>
      <c r="K97" s="19">
        <f>$E97*DATOS!$C$12</f>
        <v>0.29417142857142853</v>
      </c>
      <c r="L97" s="7">
        <f t="shared" si="1"/>
        <v>1.6599326599326598</v>
      </c>
      <c r="M97" s="7">
        <f t="shared" si="2"/>
        <v>1.6599326599326598</v>
      </c>
      <c r="N97" s="10" t="str">
        <f>IF(DATOS!$C$9="NO","—",IF(AND($L97&gt;=1,$M97&gt;=1),"OK","CALIBRAR"))</f>
        <v>—</v>
      </c>
      <c r="O97" s="25">
        <f>IF(STAAD!$C$17="ASCE 7-16",$G97,$C97)</f>
        <v>1.44</v>
      </c>
      <c r="Q97" s="26">
        <v>0.48</v>
      </c>
      <c r="R97" s="27">
        <v>0.01</v>
      </c>
    </row>
    <row r="98" spans="2:18" ht="31.5" customHeight="1" x14ac:dyDescent="0.3">
      <c r="B98" s="24">
        <f>IF(ABS($Q98-DATOS!$C$23/3)&lt;$R98,DATOS!$C$23/3,IF(ABS($Q98-DATOS!$C$23)&lt;$R98,DATOS!$C$23,IF(ABS($Q98-DATOS!$C$42)&lt;$R98,DATOS!$C$42,IF(ABS($Q98-DATOS!$C$43)&lt;$R98,DATOS!$C$43,IF(ABS($Q98-DATOS!$C$44)&lt;$R98,DATOS!$C$44,$Q98)))))</f>
        <v>0.5</v>
      </c>
      <c r="C98" s="19">
        <f>IF($B98&lt;DATOS!$C$23/3,DATOS!$C$25*DATOS!$C$20*(1+3*(DATOS!$C$22-1)*$B98/DATOS!$C$23),IF($B98&lt;=DATOS!$C$23,DATOS!$C$25*DATOS!$C$20*DATOS!$C$22,IF($B98&lt;=4,DATOS!$C$25*DATOS!$C$20*DATOS!$C$22*(DATOS!$C$23/$B98)^(2/3),2.5*DATOS!$C$25*DATOS!$C$20*DATOS!$C$22*DATOS!$C$23^(2/3)/$B98^(4/3))))</f>
        <v>1.44</v>
      </c>
      <c r="D98" s="25">
        <f>$C98/COEFICIENTE!$C$12</f>
        <v>0.2057142857142857</v>
      </c>
      <c r="E98" s="25">
        <f>$C98/COEFICIENTE!$D$12</f>
        <v>0.2057142857142857</v>
      </c>
      <c r="F98" s="19">
        <f t="shared" si="0"/>
        <v>2.563599999999999</v>
      </c>
      <c r="G98" s="19">
        <f>IF($B98&lt;DATOS!$C$42,DATOS!$C$40*(0.4+0.6*$B98/DATOS!$C$42),IF($B98&lt;=DATOS!$C$43,DATOS!$C$40,IF($B98&lt;=DATOS!$C$44,DATOS!$C$41/$B98,DATOS!$C$41*DATOS!$C$44/$B98^2)))</f>
        <v>1.7090666666666663</v>
      </c>
      <c r="H98" s="19">
        <f>$G98*DATOS!$C$46/COEFICIENTE!$C$35</f>
        <v>0.4883047619047618</v>
      </c>
      <c r="I98" s="19">
        <f>$G98*DATOS!$C$46/COEFICIENTE!$D$35</f>
        <v>0.4883047619047618</v>
      </c>
      <c r="J98" s="19">
        <f>$D98*DATOS!$C$12</f>
        <v>0.29417142857142853</v>
      </c>
      <c r="K98" s="19">
        <f>$E98*DATOS!$C$12</f>
        <v>0.29417142857142853</v>
      </c>
      <c r="L98" s="7">
        <f t="shared" si="1"/>
        <v>1.6599326599326598</v>
      </c>
      <c r="M98" s="7">
        <f t="shared" si="2"/>
        <v>1.6599326599326598</v>
      </c>
      <c r="N98" s="10" t="str">
        <f>IF(DATOS!$C$9="NO","—",IF(AND($L98&gt;=1,$M98&gt;=1),"OK","CALIBRAR"))</f>
        <v>—</v>
      </c>
      <c r="O98" s="25">
        <f>IF(STAAD!$C$17="ASCE 7-16",$G98,$C98)</f>
        <v>1.44</v>
      </c>
      <c r="Q98" s="26">
        <v>0.5</v>
      </c>
      <c r="R98" s="27">
        <v>0.01</v>
      </c>
    </row>
    <row r="99" spans="2:18" ht="31.5" customHeight="1" x14ac:dyDescent="0.3">
      <c r="B99" s="24">
        <f>IF(ABS($Q99-DATOS!$C$23/3)&lt;$R99,DATOS!$C$23/3,IF(ABS($Q99-DATOS!$C$23)&lt;$R99,DATOS!$C$23,IF(ABS($Q99-DATOS!$C$42)&lt;$R99,DATOS!$C$42,IF(ABS($Q99-DATOS!$C$43)&lt;$R99,DATOS!$C$43,IF(ABS($Q99-DATOS!$C$44)&lt;$R99,DATOS!$C$44,$Q99)))))</f>
        <v>0.52</v>
      </c>
      <c r="C99" s="19">
        <f>IF($B99&lt;DATOS!$C$23/3,DATOS!$C$25*DATOS!$C$20*(1+3*(DATOS!$C$22-1)*$B99/DATOS!$C$23),IF($B99&lt;=DATOS!$C$23,DATOS!$C$25*DATOS!$C$20*DATOS!$C$22,IF($B99&lt;=4,DATOS!$C$25*DATOS!$C$20*DATOS!$C$22*(DATOS!$C$23/$B99)^(2/3),2.5*DATOS!$C$25*DATOS!$C$20*DATOS!$C$22*DATOS!$C$23^(2/3)/$B99^(4/3))))</f>
        <v>1.44</v>
      </c>
      <c r="D99" s="25">
        <f>$C99/COEFICIENTE!$C$12</f>
        <v>0.2057142857142857</v>
      </c>
      <c r="E99" s="25">
        <f>$C99/COEFICIENTE!$D$12</f>
        <v>0.2057142857142857</v>
      </c>
      <c r="F99" s="19">
        <f t="shared" si="0"/>
        <v>2.563599999999999</v>
      </c>
      <c r="G99" s="19">
        <f>IF($B99&lt;DATOS!$C$42,DATOS!$C$40*(0.4+0.6*$B99/DATOS!$C$42),IF($B99&lt;=DATOS!$C$43,DATOS!$C$40,IF($B99&lt;=DATOS!$C$44,DATOS!$C$41/$B99,DATOS!$C$41*DATOS!$C$44/$B99^2)))</f>
        <v>1.7090666666666663</v>
      </c>
      <c r="H99" s="19">
        <f>$G99*DATOS!$C$46/COEFICIENTE!$C$35</f>
        <v>0.4883047619047618</v>
      </c>
      <c r="I99" s="19">
        <f>$G99*DATOS!$C$46/COEFICIENTE!$D$35</f>
        <v>0.4883047619047618</v>
      </c>
      <c r="J99" s="19">
        <f>$D99*DATOS!$C$12</f>
        <v>0.29417142857142853</v>
      </c>
      <c r="K99" s="19">
        <f>$E99*DATOS!$C$12</f>
        <v>0.29417142857142853</v>
      </c>
      <c r="L99" s="7">
        <f t="shared" si="1"/>
        <v>1.6599326599326598</v>
      </c>
      <c r="M99" s="7">
        <f t="shared" si="2"/>
        <v>1.6599326599326598</v>
      </c>
      <c r="N99" s="10" t="str">
        <f>IF(DATOS!$C$9="NO","—",IF(AND($L99&gt;=1,$M99&gt;=1),"OK","CALIBRAR"))</f>
        <v>—</v>
      </c>
      <c r="O99" s="25">
        <f>IF(STAAD!$C$17="ASCE 7-16",$G99,$C99)</f>
        <v>1.44</v>
      </c>
      <c r="Q99" s="26">
        <v>0.52</v>
      </c>
      <c r="R99" s="27">
        <v>0.01</v>
      </c>
    </row>
    <row r="100" spans="2:18" ht="31.5" customHeight="1" x14ac:dyDescent="0.3">
      <c r="B100" s="24">
        <f>IF(ABS($Q100-DATOS!$C$23/3)&lt;$R100,DATOS!$C$23/3,IF(ABS($Q100-DATOS!$C$23)&lt;$R100,DATOS!$C$23,IF(ABS($Q100-DATOS!$C$42)&lt;$R100,DATOS!$C$42,IF(ABS($Q100-DATOS!$C$43)&lt;$R100,DATOS!$C$43,IF(ABS($Q100-DATOS!$C$44)&lt;$R100,DATOS!$C$44,$Q100)))))</f>
        <v>0.54</v>
      </c>
      <c r="C100" s="19">
        <f>IF($B100&lt;DATOS!$C$23/3,DATOS!$C$25*DATOS!$C$20*(1+3*(DATOS!$C$22-1)*$B100/DATOS!$C$23),IF($B100&lt;=DATOS!$C$23,DATOS!$C$25*DATOS!$C$20*DATOS!$C$22,IF($B100&lt;=4,DATOS!$C$25*DATOS!$C$20*DATOS!$C$22*(DATOS!$C$23/$B100)^(2/3),2.5*DATOS!$C$25*DATOS!$C$20*DATOS!$C$22*DATOS!$C$23^(2/3)/$B100^(4/3))))</f>
        <v>1.44</v>
      </c>
      <c r="D100" s="25">
        <f>$C100/COEFICIENTE!$C$12</f>
        <v>0.2057142857142857</v>
      </c>
      <c r="E100" s="25">
        <f>$C100/COEFICIENTE!$D$12</f>
        <v>0.2057142857142857</v>
      </c>
      <c r="F100" s="19">
        <f t="shared" si="0"/>
        <v>2.563599999999999</v>
      </c>
      <c r="G100" s="19">
        <f>IF($B100&lt;DATOS!$C$42,DATOS!$C$40*(0.4+0.6*$B100/DATOS!$C$42),IF($B100&lt;=DATOS!$C$43,DATOS!$C$40,IF($B100&lt;=DATOS!$C$44,DATOS!$C$41/$B100,DATOS!$C$41*DATOS!$C$44/$B100^2)))</f>
        <v>1.7090666666666663</v>
      </c>
      <c r="H100" s="19">
        <f>$G100*DATOS!$C$46/COEFICIENTE!$C$35</f>
        <v>0.4883047619047618</v>
      </c>
      <c r="I100" s="19">
        <f>$G100*DATOS!$C$46/COEFICIENTE!$D$35</f>
        <v>0.4883047619047618</v>
      </c>
      <c r="J100" s="19">
        <f>$D100*DATOS!$C$12</f>
        <v>0.29417142857142853</v>
      </c>
      <c r="K100" s="19">
        <f>$E100*DATOS!$C$12</f>
        <v>0.29417142857142853</v>
      </c>
      <c r="L100" s="7">
        <f t="shared" si="1"/>
        <v>1.6599326599326598</v>
      </c>
      <c r="M100" s="7">
        <f t="shared" si="2"/>
        <v>1.6599326599326598</v>
      </c>
      <c r="N100" s="10" t="str">
        <f>IF(DATOS!$C$9="NO","—",IF(AND($L100&gt;=1,$M100&gt;=1),"OK","CALIBRAR"))</f>
        <v>—</v>
      </c>
      <c r="O100" s="25">
        <f>IF(STAAD!$C$17="ASCE 7-16",$G100,$C100)</f>
        <v>1.44</v>
      </c>
      <c r="Q100" s="26">
        <v>0.54</v>
      </c>
      <c r="R100" s="27">
        <v>0.01</v>
      </c>
    </row>
    <row r="101" spans="2:18" ht="31.5" customHeight="1" x14ac:dyDescent="0.3">
      <c r="B101" s="24">
        <f>IF(ABS($Q101-DATOS!$C$23/3)&lt;$R101,DATOS!$C$23/3,IF(ABS($Q101-DATOS!$C$23)&lt;$R101,DATOS!$C$23,IF(ABS($Q101-DATOS!$C$42)&lt;$R101,DATOS!$C$42,IF(ABS($Q101-DATOS!$C$43)&lt;$R101,DATOS!$C$43,IF(ABS($Q101-DATOS!$C$44)&lt;$R101,DATOS!$C$44,$Q101)))))</f>
        <v>0.56</v>
      </c>
      <c r="C101" s="19">
        <f>IF($B101&lt;DATOS!$C$23/3,DATOS!$C$25*DATOS!$C$20*(1+3*(DATOS!$C$22-1)*$B101/DATOS!$C$23),IF($B101&lt;=DATOS!$C$23,DATOS!$C$25*DATOS!$C$20*DATOS!$C$22,IF($B101&lt;=4,DATOS!$C$25*DATOS!$C$20*DATOS!$C$22*(DATOS!$C$23/$B101)^(2/3),2.5*DATOS!$C$25*DATOS!$C$20*DATOS!$C$22*DATOS!$C$23^(2/3)/$B101^(4/3))))</f>
        <v>1.44</v>
      </c>
      <c r="D101" s="25">
        <f>$C101/COEFICIENTE!$C$12</f>
        <v>0.2057142857142857</v>
      </c>
      <c r="E101" s="25">
        <f>$C101/COEFICIENTE!$D$12</f>
        <v>0.2057142857142857</v>
      </c>
      <c r="F101" s="19">
        <f t="shared" si="0"/>
        <v>2.563599999999999</v>
      </c>
      <c r="G101" s="19">
        <f>IF($B101&lt;DATOS!$C$42,DATOS!$C$40*(0.4+0.6*$B101/DATOS!$C$42),IF($B101&lt;=DATOS!$C$43,DATOS!$C$40,IF($B101&lt;=DATOS!$C$44,DATOS!$C$41/$B101,DATOS!$C$41*DATOS!$C$44/$B101^2)))</f>
        <v>1.7090666666666663</v>
      </c>
      <c r="H101" s="19">
        <f>$G101*DATOS!$C$46/COEFICIENTE!$C$35</f>
        <v>0.4883047619047618</v>
      </c>
      <c r="I101" s="19">
        <f>$G101*DATOS!$C$46/COEFICIENTE!$D$35</f>
        <v>0.4883047619047618</v>
      </c>
      <c r="J101" s="19">
        <f>$D101*DATOS!$C$12</f>
        <v>0.29417142857142853</v>
      </c>
      <c r="K101" s="19">
        <f>$E101*DATOS!$C$12</f>
        <v>0.29417142857142853</v>
      </c>
      <c r="L101" s="7">
        <f t="shared" si="1"/>
        <v>1.6599326599326598</v>
      </c>
      <c r="M101" s="7">
        <f t="shared" si="2"/>
        <v>1.6599326599326598</v>
      </c>
      <c r="N101" s="10" t="str">
        <f>IF(DATOS!$C$9="NO","—",IF(AND($L101&gt;=1,$M101&gt;=1),"OK","CALIBRAR"))</f>
        <v>—</v>
      </c>
      <c r="O101" s="25">
        <f>IF(STAAD!$C$17="ASCE 7-16",$G101,$C101)</f>
        <v>1.44</v>
      </c>
      <c r="Q101" s="26">
        <v>0.56000000000000005</v>
      </c>
      <c r="R101" s="27">
        <v>0.01</v>
      </c>
    </row>
    <row r="102" spans="2:18" ht="31.5" customHeight="1" x14ac:dyDescent="0.3">
      <c r="B102" s="24">
        <f>IF(ABS($Q102-DATOS!$C$23/3)&lt;$R102,DATOS!$C$23/3,IF(ABS($Q102-DATOS!$C$23)&lt;$R102,DATOS!$C$23,IF(ABS($Q102-DATOS!$C$42)&lt;$R102,DATOS!$C$42,IF(ABS($Q102-DATOS!$C$43)&lt;$R102,DATOS!$C$43,IF(ABS($Q102-DATOS!$C$44)&lt;$R102,DATOS!$C$44,$Q102)))))</f>
        <v>0.58</v>
      </c>
      <c r="C102" s="19">
        <f>IF($B102&lt;DATOS!$C$23/3,DATOS!$C$25*DATOS!$C$20*(1+3*(DATOS!$C$22-1)*$B102/DATOS!$C$23),IF($B102&lt;=DATOS!$C$23,DATOS!$C$25*DATOS!$C$20*DATOS!$C$22,IF($B102&lt;=4,DATOS!$C$25*DATOS!$C$20*DATOS!$C$22*(DATOS!$C$23/$B102)^(2/3),2.5*DATOS!$C$25*DATOS!$C$20*DATOS!$C$22*DATOS!$C$23^(2/3)/$B102^(4/3))))</f>
        <v>1.44</v>
      </c>
      <c r="D102" s="25">
        <f>$C102/COEFICIENTE!$C$12</f>
        <v>0.2057142857142857</v>
      </c>
      <c r="E102" s="25">
        <f>$C102/COEFICIENTE!$D$12</f>
        <v>0.2057142857142857</v>
      </c>
      <c r="F102" s="19">
        <f t="shared" si="0"/>
        <v>2.563599999999999</v>
      </c>
      <c r="G102" s="19">
        <f>IF($B102&lt;DATOS!$C$42,DATOS!$C$40*(0.4+0.6*$B102/DATOS!$C$42),IF($B102&lt;=DATOS!$C$43,DATOS!$C$40,IF($B102&lt;=DATOS!$C$44,DATOS!$C$41/$B102,DATOS!$C$41*DATOS!$C$44/$B102^2)))</f>
        <v>1.7090666666666663</v>
      </c>
      <c r="H102" s="19">
        <f>$G102*DATOS!$C$46/COEFICIENTE!$C$35</f>
        <v>0.4883047619047618</v>
      </c>
      <c r="I102" s="19">
        <f>$G102*DATOS!$C$46/COEFICIENTE!$D$35</f>
        <v>0.4883047619047618</v>
      </c>
      <c r="J102" s="19">
        <f>$D102*DATOS!$C$12</f>
        <v>0.29417142857142853</v>
      </c>
      <c r="K102" s="19">
        <f>$E102*DATOS!$C$12</f>
        <v>0.29417142857142853</v>
      </c>
      <c r="L102" s="7">
        <f t="shared" si="1"/>
        <v>1.6599326599326598</v>
      </c>
      <c r="M102" s="7">
        <f t="shared" si="2"/>
        <v>1.6599326599326598</v>
      </c>
      <c r="N102" s="10" t="str">
        <f>IF(DATOS!$C$9="NO","—",IF(AND($L102&gt;=1,$M102&gt;=1),"OK","CALIBRAR"))</f>
        <v>—</v>
      </c>
      <c r="O102" s="25">
        <f>IF(STAAD!$C$17="ASCE 7-16",$G102,$C102)</f>
        <v>1.44</v>
      </c>
      <c r="Q102" s="26">
        <v>0.57999999999999996</v>
      </c>
      <c r="R102" s="27">
        <v>0.01</v>
      </c>
    </row>
    <row r="103" spans="2:18" ht="31.5" customHeight="1" x14ac:dyDescent="0.3">
      <c r="B103" s="24">
        <f>IF(ABS($Q103-DATOS!$C$23/3)&lt;$R103,DATOS!$C$23/3,IF(ABS($Q103-DATOS!$C$23)&lt;$R103,DATOS!$C$23,IF(ABS($Q103-DATOS!$C$42)&lt;$R103,DATOS!$C$42,IF(ABS($Q103-DATOS!$C$43)&lt;$R103,DATOS!$C$43,IF(ABS($Q103-DATOS!$C$44)&lt;$R103,DATOS!$C$44,$Q103)))))</f>
        <v>0.6</v>
      </c>
      <c r="C103" s="19">
        <f>IF($B103&lt;DATOS!$C$23/3,DATOS!$C$25*DATOS!$C$20*(1+3*(DATOS!$C$22-1)*$B103/DATOS!$C$23),IF($B103&lt;=DATOS!$C$23,DATOS!$C$25*DATOS!$C$20*DATOS!$C$22,IF($B103&lt;=4,DATOS!$C$25*DATOS!$C$20*DATOS!$C$22*(DATOS!$C$23/$B103)^(2/3),2.5*DATOS!$C$25*DATOS!$C$20*DATOS!$C$22*DATOS!$C$23^(2/3)/$B103^(4/3))))</f>
        <v>1.44</v>
      </c>
      <c r="D103" s="25">
        <f>$C103/COEFICIENTE!$C$12</f>
        <v>0.2057142857142857</v>
      </c>
      <c r="E103" s="25">
        <f>$C103/COEFICIENTE!$D$12</f>
        <v>0.2057142857142857</v>
      </c>
      <c r="F103" s="19">
        <f t="shared" si="0"/>
        <v>2.563599999999999</v>
      </c>
      <c r="G103" s="19">
        <f>IF($B103&lt;DATOS!$C$42,DATOS!$C$40*(0.4+0.6*$B103/DATOS!$C$42),IF($B103&lt;=DATOS!$C$43,DATOS!$C$40,IF($B103&lt;=DATOS!$C$44,DATOS!$C$41/$B103,DATOS!$C$41*DATOS!$C$44/$B103^2)))</f>
        <v>1.7090666666666663</v>
      </c>
      <c r="H103" s="19">
        <f>$G103*DATOS!$C$46/COEFICIENTE!$C$35</f>
        <v>0.4883047619047618</v>
      </c>
      <c r="I103" s="19">
        <f>$G103*DATOS!$C$46/COEFICIENTE!$D$35</f>
        <v>0.4883047619047618</v>
      </c>
      <c r="J103" s="19">
        <f>$D103*DATOS!$C$12</f>
        <v>0.29417142857142853</v>
      </c>
      <c r="K103" s="19">
        <f>$E103*DATOS!$C$12</f>
        <v>0.29417142857142853</v>
      </c>
      <c r="L103" s="7">
        <f t="shared" si="1"/>
        <v>1.6599326599326598</v>
      </c>
      <c r="M103" s="7">
        <f t="shared" si="2"/>
        <v>1.6599326599326598</v>
      </c>
      <c r="N103" s="10" t="str">
        <f>IF(DATOS!$C$9="NO","—",IF(AND($L103&gt;=1,$M103&gt;=1),"OK","CALIBRAR"))</f>
        <v>—</v>
      </c>
      <c r="O103" s="25">
        <f>IF(STAAD!$C$17="ASCE 7-16",$G103,$C103)</f>
        <v>1.44</v>
      </c>
      <c r="Q103" s="26">
        <v>0.6</v>
      </c>
      <c r="R103" s="27">
        <v>0.01</v>
      </c>
    </row>
    <row r="104" spans="2:18" ht="31.5" customHeight="1" x14ac:dyDescent="0.3">
      <c r="B104" s="24">
        <f>IF(ABS($Q104-DATOS!$C$23/3)&lt;$R104,DATOS!$C$23/3,IF(ABS($Q104-DATOS!$C$23)&lt;$R104,DATOS!$C$23,IF(ABS($Q104-DATOS!$C$42)&lt;$R104,DATOS!$C$42,IF(ABS($Q104-DATOS!$C$43)&lt;$R104,DATOS!$C$43,IF(ABS($Q104-DATOS!$C$44)&lt;$R104,DATOS!$C$44,$Q104)))))</f>
        <v>0.62</v>
      </c>
      <c r="C104" s="19">
        <f>IF($B104&lt;DATOS!$C$23/3,DATOS!$C$25*DATOS!$C$20*(1+3*(DATOS!$C$22-1)*$B104/DATOS!$C$23),IF($B104&lt;=DATOS!$C$23,DATOS!$C$25*DATOS!$C$20*DATOS!$C$22,IF($B104&lt;=4,DATOS!$C$25*DATOS!$C$20*DATOS!$C$22*(DATOS!$C$23/$B104)^(2/3),2.5*DATOS!$C$25*DATOS!$C$20*DATOS!$C$22*DATOS!$C$23^(2/3)/$B104^(4/3))))</f>
        <v>1.408863331922817</v>
      </c>
      <c r="D104" s="25">
        <f>$C104/COEFICIENTE!$C$12</f>
        <v>0.20126619027468814</v>
      </c>
      <c r="E104" s="25">
        <f>$C104/COEFICIENTE!$D$12</f>
        <v>0.20126619027468814</v>
      </c>
      <c r="F104" s="19">
        <f t="shared" si="0"/>
        <v>2.563599999999999</v>
      </c>
      <c r="G104" s="19">
        <f>IF($B104&lt;DATOS!$C$42,DATOS!$C$40*(0.4+0.6*$B104/DATOS!$C$42),IF($B104&lt;=DATOS!$C$43,DATOS!$C$40,IF($B104&lt;=DATOS!$C$44,DATOS!$C$41/$B104,DATOS!$C$41*DATOS!$C$44/$B104^2)))</f>
        <v>1.7090666666666663</v>
      </c>
      <c r="H104" s="19">
        <f>$G104*DATOS!$C$46/COEFICIENTE!$C$35</f>
        <v>0.4883047619047618</v>
      </c>
      <c r="I104" s="19">
        <f>$G104*DATOS!$C$46/COEFICIENTE!$D$35</f>
        <v>0.4883047619047618</v>
      </c>
      <c r="J104" s="19">
        <f>$D104*DATOS!$C$12</f>
        <v>0.28781065209280404</v>
      </c>
      <c r="K104" s="19">
        <f>$E104*DATOS!$C$12</f>
        <v>0.28781065209280404</v>
      </c>
      <c r="L104" s="7">
        <f t="shared" si="1"/>
        <v>1.6966181006646994</v>
      </c>
      <c r="M104" s="7">
        <f t="shared" si="2"/>
        <v>1.6966181006646994</v>
      </c>
      <c r="N104" s="10" t="str">
        <f>IF(DATOS!$C$9="NO","—",IF(AND($L104&gt;=1,$M104&gt;=1),"OK","CALIBRAR"))</f>
        <v>—</v>
      </c>
      <c r="O104" s="25">
        <f>IF(STAAD!$C$17="ASCE 7-16",$G104,$C104)</f>
        <v>1.408863331922817</v>
      </c>
      <c r="Q104" s="26">
        <v>0.62</v>
      </c>
      <c r="R104" s="27">
        <v>0.01</v>
      </c>
    </row>
    <row r="105" spans="2:18" ht="31.5" customHeight="1" x14ac:dyDescent="0.3">
      <c r="B105" s="24">
        <f>IF(ABS($Q105-DATOS!$C$23/3)&lt;$R105,DATOS!$C$23/3,IF(ABS($Q105-DATOS!$C$23)&lt;$R105,DATOS!$C$23,IF(ABS($Q105-DATOS!$C$42)&lt;$R105,DATOS!$C$42,IF(ABS($Q105-DATOS!$C$43)&lt;$R105,DATOS!$C$43,IF(ABS($Q105-DATOS!$C$44)&lt;$R105,DATOS!$C$44,$Q105)))))</f>
        <v>0.64</v>
      </c>
      <c r="C105" s="19">
        <f>IF($B105&lt;DATOS!$C$23/3,DATOS!$C$25*DATOS!$C$20*(1+3*(DATOS!$C$22-1)*$B105/DATOS!$C$23),IF($B105&lt;=DATOS!$C$23,DATOS!$C$25*DATOS!$C$20*DATOS!$C$22,IF($B105&lt;=4,DATOS!$C$25*DATOS!$C$20*DATOS!$C$22*(DATOS!$C$23/$B105)^(2/3),2.5*DATOS!$C$25*DATOS!$C$20*DATOS!$C$22*DATOS!$C$23^(2/3)/$B105^(4/3))))</f>
        <v>1.3793569783083954</v>
      </c>
      <c r="D105" s="25">
        <f>$C105/COEFICIENTE!$C$12</f>
        <v>0.19705099690119934</v>
      </c>
      <c r="E105" s="25">
        <f>$C105/COEFICIENTE!$D$12</f>
        <v>0.19705099690119934</v>
      </c>
      <c r="F105" s="19">
        <f t="shared" ref="F105:F136" si="3">1.5*$G105</f>
        <v>2.5636</v>
      </c>
      <c r="G105" s="19">
        <f>IF($B105&lt;DATOS!$C$42,DATOS!$C$40*(0.4+0.6*$B105/DATOS!$C$42),IF($B105&lt;=DATOS!$C$43,DATOS!$C$40,IF($B105&lt;=DATOS!$C$44,DATOS!$C$41/$B105,DATOS!$C$41*DATOS!$C$44/$B105^2)))</f>
        <v>1.7090666666666663</v>
      </c>
      <c r="H105" s="19">
        <f>$G105*DATOS!$C$46/COEFICIENTE!$C$35</f>
        <v>0.4883047619047618</v>
      </c>
      <c r="I105" s="19">
        <f>$G105*DATOS!$C$46/COEFICIENTE!$D$35</f>
        <v>0.4883047619047618</v>
      </c>
      <c r="J105" s="19">
        <f>$D105*DATOS!$C$12</f>
        <v>0.28178292556871504</v>
      </c>
      <c r="K105" s="19">
        <f>$E105*DATOS!$C$12</f>
        <v>0.28178292556871504</v>
      </c>
      <c r="L105" s="7">
        <f t="shared" ref="L105:L136" si="4">IF($J105&gt;0,$H105/$J105,0)</f>
        <v>1.73291110850393</v>
      </c>
      <c r="M105" s="7">
        <f t="shared" ref="M105:M136" si="5">IF($K105&gt;0,$I105/$K105,0)</f>
        <v>1.73291110850393</v>
      </c>
      <c r="N105" s="10" t="str">
        <f>IF(DATOS!$C$9="NO","—",IF(AND($L105&gt;=1,$M105&gt;=1),"OK","CALIBRAR"))</f>
        <v>—</v>
      </c>
      <c r="O105" s="25">
        <f>IF(STAAD!$C$17="ASCE 7-16",$G105,$C105)</f>
        <v>1.3793569783083954</v>
      </c>
      <c r="Q105" s="26">
        <v>0.64</v>
      </c>
      <c r="R105" s="27">
        <v>0.01</v>
      </c>
    </row>
    <row r="106" spans="2:18" ht="31.5" customHeight="1" x14ac:dyDescent="0.3">
      <c r="B106" s="24">
        <f>IF(ABS($Q106-DATOS!$C$23/3)&lt;$R106,DATOS!$C$23/3,IF(ABS($Q106-DATOS!$C$23)&lt;$R106,DATOS!$C$23,IF(ABS($Q106-DATOS!$C$42)&lt;$R106,DATOS!$C$42,IF(ABS($Q106-DATOS!$C$43)&lt;$R106,DATOS!$C$43,IF(ABS($Q106-DATOS!$C$44)&lt;$R106,DATOS!$C$44,$Q106)))))</f>
        <v>0.66</v>
      </c>
      <c r="C106" s="19">
        <f>IF($B106&lt;DATOS!$C$23/3,DATOS!$C$25*DATOS!$C$20*(1+3*(DATOS!$C$22-1)*$B106/DATOS!$C$23),IF($B106&lt;=DATOS!$C$23,DATOS!$C$25*DATOS!$C$20*DATOS!$C$22,IF($B106&lt;=4,DATOS!$C$25*DATOS!$C$20*DATOS!$C$22*(DATOS!$C$23/$B106)^(2/3),2.5*DATOS!$C$25*DATOS!$C$20*DATOS!$C$22*DATOS!$C$23^(2/3)/$B106^(4/3))))</f>
        <v>1.3513485147792441</v>
      </c>
      <c r="D106" s="25">
        <f>$C106/COEFICIENTE!$C$12</f>
        <v>0.1930497878256063</v>
      </c>
      <c r="E106" s="25">
        <f>$C106/COEFICIENTE!$D$12</f>
        <v>0.1930497878256063</v>
      </c>
      <c r="F106" s="19">
        <f t="shared" si="3"/>
        <v>2.563599999999999</v>
      </c>
      <c r="G106" s="19">
        <f>IF($B106&lt;DATOS!$C$42,DATOS!$C$40*(0.4+0.6*$B106/DATOS!$C$42),IF($B106&lt;=DATOS!$C$43,DATOS!$C$40,IF($B106&lt;=DATOS!$C$44,DATOS!$C$41/$B106,DATOS!$C$41*DATOS!$C$44/$B106^2)))</f>
        <v>1.7090666666666663</v>
      </c>
      <c r="H106" s="19">
        <f>$G106*DATOS!$C$46/COEFICIENTE!$C$35</f>
        <v>0.4883047619047618</v>
      </c>
      <c r="I106" s="19">
        <f>$G106*DATOS!$C$46/COEFICIENTE!$D$35</f>
        <v>0.4883047619047618</v>
      </c>
      <c r="J106" s="19">
        <f>$D106*DATOS!$C$12</f>
        <v>0.276061196590617</v>
      </c>
      <c r="K106" s="19">
        <f>$E106*DATOS!$C$12</f>
        <v>0.276061196590617</v>
      </c>
      <c r="L106" s="7">
        <f t="shared" si="4"/>
        <v>1.768827955306192</v>
      </c>
      <c r="M106" s="7">
        <f t="shared" si="5"/>
        <v>1.768827955306192</v>
      </c>
      <c r="N106" s="10" t="str">
        <f>IF(DATOS!$C$9="NO","—",IF(AND($L106&gt;=1,$M106&gt;=1),"OK","CALIBRAR"))</f>
        <v>—</v>
      </c>
      <c r="O106" s="25">
        <f>IF(STAAD!$C$17="ASCE 7-16",$G106,$C106)</f>
        <v>1.3513485147792441</v>
      </c>
      <c r="Q106" s="26">
        <v>0.66</v>
      </c>
      <c r="R106" s="27">
        <v>0.01</v>
      </c>
    </row>
    <row r="107" spans="2:18" ht="31.5" customHeight="1" x14ac:dyDescent="0.3">
      <c r="B107" s="24">
        <f>IF(ABS($Q107-DATOS!$C$23/3)&lt;$R107,DATOS!$C$23/3,IF(ABS($Q107-DATOS!$C$23)&lt;$R107,DATOS!$C$23,IF(ABS($Q107-DATOS!$C$42)&lt;$R107,DATOS!$C$42,IF(ABS($Q107-DATOS!$C$43)&lt;$R107,DATOS!$C$43,IF(ABS($Q107-DATOS!$C$44)&lt;$R107,DATOS!$C$44,$Q107)))))</f>
        <v>0.68</v>
      </c>
      <c r="C107" s="19">
        <f>IF($B107&lt;DATOS!$C$23/3,DATOS!$C$25*DATOS!$C$20*(1+3*(DATOS!$C$22-1)*$B107/DATOS!$C$23),IF($B107&lt;=DATOS!$C$23,DATOS!$C$25*DATOS!$C$20*DATOS!$C$22,IF($B107&lt;=4,DATOS!$C$25*DATOS!$C$20*DATOS!$C$22*(DATOS!$C$23/$B107)^(2/3),2.5*DATOS!$C$25*DATOS!$C$20*DATOS!$C$22*DATOS!$C$23^(2/3)/$B107^(4/3))))</f>
        <v>1.3247198700888845</v>
      </c>
      <c r="D107" s="25">
        <f>$C107/COEFICIENTE!$C$12</f>
        <v>0.1892456957269835</v>
      </c>
      <c r="E107" s="25">
        <f>$C107/COEFICIENTE!$D$12</f>
        <v>0.1892456957269835</v>
      </c>
      <c r="F107" s="19">
        <f t="shared" si="3"/>
        <v>2.563599999999999</v>
      </c>
      <c r="G107" s="19">
        <f>IF($B107&lt;DATOS!$C$42,DATOS!$C$40*(0.4+0.6*$B107/DATOS!$C$42),IF($B107&lt;=DATOS!$C$43,DATOS!$C$40,IF($B107&lt;=DATOS!$C$44,DATOS!$C$41/$B107,DATOS!$C$41*DATOS!$C$44/$B107^2)))</f>
        <v>1.7090666666666663</v>
      </c>
      <c r="H107" s="19">
        <f>$G107*DATOS!$C$46/COEFICIENTE!$C$35</f>
        <v>0.4883047619047618</v>
      </c>
      <c r="I107" s="19">
        <f>$G107*DATOS!$C$46/COEFICIENTE!$D$35</f>
        <v>0.4883047619047618</v>
      </c>
      <c r="J107" s="19">
        <f>$D107*DATOS!$C$12</f>
        <v>0.2706213448895864</v>
      </c>
      <c r="K107" s="19">
        <f>$E107*DATOS!$C$12</f>
        <v>0.2706213448895864</v>
      </c>
      <c r="L107" s="7">
        <f t="shared" si="4"/>
        <v>1.8043837676735748</v>
      </c>
      <c r="M107" s="7">
        <f t="shared" si="5"/>
        <v>1.8043837676735748</v>
      </c>
      <c r="N107" s="10" t="str">
        <f>IF(DATOS!$C$9="NO","—",IF(AND($L107&gt;=1,$M107&gt;=1),"OK","CALIBRAR"))</f>
        <v>—</v>
      </c>
      <c r="O107" s="25">
        <f>IF(STAAD!$C$17="ASCE 7-16",$G107,$C107)</f>
        <v>1.3247198700888845</v>
      </c>
      <c r="Q107" s="26">
        <v>0.68</v>
      </c>
      <c r="R107" s="27">
        <v>0.01</v>
      </c>
    </row>
    <row r="108" spans="2:18" ht="31.5" customHeight="1" x14ac:dyDescent="0.3">
      <c r="B108" s="24">
        <f>IF(ABS($Q108-DATOS!$C$23/3)&lt;$R108,DATOS!$C$23/3,IF(ABS($Q108-DATOS!$C$23)&lt;$R108,DATOS!$C$23,IF(ABS($Q108-DATOS!$C$42)&lt;$R108,DATOS!$C$42,IF(ABS($Q108-DATOS!$C$43)&lt;$R108,DATOS!$C$43,IF(ABS($Q108-DATOS!$C$44)&lt;$R108,DATOS!$C$44,$Q108)))))</f>
        <v>0.7</v>
      </c>
      <c r="C108" s="19">
        <f>IF($B108&lt;DATOS!$C$23/3,DATOS!$C$25*DATOS!$C$20*(1+3*(DATOS!$C$22-1)*$B108/DATOS!$C$23),IF($B108&lt;=DATOS!$C$23,DATOS!$C$25*DATOS!$C$20*DATOS!$C$22,IF($B108&lt;=4,DATOS!$C$25*DATOS!$C$20*DATOS!$C$22*(DATOS!$C$23/$B108)^(2/3),2.5*DATOS!$C$25*DATOS!$C$20*DATOS!$C$22*DATOS!$C$23^(2/3)/$B108^(4/3))))</f>
        <v>1.2993654029464552</v>
      </c>
      <c r="D108" s="25">
        <f>$C108/COEFICIENTE!$C$12</f>
        <v>0.18562362899235074</v>
      </c>
      <c r="E108" s="25">
        <f>$C108/COEFICIENTE!$D$12</f>
        <v>0.18562362899235074</v>
      </c>
      <c r="F108" s="19">
        <f t="shared" si="3"/>
        <v>2.563599999999999</v>
      </c>
      <c r="G108" s="19">
        <f>IF($B108&lt;DATOS!$C$42,DATOS!$C$40*(0.4+0.6*$B108/DATOS!$C$42),IF($B108&lt;=DATOS!$C$43,DATOS!$C$40,IF($B108&lt;=DATOS!$C$44,DATOS!$C$41/$B108,DATOS!$C$41*DATOS!$C$44/$B108^2)))</f>
        <v>1.7090666666666663</v>
      </c>
      <c r="H108" s="19">
        <f>$G108*DATOS!$C$46/COEFICIENTE!$C$35</f>
        <v>0.4883047619047618</v>
      </c>
      <c r="I108" s="19">
        <f>$G108*DATOS!$C$46/COEFICIENTE!$D$35</f>
        <v>0.4883047619047618</v>
      </c>
      <c r="J108" s="19">
        <f>$D108*DATOS!$C$12</f>
        <v>0.26544178945906155</v>
      </c>
      <c r="K108" s="19">
        <f>$E108*DATOS!$C$12</f>
        <v>0.26544178945906155</v>
      </c>
      <c r="L108" s="7">
        <f t="shared" si="4"/>
        <v>1.839592638747155</v>
      </c>
      <c r="M108" s="7">
        <f t="shared" si="5"/>
        <v>1.839592638747155</v>
      </c>
      <c r="N108" s="10" t="str">
        <f>IF(DATOS!$C$9="NO","—",IF(AND($L108&gt;=1,$M108&gt;=1),"OK","CALIBRAR"))</f>
        <v>—</v>
      </c>
      <c r="O108" s="25">
        <f>IF(STAAD!$C$17="ASCE 7-16",$G108,$C108)</f>
        <v>1.2993654029464552</v>
      </c>
      <c r="Q108" s="26">
        <v>0.7</v>
      </c>
      <c r="R108" s="27">
        <v>0.01</v>
      </c>
    </row>
    <row r="109" spans="2:18" ht="31.5" customHeight="1" x14ac:dyDescent="0.3">
      <c r="B109" s="24">
        <f>IF(ABS($Q109-DATOS!$C$23/3)&lt;$R109,DATOS!$C$23/3,IF(ABS($Q109-DATOS!$C$23)&lt;$R109,DATOS!$C$23,IF(ABS($Q109-DATOS!$C$42)&lt;$R109,DATOS!$C$42,IF(ABS($Q109-DATOS!$C$43)&lt;$R109,DATOS!$C$43,IF(ABS($Q109-DATOS!$C$44)&lt;$R109,DATOS!$C$44,$Q109)))))</f>
        <v>0.72</v>
      </c>
      <c r="C109" s="19">
        <f>IF($B109&lt;DATOS!$C$23/3,DATOS!$C$25*DATOS!$C$20*(1+3*(DATOS!$C$22-1)*$B109/DATOS!$C$23),IF($B109&lt;=DATOS!$C$23,DATOS!$C$25*DATOS!$C$20*DATOS!$C$22,IF($B109&lt;=4,DATOS!$C$25*DATOS!$C$20*DATOS!$C$22*(DATOS!$C$23/$B109)^(2/3),2.5*DATOS!$C$25*DATOS!$C$20*DATOS!$C$22*DATOS!$C$23^(2/3)/$B109^(4/3))))</f>
        <v>1.2751902830191333</v>
      </c>
      <c r="D109" s="25">
        <f>$C109/COEFICIENTE!$C$12</f>
        <v>0.18217004043130475</v>
      </c>
      <c r="E109" s="25">
        <f>$C109/COEFICIENTE!$D$12</f>
        <v>0.18217004043130475</v>
      </c>
      <c r="F109" s="19">
        <f t="shared" si="3"/>
        <v>2.563599999999999</v>
      </c>
      <c r="G109" s="19">
        <f>IF($B109&lt;DATOS!$C$42,DATOS!$C$40*(0.4+0.6*$B109/DATOS!$C$42),IF($B109&lt;=DATOS!$C$43,DATOS!$C$40,IF($B109&lt;=DATOS!$C$44,DATOS!$C$41/$B109,DATOS!$C$41*DATOS!$C$44/$B109^2)))</f>
        <v>1.7090666666666663</v>
      </c>
      <c r="H109" s="19">
        <f>$G109*DATOS!$C$46/COEFICIENTE!$C$35</f>
        <v>0.4883047619047618</v>
      </c>
      <c r="I109" s="19">
        <f>$G109*DATOS!$C$46/COEFICIENTE!$D$35</f>
        <v>0.4883047619047618</v>
      </c>
      <c r="J109" s="19">
        <f>$D109*DATOS!$C$12</f>
        <v>0.26050315781676575</v>
      </c>
      <c r="K109" s="19">
        <f>$E109*DATOS!$C$12</f>
        <v>0.26050315781676575</v>
      </c>
      <c r="L109" s="7">
        <f t="shared" si="4"/>
        <v>1.8744677262155436</v>
      </c>
      <c r="M109" s="7">
        <f t="shared" si="5"/>
        <v>1.8744677262155436</v>
      </c>
      <c r="N109" s="10" t="str">
        <f>IF(DATOS!$C$9="NO","—",IF(AND($L109&gt;=1,$M109&gt;=1),"OK","CALIBRAR"))</f>
        <v>—</v>
      </c>
      <c r="O109" s="25">
        <f>IF(STAAD!$C$17="ASCE 7-16",$G109,$C109)</f>
        <v>1.2751902830191333</v>
      </c>
      <c r="Q109" s="26">
        <v>0.72</v>
      </c>
      <c r="R109" s="27">
        <v>0.01</v>
      </c>
    </row>
    <row r="110" spans="2:18" ht="31.5" customHeight="1" x14ac:dyDescent="0.3">
      <c r="B110" s="24">
        <f>IF(ABS($Q110-DATOS!$C$23/3)&lt;$R110,DATOS!$C$23/3,IF(ABS($Q110-DATOS!$C$23)&lt;$R110,DATOS!$C$23,IF(ABS($Q110-DATOS!$C$42)&lt;$R110,DATOS!$C$42,IF(ABS($Q110-DATOS!$C$43)&lt;$R110,DATOS!$C$43,IF(ABS($Q110-DATOS!$C$44)&lt;$R110,DATOS!$C$44,$Q110)))))</f>
        <v>0.74</v>
      </c>
      <c r="C110" s="19">
        <f>IF($B110&lt;DATOS!$C$23/3,DATOS!$C$25*DATOS!$C$20*(1+3*(DATOS!$C$22-1)*$B110/DATOS!$C$23),IF($B110&lt;=DATOS!$C$23,DATOS!$C$25*DATOS!$C$20*DATOS!$C$22,IF($B110&lt;=4,DATOS!$C$25*DATOS!$C$20*DATOS!$C$22*(DATOS!$C$23/$B110)^(2/3),2.5*DATOS!$C$25*DATOS!$C$20*DATOS!$C$22*DATOS!$C$23^(2/3)/$B110^(4/3))))</f>
        <v>1.2521091210480324</v>
      </c>
      <c r="D110" s="25">
        <f>$C110/COEFICIENTE!$C$12</f>
        <v>0.17887273157829034</v>
      </c>
      <c r="E110" s="25">
        <f>$C110/COEFICIENTE!$D$12</f>
        <v>0.17887273157829034</v>
      </c>
      <c r="F110" s="19">
        <f t="shared" si="3"/>
        <v>2.563599999999999</v>
      </c>
      <c r="G110" s="19">
        <f>IF($B110&lt;DATOS!$C$42,DATOS!$C$40*(0.4+0.6*$B110/DATOS!$C$42),IF($B110&lt;=DATOS!$C$43,DATOS!$C$40,IF($B110&lt;=DATOS!$C$44,DATOS!$C$41/$B110,DATOS!$C$41*DATOS!$C$44/$B110^2)))</f>
        <v>1.7090666666666663</v>
      </c>
      <c r="H110" s="19">
        <f>$G110*DATOS!$C$46/COEFICIENTE!$C$35</f>
        <v>0.4883047619047618</v>
      </c>
      <c r="I110" s="19">
        <f>$G110*DATOS!$C$46/COEFICIENTE!$D$35</f>
        <v>0.4883047619047618</v>
      </c>
      <c r="J110" s="19">
        <f>$D110*DATOS!$C$12</f>
        <v>0.2557880061569552</v>
      </c>
      <c r="K110" s="19">
        <f>$E110*DATOS!$C$12</f>
        <v>0.2557880061569552</v>
      </c>
      <c r="L110" s="7">
        <f t="shared" si="4"/>
        <v>1.9090213385733614</v>
      </c>
      <c r="M110" s="7">
        <f t="shared" si="5"/>
        <v>1.9090213385733614</v>
      </c>
      <c r="N110" s="10" t="str">
        <f>IF(DATOS!$C$9="NO","—",IF(AND($L110&gt;=1,$M110&gt;=1),"OK","CALIBRAR"))</f>
        <v>—</v>
      </c>
      <c r="O110" s="25">
        <f>IF(STAAD!$C$17="ASCE 7-16",$G110,$C110)</f>
        <v>1.2521091210480324</v>
      </c>
      <c r="Q110" s="26">
        <v>0.74</v>
      </c>
      <c r="R110" s="27">
        <v>0.01</v>
      </c>
    </row>
    <row r="111" spans="2:18" ht="31.5" customHeight="1" x14ac:dyDescent="0.3">
      <c r="B111" s="24">
        <f>IF(ABS($Q111-DATOS!$C$23/3)&lt;$R111,DATOS!$C$23/3,IF(ABS($Q111-DATOS!$C$23)&lt;$R111,DATOS!$C$23,IF(ABS($Q111-DATOS!$C$42)&lt;$R111,DATOS!$C$42,IF(ABS($Q111-DATOS!$C$43)&lt;$R111,DATOS!$C$43,IF(ABS($Q111-DATOS!$C$44)&lt;$R111,DATOS!$C$44,$Q111)))))</f>
        <v>0.76</v>
      </c>
      <c r="C111" s="19">
        <f>IF($B111&lt;DATOS!$C$23/3,DATOS!$C$25*DATOS!$C$20*(1+3*(DATOS!$C$22-1)*$B111/DATOS!$C$23),IF($B111&lt;=DATOS!$C$23,DATOS!$C$25*DATOS!$C$20*DATOS!$C$22,IF($B111&lt;=4,DATOS!$C$25*DATOS!$C$20*DATOS!$C$22*(DATOS!$C$23/$B111)^(2/3),2.5*DATOS!$C$25*DATOS!$C$20*DATOS!$C$22*DATOS!$C$23^(2/3)/$B111^(4/3))))</f>
        <v>1.2300448041737404</v>
      </c>
      <c r="D111" s="25">
        <f>$C111/COEFICIENTE!$C$12</f>
        <v>0.17572068631053434</v>
      </c>
      <c r="E111" s="25">
        <f>$C111/COEFICIENTE!$D$12</f>
        <v>0.17572068631053434</v>
      </c>
      <c r="F111" s="19">
        <f t="shared" si="3"/>
        <v>2.563599999999999</v>
      </c>
      <c r="G111" s="19">
        <f>IF($B111&lt;DATOS!$C$42,DATOS!$C$40*(0.4+0.6*$B111/DATOS!$C$42),IF($B111&lt;=DATOS!$C$43,DATOS!$C$40,IF($B111&lt;=DATOS!$C$44,DATOS!$C$41/$B111,DATOS!$C$41*DATOS!$C$44/$B111^2)))</f>
        <v>1.7090666666666663</v>
      </c>
      <c r="H111" s="19">
        <f>$G111*DATOS!$C$46/COEFICIENTE!$C$35</f>
        <v>0.4883047619047618</v>
      </c>
      <c r="I111" s="19">
        <f>$G111*DATOS!$C$46/COEFICIENTE!$D$35</f>
        <v>0.4883047619047618</v>
      </c>
      <c r="J111" s="19">
        <f>$D111*DATOS!$C$12</f>
        <v>0.25128058142406406</v>
      </c>
      <c r="K111" s="19">
        <f>$E111*DATOS!$C$12</f>
        <v>0.25128058142406406</v>
      </c>
      <c r="L111" s="7">
        <f t="shared" si="4"/>
        <v>1.9432650113169427</v>
      </c>
      <c r="M111" s="7">
        <f t="shared" si="5"/>
        <v>1.9432650113169427</v>
      </c>
      <c r="N111" s="10" t="str">
        <f>IF(DATOS!$C$9="NO","—",IF(AND($L111&gt;=1,$M111&gt;=1),"OK","CALIBRAR"))</f>
        <v>—</v>
      </c>
      <c r="O111" s="25">
        <f>IF(STAAD!$C$17="ASCE 7-16",$G111,$C111)</f>
        <v>1.2300448041737404</v>
      </c>
      <c r="Q111" s="26">
        <v>0.76</v>
      </c>
      <c r="R111" s="27">
        <v>0.01</v>
      </c>
    </row>
    <row r="112" spans="2:18" ht="31.5" customHeight="1" x14ac:dyDescent="0.3">
      <c r="B112" s="24">
        <f>IF(ABS($Q112-DATOS!$C$23/3)&lt;$R112,DATOS!$C$23/3,IF(ABS($Q112-DATOS!$C$23)&lt;$R112,DATOS!$C$23,IF(ABS($Q112-DATOS!$C$42)&lt;$R112,DATOS!$C$42,IF(ABS($Q112-DATOS!$C$43)&lt;$R112,DATOS!$C$43,IF(ABS($Q112-DATOS!$C$44)&lt;$R112,DATOS!$C$44,$Q112)))))</f>
        <v>0.786004056795132</v>
      </c>
      <c r="C112" s="19">
        <f>IF($B112&lt;DATOS!$C$23/3,DATOS!$C$25*DATOS!$C$20*(1+3*(DATOS!$C$22-1)*$B112/DATOS!$C$23),IF($B112&lt;=DATOS!$C$23,DATOS!$C$25*DATOS!$C$20*DATOS!$C$22,IF($B112&lt;=4,DATOS!$C$25*DATOS!$C$20*DATOS!$C$22*(DATOS!$C$23/$B112)^(2/3),2.5*DATOS!$C$25*DATOS!$C$20*DATOS!$C$22*DATOS!$C$23^(2/3)/$B112^(4/3))))</f>
        <v>1.2027632058417421</v>
      </c>
      <c r="D112" s="25">
        <f>$C112/COEFICIENTE!$C$12</f>
        <v>0.17182331512024887</v>
      </c>
      <c r="E112" s="25">
        <f>$C112/COEFICIENTE!$D$12</f>
        <v>0.17182331512024887</v>
      </c>
      <c r="F112" s="19">
        <f t="shared" si="3"/>
        <v>2.563599999999999</v>
      </c>
      <c r="G112" s="19">
        <f>IF($B112&lt;DATOS!$C$42,DATOS!$C$40*(0.4+0.6*$B112/DATOS!$C$42),IF($B112&lt;=DATOS!$C$43,DATOS!$C$40,IF($B112&lt;=DATOS!$C$44,DATOS!$C$41/$B112,DATOS!$C$41*DATOS!$C$44/$B112^2)))</f>
        <v>1.7090666666666663</v>
      </c>
      <c r="H112" s="19">
        <f>$G112*DATOS!$C$46/COEFICIENTE!$C$35</f>
        <v>0.4883047619047618</v>
      </c>
      <c r="I112" s="19">
        <f>$G112*DATOS!$C$46/COEFICIENTE!$D$35</f>
        <v>0.4883047619047618</v>
      </c>
      <c r="J112" s="19">
        <f>$D112*DATOS!$C$12</f>
        <v>0.24570734062195587</v>
      </c>
      <c r="K112" s="19">
        <f>$E112*DATOS!$C$12</f>
        <v>0.24570734062195587</v>
      </c>
      <c r="L112" s="7">
        <f t="shared" si="4"/>
        <v>1.9873429937775655</v>
      </c>
      <c r="M112" s="7">
        <f t="shared" si="5"/>
        <v>1.9873429937775655</v>
      </c>
      <c r="N112" s="10" t="str">
        <f>IF(DATOS!$C$9="NO","—",IF(AND($L112&gt;=1,$M112&gt;=1),"OK","CALIBRAR"))</f>
        <v>—</v>
      </c>
      <c r="O112" s="25">
        <f>IF(STAAD!$C$17="ASCE 7-16",$G112,$C112)</f>
        <v>1.2027632058417421</v>
      </c>
      <c r="Q112" s="26">
        <v>0.78</v>
      </c>
      <c r="R112" s="27">
        <v>0.01</v>
      </c>
    </row>
    <row r="113" spans="2:18" ht="31.5" customHeight="1" x14ac:dyDescent="0.3">
      <c r="B113" s="24">
        <f>IF(ABS($Q113-DATOS!$C$23/3)&lt;$R113,DATOS!$C$23/3,IF(ABS($Q113-DATOS!$C$23)&lt;$R113,DATOS!$C$23,IF(ABS($Q113-DATOS!$C$42)&lt;$R113,DATOS!$C$42,IF(ABS($Q113-DATOS!$C$43)&lt;$R113,DATOS!$C$43,IF(ABS($Q113-DATOS!$C$44)&lt;$R113,DATOS!$C$44,$Q113)))))</f>
        <v>0.8</v>
      </c>
      <c r="C113" s="19">
        <f>IF($B113&lt;DATOS!$C$23/3,DATOS!$C$25*DATOS!$C$20*(1+3*(DATOS!$C$22-1)*$B113/DATOS!$C$23),IF($B113&lt;=DATOS!$C$23,DATOS!$C$25*DATOS!$C$20*DATOS!$C$22,IF($B113&lt;=4,DATOS!$C$25*DATOS!$C$20*DATOS!$C$22*(DATOS!$C$23/$B113)^(2/3),2.5*DATOS!$C$25*DATOS!$C$20*DATOS!$C$22*DATOS!$C$23^(2/3)/$B113^(4/3))))</f>
        <v>1.1886938096020654</v>
      </c>
      <c r="D113" s="25">
        <f>$C113/COEFICIENTE!$C$12</f>
        <v>0.16981340137172363</v>
      </c>
      <c r="E113" s="25">
        <f>$C113/COEFICIENTE!$D$12</f>
        <v>0.16981340137172363</v>
      </c>
      <c r="F113" s="19">
        <f t="shared" si="3"/>
        <v>2.51875</v>
      </c>
      <c r="G113" s="19">
        <f>IF($B113&lt;DATOS!$C$42,DATOS!$C$40*(0.4+0.6*$B113/DATOS!$C$42),IF($B113&lt;=DATOS!$C$43,DATOS!$C$40,IF($B113&lt;=DATOS!$C$44,DATOS!$C$41/$B113,DATOS!$C$41*DATOS!$C$44/$B113^2)))</f>
        <v>1.6791666666666665</v>
      </c>
      <c r="H113" s="19">
        <f>$G113*DATOS!$C$46/COEFICIENTE!$C$35</f>
        <v>0.4797619047619047</v>
      </c>
      <c r="I113" s="19">
        <f>$G113*DATOS!$C$46/COEFICIENTE!$D$35</f>
        <v>0.4797619047619047</v>
      </c>
      <c r="J113" s="19">
        <f>$D113*DATOS!$C$12</f>
        <v>0.24283316396156476</v>
      </c>
      <c r="K113" s="19">
        <f>$E113*DATOS!$C$12</f>
        <v>0.24283316396156476</v>
      </c>
      <c r="L113" s="7">
        <f t="shared" si="4"/>
        <v>1.9756852685815214</v>
      </c>
      <c r="M113" s="7">
        <f t="shared" si="5"/>
        <v>1.9756852685815214</v>
      </c>
      <c r="N113" s="10" t="str">
        <f>IF(DATOS!$C$9="NO","—",IF(AND($L113&gt;=1,$M113&gt;=1),"OK","CALIBRAR"))</f>
        <v>—</v>
      </c>
      <c r="O113" s="25">
        <f>IF(STAAD!$C$17="ASCE 7-16",$G113,$C113)</f>
        <v>1.1886938096020654</v>
      </c>
      <c r="Q113" s="26">
        <v>0.8</v>
      </c>
      <c r="R113" s="27">
        <v>0.01</v>
      </c>
    </row>
    <row r="114" spans="2:18" ht="31.5" customHeight="1" x14ac:dyDescent="0.3">
      <c r="B114" s="24">
        <f>IF(ABS($Q114-DATOS!$C$23/3)&lt;$R114,DATOS!$C$23/3,IF(ABS($Q114-DATOS!$C$23)&lt;$R114,DATOS!$C$23,IF(ABS($Q114-DATOS!$C$42)&lt;$R114,DATOS!$C$42,IF(ABS($Q114-DATOS!$C$43)&lt;$R114,DATOS!$C$43,IF(ABS($Q114-DATOS!$C$44)&lt;$R114,DATOS!$C$44,$Q114)))))</f>
        <v>0.82</v>
      </c>
      <c r="C114" s="19">
        <f>IF($B114&lt;DATOS!$C$23/3,DATOS!$C$25*DATOS!$C$20*(1+3*(DATOS!$C$22-1)*$B114/DATOS!$C$23),IF($B114&lt;=DATOS!$C$23,DATOS!$C$25*DATOS!$C$20*DATOS!$C$22,IF($B114&lt;=4,DATOS!$C$25*DATOS!$C$20*DATOS!$C$22*(DATOS!$C$23/$B114)^(2/3),2.5*DATOS!$C$25*DATOS!$C$20*DATOS!$C$22*DATOS!$C$23^(2/3)/$B114^(4/3))))</f>
        <v>1.1692860203954265</v>
      </c>
      <c r="D114" s="25">
        <f>$C114/COEFICIENTE!$C$12</f>
        <v>0.1670408600564895</v>
      </c>
      <c r="E114" s="25">
        <f>$C114/COEFICIENTE!$D$12</f>
        <v>0.1670408600564895</v>
      </c>
      <c r="F114" s="19">
        <f t="shared" si="3"/>
        <v>2.4573170731707314</v>
      </c>
      <c r="G114" s="19">
        <f>IF($B114&lt;DATOS!$C$42,DATOS!$C$40*(0.4+0.6*$B114/DATOS!$C$42),IF($B114&lt;=DATOS!$C$43,DATOS!$C$40,IF($B114&lt;=DATOS!$C$44,DATOS!$C$41/$B114,DATOS!$C$41*DATOS!$C$44/$B114^2)))</f>
        <v>1.6382113821138211</v>
      </c>
      <c r="H114" s="19">
        <f>$G114*DATOS!$C$46/COEFICIENTE!$C$35</f>
        <v>0.46806039488966317</v>
      </c>
      <c r="I114" s="19">
        <f>$G114*DATOS!$C$46/COEFICIENTE!$D$35</f>
        <v>0.46806039488966317</v>
      </c>
      <c r="J114" s="19">
        <f>$D114*DATOS!$C$12</f>
        <v>0.23886842988077997</v>
      </c>
      <c r="K114" s="19">
        <f>$E114*DATOS!$C$12</f>
        <v>0.23886842988077997</v>
      </c>
      <c r="L114" s="7">
        <f t="shared" si="4"/>
        <v>1.9594903986402625</v>
      </c>
      <c r="M114" s="7">
        <f t="shared" si="5"/>
        <v>1.9594903986402625</v>
      </c>
      <c r="N114" s="10" t="str">
        <f>IF(DATOS!$C$9="NO","—",IF(AND($L114&gt;=1,$M114&gt;=1),"OK","CALIBRAR"))</f>
        <v>—</v>
      </c>
      <c r="O114" s="25">
        <f>IF(STAAD!$C$17="ASCE 7-16",$G114,$C114)</f>
        <v>1.1692860203954265</v>
      </c>
      <c r="Q114" s="26">
        <v>0.82</v>
      </c>
      <c r="R114" s="27">
        <v>0.01</v>
      </c>
    </row>
    <row r="115" spans="2:18" ht="31.5" customHeight="1" x14ac:dyDescent="0.3">
      <c r="B115" s="24">
        <f>IF(ABS($Q115-DATOS!$C$23/3)&lt;$R115,DATOS!$C$23/3,IF(ABS($Q115-DATOS!$C$23)&lt;$R115,DATOS!$C$23,IF(ABS($Q115-DATOS!$C$42)&lt;$R115,DATOS!$C$42,IF(ABS($Q115-DATOS!$C$43)&lt;$R115,DATOS!$C$43,IF(ABS($Q115-DATOS!$C$44)&lt;$R115,DATOS!$C$44,$Q115)))))</f>
        <v>0.84</v>
      </c>
      <c r="C115" s="19">
        <f>IF($B115&lt;DATOS!$C$23/3,DATOS!$C$25*DATOS!$C$20*(1+3*(DATOS!$C$22-1)*$B115/DATOS!$C$23),IF($B115&lt;=DATOS!$C$23,DATOS!$C$25*DATOS!$C$20*DATOS!$C$22,IF($B115&lt;=4,DATOS!$C$25*DATOS!$C$20*DATOS!$C$22*(DATOS!$C$23/$B115)^(2/3),2.5*DATOS!$C$25*DATOS!$C$20*DATOS!$C$22*DATOS!$C$23^(2/3)/$B115^(4/3))))</f>
        <v>1.1506514832837225</v>
      </c>
      <c r="D115" s="25">
        <f>$C115/COEFICIENTE!$C$12</f>
        <v>0.16437878332624606</v>
      </c>
      <c r="E115" s="25">
        <f>$C115/COEFICIENTE!$D$12</f>
        <v>0.16437878332624606</v>
      </c>
      <c r="F115" s="19">
        <f t="shared" si="3"/>
        <v>2.3988095238095237</v>
      </c>
      <c r="G115" s="19">
        <f>IF($B115&lt;DATOS!$C$42,DATOS!$C$40*(0.4+0.6*$B115/DATOS!$C$42),IF($B115&lt;=DATOS!$C$43,DATOS!$C$40,IF($B115&lt;=DATOS!$C$44,DATOS!$C$41/$B115,DATOS!$C$41*DATOS!$C$44/$B115^2)))</f>
        <v>1.5992063492063493</v>
      </c>
      <c r="H115" s="19">
        <f>$G115*DATOS!$C$46/COEFICIENTE!$C$35</f>
        <v>0.45691609977324266</v>
      </c>
      <c r="I115" s="19">
        <f>$G115*DATOS!$C$46/COEFICIENTE!$D$35</f>
        <v>0.45691609977324266</v>
      </c>
      <c r="J115" s="19">
        <f>$D115*DATOS!$C$12</f>
        <v>0.23506166015653185</v>
      </c>
      <c r="K115" s="19">
        <f>$E115*DATOS!$C$12</f>
        <v>0.23506166015653185</v>
      </c>
      <c r="L115" s="7">
        <f t="shared" si="4"/>
        <v>1.9438138038716049</v>
      </c>
      <c r="M115" s="7">
        <f t="shared" si="5"/>
        <v>1.9438138038716049</v>
      </c>
      <c r="N115" s="10" t="str">
        <f>IF(DATOS!$C$9="NO","—",IF(AND($L115&gt;=1,$M115&gt;=1),"OK","CALIBRAR"))</f>
        <v>—</v>
      </c>
      <c r="O115" s="25">
        <f>IF(STAAD!$C$17="ASCE 7-16",$G115,$C115)</f>
        <v>1.1506514832837225</v>
      </c>
      <c r="Q115" s="26">
        <v>0.84</v>
      </c>
      <c r="R115" s="27">
        <v>0.01</v>
      </c>
    </row>
    <row r="116" spans="2:18" ht="31.5" customHeight="1" x14ac:dyDescent="0.3">
      <c r="B116" s="24">
        <f>IF(ABS($Q116-DATOS!$C$23/3)&lt;$R116,DATOS!$C$23/3,IF(ABS($Q116-DATOS!$C$23)&lt;$R116,DATOS!$C$23,IF(ABS($Q116-DATOS!$C$42)&lt;$R116,DATOS!$C$42,IF(ABS($Q116-DATOS!$C$43)&lt;$R116,DATOS!$C$43,IF(ABS($Q116-DATOS!$C$44)&lt;$R116,DATOS!$C$44,$Q116)))))</f>
        <v>0.86</v>
      </c>
      <c r="C116" s="19">
        <f>IF($B116&lt;DATOS!$C$23/3,DATOS!$C$25*DATOS!$C$20*(1+3*(DATOS!$C$22-1)*$B116/DATOS!$C$23),IF($B116&lt;=DATOS!$C$23,DATOS!$C$25*DATOS!$C$20*DATOS!$C$22,IF($B116&lt;=4,DATOS!$C$25*DATOS!$C$20*DATOS!$C$22*(DATOS!$C$23/$B116)^(2/3),2.5*DATOS!$C$25*DATOS!$C$20*DATOS!$C$22*DATOS!$C$23^(2/3)/$B116^(4/3))))</f>
        <v>1.1327420552990517</v>
      </c>
      <c r="D116" s="25">
        <f>$C116/COEFICIENTE!$C$12</f>
        <v>0.16182029361415023</v>
      </c>
      <c r="E116" s="25">
        <f>$C116/COEFICIENTE!$D$12</f>
        <v>0.16182029361415023</v>
      </c>
      <c r="F116" s="19">
        <f t="shared" si="3"/>
        <v>2.343023255813953</v>
      </c>
      <c r="G116" s="19">
        <f>IF($B116&lt;DATOS!$C$42,DATOS!$C$40*(0.4+0.6*$B116/DATOS!$C$42),IF($B116&lt;=DATOS!$C$43,DATOS!$C$40,IF($B116&lt;=DATOS!$C$44,DATOS!$C$41/$B116,DATOS!$C$41*DATOS!$C$44/$B116^2)))</f>
        <v>1.5620155038759689</v>
      </c>
      <c r="H116" s="19">
        <f>$G116*DATOS!$C$46/COEFICIENTE!$C$35</f>
        <v>0.4462901439645625</v>
      </c>
      <c r="I116" s="19">
        <f>$G116*DATOS!$C$46/COEFICIENTE!$D$35</f>
        <v>0.4462901439645625</v>
      </c>
      <c r="J116" s="19">
        <f>$D116*DATOS!$C$12</f>
        <v>0.23140301986823483</v>
      </c>
      <c r="K116" s="19">
        <f>$E116*DATOS!$C$12</f>
        <v>0.23140301986823483</v>
      </c>
      <c r="L116" s="7">
        <f t="shared" si="4"/>
        <v>1.9286271381362627</v>
      </c>
      <c r="M116" s="7">
        <f t="shared" si="5"/>
        <v>1.9286271381362627</v>
      </c>
      <c r="N116" s="10" t="str">
        <f>IF(DATOS!$C$9="NO","—",IF(AND($L116&gt;=1,$M116&gt;=1),"OK","CALIBRAR"))</f>
        <v>—</v>
      </c>
      <c r="O116" s="25">
        <f>IF(STAAD!$C$17="ASCE 7-16",$G116,$C116)</f>
        <v>1.1327420552990517</v>
      </c>
      <c r="Q116" s="26">
        <v>0.86</v>
      </c>
      <c r="R116" s="27">
        <v>0.01</v>
      </c>
    </row>
    <row r="117" spans="2:18" ht="31.5" customHeight="1" x14ac:dyDescent="0.3">
      <c r="B117" s="24">
        <f>IF(ABS($Q117-DATOS!$C$23/3)&lt;$R117,DATOS!$C$23/3,IF(ABS($Q117-DATOS!$C$23)&lt;$R117,DATOS!$C$23,IF(ABS($Q117-DATOS!$C$42)&lt;$R117,DATOS!$C$42,IF(ABS($Q117-DATOS!$C$43)&lt;$R117,DATOS!$C$43,IF(ABS($Q117-DATOS!$C$44)&lt;$R117,DATOS!$C$44,$Q117)))))</f>
        <v>0.88</v>
      </c>
      <c r="C117" s="19">
        <f>IF($B117&lt;DATOS!$C$23/3,DATOS!$C$25*DATOS!$C$20*(1+3*(DATOS!$C$22-1)*$B117/DATOS!$C$23),IF($B117&lt;=DATOS!$C$23,DATOS!$C$25*DATOS!$C$20*DATOS!$C$22,IF($B117&lt;=4,DATOS!$C$25*DATOS!$C$20*DATOS!$C$22*(DATOS!$C$23/$B117)^(2/3),2.5*DATOS!$C$25*DATOS!$C$20*DATOS!$C$22*DATOS!$C$23^(2/3)/$B117^(4/3))))</f>
        <v>1.1155136209257173</v>
      </c>
      <c r="D117" s="25">
        <f>$C117/COEFICIENTE!$C$12</f>
        <v>0.1593590887036739</v>
      </c>
      <c r="E117" s="25">
        <f>$C117/COEFICIENTE!$D$12</f>
        <v>0.1593590887036739</v>
      </c>
      <c r="F117" s="19">
        <f t="shared" si="3"/>
        <v>2.289772727272727</v>
      </c>
      <c r="G117" s="19">
        <f>IF($B117&lt;DATOS!$C$42,DATOS!$C$40*(0.4+0.6*$B117/DATOS!$C$42),IF($B117&lt;=DATOS!$C$43,DATOS!$C$40,IF($B117&lt;=DATOS!$C$44,DATOS!$C$41/$B117,DATOS!$C$41*DATOS!$C$44/$B117^2)))</f>
        <v>1.5265151515151514</v>
      </c>
      <c r="H117" s="19">
        <f>$G117*DATOS!$C$46/COEFICIENTE!$C$35</f>
        <v>0.4361471861471861</v>
      </c>
      <c r="I117" s="19">
        <f>$G117*DATOS!$C$46/COEFICIENTE!$D$35</f>
        <v>0.4361471861471861</v>
      </c>
      <c r="J117" s="19">
        <f>$D117*DATOS!$C$12</f>
        <v>0.22788349684625367</v>
      </c>
      <c r="K117" s="19">
        <f>$E117*DATOS!$C$12</f>
        <v>0.22788349684625367</v>
      </c>
      <c r="L117" s="7">
        <f t="shared" si="4"/>
        <v>1.9139042194066465</v>
      </c>
      <c r="M117" s="7">
        <f t="shared" si="5"/>
        <v>1.9139042194066465</v>
      </c>
      <c r="N117" s="10" t="str">
        <f>IF(DATOS!$C$9="NO","—",IF(AND($L117&gt;=1,$M117&gt;=1),"OK","CALIBRAR"))</f>
        <v>—</v>
      </c>
      <c r="O117" s="25">
        <f>IF(STAAD!$C$17="ASCE 7-16",$G117,$C117)</f>
        <v>1.1155136209257173</v>
      </c>
      <c r="Q117" s="26">
        <v>0.88</v>
      </c>
      <c r="R117" s="27">
        <v>0.01</v>
      </c>
    </row>
    <row r="118" spans="2:18" ht="31.5" customHeight="1" x14ac:dyDescent="0.3">
      <c r="B118" s="24">
        <f>IF(ABS($Q118-DATOS!$C$23/3)&lt;$R118,DATOS!$C$23/3,IF(ABS($Q118-DATOS!$C$23)&lt;$R118,DATOS!$C$23,IF(ABS($Q118-DATOS!$C$42)&lt;$R118,DATOS!$C$42,IF(ABS($Q118-DATOS!$C$43)&lt;$R118,DATOS!$C$43,IF(ABS($Q118-DATOS!$C$44)&lt;$R118,DATOS!$C$44,$Q118)))))</f>
        <v>0.9</v>
      </c>
      <c r="C118" s="19">
        <f>IF($B118&lt;DATOS!$C$23/3,DATOS!$C$25*DATOS!$C$20*(1+3*(DATOS!$C$22-1)*$B118/DATOS!$C$23),IF($B118&lt;=DATOS!$C$23,DATOS!$C$25*DATOS!$C$20*DATOS!$C$22,IF($B118&lt;=4,DATOS!$C$25*DATOS!$C$20*DATOS!$C$22*(DATOS!$C$23/$B118)^(2/3),2.5*DATOS!$C$25*DATOS!$C$20*DATOS!$C$22*DATOS!$C$23^(2/3)/$B118^(4/3))))</f>
        <v>1.0989256728511985</v>
      </c>
      <c r="D118" s="25">
        <f>$C118/COEFICIENTE!$C$12</f>
        <v>0.15698938183588548</v>
      </c>
      <c r="E118" s="25">
        <f>$C118/COEFICIENTE!$D$12</f>
        <v>0.15698938183588548</v>
      </c>
      <c r="F118" s="19">
        <f t="shared" si="3"/>
        <v>2.238888888888889</v>
      </c>
      <c r="G118" s="19">
        <f>IF($B118&lt;DATOS!$C$42,DATOS!$C$40*(0.4+0.6*$B118/DATOS!$C$42),IF($B118&lt;=DATOS!$C$43,DATOS!$C$40,IF($B118&lt;=DATOS!$C$44,DATOS!$C$41/$B118,DATOS!$C$41*DATOS!$C$44/$B118^2)))</f>
        <v>1.4925925925925925</v>
      </c>
      <c r="H118" s="19">
        <f>$G118*DATOS!$C$46/COEFICIENTE!$C$35</f>
        <v>0.4264550264550264</v>
      </c>
      <c r="I118" s="19">
        <f>$G118*DATOS!$C$46/COEFICIENTE!$D$35</f>
        <v>0.4264550264550264</v>
      </c>
      <c r="J118" s="19">
        <f>$D118*DATOS!$C$12</f>
        <v>0.22449481602531624</v>
      </c>
      <c r="K118" s="19">
        <f>$E118*DATOS!$C$12</f>
        <v>0.22449481602531624</v>
      </c>
      <c r="L118" s="7">
        <f t="shared" si="4"/>
        <v>1.8996208197829172</v>
      </c>
      <c r="M118" s="7">
        <f t="shared" si="5"/>
        <v>1.8996208197829172</v>
      </c>
      <c r="N118" s="10" t="str">
        <f>IF(DATOS!$C$9="NO","—",IF(AND($L118&gt;=1,$M118&gt;=1),"OK","CALIBRAR"))</f>
        <v>—</v>
      </c>
      <c r="O118" s="25">
        <f>IF(STAAD!$C$17="ASCE 7-16",$G118,$C118)</f>
        <v>1.0989256728511985</v>
      </c>
      <c r="Q118" s="26">
        <v>0.9</v>
      </c>
      <c r="R118" s="27">
        <v>0.01</v>
      </c>
    </row>
    <row r="119" spans="2:18" ht="31.5" customHeight="1" x14ac:dyDescent="0.3">
      <c r="B119" s="24">
        <f>IF(ABS($Q119-DATOS!$C$23/3)&lt;$R119,DATOS!$C$23/3,IF(ABS($Q119-DATOS!$C$23)&lt;$R119,DATOS!$C$23,IF(ABS($Q119-DATOS!$C$42)&lt;$R119,DATOS!$C$42,IF(ABS($Q119-DATOS!$C$43)&lt;$R119,DATOS!$C$43,IF(ABS($Q119-DATOS!$C$44)&lt;$R119,DATOS!$C$44,$Q119)))))</f>
        <v>0.92</v>
      </c>
      <c r="C119" s="19">
        <f>IF($B119&lt;DATOS!$C$23/3,DATOS!$C$25*DATOS!$C$20*(1+3*(DATOS!$C$22-1)*$B119/DATOS!$C$23),IF($B119&lt;=DATOS!$C$23,DATOS!$C$25*DATOS!$C$20*DATOS!$C$22,IF($B119&lt;=4,DATOS!$C$25*DATOS!$C$20*DATOS!$C$22*(DATOS!$C$23/$B119)^(2/3),2.5*DATOS!$C$25*DATOS!$C$20*DATOS!$C$22*DATOS!$C$23^(2/3)/$B119^(4/3))))</f>
        <v>1.082940944556427</v>
      </c>
      <c r="D119" s="25">
        <f>$C119/COEFICIENTE!$C$12</f>
        <v>0.15470584922234673</v>
      </c>
      <c r="E119" s="25">
        <f>$C119/COEFICIENTE!$D$12</f>
        <v>0.15470584922234673</v>
      </c>
      <c r="F119" s="19">
        <f t="shared" si="3"/>
        <v>2.1902173913043477</v>
      </c>
      <c r="G119" s="19">
        <f>IF($B119&lt;DATOS!$C$42,DATOS!$C$40*(0.4+0.6*$B119/DATOS!$C$42),IF($B119&lt;=DATOS!$C$43,DATOS!$C$40,IF($B119&lt;=DATOS!$C$44,DATOS!$C$41/$B119,DATOS!$C$41*DATOS!$C$44/$B119^2)))</f>
        <v>1.4601449275362317</v>
      </c>
      <c r="H119" s="19">
        <f>$G119*DATOS!$C$46/COEFICIENTE!$C$35</f>
        <v>0.41718426501035194</v>
      </c>
      <c r="I119" s="19">
        <f>$G119*DATOS!$C$46/COEFICIENTE!$D$35</f>
        <v>0.41718426501035194</v>
      </c>
      <c r="J119" s="19">
        <f>$D119*DATOS!$C$12</f>
        <v>0.22122936438795582</v>
      </c>
      <c r="K119" s="19">
        <f>$E119*DATOS!$C$12</f>
        <v>0.22122936438795582</v>
      </c>
      <c r="L119" s="7">
        <f t="shared" si="4"/>
        <v>1.8857544800371189</v>
      </c>
      <c r="M119" s="7">
        <f t="shared" si="5"/>
        <v>1.8857544800371189</v>
      </c>
      <c r="N119" s="10" t="str">
        <f>IF(DATOS!$C$9="NO","—",IF(AND($L119&gt;=1,$M119&gt;=1),"OK","CALIBRAR"))</f>
        <v>—</v>
      </c>
      <c r="O119" s="25">
        <f>IF(STAAD!$C$17="ASCE 7-16",$G119,$C119)</f>
        <v>1.082940944556427</v>
      </c>
      <c r="Q119" s="26">
        <v>0.92</v>
      </c>
      <c r="R119" s="27">
        <v>0.01</v>
      </c>
    </row>
    <row r="120" spans="2:18" ht="31.5" customHeight="1" x14ac:dyDescent="0.3">
      <c r="B120" s="24">
        <f>IF(ABS($Q120-DATOS!$C$23/3)&lt;$R120,DATOS!$C$23/3,IF(ABS($Q120-DATOS!$C$23)&lt;$R120,DATOS!$C$23,IF(ABS($Q120-DATOS!$C$42)&lt;$R120,DATOS!$C$42,IF(ABS($Q120-DATOS!$C$43)&lt;$R120,DATOS!$C$43,IF(ABS($Q120-DATOS!$C$44)&lt;$R120,DATOS!$C$44,$Q120)))))</f>
        <v>0.94</v>
      </c>
      <c r="C120" s="19">
        <f>IF($B120&lt;DATOS!$C$23/3,DATOS!$C$25*DATOS!$C$20*(1+3*(DATOS!$C$22-1)*$B120/DATOS!$C$23),IF($B120&lt;=DATOS!$C$23,DATOS!$C$25*DATOS!$C$20*DATOS!$C$22,IF($B120&lt;=4,DATOS!$C$25*DATOS!$C$20*DATOS!$C$22*(DATOS!$C$23/$B120)^(2/3),2.5*DATOS!$C$25*DATOS!$C$20*DATOS!$C$22*DATOS!$C$23^(2/3)/$B120^(4/3))))</f>
        <v>1.0675250873653346</v>
      </c>
      <c r="D120" s="25">
        <f>$C120/COEFICIENTE!$C$12</f>
        <v>0.15250358390933352</v>
      </c>
      <c r="E120" s="25">
        <f>$C120/COEFICIENTE!$D$12</f>
        <v>0.15250358390933352</v>
      </c>
      <c r="F120" s="19">
        <f t="shared" si="3"/>
        <v>2.143617021276596</v>
      </c>
      <c r="G120" s="19">
        <f>IF($B120&lt;DATOS!$C$42,DATOS!$C$40*(0.4+0.6*$B120/DATOS!$C$42),IF($B120&lt;=DATOS!$C$43,DATOS!$C$40,IF($B120&lt;=DATOS!$C$44,DATOS!$C$41/$B120,DATOS!$C$41*DATOS!$C$44/$B120^2)))</f>
        <v>1.4290780141843973</v>
      </c>
      <c r="H120" s="19">
        <f>$G120*DATOS!$C$46/COEFICIENTE!$C$35</f>
        <v>0.4083080040526849</v>
      </c>
      <c r="I120" s="19">
        <f>$G120*DATOS!$C$46/COEFICIENTE!$D$35</f>
        <v>0.4083080040526849</v>
      </c>
      <c r="J120" s="19">
        <f>$D120*DATOS!$C$12</f>
        <v>0.21808012499034693</v>
      </c>
      <c r="K120" s="19">
        <f>$E120*DATOS!$C$12</f>
        <v>0.21808012499034693</v>
      </c>
      <c r="L120" s="7">
        <f t="shared" si="4"/>
        <v>1.8722843453559017</v>
      </c>
      <c r="M120" s="7">
        <f t="shared" si="5"/>
        <v>1.8722843453559017</v>
      </c>
      <c r="N120" s="10" t="str">
        <f>IF(DATOS!$C$9="NO","—",IF(AND($L120&gt;=1,$M120&gt;=1),"OK","CALIBRAR"))</f>
        <v>—</v>
      </c>
      <c r="O120" s="25">
        <f>IF(STAAD!$C$17="ASCE 7-16",$G120,$C120)</f>
        <v>1.0675250873653346</v>
      </c>
      <c r="Q120" s="26">
        <v>0.94</v>
      </c>
      <c r="R120" s="27">
        <v>0.01</v>
      </c>
    </row>
    <row r="121" spans="2:18" ht="31.5" customHeight="1" x14ac:dyDescent="0.3">
      <c r="B121" s="24">
        <f>IF(ABS($Q121-DATOS!$C$23/3)&lt;$R121,DATOS!$C$23/3,IF(ABS($Q121-DATOS!$C$23)&lt;$R121,DATOS!$C$23,IF(ABS($Q121-DATOS!$C$42)&lt;$R121,DATOS!$C$42,IF(ABS($Q121-DATOS!$C$43)&lt;$R121,DATOS!$C$43,IF(ABS($Q121-DATOS!$C$44)&lt;$R121,DATOS!$C$44,$Q121)))))</f>
        <v>0.96</v>
      </c>
      <c r="C121" s="19">
        <f>IF($B121&lt;DATOS!$C$23/3,DATOS!$C$25*DATOS!$C$20*(1+3*(DATOS!$C$22-1)*$B121/DATOS!$C$23),IF($B121&lt;=DATOS!$C$23,DATOS!$C$25*DATOS!$C$20*DATOS!$C$22,IF($B121&lt;=4,DATOS!$C$25*DATOS!$C$20*DATOS!$C$22*(DATOS!$C$23/$B121)^(2/3),2.5*DATOS!$C$25*DATOS!$C$20*DATOS!$C$22*DATOS!$C$23^(2/3)/$B121^(4/3))))</f>
        <v>1.0526463857566317</v>
      </c>
      <c r="D121" s="25">
        <f>$C121/COEFICIENTE!$C$12</f>
        <v>0.15037805510809024</v>
      </c>
      <c r="E121" s="25">
        <f>$C121/COEFICIENTE!$D$12</f>
        <v>0.15037805510809024</v>
      </c>
      <c r="F121" s="19">
        <f t="shared" si="3"/>
        <v>2.0989583333333335</v>
      </c>
      <c r="G121" s="19">
        <f>IF($B121&lt;DATOS!$C$42,DATOS!$C$40*(0.4+0.6*$B121/DATOS!$C$42),IF($B121&lt;=DATOS!$C$43,DATOS!$C$40,IF($B121&lt;=DATOS!$C$44,DATOS!$C$41/$B121,DATOS!$C$41*DATOS!$C$44/$B121^2)))</f>
        <v>1.3993055555555556</v>
      </c>
      <c r="H121" s="19">
        <f>$G121*DATOS!$C$46/COEFICIENTE!$C$35</f>
        <v>0.3998015873015873</v>
      </c>
      <c r="I121" s="19">
        <f>$G121*DATOS!$C$46/COEFICIENTE!$D$35</f>
        <v>0.3998015873015873</v>
      </c>
      <c r="J121" s="19">
        <f>$D121*DATOS!$C$12</f>
        <v>0.21504061880456904</v>
      </c>
      <c r="K121" s="19">
        <f>$E121*DATOS!$C$12</f>
        <v>0.21504061880456904</v>
      </c>
      <c r="L121" s="7">
        <f t="shared" si="4"/>
        <v>1.8591910194647032</v>
      </c>
      <c r="M121" s="7">
        <f t="shared" si="5"/>
        <v>1.8591910194647032</v>
      </c>
      <c r="N121" s="10" t="str">
        <f>IF(DATOS!$C$9="NO","—",IF(AND($L121&gt;=1,$M121&gt;=1),"OK","CALIBRAR"))</f>
        <v>—</v>
      </c>
      <c r="O121" s="25">
        <f>IF(STAAD!$C$17="ASCE 7-16",$G121,$C121)</f>
        <v>1.0526463857566317</v>
      </c>
      <c r="Q121" s="26">
        <v>0.96</v>
      </c>
      <c r="R121" s="27">
        <v>0.01</v>
      </c>
    </row>
    <row r="122" spans="2:18" ht="31.5" customHeight="1" x14ac:dyDescent="0.3">
      <c r="B122" s="24">
        <f>IF(ABS($Q122-DATOS!$C$23/3)&lt;$R122,DATOS!$C$23/3,IF(ABS($Q122-DATOS!$C$23)&lt;$R122,DATOS!$C$23,IF(ABS($Q122-DATOS!$C$42)&lt;$R122,DATOS!$C$42,IF(ABS($Q122-DATOS!$C$43)&lt;$R122,DATOS!$C$43,IF(ABS($Q122-DATOS!$C$44)&lt;$R122,DATOS!$C$44,$Q122)))))</f>
        <v>0.98</v>
      </c>
      <c r="C122" s="19">
        <f>IF($B122&lt;DATOS!$C$23/3,DATOS!$C$25*DATOS!$C$20*(1+3*(DATOS!$C$22-1)*$B122/DATOS!$C$23),IF($B122&lt;=DATOS!$C$23,DATOS!$C$25*DATOS!$C$20*DATOS!$C$22,IF($B122&lt;=4,DATOS!$C$25*DATOS!$C$20*DATOS!$C$22*(DATOS!$C$23/$B122)^(2/3),2.5*DATOS!$C$25*DATOS!$C$20*DATOS!$C$22*DATOS!$C$23^(2/3)/$B122^(4/3))))</f>
        <v>1.0382755057138127</v>
      </c>
      <c r="D122" s="25">
        <f>$C122/COEFICIENTE!$C$12</f>
        <v>0.14832507224483038</v>
      </c>
      <c r="E122" s="25">
        <f>$C122/COEFICIENTE!$D$12</f>
        <v>0.14832507224483038</v>
      </c>
      <c r="F122" s="19">
        <f t="shared" si="3"/>
        <v>2.0561224489795915</v>
      </c>
      <c r="G122" s="19">
        <f>IF($B122&lt;DATOS!$C$42,DATOS!$C$40*(0.4+0.6*$B122/DATOS!$C$42),IF($B122&lt;=DATOS!$C$43,DATOS!$C$40,IF($B122&lt;=DATOS!$C$44,DATOS!$C$41/$B122,DATOS!$C$41*DATOS!$C$44/$B122^2)))</f>
        <v>1.3707482993197277</v>
      </c>
      <c r="H122" s="19">
        <f>$G122*DATOS!$C$46/COEFICIENTE!$C$35</f>
        <v>0.3916423712342079</v>
      </c>
      <c r="I122" s="19">
        <f>$G122*DATOS!$C$46/COEFICIENTE!$D$35</f>
        <v>0.3916423712342079</v>
      </c>
      <c r="J122" s="19">
        <f>$D122*DATOS!$C$12</f>
        <v>0.21210485331010742</v>
      </c>
      <c r="K122" s="19">
        <f>$E122*DATOS!$C$12</f>
        <v>0.21210485331010742</v>
      </c>
      <c r="L122" s="7">
        <f t="shared" si="4"/>
        <v>1.8464564347408312</v>
      </c>
      <c r="M122" s="7">
        <f t="shared" si="5"/>
        <v>1.8464564347408312</v>
      </c>
      <c r="N122" s="10" t="str">
        <f>IF(DATOS!$C$9="NO","—",IF(AND($L122&gt;=1,$M122&gt;=1),"OK","CALIBRAR"))</f>
        <v>—</v>
      </c>
      <c r="O122" s="25">
        <f>IF(STAAD!$C$17="ASCE 7-16",$G122,$C122)</f>
        <v>1.0382755057138127</v>
      </c>
      <c r="Q122" s="26">
        <v>0.98</v>
      </c>
      <c r="R122" s="27">
        <v>0.01</v>
      </c>
    </row>
    <row r="123" spans="2:18" ht="31.5" customHeight="1" x14ac:dyDescent="0.3">
      <c r="B123" s="24">
        <f>IF(ABS($Q123-DATOS!$C$23/3)&lt;$R123,DATOS!$C$23/3,IF(ABS($Q123-DATOS!$C$23)&lt;$R123,DATOS!$C$23,IF(ABS($Q123-DATOS!$C$42)&lt;$R123,DATOS!$C$42,IF(ABS($Q123-DATOS!$C$43)&lt;$R123,DATOS!$C$43,IF(ABS($Q123-DATOS!$C$44)&lt;$R123,DATOS!$C$44,$Q123)))))</f>
        <v>1.0</v>
      </c>
      <c r="C123" s="19">
        <f>IF($B123&lt;DATOS!$C$23/3,DATOS!$C$25*DATOS!$C$20*(1+3*(DATOS!$C$22-1)*$B123/DATOS!$C$23),IF($B123&lt;=DATOS!$C$23,DATOS!$C$25*DATOS!$C$20*DATOS!$C$22,IF($B123&lt;=4,DATOS!$C$25*DATOS!$C$20*DATOS!$C$22*(DATOS!$C$23/$B123)^(2/3),2.5*DATOS!$C$25*DATOS!$C$20*DATOS!$C$22*DATOS!$C$23^(2/3)/$B123^(4/3))))</f>
        <v>1.024385271693138</v>
      </c>
      <c r="D123" s="25">
        <f>$C123/COEFICIENTE!$C$12</f>
        <v>0.14634075309901973</v>
      </c>
      <c r="E123" s="25">
        <f>$C123/COEFICIENTE!$D$12</f>
        <v>0.14634075309901973</v>
      </c>
      <c r="F123" s="19">
        <f t="shared" si="3"/>
        <v>2.0149999999999997</v>
      </c>
      <c r="G123" s="19">
        <f>IF($B123&lt;DATOS!$C$42,DATOS!$C$40*(0.4+0.6*$B123/DATOS!$C$42),IF($B123&lt;=DATOS!$C$43,DATOS!$C$40,IF($B123&lt;=DATOS!$C$44,DATOS!$C$41/$B123,DATOS!$C$41*DATOS!$C$44/$B123^2)))</f>
        <v>1.3433333333333333</v>
      </c>
      <c r="H123" s="19">
        <f>$G123*DATOS!$C$46/COEFICIENTE!$C$35</f>
        <v>0.38380952380952377</v>
      </c>
      <c r="I123" s="19">
        <f>$G123*DATOS!$C$46/COEFICIENTE!$D$35</f>
        <v>0.38380952380952377</v>
      </c>
      <c r="J123" s="19">
        <f>$D123*DATOS!$C$12</f>
        <v>0.2092672769315982</v>
      </c>
      <c r="K123" s="19">
        <f>$E123*DATOS!$C$12</f>
        <v>0.2092672769315982</v>
      </c>
      <c r="L123" s="7">
        <f t="shared" si="4"/>
        <v>1.8340637362762504</v>
      </c>
      <c r="M123" s="7">
        <f t="shared" si="5"/>
        <v>1.8340637362762504</v>
      </c>
      <c r="N123" s="10" t="str">
        <f>IF(DATOS!$C$9="NO","—",IF(AND($L123&gt;=1,$M123&gt;=1),"OK","CALIBRAR"))</f>
        <v>—</v>
      </c>
      <c r="O123" s="25">
        <f>IF(STAAD!$C$17="ASCE 7-16",$G123,$C123)</f>
        <v>1.024385271693138</v>
      </c>
      <c r="Q123" s="26">
        <v>1</v>
      </c>
      <c r="R123" s="27">
        <v>0.01</v>
      </c>
    </row>
    <row r="124" spans="2:18" ht="31.5" customHeight="1" x14ac:dyDescent="0.3">
      <c r="B124" s="24">
        <f>IF(ABS($Q124-DATOS!$C$23/3)&lt;$R124,DATOS!$C$23/3,IF(ABS($Q124-DATOS!$C$23)&lt;$R124,DATOS!$C$23,IF(ABS($Q124-DATOS!$C$42)&lt;$R124,DATOS!$C$42,IF(ABS($Q124-DATOS!$C$43)&lt;$R124,DATOS!$C$43,IF(ABS($Q124-DATOS!$C$44)&lt;$R124,DATOS!$C$44,$Q124)))))</f>
        <v>1.05</v>
      </c>
      <c r="C124" s="19">
        <f>IF($B124&lt;DATOS!$C$23/3,DATOS!$C$25*DATOS!$C$20*(1+3*(DATOS!$C$22-1)*$B124/DATOS!$C$23),IF($B124&lt;=DATOS!$C$23,DATOS!$C$25*DATOS!$C$20*DATOS!$C$22,IF($B124&lt;=4,DATOS!$C$25*DATOS!$C$20*DATOS!$C$22*(DATOS!$C$23/$B124)^(2/3),2.5*DATOS!$C$25*DATOS!$C$20*DATOS!$C$22*DATOS!$C$23^(2/3)/$B124^(4/3))))</f>
        <v>0.9916013886892374</v>
      </c>
      <c r="D124" s="25">
        <f>$C124/COEFICIENTE!$C$12</f>
        <v>0.14165734124131962</v>
      </c>
      <c r="E124" s="25">
        <f>$C124/COEFICIENTE!$D$12</f>
        <v>0.14165734124131962</v>
      </c>
      <c r="F124" s="19">
        <f t="shared" si="3"/>
        <v>1.919047619047619</v>
      </c>
      <c r="G124" s="19">
        <f>IF($B124&lt;DATOS!$C$42,DATOS!$C$40*(0.4+0.6*$B124/DATOS!$C$42),IF($B124&lt;=DATOS!$C$43,DATOS!$C$40,IF($B124&lt;=DATOS!$C$44,DATOS!$C$41/$B124,DATOS!$C$41*DATOS!$C$44/$B124^2)))</f>
        <v>1.2793650793650793</v>
      </c>
      <c r="H124" s="19">
        <f>$G124*DATOS!$C$46/COEFICIENTE!$C$35</f>
        <v>0.36553287981859406</v>
      </c>
      <c r="I124" s="19">
        <f>$G124*DATOS!$C$46/COEFICIENTE!$D$35</f>
        <v>0.36553287981859406</v>
      </c>
      <c r="J124" s="19">
        <f>$D124*DATOS!$C$12</f>
        <v>0.20256999797508704</v>
      </c>
      <c r="K124" s="19">
        <f>$E124*DATOS!$C$12</f>
        <v>0.20256999797508704</v>
      </c>
      <c r="L124" s="7">
        <f t="shared" si="4"/>
        <v>1.8044768893345644</v>
      </c>
      <c r="M124" s="7">
        <f t="shared" si="5"/>
        <v>1.8044768893345644</v>
      </c>
      <c r="N124" s="10" t="str">
        <f>IF(DATOS!$C$9="NO","—",IF(AND($L124&gt;=1,$M124&gt;=1),"OK","CALIBRAR"))</f>
        <v>—</v>
      </c>
      <c r="O124" s="25">
        <f>IF(STAAD!$C$17="ASCE 7-16",$G124,$C124)</f>
        <v>0.9916013886892374</v>
      </c>
      <c r="Q124" s="26">
        <v>1.05</v>
      </c>
      <c r="R124" s="27">
        <v>2.5000000000000001E-2</v>
      </c>
    </row>
    <row r="125" spans="2:18" ht="31.5" customHeight="1" x14ac:dyDescent="0.3">
      <c r="B125" s="24">
        <f>IF(ABS($Q125-DATOS!$C$23/3)&lt;$R125,DATOS!$C$23/3,IF(ABS($Q125-DATOS!$C$23)&lt;$R125,DATOS!$C$23,IF(ABS($Q125-DATOS!$C$42)&lt;$R125,DATOS!$C$42,IF(ABS($Q125-DATOS!$C$43)&lt;$R125,DATOS!$C$43,IF(ABS($Q125-DATOS!$C$44)&lt;$R125,DATOS!$C$44,$Q125)))))</f>
        <v>1.1</v>
      </c>
      <c r="C125" s="19">
        <f>IF($B125&lt;DATOS!$C$23/3,DATOS!$C$25*DATOS!$C$20*(1+3*(DATOS!$C$22-1)*$B125/DATOS!$C$23),IF($B125&lt;=DATOS!$C$23,DATOS!$C$25*DATOS!$C$20*DATOS!$C$22,IF($B125&lt;=4,DATOS!$C$25*DATOS!$C$20*DATOS!$C$22*(DATOS!$C$23/$B125)^(2/3),2.5*DATOS!$C$25*DATOS!$C$20*DATOS!$C$22*DATOS!$C$23^(2/3)/$B125^(4/3))))</f>
        <v>0.961320496850177</v>
      </c>
      <c r="D125" s="25">
        <f>$C125/COEFICIENTE!$C$12</f>
        <v>0.13733149955002527</v>
      </c>
      <c r="E125" s="25">
        <f>$C125/COEFICIENTE!$D$12</f>
        <v>0.13733149955002527</v>
      </c>
      <c r="F125" s="19">
        <f t="shared" si="3"/>
        <v>1.8318181818181816</v>
      </c>
      <c r="G125" s="19">
        <f>IF($B125&lt;DATOS!$C$42,DATOS!$C$40*(0.4+0.6*$B125/DATOS!$C$42),IF($B125&lt;=DATOS!$C$43,DATOS!$C$40,IF($B125&lt;=DATOS!$C$44,DATOS!$C$41/$B125,DATOS!$C$41*DATOS!$C$44/$B125^2)))</f>
        <v>1.221212121212121</v>
      </c>
      <c r="H125" s="19">
        <f>$G125*DATOS!$C$46/COEFICIENTE!$C$35</f>
        <v>0.34891774891774885</v>
      </c>
      <c r="I125" s="19">
        <f>$G125*DATOS!$C$46/COEFICIENTE!$D$35</f>
        <v>0.34891774891774885</v>
      </c>
      <c r="J125" s="19">
        <f>$D125*DATOS!$C$12</f>
        <v>0.19638404435653614</v>
      </c>
      <c r="K125" s="19">
        <f>$E125*DATOS!$C$12</f>
        <v>0.19638404435653614</v>
      </c>
      <c r="L125" s="7">
        <f t="shared" si="4"/>
        <v>1.7767112906804539</v>
      </c>
      <c r="M125" s="7">
        <f t="shared" si="5"/>
        <v>1.7767112906804539</v>
      </c>
      <c r="N125" s="10" t="str">
        <f>IF(DATOS!$C$9="NO","—",IF(AND($L125&gt;=1,$M125&gt;=1),"OK","CALIBRAR"))</f>
        <v>—</v>
      </c>
      <c r="O125" s="25">
        <f>IF(STAAD!$C$17="ASCE 7-16",$G125,$C125)</f>
        <v>0.961320496850177</v>
      </c>
      <c r="Q125" s="26">
        <v>1.1000000000000001</v>
      </c>
      <c r="R125" s="27">
        <v>2.5000000000000001E-2</v>
      </c>
    </row>
    <row r="126" spans="2:18" ht="31.5" customHeight="1" x14ac:dyDescent="0.3">
      <c r="B126" s="24">
        <f>IF(ABS($Q126-DATOS!$C$23/3)&lt;$R126,DATOS!$C$23/3,IF(ABS($Q126-DATOS!$C$23)&lt;$R126,DATOS!$C$23,IF(ABS($Q126-DATOS!$C$42)&lt;$R126,DATOS!$C$42,IF(ABS($Q126-DATOS!$C$43)&lt;$R126,DATOS!$C$43,IF(ABS($Q126-DATOS!$C$44)&lt;$R126,DATOS!$C$44,$Q126)))))</f>
        <v>1.15</v>
      </c>
      <c r="C126" s="19">
        <f>IF($B126&lt;DATOS!$C$23/3,DATOS!$C$25*DATOS!$C$20*(1+3*(DATOS!$C$22-1)*$B126/DATOS!$C$23),IF($B126&lt;=DATOS!$C$23,DATOS!$C$25*DATOS!$C$20*DATOS!$C$22,IF($B126&lt;=4,DATOS!$C$25*DATOS!$C$20*DATOS!$C$22*(DATOS!$C$23/$B126)^(2/3),2.5*DATOS!$C$25*DATOS!$C$20*DATOS!$C$22*DATOS!$C$23^(2/3)/$B126^(4/3))))</f>
        <v>0.9332502152833047</v>
      </c>
      <c r="D126" s="25">
        <f>$C126/COEFICIENTE!$C$12</f>
        <v>0.1333214593261864</v>
      </c>
      <c r="E126" s="25">
        <f>$C126/COEFICIENTE!$D$12</f>
        <v>0.1333214593261864</v>
      </c>
      <c r="F126" s="19">
        <f t="shared" si="3"/>
        <v>1.7521739130434781</v>
      </c>
      <c r="G126" s="19">
        <f>IF($B126&lt;DATOS!$C$42,DATOS!$C$40*(0.4+0.6*$B126/DATOS!$C$42),IF($B126&lt;=DATOS!$C$43,DATOS!$C$40,IF($B126&lt;=DATOS!$C$44,DATOS!$C$41/$B126,DATOS!$C$41*DATOS!$C$44/$B126^2)))</f>
        <v>1.1681159420289855</v>
      </c>
      <c r="H126" s="19">
        <f>$G126*DATOS!$C$46/COEFICIENTE!$C$35</f>
        <v>0.33374741200828156</v>
      </c>
      <c r="I126" s="19">
        <f>$G126*DATOS!$C$46/COEFICIENTE!$D$35</f>
        <v>0.33374741200828156</v>
      </c>
      <c r="J126" s="19">
        <f>$D126*DATOS!$C$12</f>
        <v>0.19064968683644654</v>
      </c>
      <c r="K126" s="19">
        <f>$E126*DATOS!$C$12</f>
        <v>0.19064968683644654</v>
      </c>
      <c r="L126" s="7">
        <f t="shared" si="4"/>
        <v>1.7505793874951123</v>
      </c>
      <c r="M126" s="7">
        <f t="shared" si="5"/>
        <v>1.7505793874951123</v>
      </c>
      <c r="N126" s="10" t="str">
        <f>IF(DATOS!$C$9="NO","—",IF(AND($L126&gt;=1,$M126&gt;=1),"OK","CALIBRAR"))</f>
        <v>—</v>
      </c>
      <c r="O126" s="25">
        <f>IF(STAAD!$C$17="ASCE 7-16",$G126,$C126)</f>
        <v>0.9332502152833047</v>
      </c>
      <c r="Q126" s="26">
        <v>1.1499999999999999</v>
      </c>
      <c r="R126" s="27">
        <v>2.5000000000000001E-2</v>
      </c>
    </row>
    <row r="127" spans="2:18" ht="31.5" customHeight="1" x14ac:dyDescent="0.3">
      <c r="B127" s="24">
        <f>IF(ABS($Q127-DATOS!$C$23/3)&lt;$R127,DATOS!$C$23/3,IF(ABS($Q127-DATOS!$C$23)&lt;$R127,DATOS!$C$23,IF(ABS($Q127-DATOS!$C$42)&lt;$R127,DATOS!$C$42,IF(ABS($Q127-DATOS!$C$43)&lt;$R127,DATOS!$C$43,IF(ABS($Q127-DATOS!$C$44)&lt;$R127,DATOS!$C$44,$Q127)))))</f>
        <v>1.2</v>
      </c>
      <c r="C127" s="19">
        <f>IF($B127&lt;DATOS!$C$23/3,DATOS!$C$25*DATOS!$C$20*(1+3*(DATOS!$C$22-1)*$B127/DATOS!$C$23),IF($B127&lt;=DATOS!$C$23,DATOS!$C$25*DATOS!$C$20*DATOS!$C$22,IF($B127&lt;=4,DATOS!$C$25*DATOS!$C$20*DATOS!$C$22*(DATOS!$C$23/$B127)^(2/3),2.5*DATOS!$C$25*DATOS!$C$20*DATOS!$C$22*DATOS!$C$23^(2/3)/$B127^(4/3))))</f>
        <v>0.9071431559243086</v>
      </c>
      <c r="D127" s="25">
        <f>$C127/COEFICIENTE!$C$12</f>
        <v>0.12959187941775838</v>
      </c>
      <c r="E127" s="25">
        <f>$C127/COEFICIENTE!$D$12</f>
        <v>0.12959187941775838</v>
      </c>
      <c r="F127" s="19">
        <f t="shared" si="3"/>
        <v>1.6791666666666667</v>
      </c>
      <c r="G127" s="19">
        <f>IF($B127&lt;DATOS!$C$42,DATOS!$C$40*(0.4+0.6*$B127/DATOS!$C$42),IF($B127&lt;=DATOS!$C$43,DATOS!$C$40,IF($B127&lt;=DATOS!$C$44,DATOS!$C$41/$B127,DATOS!$C$41*DATOS!$C$44/$B127^2)))</f>
        <v>1.1194444444444445</v>
      </c>
      <c r="H127" s="19">
        <f>$G127*DATOS!$C$46/COEFICIENTE!$C$35</f>
        <v>0.31984126984126987</v>
      </c>
      <c r="I127" s="19">
        <f>$G127*DATOS!$C$46/COEFICIENTE!$D$35</f>
        <v>0.31984126984126987</v>
      </c>
      <c r="J127" s="19">
        <f>$D127*DATOS!$C$12</f>
        <v>0.18531638756739446</v>
      </c>
      <c r="K127" s="19">
        <f>$E127*DATOS!$C$12</f>
        <v>0.18531638756739446</v>
      </c>
      <c r="L127" s="7">
        <f t="shared" si="4"/>
        <v>1.725920055100105</v>
      </c>
      <c r="M127" s="7">
        <f t="shared" si="5"/>
        <v>1.725920055100105</v>
      </c>
      <c r="N127" s="10" t="str">
        <f>IF(DATOS!$C$9="NO","—",IF(AND($L127&gt;=1,$M127&gt;=1),"OK","CALIBRAR"))</f>
        <v>—</v>
      </c>
      <c r="O127" s="25">
        <f>IF(STAAD!$C$17="ASCE 7-16",$G127,$C127)</f>
        <v>0.9071431559243086</v>
      </c>
      <c r="Q127" s="26">
        <v>1.2</v>
      </c>
      <c r="R127" s="27">
        <v>2.5000000000000001E-2</v>
      </c>
    </row>
    <row r="128" spans="2:18" ht="31.5" customHeight="1" x14ac:dyDescent="0.3">
      <c r="B128" s="24">
        <f>IF(ABS($Q128-DATOS!$C$23/3)&lt;$R128,DATOS!$C$23/3,IF(ABS($Q128-DATOS!$C$23)&lt;$R128,DATOS!$C$23,IF(ABS($Q128-DATOS!$C$42)&lt;$R128,DATOS!$C$42,IF(ABS($Q128-DATOS!$C$43)&lt;$R128,DATOS!$C$43,IF(ABS($Q128-DATOS!$C$44)&lt;$R128,DATOS!$C$44,$Q128)))))</f>
        <v>1.25</v>
      </c>
      <c r="C128" s="19">
        <f>IF($B128&lt;DATOS!$C$23/3,DATOS!$C$25*DATOS!$C$20*(1+3*(DATOS!$C$22-1)*$B128/DATOS!$C$23),IF($B128&lt;=DATOS!$C$23,DATOS!$C$25*DATOS!$C$20*DATOS!$C$22,IF($B128&lt;=4,DATOS!$C$25*DATOS!$C$20*DATOS!$C$22*(DATOS!$C$23/$B128)^(2/3),2.5*DATOS!$C$25*DATOS!$C$20*DATOS!$C$22*DATOS!$C$23^(2/3)/$B128^(4/3))))</f>
        <v>0.882788466117373</v>
      </c>
      <c r="D128" s="25">
        <f>$C128/COEFICIENTE!$C$12</f>
        <v>0.1261126380167676</v>
      </c>
      <c r="E128" s="25">
        <f>$C128/COEFICIENTE!$D$12</f>
        <v>0.1261126380167676</v>
      </c>
      <c r="F128" s="19">
        <f t="shared" si="3"/>
        <v>1.612</v>
      </c>
      <c r="G128" s="19">
        <f>IF($B128&lt;DATOS!$C$42,DATOS!$C$40*(0.4+0.6*$B128/DATOS!$C$42),IF($B128&lt;=DATOS!$C$43,DATOS!$C$40,IF($B128&lt;=DATOS!$C$44,DATOS!$C$41/$B128,DATOS!$C$41*DATOS!$C$44/$B128^2)))</f>
        <v>1.0746666666666667</v>
      </c>
      <c r="H128" s="19">
        <f>$G128*DATOS!$C$46/COEFICIENTE!$C$35</f>
        <v>0.30704761904761907</v>
      </c>
      <c r="I128" s="19">
        <f>$G128*DATOS!$C$46/COEFICIENTE!$D$35</f>
        <v>0.30704761904761907</v>
      </c>
      <c r="J128" s="19">
        <f>$D128*DATOS!$C$12</f>
        <v>0.18034107236397764</v>
      </c>
      <c r="K128" s="19">
        <f>$E128*DATOS!$C$12</f>
        <v>0.18034107236397764</v>
      </c>
      <c r="L128" s="7">
        <f t="shared" si="4"/>
        <v>1.7025939516867956</v>
      </c>
      <c r="M128" s="7">
        <f t="shared" si="5"/>
        <v>1.7025939516867956</v>
      </c>
      <c r="N128" s="10" t="str">
        <f>IF(DATOS!$C$9="NO","—",IF(AND($L128&gt;=1,$M128&gt;=1),"OK","CALIBRAR"))</f>
        <v>—</v>
      </c>
      <c r="O128" s="25">
        <f>IF(STAAD!$C$17="ASCE 7-16",$G128,$C128)</f>
        <v>0.882788466117373</v>
      </c>
      <c r="Q128" s="26">
        <v>1.25</v>
      </c>
      <c r="R128" s="27">
        <v>2.5000000000000001E-2</v>
      </c>
    </row>
    <row r="129" spans="2:18" ht="31.5" customHeight="1" x14ac:dyDescent="0.3">
      <c r="B129" s="24">
        <f>IF(ABS($Q129-DATOS!$C$23/3)&lt;$R129,DATOS!$C$23/3,IF(ABS($Q129-DATOS!$C$23)&lt;$R129,DATOS!$C$23,IF(ABS($Q129-DATOS!$C$42)&lt;$R129,DATOS!$C$42,IF(ABS($Q129-DATOS!$C$43)&lt;$R129,DATOS!$C$43,IF(ABS($Q129-DATOS!$C$44)&lt;$R129,DATOS!$C$44,$Q129)))))</f>
        <v>1.3</v>
      </c>
      <c r="C129" s="19">
        <f>IF($B129&lt;DATOS!$C$23/3,DATOS!$C$25*DATOS!$C$20*(1+3*(DATOS!$C$22-1)*$B129/DATOS!$C$23),IF($B129&lt;=DATOS!$C$23,DATOS!$C$25*DATOS!$C$20*DATOS!$C$22,IF($B129&lt;=4,DATOS!$C$25*DATOS!$C$20*DATOS!$C$22*(DATOS!$C$23/$B129)^(2/3),2.5*DATOS!$C$25*DATOS!$C$20*DATOS!$C$22*DATOS!$C$23^(2/3)/$B129^(4/3))))</f>
        <v>0.8600052269526987</v>
      </c>
      <c r="D129" s="25">
        <f>$C129/COEFICIENTE!$C$12</f>
        <v>0.12285788956467124</v>
      </c>
      <c r="E129" s="25">
        <f>$C129/COEFICIENTE!$D$12</f>
        <v>0.12285788956467124</v>
      </c>
      <c r="F129" s="19">
        <f t="shared" si="3"/>
        <v>1.5499999999999998</v>
      </c>
      <c r="G129" s="19">
        <f>IF($B129&lt;DATOS!$C$42,DATOS!$C$40*(0.4+0.6*$B129/DATOS!$C$42),IF($B129&lt;=DATOS!$C$43,DATOS!$C$40,IF($B129&lt;=DATOS!$C$44,DATOS!$C$41/$B129,DATOS!$C$41*DATOS!$C$44/$B129^2)))</f>
        <v>1.0333333333333332</v>
      </c>
      <c r="H129" s="19">
        <f>$G129*DATOS!$C$46/COEFICIENTE!$C$35</f>
        <v>0.2952380952380952</v>
      </c>
      <c r="I129" s="19">
        <f>$G129*DATOS!$C$46/COEFICIENTE!$D$35</f>
        <v>0.2952380952380952</v>
      </c>
      <c r="J129" s="19">
        <f>$D129*DATOS!$C$12</f>
        <v>0.17568678207747987</v>
      </c>
      <c r="K129" s="19">
        <f>$E129*DATOS!$C$12</f>
        <v>0.17568678207747987</v>
      </c>
      <c r="L129" s="7">
        <f t="shared" si="4"/>
        <v>1.6804798388753677</v>
      </c>
      <c r="M129" s="7">
        <f t="shared" si="5"/>
        <v>1.6804798388753677</v>
      </c>
      <c r="N129" s="10" t="str">
        <f>IF(DATOS!$C$9="NO","—",IF(AND($L129&gt;=1,$M129&gt;=1),"OK","CALIBRAR"))</f>
        <v>—</v>
      </c>
      <c r="O129" s="25">
        <f>IF(STAAD!$C$17="ASCE 7-16",$G129,$C129)</f>
        <v>0.8600052269526987</v>
      </c>
      <c r="Q129" s="26">
        <v>1.3</v>
      </c>
      <c r="R129" s="27">
        <v>2.5000000000000001E-2</v>
      </c>
    </row>
    <row r="130" spans="2:18" ht="31.5" customHeight="1" x14ac:dyDescent="0.3">
      <c r="B130" s="24">
        <f>IF(ABS($Q130-DATOS!$C$23/3)&lt;$R130,DATOS!$C$23/3,IF(ABS($Q130-DATOS!$C$23)&lt;$R130,DATOS!$C$23,IF(ABS($Q130-DATOS!$C$42)&lt;$R130,DATOS!$C$42,IF(ABS($Q130-DATOS!$C$43)&lt;$R130,DATOS!$C$43,IF(ABS($Q130-DATOS!$C$44)&lt;$R130,DATOS!$C$44,$Q130)))))</f>
        <v>1.35</v>
      </c>
      <c r="C130" s="19">
        <f>IF($B130&lt;DATOS!$C$23/3,DATOS!$C$25*DATOS!$C$20*(1+3*(DATOS!$C$22-1)*$B130/DATOS!$C$23),IF($B130&lt;=DATOS!$C$23,DATOS!$C$25*DATOS!$C$20*DATOS!$C$22,IF($B130&lt;=4,DATOS!$C$25*DATOS!$C$20*DATOS!$C$22*(DATOS!$C$23/$B130)^(2/3),2.5*DATOS!$C$25*DATOS!$C$20*DATOS!$C$22*DATOS!$C$23^(2/3)/$B130^(4/3))))</f>
        <v>0.8386372461468469</v>
      </c>
      <c r="D130" s="25">
        <f>$C130/COEFICIENTE!$C$12</f>
        <v>0.11980532087812099</v>
      </c>
      <c r="E130" s="25">
        <f>$C130/COEFICIENTE!$D$12</f>
        <v>0.11980532087812099</v>
      </c>
      <c r="F130" s="19">
        <f t="shared" si="3"/>
        <v>1.4925925925925925</v>
      </c>
      <c r="G130" s="19">
        <f>IF($B130&lt;DATOS!$C$42,DATOS!$C$40*(0.4+0.6*$B130/DATOS!$C$42),IF($B130&lt;=DATOS!$C$43,DATOS!$C$40,IF($B130&lt;=DATOS!$C$44,DATOS!$C$41/$B130,DATOS!$C$41*DATOS!$C$44/$B130^2)))</f>
        <v>0.9950617283950616</v>
      </c>
      <c r="H130" s="19">
        <f>$G130*DATOS!$C$46/COEFICIENTE!$C$35</f>
        <v>0.2843033509700176</v>
      </c>
      <c r="I130" s="19">
        <f>$G130*DATOS!$C$46/COEFICIENTE!$D$35</f>
        <v>0.2843033509700176</v>
      </c>
      <c r="J130" s="19">
        <f>$D130*DATOS!$C$12</f>
        <v>0.17132160885571301</v>
      </c>
      <c r="K130" s="19">
        <f>$E130*DATOS!$C$12</f>
        <v>0.17132160885571301</v>
      </c>
      <c r="L130" s="7">
        <f t="shared" si="4"/>
        <v>1.6594716385687094</v>
      </c>
      <c r="M130" s="7">
        <f t="shared" si="5"/>
        <v>1.6594716385687094</v>
      </c>
      <c r="N130" s="10" t="str">
        <f>IF(DATOS!$C$9="NO","—",IF(AND($L130&gt;=1,$M130&gt;=1),"OK","CALIBRAR"))</f>
        <v>—</v>
      </c>
      <c r="O130" s="25">
        <f>IF(STAAD!$C$17="ASCE 7-16",$G130,$C130)</f>
        <v>0.8386372461468469</v>
      </c>
      <c r="Q130" s="26">
        <v>1.35</v>
      </c>
      <c r="R130" s="27">
        <v>2.5000000000000001E-2</v>
      </c>
    </row>
    <row r="131" spans="2:18" ht="31.5" customHeight="1" x14ac:dyDescent="0.3">
      <c r="B131" s="24">
        <f>IF(ABS($Q131-DATOS!$C$23/3)&lt;$R131,DATOS!$C$23/3,IF(ABS($Q131-DATOS!$C$23)&lt;$R131,DATOS!$C$23,IF(ABS($Q131-DATOS!$C$42)&lt;$R131,DATOS!$C$42,IF(ABS($Q131-DATOS!$C$43)&lt;$R131,DATOS!$C$43,IF(ABS($Q131-DATOS!$C$44)&lt;$R131,DATOS!$C$44,$Q131)))))</f>
        <v>1.4</v>
      </c>
      <c r="C131" s="19">
        <f>IF($B131&lt;DATOS!$C$23/3,DATOS!$C$25*DATOS!$C$20*(1+3*(DATOS!$C$22-1)*$B131/DATOS!$C$23),IF($B131&lt;=DATOS!$C$23,DATOS!$C$25*DATOS!$C$20*DATOS!$C$22,IF($B131&lt;=4,DATOS!$C$25*DATOS!$C$20*DATOS!$C$22*(DATOS!$C$23/$B131)^(2/3),2.5*DATOS!$C$25*DATOS!$C$20*DATOS!$C$22*DATOS!$C$23^(2/3)/$B131^(4/3))))</f>
        <v>0.8185489113386862</v>
      </c>
      <c r="D131" s="25">
        <f>$C131/COEFICIENTE!$C$12</f>
        <v>0.11693555876266946</v>
      </c>
      <c r="E131" s="25">
        <f>$C131/COEFICIENTE!$D$12</f>
        <v>0.11693555876266946</v>
      </c>
      <c r="F131" s="19">
        <f t="shared" si="3"/>
        <v>1.4392857142857143</v>
      </c>
      <c r="G131" s="19">
        <f>IF($B131&lt;DATOS!$C$42,DATOS!$C$40*(0.4+0.6*$B131/DATOS!$C$42),IF($B131&lt;=DATOS!$C$43,DATOS!$C$40,IF($B131&lt;=DATOS!$C$44,DATOS!$C$41/$B131,DATOS!$C$41*DATOS!$C$44/$B131^2)))</f>
        <v>0.9595238095238096</v>
      </c>
      <c r="H131" s="19">
        <f>$G131*DATOS!$C$46/COEFICIENTE!$C$35</f>
        <v>0.27414965986394557</v>
      </c>
      <c r="I131" s="19">
        <f>$G131*DATOS!$C$46/COEFICIENTE!$D$35</f>
        <v>0.27414965986394557</v>
      </c>
      <c r="J131" s="19">
        <f>$D131*DATOS!$C$12</f>
        <v>0.16721784903061732</v>
      </c>
      <c r="K131" s="19">
        <f>$E131*DATOS!$C$12</f>
        <v>0.16721784903061732</v>
      </c>
      <c r="L131" s="7">
        <f t="shared" si="4"/>
        <v>1.6394760574497595</v>
      </c>
      <c r="M131" s="7">
        <f t="shared" si="5"/>
        <v>1.6394760574497595</v>
      </c>
      <c r="N131" s="10" t="str">
        <f>IF(DATOS!$C$9="NO","—",IF(AND($L131&gt;=1,$M131&gt;=1),"OK","CALIBRAR"))</f>
        <v>—</v>
      </c>
      <c r="O131" s="25">
        <f>IF(STAAD!$C$17="ASCE 7-16",$G131,$C131)</f>
        <v>0.8185489113386862</v>
      </c>
      <c r="Q131" s="26">
        <v>1.4</v>
      </c>
      <c r="R131" s="27">
        <v>2.5000000000000001E-2</v>
      </c>
    </row>
    <row r="132" spans="2:18" ht="31.5" customHeight="1" x14ac:dyDescent="0.3">
      <c r="B132" s="24">
        <f>IF(ABS($Q132-DATOS!$C$23/3)&lt;$R132,DATOS!$C$23/3,IF(ABS($Q132-DATOS!$C$23)&lt;$R132,DATOS!$C$23,IF(ABS($Q132-DATOS!$C$42)&lt;$R132,DATOS!$C$42,IF(ABS($Q132-DATOS!$C$43)&lt;$R132,DATOS!$C$43,IF(ABS($Q132-DATOS!$C$44)&lt;$R132,DATOS!$C$44,$Q132)))))</f>
        <v>1.45</v>
      </c>
      <c r="C132" s="19">
        <f>IF($B132&lt;DATOS!$C$23/3,DATOS!$C$25*DATOS!$C$20*(1+3*(DATOS!$C$22-1)*$B132/DATOS!$C$23),IF($B132&lt;=DATOS!$C$23,DATOS!$C$25*DATOS!$C$20*DATOS!$C$22,IF($B132&lt;=4,DATOS!$C$25*DATOS!$C$20*DATOS!$C$22*(DATOS!$C$23/$B132)^(2/3),2.5*DATOS!$C$25*DATOS!$C$20*DATOS!$C$22*DATOS!$C$23^(2/3)/$B132^(4/3))))</f>
        <v>0.799621858546697</v>
      </c>
      <c r="D132" s="25">
        <f>$C132/COEFICIENTE!$C$12</f>
        <v>0.11423169407809956</v>
      </c>
      <c r="E132" s="25">
        <f>$C132/COEFICIENTE!$D$12</f>
        <v>0.11423169407809956</v>
      </c>
      <c r="F132" s="19">
        <f t="shared" si="3"/>
        <v>1.389655172413793</v>
      </c>
      <c r="G132" s="19">
        <f>IF($B132&lt;DATOS!$C$42,DATOS!$C$40*(0.4+0.6*$B132/DATOS!$C$42),IF($B132&lt;=DATOS!$C$43,DATOS!$C$40,IF($B132&lt;=DATOS!$C$44,DATOS!$C$41/$B132,DATOS!$C$41*DATOS!$C$44/$B132^2)))</f>
        <v>0.9264367816091954</v>
      </c>
      <c r="H132" s="19">
        <f>$G132*DATOS!$C$46/COEFICIENTE!$C$35</f>
        <v>0.26469622331691295</v>
      </c>
      <c r="I132" s="19">
        <f>$G132*DATOS!$C$46/COEFICIENTE!$D$35</f>
        <v>0.26469622331691295</v>
      </c>
      <c r="J132" s="19">
        <f>$D132*DATOS!$C$12</f>
        <v>0.16335132253168236</v>
      </c>
      <c r="K132" s="19">
        <f>$E132*DATOS!$C$12</f>
        <v>0.16335132253168236</v>
      </c>
      <c r="L132" s="7">
        <f t="shared" si="4"/>
        <v>1.6204106536423941</v>
      </c>
      <c r="M132" s="7">
        <f t="shared" si="5"/>
        <v>1.6204106536423941</v>
      </c>
      <c r="N132" s="10" t="str">
        <f>IF(DATOS!$C$9="NO","—",IF(AND($L132&gt;=1,$M132&gt;=1),"OK","CALIBRAR"))</f>
        <v>—</v>
      </c>
      <c r="O132" s="25">
        <f>IF(STAAD!$C$17="ASCE 7-16",$G132,$C132)</f>
        <v>0.799621858546697</v>
      </c>
      <c r="Q132" s="26">
        <v>1.45</v>
      </c>
      <c r="R132" s="27">
        <v>2.5000000000000001E-2</v>
      </c>
    </row>
    <row r="133" spans="2:18" ht="31.5" customHeight="1" x14ac:dyDescent="0.3">
      <c r="B133" s="24">
        <f>IF(ABS($Q133-DATOS!$C$23/3)&lt;$R133,DATOS!$C$23/3,IF(ABS($Q133-DATOS!$C$23)&lt;$R133,DATOS!$C$23,IF(ABS($Q133-DATOS!$C$42)&lt;$R133,DATOS!$C$42,IF(ABS($Q133-DATOS!$C$43)&lt;$R133,DATOS!$C$43,IF(ABS($Q133-DATOS!$C$44)&lt;$R133,DATOS!$C$44,$Q133)))))</f>
        <v>1.5</v>
      </c>
      <c r="C133" s="19">
        <f>IF($B133&lt;DATOS!$C$23/3,DATOS!$C$25*DATOS!$C$20*(1+3*(DATOS!$C$22-1)*$B133/DATOS!$C$23),IF($B133&lt;=DATOS!$C$23,DATOS!$C$25*DATOS!$C$20*DATOS!$C$22,IF($B133&lt;=4,DATOS!$C$25*DATOS!$C$20*DATOS!$C$22*(DATOS!$C$23/$B133)^(2/3),2.5*DATOS!$C$25*DATOS!$C$20*DATOS!$C$22*DATOS!$C$23^(2/3)/$B133^(4/3))))</f>
        <v>0.781752273579333</v>
      </c>
      <c r="D133" s="25">
        <f>$C133/COEFICIENTE!$C$12</f>
        <v>0.111678896225619</v>
      </c>
      <c r="E133" s="25">
        <f>$C133/COEFICIENTE!$D$12</f>
        <v>0.111678896225619</v>
      </c>
      <c r="F133" s="19">
        <f t="shared" si="3"/>
        <v>1.3433333333333333</v>
      </c>
      <c r="G133" s="19">
        <f>IF($B133&lt;DATOS!$C$42,DATOS!$C$40*(0.4+0.6*$B133/DATOS!$C$42),IF($B133&lt;=DATOS!$C$43,DATOS!$C$40,IF($B133&lt;=DATOS!$C$44,DATOS!$C$41/$B133,DATOS!$C$41*DATOS!$C$44/$B133^2)))</f>
        <v>0.8955555555555555</v>
      </c>
      <c r="H133" s="19">
        <f>$G133*DATOS!$C$46/COEFICIENTE!$C$35</f>
        <v>0.25587301587301586</v>
      </c>
      <c r="I133" s="19">
        <f>$G133*DATOS!$C$46/COEFICIENTE!$D$35</f>
        <v>0.25587301587301586</v>
      </c>
      <c r="J133" s="19">
        <f>$D133*DATOS!$C$12</f>
        <v>0.15970082160263516</v>
      </c>
      <c r="K133" s="19">
        <f>$E133*DATOS!$C$12</f>
        <v>0.15970082160263516</v>
      </c>
      <c r="L133" s="7">
        <f t="shared" si="4"/>
        <v>1.6022022510921998</v>
      </c>
      <c r="M133" s="7">
        <f t="shared" si="5"/>
        <v>1.6022022510921998</v>
      </c>
      <c r="N133" s="10" t="str">
        <f>IF(DATOS!$C$9="NO","—",IF(AND($L133&gt;=1,$M133&gt;=1),"OK","CALIBRAR"))</f>
        <v>—</v>
      </c>
      <c r="O133" s="25">
        <f>IF(STAAD!$C$17="ASCE 7-16",$G133,$C133)</f>
        <v>0.781752273579333</v>
      </c>
      <c r="Q133" s="26">
        <v>1.5</v>
      </c>
      <c r="R133" s="27">
        <v>2.5000000000000001E-2</v>
      </c>
    </row>
    <row r="134" spans="2:18" ht="31.5" customHeight="1" x14ac:dyDescent="0.3">
      <c r="B134" s="24">
        <f>IF(ABS($Q134-DATOS!$C$23/3)&lt;$R134,DATOS!$C$23/3,IF(ABS($Q134-DATOS!$C$23)&lt;$R134,DATOS!$C$23,IF(ABS($Q134-DATOS!$C$42)&lt;$R134,DATOS!$C$42,IF(ABS($Q134-DATOS!$C$43)&lt;$R134,DATOS!$C$43,IF(ABS($Q134-DATOS!$C$44)&lt;$R134,DATOS!$C$44,$Q134)))))</f>
        <v>1.55</v>
      </c>
      <c r="C134" s="19">
        <f>IF($B134&lt;DATOS!$C$23/3,DATOS!$C$25*DATOS!$C$20*(1+3*(DATOS!$C$22-1)*$B134/DATOS!$C$23),IF($B134&lt;=DATOS!$C$23,DATOS!$C$25*DATOS!$C$20*DATOS!$C$22,IF($B134&lt;=4,DATOS!$C$25*DATOS!$C$20*DATOS!$C$22*(DATOS!$C$23/$B134)^(2/3),2.5*DATOS!$C$25*DATOS!$C$20*DATOS!$C$22*DATOS!$C$23^(2/3)/$B134^(4/3))))</f>
        <v>0.7648486895091783</v>
      </c>
      <c r="D134" s="25">
        <f>$C134/COEFICIENTE!$C$12</f>
        <v>0.10926409850131118</v>
      </c>
      <c r="E134" s="25">
        <f>$C134/COEFICIENTE!$D$12</f>
        <v>0.10926409850131118</v>
      </c>
      <c r="F134" s="19">
        <f t="shared" si="3"/>
        <v>1.2999999999999998</v>
      </c>
      <c r="G134" s="19">
        <f>IF($B134&lt;DATOS!$C$42,DATOS!$C$40*(0.4+0.6*$B134/DATOS!$C$42),IF($B134&lt;=DATOS!$C$43,DATOS!$C$40,IF($B134&lt;=DATOS!$C$44,DATOS!$C$41/$B134,DATOS!$C$41*DATOS!$C$44/$B134^2)))</f>
        <v>0.8666666666666666</v>
      </c>
      <c r="H134" s="19">
        <f>$G134*DATOS!$C$46/COEFICIENTE!$C$35</f>
        <v>0.2476190476190476</v>
      </c>
      <c r="I134" s="19">
        <f>$G134*DATOS!$C$46/COEFICIENTE!$D$35</f>
        <v>0.2476190476190476</v>
      </c>
      <c r="J134" s="19">
        <f>$D134*DATOS!$C$12</f>
        <v>0.15624766085687497</v>
      </c>
      <c r="K134" s="19">
        <f>$E134*DATOS!$C$12</f>
        <v>0.15624766085687497</v>
      </c>
      <c r="L134" s="7">
        <f t="shared" si="4"/>
        <v>1.5847856298205327</v>
      </c>
      <c r="M134" s="7">
        <f t="shared" si="5"/>
        <v>1.5847856298205327</v>
      </c>
      <c r="N134" s="10" t="str">
        <f>IF(DATOS!$C$9="NO","—",IF(AND($L134&gt;=1,$M134&gt;=1),"OK","CALIBRAR"))</f>
        <v>—</v>
      </c>
      <c r="O134" s="25">
        <f>IF(STAAD!$C$17="ASCE 7-16",$G134,$C134)</f>
        <v>0.7648486895091783</v>
      </c>
      <c r="Q134" s="26">
        <v>1.55</v>
      </c>
      <c r="R134" s="27">
        <v>2.5000000000000001E-2</v>
      </c>
    </row>
    <row r="135" spans="2:18" ht="31.5" customHeight="1" x14ac:dyDescent="0.3">
      <c r="B135" s="24">
        <f>IF(ABS($Q135-DATOS!$C$23/3)&lt;$R135,DATOS!$C$23/3,IF(ABS($Q135-DATOS!$C$23)&lt;$R135,DATOS!$C$23,IF(ABS($Q135-DATOS!$C$42)&lt;$R135,DATOS!$C$42,IF(ABS($Q135-DATOS!$C$43)&lt;$R135,DATOS!$C$43,IF(ABS($Q135-DATOS!$C$44)&lt;$R135,DATOS!$C$44,$Q135)))))</f>
        <v>1.6</v>
      </c>
      <c r="C135" s="19">
        <f>IF($B135&lt;DATOS!$C$23/3,DATOS!$C$25*DATOS!$C$20*(1+3*(DATOS!$C$22-1)*$B135/DATOS!$C$23),IF($B135&lt;=DATOS!$C$23,DATOS!$C$25*DATOS!$C$20*DATOS!$C$22,IF($B135&lt;=4,DATOS!$C$25*DATOS!$C$20*DATOS!$C$22*(DATOS!$C$23/$B135)^(2/3),2.5*DATOS!$C$25*DATOS!$C$20*DATOS!$C$22*DATOS!$C$23^(2/3)/$B135^(4/3))))</f>
        <v>0.7488301762986854</v>
      </c>
      <c r="D135" s="25">
        <f>$C135/COEFICIENTE!$C$12</f>
        <v>0.10697573947124077</v>
      </c>
      <c r="E135" s="25">
        <f>$C135/COEFICIENTE!$D$12</f>
        <v>0.10697573947124077</v>
      </c>
      <c r="F135" s="19">
        <f t="shared" si="3"/>
        <v>1.259375</v>
      </c>
      <c r="G135" s="19">
        <f>IF($B135&lt;DATOS!$C$42,DATOS!$C$40*(0.4+0.6*$B135/DATOS!$C$42),IF($B135&lt;=DATOS!$C$43,DATOS!$C$40,IF($B135&lt;=DATOS!$C$44,DATOS!$C$41/$B135,DATOS!$C$41*DATOS!$C$44/$B135^2)))</f>
        <v>0.8395833333333332</v>
      </c>
      <c r="H135" s="19">
        <f>$G135*DATOS!$C$46/COEFICIENTE!$C$35</f>
        <v>0.23988095238095236</v>
      </c>
      <c r="I135" s="19">
        <f>$G135*DATOS!$C$46/COEFICIENTE!$D$35</f>
        <v>0.23988095238095236</v>
      </c>
      <c r="J135" s="19">
        <f>$D135*DATOS!$C$12</f>
        <v>0.1529753074438743</v>
      </c>
      <c r="K135" s="19">
        <f>$E135*DATOS!$C$12</f>
        <v>0.1529753074438743</v>
      </c>
      <c r="L135" s="7">
        <f t="shared" si="4"/>
        <v>1.5681024368521908</v>
      </c>
      <c r="M135" s="7">
        <f t="shared" si="5"/>
        <v>1.5681024368521908</v>
      </c>
      <c r="N135" s="10" t="str">
        <f>IF(DATOS!$C$9="NO","—",IF(AND($L135&gt;=1,$M135&gt;=1),"OK","CALIBRAR"))</f>
        <v>—</v>
      </c>
      <c r="O135" s="25">
        <f>IF(STAAD!$C$17="ASCE 7-16",$G135,$C135)</f>
        <v>0.7488301762986854</v>
      </c>
      <c r="Q135" s="26">
        <v>1.6</v>
      </c>
      <c r="R135" s="27">
        <v>2.5000000000000001E-2</v>
      </c>
    </row>
    <row r="136" spans="2:18" ht="31.5" customHeight="1" x14ac:dyDescent="0.3">
      <c r="B136" s="24">
        <f>IF(ABS($Q136-DATOS!$C$23/3)&lt;$R136,DATOS!$C$23/3,IF(ABS($Q136-DATOS!$C$23)&lt;$R136,DATOS!$C$23,IF(ABS($Q136-DATOS!$C$42)&lt;$R136,DATOS!$C$42,IF(ABS($Q136-DATOS!$C$43)&lt;$R136,DATOS!$C$43,IF(ABS($Q136-DATOS!$C$44)&lt;$R136,DATOS!$C$44,$Q136)))))</f>
        <v>1.65</v>
      </c>
      <c r="C136" s="19">
        <f>IF($B136&lt;DATOS!$C$23/3,DATOS!$C$25*DATOS!$C$20*(1+3*(DATOS!$C$22-1)*$B136/DATOS!$C$23),IF($B136&lt;=DATOS!$C$23,DATOS!$C$25*DATOS!$C$20*DATOS!$C$22,IF($B136&lt;=4,DATOS!$C$25*DATOS!$C$20*DATOS!$C$22*(DATOS!$C$23/$B136)^(2/3),2.5*DATOS!$C$25*DATOS!$C$20*DATOS!$C$22*DATOS!$C$23^(2/3)/$B136^(4/3))))</f>
        <v>0.7336248429352287</v>
      </c>
      <c r="D136" s="25">
        <f>$C136/COEFICIENTE!$C$12</f>
        <v>0.10480354899074695</v>
      </c>
      <c r="E136" s="25">
        <f>$C136/COEFICIENTE!$D$12</f>
        <v>0.10480354899074695</v>
      </c>
      <c r="F136" s="19">
        <f t="shared" si="3"/>
        <v>1.2212121212121212</v>
      </c>
      <c r="G136" s="19">
        <f>IF($B136&lt;DATOS!$C$42,DATOS!$C$40*(0.4+0.6*$B136/DATOS!$C$42),IF($B136&lt;=DATOS!$C$43,DATOS!$C$40,IF($B136&lt;=DATOS!$C$44,DATOS!$C$41/$B136,DATOS!$C$41*DATOS!$C$44/$B136^2)))</f>
        <v>0.8141414141414142</v>
      </c>
      <c r="H136" s="19">
        <f>$G136*DATOS!$C$46/COEFICIENTE!$C$35</f>
        <v>0.23261183261183263</v>
      </c>
      <c r="I136" s="19">
        <f>$G136*DATOS!$C$46/COEFICIENTE!$D$35</f>
        <v>0.23261183261183263</v>
      </c>
      <c r="J136" s="19">
        <f>$D136*DATOS!$C$12</f>
        <v>0.14986907505676814</v>
      </c>
      <c r="K136" s="19">
        <f>$E136*DATOS!$C$12</f>
        <v>0.14986907505676814</v>
      </c>
      <c r="L136" s="7">
        <f t="shared" si="4"/>
        <v>1.5521002750148607</v>
      </c>
      <c r="M136" s="7">
        <f t="shared" si="5"/>
        <v>1.5521002750148607</v>
      </c>
      <c r="N136" s="10" t="str">
        <f>IF(DATOS!$C$9="NO","—",IF(AND($L136&gt;=1,$M136&gt;=1),"OK","CALIBRAR"))</f>
        <v>—</v>
      </c>
      <c r="O136" s="25">
        <f>IF(STAAD!$C$17="ASCE 7-16",$G136,$C136)</f>
        <v>0.7336248429352287</v>
      </c>
      <c r="Q136" s="26">
        <v>1.65</v>
      </c>
      <c r="R136" s="27">
        <v>2.5000000000000001E-2</v>
      </c>
    </row>
    <row r="137" spans="2:18" ht="31.5" customHeight="1" x14ac:dyDescent="0.3">
      <c r="B137" s="24">
        <f>IF(ABS($Q137-DATOS!$C$23/3)&lt;$R137,DATOS!$C$23/3,IF(ABS($Q137-DATOS!$C$23)&lt;$R137,DATOS!$C$23,IF(ABS($Q137-DATOS!$C$42)&lt;$R137,DATOS!$C$42,IF(ABS($Q137-DATOS!$C$43)&lt;$R137,DATOS!$C$43,IF(ABS($Q137-DATOS!$C$44)&lt;$R137,DATOS!$C$44,$Q137)))))</f>
        <v>1.7</v>
      </c>
      <c r="C137" s="19">
        <f>IF($B137&lt;DATOS!$C$23/3,DATOS!$C$25*DATOS!$C$20*(1+3*(DATOS!$C$22-1)*$B137/DATOS!$C$23),IF($B137&lt;=DATOS!$C$23,DATOS!$C$25*DATOS!$C$20*DATOS!$C$22,IF($B137&lt;=4,DATOS!$C$25*DATOS!$C$20*DATOS!$C$22*(DATOS!$C$23/$B137)^(2/3),2.5*DATOS!$C$25*DATOS!$C$20*DATOS!$C$22*DATOS!$C$23^(2/3)/$B137^(4/3))))</f>
        <v>0.7191685904845169</v>
      </c>
      <c r="D137" s="25">
        <f>$C137/COEFICIENTE!$C$12</f>
        <v>0.1027383700692167</v>
      </c>
      <c r="E137" s="25">
        <f>$C137/COEFICIENTE!$D$12</f>
        <v>0.1027383700692167</v>
      </c>
      <c r="F137" s="19">
        <f t="shared" ref="F137:F168" si="6">1.5*$G137</f>
        <v>1.18529411764706</v>
      </c>
      <c r="G137" s="19">
        <f>IF($B137&lt;DATOS!$C$42,DATOS!$C$40*(0.4+0.6*$B137/DATOS!$C$42),IF($B137&lt;=DATOS!$C$43,DATOS!$C$40,IF($B137&lt;=DATOS!$C$44,DATOS!$C$41/$B137,DATOS!$C$41*DATOS!$C$44/$B137^2)))</f>
        <v>0.7901960784313725</v>
      </c>
      <c r="H137" s="19">
        <f>$G137*DATOS!$C$46/COEFICIENTE!$C$35</f>
        <v>0.2257703081232493</v>
      </c>
      <c r="I137" s="19">
        <f>$G137*DATOS!$C$46/COEFICIENTE!$D$35</f>
        <v>0.2257703081232493</v>
      </c>
      <c r="J137" s="19">
        <f>$D137*DATOS!$C$12</f>
        <v>0.14691586919897986</v>
      </c>
      <c r="K137" s="19">
        <f>$E137*DATOS!$C$12</f>
        <v>0.14691586919897986</v>
      </c>
      <c r="L137" s="7">
        <f t="shared" ref="L137:L168" si="7">IF($J137&gt;0,$H137/$J137,0)</f>
        <v>1.53673193613598</v>
      </c>
      <c r="M137" s="7">
        <f t="shared" ref="M137:M168" si="8">IF($K137&gt;0,$I137/$K137,0)</f>
        <v>1.53673193613598</v>
      </c>
      <c r="N137" s="10" t="str">
        <f>IF(DATOS!$C$9="NO","—",IF(AND($L137&gt;=1,$M137&gt;=1),"OK","CALIBRAR"))</f>
        <v>—</v>
      </c>
      <c r="O137" s="25">
        <f>IF(STAAD!$C$17="ASCE 7-16",$G137,$C137)</f>
        <v>0.7191685904845169</v>
      </c>
      <c r="Q137" s="26">
        <v>1.7</v>
      </c>
      <c r="R137" s="27">
        <v>2.5000000000000001E-2</v>
      </c>
    </row>
    <row r="138" spans="2:18" ht="31.5" customHeight="1" x14ac:dyDescent="0.3">
      <c r="B138" s="24">
        <f>IF(ABS($Q138-DATOS!$C$23/3)&lt;$R138,DATOS!$C$23/3,IF(ABS($Q138-DATOS!$C$23)&lt;$R138,DATOS!$C$23,IF(ABS($Q138-DATOS!$C$42)&lt;$R138,DATOS!$C$42,IF(ABS($Q138-DATOS!$C$43)&lt;$R138,DATOS!$C$43,IF(ABS($Q138-DATOS!$C$44)&lt;$R138,DATOS!$C$44,$Q138)))))</f>
        <v>1.75</v>
      </c>
      <c r="C138" s="19">
        <f>IF($B138&lt;DATOS!$C$23/3,DATOS!$C$25*DATOS!$C$20*(1+3*(DATOS!$C$22-1)*$B138/DATOS!$C$23),IF($B138&lt;=DATOS!$C$23,DATOS!$C$25*DATOS!$C$20*DATOS!$C$22,IF($B138&lt;=4,DATOS!$C$25*DATOS!$C$20*DATOS!$C$22*(DATOS!$C$23/$B138)^(2/3),2.5*DATOS!$C$25*DATOS!$C$20*DATOS!$C$22*DATOS!$C$23^(2/3)/$B138^(4/3))))</f>
        <v>0.7054040680303595</v>
      </c>
      <c r="D138" s="25">
        <f>$C138/COEFICIENTE!$C$12</f>
        <v>0.10077200971862278</v>
      </c>
      <c r="E138" s="25">
        <f>$C138/COEFICIENTE!$D$12</f>
        <v>0.10077200971862278</v>
      </c>
      <c r="F138" s="19">
        <f t="shared" si="6"/>
        <v>1.1514285714285712</v>
      </c>
      <c r="G138" s="19">
        <f>IF($B138&lt;DATOS!$C$42,DATOS!$C$40*(0.4+0.6*$B138/DATOS!$C$42),IF($B138&lt;=DATOS!$C$43,DATOS!$C$40,IF($B138&lt;=DATOS!$C$44,DATOS!$C$41/$B138,DATOS!$C$41*DATOS!$C$44/$B138^2)))</f>
        <v>0.7676190476190475</v>
      </c>
      <c r="H138" s="19">
        <f>$G138*DATOS!$C$46/COEFICIENTE!$C$35</f>
        <v>0.21931972789115645</v>
      </c>
      <c r="I138" s="19">
        <f>$G138*DATOS!$C$46/COEFICIENTE!$D$35</f>
        <v>0.21931972789115645</v>
      </c>
      <c r="J138" s="19">
        <f>$D138*DATOS!$C$12</f>
        <v>0.14410397389763058</v>
      </c>
      <c r="K138" s="19">
        <f>$E138*DATOS!$C$12</f>
        <v>0.14410397389763058</v>
      </c>
      <c r="L138" s="7">
        <f t="shared" si="7"/>
        <v>1.5219547522468608</v>
      </c>
      <c r="M138" s="7">
        <f t="shared" si="8"/>
        <v>1.5219547522468608</v>
      </c>
      <c r="N138" s="10" t="str">
        <f>IF(DATOS!$C$9="NO","—",IF(AND($L138&gt;=1,$M138&gt;=1),"OK","CALIBRAR"))</f>
        <v>—</v>
      </c>
      <c r="O138" s="25">
        <f>IF(STAAD!$C$17="ASCE 7-16",$G138,$C138)</f>
        <v>0.7054040680303595</v>
      </c>
      <c r="Q138" s="26">
        <v>1.75</v>
      </c>
      <c r="R138" s="27">
        <v>2.5000000000000001E-2</v>
      </c>
    </row>
    <row r="139" spans="2:18" ht="31.5" customHeight="1" x14ac:dyDescent="0.3">
      <c r="B139" s="24">
        <f>IF(ABS($Q139-DATOS!$C$23/3)&lt;$R139,DATOS!$C$23/3,IF(ABS($Q139-DATOS!$C$23)&lt;$R139,DATOS!$C$23,IF(ABS($Q139-DATOS!$C$42)&lt;$R139,DATOS!$C$42,IF(ABS($Q139-DATOS!$C$43)&lt;$R139,DATOS!$C$43,IF(ABS($Q139-DATOS!$C$44)&lt;$R139,DATOS!$C$44,$Q139)))))</f>
        <v>1.8</v>
      </c>
      <c r="C139" s="19">
        <f>IF($B139&lt;DATOS!$C$23/3,DATOS!$C$25*DATOS!$C$20*(1+3*(DATOS!$C$22-1)*$B139/DATOS!$C$23),IF($B139&lt;=DATOS!$C$23,DATOS!$C$25*DATOS!$C$20*DATOS!$C$22,IF($B139&lt;=4,DATOS!$C$25*DATOS!$C$20*DATOS!$C$22*(DATOS!$C$23/$B139)^(2/3),2.5*DATOS!$C$25*DATOS!$C$20*DATOS!$C$22*DATOS!$C$23^(2/3)/$B139^(4/3))))</f>
        <v>0.692279793747556</v>
      </c>
      <c r="D139" s="25">
        <f>$C139/COEFICIENTE!$C$12</f>
        <v>0.098897113392508</v>
      </c>
      <c r="E139" s="25">
        <f>$C139/COEFICIENTE!$D$12</f>
        <v>0.098897113392508</v>
      </c>
      <c r="F139" s="19">
        <f t="shared" si="6"/>
        <v>1.1194444444444445</v>
      </c>
      <c r="G139" s="19">
        <f>IF($B139&lt;DATOS!$C$42,DATOS!$C$40*(0.4+0.6*$B139/DATOS!$C$42),IF($B139&lt;=DATOS!$C$43,DATOS!$C$40,IF($B139&lt;=DATOS!$C$44,DATOS!$C$41/$B139,DATOS!$C$41*DATOS!$C$44/$B139^2)))</f>
        <v>0.7462962962962962</v>
      </c>
      <c r="H139" s="19">
        <f>$G139*DATOS!$C$46/COEFICIENTE!$C$35</f>
        <v>0.2132275132275132</v>
      </c>
      <c r="I139" s="19">
        <f>$G139*DATOS!$C$46/COEFICIENTE!$D$35</f>
        <v>0.2132275132275132</v>
      </c>
      <c r="J139" s="19">
        <f>$D139*DATOS!$C$12</f>
        <v>0.14142287215128643</v>
      </c>
      <c r="K139" s="19">
        <f>$E139*DATOS!$C$12</f>
        <v>0.14142287215128643</v>
      </c>
      <c r="L139" s="7">
        <f t="shared" si="7"/>
        <v>1.507730043832048</v>
      </c>
      <c r="M139" s="7">
        <f t="shared" si="8"/>
        <v>1.507730043832048</v>
      </c>
      <c r="N139" s="10" t="str">
        <f>IF(DATOS!$C$9="NO","—",IF(AND($L139&gt;=1,$M139&gt;=1),"OK","CALIBRAR"))</f>
        <v>—</v>
      </c>
      <c r="O139" s="25">
        <f>IF(STAAD!$C$17="ASCE 7-16",$G139,$C139)</f>
        <v>0.692279793747556</v>
      </c>
      <c r="Q139" s="26">
        <v>1.8</v>
      </c>
      <c r="R139" s="27">
        <v>2.5000000000000001E-2</v>
      </c>
    </row>
    <row r="140" spans="2:18" ht="31.5" customHeight="1" x14ac:dyDescent="0.3">
      <c r="B140" s="24">
        <f>IF(ABS($Q140-DATOS!$C$23/3)&lt;$R140,DATOS!$C$23/3,IF(ABS($Q140-DATOS!$C$23)&lt;$R140,DATOS!$C$23,IF(ABS($Q140-DATOS!$C$42)&lt;$R140,DATOS!$C$42,IF(ABS($Q140-DATOS!$C$43)&lt;$R140,DATOS!$C$43,IF(ABS($Q140-DATOS!$C$44)&lt;$R140,DATOS!$C$44,$Q140)))))</f>
        <v>1.85</v>
      </c>
      <c r="C140" s="19">
        <f>IF($B140&lt;DATOS!$C$23/3,DATOS!$C$25*DATOS!$C$20*(1+3*(DATOS!$C$22-1)*$B140/DATOS!$C$23),IF($B140&lt;=DATOS!$C$23,DATOS!$C$25*DATOS!$C$20*DATOS!$C$22,IF($B140&lt;=4,DATOS!$C$25*DATOS!$C$20*DATOS!$C$22*(DATOS!$C$23/$B140)^(2/3),2.5*DATOS!$C$25*DATOS!$C$20*DATOS!$C$22*DATOS!$C$23^(2/3)/$B140^(4/3))))</f>
        <v>0.6797494112143887</v>
      </c>
      <c r="D140" s="25">
        <f>$C140/COEFICIENTE!$C$12</f>
        <v>0.09710705874491267</v>
      </c>
      <c r="E140" s="25">
        <f>$C140/COEFICIENTE!$D$12</f>
        <v>0.09710705874491267</v>
      </c>
      <c r="F140" s="19">
        <f t="shared" si="6"/>
        <v>1.089189189189189</v>
      </c>
      <c r="G140" s="19">
        <f>IF($B140&lt;DATOS!$C$42,DATOS!$C$40*(0.4+0.6*$B140/DATOS!$C$42),IF($B140&lt;=DATOS!$C$43,DATOS!$C$40,IF($B140&lt;=DATOS!$C$44,DATOS!$C$41/$B140,DATOS!$C$41*DATOS!$C$44/$B140^2)))</f>
        <v>0.726126126126126</v>
      </c>
      <c r="H140" s="19">
        <f>$G140*DATOS!$C$46/COEFICIENTE!$C$35</f>
        <v>0.20746460746460743</v>
      </c>
      <c r="I140" s="19">
        <f>$G140*DATOS!$C$46/COEFICIENTE!$D$35</f>
        <v>0.20746460746460743</v>
      </c>
      <c r="J140" s="19">
        <f>$D140*DATOS!$C$12</f>
        <v>0.13886309400522512</v>
      </c>
      <c r="K140" s="19">
        <f>$E140*DATOS!$C$12</f>
        <v>0.13886309400522512</v>
      </c>
      <c r="L140" s="7">
        <f t="shared" si="7"/>
        <v>1.4940226483560923</v>
      </c>
      <c r="M140" s="7">
        <f t="shared" si="8"/>
        <v>1.4940226483560923</v>
      </c>
      <c r="N140" s="10" t="str">
        <f>IF(DATOS!$C$9="NO","—",IF(AND($L140&gt;=1,$M140&gt;=1),"OK","CALIBRAR"))</f>
        <v>—</v>
      </c>
      <c r="O140" s="25">
        <f>IF(STAAD!$C$17="ASCE 7-16",$G140,$C140)</f>
        <v>0.6797494112143887</v>
      </c>
      <c r="Q140" s="26">
        <v>1.85</v>
      </c>
      <c r="R140" s="27">
        <v>2.5000000000000001E-2</v>
      </c>
    </row>
    <row r="141" spans="2:18" ht="31.5" customHeight="1" x14ac:dyDescent="0.3">
      <c r="B141" s="24">
        <f>IF(ABS($Q141-DATOS!$C$23/3)&lt;$R141,DATOS!$C$23/3,IF(ABS($Q141-DATOS!$C$23)&lt;$R141,DATOS!$C$23,IF(ABS($Q141-DATOS!$C$42)&lt;$R141,DATOS!$C$42,IF(ABS($Q141-DATOS!$C$43)&lt;$R141,DATOS!$C$43,IF(ABS($Q141-DATOS!$C$44)&lt;$R141,DATOS!$C$44,$Q141)))))</f>
        <v>1.9</v>
      </c>
      <c r="C141" s="19">
        <f>IF($B141&lt;DATOS!$C$23/3,DATOS!$C$25*DATOS!$C$20*(1+3*(DATOS!$C$22-1)*$B141/DATOS!$C$23),IF($B141&lt;=DATOS!$C$23,DATOS!$C$25*DATOS!$C$20*DATOS!$C$22,IF($B141&lt;=4,DATOS!$C$25*DATOS!$C$20*DATOS!$C$22*(DATOS!$C$23/$B141)^(2/3),2.5*DATOS!$C$25*DATOS!$C$20*DATOS!$C$22*DATOS!$C$23^(2/3)/$B141^(4/3))))</f>
        <v>0.6677710571300466</v>
      </c>
      <c r="D141" s="25">
        <f>$C141/COEFICIENTE!$C$12</f>
        <v>0.09539586530429237</v>
      </c>
      <c r="E141" s="25">
        <f>$C141/COEFICIENTE!$D$12</f>
        <v>0.09539586530429237</v>
      </c>
      <c r="F141" s="19">
        <f t="shared" si="6"/>
        <v>1.0605263157894735</v>
      </c>
      <c r="G141" s="19">
        <f>IF($B141&lt;DATOS!$C$42,DATOS!$C$40*(0.4+0.6*$B141/DATOS!$C$42),IF($B141&lt;=DATOS!$C$43,DATOS!$C$40,IF($B141&lt;=DATOS!$C$44,DATOS!$C$41/$B141,DATOS!$C$41*DATOS!$C$44/$B141^2)))</f>
        <v>0.7070175438596491</v>
      </c>
      <c r="H141" s="19">
        <f>$G141*DATOS!$C$46/COEFICIENTE!$C$35</f>
        <v>0.20200501253132833</v>
      </c>
      <c r="I141" s="19">
        <f>$G141*DATOS!$C$46/COEFICIENTE!$D$35</f>
        <v>0.20200501253132833</v>
      </c>
      <c r="J141" s="19">
        <f>$D141*DATOS!$C$12</f>
        <v>0.13641608738513808</v>
      </c>
      <c r="K141" s="19">
        <f>$E141*DATOS!$C$12</f>
        <v>0.13641608738513808</v>
      </c>
      <c r="L141" s="7">
        <f t="shared" si="7"/>
        <v>1.4808005155654087</v>
      </c>
      <c r="M141" s="7">
        <f t="shared" si="8"/>
        <v>1.4808005155654087</v>
      </c>
      <c r="N141" s="10" t="str">
        <f>IF(DATOS!$C$9="NO","—",IF(AND($L141&gt;=1,$M141&gt;=1),"OK","CALIBRAR"))</f>
        <v>—</v>
      </c>
      <c r="O141" s="25">
        <f>IF(STAAD!$C$17="ASCE 7-16",$G141,$C141)</f>
        <v>0.6677710571300466</v>
      </c>
      <c r="Q141" s="26">
        <v>1.9</v>
      </c>
      <c r="R141" s="27">
        <v>2.5000000000000001E-2</v>
      </c>
    </row>
    <row r="142" spans="2:18" ht="31.5" customHeight="1" x14ac:dyDescent="0.3">
      <c r="B142" s="24">
        <f>IF(ABS($Q142-DATOS!$C$23/3)&lt;$R142,DATOS!$C$23/3,IF(ABS($Q142-DATOS!$C$23)&lt;$R142,DATOS!$C$23,IF(ABS($Q142-DATOS!$C$42)&lt;$R142,DATOS!$C$42,IF(ABS($Q142-DATOS!$C$43)&lt;$R142,DATOS!$C$43,IF(ABS($Q142-DATOS!$C$44)&lt;$R142,DATOS!$C$44,$Q142)))))</f>
        <v>1.95</v>
      </c>
      <c r="C142" s="19">
        <f>IF($B142&lt;DATOS!$C$23/3,DATOS!$C$25*DATOS!$C$20*(1+3*(DATOS!$C$22-1)*$B142/DATOS!$C$23),IF($B142&lt;=DATOS!$C$23,DATOS!$C$25*DATOS!$C$20*DATOS!$C$22,IF($B142&lt;=4,DATOS!$C$25*DATOS!$C$20*DATOS!$C$22*(DATOS!$C$23/$B142)^(2/3),2.5*DATOS!$C$25*DATOS!$C$20*DATOS!$C$22*DATOS!$C$23^(2/3)/$B142^(4/3))))</f>
        <v>0.6563068213087098</v>
      </c>
      <c r="D142" s="25">
        <f>$C142/COEFICIENTE!$C$12</f>
        <v>0.09375811732981568</v>
      </c>
      <c r="E142" s="25">
        <f>$C142/COEFICIENTE!$D$12</f>
        <v>0.09375811732981568</v>
      </c>
      <c r="F142" s="19">
        <f t="shared" si="6"/>
        <v>1.0333333333333332</v>
      </c>
      <c r="G142" s="19">
        <f>IF($B142&lt;DATOS!$C$42,DATOS!$C$40*(0.4+0.6*$B142/DATOS!$C$42),IF($B142&lt;=DATOS!$C$43,DATOS!$C$40,IF($B142&lt;=DATOS!$C$44,DATOS!$C$41/$B142,DATOS!$C$41*DATOS!$C$44/$B142^2)))</f>
        <v>0.6888888888888889</v>
      </c>
      <c r="H142" s="19">
        <f>$G142*DATOS!$C$46/COEFICIENTE!$C$35</f>
        <v>0.19682539682539682</v>
      </c>
      <c r="I142" s="19">
        <f>$G142*DATOS!$C$46/COEFICIENTE!$D$35</f>
        <v>0.19682539682539682</v>
      </c>
      <c r="J142" s="19">
        <f>$D142*DATOS!$C$12</f>
        <v>0.13407410778163642</v>
      </c>
      <c r="K142" s="19">
        <f>$E142*DATOS!$C$12</f>
        <v>0.13407410778163642</v>
      </c>
      <c r="L142" s="7">
        <f t="shared" si="7"/>
        <v>1.4680343586247246</v>
      </c>
      <c r="M142" s="7">
        <f t="shared" si="8"/>
        <v>1.4680343586247246</v>
      </c>
      <c r="N142" s="10" t="str">
        <f>IF(DATOS!$C$9="NO","—",IF(AND($L142&gt;=1,$M142&gt;=1),"OK","CALIBRAR"))</f>
        <v>—</v>
      </c>
      <c r="O142" s="25">
        <f>IF(STAAD!$C$17="ASCE 7-16",$G142,$C142)</f>
        <v>0.6563068213087098</v>
      </c>
      <c r="Q142" s="26">
        <v>1.95</v>
      </c>
      <c r="R142" s="27">
        <v>2.5000000000000001E-2</v>
      </c>
    </row>
    <row r="143" spans="2:18" ht="31.5" customHeight="1" x14ac:dyDescent="0.3">
      <c r="B143" s="24">
        <f>IF(ABS($Q143-DATOS!$C$23/3)&lt;$R143,DATOS!$C$23/3,IF(ABS($Q143-DATOS!$C$23)&lt;$R143,DATOS!$C$23,IF(ABS($Q143-DATOS!$C$42)&lt;$R143,DATOS!$C$42,IF(ABS($Q143-DATOS!$C$43)&lt;$R143,DATOS!$C$43,IF(ABS($Q143-DATOS!$C$44)&lt;$R143,DATOS!$C$44,$Q143)))))</f>
        <v>2.0</v>
      </c>
      <c r="C143" s="19">
        <f>IF($B143&lt;DATOS!$C$23/3,DATOS!$C$25*DATOS!$C$20*(1+3*(DATOS!$C$22-1)*$B143/DATOS!$C$23),IF($B143&lt;=DATOS!$C$23,DATOS!$C$25*DATOS!$C$20*DATOS!$C$22,IF($B143&lt;=4,DATOS!$C$25*DATOS!$C$20*DATOS!$C$22*(DATOS!$C$23/$B143)^(2/3),2.5*DATOS!$C$25*DATOS!$C$20*DATOS!$C$22*DATOS!$C$23^(2/3)/$B143^(4/3))))</f>
        <v>0.6453222835042317</v>
      </c>
      <c r="D143" s="25">
        <f>$C143/COEFICIENTE!$C$12</f>
        <v>0.09218889764346168</v>
      </c>
      <c r="E143" s="25">
        <f>$C143/COEFICIENTE!$D$12</f>
        <v>0.09218889764346168</v>
      </c>
      <c r="F143" s="19">
        <f t="shared" si="6"/>
        <v>1.0074999999999998</v>
      </c>
      <c r="G143" s="19">
        <f>IF($B143&lt;DATOS!$C$42,DATOS!$C$40*(0.4+0.6*$B143/DATOS!$C$42),IF($B143&lt;=DATOS!$C$43,DATOS!$C$40,IF($B143&lt;=DATOS!$C$44,DATOS!$C$41/$B143,DATOS!$C$41*DATOS!$C$44/$B143^2)))</f>
        <v>0.6716666666666666</v>
      </c>
      <c r="H143" s="19">
        <f>$G143*DATOS!$C$46/COEFICIENTE!$C$35</f>
        <v>0.19190476190476188</v>
      </c>
      <c r="I143" s="19">
        <f>$G143*DATOS!$C$46/COEFICIENTE!$D$35</f>
        <v>0.19190476190476188</v>
      </c>
      <c r="J143" s="19">
        <f>$D143*DATOS!$C$12</f>
        <v>0.1318301236301502</v>
      </c>
      <c r="K143" s="19">
        <f>$E143*DATOS!$C$12</f>
        <v>0.1318301236301502</v>
      </c>
      <c r="L143" s="7">
        <f t="shared" si="7"/>
        <v>1.455697352170823</v>
      </c>
      <c r="M143" s="7">
        <f t="shared" si="8"/>
        <v>1.455697352170823</v>
      </c>
      <c r="N143" s="10" t="str">
        <f>IF(DATOS!$C$9="NO","—",IF(AND($L143&gt;=1,$M143&gt;=1),"OK","CALIBRAR"))</f>
        <v>—</v>
      </c>
      <c r="O143" s="25">
        <f>IF(STAAD!$C$17="ASCE 7-16",$G143,$C143)</f>
        <v>0.6453222835042317</v>
      </c>
      <c r="Q143" s="26">
        <v>2</v>
      </c>
      <c r="R143" s="27">
        <v>2.5000000000000001E-2</v>
      </c>
    </row>
    <row r="144" spans="2:18" ht="31.5" customHeight="1" x14ac:dyDescent="0.3">
      <c r="B144" s="24">
        <f>IF(ABS($Q144-DATOS!$C$23/3)&lt;$R144,DATOS!$C$23/3,IF(ABS($Q144-DATOS!$C$23)&lt;$R144,DATOS!$C$23,IF(ABS($Q144-DATOS!$C$42)&lt;$R144,DATOS!$C$42,IF(ABS($Q144-DATOS!$C$43)&lt;$R144,DATOS!$C$43,IF(ABS($Q144-DATOS!$C$44)&lt;$R144,DATOS!$C$44,$Q144)))))</f>
        <v>2.1</v>
      </c>
      <c r="C144" s="19">
        <f>IF($B144&lt;DATOS!$C$23/3,DATOS!$C$25*DATOS!$C$20*(1+3*(DATOS!$C$22-1)*$B144/DATOS!$C$23),IF($B144&lt;=DATOS!$C$23,DATOS!$C$25*DATOS!$C$20*DATOS!$C$22,IF($B144&lt;=4,DATOS!$C$25*DATOS!$C$20*DATOS!$C$22*(DATOS!$C$23/$B144)^(2/3),2.5*DATOS!$C$25*DATOS!$C$20*DATOS!$C$22*DATOS!$C$23^(2/3)/$B144^(4/3))))</f>
        <v>0.6246697313572791</v>
      </c>
      <c r="D144" s="25">
        <f>$C144/COEFICIENTE!$C$12</f>
        <v>0.08923853305103988</v>
      </c>
      <c r="E144" s="25">
        <f>$C144/COEFICIENTE!$D$12</f>
        <v>0.08923853305103988</v>
      </c>
      <c r="F144" s="19">
        <f t="shared" si="6"/>
        <v>0.9595238095238094</v>
      </c>
      <c r="G144" s="19">
        <f>IF($B144&lt;DATOS!$C$42,DATOS!$C$40*(0.4+0.6*$B144/DATOS!$C$42),IF($B144&lt;=DATOS!$C$43,DATOS!$C$40,IF($B144&lt;=DATOS!$C$44,DATOS!$C$41/$B144,DATOS!$C$41*DATOS!$C$44/$B144^2)))</f>
        <v>0.6396825396825396</v>
      </c>
      <c r="H144" s="19">
        <f>$G144*DATOS!$C$46/COEFICIENTE!$C$35</f>
        <v>0.18276643990929703</v>
      </c>
      <c r="I144" s="19">
        <f>$G144*DATOS!$C$46/COEFICIENTE!$D$35</f>
        <v>0.18276643990929703</v>
      </c>
      <c r="J144" s="19">
        <f>$D144*DATOS!$C$12</f>
        <v>0.12761110226298703</v>
      </c>
      <c r="K144" s="19">
        <f>$E144*DATOS!$C$12</f>
        <v>0.12761110226298703</v>
      </c>
      <c r="L144" s="7">
        <f t="shared" si="7"/>
        <v>1.4322142561909956</v>
      </c>
      <c r="M144" s="7">
        <f t="shared" si="8"/>
        <v>1.4322142561909956</v>
      </c>
      <c r="N144" s="10" t="str">
        <f>IF(DATOS!$C$9="NO","—",IF(AND($L144&gt;=1,$M144&gt;=1),"OK","CALIBRAR"))</f>
        <v>—</v>
      </c>
      <c r="O144" s="25">
        <f>IF(STAAD!$C$17="ASCE 7-16",$G144,$C144)</f>
        <v>0.6246697313572791</v>
      </c>
      <c r="Q144" s="26">
        <v>2.1</v>
      </c>
      <c r="R144" s="27">
        <v>0.05</v>
      </c>
    </row>
    <row r="145" spans="2:18" ht="31.5" customHeight="1" x14ac:dyDescent="0.3">
      <c r="B145" s="24">
        <f>IF(ABS($Q145-DATOS!$C$23/3)&lt;$R145,DATOS!$C$23/3,IF(ABS($Q145-DATOS!$C$23)&lt;$R145,DATOS!$C$23,IF(ABS($Q145-DATOS!$C$42)&lt;$R145,DATOS!$C$42,IF(ABS($Q145-DATOS!$C$43)&lt;$R145,DATOS!$C$43,IF(ABS($Q145-DATOS!$C$44)&lt;$R145,DATOS!$C$44,$Q145)))))</f>
        <v>2.2</v>
      </c>
      <c r="C145" s="19">
        <f>IF($B145&lt;DATOS!$C$23/3,DATOS!$C$25*DATOS!$C$20*(1+3*(DATOS!$C$22-1)*$B145/DATOS!$C$23),IF($B145&lt;=DATOS!$C$23,DATOS!$C$25*DATOS!$C$20*DATOS!$C$22,IF($B145&lt;=4,DATOS!$C$25*DATOS!$C$20*DATOS!$C$22*(DATOS!$C$23/$B145)^(2/3),2.5*DATOS!$C$25*DATOS!$C$20*DATOS!$C$22*DATOS!$C$23^(2/3)/$B145^(4/3))))</f>
        <v>0.605593964838468</v>
      </c>
      <c r="D145" s="25">
        <f>$C145/COEFICIENTE!$C$12</f>
        <v>0.08651342354835256</v>
      </c>
      <c r="E145" s="25">
        <f>$C145/COEFICIENTE!$D$12</f>
        <v>0.08651342354835256</v>
      </c>
      <c r="F145" s="19">
        <f t="shared" si="6"/>
        <v>0.9159090909090908</v>
      </c>
      <c r="G145" s="19">
        <f>IF($B145&lt;DATOS!$C$42,DATOS!$C$40*(0.4+0.6*$B145/DATOS!$C$42),IF($B145&lt;=DATOS!$C$43,DATOS!$C$40,IF($B145&lt;=DATOS!$C$44,DATOS!$C$41/$B145,DATOS!$C$41*DATOS!$C$44/$B145^2)))</f>
        <v>0.6106060606060605</v>
      </c>
      <c r="H145" s="19">
        <f>$G145*DATOS!$C$46/COEFICIENTE!$C$35</f>
        <v>0.17445887445887442</v>
      </c>
      <c r="I145" s="19">
        <f>$G145*DATOS!$C$46/COEFICIENTE!$D$35</f>
        <v>0.17445887445887442</v>
      </c>
      <c r="J145" s="19">
        <f>$D145*DATOS!$C$12</f>
        <v>0.12371419567414416</v>
      </c>
      <c r="K145" s="19">
        <f>$E145*DATOS!$C$12</f>
        <v>0.12371419567414416</v>
      </c>
      <c r="L145" s="7">
        <f t="shared" si="7"/>
        <v>1.4101766859349654</v>
      </c>
      <c r="M145" s="7">
        <f t="shared" si="8"/>
        <v>1.4101766859349654</v>
      </c>
      <c r="N145" s="10" t="str">
        <f>IF(DATOS!$C$9="NO","—",IF(AND($L145&gt;=1,$M145&gt;=1),"OK","CALIBRAR"))</f>
        <v>—</v>
      </c>
      <c r="O145" s="25">
        <f>IF(STAAD!$C$17="ASCE 7-16",$G145,$C145)</f>
        <v>0.605593964838468</v>
      </c>
      <c r="Q145" s="26">
        <v>2.2000000000000002</v>
      </c>
      <c r="R145" s="27">
        <v>0.05</v>
      </c>
    </row>
    <row r="146" spans="2:18" ht="31.5" customHeight="1" x14ac:dyDescent="0.3">
      <c r="B146" s="24">
        <f>IF(ABS($Q146-DATOS!$C$23/3)&lt;$R146,DATOS!$C$23/3,IF(ABS($Q146-DATOS!$C$23)&lt;$R146,DATOS!$C$23,IF(ABS($Q146-DATOS!$C$42)&lt;$R146,DATOS!$C$42,IF(ABS($Q146-DATOS!$C$43)&lt;$R146,DATOS!$C$43,IF(ABS($Q146-DATOS!$C$44)&lt;$R146,DATOS!$C$44,$Q146)))))</f>
        <v>2.3</v>
      </c>
      <c r="C146" s="19">
        <f>IF($B146&lt;DATOS!$C$23/3,DATOS!$C$25*DATOS!$C$20*(1+3*(DATOS!$C$22-1)*$B146/DATOS!$C$23),IF($B146&lt;=DATOS!$C$23,DATOS!$C$25*DATOS!$C$20*DATOS!$C$22,IF($B146&lt;=4,DATOS!$C$25*DATOS!$C$20*DATOS!$C$22*(DATOS!$C$23/$B146)^(2/3),2.5*DATOS!$C$25*DATOS!$C$20*DATOS!$C$22*DATOS!$C$23^(2/3)/$B146^(4/3))))</f>
        <v>0.5879107955271788</v>
      </c>
      <c r="D146" s="25">
        <f>$C146/COEFICIENTE!$C$12</f>
        <v>0.0839872565038827</v>
      </c>
      <c r="E146" s="25">
        <f>$C146/COEFICIENTE!$D$12</f>
        <v>0.0839872565038827</v>
      </c>
      <c r="F146" s="19">
        <f t="shared" si="6"/>
        <v>0.8760869565217391</v>
      </c>
      <c r="G146" s="19">
        <f>IF($B146&lt;DATOS!$C$42,DATOS!$C$40*(0.4+0.6*$B146/DATOS!$C$42),IF($B146&lt;=DATOS!$C$43,DATOS!$C$40,IF($B146&lt;=DATOS!$C$44,DATOS!$C$41/$B146,DATOS!$C$41*DATOS!$C$44/$B146^2)))</f>
        <v>0.5840579710144927</v>
      </c>
      <c r="H146" s="19">
        <f>$G146*DATOS!$C$46/COEFICIENTE!$C$35</f>
        <v>0.16687370600414078</v>
      </c>
      <c r="I146" s="19">
        <f>$G146*DATOS!$C$46/COEFICIENTE!$D$35</f>
        <v>0.16687370600414078</v>
      </c>
      <c r="J146" s="19">
        <f>$D146*DATOS!$C$12</f>
        <v>0.12010177680055224</v>
      </c>
      <c r="K146" s="19">
        <f>$E146*DATOS!$C$12</f>
        <v>0.12010177680055224</v>
      </c>
      <c r="L146" s="7">
        <f t="shared" si="7"/>
        <v>1.3894357806317938</v>
      </c>
      <c r="M146" s="7">
        <f t="shared" si="8"/>
        <v>1.3894357806317938</v>
      </c>
      <c r="N146" s="10" t="str">
        <f>IF(DATOS!$C$9="NO","—",IF(AND($L146&gt;=1,$M146&gt;=1),"OK","CALIBRAR"))</f>
        <v>—</v>
      </c>
      <c r="O146" s="25">
        <f>IF(STAAD!$C$17="ASCE 7-16",$G146,$C146)</f>
        <v>0.5879107955271788</v>
      </c>
      <c r="Q146" s="26">
        <v>2.2999999999999998</v>
      </c>
      <c r="R146" s="27">
        <v>0.05</v>
      </c>
    </row>
    <row r="147" spans="2:18" ht="31.5" customHeight="1" x14ac:dyDescent="0.3">
      <c r="B147" s="24">
        <f>IF(ABS($Q147-DATOS!$C$23/3)&lt;$R147,DATOS!$C$23/3,IF(ABS($Q147-DATOS!$C$23)&lt;$R147,DATOS!$C$23,IF(ABS($Q147-DATOS!$C$42)&lt;$R147,DATOS!$C$42,IF(ABS($Q147-DATOS!$C$43)&lt;$R147,DATOS!$C$43,IF(ABS($Q147-DATOS!$C$44)&lt;$R147,DATOS!$C$44,$Q147)))))</f>
        <v>2.4</v>
      </c>
      <c r="C147" s="19">
        <f>IF($B147&lt;DATOS!$C$23/3,DATOS!$C$25*DATOS!$C$20*(1+3*(DATOS!$C$22-1)*$B147/DATOS!$C$23),IF($B147&lt;=DATOS!$C$23,DATOS!$C$25*DATOS!$C$20*DATOS!$C$22,IF($B147&lt;=4,DATOS!$C$25*DATOS!$C$20*DATOS!$C$22*(DATOS!$C$23/$B147)^(2/3),2.5*DATOS!$C$25*DATOS!$C$20*DATOS!$C$22*DATOS!$C$23^(2/3)/$B147^(4/3))))</f>
        <v>0.5714643787085518</v>
      </c>
      <c r="D147" s="25">
        <f>$C147/COEFICIENTE!$C$12</f>
        <v>0.08163776838693597</v>
      </c>
      <c r="E147" s="25">
        <f>$C147/COEFICIENTE!$D$12</f>
        <v>0.08163776838693597</v>
      </c>
      <c r="F147" s="19">
        <f t="shared" si="6"/>
        <v>0.8395833333333333</v>
      </c>
      <c r="G147" s="19">
        <f>IF($B147&lt;DATOS!$C$42,DATOS!$C$40*(0.4+0.6*$B147/DATOS!$C$42),IF($B147&lt;=DATOS!$C$43,DATOS!$C$40,IF($B147&lt;=DATOS!$C$44,DATOS!$C$41/$B147,DATOS!$C$41*DATOS!$C$44/$B147^2)))</f>
        <v>0.5597222222222222</v>
      </c>
      <c r="H147" s="19">
        <f>$G147*DATOS!$C$46/COEFICIENTE!$C$35</f>
        <v>0.15992063492063494</v>
      </c>
      <c r="I147" s="19">
        <f>$G147*DATOS!$C$46/COEFICIENTE!$D$35</f>
        <v>0.15992063492063494</v>
      </c>
      <c r="J147" s="19">
        <f>$D147*DATOS!$C$12</f>
        <v>0.11674200879331843</v>
      </c>
      <c r="K147" s="19">
        <f>$E147*DATOS!$C$12</f>
        <v>0.11674200879331843</v>
      </c>
      <c r="L147" s="7">
        <f t="shared" si="7"/>
        <v>1.3698636555394597</v>
      </c>
      <c r="M147" s="7">
        <f t="shared" si="8"/>
        <v>1.3698636555394597</v>
      </c>
      <c r="N147" s="10" t="str">
        <f>IF(DATOS!$C$9="NO","—",IF(AND($L147&gt;=1,$M147&gt;=1),"OK","CALIBRAR"))</f>
        <v>—</v>
      </c>
      <c r="O147" s="25">
        <f>IF(STAAD!$C$17="ASCE 7-16",$G147,$C147)</f>
        <v>0.5714643787085518</v>
      </c>
      <c r="Q147" s="26">
        <v>2.4</v>
      </c>
      <c r="R147" s="27">
        <v>0.05</v>
      </c>
    </row>
    <row r="148" spans="2:18" ht="31.5" customHeight="1" x14ac:dyDescent="0.3">
      <c r="B148" s="24">
        <f>IF(ABS($Q148-DATOS!$C$23/3)&lt;$R148,DATOS!$C$23/3,IF(ABS($Q148-DATOS!$C$23)&lt;$R148,DATOS!$C$23,IF(ABS($Q148-DATOS!$C$42)&lt;$R148,DATOS!$C$42,IF(ABS($Q148-DATOS!$C$43)&lt;$R148,DATOS!$C$43,IF(ABS($Q148-DATOS!$C$44)&lt;$R148,DATOS!$C$44,$Q148)))))</f>
        <v>2.5</v>
      </c>
      <c r="C148" s="19">
        <f>IF($B148&lt;DATOS!$C$23/3,DATOS!$C$25*DATOS!$C$20*(1+3*(DATOS!$C$22-1)*$B148/DATOS!$C$23),IF($B148&lt;=DATOS!$C$23,DATOS!$C$25*DATOS!$C$20*DATOS!$C$22,IF($B148&lt;=4,DATOS!$C$25*DATOS!$C$20*DATOS!$C$22*(DATOS!$C$23/$B148)^(2/3),2.5*DATOS!$C$25*DATOS!$C$20*DATOS!$C$22*DATOS!$C$23^(2/3)/$B148^(4/3))))</f>
        <v>0.5561218855328427</v>
      </c>
      <c r="D148" s="25">
        <f>$C148/COEFICIENTE!$C$12</f>
        <v>0.07944598364754896</v>
      </c>
      <c r="E148" s="25">
        <f>$C148/COEFICIENTE!$D$12</f>
        <v>0.07944598364754896</v>
      </c>
      <c r="F148" s="19">
        <f t="shared" si="6"/>
        <v>0.806</v>
      </c>
      <c r="G148" s="19">
        <f>IF($B148&lt;DATOS!$C$42,DATOS!$C$40*(0.4+0.6*$B148/DATOS!$C$42),IF($B148&lt;=DATOS!$C$43,DATOS!$C$40,IF($B148&lt;=DATOS!$C$44,DATOS!$C$41/$B148,DATOS!$C$41*DATOS!$C$44/$B148^2)))</f>
        <v>0.5373333333333333</v>
      </c>
      <c r="H148" s="19">
        <f>$G148*DATOS!$C$46/COEFICIENTE!$C$35</f>
        <v>0.15352380952380953</v>
      </c>
      <c r="I148" s="19">
        <f>$G148*DATOS!$C$46/COEFICIENTE!$D$35</f>
        <v>0.15352380952380953</v>
      </c>
      <c r="J148" s="19">
        <f>$D148*DATOS!$C$12</f>
        <v>0.11360775661599501</v>
      </c>
      <c r="K148" s="19">
        <f>$E148*DATOS!$C$12</f>
        <v>0.11360775661599501</v>
      </c>
      <c r="L148" s="7">
        <f t="shared" si="7"/>
        <v>1.3513497149911566</v>
      </c>
      <c r="M148" s="7">
        <f t="shared" si="8"/>
        <v>1.3513497149911566</v>
      </c>
      <c r="N148" s="10" t="str">
        <f>IF(DATOS!$C$9="NO","—",IF(AND($L148&gt;=1,$M148&gt;=1),"OK","CALIBRAR"))</f>
        <v>—</v>
      </c>
      <c r="O148" s="25">
        <f>IF(STAAD!$C$17="ASCE 7-16",$G148,$C148)</f>
        <v>0.5561218855328427</v>
      </c>
      <c r="Q148" s="26">
        <v>2.5</v>
      </c>
      <c r="R148" s="27">
        <v>0.05</v>
      </c>
    </row>
    <row r="149" spans="2:18" ht="31.5" customHeight="1" x14ac:dyDescent="0.3">
      <c r="B149" s="24">
        <f>IF(ABS($Q149-DATOS!$C$23/3)&lt;$R149,DATOS!$C$23/3,IF(ABS($Q149-DATOS!$C$23)&lt;$R149,DATOS!$C$23,IF(ABS($Q149-DATOS!$C$42)&lt;$R149,DATOS!$C$42,IF(ABS($Q149-DATOS!$C$43)&lt;$R149,DATOS!$C$43,IF(ABS($Q149-DATOS!$C$44)&lt;$R149,DATOS!$C$44,$Q149)))))</f>
        <v>2.6</v>
      </c>
      <c r="C149" s="19">
        <f>IF($B149&lt;DATOS!$C$23/3,DATOS!$C$25*DATOS!$C$20*(1+3*(DATOS!$C$22-1)*$B149/DATOS!$C$23),IF($B149&lt;=DATOS!$C$23,DATOS!$C$25*DATOS!$C$20*DATOS!$C$22,IF($B149&lt;=4,DATOS!$C$25*DATOS!$C$20*DATOS!$C$22*(DATOS!$C$23/$B149)^(2/3),2.5*DATOS!$C$25*DATOS!$C$20*DATOS!$C$22*DATOS!$C$23^(2/3)/$B149^(4/3))))</f>
        <v>0.5417693442286613</v>
      </c>
      <c r="D149" s="25">
        <f>$C149/COEFICIENTE!$C$12</f>
        <v>0.07739562060409447</v>
      </c>
      <c r="E149" s="25">
        <f>$C149/COEFICIENTE!$D$12</f>
        <v>0.07739562060409447</v>
      </c>
      <c r="F149" s="19">
        <f t="shared" si="6"/>
        <v>0.7749999999999999</v>
      </c>
      <c r="G149" s="19">
        <f>IF($B149&lt;DATOS!$C$42,DATOS!$C$40*(0.4+0.6*$B149/DATOS!$C$42),IF($B149&lt;=DATOS!$C$43,DATOS!$C$40,IF($B149&lt;=DATOS!$C$44,DATOS!$C$41/$B149,DATOS!$C$41*DATOS!$C$44/$B149^2)))</f>
        <v>0.5166666666666666</v>
      </c>
      <c r="H149" s="19">
        <f>$G149*DATOS!$C$46/COEFICIENTE!$C$35</f>
        <v>0.1476190476190476</v>
      </c>
      <c r="I149" s="19">
        <f>$G149*DATOS!$C$46/COEFICIENTE!$D$35</f>
        <v>0.1476190476190476</v>
      </c>
      <c r="J149" s="19">
        <f>$D149*DATOS!$C$12</f>
        <v>0.11067573746385509</v>
      </c>
      <c r="K149" s="19">
        <f>$E149*DATOS!$C$12</f>
        <v>0.11067573746385509</v>
      </c>
      <c r="L149" s="7">
        <f t="shared" si="7"/>
        <v>1.3337977320210548</v>
      </c>
      <c r="M149" s="7">
        <f t="shared" si="8"/>
        <v>1.3337977320210548</v>
      </c>
      <c r="N149" s="10" t="str">
        <f>IF(DATOS!$C$9="NO","—",IF(AND($L149&gt;=1,$M149&gt;=1),"OK","CALIBRAR"))</f>
        <v>—</v>
      </c>
      <c r="O149" s="25">
        <f>IF(STAAD!$C$17="ASCE 7-16",$G149,$C149)</f>
        <v>0.5417693442286613</v>
      </c>
      <c r="Q149" s="26">
        <v>2.6</v>
      </c>
      <c r="R149" s="27">
        <v>0.05</v>
      </c>
    </row>
    <row r="150" spans="2:18" ht="31.5" customHeight="1" x14ac:dyDescent="0.3">
      <c r="B150" s="24">
        <f>IF(ABS($Q150-DATOS!$C$23/3)&lt;$R150,DATOS!$C$23/3,IF(ABS($Q150-DATOS!$C$23)&lt;$R150,DATOS!$C$23,IF(ABS($Q150-DATOS!$C$42)&lt;$R150,DATOS!$C$42,IF(ABS($Q150-DATOS!$C$43)&lt;$R150,DATOS!$C$43,IF(ABS($Q150-DATOS!$C$44)&lt;$R150,DATOS!$C$44,$Q150)))))</f>
        <v>2.7</v>
      </c>
      <c r="C150" s="19">
        <f>IF($B150&lt;DATOS!$C$23/3,DATOS!$C$25*DATOS!$C$20*(1+3*(DATOS!$C$22-1)*$B150/DATOS!$C$23),IF($B150&lt;=DATOS!$C$23,DATOS!$C$25*DATOS!$C$20*DATOS!$C$22,IF($B150&lt;=4,DATOS!$C$25*DATOS!$C$20*DATOS!$C$22*(DATOS!$C$23/$B150)^(2/3),2.5*DATOS!$C$25*DATOS!$C$20*DATOS!$C$22*DATOS!$C$23^(2/3)/$B150^(4/3))))</f>
        <v>0.5283083598231403</v>
      </c>
      <c r="D150" s="25">
        <f>$C150/COEFICIENTE!$C$12</f>
        <v>0.07547262283187718</v>
      </c>
      <c r="E150" s="25">
        <f>$C150/COEFICIENTE!$D$12</f>
        <v>0.07547262283187718</v>
      </c>
      <c r="F150" s="19">
        <f t="shared" si="6"/>
        <v>0.7462962962962962</v>
      </c>
      <c r="G150" s="19">
        <f>IF($B150&lt;DATOS!$C$42,DATOS!$C$40*(0.4+0.6*$B150/DATOS!$C$42),IF($B150&lt;=DATOS!$C$43,DATOS!$C$40,IF($B150&lt;=DATOS!$C$44,DATOS!$C$41/$B150,DATOS!$C$41*DATOS!$C$44/$B150^2)))</f>
        <v>0.4975308641975308</v>
      </c>
      <c r="H150" s="19">
        <f>$G150*DATOS!$C$46/COEFICIENTE!$C$35</f>
        <v>0.1421516754850088</v>
      </c>
      <c r="I150" s="19">
        <f>$G150*DATOS!$C$46/COEFICIENTE!$D$35</f>
        <v>0.1421516754850088</v>
      </c>
      <c r="J150" s="19">
        <f>$D150*DATOS!$C$12</f>
        <v>0.10792585064958436</v>
      </c>
      <c r="K150" s="19">
        <f>$E150*DATOS!$C$12</f>
        <v>0.10792585064958436</v>
      </c>
      <c r="L150" s="7">
        <f t="shared" si="7"/>
        <v>1.3171235123876806</v>
      </c>
      <c r="M150" s="7">
        <f t="shared" si="8"/>
        <v>1.3171235123876806</v>
      </c>
      <c r="N150" s="10" t="str">
        <f>IF(DATOS!$C$9="NO","—",IF(AND($L150&gt;=1,$M150&gt;=1),"OK","CALIBRAR"))</f>
        <v>—</v>
      </c>
      <c r="O150" s="25">
        <f>IF(STAAD!$C$17="ASCE 7-16",$G150,$C150)</f>
        <v>0.5283083598231403</v>
      </c>
      <c r="Q150" s="26">
        <v>2.7</v>
      </c>
      <c r="R150" s="27">
        <v>0.05</v>
      </c>
    </row>
    <row r="151" spans="2:18" ht="31.5" customHeight="1" x14ac:dyDescent="0.3">
      <c r="B151" s="24">
        <f>IF(ABS($Q151-DATOS!$C$23/3)&lt;$R151,DATOS!$C$23/3,IF(ABS($Q151-DATOS!$C$23)&lt;$R151,DATOS!$C$23,IF(ABS($Q151-DATOS!$C$42)&lt;$R151,DATOS!$C$42,IF(ABS($Q151-DATOS!$C$43)&lt;$R151,DATOS!$C$43,IF(ABS($Q151-DATOS!$C$44)&lt;$R151,DATOS!$C$44,$Q151)))))</f>
        <v>2.8</v>
      </c>
      <c r="C151" s="19">
        <f>IF($B151&lt;DATOS!$C$23/3,DATOS!$C$25*DATOS!$C$20*(1+3*(DATOS!$C$22-1)*$B151/DATOS!$C$23),IF($B151&lt;=DATOS!$C$23,DATOS!$C$25*DATOS!$C$20*DATOS!$C$22,IF($B151&lt;=4,DATOS!$C$25*DATOS!$C$20*DATOS!$C$22*(DATOS!$C$23/$B151)^(2/3),2.5*DATOS!$C$25*DATOS!$C$20*DATOS!$C$22*DATOS!$C$23^(2/3)/$B151^(4/3))))</f>
        <v>0.5156535018820716</v>
      </c>
      <c r="D151" s="25">
        <f>$C151/COEFICIENTE!$C$12</f>
        <v>0.07366478598315308</v>
      </c>
      <c r="E151" s="25">
        <f>$C151/COEFICIENTE!$D$12</f>
        <v>0.07366478598315308</v>
      </c>
      <c r="F151" s="19">
        <f t="shared" si="6"/>
        <v>0.7196428571428571</v>
      </c>
      <c r="G151" s="19">
        <f>IF($B151&lt;DATOS!$C$42,DATOS!$C$40*(0.4+0.6*$B151/DATOS!$C$42),IF($B151&lt;=DATOS!$C$43,DATOS!$C$40,IF($B151&lt;=DATOS!$C$44,DATOS!$C$41/$B151,DATOS!$C$41*DATOS!$C$44/$B151^2)))</f>
        <v>0.4797619047619048</v>
      </c>
      <c r="H151" s="19">
        <f>$G151*DATOS!$C$46/COEFICIENTE!$C$35</f>
        <v>0.13707482993197279</v>
      </c>
      <c r="I151" s="19">
        <f>$G151*DATOS!$C$46/COEFICIENTE!$D$35</f>
        <v>0.13707482993197279</v>
      </c>
      <c r="J151" s="19">
        <f>$D151*DATOS!$C$12</f>
        <v>0.1053406439559089</v>
      </c>
      <c r="K151" s="19">
        <f>$E151*DATOS!$C$12</f>
        <v>0.1053406439559089</v>
      </c>
      <c r="L151" s="7">
        <f t="shared" si="7"/>
        <v>1.301253009136212</v>
      </c>
      <c r="M151" s="7">
        <f t="shared" si="8"/>
        <v>1.301253009136212</v>
      </c>
      <c r="N151" s="10" t="str">
        <f>IF(DATOS!$C$9="NO","—",IF(AND($L151&gt;=1,$M151&gt;=1),"OK","CALIBRAR"))</f>
        <v>—</v>
      </c>
      <c r="O151" s="25">
        <f>IF(STAAD!$C$17="ASCE 7-16",$G151,$C151)</f>
        <v>0.5156535018820716</v>
      </c>
      <c r="Q151" s="26">
        <v>2.8</v>
      </c>
      <c r="R151" s="27">
        <v>0.05</v>
      </c>
    </row>
    <row r="152" spans="2:18" ht="31.5" customHeight="1" x14ac:dyDescent="0.3">
      <c r="B152" s="24">
        <f>IF(ABS($Q152-DATOS!$C$23/3)&lt;$R152,DATOS!$C$23/3,IF(ABS($Q152-DATOS!$C$23)&lt;$R152,DATOS!$C$23,IF(ABS($Q152-DATOS!$C$42)&lt;$R152,DATOS!$C$42,IF(ABS($Q152-DATOS!$C$43)&lt;$R152,DATOS!$C$43,IF(ABS($Q152-DATOS!$C$44)&lt;$R152,DATOS!$C$44,$Q152)))))</f>
        <v>2.9</v>
      </c>
      <c r="C152" s="19">
        <f>IF($B152&lt;DATOS!$C$23/3,DATOS!$C$25*DATOS!$C$20*(1+3*(DATOS!$C$22-1)*$B152/DATOS!$C$23),IF($B152&lt;=DATOS!$C$23,DATOS!$C$25*DATOS!$C$20*DATOS!$C$22,IF($B152&lt;=4,DATOS!$C$25*DATOS!$C$20*DATOS!$C$22*(DATOS!$C$23/$B152)^(2/3),2.5*DATOS!$C$25*DATOS!$C$20*DATOS!$C$22*DATOS!$C$23^(2/3)/$B152^(4/3))))</f>
        <v>0.5037302057695221</v>
      </c>
      <c r="D152" s="25">
        <f>$C152/COEFICIENTE!$C$12</f>
        <v>0.07196145796707458</v>
      </c>
      <c r="E152" s="25">
        <f>$C152/COEFICIENTE!$D$12</f>
        <v>0.07196145796707458</v>
      </c>
      <c r="F152" s="19">
        <f t="shared" si="6"/>
        <v>0.6948275862068966</v>
      </c>
      <c r="G152" s="19">
        <f>IF($B152&lt;DATOS!$C$42,DATOS!$C$40*(0.4+0.6*$B152/DATOS!$C$42),IF($B152&lt;=DATOS!$C$43,DATOS!$C$40,IF($B152&lt;=DATOS!$C$44,DATOS!$C$41/$B152,DATOS!$C$41*DATOS!$C$44/$B152^2)))</f>
        <v>0.4632183908045977</v>
      </c>
      <c r="H152" s="19">
        <f>$G152*DATOS!$C$46/COEFICIENTE!$C$35</f>
        <v>0.13234811165845647</v>
      </c>
      <c r="I152" s="19">
        <f>$G152*DATOS!$C$46/COEFICIENTE!$D$35</f>
        <v>0.13234811165845647</v>
      </c>
      <c r="J152" s="19">
        <f>$D152*DATOS!$C$12</f>
        <v>0.10290488489291665</v>
      </c>
      <c r="K152" s="19">
        <f>$E152*DATOS!$C$12</f>
        <v>0.10290488489291665</v>
      </c>
      <c r="L152" s="7">
        <f t="shared" si="7"/>
        <v>1.2861207881062071</v>
      </c>
      <c r="M152" s="7">
        <f t="shared" si="8"/>
        <v>1.2861207881062071</v>
      </c>
      <c r="N152" s="10" t="str">
        <f>IF(DATOS!$C$9="NO","—",IF(AND($L152&gt;=1,$M152&gt;=1),"OK","CALIBRAR"))</f>
        <v>—</v>
      </c>
      <c r="O152" s="25">
        <f>IF(STAAD!$C$17="ASCE 7-16",$G152,$C152)</f>
        <v>0.5037302057695221</v>
      </c>
      <c r="Q152" s="26">
        <v>2.9</v>
      </c>
      <c r="R152" s="27">
        <v>0.05</v>
      </c>
    </row>
    <row r="153" spans="2:18" ht="31.5" customHeight="1" x14ac:dyDescent="0.3">
      <c r="B153" s="24">
        <f>IF(ABS($Q153-DATOS!$C$23/3)&lt;$R153,DATOS!$C$23/3,IF(ABS($Q153-DATOS!$C$23)&lt;$R153,DATOS!$C$23,IF(ABS($Q153-DATOS!$C$42)&lt;$R153,DATOS!$C$42,IF(ABS($Q153-DATOS!$C$43)&lt;$R153,DATOS!$C$43,IF(ABS($Q153-DATOS!$C$44)&lt;$R153,DATOS!$C$44,$Q153)))))</f>
        <v>3.0</v>
      </c>
      <c r="C153" s="19">
        <f>IF($B153&lt;DATOS!$C$23/3,DATOS!$C$25*DATOS!$C$20*(1+3*(DATOS!$C$22-1)*$B153/DATOS!$C$23),IF($B153&lt;=DATOS!$C$23,DATOS!$C$25*DATOS!$C$20*DATOS!$C$22,IF($B153&lt;=4,DATOS!$C$25*DATOS!$C$20*DATOS!$C$22*(DATOS!$C$23/$B153)^(2/3),2.5*DATOS!$C$25*DATOS!$C$20*DATOS!$C$22*DATOS!$C$23^(2/3)/$B153^(4/3))))</f>
        <v>0.4924730726428887</v>
      </c>
      <c r="D153" s="25">
        <f>$C153/COEFICIENTE!$C$12</f>
        <v>0.07035329609184124</v>
      </c>
      <c r="E153" s="25">
        <f>$C153/COEFICIENTE!$D$12</f>
        <v>0.07035329609184124</v>
      </c>
      <c r="F153" s="19">
        <f t="shared" si="6"/>
        <v>0.6716666666666666</v>
      </c>
      <c r="G153" s="19">
        <f>IF($B153&lt;DATOS!$C$42,DATOS!$C$40*(0.4+0.6*$B153/DATOS!$C$42),IF($B153&lt;=DATOS!$C$43,DATOS!$C$40,IF($B153&lt;=DATOS!$C$44,DATOS!$C$41/$B153,DATOS!$C$41*DATOS!$C$44/$B153^2)))</f>
        <v>0.4477777777777778</v>
      </c>
      <c r="H153" s="19">
        <f>$G153*DATOS!$C$46/COEFICIENTE!$C$35</f>
        <v>0.12793650793650793</v>
      </c>
      <c r="I153" s="19">
        <f>$G153*DATOS!$C$46/COEFICIENTE!$D$35</f>
        <v>0.12793650793650793</v>
      </c>
      <c r="J153" s="19">
        <f>$D153*DATOS!$C$12</f>
        <v>0.10060521341133297</v>
      </c>
      <c r="K153" s="19">
        <f>$E153*DATOS!$C$12</f>
        <v>0.10060521341133297</v>
      </c>
      <c r="L153" s="7">
        <f t="shared" si="7"/>
        <v>1.2716687694247877</v>
      </c>
      <c r="M153" s="7">
        <f t="shared" si="8"/>
        <v>1.2716687694247877</v>
      </c>
      <c r="N153" s="10" t="str">
        <f>IF(DATOS!$C$9="NO","—",IF(AND($L153&gt;=1,$M153&gt;=1),"OK","CALIBRAR"))</f>
        <v>—</v>
      </c>
      <c r="O153" s="25">
        <f>IF(STAAD!$C$17="ASCE 7-16",$G153,$C153)</f>
        <v>0.4924730726428887</v>
      </c>
      <c r="Q153" s="26">
        <v>3</v>
      </c>
      <c r="R153" s="27">
        <v>0.05</v>
      </c>
    </row>
    <row r="154" spans="2:18" ht="31.5" customHeight="1" x14ac:dyDescent="0.3">
      <c r="B154" s="24">
        <f>IF(ABS($Q154-DATOS!$C$23/3)&lt;$R154,DATOS!$C$23/3,IF(ABS($Q154-DATOS!$C$23)&lt;$R154,DATOS!$C$23,IF(ABS($Q154-DATOS!$C$42)&lt;$R154,DATOS!$C$42,IF(ABS($Q154-DATOS!$C$43)&lt;$R154,DATOS!$C$43,IF(ABS($Q154-DATOS!$C$44)&lt;$R154,DATOS!$C$44,$Q154)))))</f>
        <v>3.1</v>
      </c>
      <c r="C154" s="19">
        <f>IF($B154&lt;DATOS!$C$23/3,DATOS!$C$25*DATOS!$C$20*(1+3*(DATOS!$C$22-1)*$B154/DATOS!$C$23),IF($B154&lt;=DATOS!$C$23,DATOS!$C$25*DATOS!$C$20*DATOS!$C$22,IF($B154&lt;=4,DATOS!$C$25*DATOS!$C$20*DATOS!$C$22*(DATOS!$C$23/$B154)^(2/3),2.5*DATOS!$C$25*DATOS!$C$20*DATOS!$C$22*DATOS!$C$23^(2/3)/$B154^(4/3))))</f>
        <v>0.48182448194856087</v>
      </c>
      <c r="D154" s="25">
        <f>$C154/COEFICIENTE!$C$12</f>
        <v>0.06883206884979441</v>
      </c>
      <c r="E154" s="25">
        <f>$C154/COEFICIENTE!$D$12</f>
        <v>0.06883206884979441</v>
      </c>
      <c r="F154" s="19">
        <f t="shared" si="6"/>
        <v>0.6499999999999999</v>
      </c>
      <c r="G154" s="19">
        <f>IF($B154&lt;DATOS!$C$42,DATOS!$C$40*(0.4+0.6*$B154/DATOS!$C$42),IF($B154&lt;=DATOS!$C$43,DATOS!$C$40,IF($B154&lt;=DATOS!$C$44,DATOS!$C$41/$B154,DATOS!$C$41*DATOS!$C$44/$B154^2)))</f>
        <v>0.4333333333333333</v>
      </c>
      <c r="H154" s="19">
        <f>$G154*DATOS!$C$46/COEFICIENTE!$C$35</f>
        <v>0.1238095238095238</v>
      </c>
      <c r="I154" s="19">
        <f>$G154*DATOS!$C$46/COEFICIENTE!$D$35</f>
        <v>0.1238095238095238</v>
      </c>
      <c r="J154" s="19">
        <f>$D154*DATOS!$C$12</f>
        <v>0.098429858455206</v>
      </c>
      <c r="K154" s="19">
        <f>$E154*DATOS!$C$12</f>
        <v>0.098429858455206</v>
      </c>
      <c r="L154" s="7">
        <f t="shared" si="7"/>
        <v>1.2578451879605994</v>
      </c>
      <c r="M154" s="7">
        <f t="shared" si="8"/>
        <v>1.2578451879605994</v>
      </c>
      <c r="N154" s="10" t="str">
        <f>IF(DATOS!$C$9="NO","—",IF(AND($L154&gt;=1,$M154&gt;=1),"OK","CALIBRAR"))</f>
        <v>—</v>
      </c>
      <c r="O154" s="25">
        <f>IF(STAAD!$C$17="ASCE 7-16",$G154,$C154)</f>
        <v>0.48182448194856087</v>
      </c>
      <c r="Q154" s="26">
        <v>3.1</v>
      </c>
      <c r="R154" s="27">
        <v>0.05</v>
      </c>
    </row>
    <row r="155" spans="2:18" ht="31.5" customHeight="1" x14ac:dyDescent="0.3">
      <c r="B155" s="24">
        <f>IF(ABS($Q155-DATOS!$C$23/3)&lt;$R155,DATOS!$C$23/3,IF(ABS($Q155-DATOS!$C$23)&lt;$R155,DATOS!$C$23,IF(ABS($Q155-DATOS!$C$42)&lt;$R155,DATOS!$C$42,IF(ABS($Q155-DATOS!$C$43)&lt;$R155,DATOS!$C$43,IF(ABS($Q155-DATOS!$C$44)&lt;$R155,DATOS!$C$44,$Q155)))))</f>
        <v>3.2</v>
      </c>
      <c r="C155" s="19">
        <f>IF($B155&lt;DATOS!$C$23/3,DATOS!$C$25*DATOS!$C$20*(1+3*(DATOS!$C$22-1)*$B155/DATOS!$C$23),IF($B155&lt;=DATOS!$C$23,DATOS!$C$25*DATOS!$C$20*DATOS!$C$22,IF($B155&lt;=4,DATOS!$C$25*DATOS!$C$20*DATOS!$C$22*(DATOS!$C$23/$B155)^(2/3),2.5*DATOS!$C$25*DATOS!$C$20*DATOS!$C$22*DATOS!$C$23^(2/3)/$B155^(4/3))))</f>
        <v>0.47173345095760133</v>
      </c>
      <c r="D155" s="25">
        <f>$C155/COEFICIENTE!$C$12</f>
        <v>0.06739049299394305</v>
      </c>
      <c r="E155" s="25">
        <f>$C155/COEFICIENTE!$D$12</f>
        <v>0.06739049299394305</v>
      </c>
      <c r="F155" s="19">
        <f t="shared" si="6"/>
        <v>0.6296875</v>
      </c>
      <c r="G155" s="19">
        <f>IF($B155&lt;DATOS!$C$42,DATOS!$C$40*(0.4+0.6*$B155/DATOS!$C$42),IF($B155&lt;=DATOS!$C$43,DATOS!$C$40,IF($B155&lt;=DATOS!$C$44,DATOS!$C$41/$B155,DATOS!$C$41*DATOS!$C$44/$B155^2)))</f>
        <v>0.4197916666666666</v>
      </c>
      <c r="H155" s="19">
        <f>$G155*DATOS!$C$46/COEFICIENTE!$C$35</f>
        <v>0.11994047619047618</v>
      </c>
      <c r="I155" s="19">
        <f>$G155*DATOS!$C$46/COEFICIENTE!$D$35</f>
        <v>0.11994047619047618</v>
      </c>
      <c r="J155" s="19">
        <f>$D155*DATOS!$C$12</f>
        <v>0.09636840498133856</v>
      </c>
      <c r="K155" s="19">
        <f>$E155*DATOS!$C$12</f>
        <v>0.09636840498133856</v>
      </c>
      <c r="L155" s="7">
        <f t="shared" si="7"/>
        <v>1.2446037289265324</v>
      </c>
      <c r="M155" s="7">
        <f t="shared" si="8"/>
        <v>1.2446037289265324</v>
      </c>
      <c r="N155" s="10" t="str">
        <f>IF(DATOS!$C$9="NO","—",IF(AND($L155&gt;=1,$M155&gt;=1),"OK","CALIBRAR"))</f>
        <v>—</v>
      </c>
      <c r="O155" s="25">
        <f>IF(STAAD!$C$17="ASCE 7-16",$G155,$C155)</f>
        <v>0.47173345095760133</v>
      </c>
      <c r="Q155" s="26">
        <v>3.2</v>
      </c>
      <c r="R155" s="27">
        <v>0.05</v>
      </c>
    </row>
    <row r="156" spans="2:18" ht="31.5" customHeight="1" x14ac:dyDescent="0.3">
      <c r="B156" s="24">
        <f>IF(ABS($Q156-DATOS!$C$23/3)&lt;$R156,DATOS!$C$23/3,IF(ABS($Q156-DATOS!$C$23)&lt;$R156,DATOS!$C$23,IF(ABS($Q156-DATOS!$C$42)&lt;$R156,DATOS!$C$42,IF(ABS($Q156-DATOS!$C$43)&lt;$R156,DATOS!$C$43,IF(ABS($Q156-DATOS!$C$44)&lt;$R156,DATOS!$C$44,$Q156)))))</f>
        <v>3.3</v>
      </c>
      <c r="C156" s="19">
        <f>IF($B156&lt;DATOS!$C$23/3,DATOS!$C$25*DATOS!$C$20*(1+3*(DATOS!$C$22-1)*$B156/DATOS!$C$23),IF($B156&lt;=DATOS!$C$23,DATOS!$C$25*DATOS!$C$20*DATOS!$C$22,IF($B156&lt;=4,DATOS!$C$25*DATOS!$C$20*DATOS!$C$22*(DATOS!$C$23/$B156)^(2/3),2.5*DATOS!$C$25*DATOS!$C$20*DATOS!$C$22*DATOS!$C$23^(2/3)/$B156^(4/3))))</f>
        <v>0.46215469116995733</v>
      </c>
      <c r="D156" s="25">
        <f>$C156/COEFICIENTE!$C$12</f>
        <v>0.06602209873856534</v>
      </c>
      <c r="E156" s="25">
        <f>$C156/COEFICIENTE!$D$12</f>
        <v>0.06602209873856534</v>
      </c>
      <c r="F156" s="19">
        <f t="shared" si="6"/>
        <v>0.6106060606060606</v>
      </c>
      <c r="G156" s="19">
        <f>IF($B156&lt;DATOS!$C$42,DATOS!$C$40*(0.4+0.6*$B156/DATOS!$C$42),IF($B156&lt;=DATOS!$C$43,DATOS!$C$40,IF($B156&lt;=DATOS!$C$44,DATOS!$C$41/$B156,DATOS!$C$41*DATOS!$C$44/$B156^2)))</f>
        <v>0.4070707070707071</v>
      </c>
      <c r="H156" s="19">
        <f>$G156*DATOS!$C$46/COEFICIENTE!$C$35</f>
        <v>0.11630591630591632</v>
      </c>
      <c r="I156" s="19">
        <f>$G156*DATOS!$C$46/COEFICIENTE!$D$35</f>
        <v>0.11630591630591632</v>
      </c>
      <c r="J156" s="19">
        <f>$D156*DATOS!$C$12</f>
        <v>0.09441160119614843</v>
      </c>
      <c r="K156" s="19">
        <f>$E156*DATOS!$C$12</f>
        <v>0.09441160119614843</v>
      </c>
      <c r="L156" s="7">
        <f t="shared" si="7"/>
        <v>1.2319028046593608</v>
      </c>
      <c r="M156" s="7">
        <f t="shared" si="8"/>
        <v>1.2319028046593608</v>
      </c>
      <c r="N156" s="10" t="str">
        <f>IF(DATOS!$C$9="NO","—",IF(AND($L156&gt;=1,$M156&gt;=1),"OK","CALIBRAR"))</f>
        <v>—</v>
      </c>
      <c r="O156" s="25">
        <f>IF(STAAD!$C$17="ASCE 7-16",$G156,$C156)</f>
        <v>0.46215469116995733</v>
      </c>
      <c r="Q156" s="26">
        <v>3.3</v>
      </c>
      <c r="R156" s="27">
        <v>0.05</v>
      </c>
    </row>
    <row r="157" spans="2:18" ht="31.5" customHeight="1" x14ac:dyDescent="0.3">
      <c r="B157" s="24">
        <f>IF(ABS($Q157-DATOS!$C$23/3)&lt;$R157,DATOS!$C$23/3,IF(ABS($Q157-DATOS!$C$23)&lt;$R157,DATOS!$C$23,IF(ABS($Q157-DATOS!$C$42)&lt;$R157,DATOS!$C$42,IF(ABS($Q157-DATOS!$C$43)&lt;$R157,DATOS!$C$43,IF(ABS($Q157-DATOS!$C$44)&lt;$R157,DATOS!$C$44,$Q157)))))</f>
        <v>3.4</v>
      </c>
      <c r="C157" s="19">
        <f>IF($B157&lt;DATOS!$C$23/3,DATOS!$C$25*DATOS!$C$20*(1+3*(DATOS!$C$22-1)*$B157/DATOS!$C$23),IF($B157&lt;=DATOS!$C$23,DATOS!$C$25*DATOS!$C$20*DATOS!$C$22,IF($B157&lt;=4,DATOS!$C$25*DATOS!$C$20*DATOS!$C$22*(DATOS!$C$23/$B157)^(2/3),2.5*DATOS!$C$25*DATOS!$C$20*DATOS!$C$22*DATOS!$C$23^(2/3)/$B157^(4/3))))</f>
        <v>0.4530478227873343</v>
      </c>
      <c r="D157" s="25">
        <f>$C157/COEFICIENTE!$C$12</f>
        <v>0.06472111754104776</v>
      </c>
      <c r="E157" s="25">
        <f>$C157/COEFICIENTE!$D$12</f>
        <v>0.06472111754104776</v>
      </c>
      <c r="F157" s="19">
        <f t="shared" si="6"/>
        <v>0.5926470588235294</v>
      </c>
      <c r="G157" s="19">
        <f>IF($B157&lt;DATOS!$C$42,DATOS!$C$40*(0.4+0.6*$B157/DATOS!$C$42),IF($B157&lt;=DATOS!$C$43,DATOS!$C$40,IF($B157&lt;=DATOS!$C$44,DATOS!$C$41/$B157,DATOS!$C$41*DATOS!$C$44/$B157^2)))</f>
        <v>0.39509803921568626</v>
      </c>
      <c r="H157" s="19">
        <f>$G157*DATOS!$C$46/COEFICIENTE!$C$35</f>
        <v>0.11288515406162465</v>
      </c>
      <c r="I157" s="19">
        <f>$G157*DATOS!$C$46/COEFICIENTE!$D$35</f>
        <v>0.11288515406162465</v>
      </c>
      <c r="J157" s="19">
        <f>$D157*DATOS!$C$12</f>
        <v>0.09255119808369829</v>
      </c>
      <c r="K157" s="19">
        <f>$E157*DATOS!$C$12</f>
        <v>0.09255119808369829</v>
      </c>
      <c r="L157" s="7">
        <f t="shared" si="7"/>
        <v>1.2197049460076945</v>
      </c>
      <c r="M157" s="7">
        <f t="shared" si="8"/>
        <v>1.2197049460076945</v>
      </c>
      <c r="N157" s="10" t="str">
        <f>IF(DATOS!$C$9="NO","—",IF(AND($L157&gt;=1,$M157&gt;=1),"OK","CALIBRAR"))</f>
        <v>—</v>
      </c>
      <c r="O157" s="25">
        <f>IF(STAAD!$C$17="ASCE 7-16",$G157,$C157)</f>
        <v>0.4530478227873343</v>
      </c>
      <c r="Q157" s="26">
        <v>3.4</v>
      </c>
      <c r="R157" s="27">
        <v>0.05</v>
      </c>
    </row>
    <row r="158" spans="2:18" ht="31.5" customHeight="1" x14ac:dyDescent="0.3">
      <c r="B158" s="24">
        <f>IF(ABS($Q158-DATOS!$C$23/3)&lt;$R158,DATOS!$C$23/3,IF(ABS($Q158-DATOS!$C$23)&lt;$R158,DATOS!$C$23,IF(ABS($Q158-DATOS!$C$42)&lt;$R158,DATOS!$C$42,IF(ABS($Q158-DATOS!$C$43)&lt;$R158,DATOS!$C$43,IF(ABS($Q158-DATOS!$C$44)&lt;$R158,DATOS!$C$44,$Q158)))))</f>
        <v>3.5</v>
      </c>
      <c r="C158" s="19">
        <f>IF($B158&lt;DATOS!$C$23/3,DATOS!$C$25*DATOS!$C$20*(1+3*(DATOS!$C$22-1)*$B158/DATOS!$C$23),IF($B158&lt;=DATOS!$C$23,DATOS!$C$25*DATOS!$C$20*DATOS!$C$22,IF($B158&lt;=4,DATOS!$C$25*DATOS!$C$20*DATOS!$C$22*(DATOS!$C$23/$B158)^(2/3),2.5*DATOS!$C$25*DATOS!$C$20*DATOS!$C$22*DATOS!$C$23^(2/3)/$B158^(4/3))))</f>
        <v>0.44437671699646253</v>
      </c>
      <c r="D158" s="25">
        <f>$C158/COEFICIENTE!$C$12</f>
        <v>0.06348238814235178</v>
      </c>
      <c r="E158" s="25">
        <f>$C158/COEFICIENTE!$D$12</f>
        <v>0.06348238814235178</v>
      </c>
      <c r="F158" s="19">
        <f t="shared" si="6"/>
        <v>0.5757142857142856</v>
      </c>
      <c r="G158" s="19">
        <f>IF($B158&lt;DATOS!$C$42,DATOS!$C$40*(0.4+0.6*$B158/DATOS!$C$42),IF($B158&lt;=DATOS!$C$43,DATOS!$C$40,IF($B158&lt;=DATOS!$C$44,DATOS!$C$41/$B158,DATOS!$C$41*DATOS!$C$44/$B158^2)))</f>
        <v>0.38380952380952377</v>
      </c>
      <c r="H158" s="19">
        <f>$G158*DATOS!$C$46/COEFICIENTE!$C$35</f>
        <v>0.10965986394557822</v>
      </c>
      <c r="I158" s="19">
        <f>$G158*DATOS!$C$46/COEFICIENTE!$D$35</f>
        <v>0.10965986394557822</v>
      </c>
      <c r="J158" s="19">
        <f>$D158*DATOS!$C$12</f>
        <v>0.09077981504356304</v>
      </c>
      <c r="K158" s="19">
        <f>$E158*DATOS!$C$12</f>
        <v>0.09077981504356304</v>
      </c>
      <c r="L158" s="7">
        <f t="shared" si="7"/>
        <v>1.2079762873823339</v>
      </c>
      <c r="M158" s="7">
        <f t="shared" si="8"/>
        <v>1.2079762873823339</v>
      </c>
      <c r="N158" s="10" t="str">
        <f>IF(DATOS!$C$9="NO","—",IF(AND($L158&gt;=1,$M158&gt;=1),"OK","CALIBRAR"))</f>
        <v>—</v>
      </c>
      <c r="O158" s="25">
        <f>IF(STAAD!$C$17="ASCE 7-16",$G158,$C158)</f>
        <v>0.44437671699646253</v>
      </c>
      <c r="Q158" s="26">
        <v>3.5</v>
      </c>
      <c r="R158" s="27">
        <v>0.05</v>
      </c>
    </row>
    <row r="159" spans="2:18" ht="31.5" customHeight="1" x14ac:dyDescent="0.3">
      <c r="B159" s="24">
        <f>IF(ABS($Q159-DATOS!$C$23/3)&lt;$R159,DATOS!$C$23/3,IF(ABS($Q159-DATOS!$C$23)&lt;$R159,DATOS!$C$23,IF(ABS($Q159-DATOS!$C$42)&lt;$R159,DATOS!$C$42,IF(ABS($Q159-DATOS!$C$43)&lt;$R159,DATOS!$C$43,IF(ABS($Q159-DATOS!$C$44)&lt;$R159,DATOS!$C$44,$Q159)))))</f>
        <v>3.6</v>
      </c>
      <c r="C159" s="19">
        <f>IF($B159&lt;DATOS!$C$23/3,DATOS!$C$25*DATOS!$C$20*(1+3*(DATOS!$C$22-1)*$B159/DATOS!$C$23),IF($B159&lt;=DATOS!$C$23,DATOS!$C$25*DATOS!$C$20*DATOS!$C$22,IF($B159&lt;=4,DATOS!$C$25*DATOS!$C$20*DATOS!$C$22*(DATOS!$C$23/$B159)^(2/3),2.5*DATOS!$C$25*DATOS!$C$20*DATOS!$C$22*DATOS!$C$23^(2/3)/$B159^(4/3))))</f>
        <v>0.4361089422797135</v>
      </c>
      <c r="D159" s="25">
        <f>$C159/COEFICIENTE!$C$12</f>
        <v>0.062301277468530494</v>
      </c>
      <c r="E159" s="25">
        <f>$C159/COEFICIENTE!$D$12</f>
        <v>0.062301277468530494</v>
      </c>
      <c r="F159" s="19">
        <f t="shared" si="6"/>
        <v>0.5597222222222222</v>
      </c>
      <c r="G159" s="19">
        <f>IF($B159&lt;DATOS!$C$42,DATOS!$C$40*(0.4+0.6*$B159/DATOS!$C$42),IF($B159&lt;=DATOS!$C$43,DATOS!$C$40,IF($B159&lt;=DATOS!$C$44,DATOS!$C$41/$B159,DATOS!$C$41*DATOS!$C$44/$B159^2)))</f>
        <v>0.3731481481481481</v>
      </c>
      <c r="H159" s="19">
        <f>$G159*DATOS!$C$46/COEFICIENTE!$C$35</f>
        <v>0.1066137566137566</v>
      </c>
      <c r="I159" s="19">
        <f>$G159*DATOS!$C$46/COEFICIENTE!$D$35</f>
        <v>0.1066137566137566</v>
      </c>
      <c r="J159" s="19">
        <f>$D159*DATOS!$C$12</f>
        <v>0.0890908267799986</v>
      </c>
      <c r="K159" s="19">
        <f>$E159*DATOS!$C$12</f>
        <v>0.0890908267799986</v>
      </c>
      <c r="L159" s="7">
        <f t="shared" si="7"/>
        <v>1.1966861288315263</v>
      </c>
      <c r="M159" s="7">
        <f t="shared" si="8"/>
        <v>1.1966861288315263</v>
      </c>
      <c r="N159" s="10" t="str">
        <f>IF(DATOS!$C$9="NO","—",IF(AND($L159&gt;=1,$M159&gt;=1),"OK","CALIBRAR"))</f>
        <v>—</v>
      </c>
      <c r="O159" s="25">
        <f>IF(STAAD!$C$17="ASCE 7-16",$G159,$C159)</f>
        <v>0.4361089422797135</v>
      </c>
      <c r="Q159" s="26">
        <v>3.6</v>
      </c>
      <c r="R159" s="27">
        <v>0.05</v>
      </c>
    </row>
    <row r="160" spans="2:18" ht="31.5" customHeight="1" x14ac:dyDescent="0.3">
      <c r="B160" s="24">
        <f>IF(ABS($Q160-DATOS!$C$23/3)&lt;$R160,DATOS!$C$23/3,IF(ABS($Q160-DATOS!$C$23)&lt;$R160,DATOS!$C$23,IF(ABS($Q160-DATOS!$C$42)&lt;$R160,DATOS!$C$42,IF(ABS($Q160-DATOS!$C$43)&lt;$R160,DATOS!$C$43,IF(ABS($Q160-DATOS!$C$44)&lt;$R160,DATOS!$C$44,$Q160)))))</f>
        <v>3.7</v>
      </c>
      <c r="C160" s="19">
        <f>IF($B160&lt;DATOS!$C$23/3,DATOS!$C$25*DATOS!$C$20*(1+3*(DATOS!$C$22-1)*$B160/DATOS!$C$23),IF($B160&lt;=DATOS!$C$23,DATOS!$C$25*DATOS!$C$20*DATOS!$C$22,IF($B160&lt;=4,DATOS!$C$25*DATOS!$C$20*DATOS!$C$22*(DATOS!$C$23/$B160)^(2/3),2.5*DATOS!$C$25*DATOS!$C$20*DATOS!$C$22*DATOS!$C$23^(2/3)/$B160^(4/3))))</f>
        <v>0.42821529592132723</v>
      </c>
      <c r="D160" s="25">
        <f>$C160/COEFICIENTE!$C$12</f>
        <v>0.06117361370304675</v>
      </c>
      <c r="E160" s="25">
        <f>$C160/COEFICIENTE!$D$12</f>
        <v>0.06117361370304675</v>
      </c>
      <c r="F160" s="19">
        <f t="shared" si="6"/>
        <v>0.5445945945945945</v>
      </c>
      <c r="G160" s="19">
        <f>IF($B160&lt;DATOS!$C$42,DATOS!$C$40*(0.4+0.6*$B160/DATOS!$C$42),IF($B160&lt;=DATOS!$C$43,DATOS!$C$40,IF($B160&lt;=DATOS!$C$44,DATOS!$C$41/$B160,DATOS!$C$41*DATOS!$C$44/$B160^2)))</f>
        <v>0.363063063063063</v>
      </c>
      <c r="H160" s="19">
        <f>$G160*DATOS!$C$46/COEFICIENTE!$C$35</f>
        <v>0.10373230373230372</v>
      </c>
      <c r="I160" s="19">
        <f>$G160*DATOS!$C$46/COEFICIENTE!$D$35</f>
        <v>0.10373230373230372</v>
      </c>
      <c r="J160" s="19">
        <f>$D160*DATOS!$C$12</f>
        <v>0.08747826759535685</v>
      </c>
      <c r="K160" s="19">
        <f>$E160*DATOS!$C$12</f>
        <v>0.08747826759535685</v>
      </c>
      <c r="L160" s="7">
        <f t="shared" si="7"/>
        <v>1.185806561832388</v>
      </c>
      <c r="M160" s="7">
        <f t="shared" si="8"/>
        <v>1.185806561832388</v>
      </c>
      <c r="N160" s="10" t="str">
        <f>IF(DATOS!$C$9="NO","—",IF(AND($L160&gt;=1,$M160&gt;=1),"OK","CALIBRAR"))</f>
        <v>—</v>
      </c>
      <c r="O160" s="25">
        <f>IF(STAAD!$C$17="ASCE 7-16",$G160,$C160)</f>
        <v>0.42821529592132723</v>
      </c>
      <c r="Q160" s="26">
        <v>3.7</v>
      </c>
      <c r="R160" s="27">
        <v>0.05</v>
      </c>
    </row>
    <row r="161" spans="2:18" ht="31.5" customHeight="1" x14ac:dyDescent="0.3">
      <c r="B161" s="24">
        <f>IF(ABS($Q161-DATOS!$C$23/3)&lt;$R161,DATOS!$C$23/3,IF(ABS($Q161-DATOS!$C$23)&lt;$R161,DATOS!$C$23,IF(ABS($Q161-DATOS!$C$42)&lt;$R161,DATOS!$C$42,IF(ABS($Q161-DATOS!$C$43)&lt;$R161,DATOS!$C$43,IF(ABS($Q161-DATOS!$C$44)&lt;$R161,DATOS!$C$44,$Q161)))))</f>
        <v>3.8</v>
      </c>
      <c r="C161" s="19">
        <f>IF($B161&lt;DATOS!$C$23/3,DATOS!$C$25*DATOS!$C$20*(1+3*(DATOS!$C$22-1)*$B161/DATOS!$C$23),IF($B161&lt;=DATOS!$C$23,DATOS!$C$25*DATOS!$C$20*DATOS!$C$22,IF($B161&lt;=4,DATOS!$C$25*DATOS!$C$20*DATOS!$C$22*(DATOS!$C$23/$B161)^(2/3),2.5*DATOS!$C$25*DATOS!$C$20*DATOS!$C$22*DATOS!$C$23^(2/3)/$B161^(4/3))))</f>
        <v>0.42066940569434885</v>
      </c>
      <c r="D161" s="25">
        <f>$C161/COEFICIENTE!$C$12</f>
        <v>0.06009562938490698</v>
      </c>
      <c r="E161" s="25">
        <f>$C161/COEFICIENTE!$D$12</f>
        <v>0.06009562938490698</v>
      </c>
      <c r="F161" s="19">
        <f t="shared" si="6"/>
        <v>0.5302631578947368</v>
      </c>
      <c r="G161" s="19">
        <f>IF($B161&lt;DATOS!$C$42,DATOS!$C$40*(0.4+0.6*$B161/DATOS!$C$42),IF($B161&lt;=DATOS!$C$43,DATOS!$C$40,IF($B161&lt;=DATOS!$C$44,DATOS!$C$41/$B161,DATOS!$C$41*DATOS!$C$44/$B161^2)))</f>
        <v>0.35350877192982455</v>
      </c>
      <c r="H161" s="19">
        <f>$G161*DATOS!$C$46/COEFICIENTE!$C$35</f>
        <v>0.10100250626566416</v>
      </c>
      <c r="I161" s="19">
        <f>$G161*DATOS!$C$46/COEFICIENTE!$D$35</f>
        <v>0.10100250626566416</v>
      </c>
      <c r="J161" s="19">
        <f>$D161*DATOS!$C$12</f>
        <v>0.08593675002041698</v>
      </c>
      <c r="K161" s="19">
        <f>$E161*DATOS!$C$12</f>
        <v>0.08593675002041698</v>
      </c>
      <c r="L161" s="7">
        <f t="shared" si="7"/>
        <v>1.1753121480817907</v>
      </c>
      <c r="M161" s="7">
        <f t="shared" si="8"/>
        <v>1.1753121480817907</v>
      </c>
      <c r="N161" s="10" t="str">
        <f>IF(DATOS!$C$9="NO","—",IF(AND($L161&gt;=1,$M161&gt;=1),"OK","CALIBRAR"))</f>
        <v>—</v>
      </c>
      <c r="O161" s="25">
        <f>IF(STAAD!$C$17="ASCE 7-16",$G161,$C161)</f>
        <v>0.42066940569434885</v>
      </c>
      <c r="Q161" s="26">
        <v>3.8</v>
      </c>
      <c r="R161" s="27">
        <v>0.05</v>
      </c>
    </row>
    <row r="162" spans="2:18" ht="31.5" customHeight="1" x14ac:dyDescent="0.3">
      <c r="B162" s="24">
        <f>IF(ABS($Q162-DATOS!$C$23/3)&lt;$R162,DATOS!$C$23/3,IF(ABS($Q162-DATOS!$C$23)&lt;$R162,DATOS!$C$23,IF(ABS($Q162-DATOS!$C$42)&lt;$R162,DATOS!$C$42,IF(ABS($Q162-DATOS!$C$43)&lt;$R162,DATOS!$C$43,IF(ABS($Q162-DATOS!$C$44)&lt;$R162,DATOS!$C$44,$Q162)))))</f>
        <v>3.9</v>
      </c>
      <c r="C162" s="19">
        <f>IF($B162&lt;DATOS!$C$23/3,DATOS!$C$25*DATOS!$C$20*(1+3*(DATOS!$C$22-1)*$B162/DATOS!$C$23),IF($B162&lt;=DATOS!$C$23,DATOS!$C$25*DATOS!$C$20*DATOS!$C$22,IF($B162&lt;=4,DATOS!$C$25*DATOS!$C$20*DATOS!$C$22*(DATOS!$C$23/$B162)^(2/3),2.5*DATOS!$C$25*DATOS!$C$20*DATOS!$C$22*DATOS!$C$23^(2/3)/$B162^(4/3))))</f>
        <v>0.41344738967821826</v>
      </c>
      <c r="D162" s="25">
        <f>$C162/COEFICIENTE!$C$12</f>
        <v>0.059063912811174034</v>
      </c>
      <c r="E162" s="25">
        <f>$C162/COEFICIENTE!$D$12</f>
        <v>0.059063912811174034</v>
      </c>
      <c r="F162" s="19">
        <f t="shared" si="6"/>
        <v>0.5166666666666666</v>
      </c>
      <c r="G162" s="19">
        <f>IF($B162&lt;DATOS!$C$42,DATOS!$C$40*(0.4+0.6*$B162/DATOS!$C$42),IF($B162&lt;=DATOS!$C$43,DATOS!$C$40,IF($B162&lt;=DATOS!$C$44,DATOS!$C$41/$B162,DATOS!$C$41*DATOS!$C$44/$B162^2)))</f>
        <v>0.34444444444444444</v>
      </c>
      <c r="H162" s="19">
        <f>$G162*DATOS!$C$46/COEFICIENTE!$C$35</f>
        <v>0.09841269841269841</v>
      </c>
      <c r="I162" s="19">
        <f>$G162*DATOS!$C$46/COEFICIENTE!$D$35</f>
        <v>0.09841269841269841</v>
      </c>
      <c r="J162" s="19">
        <f>$D162*DATOS!$C$12</f>
        <v>0.08446139531997887</v>
      </c>
      <c r="K162" s="19">
        <f>$E162*DATOS!$C$12</f>
        <v>0.08446139531997887</v>
      </c>
      <c r="L162" s="7">
        <f t="shared" si="7"/>
        <v>1.1651796426031744</v>
      </c>
      <c r="M162" s="7">
        <f t="shared" si="8"/>
        <v>1.1651796426031744</v>
      </c>
      <c r="N162" s="10" t="str">
        <f>IF(DATOS!$C$9="NO","—",IF(AND($L162&gt;=1,$M162&gt;=1),"OK","CALIBRAR"))</f>
        <v>—</v>
      </c>
      <c r="O162" s="25">
        <f>IF(STAAD!$C$17="ASCE 7-16",$G162,$C162)</f>
        <v>0.41344738967821826</v>
      </c>
      <c r="Q162" s="26">
        <v>3.9</v>
      </c>
      <c r="R162" s="27">
        <v>0.05</v>
      </c>
    </row>
    <row r="163" spans="2:18" ht="31.5" customHeight="1" x14ac:dyDescent="0.3">
      <c r="B163" s="24">
        <f>IF(ABS($Q163-DATOS!$C$23/3)&lt;$R163,DATOS!$C$23/3,IF(ABS($Q163-DATOS!$C$23)&lt;$R163,DATOS!$C$23,IF(ABS($Q163-DATOS!$C$42)&lt;$R163,DATOS!$C$42,IF(ABS($Q163-DATOS!$C$43)&lt;$R163,DATOS!$C$43,IF(ABS($Q163-DATOS!$C$44)&lt;$R163,DATOS!$C$44,$Q163)))))</f>
        <v>4.0</v>
      </c>
      <c r="C163" s="19">
        <f>IF($B163&lt;DATOS!$C$23/3,DATOS!$C$25*DATOS!$C$20*(1+3*(DATOS!$C$22-1)*$B163/DATOS!$C$23),IF($B163&lt;=DATOS!$C$23,DATOS!$C$25*DATOS!$C$20*DATOS!$C$22,IF($B163&lt;=4,DATOS!$C$25*DATOS!$C$20*DATOS!$C$22*(DATOS!$C$23/$B163)^(2/3),2.5*DATOS!$C$25*DATOS!$C$20*DATOS!$C$22*DATOS!$C$23^(2/3)/$B163^(4/3))))</f>
        <v>0.4065275644766043</v>
      </c>
      <c r="D163" s="25">
        <f>$C163/COEFICIENTE!$C$12</f>
        <v>0.05807536635380062</v>
      </c>
      <c r="E163" s="25">
        <f>$C163/COEFICIENTE!$D$12</f>
        <v>0.05807536635380062</v>
      </c>
      <c r="F163" s="19">
        <f t="shared" si="6"/>
        <v>0.5037499999999999</v>
      </c>
      <c r="G163" s="19">
        <f>IF($B163&lt;DATOS!$C$42,DATOS!$C$40*(0.4+0.6*$B163/DATOS!$C$42),IF($B163&lt;=DATOS!$C$43,DATOS!$C$40,IF($B163&lt;=DATOS!$C$44,DATOS!$C$41/$B163,DATOS!$C$41*DATOS!$C$44/$B163^2)))</f>
        <v>0.3358333333333333</v>
      </c>
      <c r="H163" s="19">
        <f>$G163*DATOS!$C$46/COEFICIENTE!$C$35</f>
        <v>0.09595238095238094</v>
      </c>
      <c r="I163" s="19">
        <f>$G163*DATOS!$C$46/COEFICIENTE!$D$35</f>
        <v>0.09595238095238094</v>
      </c>
      <c r="J163" s="19">
        <f>$D163*DATOS!$C$12</f>
        <v>0.08304777388593487</v>
      </c>
      <c r="K163" s="19">
        <f>$E163*DATOS!$C$12</f>
        <v>0.08304777388593487</v>
      </c>
      <c r="L163" s="7">
        <f t="shared" si="7"/>
        <v>1.1553877540916435</v>
      </c>
      <c r="M163" s="7">
        <f t="shared" si="8"/>
        <v>1.1553877540916435</v>
      </c>
      <c r="N163" s="10" t="str">
        <f>IF(DATOS!$C$9="NO","—",IF(AND($L163&gt;=1,$M163&gt;=1),"OK","CALIBRAR"))</f>
        <v>—</v>
      </c>
      <c r="O163" s="25">
        <f>IF(STAAD!$C$17="ASCE 7-16",$G163,$C163)</f>
        <v>0.4065275644766043</v>
      </c>
      <c r="Q163" s="26">
        <v>4</v>
      </c>
      <c r="R163" s="27">
        <v>0.05</v>
      </c>
    </row>
    <row r="164" spans="2:18" ht="31.5" customHeight="1" x14ac:dyDescent="0.3">
      <c r="B164" s="24">
        <f>IF(ABS($Q164-DATOS!$C$23/3)&lt;$R164,DATOS!$C$23/3,IF(ABS($Q164-DATOS!$C$23)&lt;$R164,DATOS!$C$23,IF(ABS($Q164-DATOS!$C$42)&lt;$R164,DATOS!$C$42,IF(ABS($Q164-DATOS!$C$43)&lt;$R164,DATOS!$C$43,IF(ABS($Q164-DATOS!$C$44)&lt;$R164,DATOS!$C$44,$Q164)))))</f>
        <v>4.25</v>
      </c>
      <c r="C164" s="19">
        <f>IF($B164&lt;DATOS!$C$23/3,DATOS!$C$25*DATOS!$C$20*(1+3*(DATOS!$C$22-1)*$B164/DATOS!$C$23),IF($B164&lt;=DATOS!$C$23,DATOS!$C$25*DATOS!$C$20*DATOS!$C$22,IF($B164&lt;=4,DATOS!$C$25*DATOS!$C$20*DATOS!$C$22*(DATOS!$C$23/$B164)^(2/3),2.5*DATOS!$C$25*DATOS!$C$20*DATOS!$C$22*DATOS!$C$23^(2/3)/$B164^(4/3))))</f>
        <v>0.372007270344294</v>
      </c>
      <c r="D164" s="25">
        <f>$C164/COEFICIENTE!$C$12</f>
        <v>0.05314389576347057</v>
      </c>
      <c r="E164" s="25">
        <f>$C164/COEFICIENTE!$D$12</f>
        <v>0.05314389576347057</v>
      </c>
      <c r="F164" s="19">
        <f t="shared" si="6"/>
        <v>0.4741176470588235</v>
      </c>
      <c r="G164" s="19">
        <f>IF($B164&lt;DATOS!$C$42,DATOS!$C$40*(0.4+0.6*$B164/DATOS!$C$42),IF($B164&lt;=DATOS!$C$43,DATOS!$C$40,IF($B164&lt;=DATOS!$C$44,DATOS!$C$41/$B164,DATOS!$C$41*DATOS!$C$44/$B164^2)))</f>
        <v>0.316078431372549</v>
      </c>
      <c r="H164" s="19">
        <f>$G164*DATOS!$C$46/COEFICIENTE!$C$35</f>
        <v>0.09030812324929971</v>
      </c>
      <c r="I164" s="19">
        <f>$G164*DATOS!$C$46/COEFICIENTE!$D$35</f>
        <v>0.09030812324929971</v>
      </c>
      <c r="J164" s="19">
        <f>$D164*DATOS!$C$12</f>
        <v>0.07599577094176291</v>
      </c>
      <c r="K164" s="19">
        <f>$E164*DATOS!$C$12</f>
        <v>0.07599577094176291</v>
      </c>
      <c r="L164" s="7">
        <f t="shared" si="7"/>
        <v>1.1883309048671227</v>
      </c>
      <c r="M164" s="7">
        <f t="shared" si="8"/>
        <v>1.1883309048671227</v>
      </c>
      <c r="N164" s="10" t="str">
        <f>IF(DATOS!$C$9="NO","—",IF(AND($L164&gt;=1,$M164&gt;=1),"OK","CALIBRAR"))</f>
        <v>—</v>
      </c>
      <c r="O164" s="25">
        <f>IF(STAAD!$C$17="ASCE 7-16",$G164,$C164)</f>
        <v>0.372007270344294</v>
      </c>
      <c r="Q164" s="26">
        <v>4.25</v>
      </c>
      <c r="R164" s="27">
        <v>0.125</v>
      </c>
    </row>
    <row r="165" spans="2:18" ht="31.5" customHeight="1" x14ac:dyDescent="0.3">
      <c r="B165" s="24">
        <f>IF(ABS($Q165-DATOS!$C$23/3)&lt;$R165,DATOS!$C$23/3,IF(ABS($Q165-DATOS!$C$23)&lt;$R165,DATOS!$C$23,IF(ABS($Q165-DATOS!$C$42)&lt;$R165,DATOS!$C$42,IF(ABS($Q165-DATOS!$C$43)&lt;$R165,DATOS!$C$43,IF(ABS($Q165-DATOS!$C$44)&lt;$R165,DATOS!$C$44,$Q165)))))</f>
        <v>4.5</v>
      </c>
      <c r="C165" s="19">
        <f>IF($B165&lt;DATOS!$C$23/3,DATOS!$C$25*DATOS!$C$20*(1+3*(DATOS!$C$22-1)*$B165/DATOS!$C$23),IF($B165&lt;=DATOS!$C$23,DATOS!$C$25*DATOS!$C$20*DATOS!$C$22,IF($B165&lt;=4,DATOS!$C$25*DATOS!$C$20*DATOS!$C$22*(DATOS!$C$23/$B165)^(2/3),2.5*DATOS!$C$25*DATOS!$C$20*DATOS!$C$22*DATOS!$C$23^(2/3)/$B165^(4/3))))</f>
        <v>0.3447095504051015</v>
      </c>
      <c r="D165" s="25">
        <f>$C165/COEFICIENTE!$C$12</f>
        <v>0.04924422148644307</v>
      </c>
      <c r="E165" s="25">
        <f>$C165/COEFICIENTE!$D$12</f>
        <v>0.04924422148644307</v>
      </c>
      <c r="F165" s="19">
        <f t="shared" si="6"/>
        <v>0.4477777777777778</v>
      </c>
      <c r="G165" s="19">
        <f>IF($B165&lt;DATOS!$C$42,DATOS!$C$40*(0.4+0.6*$B165/DATOS!$C$42),IF($B165&lt;=DATOS!$C$43,DATOS!$C$40,IF($B165&lt;=DATOS!$C$44,DATOS!$C$41/$B165,DATOS!$C$41*DATOS!$C$44/$B165^2)))</f>
        <v>0.2985185185185185</v>
      </c>
      <c r="H165" s="19">
        <f>$G165*DATOS!$C$46/COEFICIENTE!$C$35</f>
        <v>0.08529100529100529</v>
      </c>
      <c r="I165" s="19">
        <f>$G165*DATOS!$C$46/COEFICIENTE!$D$35</f>
        <v>0.08529100529100529</v>
      </c>
      <c r="J165" s="19">
        <f>$D165*DATOS!$C$12</f>
        <v>0.0704192367256136</v>
      </c>
      <c r="K165" s="19">
        <f>$E165*DATOS!$C$12</f>
        <v>0.0704192367256136</v>
      </c>
      <c r="L165" s="7">
        <f t="shared" si="7"/>
        <v>1.2111890054040075</v>
      </c>
      <c r="M165" s="7">
        <f t="shared" si="8"/>
        <v>1.2111890054040075</v>
      </c>
      <c r="N165" s="10" t="str">
        <f>IF(DATOS!$C$9="NO","—",IF(AND($L165&gt;=1,$M165&gt;=1),"OK","CALIBRAR"))</f>
        <v>—</v>
      </c>
      <c r="O165" s="25">
        <f>IF(STAAD!$C$17="ASCE 7-16",$G165,$C165)</f>
        <v>0.3447095504051015</v>
      </c>
      <c r="Q165" s="26">
        <v>4.5</v>
      </c>
      <c r="R165" s="27">
        <v>0.125</v>
      </c>
    </row>
    <row r="166" spans="2:18" ht="31.5" customHeight="1" x14ac:dyDescent="0.3">
      <c r="B166" s="24">
        <f>IF(ABS($Q166-DATOS!$C$23/3)&lt;$R166,DATOS!$C$23/3,IF(ABS($Q166-DATOS!$C$23)&lt;$R166,DATOS!$C$23,IF(ABS($Q166-DATOS!$C$42)&lt;$R166,DATOS!$C$42,IF(ABS($Q166-DATOS!$C$43)&lt;$R166,DATOS!$C$43,IF(ABS($Q166-DATOS!$C$44)&lt;$R166,DATOS!$C$44,$Q166)))))</f>
        <v>4.75</v>
      </c>
      <c r="C166" s="19">
        <f>IF($B166&lt;DATOS!$C$23/3,DATOS!$C$25*DATOS!$C$20*(1+3*(DATOS!$C$22-1)*$B166/DATOS!$C$23),IF($B166&lt;=DATOS!$C$23,DATOS!$C$25*DATOS!$C$20*DATOS!$C$22,IF($B166&lt;=4,DATOS!$C$25*DATOS!$C$20*DATOS!$C$22*(DATOS!$C$23/$B166)^(2/3),2.5*DATOS!$C$25*DATOS!$C$20*DATOS!$C$22*DATOS!$C$23^(2/3)/$B166^(4/3))))</f>
        <v>0.320734138569877</v>
      </c>
      <c r="D166" s="25">
        <f>$C166/COEFICIENTE!$C$12</f>
        <v>0.04581916265283957</v>
      </c>
      <c r="E166" s="25">
        <f>$C166/COEFICIENTE!$D$12</f>
        <v>0.04581916265283957</v>
      </c>
      <c r="F166" s="19">
        <f t="shared" si="6"/>
        <v>0.4242105263157894</v>
      </c>
      <c r="G166" s="19">
        <f>IF($B166&lt;DATOS!$C$42,DATOS!$C$40*(0.4+0.6*$B166/DATOS!$C$42),IF($B166&lt;=DATOS!$C$43,DATOS!$C$40,IF($B166&lt;=DATOS!$C$44,DATOS!$C$41/$B166,DATOS!$C$41*DATOS!$C$44/$B166^2)))</f>
        <v>0.2828070175438596</v>
      </c>
      <c r="H166" s="19">
        <f>$G166*DATOS!$C$46/COEFICIENTE!$C$35</f>
        <v>0.08080200501253132</v>
      </c>
      <c r="I166" s="19">
        <f>$G166*DATOS!$C$46/COEFICIENTE!$D$35</f>
        <v>0.08080200501253132</v>
      </c>
      <c r="J166" s="19">
        <f>$D166*DATOS!$C$12</f>
        <v>0.06552140259356058</v>
      </c>
      <c r="K166" s="19">
        <f>$E166*DATOS!$C$12</f>
        <v>0.06552140259356058</v>
      </c>
      <c r="L166" s="7">
        <f t="shared" si="7"/>
        <v>1.2332154351725142</v>
      </c>
      <c r="M166" s="7">
        <f t="shared" si="8"/>
        <v>1.2332154351725142</v>
      </c>
      <c r="N166" s="10" t="str">
        <f>IF(DATOS!$C$9="NO","—",IF(AND($L166&gt;=1,$M166&gt;=1),"OK","CALIBRAR"))</f>
        <v>—</v>
      </c>
      <c r="O166" s="25">
        <f>IF(STAAD!$C$17="ASCE 7-16",$G166,$C166)</f>
        <v>0.320734138569877</v>
      </c>
      <c r="Q166" s="26">
        <v>4.75</v>
      </c>
      <c r="R166" s="27">
        <v>0.125</v>
      </c>
    </row>
    <row r="167" spans="2:18" ht="31.5" customHeight="1" x14ac:dyDescent="0.3">
      <c r="B167" s="24">
        <f>IF(ABS($Q167-DATOS!$C$23/3)&lt;$R167,DATOS!$C$23/3,IF(ABS($Q167-DATOS!$C$23)&lt;$R167,DATOS!$C$23,IF(ABS($Q167-DATOS!$C$42)&lt;$R167,DATOS!$C$42,IF(ABS($Q167-DATOS!$C$43)&lt;$R167,DATOS!$C$43,IF(ABS($Q167-DATOS!$C$44)&lt;$R167,DATOS!$C$44,$Q167)))))</f>
        <v>5.0</v>
      </c>
      <c r="C167" s="19">
        <f>IF($B167&lt;DATOS!$C$23/3,DATOS!$C$25*DATOS!$C$20*(1+3*(DATOS!$C$22-1)*$B167/DATOS!$C$23),IF($B167&lt;=DATOS!$C$23,DATOS!$C$25*DATOS!$C$20*DATOS!$C$22,IF($B167&lt;=4,DATOS!$C$25*DATOS!$C$20*DATOS!$C$22*(DATOS!$C$23/$B167)^(2/3),2.5*DATOS!$C$25*DATOS!$C$20*DATOS!$C$22*DATOS!$C$23^(2/3)/$B167^(4/3))))</f>
        <v>0.2995320705194742</v>
      </c>
      <c r="D167" s="25">
        <f>$C167/COEFICIENTE!$C$12</f>
        <v>0.042790295788496316</v>
      </c>
      <c r="E167" s="25">
        <f>$C167/COEFICIENTE!$D$12</f>
        <v>0.042790295788496316</v>
      </c>
      <c r="F167" s="19">
        <f t="shared" si="6"/>
        <v>0.403</v>
      </c>
      <c r="G167" s="19">
        <f>IF($B167&lt;DATOS!$C$42,DATOS!$C$40*(0.4+0.6*$B167/DATOS!$C$42),IF($B167&lt;=DATOS!$C$43,DATOS!$C$40,IF($B167&lt;=DATOS!$C$44,DATOS!$C$41/$B167,DATOS!$C$41*DATOS!$C$44/$B167^2)))</f>
        <v>0.26866666666666666</v>
      </c>
      <c r="H167" s="19">
        <f>$G167*DATOS!$C$46/COEFICIENTE!$C$35</f>
        <v>0.07676190476190477</v>
      </c>
      <c r="I167" s="19">
        <f>$G167*DATOS!$C$46/COEFICIENTE!$D$35</f>
        <v>0.07676190476190477</v>
      </c>
      <c r="J167" s="19">
        <f>$D167*DATOS!$C$12</f>
        <v>0.06119012297754973</v>
      </c>
      <c r="K167" s="19">
        <f>$E167*DATOS!$C$12</f>
        <v>0.06119012297754973</v>
      </c>
      <c r="L167" s="7">
        <f t="shared" si="7"/>
        <v>1.2544819494817525</v>
      </c>
      <c r="M167" s="7">
        <f t="shared" si="8"/>
        <v>1.2544819494817525</v>
      </c>
      <c r="N167" s="10" t="str">
        <f>IF(DATOS!$C$9="NO","—",IF(AND($L167&gt;=1,$M167&gt;=1),"OK","CALIBRAR"))</f>
        <v>—</v>
      </c>
      <c r="O167" s="25">
        <f>IF(STAAD!$C$17="ASCE 7-16",$G167,$C167)</f>
        <v>0.2995320705194742</v>
      </c>
      <c r="Q167" s="26">
        <v>5</v>
      </c>
      <c r="R167" s="27">
        <v>0.125</v>
      </c>
    </row>
    <row r="168" spans="2:18" ht="31.5" customHeight="1" x14ac:dyDescent="0.3">
      <c r="B168" s="24">
        <f>IF(ABS($Q168-DATOS!$C$23/3)&lt;$R168,DATOS!$C$23/3,IF(ABS($Q168-DATOS!$C$23)&lt;$R168,DATOS!$C$23,IF(ABS($Q168-DATOS!$C$42)&lt;$R168,DATOS!$C$42,IF(ABS($Q168-DATOS!$C$43)&lt;$R168,DATOS!$C$43,IF(ABS($Q168-DATOS!$C$44)&lt;$R168,DATOS!$C$44,$Q168)))))</f>
        <v>5.25</v>
      </c>
      <c r="C168" s="19">
        <f>IF($B168&lt;DATOS!$C$23/3,DATOS!$C$25*DATOS!$C$20*(1+3*(DATOS!$C$22-1)*$B168/DATOS!$C$23),IF($B168&lt;=DATOS!$C$23,DATOS!$C$25*DATOS!$C$20*DATOS!$C$22,IF($B168&lt;=4,DATOS!$C$25*DATOS!$C$20*DATOS!$C$22*(DATOS!$C$23/$B168)^(2/3),2.5*DATOS!$C$25*DATOS!$C$20*DATOS!$C$22*DATOS!$C$23^(2/3)/$B168^(4/3))))</f>
        <v>0.28066672679144594</v>
      </c>
      <c r="D168" s="25">
        <f>$C168/COEFICIENTE!$C$12</f>
        <v>0.040095246684492276</v>
      </c>
      <c r="E168" s="25">
        <f>$C168/COEFICIENTE!$D$12</f>
        <v>0.040095246684492276</v>
      </c>
      <c r="F168" s="19">
        <f t="shared" si="6"/>
        <v>0.3838095238095238</v>
      </c>
      <c r="G168" s="19">
        <f>IF($B168&lt;DATOS!$C$42,DATOS!$C$40*(0.4+0.6*$B168/DATOS!$C$42),IF($B168&lt;=DATOS!$C$43,DATOS!$C$40,IF($B168&lt;=DATOS!$C$44,DATOS!$C$41/$B168,DATOS!$C$41*DATOS!$C$44/$B168^2)))</f>
        <v>0.25587301587301586</v>
      </c>
      <c r="H168" s="19">
        <f>$G168*DATOS!$C$46/COEFICIENTE!$C$35</f>
        <v>0.07310657596371882</v>
      </c>
      <c r="I168" s="19">
        <f>$G168*DATOS!$C$46/COEFICIENTE!$D$35</f>
        <v>0.07310657596371882</v>
      </c>
      <c r="J168" s="19">
        <f>$D168*DATOS!$C$12</f>
        <v>0.05733620275882395</v>
      </c>
      <c r="K168" s="19">
        <f>$E168*DATOS!$C$12</f>
        <v>0.05733620275882395</v>
      </c>
      <c r="L168" s="7">
        <f t="shared" si="7"/>
        <v>1.275050883143248</v>
      </c>
      <c r="M168" s="7">
        <f t="shared" si="8"/>
        <v>1.275050883143248</v>
      </c>
      <c r="N168" s="10" t="str">
        <f>IF(DATOS!$C$9="NO","—",IF(AND($L168&gt;=1,$M168&gt;=1),"OK","CALIBRAR"))</f>
        <v>—</v>
      </c>
      <c r="O168" s="25">
        <f>IF(STAAD!$C$17="ASCE 7-16",$G168,$C168)</f>
        <v>0.28066672679144594</v>
      </c>
      <c r="Q168" s="26">
        <v>5.25</v>
      </c>
      <c r="R168" s="27">
        <v>0.125</v>
      </c>
    </row>
    <row r="169" spans="2:18" ht="31.5" customHeight="1" x14ac:dyDescent="0.3">
      <c r="B169" s="24">
        <f>IF(ABS($Q169-DATOS!$C$23/3)&lt;$R169,DATOS!$C$23/3,IF(ABS($Q169-DATOS!$C$23)&lt;$R169,DATOS!$C$23,IF(ABS($Q169-DATOS!$C$42)&lt;$R169,DATOS!$C$42,IF(ABS($Q169-DATOS!$C$43)&lt;$R169,DATOS!$C$43,IF(ABS($Q169-DATOS!$C$44)&lt;$R169,DATOS!$C$44,$Q169)))))</f>
        <v>5.5</v>
      </c>
      <c r="C169" s="19">
        <f>IF($B169&lt;DATOS!$C$23/3,DATOS!$C$25*DATOS!$C$20*(1+3*(DATOS!$C$22-1)*$B169/DATOS!$C$23),IF($B169&lt;=DATOS!$C$23,DATOS!$C$25*DATOS!$C$20*DATOS!$C$22,IF($B169&lt;=4,DATOS!$C$25*DATOS!$C$20*DATOS!$C$22*(DATOS!$C$23/$B169)^(2/3),2.5*DATOS!$C$25*DATOS!$C$20*DATOS!$C$22*DATOS!$C$23^(2/3)/$B169^(4/3))))</f>
        <v>0.26378681349494704</v>
      </c>
      <c r="D169" s="25">
        <f>$C169/COEFICIENTE!$C$12</f>
        <v>0.03768383049927815</v>
      </c>
      <c r="E169" s="25">
        <f>$C169/COEFICIENTE!$D$12</f>
        <v>0.03768383049927815</v>
      </c>
      <c r="F169" s="19">
        <f t="shared" ref="F169:F179" si="9">1.5*$G169</f>
        <v>0.366363636363636</v>
      </c>
      <c r="G169" s="19">
        <f>IF($B169&lt;DATOS!$C$42,DATOS!$C$40*(0.4+0.6*$B169/DATOS!$C$42),IF($B169&lt;=DATOS!$C$43,DATOS!$C$40,IF($B169&lt;=DATOS!$C$44,DATOS!$C$41/$B169,DATOS!$C$41*DATOS!$C$44/$B169^2)))</f>
        <v>0.24424242424242423</v>
      </c>
      <c r="H169" s="19">
        <f>$G169*DATOS!$C$46/COEFICIENTE!$C$35</f>
        <v>0.06978354978354978</v>
      </c>
      <c r="I169" s="19">
        <f>$G169*DATOS!$C$46/COEFICIENTE!$D$35</f>
        <v>0.06978354978354978</v>
      </c>
      <c r="J169" s="19">
        <f>$D169*DATOS!$C$12</f>
        <v>0.05388787761396775</v>
      </c>
      <c r="K169" s="19">
        <f>$E169*DATOS!$C$12</f>
        <v>0.05388787761396775</v>
      </c>
      <c r="L169" s="7">
        <f t="shared" ref="L169:L179" si="10">IF($J169&gt;0,$H169/$J169,0)</f>
        <v>1.29497677164895</v>
      </c>
      <c r="M169" s="7">
        <f t="shared" ref="M169:M179" si="11">IF($K169&gt;0,$I169/$K169,0)</f>
        <v>1.29497677164895</v>
      </c>
      <c r="N169" s="10" t="str">
        <f>IF(DATOS!$C$9="NO","—",IF(AND($L169&gt;=1,$M169&gt;=1),"OK","CALIBRAR"))</f>
        <v>—</v>
      </c>
      <c r="O169" s="25">
        <f>IF(STAAD!$C$17="ASCE 7-16",$G169,$C169)</f>
        <v>0.26378681349494704</v>
      </c>
      <c r="Q169" s="26">
        <v>5.5</v>
      </c>
      <c r="R169" s="27">
        <v>0.125</v>
      </c>
    </row>
    <row r="170" spans="2:18" ht="31.5" customHeight="1" x14ac:dyDescent="0.3">
      <c r="B170" s="24">
        <f>IF(ABS($Q170-DATOS!$C$23/3)&lt;$R170,DATOS!$C$23/3,IF(ABS($Q170-DATOS!$C$23)&lt;$R170,DATOS!$C$23,IF(ABS($Q170-DATOS!$C$42)&lt;$R170,DATOS!$C$42,IF(ABS($Q170-DATOS!$C$43)&lt;$R170,DATOS!$C$43,IF(ABS($Q170-DATOS!$C$44)&lt;$R170,DATOS!$C$44,$Q170)))))</f>
        <v>5.75</v>
      </c>
      <c r="C170" s="19">
        <f>IF($B170&lt;DATOS!$C$23/3,DATOS!$C$25*DATOS!$C$20*(1+3*(DATOS!$C$22-1)*$B170/DATOS!$C$23),IF($B170&lt;=DATOS!$C$23,DATOS!$C$25*DATOS!$C$20*DATOS!$C$22,IF($B170&lt;=4,DATOS!$C$25*DATOS!$C$20*DATOS!$C$22*(DATOS!$C$23/$B170)^(2/3),2.5*DATOS!$C$25*DATOS!$C$20*DATOS!$C$22*DATOS!$C$23^(2/3)/$B170^(4/3))))</f>
        <v>0.24860672632311862</v>
      </c>
      <c r="D170" s="25">
        <f>$C170/COEFICIENTE!$C$12</f>
        <v>0.03551524661758838</v>
      </c>
      <c r="E170" s="25">
        <f>$C170/COEFICIENTE!$D$12</f>
        <v>0.03551524661758838</v>
      </c>
      <c r="F170" s="19">
        <f t="shared" si="9"/>
        <v>0.35043478260869565</v>
      </c>
      <c r="G170" s="19">
        <f>IF($B170&lt;DATOS!$C$42,DATOS!$C$40*(0.4+0.6*$B170/DATOS!$C$42),IF($B170&lt;=DATOS!$C$43,DATOS!$C$40,IF($B170&lt;=DATOS!$C$44,DATOS!$C$41/$B170,DATOS!$C$41*DATOS!$C$44/$B170^2)))</f>
        <v>0.2336231884057971</v>
      </c>
      <c r="H170" s="19">
        <f>$G170*DATOS!$C$46/COEFICIENTE!$C$35</f>
        <v>0.06674948240165632</v>
      </c>
      <c r="I170" s="19">
        <f>$G170*DATOS!$C$46/COEFICIENTE!$D$35</f>
        <v>0.06674948240165632</v>
      </c>
      <c r="J170" s="19">
        <f>$D170*DATOS!$C$12</f>
        <v>0.05078680266315137</v>
      </c>
      <c r="K170" s="19">
        <f>$E170*DATOS!$C$12</f>
        <v>0.05078680266315137</v>
      </c>
      <c r="L170" s="7">
        <f t="shared" si="10"/>
        <v>1.314307633114434</v>
      </c>
      <c r="M170" s="7">
        <f t="shared" si="11"/>
        <v>1.314307633114434</v>
      </c>
      <c r="N170" s="10" t="str">
        <f>IF(DATOS!$C$9="NO","—",IF(AND($L170&gt;=1,$M170&gt;=1),"OK","CALIBRAR"))</f>
        <v>—</v>
      </c>
      <c r="O170" s="25">
        <f>IF(STAAD!$C$17="ASCE 7-16",$G170,$C170)</f>
        <v>0.24860672632311862</v>
      </c>
      <c r="Q170" s="26">
        <v>5.75</v>
      </c>
      <c r="R170" s="27">
        <v>0.125</v>
      </c>
    </row>
    <row r="171" spans="2:18" ht="31.5" customHeight="1" x14ac:dyDescent="0.3">
      <c r="B171" s="24">
        <f>IF(ABS($Q171-DATOS!$C$23/3)&lt;$R171,DATOS!$C$23/3,IF(ABS($Q171-DATOS!$C$23)&lt;$R171,DATOS!$C$23,IF(ABS($Q171-DATOS!$C$42)&lt;$R171,DATOS!$C$42,IF(ABS($Q171-DATOS!$C$43)&lt;$R171,DATOS!$C$43,IF(ABS($Q171-DATOS!$C$44)&lt;$R171,DATOS!$C$44,$Q171)))))</f>
        <v>6.0</v>
      </c>
      <c r="C171" s="19">
        <f>IF($B171&lt;DATOS!$C$23/3,DATOS!$C$25*DATOS!$C$20*(1+3*(DATOS!$C$22-1)*$B171/DATOS!$C$23),IF($B171&lt;=DATOS!$C$23,DATOS!$C$25*DATOS!$C$20*DATOS!$C$22,IF($B171&lt;=4,DATOS!$C$25*DATOS!$C$20*DATOS!$C$22*(DATOS!$C$23/$B171)^(2/3),2.5*DATOS!$C$25*DATOS!$C$20*DATOS!$C$22*DATOS!$C$23^(2/3)/$B171^(4/3))))</f>
        <v>0.2348920584701319</v>
      </c>
      <c r="D171" s="25">
        <f>$C171/COEFICIENTE!$C$12</f>
        <v>0.033556008352875984</v>
      </c>
      <c r="E171" s="25">
        <f>$C171/COEFICIENTE!$D$12</f>
        <v>0.033556008352875984</v>
      </c>
      <c r="F171" s="19">
        <f t="shared" si="9"/>
        <v>0.3358333333333333</v>
      </c>
      <c r="G171" s="19">
        <f>IF($B171&lt;DATOS!$C$42,DATOS!$C$40*(0.4+0.6*$B171/DATOS!$C$42),IF($B171&lt;=DATOS!$C$43,DATOS!$C$40,IF($B171&lt;=DATOS!$C$44,DATOS!$C$41/$B171,DATOS!$C$41*DATOS!$C$44/$B171^2)))</f>
        <v>0.2238888888888889</v>
      </c>
      <c r="H171" s="19">
        <f>$G171*DATOS!$C$46/COEFICIENTE!$C$35</f>
        <v>0.06396825396825397</v>
      </c>
      <c r="I171" s="19">
        <f>$G171*DATOS!$C$46/COEFICIENTE!$D$35</f>
        <v>0.06396825396825397</v>
      </c>
      <c r="J171" s="19">
        <f>$D171*DATOS!$C$12</f>
        <v>0.04798509194461265</v>
      </c>
      <c r="K171" s="19">
        <f>$E171*DATOS!$C$12</f>
        <v>0.04798509194461265</v>
      </c>
      <c r="L171" s="7">
        <f t="shared" si="10"/>
        <v>1.3330859935016914</v>
      </c>
      <c r="M171" s="7">
        <f t="shared" si="11"/>
        <v>1.3330859935016914</v>
      </c>
      <c r="N171" s="10" t="str">
        <f>IF(DATOS!$C$9="NO","—",IF(AND($L171&gt;=1,$M171&gt;=1),"OK","CALIBRAR"))</f>
        <v>—</v>
      </c>
      <c r="O171" s="25">
        <f>IF(STAAD!$C$17="ASCE 7-16",$G171,$C171)</f>
        <v>0.2348920584701319</v>
      </c>
      <c r="Q171" s="26">
        <v>6</v>
      </c>
      <c r="R171" s="27">
        <v>0.125</v>
      </c>
    </row>
    <row r="172" spans="2:18" ht="31.5" customHeight="1" x14ac:dyDescent="0.3">
      <c r="B172" s="24">
        <f>IF(ABS($Q172-DATOS!$C$23/3)&lt;$R172,DATOS!$C$23/3,IF(ABS($Q172-DATOS!$C$23)&lt;$R172,DATOS!$C$23,IF(ABS($Q172-DATOS!$C$42)&lt;$R172,DATOS!$C$42,IF(ABS($Q172-DATOS!$C$43)&lt;$R172,DATOS!$C$43,IF(ABS($Q172-DATOS!$C$44)&lt;$R172,DATOS!$C$44,$Q172)))))</f>
        <v>6.5</v>
      </c>
      <c r="C172" s="19">
        <f>IF($B172&lt;DATOS!$C$23/3,DATOS!$C$25*DATOS!$C$20*(1+3*(DATOS!$C$22-1)*$B172/DATOS!$C$23),IF($B172&lt;=DATOS!$C$23,DATOS!$C$25*DATOS!$C$20*DATOS!$C$22,IF($B172&lt;=4,DATOS!$C$25*DATOS!$C$20*DATOS!$C$22*(DATOS!$C$23/$B172)^(2/3),2.5*DATOS!$C$25*DATOS!$C$20*DATOS!$C$22*DATOS!$C$23^(2/3)/$B172^(4/3))))</f>
        <v>0.21111488684875349</v>
      </c>
      <c r="D172" s="25">
        <f>$C172/COEFICIENTE!$C$12</f>
        <v>0.030159269549821927</v>
      </c>
      <c r="E172" s="25">
        <f>$C172/COEFICIENTE!$D$12</f>
        <v>0.030159269549821927</v>
      </c>
      <c r="F172" s="19">
        <f t="shared" si="9"/>
        <v>0.31</v>
      </c>
      <c r="G172" s="19">
        <f>IF($B172&lt;DATOS!$C$42,DATOS!$C$40*(0.4+0.6*$B172/DATOS!$C$42),IF($B172&lt;=DATOS!$C$43,DATOS!$C$40,IF($B172&lt;=DATOS!$C$44,DATOS!$C$41/$B172,DATOS!$C$41*DATOS!$C$44/$B172^2)))</f>
        <v>0.20666666666666667</v>
      </c>
      <c r="H172" s="19">
        <f>$G172*DATOS!$C$46/COEFICIENTE!$C$35</f>
        <v>0.05904761904761905</v>
      </c>
      <c r="I172" s="19">
        <f>$G172*DATOS!$C$46/COEFICIENTE!$D$35</f>
        <v>0.05904761904761905</v>
      </c>
      <c r="J172" s="19">
        <f>$D172*DATOS!$C$12</f>
        <v>0.04312775545624535</v>
      </c>
      <c r="K172" s="19">
        <f>$E172*DATOS!$C$12</f>
        <v>0.04312775545624535</v>
      </c>
      <c r="L172" s="7">
        <f t="shared" si="10"/>
        <v>1.3691326715930063</v>
      </c>
      <c r="M172" s="7">
        <f t="shared" si="11"/>
        <v>1.3691326715930063</v>
      </c>
      <c r="N172" s="10" t="str">
        <f>IF(DATOS!$C$9="NO","—",IF(AND($L172&gt;=1,$M172&gt;=1),"OK","CALIBRAR"))</f>
        <v>—</v>
      </c>
      <c r="O172" s="25">
        <f>IF(STAAD!$C$17="ASCE 7-16",$G172,$C172)</f>
        <v>0.21111488684875349</v>
      </c>
      <c r="Q172" s="26">
        <v>6.5</v>
      </c>
      <c r="R172" s="27">
        <v>0.25</v>
      </c>
    </row>
    <row r="173" spans="2:18" ht="31.5" customHeight="1" x14ac:dyDescent="0.3">
      <c r="B173" s="24">
        <f>IF(ABS($Q173-DATOS!$C$23/3)&lt;$R173,DATOS!$C$23/3,IF(ABS($Q173-DATOS!$C$23)&lt;$R173,DATOS!$C$23,IF(ABS($Q173-DATOS!$C$42)&lt;$R173,DATOS!$C$42,IF(ABS($Q173-DATOS!$C$43)&lt;$R173,DATOS!$C$43,IF(ABS($Q173-DATOS!$C$44)&lt;$R173,DATOS!$C$44,$Q173)))))</f>
        <v>7.0</v>
      </c>
      <c r="C173" s="19">
        <f>IF($B173&lt;DATOS!$C$23/3,DATOS!$C$25*DATOS!$C$20*(1+3*(DATOS!$C$22-1)*$B173/DATOS!$C$23),IF($B173&lt;=DATOS!$C$23,DATOS!$C$25*DATOS!$C$20*DATOS!$C$22,IF($B173&lt;=4,DATOS!$C$25*DATOS!$C$20*DATOS!$C$22*(DATOS!$C$23/$B173)^(2/3),2.5*DATOS!$C$25*DATOS!$C$20*DATOS!$C$22*DATOS!$C$23^(2/3)/$B173^(4/3))))</f>
        <v>0.19125198336582316</v>
      </c>
      <c r="D173" s="25">
        <f>$C173/COEFICIENTE!$C$12</f>
        <v>0.027321711909403308</v>
      </c>
      <c r="E173" s="25">
        <f>$C173/COEFICIENTE!$D$12</f>
        <v>0.027321711909403308</v>
      </c>
      <c r="F173" s="19">
        <f t="shared" si="9"/>
        <v>0.2878571428571428</v>
      </c>
      <c r="G173" s="19">
        <f>IF($B173&lt;DATOS!$C$42,DATOS!$C$40*(0.4+0.6*$B173/DATOS!$C$42),IF($B173&lt;=DATOS!$C$43,DATOS!$C$40,IF($B173&lt;=DATOS!$C$44,DATOS!$C$41/$B173,DATOS!$C$41*DATOS!$C$44/$B173^2)))</f>
        <v>0.19190476190476188</v>
      </c>
      <c r="H173" s="19">
        <f>$G173*DATOS!$C$46/COEFICIENTE!$C$35</f>
        <v>0.05482993197278911</v>
      </c>
      <c r="I173" s="19">
        <f>$G173*DATOS!$C$46/COEFICIENTE!$D$35</f>
        <v>0.05482993197278911</v>
      </c>
      <c r="J173" s="19">
        <f>$D173*DATOS!$C$12</f>
        <v>0.03907004803044673</v>
      </c>
      <c r="K173" s="19">
        <f>$E173*DATOS!$C$12</f>
        <v>0.03907004803044673</v>
      </c>
      <c r="L173" s="7">
        <f t="shared" si="10"/>
        <v>1.4033750849259496</v>
      </c>
      <c r="M173" s="7">
        <f t="shared" si="11"/>
        <v>1.4033750849259496</v>
      </c>
      <c r="N173" s="10" t="str">
        <f>IF(DATOS!$C$9="NO","—",IF(AND($L173&gt;=1,$M173&gt;=1),"OK","CALIBRAR"))</f>
        <v>—</v>
      </c>
      <c r="O173" s="25">
        <f>IF(STAAD!$C$17="ASCE 7-16",$G173,$C173)</f>
        <v>0.19125198336582316</v>
      </c>
      <c r="Q173" s="26">
        <v>7</v>
      </c>
      <c r="R173" s="27">
        <v>0.25</v>
      </c>
    </row>
    <row r="174" spans="2:18" ht="31.5" customHeight="1" x14ac:dyDescent="0.3">
      <c r="B174" s="24">
        <f>IF(ABS($Q174-DATOS!$C$23/3)&lt;$R174,DATOS!$C$23/3,IF(ABS($Q174-DATOS!$C$23)&lt;$R174,DATOS!$C$23,IF(ABS($Q174-DATOS!$C$42)&lt;$R174,DATOS!$C$42,IF(ABS($Q174-DATOS!$C$43)&lt;$R174,DATOS!$C$43,IF(ABS($Q174-DATOS!$C$44)&lt;$R174,DATOS!$C$44,$Q174)))))</f>
        <v>7.5</v>
      </c>
      <c r="C174" s="19">
        <f>IF($B174&lt;DATOS!$C$23/3,DATOS!$C$25*DATOS!$C$20*(1+3*(DATOS!$C$22-1)*$B174/DATOS!$C$23),IF($B174&lt;=DATOS!$C$23,DATOS!$C$25*DATOS!$C$20*DATOS!$C$22,IF($B174&lt;=4,DATOS!$C$25*DATOS!$C$20*DATOS!$C$22*(DATOS!$C$23/$B174)^(2/3),2.5*DATOS!$C$25*DATOS!$C$20*DATOS!$C$22*DATOS!$C$23^(2/3)/$B174^(4/3))))</f>
        <v>0.17444357691188545</v>
      </c>
      <c r="D174" s="25">
        <f>$C174/COEFICIENTE!$C$12</f>
        <v>0.024920510987412207</v>
      </c>
      <c r="E174" s="25">
        <f>$C174/COEFICIENTE!$D$12</f>
        <v>0.024920510987412207</v>
      </c>
      <c r="F174" s="19">
        <f t="shared" si="9"/>
        <v>0.26866666666666666</v>
      </c>
      <c r="G174" s="19">
        <f>IF($B174&lt;DATOS!$C$42,DATOS!$C$40*(0.4+0.6*$B174/DATOS!$C$42),IF($B174&lt;=DATOS!$C$43,DATOS!$C$40,IF($B174&lt;=DATOS!$C$44,DATOS!$C$41/$B174,DATOS!$C$41*DATOS!$C$44/$B174^2)))</f>
        <v>0.1791111111111111</v>
      </c>
      <c r="H174" s="19">
        <f>$G174*DATOS!$C$46/COEFICIENTE!$C$35</f>
        <v>0.05117460317460317</v>
      </c>
      <c r="I174" s="19">
        <f>$G174*DATOS!$C$46/COEFICIENTE!$D$35</f>
        <v>0.05117460317460317</v>
      </c>
      <c r="J174" s="19">
        <f>$D174*DATOS!$C$12</f>
        <v>0.03563633071199945</v>
      </c>
      <c r="K174" s="19">
        <f>$E174*DATOS!$C$12</f>
        <v>0.03563633071199945</v>
      </c>
      <c r="L174" s="7">
        <f t="shared" si="10"/>
        <v>1.4360233545978311</v>
      </c>
      <c r="M174" s="7">
        <f t="shared" si="11"/>
        <v>1.4360233545978311</v>
      </c>
      <c r="N174" s="10" t="str">
        <f>IF(DATOS!$C$9="NO","—",IF(AND($L174&gt;=1,$M174&gt;=1),"OK","CALIBRAR"))</f>
        <v>—</v>
      </c>
      <c r="O174" s="25">
        <f>IF(STAAD!$C$17="ASCE 7-16",$G174,$C174)</f>
        <v>0.17444357691188545</v>
      </c>
      <c r="Q174" s="26">
        <v>7.5</v>
      </c>
      <c r="R174" s="27">
        <v>0.25</v>
      </c>
    </row>
    <row r="175" spans="2:18" ht="31.5" customHeight="1" x14ac:dyDescent="0.3">
      <c r="B175" s="24">
        <f>IF(ABS($Q175-DATOS!$C$23/3)&lt;$R175,DATOS!$C$23/3,IF(ABS($Q175-DATOS!$C$23)&lt;$R175,DATOS!$C$23,IF(ABS($Q175-DATOS!$C$42)&lt;$R175,DATOS!$C$42,IF(ABS($Q175-DATOS!$C$43)&lt;$R175,DATOS!$C$43,IF(ABS($Q175-DATOS!$C$44)&lt;$R175,DATOS!$C$44,$Q175)))))</f>
        <v>8.0</v>
      </c>
      <c r="C175" s="19">
        <f>IF($B175&lt;DATOS!$C$23/3,DATOS!$C$25*DATOS!$C$20*(1+3*(DATOS!$C$22-1)*$B175/DATOS!$C$23),IF($B175&lt;=DATOS!$C$23,DATOS!$C$25*DATOS!$C$20*DATOS!$C$22,IF($B175&lt;=4,DATOS!$C$25*DATOS!$C$20*DATOS!$C$22*(DATOS!$C$23/$B175)^(2/3),2.5*DATOS!$C$25*DATOS!$C$20*DATOS!$C$22*DATOS!$C$23^(2/3)/$B175^(4/3))))</f>
        <v>0.16006019870205287</v>
      </c>
      <c r="D175" s="25">
        <f>$C175/COEFICIENTE!$C$12</f>
        <v>0.02286574267172184</v>
      </c>
      <c r="E175" s="25">
        <f>$C175/COEFICIENTE!$D$12</f>
        <v>0.02286574267172184</v>
      </c>
      <c r="F175" s="19">
        <f t="shared" si="9"/>
        <v>0.25187499999999996</v>
      </c>
      <c r="G175" s="19">
        <f>IF($B175&lt;DATOS!$C$42,DATOS!$C$40*(0.4+0.6*$B175/DATOS!$C$42),IF($B175&lt;=DATOS!$C$43,DATOS!$C$40,IF($B175&lt;=DATOS!$C$44,DATOS!$C$41/$B175,DATOS!$C$41*DATOS!$C$44/$B175^2)))</f>
        <v>0.16791666666666666</v>
      </c>
      <c r="H175" s="19">
        <f>$G175*DATOS!$C$46/COEFICIENTE!$C$35</f>
        <v>0.04797619047619047</v>
      </c>
      <c r="I175" s="19">
        <f>$G175*DATOS!$C$46/COEFICIENTE!$D$35</f>
        <v>0.04797619047619047</v>
      </c>
      <c r="J175" s="19">
        <f>$D175*DATOS!$C$12</f>
        <v>0.03269801202056223</v>
      </c>
      <c r="K175" s="19">
        <f>$E175*DATOS!$C$12</f>
        <v>0.03269801202056223</v>
      </c>
      <c r="L175" s="7">
        <f t="shared" si="10"/>
        <v>1.4672509890209997</v>
      </c>
      <c r="M175" s="7">
        <f t="shared" si="11"/>
        <v>1.4672509890209997</v>
      </c>
      <c r="N175" s="10" t="str">
        <f>IF(DATOS!$C$9="NO","—",IF(AND($L175&gt;=1,$M175&gt;=1),"OK","CALIBRAR"))</f>
        <v>—</v>
      </c>
      <c r="O175" s="25">
        <f>IF(STAAD!$C$17="ASCE 7-16",$G175,$C175)</f>
        <v>0.16006019870205287</v>
      </c>
      <c r="Q175" s="26">
        <v>8</v>
      </c>
      <c r="R175" s="27">
        <v>0.25</v>
      </c>
    </row>
    <row r="176" spans="2:18" ht="31.5" customHeight="1" x14ac:dyDescent="0.3">
      <c r="B176" s="24">
        <f>IF(ABS($Q176-DATOS!$C$23/3)&lt;$R176,DATOS!$C$23/3,IF(ABS($Q176-DATOS!$C$23)&lt;$R176,DATOS!$C$23,IF(ABS($Q176-DATOS!$C$42)&lt;$R176,DATOS!$C$42,IF(ABS($Q176-DATOS!$C$43)&lt;$R176,DATOS!$C$43,IF(ABS($Q176-DATOS!$C$44)&lt;$R176,DATOS!$C$44,$Q176)))))</f>
        <v>8.5</v>
      </c>
      <c r="C176" s="19">
        <f>IF($B176&lt;DATOS!$C$23/3,DATOS!$C$25*DATOS!$C$20*(1+3*(DATOS!$C$22-1)*$B176/DATOS!$C$23),IF($B176&lt;=DATOS!$C$23,DATOS!$C$25*DATOS!$C$20*DATOS!$C$22,IF($B176&lt;=4,DATOS!$C$25*DATOS!$C$20*DATOS!$C$22*(DATOS!$C$23/$B176)^(2/3),2.5*DATOS!$C$25*DATOS!$C$20*DATOS!$C$22*DATOS!$C$23^(2/3)/$B176^(4/3))))</f>
        <v>0.1476311830710877</v>
      </c>
      <c r="D176" s="25">
        <f>$C176/COEFICIENTE!$C$12</f>
        <v>0.021090169010155386</v>
      </c>
      <c r="E176" s="25">
        <f>$C176/COEFICIENTE!$D$12</f>
        <v>0.021090169010155386</v>
      </c>
      <c r="F176" s="19">
        <f t="shared" si="9"/>
        <v>0.2231141868512111</v>
      </c>
      <c r="G176" s="19">
        <f>IF($B176&lt;DATOS!$C$42,DATOS!$C$40*(0.4+0.6*$B176/DATOS!$C$42),IF($B176&lt;=DATOS!$C$43,DATOS!$C$40,IF($B176&lt;=DATOS!$C$44,DATOS!$C$41/$B176,DATOS!$C$41*DATOS!$C$44/$B176^2)))</f>
        <v>0.14874279123414072</v>
      </c>
      <c r="H176" s="19">
        <f>$G176*DATOS!$C$46/COEFICIENTE!$C$35</f>
        <v>0.04249794035261163</v>
      </c>
      <c r="I176" s="19">
        <f>$G176*DATOS!$C$46/COEFICIENTE!$D$35</f>
        <v>0.04249794035261163</v>
      </c>
      <c r="J176" s="19">
        <f>$D176*DATOS!$C$12</f>
        <v>0.0301589416845222</v>
      </c>
      <c r="K176" s="19">
        <f>$E176*DATOS!$C$12</f>
        <v>0.0301589416845222</v>
      </c>
      <c r="L176" s="7">
        <f t="shared" si="10"/>
        <v>1.4091323494425503</v>
      </c>
      <c r="M176" s="7">
        <f t="shared" si="11"/>
        <v>1.4091323494425503</v>
      </c>
      <c r="N176" s="10" t="str">
        <f>IF(DATOS!$C$9="NO","—",IF(AND($L176&gt;=1,$M176&gt;=1),"OK","CALIBRAR"))</f>
        <v>—</v>
      </c>
      <c r="O176" s="25">
        <f>IF(STAAD!$C$17="ASCE 7-16",$G176,$C176)</f>
        <v>0.1476311830710877</v>
      </c>
      <c r="Q176" s="26">
        <v>8.5</v>
      </c>
      <c r="R176" s="27">
        <v>0.25</v>
      </c>
    </row>
    <row r="177" spans="2:18" ht="31.5" customHeight="1" x14ac:dyDescent="0.3">
      <c r="B177" s="24">
        <f>IF(ABS($Q177-DATOS!$C$23/3)&lt;$R177,DATOS!$C$23/3,IF(ABS($Q177-DATOS!$C$23)&lt;$R177,DATOS!$C$23,IF(ABS($Q177-DATOS!$C$42)&lt;$R177,DATOS!$C$42,IF(ABS($Q177-DATOS!$C$43)&lt;$R177,DATOS!$C$43,IF(ABS($Q177-DATOS!$C$44)&lt;$R177,DATOS!$C$44,$Q177)))))</f>
        <v>9.0</v>
      </c>
      <c r="C177" s="19">
        <f>IF($B177&lt;DATOS!$C$23/3,DATOS!$C$25*DATOS!$C$20*(1+3*(DATOS!$C$22-1)*$B177/DATOS!$C$23),IF($B177&lt;=DATOS!$C$23,DATOS!$C$25*DATOS!$C$20*DATOS!$C$22,IF($B177&lt;=4,DATOS!$C$25*DATOS!$C$20*DATOS!$C$22*(DATOS!$C$23/$B177)^(2/3),2.5*DATOS!$C$25*DATOS!$C$20*DATOS!$C$22*DATOS!$C$23^(2/3)/$B177^(4/3))))</f>
        <v>0.1367980757341358</v>
      </c>
      <c r="D177" s="25">
        <f>$C177/COEFICIENTE!$C$12</f>
        <v>0.019542582247733687</v>
      </c>
      <c r="E177" s="25">
        <f>$C177/COEFICIENTE!$D$12</f>
        <v>0.019542582247733687</v>
      </c>
      <c r="F177" s="19">
        <f t="shared" si="9"/>
        <v>0.19901234567901233</v>
      </c>
      <c r="G177" s="19">
        <f>IF($B177&lt;DATOS!$C$42,DATOS!$C$40*(0.4+0.6*$B177/DATOS!$C$42),IF($B177&lt;=DATOS!$C$43,DATOS!$C$40,IF($B177&lt;=DATOS!$C$44,DATOS!$C$41/$B177,DATOS!$C$41*DATOS!$C$44/$B177^2)))</f>
        <v>0.13267489711934155</v>
      </c>
      <c r="H177" s="19">
        <f>$G177*DATOS!$C$46/COEFICIENTE!$C$35</f>
        <v>0.03790711346266901</v>
      </c>
      <c r="I177" s="19">
        <f>$G177*DATOS!$C$46/COEFICIENTE!$D$35</f>
        <v>0.03790711346266901</v>
      </c>
      <c r="J177" s="19">
        <f>$D177*DATOS!$C$12</f>
        <v>0.02794589261425917</v>
      </c>
      <c r="K177" s="19">
        <f>$E177*DATOS!$C$12</f>
        <v>0.02794589261425917</v>
      </c>
      <c r="L177" s="7">
        <f t="shared" si="10"/>
        <v>1.3564466873864394</v>
      </c>
      <c r="M177" s="7">
        <f t="shared" si="11"/>
        <v>1.3564466873864394</v>
      </c>
      <c r="N177" s="10" t="str">
        <f>IF(DATOS!$C$9="NO","—",IF(AND($L177&gt;=1,$M177&gt;=1),"OK","CALIBRAR"))</f>
        <v>—</v>
      </c>
      <c r="O177" s="25">
        <f>IF(STAAD!$C$17="ASCE 7-16",$G177,$C177)</f>
        <v>0.1367980757341358</v>
      </c>
      <c r="Q177" s="26">
        <v>9</v>
      </c>
      <c r="R177" s="27">
        <v>0.25</v>
      </c>
    </row>
    <row r="178" spans="2:18" ht="31.5" customHeight="1" x14ac:dyDescent="0.3">
      <c r="B178" s="24">
        <f>IF(ABS($Q178-DATOS!$C$23/3)&lt;$R178,DATOS!$C$23/3,IF(ABS($Q178-DATOS!$C$23)&lt;$R178,DATOS!$C$23,IF(ABS($Q178-DATOS!$C$42)&lt;$R178,DATOS!$C$42,IF(ABS($Q178-DATOS!$C$43)&lt;$R178,DATOS!$C$43,IF(ABS($Q178-DATOS!$C$44)&lt;$R178,DATOS!$C$44,$Q178)))))</f>
        <v>9.5</v>
      </c>
      <c r="C178" s="19">
        <f>IF($B178&lt;DATOS!$C$23/3,DATOS!$C$25*DATOS!$C$20*(1+3*(DATOS!$C$22-1)*$B178/DATOS!$C$23),IF($B178&lt;=DATOS!$C$23,DATOS!$C$25*DATOS!$C$20*DATOS!$C$22,IF($B178&lt;=4,DATOS!$C$25*DATOS!$C$20*DATOS!$C$22*(DATOS!$C$23/$B178)^(2/3),2.5*DATOS!$C$25*DATOS!$C$20*DATOS!$C$22*DATOS!$C$23^(2/3)/$B178^(4/3))))</f>
        <v>0.12728342724198424</v>
      </c>
      <c r="D178" s="25">
        <f>$C178/COEFICIENTE!$C$12</f>
        <v>0.01818334674885489</v>
      </c>
      <c r="E178" s="25">
        <f>$C178/COEFICIENTE!$D$12</f>
        <v>0.01818334674885489</v>
      </c>
      <c r="F178" s="19">
        <f t="shared" si="9"/>
        <v>0.17861495844875344</v>
      </c>
      <c r="G178" s="19">
        <f>IF($B178&lt;DATOS!$C$42,DATOS!$C$40*(0.4+0.6*$B178/DATOS!$C$42),IF($B178&lt;=DATOS!$C$43,DATOS!$C$40,IF($B178&lt;=DATOS!$C$44,DATOS!$C$41/$B178,DATOS!$C$41*DATOS!$C$44/$B178^2)))</f>
        <v>0.11907663896583563</v>
      </c>
      <c r="H178" s="19">
        <f>$G178*DATOS!$C$46/COEFICIENTE!$C$35</f>
        <v>0.03402189684738161</v>
      </c>
      <c r="I178" s="19">
        <f>$G178*DATOS!$C$46/COEFICIENTE!$D$35</f>
        <v>0.03402189684738161</v>
      </c>
      <c r="J178" s="19">
        <f>$D178*DATOS!$C$12</f>
        <v>0.026002185850862492</v>
      </c>
      <c r="K178" s="19">
        <f>$E178*DATOS!$C$12</f>
        <v>0.026002185850862492</v>
      </c>
      <c r="L178" s="7">
        <f t="shared" si="10"/>
        <v>1.308424493329783</v>
      </c>
      <c r="M178" s="7">
        <f t="shared" si="11"/>
        <v>1.308424493329783</v>
      </c>
      <c r="N178" s="10" t="str">
        <f>IF(DATOS!$C$9="NO","—",IF(AND($L178&gt;=1,$M178&gt;=1),"OK","CALIBRAR"))</f>
        <v>—</v>
      </c>
      <c r="O178" s="25">
        <f>IF(STAAD!$C$17="ASCE 7-16",$G178,$C178)</f>
        <v>0.12728342724198424</v>
      </c>
      <c r="Q178" s="26">
        <v>9.5</v>
      </c>
      <c r="R178" s="27">
        <v>0.25</v>
      </c>
    </row>
    <row r="179" spans="2:18" ht="31.5" customHeight="1" x14ac:dyDescent="0.3">
      <c r="B179" s="24">
        <f>IF(ABS($Q179-DATOS!$C$23/3)&lt;$R179,DATOS!$C$23/3,IF(ABS($Q179-DATOS!$C$23)&lt;$R179,DATOS!$C$23,IF(ABS($Q179-DATOS!$C$42)&lt;$R179,DATOS!$C$42,IF(ABS($Q179-DATOS!$C$43)&lt;$R179,DATOS!$C$43,IF(ABS($Q179-DATOS!$C$44)&lt;$R179,DATOS!$C$44,$Q179)))))</f>
        <v>10.0</v>
      </c>
      <c r="C179" s="19">
        <f>IF($B179&lt;DATOS!$C$23/3,DATOS!$C$25*DATOS!$C$20*(1+3*(DATOS!$C$22-1)*$B179/DATOS!$C$23),IF($B179&lt;=DATOS!$C$23,DATOS!$C$25*DATOS!$C$20*DATOS!$C$22,IF($B179&lt;=4,DATOS!$C$25*DATOS!$C$20*DATOS!$C$22*(DATOS!$C$23/$B179)^(2/3),2.5*DATOS!$C$25*DATOS!$C$20*DATOS!$C$22*DATOS!$C$23^(2/3)/$B179^(4/3))))</f>
        <v>0.1188693809602066</v>
      </c>
      <c r="D179" s="25">
        <f>$C179/COEFICIENTE!$C$12</f>
        <v>0.01698134013717237</v>
      </c>
      <c r="E179" s="25">
        <f>$C179/COEFICIENTE!$D$12</f>
        <v>0.01698134013717237</v>
      </c>
      <c r="F179" s="19">
        <f t="shared" si="9"/>
        <v>0.16119999999999998</v>
      </c>
      <c r="G179" s="19">
        <f>IF($B179&lt;DATOS!$C$42,DATOS!$C$40*(0.4+0.6*$B179/DATOS!$C$42),IF($B179&lt;=DATOS!$C$43,DATOS!$C$40,IF($B179&lt;=DATOS!$C$44,DATOS!$C$41/$B179,DATOS!$C$41*DATOS!$C$44/$B179^2)))</f>
        <v>0.10746666666666665</v>
      </c>
      <c r="H179" s="19">
        <f>$G179*DATOS!$C$46/COEFICIENTE!$C$35</f>
        <v>0.0307047619047619</v>
      </c>
      <c r="I179" s="19">
        <f>$G179*DATOS!$C$46/COEFICIENTE!$D$35</f>
        <v>0.0307047619047619</v>
      </c>
      <c r="J179" s="19">
        <f>$D179*DATOS!$C$12</f>
        <v>0.02428331639615649</v>
      </c>
      <c r="K179" s="19">
        <f>$E179*DATOS!$C$12</f>
        <v>0.02428331639615649</v>
      </c>
      <c r="L179" s="7">
        <f t="shared" si="10"/>
        <v>1.2644385718921731</v>
      </c>
      <c r="M179" s="7">
        <f t="shared" si="11"/>
        <v>1.2644385718921731</v>
      </c>
      <c r="N179" s="10" t="str">
        <f>IF(DATOS!$C$9="NO","—",IF(AND($L179&gt;=1,$M179&gt;=1),"OK","CALIBRAR"))</f>
        <v>—</v>
      </c>
      <c r="O179" s="25">
        <f>IF(STAAD!$C$17="ASCE 7-16",$G179,$C179)</f>
        <v>0.1188693809602066</v>
      </c>
      <c r="Q179" s="26">
        <v>10</v>
      </c>
      <c r="R179" s="27">
        <v>0.25</v>
      </c>
    </row>
  </sheetData>
  <mergeCells count="9">
    <mergeCell ref="B71:O71"/>
    <mergeCell ref="B1:O1"/>
    <mergeCell ref="B8:O8"/>
    <mergeCell ref="B4:O4"/>
    <mergeCell ref="B70:O70"/>
    <mergeCell ref="B2:O2"/>
    <mergeCell ref="B7:O7"/>
    <mergeCell ref="B3:O3"/>
    <mergeCell ref="B5:O5"/>
  </mergeCells>
  <conditionalFormatting sqref="B3">
    <cfRule type="expression" dxfId="4" priority="2">
      <formula>LEFT($B$3,3)="Sin"</formula>
    </cfRule>
  </conditionalFormatting>
  <conditionalFormatting sqref="L73:M179">
    <cfRule type="expression" dxfId="3" priority="3">
      <formula>AND($N73&lt;&gt;"—",L73&lt;1)</formula>
    </cfRule>
  </conditionalFormatting>
  <conditionalFormatting sqref="N73:N179">
    <cfRule type="expression" dxfId="2" priority="4">
      <formula>$N73="CALIBRAR"</formula>
    </cfRule>
  </conditionalFormatting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B9E8-686A-4530-B8C4-664E844C9CE5}">
  <sheetPr>
    <pageSetUpPr fitToPage="1"/>
  </sheetPr>
  <dimension ref="B1:H77"/>
  <sheetViews>
    <sheetView showGridLines="0" topLeftCell="A2" zoomScaleNormal="100" workbookViewId="0">
      <selection activeCell="B27" sqref="B27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5" customWidth="1"/>
    <col min="5" max="5" width="9" customWidth="1"/>
    <col min="6" max="7" width="26" customWidth="1"/>
    <col min="8" max="8" width="40" customWidth="1"/>
  </cols>
  <sheetData>
    <row r="1" spans="2:8" ht="25.5" customHeight="1" x14ac:dyDescent="0.3">
      <c r="B1" s="38" t="s">
        <v>330</v>
      </c>
      <c r="C1" s="34"/>
      <c r="D1" s="34"/>
      <c r="E1" s="34"/>
      <c r="F1" s="34"/>
      <c r="G1" s="34"/>
      <c r="H1" s="34"/>
    </row>
    <row r="2" spans="2:8" ht="30" customHeight="1" x14ac:dyDescent="0.3">
      <c r="B2" s="33" t="s">
        <v>331</v>
      </c>
      <c r="C2" s="34"/>
      <c r="D2" s="34"/>
      <c r="E2" s="34"/>
      <c r="F2" s="34"/>
      <c r="G2" s="34"/>
      <c r="H2" s="34"/>
    </row>
    <row r="3" spans="2: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</row>
    <row r="4" spans="2:8" ht="30" customHeight="1" x14ac:dyDescent="0.3">
      <c r="B4" s="39" t="s">
        <v>878</v>
      </c>
      <c r="C4" s="36"/>
      <c r="D4" s="36"/>
      <c r="E4" s="36"/>
      <c r="F4" s="36"/>
      <c r="G4" s="36"/>
      <c r="H4" s="36"/>
    </row>
    <row r="5" spans="2:8" ht="6" customHeight="1" x14ac:dyDescent="0.3"/>
    <row r="6" spans="2:8" ht="21" customHeight="1" x14ac:dyDescent="0.3">
      <c r="B6" s="37" t="s">
        <v>332</v>
      </c>
      <c r="C6" s="34"/>
      <c r="D6" s="34"/>
      <c r="E6" s="34"/>
      <c r="F6" s="34"/>
      <c r="G6" s="34"/>
      <c r="H6" s="34"/>
    </row>
    <row r="7" spans="2:8" ht="30" customHeight="1" x14ac:dyDescent="0.3">
      <c r="B7" s="35" t="s">
        <v>333</v>
      </c>
      <c r="C7" s="36"/>
      <c r="D7" s="36"/>
      <c r="E7" s="36"/>
      <c r="F7" s="36"/>
      <c r="G7" s="36"/>
      <c r="H7" s="36"/>
    </row>
    <row r="8" spans="2:8" ht="30" customHeight="1" x14ac:dyDescent="0.3">
      <c r="B8" s="1" t="s">
        <v>28</v>
      </c>
      <c r="C8" s="1" t="s">
        <v>334</v>
      </c>
      <c r="D8" s="1" t="s">
        <v>335</v>
      </c>
      <c r="E8" s="1" t="s">
        <v>30</v>
      </c>
      <c r="F8" s="45" t="s">
        <v>336</v>
      </c>
      <c r="G8" s="46"/>
      <c r="H8" s="1" t="s">
        <v>32</v>
      </c>
    </row>
    <row r="9" spans="2:8" ht="30" customHeight="1" x14ac:dyDescent="0.3">
      <c r="B9" s="8" t="s">
        <v>337</v>
      </c>
      <c r="C9" s="21">
        <f>COEFICIENTE!$C$24</f>
        <v>3.5335542857142856</v>
      </c>
      <c r="D9" s="21">
        <f>COEFICIENTE!$D$24</f>
        <v>3.5335542857142856</v>
      </c>
      <c r="E9" s="6" t="s">
        <v>168</v>
      </c>
      <c r="F9" s="44" t="s">
        <v>338</v>
      </c>
      <c r="G9" s="36"/>
      <c r="H9" s="4" t="s">
        <v>227</v>
      </c>
    </row>
    <row r="10" spans="2:8" ht="30" customHeight="1" x14ac:dyDescent="0.3">
      <c r="B10" s="2" t="s">
        <v>337</v>
      </c>
      <c r="C10" s="7">
        <f>COEFICIENTE!$C$24*9.80665</f>
        <v>34.652330135999996</v>
      </c>
      <c r="D10" s="7">
        <f>COEFICIENTE!$D$24*9.80665</f>
        <v>34.652330135999996</v>
      </c>
      <c r="E10" s="6" t="s">
        <v>339</v>
      </c>
      <c r="F10" s="44" t="s">
        <v>340</v>
      </c>
      <c r="G10" s="36"/>
      <c r="H10" s="4" t="s">
        <v>43</v>
      </c>
    </row>
    <row r="11" spans="2:8" ht="30" customHeight="1" x14ac:dyDescent="0.3">
      <c r="B11" s="2" t="s">
        <v>341</v>
      </c>
      <c r="C11" s="13">
        <f>COEFICIENTE!$C$25*COEFICIENTE!$C$24</f>
        <v>0.0</v>
      </c>
      <c r="D11" s="13">
        <f>COEFICIENTE!$D$25*COEFICIENTE!$D$24</f>
        <v>0.0</v>
      </c>
      <c r="E11" s="6" t="s">
        <v>168</v>
      </c>
      <c r="F11" s="44" t="s">
        <v>342</v>
      </c>
      <c r="G11" s="36"/>
      <c r="H11" s="4" t="s">
        <v>230</v>
      </c>
    </row>
    <row r="12" spans="2:8" ht="30" customHeight="1" x14ac:dyDescent="0.3">
      <c r="B12" s="2" t="s">
        <v>343</v>
      </c>
      <c r="C12" s="13">
        <f>COEFICIENTE!$C$27*DATOS!$C$60</f>
        <v>3.180198857142857</v>
      </c>
      <c r="D12" s="13">
        <f>COEFICIENTE!$D$27*DATOS!$C$60</f>
        <v>3.180198857142857</v>
      </c>
      <c r="E12" s="6" t="s">
        <v>168</v>
      </c>
      <c r="F12" s="44" t="s">
        <v>344</v>
      </c>
      <c r="G12" s="36"/>
      <c r="H12" s="4" t="s">
        <v>236</v>
      </c>
    </row>
    <row r="13" spans="2:8" ht="30" customHeight="1" x14ac:dyDescent="0.3">
      <c r="B13" s="2" t="s">
        <v>345</v>
      </c>
      <c r="C13" s="12">
        <f>COEFICIENTE!$C$13</f>
        <v>6.0</v>
      </c>
      <c r="D13" s="12">
        <f>COEFICIENTE!$D$13</f>
        <v>6.0</v>
      </c>
      <c r="E13" s="6" t="s">
        <v>301</v>
      </c>
      <c r="F13" s="44" t="s">
        <v>346</v>
      </c>
      <c r="G13" s="36"/>
      <c r="H13" s="4" t="s">
        <v>196</v>
      </c>
    </row>
    <row r="14" spans="2:8" ht="30" customHeight="1" x14ac:dyDescent="0.3">
      <c r="B14" s="2" t="s">
        <v>347</v>
      </c>
      <c r="C14" s="13">
        <f>COEFICIENTE!$C$51</f>
        <v>8.387610895238094</v>
      </c>
      <c r="D14" s="13">
        <f>COEFICIENTE!$D$51</f>
        <v>8.387610895238094</v>
      </c>
      <c r="E14" s="6" t="s">
        <v>168</v>
      </c>
      <c r="F14" s="44" t="s">
        <v>348</v>
      </c>
      <c r="G14" s="36"/>
      <c r="H14" s="4" t="s">
        <v>290</v>
      </c>
    </row>
    <row r="15" spans="2:8" ht="30" customHeight="1" x14ac:dyDescent="0.3">
      <c r="B15" s="2" t="s">
        <v>349</v>
      </c>
      <c r="C15" s="13">
        <f>COEFICIENTE!$C$54*DATOS!$C$61*IF(DATOS!$C$9="SÍ",COEFICIENTE!$C$64,1)</f>
        <v>8.387610895238094</v>
      </c>
      <c r="D15" s="13">
        <f>COEFICIENTE!$D$54*DATOS!$C$61*IF(DATOS!$C$9="SÍ",COEFICIENTE!$D$64,1)</f>
        <v>8.387610895238094</v>
      </c>
      <c r="E15" s="6" t="s">
        <v>168</v>
      </c>
      <c r="F15" s="44" t="s">
        <v>350</v>
      </c>
      <c r="G15" s="36"/>
      <c r="H15" s="4" t="s">
        <v>299</v>
      </c>
    </row>
    <row r="16" spans="2:8" ht="30" customHeight="1" x14ac:dyDescent="0.3">
      <c r="B16" s="2" t="s">
        <v>351</v>
      </c>
      <c r="C16" s="7">
        <f>COEFICIENTE!$C$55</f>
        <v>3.0</v>
      </c>
      <c r="D16" s="7">
        <f>COEFICIENTE!$D$55</f>
        <v>3.0</v>
      </c>
      <c r="E16" s="6" t="s">
        <v>301</v>
      </c>
      <c r="F16" s="44" t="s">
        <v>352</v>
      </c>
      <c r="G16" s="36"/>
      <c r="H16" s="4" t="s">
        <v>353</v>
      </c>
    </row>
    <row r="17" spans="2:8" ht="30" customHeight="1" x14ac:dyDescent="0.3">
      <c r="B17" s="2" t="s">
        <v>354</v>
      </c>
      <c r="C17" s="5" t="s">
        <v>355</v>
      </c>
      <c r="D17" s="6" t="s">
        <v>43</v>
      </c>
      <c r="E17" s="44" t="s">
        <v>356</v>
      </c>
      <c r="F17" s="36"/>
      <c r="G17" s="36"/>
      <c r="H17" s="4" t="s">
        <v>357</v>
      </c>
    </row>
    <row r="18" spans="2:8" ht="31.5" customHeight="1" x14ac:dyDescent="0.3">
      <c r="B18" s="8" t="s">
        <v>358</v>
      </c>
      <c r="C18" s="28">
        <f>IF($C$17="NTDS-1994",9.80665/COEFICIENTE!$C$12,9.80665*DATOS!$C$46/COEFICIENTE!$C$35)*100</f>
        <v>140.095</v>
      </c>
      <c r="D18" s="28">
        <f>IF($C$17="NTDS-1994",9.80665/COEFICIENTE!$D$12,9.80665*DATOS!$C$46/COEFICIENTE!$D$35)*100</f>
        <v>140.095</v>
      </c>
      <c r="E18" s="6" t="s">
        <v>359</v>
      </c>
      <c r="F18" s="44" t="s">
        <v>360</v>
      </c>
      <c r="G18" s="36"/>
      <c r="H18" s="4" t="s">
        <v>361</v>
      </c>
    </row>
    <row r="19" spans="2:8" ht="6" customHeight="1" x14ac:dyDescent="0.3"/>
    <row r="20" spans="2:8" ht="21" customHeight="1" x14ac:dyDescent="0.3">
      <c r="B20" s="37" t="s">
        <v>362</v>
      </c>
      <c r="C20" s="34"/>
      <c r="D20" s="34"/>
      <c r="E20" s="34"/>
      <c r="F20" s="34"/>
      <c r="G20" s="34"/>
      <c r="H20" s="34"/>
    </row>
    <row r="21" ht="18" customHeight="1" x14ac:dyDescent="0.3">
      <c r="B21" s="35" t="inlineStr">
        <is>
          <t>* SISMO X - ELÁSTICO - unidades kgf-cm - SCALE en cm/s2 - SRSS 5% LIN</t>
        </is>
      </c>
      <c r="C21" s="36"/>
      <c r="D21" s="36"/>
      <c r="E21" s="36"/>
      <c r="F21" s="36"/>
      <c r="G21" s="36"/>
      <c r="H21" s="36"/>
    </row>
    <row r="22" ht="15" customHeight="1" x14ac:dyDescent="0.3">
      <c r="B22" s="29" t="str">
        <f>"SPECTRUM SRSS X 1 ACC SCALE "&amp;TEXT(C18,"0.000")&amp;" DAMP 0.05 LIN"</f>
        <v>SPECTRUM SRSS X 1 ACC SCALE 140.095 DAMP 0.05 LIN</v>
      </c>
    </row>
    <row r="23" spans="2:8" ht="15" customHeight="1" x14ac:dyDescent="0.3">
      <c r="B23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24" spans="2:8" ht="15" customHeight="1" x14ac:dyDescent="0.3">
      <c r="B24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25" spans="2:8" ht="15" customHeight="1" x14ac:dyDescent="0.3">
      <c r="B25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26" spans="2:8" ht="15" customHeight="1" x14ac:dyDescent="0.3">
      <c r="B26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27" spans="2:8" ht="15" customHeight="1" x14ac:dyDescent="0.3">
      <c r="B27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28" spans="2:8" ht="15" customHeight="1" x14ac:dyDescent="0.3">
      <c r="B28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29" spans="2:8" ht="15" customHeight="1" x14ac:dyDescent="0.3">
      <c r="B29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30" spans="2:8" ht="15" customHeight="1" x14ac:dyDescent="0.3">
      <c r="B30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31" spans="2:8" ht="15" customHeight="1" x14ac:dyDescent="0.3">
      <c r="B31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32" spans="2:8" ht="15" customHeight="1" x14ac:dyDescent="0.3">
      <c r="B32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33" spans="2:8" ht="15" customHeight="1" x14ac:dyDescent="0.3">
      <c r="B33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34" spans="2:8" ht="15" customHeight="1" x14ac:dyDescent="0.3">
      <c r="B34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35" spans="2:8" ht="15" customHeight="1" x14ac:dyDescent="0.3">
      <c r="B35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36" spans="2:8" ht="15" customHeight="1" x14ac:dyDescent="0.3">
      <c r="B36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37" spans="2:8" ht="15" customHeight="1" x14ac:dyDescent="0.3">
      <c r="B37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38" spans="2:8" ht="15" customHeight="1" x14ac:dyDescent="0.3">
      <c r="B38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39" spans="2:8" ht="15" customHeight="1" x14ac:dyDescent="0.3">
      <c r="B39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40" spans="2:8" ht="15" customHeight="1" x14ac:dyDescent="0.3">
      <c r="B40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41" spans="2:8" ht="15" customHeight="1" x14ac:dyDescent="0.3">
      <c r="B41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42" spans="2:8" ht="15" customHeight="1" x14ac:dyDescent="0.3">
      <c r="B42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43" spans="2:8" ht="15" customHeight="1" x14ac:dyDescent="0.3">
      <c r="B43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44" spans="2:8" ht="15" customHeight="1" x14ac:dyDescent="0.3">
      <c r="B44" s="29" t="str">
        <f>TEXT(ESPECTROS!$B$178,"0.000")&amp;" "&amp;TEXT(ESPECTROS!$O$178,"0.0000")&amp;"; "&amp;TEXT(ESPECTROS!$B$179,"0.000")&amp;" "&amp;TEXT(ESPECTROS!$O$179,"0.0000")</f>
        <v>9.500 0.1273; 10.000 0.1189</v>
      </c>
    </row>
    <row r="45" spans="2:8" ht="6" customHeight="1" x14ac:dyDescent="0.3"/>
    <row r="46" spans="2:8" ht="21" customHeight="1" x14ac:dyDescent="0.3">
      <c r="B46" s="37" t="s">
        <v>364</v>
      </c>
      <c r="C46" s="34"/>
      <c r="D46" s="34"/>
      <c r="E46" s="34"/>
      <c r="F46" s="34"/>
      <c r="G46" s="34"/>
      <c r="H46" s="34"/>
    </row>
    <row r="47" ht="18" customHeight="1" x14ac:dyDescent="0.3">
      <c r="B47" s="35" t="inlineStr">
        <is>
          <t>* SISMO Z - ELÁSTICO - unidades kgf-cm - SCALE en cm/s2 - SRSS 5% LIN</t>
        </is>
      </c>
      <c r="C47" s="36"/>
      <c r="D47" s="36"/>
      <c r="E47" s="36"/>
      <c r="F47" s="36"/>
      <c r="G47" s="36"/>
      <c r="H47" s="36"/>
    </row>
    <row r="48" ht="15" customHeight="1" x14ac:dyDescent="0.3">
      <c r="B48" s="29" t="str">
        <f>"SPECTRUM SRSS Z 1 ACC SCALE "&amp;TEXT(D18,"0.000")&amp;" DAMP 0.05 LIN"</f>
        <v>SPECTRUM SRSS Z 1 ACC SCALE 140.095 DAMP 0.05 LIN</v>
      </c>
    </row>
    <row r="49" spans="2:2" ht="15" customHeight="1" x14ac:dyDescent="0.3">
      <c r="B49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50" spans="2:2" ht="15" customHeight="1" x14ac:dyDescent="0.3">
      <c r="B50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51" spans="2:2" ht="15" customHeight="1" x14ac:dyDescent="0.3">
      <c r="B51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52" spans="2:2" ht="15" customHeight="1" x14ac:dyDescent="0.3">
      <c r="B52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53" spans="2:2" ht="15" customHeight="1" x14ac:dyDescent="0.3">
      <c r="B53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54" spans="2:2" ht="15" customHeight="1" x14ac:dyDescent="0.3">
      <c r="B54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55" spans="2:2" ht="15" customHeight="1" x14ac:dyDescent="0.3">
      <c r="B55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56" spans="2:2" ht="15" customHeight="1" x14ac:dyDescent="0.3">
      <c r="B56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57" spans="2:2" ht="15" customHeight="1" x14ac:dyDescent="0.3">
      <c r="B57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58" spans="2:2" ht="15" customHeight="1" x14ac:dyDescent="0.3">
      <c r="B58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59" spans="2:2" ht="15" customHeight="1" x14ac:dyDescent="0.3">
      <c r="B59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60" spans="2:2" ht="15" customHeight="1" x14ac:dyDescent="0.3">
      <c r="B60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61" spans="2:2" ht="15" customHeight="1" x14ac:dyDescent="0.3">
      <c r="B61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62" spans="2:2" ht="15" customHeight="1" x14ac:dyDescent="0.3">
      <c r="B62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63" spans="2:2" ht="15" customHeight="1" x14ac:dyDescent="0.3">
      <c r="B63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64" spans="2:2" ht="15" customHeight="1" x14ac:dyDescent="0.3">
      <c r="B64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65" spans="2:8" ht="15" customHeight="1" x14ac:dyDescent="0.3">
      <c r="B65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66" spans="2:8" ht="15" customHeight="1" x14ac:dyDescent="0.3">
      <c r="B66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67" spans="2:8" ht="15" customHeight="1" x14ac:dyDescent="0.3">
      <c r="B67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68" spans="2:8" ht="15" customHeight="1" x14ac:dyDescent="0.3">
      <c r="B68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69" spans="2:8" ht="15" customHeight="1" x14ac:dyDescent="0.3">
      <c r="B69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70" spans="2:8" ht="15" customHeight="1" x14ac:dyDescent="0.3">
      <c r="B70" s="29" t="str">
        <f>TEXT(ESPECTROS!$B$178,"0.000")&amp;" "&amp;TEXT(ESPECTROS!$O$178,"0.0000")&amp;"; "&amp;TEXT(ESPECTROS!$B$179,"0.000")&amp;" "&amp;TEXT(ESPECTROS!$O$179,"0.0000")</f>
        <v>9.500 0.1273; 10.000 0.1189</v>
      </c>
    </row>
    <row r="71" spans="2:8" ht="6" customHeight="1" x14ac:dyDescent="0.3"/>
    <row r="72" spans="2:8" ht="21" customHeight="1" x14ac:dyDescent="0.3">
      <c r="B72" s="37" t="s">
        <v>366</v>
      </c>
      <c r="C72" s="34"/>
      <c r="D72" s="34"/>
      <c r="E72" s="34"/>
      <c r="F72" s="34"/>
      <c r="G72" s="34"/>
      <c r="H72" s="34"/>
    </row>
    <row r="73" spans="2:8" ht="18" customHeight="1" x14ac:dyDescent="0.3">
      <c r="B73" s="44" t="s">
        <v>879</v>
      </c>
      <c r="C73" s="36"/>
      <c r="D73" s="36"/>
      <c r="E73" s="36"/>
      <c r="F73" s="36"/>
      <c r="G73" s="36"/>
      <c r="H73" s="36"/>
    </row>
    <row r="74" spans="2:8" ht="18" customHeight="1" x14ac:dyDescent="0.3">
      <c r="B74" s="44" t="s">
        <v>367</v>
      </c>
      <c r="C74" s="36"/>
      <c r="D74" s="36"/>
      <c r="E74" s="36"/>
      <c r="F74" s="36"/>
      <c r="G74" s="36"/>
      <c r="H74" s="36"/>
    </row>
    <row r="75" spans="2:8" ht="18" customHeight="1" x14ac:dyDescent="0.3">
      <c r="B75" s="44" t="s">
        <v>368</v>
      </c>
      <c r="C75" s="36"/>
      <c r="D75" s="36"/>
      <c r="E75" s="36"/>
      <c r="F75" s="36"/>
      <c r="G75" s="36"/>
      <c r="H75" s="36"/>
    </row>
    <row r="76" spans="2:8" ht="18" customHeight="1" x14ac:dyDescent="0.3">
      <c r="B76" s="44" t="s">
        <v>880</v>
      </c>
      <c r="C76" s="36"/>
      <c r="D76" s="36"/>
      <c r="E76" s="36"/>
      <c r="F76" s="36"/>
      <c r="G76" s="36"/>
      <c r="H76" s="36"/>
    </row>
    <row r="77" spans="2:8" ht="18" customHeight="1" x14ac:dyDescent="0.3">
      <c r="B77" s="44" t="s">
        <v>369</v>
      </c>
      <c r="C77" s="36"/>
      <c r="D77" s="36"/>
      <c r="E77" s="36"/>
      <c r="F77" s="36"/>
      <c r="G77" s="36"/>
      <c r="H77" s="36"/>
    </row>
  </sheetData>
  <mergeCells count="27">
    <mergeCell ref="B2:H2"/>
    <mergeCell ref="F13:G13"/>
    <mergeCell ref="F9:G9"/>
    <mergeCell ref="B1:H1"/>
    <mergeCell ref="B73:H73"/>
    <mergeCell ref="E17:G17"/>
    <mergeCell ref="F14:G14"/>
    <mergeCell ref="B3:H3"/>
    <mergeCell ref="B46:H46"/>
    <mergeCell ref="F8:G8"/>
    <mergeCell ref="B21:H21"/>
    <mergeCell ref="B77:H77"/>
    <mergeCell ref="B76:H76"/>
    <mergeCell ref="F12:G12"/>
    <mergeCell ref="F15:G15"/>
    <mergeCell ref="B4:H4"/>
    <mergeCell ref="B75:H75"/>
    <mergeCell ref="F18:G18"/>
    <mergeCell ref="B47:H47"/>
    <mergeCell ref="B7:H7"/>
    <mergeCell ref="B72:H72"/>
    <mergeCell ref="F11:G11"/>
    <mergeCell ref="B74:H74"/>
    <mergeCell ref="F10:G10"/>
    <mergeCell ref="F16:G16"/>
    <mergeCell ref="B6:H6"/>
    <mergeCell ref="B20:H20"/>
  </mergeCells>
  <conditionalFormatting sqref="B3">
    <cfRule type="expression" dxfId="1" priority="2">
      <formula>LEFT($B$3,3)="Sin"</formula>
    </cfRule>
  </conditionalFormatting>
  <dataValidations count="1">
    <dataValidation type="list" allowBlank="1" showErrorMessage="1" errorTitle="Valor no válido" error="Elige un valor de la lista." sqref="C17" xr:uid="{00000000-0002-0000-0300-000000000000}">
      <formula1>"NTDS-1994,ASCE 7-16"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E851-E137-450D-B0B8-9F8496E964CC}">
  <sheetPr>
    <pageSetUpPr fitToPage="1"/>
  </sheetPr>
  <dimension ref="B1:G149"/>
  <sheetViews>
    <sheetView showGridLines="0" topLeftCell="A36" zoomScale="90" zoomScaleNormal="90" workbookViewId="0">
      <selection activeCell="C6" sqref="C6"/>
    </sheetView>
  </sheetViews>
  <sheetFormatPr baseColWidth="10" defaultColWidth="8.88671875" defaultRowHeight="14.4" x14ac:dyDescent="0.3"/>
  <cols>
    <col min="1" max="1" width="1.77734375" customWidth="1"/>
    <col min="2" max="2" width="50" customWidth="1"/>
    <col min="3" max="3" width="40" customWidth="1"/>
    <col min="4" max="4" width="13" customWidth="1"/>
    <col min="5" max="5" width="52" customWidth="1"/>
    <col min="6" max="7" width="14" customWidth="1"/>
  </cols>
  <sheetData>
    <row r="1" spans="2:7" ht="25.5" customHeight="1" x14ac:dyDescent="0.3">
      <c r="B1" s="38" t="s">
        <v>881</v>
      </c>
      <c r="C1" s="38"/>
      <c r="D1" s="38"/>
      <c r="E1" s="38"/>
      <c r="F1" s="38"/>
      <c r="G1" s="38"/>
    </row>
    <row r="2" spans="2:7" ht="30" customHeight="1" x14ac:dyDescent="0.3">
      <c r="B2" s="33" t="inlineStr">
        <is>
          <t xml:space="preserve">De aquí salen las cargas de los casos 1 (CM), 2 (CV) y 4 (masa del sismo) del .STD R3.5. Techo en UNI por larguero y viga con su ancho tributario; en el sismo la cubierta va a los nodos de arriba de las columnas (SÓLO TECHO); muros con una carga uniforme por larguero completo (todos sus tramos); cortina como carga puntual arriba de cada jamba.</t>
        </is>
      </c>
      <c r="C2" s="33"/>
      <c r="D2" s="33"/>
      <c r="E2" s="33"/>
      <c r="F2" s="33"/>
      <c r="G2" s="33"/>
    </row>
    <row r="4" spans="2:7" ht="21" customHeight="1" x14ac:dyDescent="0.3">
      <c r="B4" s="37" t="s">
        <v>883</v>
      </c>
      <c r="C4" s="37"/>
      <c r="D4" s="37"/>
      <c r="E4" s="37"/>
      <c r="F4" s="37"/>
      <c r="G4" s="37"/>
    </row>
    <row r="5" spans="2:7" x14ac:dyDescent="0.3">
      <c r="B5" s="1" t="s">
        <v>28</v>
      </c>
      <c r="C5" s="1" t="s">
        <v>29</v>
      </c>
      <c r="D5" s="1" t="s">
        <v>30</v>
      </c>
      <c r="E5" s="45" t="s">
        <v>884</v>
      </c>
      <c r="F5" s="45" t="s">
        <v>885</v>
      </c>
      <c r="G5" s="45" t="s">
        <v>885</v>
      </c>
    </row>
    <row r="6" spans="2:7" x14ac:dyDescent="0.3">
      <c r="B6" s="2" t="s">
        <v>886</v>
      </c>
      <c r="C6" s="15">
        <v>19.32</v>
      </c>
      <c r="D6" s="31" t="s">
        <v>887</v>
      </c>
      <c r="E6" s="44" t="s">
        <v>888</v>
      </c>
      <c r="F6" s="44"/>
      <c r="G6" s="44"/>
    </row>
    <row r="7" spans="2:7" x14ac:dyDescent="0.3">
      <c r="B7" s="2" t="s">
        <v>889</v>
      </c>
      <c r="C7" s="15">
        <v>20</v>
      </c>
      <c r="D7" s="31" t="s">
        <v>887</v>
      </c>
      <c r="E7" s="44" t="s">
        <v>890</v>
      </c>
      <c r="F7" s="44"/>
      <c r="G7" s="44"/>
    </row>
    <row r="8" spans="2:7" x14ac:dyDescent="0.3">
      <c r="B8" s="2" t="s">
        <v>891</v>
      </c>
      <c r="C8" s="15">
        <v>0</v>
      </c>
      <c r="D8" s="31" t="s">
        <v>887</v>
      </c>
      <c r="E8" s="44" t="s">
        <v>892</v>
      </c>
      <c r="F8" s="44"/>
      <c r="G8" s="44"/>
    </row>
    <row r="9" spans="2:7" x14ac:dyDescent="0.3">
      <c r="B9" s="2" t="s">
        <v>893</v>
      </c>
      <c r="C9" s="15">
        <v>5.85</v>
      </c>
      <c r="D9" s="31" t="s">
        <v>887</v>
      </c>
      <c r="E9" s="44" t="s">
        <v>894</v>
      </c>
      <c r="F9" s="44"/>
      <c r="G9" s="44"/>
    </row>
    <row r="10" spans="2:7" x14ac:dyDescent="0.3">
      <c r="B10" s="2" t="s">
        <v>895</v>
      </c>
      <c r="C10" s="15">
        <v>10.08</v>
      </c>
      <c r="D10" s="31" t="s">
        <v>154</v>
      </c>
      <c r="E10" s="44" t="s">
        <v>896</v>
      </c>
      <c r="F10" s="44"/>
      <c r="G10" s="44"/>
    </row>
    <row r="11" spans="2:7" x14ac:dyDescent="0.3">
      <c r="B11" s="2" t="s">
        <v>897</v>
      </c>
      <c r="C11" s="15">
        <v>16</v>
      </c>
      <c r="D11" s="31" t="s">
        <v>154</v>
      </c>
      <c r="E11" s="44" t="s">
        <v>898</v>
      </c>
      <c r="F11" s="44"/>
      <c r="G11" s="44"/>
    </row>
    <row r="12" spans="2:7" x14ac:dyDescent="0.3">
      <c r="B12" s="2" t="s">
        <v>899</v>
      </c>
      <c r="C12" s="15">
        <v>10.43</v>
      </c>
      <c r="D12" s="31" t="s">
        <v>154</v>
      </c>
      <c r="E12" s="44" t="s">
        <v>900</v>
      </c>
      <c r="F12" s="44"/>
      <c r="G12" s="44"/>
    </row>
    <row r="13" spans="2:7" x14ac:dyDescent="0.3">
      <c r="B13" s="2" t="s">
        <v>901</v>
      </c>
      <c r="C13" s="15">
        <v>9.9112600000000004</v>
      </c>
      <c r="D13" s="31" t="s">
        <v>154</v>
      </c>
      <c r="E13" s="44" t="s">
        <v>902</v>
      </c>
      <c r="F13" s="44"/>
      <c r="G13" s="44"/>
    </row>
    <row r="14" spans="2:7" x14ac:dyDescent="0.3">
      <c r="B14" s="2" t="s">
        <v>903</v>
      </c>
      <c r="C14" s="15">
        <v>9.6000200000000007</v>
      </c>
      <c r="D14" s="31" t="s">
        <v>154</v>
      </c>
      <c r="E14" s="44" t="s">
        <v>904</v>
      </c>
      <c r="F14" s="44"/>
      <c r="G14" s="44"/>
    </row>
    <row r="15" spans="2:7" x14ac:dyDescent="0.3">
      <c r="B15" s="2" t="s">
        <v>905</v>
      </c>
      <c r="C15" s="15">
        <v>10</v>
      </c>
      <c r="D15" s="31" t="s">
        <v>154</v>
      </c>
      <c r="E15" s="44" t="s">
        <v>906</v>
      </c>
      <c r="F15" s="44"/>
      <c r="G15" s="44"/>
    </row>
    <row r="16" spans="2:7" x14ac:dyDescent="0.3">
      <c r="B16" s="2" t="s">
        <v>907</v>
      </c>
      <c r="C16" s="15">
        <v>1.2</v>
      </c>
      <c r="D16" s="31" t="s">
        <v>154</v>
      </c>
      <c r="E16" s="44" t="s">
        <v>908</v>
      </c>
      <c r="F16" s="44"/>
      <c r="G16" s="44"/>
    </row>
    <row r="17" spans="2:7" x14ac:dyDescent="0.3">
      <c r="B17" s="2" t="s">
        <v>909</v>
      </c>
      <c r="C17" s="15">
        <v>9.6</v>
      </c>
      <c r="D17" s="31" t="s">
        <v>154</v>
      </c>
      <c r="E17" s="44" t="s">
        <v>910</v>
      </c>
      <c r="F17" s="44"/>
      <c r="G17" s="44"/>
    </row>
    <row r="18" spans="2:7" x14ac:dyDescent="0.3">
      <c r="B18" s="2" t="s">
        <v>911</v>
      </c>
      <c r="C18" s="15">
        <v>2.4</v>
      </c>
      <c r="D18" s="31" t="s">
        <v>154</v>
      </c>
      <c r="E18" s="44" t="s">
        <v>912</v>
      </c>
      <c r="F18" s="44"/>
      <c r="G18" s="44"/>
    </row>
    <row r="19" spans="2:7" x14ac:dyDescent="0.3">
      <c r="B19" s="2" t="s">
        <v>913</v>
      </c>
      <c r="C19" s="15">
        <v>6.5</v>
      </c>
      <c r="D19" s="31" t="s">
        <v>154</v>
      </c>
      <c r="E19" s="44" t="s">
        <v>914</v>
      </c>
      <c r="F19" s="44"/>
      <c r="G19" s="44"/>
    </row>
    <row r="20" spans="2:7" x14ac:dyDescent="0.3">
      <c r="B20" s="2" t="s">
        <v>915</v>
      </c>
      <c r="C20" s="15">
        <v>6</v>
      </c>
      <c r="D20" s="31" t="s">
        <v>154</v>
      </c>
      <c r="E20" s="44" t="s">
        <v>916</v>
      </c>
      <c r="F20" s="44"/>
      <c r="G20" s="44"/>
    </row>
    <row r="21" spans="2:7" x14ac:dyDescent="0.3">
      <c r="B21" s="2" t="s">
        <v>917</v>
      </c>
      <c r="C21" s="15">
        <v>7.2</v>
      </c>
      <c r="D21" s="31" t="s">
        <v>154</v>
      </c>
      <c r="E21" s="44" t="s">
        <v>918</v>
      </c>
      <c r="F21" s="44"/>
      <c r="G21" s="44"/>
    </row>
    <row r="22" spans="2:7" x14ac:dyDescent="0.3">
      <c r="B22" s="2" t="s">
        <v>919</v>
      </c>
      <c r="C22" s="15">
        <v>397.8</v>
      </c>
      <c r="D22" s="31" t="s">
        <v>920</v>
      </c>
      <c r="E22" s="44" t="s">
        <v>921</v>
      </c>
      <c r="F22" s="44"/>
      <c r="G22" s="44"/>
    </row>
    <row r="23" spans="2:7" x14ac:dyDescent="0.3">
      <c r="B23" s="2" t="s">
        <v>922</v>
      </c>
      <c r="C23" s="15">
        <v>510</v>
      </c>
      <c r="D23" s="31" t="s">
        <v>923</v>
      </c>
      <c r="E23" s="44" t="s">
        <v>924</v>
      </c>
      <c r="F23" s="44"/>
      <c r="G23" s="44"/>
    </row>
    <row r="24" spans="2:7" x14ac:dyDescent="0.3">
      <c r="B24" s="2" t="s">
        <v>925</v>
      </c>
      <c r="C24" s="19">
        <v>0.01</v>
      </c>
      <c r="D24" s="31" t="s">
        <v>43</v>
      </c>
      <c r="E24" s="44" t="s">
        <v>926</v>
      </c>
      <c r="F24" s="44"/>
      <c r="G24" s="44"/>
    </row>
    <row r="25" spans="2:7" x14ac:dyDescent="0.3">
      <c r="B25" s="2" t="s">
        <v>927</v>
      </c>
      <c r="C25" s="19">
        <v>1E-4</v>
      </c>
      <c r="D25" s="31" t="s">
        <v>43</v>
      </c>
      <c r="E25" s="44" t="s">
        <v>928</v>
      </c>
      <c r="F25" s="44"/>
      <c r="G25" s="44"/>
    </row>
    <row r="27" spans="2:7" ht="21" customHeight="1" x14ac:dyDescent="0.3">
      <c r="B27" s="37" t="s">
        <v>929</v>
      </c>
      <c r="C27" s="37"/>
      <c r="D27" s="37"/>
      <c r="E27" s="37"/>
      <c r="F27" s="37"/>
      <c r="G27" s="37"/>
    </row>
    <row r="28" spans="2:7" ht="30" customHeight="1" x14ac:dyDescent="0.3">
      <c r="B28" s="35" t="s">
        <v>930</v>
      </c>
      <c r="C28" s="35"/>
      <c r="D28" s="35"/>
      <c r="E28" s="35"/>
      <c r="F28" s="35"/>
      <c r="G28" s="35"/>
    </row>
    <row r="29" spans="2:7" ht="30" customHeight="1" x14ac:dyDescent="0.3">
      <c r="B29" s="1" t="s">
        <v>931</v>
      </c>
      <c r="C29" s="1" t="s">
        <v>932</v>
      </c>
      <c r="D29" s="1" t="s">
        <v>933</v>
      </c>
      <c r="E29" s="1" t="s">
        <v>934</v>
      </c>
      <c r="F29" s="1" t="s">
        <v>935</v>
      </c>
      <c r="G29" s="1" t="s">
        <v>936</v>
      </c>
    </row>
    <row r="30" spans="2:7" ht="26.4" x14ac:dyDescent="0.3">
      <c r="B30" s="2" t="s">
        <v>937</v>
      </c>
      <c r="C30" s="32" t="s">
        <v>938</v>
      </c>
      <c r="D30" s="15">
        <v>1.5</v>
      </c>
      <c r="E30" s="7">
        <f>$C$6*D30</f>
        <v>28.98</v>
      </c>
      <c r="F30" s="7">
        <f>$C$7*D30</f>
        <v>30.0</v>
      </c>
      <c r="G30" s="19">
        <f>E30*$C$24</f>
        <v>0.2898</v>
      </c>
    </row>
    <row r="31" spans="2:7" x14ac:dyDescent="0.3">
      <c r="B31" s="2" t="s">
        <v>939</v>
      </c>
      <c r="C31" s="32" t="s">
        <v>940</v>
      </c>
      <c r="D31" s="15">
        <v>1.25</v>
      </c>
      <c r="E31" s="7">
        <f>$C$6*D31</f>
        <v>24.15</v>
      </c>
      <c r="F31" s="7">
        <f>$C$7*D31</f>
        <v>25.0</v>
      </c>
      <c r="G31" s="19">
        <f>E31*$C$24</f>
        <v>0.2415</v>
      </c>
    </row>
    <row r="32" spans="2:7" x14ac:dyDescent="0.3">
      <c r="B32" s="2" t="s">
        <v>941</v>
      </c>
      <c r="C32" s="32" t="s">
        <v>942</v>
      </c>
      <c r="D32" s="15">
        <v>0.5</v>
      </c>
      <c r="E32" s="7">
        <f>$C$6*D32</f>
        <v>9.66</v>
      </c>
      <c r="F32" s="7">
        <f>$C$7*D32</f>
        <v>10.0</v>
      </c>
      <c r="G32" s="19">
        <f>E32*$C$24</f>
        <v>0.0966</v>
      </c>
    </row>
    <row r="33" spans="2:7" x14ac:dyDescent="0.3">
      <c r="B33" s="2" t="s">
        <v>943</v>
      </c>
      <c r="C33" s="32" t="s">
        <v>944</v>
      </c>
      <c r="D33" s="15">
        <v>0.75</v>
      </c>
      <c r="E33" s="7">
        <f>$C$6*D33</f>
        <v>14.49</v>
      </c>
      <c r="F33" s="7">
        <f>$C$7*D33</f>
        <v>15.0</v>
      </c>
      <c r="G33" s="19">
        <f>E33*$C$24</f>
        <v>0.1449</v>
      </c>
    </row>
    <row r="34" spans="2:7" x14ac:dyDescent="0.3">
      <c r="B34" s="2" t="s">
        <v>945</v>
      </c>
      <c r="C34" s="17" t="str">
        <f>IF(ABS(D30*9+D31+D32+D33-$C$11)&lt;0.001,"OK: suma de b = L (9 líneas con b = 1.50 m)","REVISA LOS ANCHOS")</f>
        <v>OK: suma de b = L (9 líneas con b = 1.50 m)</v>
      </c>
    </row>
    <row r="36" spans="2:7" ht="21" customHeight="1" x14ac:dyDescent="0.3">
      <c r="B36" s="37" t="s">
        <v>946</v>
      </c>
      <c r="C36" s="37"/>
      <c r="D36" s="37"/>
      <c r="E36" s="37"/>
      <c r="F36" s="37"/>
      <c r="G36" s="37"/>
    </row>
    <row r="37" spans="2:7" ht="30" customHeight="1" x14ac:dyDescent="0.3">
      <c r="B37" s="35" t="s">
        <v>947</v>
      </c>
      <c r="C37" s="35"/>
      <c r="D37" s="35"/>
      <c r="E37" s="35"/>
      <c r="F37" s="35"/>
      <c r="G37" s="35"/>
    </row>
    <row r="38" spans="2:7" ht="30" customHeight="1" x14ac:dyDescent="0.3">
      <c r="B38" s="1" t="s">
        <v>948</v>
      </c>
      <c r="C38" s="1" t="s">
        <v>949</v>
      </c>
      <c r="D38" s="1" t="s">
        <v>950</v>
      </c>
      <c r="E38" s="1" t="s">
        <v>951</v>
      </c>
      <c r="F38" s="1" t="s">
        <v>952</v>
      </c>
      <c r="G38" s="1" t="s">
        <v>953</v>
      </c>
    </row>
    <row r="39" spans="2:7" x14ac:dyDescent="0.3">
      <c r="B39" s="2" t="s">
        <v>954</v>
      </c>
      <c r="C39" s="32" t="s">
        <v>955</v>
      </c>
      <c r="D39" s="15">
        <v>0</v>
      </c>
      <c r="E39" s="7">
        <f>(D40-D39)/2</f>
        <v>5.0</v>
      </c>
      <c r="F39" s="7">
        <f>$C$10/2*E39</f>
        <v>25.2</v>
      </c>
      <c r="G39" s="7">
        <f>($C$6+$C$8)*F39</f>
        <v>486.864</v>
      </c>
    </row>
    <row r="40" spans="2:7" x14ac:dyDescent="0.3">
      <c r="B40" s="2" t="s">
        <v>956</v>
      </c>
      <c r="C40" s="32" t="s">
        <v>957</v>
      </c>
      <c r="D40" s="7">
        <f>$C$15</f>
        <v>10.0</v>
      </c>
      <c r="E40" s="7">
        <f>(D41-D39)/2</f>
        <v>8.0</v>
      </c>
      <c r="F40" s="7">
        <f>$C$10/2*E40</f>
        <v>40.32</v>
      </c>
      <c r="G40" s="7">
        <f>($C$6+$C$8)*F40</f>
        <v>778.9824</v>
      </c>
    </row>
    <row r="41" spans="2:7" x14ac:dyDescent="0.3">
      <c r="B41" s="2" t="s">
        <v>958</v>
      </c>
      <c r="C41" s="32" t="s">
        <v>959</v>
      </c>
      <c r="D41" s="7">
        <f>$C$11</f>
        <v>16.0</v>
      </c>
      <c r="E41" s="7">
        <f>(D41-D40)/2</f>
        <v>3.0</v>
      </c>
      <c r="F41" s="7">
        <f>$C$10/2*E41</f>
        <v>15.120000000000001</v>
      </c>
      <c r="G41" s="7">
        <f>($C$6+$C$8)*F41</f>
        <v>292.1184</v>
      </c>
    </row>
    <row r="42" spans="2:7" x14ac:dyDescent="0.3">
      <c r="B42" s="2" t="s">
        <v>960</v>
      </c>
      <c r="C42" s="7"/>
      <c r="D42" s="7"/>
      <c r="E42" s="7">
        <f>SUM(E39:E41)</f>
        <v>16.0</v>
      </c>
      <c r="F42" s="7">
        <f>2*SUM(F39:F41)</f>
        <v>161.28</v>
      </c>
      <c r="G42" s="7">
        <f>2*SUM(G39:G41)</f>
        <v>3115.9296</v>
      </c>
    </row>
    <row r="43" spans="2:7" x14ac:dyDescent="0.3">
      <c r="B43" s="2" t="s">
        <v>945</v>
      </c>
      <c r="C43" s="17" t="str">
        <f>IF(ABS($G$42-($C$6+$C$8)*$C$10*$C$11)&lt;0.01,"OK: suma = (CM + w_i)·B·L","REVISA LOS MARCOS")</f>
        <v>OK: suma = (CM + w_i)·B·L</v>
      </c>
    </row>
    <row r="44" spans="2:7" ht="43.2" customHeight="1">
      <c r="B44" s="35" t="inlineStr">
        <is>
          <t xml:space="preserve">R3.5: los PTR de contraventeo, los cables del techo y los contraflambeos NO van en estos nodos. Su masa la pone STAAD con SELFWEIGHT X 1 y Z 1 (sin LIST) en sus propios nodos; sumarlos aquí los contaría dos veces.</t>
        </is>
      </c>
      <c r="C44" s="35"/>
      <c r="D44" s="35"/>
      <c r="E44" s="35"/>
      <c r="F44" s="35"/>
      <c r="G44" s="35"/>
    </row>
    <row r="45" spans="2:7" ht="21" customHeight="1" x14ac:dyDescent="0.3">
      <c r="B45" s="37" t="s">
        <v>961</v>
      </c>
      <c r="C45" s="37"/>
      <c r="D45" s="37"/>
      <c r="E45" s="37"/>
      <c r="F45" s="37"/>
      <c r="G45" s="37"/>
    </row>
    <row r="46" spans="2:7" ht="45" customHeight="1" x14ac:dyDescent="0.3">
      <c r="B46" s="35" t="s">
        <v>962</v>
      </c>
      <c r="C46" s="35"/>
      <c r="D46" s="35"/>
      <c r="E46" s="35"/>
      <c r="F46" s="35"/>
      <c r="G46" s="35"/>
    </row>
    <row r="47" spans="2:7" ht="30" customHeight="1" x14ac:dyDescent="0.3">
      <c r="B47" s="1" t="s">
        <v>963</v>
      </c>
      <c r="C47" s="1" t="s">
        <v>932</v>
      </c>
      <c r="D47" s="1" t="s">
        <v>964</v>
      </c>
      <c r="E47" s="1" t="s">
        <v>965</v>
      </c>
      <c r="F47" s="1" t="s">
        <v>966</v>
      </c>
      <c r="G47" s="1" t="s">
        <v>967</v>
      </c>
    </row>
    <row r="48" spans="2:7">
      <c r="B48" s="2" t="inlineStr">
        <is>
          <t xml:space="preserve">Largueros típicos (h = 1.20 m) de los muros 3 y 4 — claro 1-2 (10 m, MC10-12)</t>
        </is>
      </c>
      <c r="C48" s="32" t="inlineStr">
        <is>
          <t xml:space="preserve">16 17 20 21 24 25 28 29 32 33 36 37 40 41 501 TO 542</t>
        </is>
      </c>
      <c r="D48" s="7">
        <f>$C$16</f>
        <v>1.2</v>
      </c>
      <c r="E48" s="3" t="inlineStr">
        <is>
          <t xml:space="preserve">Separación de largueros. R3.5: cada larguero en 4 tramos (contraflambeos a 2.50 m)</t>
        </is>
      </c>
      <c r="F48" s="7">
        <f>$C$9*D48</f>
        <v>7.02</v>
      </c>
      <c r="G48" s="19">
        <f>F48*$C$24</f>
        <v>0.0702</v>
      </c>
    </row>
    <row r="49" spans="2:7">
      <c r="B49" s="2" t="inlineStr">
        <is>
          <t xml:space="preserve">Largueros típicos (h = 1.20 m) de los muros 3 y 4 — claro 2-3 (6 m, MC10-14)</t>
        </is>
      </c>
      <c r="C49" s="32" t="inlineStr">
        <is>
          <t xml:space="preserve">199 TO 202 205 TO 214 549 TO 576</t>
        </is>
      </c>
      <c r="D49" s="7">
        <f>$C$16</f>
        <v>1.2</v>
      </c>
      <c r="E49" s="3" t="inlineStr">
        <is>
          <t xml:space="preserve">Separación de largueros. R3.5: cada larguero en 3 tramos (contraflambeos a 2.00 m)</t>
        </is>
      </c>
      <c r="F49" s="7">
        <f>$C$9*D49</f>
        <v>7.02</v>
      </c>
      <c r="G49" s="19">
        <f>F49*$C$24</f>
        <v>0.0702</v>
      </c>
    </row>
    <row r="50" spans="2:7">
      <c r="B50" s="2" t="s">
        <v>971</v>
      </c>
      <c r="C50" s="32" t="inlineStr">
        <is>
          <t xml:space="preserve">23 27 31 43 46 149 153 155 159 161 203 585 TO 588</t>
        </is>
      </c>
      <c r="D50" s="7">
        <f>$C$16</f>
        <v>1.2</v>
      </c>
      <c r="E50" s="3" t="s">
        <v>970</v>
      </c>
      <c r="F50" s="7">
        <f>$C$9*D50</f>
        <v>7.02</v>
      </c>
      <c r="G50" s="19">
        <f>F50*$C$24</f>
        <v>0.0702</v>
      </c>
    </row>
    <row r="51" spans="2:7">
      <c r="B51" s="2" t="s">
        <v>973</v>
      </c>
      <c r="C51" s="32" t="inlineStr">
        <is>
          <t xml:space="preserve">44 45 543 TO 548</t>
        </is>
      </c>
      <c r="D51" s="7">
        <f>$C$16/2+(($C$12+$C$13)/2-$C$17)/2</f>
        <v>0.8853149999999997</v>
      </c>
      <c r="E51" s="3" t="s">
        <v>975</v>
      </c>
      <c r="F51" s="7">
        <f>$C$9*D51</f>
        <v>5.179092749999998</v>
      </c>
      <c r="G51" s="19">
        <f>F51*$C$24</f>
        <v>0.05179092749999998</v>
      </c>
    </row>
    <row r="52" spans="2:7">
      <c r="B52" s="2" t="s">
        <v>976</v>
      </c>
      <c r="C52" s="32" t="inlineStr">
        <is>
          <t xml:space="preserve">215 216 577 TO 580</t>
        </is>
      </c>
      <c r="D52" s="7">
        <f>$C$16/2+(($C$13+$C$14)/2-$C$17)/2</f>
        <v>0.67782</v>
      </c>
      <c r="E52" s="3" t="s">
        <v>978</v>
      </c>
      <c r="F52" s="7">
        <f>$C$9*D52</f>
        <v>3.9652469999999997</v>
      </c>
      <c r="G52" s="19">
        <f>F52*$C$24</f>
        <v>0.039652469999999995</v>
      </c>
    </row>
    <row r="53" spans="2:7">
      <c r="B53" s="2" t="s">
        <v>979</v>
      </c>
      <c r="C53" s="32" t="inlineStr">
        <is>
          <t xml:space="preserve">68 204 233</t>
        </is>
      </c>
      <c r="D53" s="7">
        <f>$C$16/2</f>
        <v>0.6</v>
      </c>
      <c r="E53" s="3" t="s">
        <v>981</v>
      </c>
      <c r="F53" s="7">
        <f>$C$9*D53</f>
        <v>3.51</v>
      </c>
      <c r="G53" s="19">
        <f>F53*$C$24</f>
        <v>0.0351</v>
      </c>
    </row>
    <row r="54" spans="2:7">
      <c r="B54" s="2" t="s">
        <v>982</v>
      </c>
      <c r="C54" s="32" t="inlineStr">
        <is>
          <t xml:space="preserve">35 157</t>
        </is>
      </c>
      <c r="D54" s="7">
        <f>$C$16/2+($C$19-$C$20)/2</f>
        <v>0.85</v>
      </c>
      <c r="E54" s="3" t="s">
        <v>984</v>
      </c>
      <c r="F54" s="7">
        <f>$C$9*D54</f>
        <v>4.972499999999999</v>
      </c>
      <c r="G54" s="19">
        <f>F54*$C$24</f>
        <v>0.04972499999999999</v>
      </c>
    </row>
    <row r="55" spans="2:7">
      <c r="B55" s="2" t="s">
        <v>985</v>
      </c>
      <c r="C55" s="32" t="inlineStr">
        <is>
          <t xml:space="preserve">234</t>
        </is>
      </c>
      <c r="D55" s="7">
        <f>($C$21-$C$19)/2</f>
        <v>0.3500000000000001</v>
      </c>
      <c r="E55" s="3" t="s">
        <v>987</v>
      </c>
      <c r="F55" s="7">
        <f>$C$9*D55</f>
        <v>2.0475000000000003</v>
      </c>
      <c r="G55" s="19">
        <f>F55*$C$24</f>
        <v>0.020475000000000004</v>
      </c>
    </row>
    <row r="56" spans="2:7">
      <c r="B56" s="2" t="s">
        <v>988</v>
      </c>
      <c r="C56" s="32" t="inlineStr">
        <is>
          <t xml:space="preserve">39 581 TO 584</t>
        </is>
      </c>
      <c r="D56" s="7">
        <f>$C$16/2+($C$21-$C$19)/2</f>
        <v>0.9500000000000001</v>
      </c>
      <c r="E56" s="3" t="s">
        <v>990</v>
      </c>
      <c r="F56" s="7">
        <f>$C$9*D56</f>
        <v>5.5575</v>
      </c>
      <c r="G56" s="19">
        <f>F56*$C$24</f>
        <v>0.055575</v>
      </c>
    </row>
    <row r="57" spans="2:7">
      <c r="B57" s="2" t="s">
        <v>991</v>
      </c>
      <c r="C57" s="32" t="inlineStr">
        <is>
          <t xml:space="preserve">47 589 TO 592</t>
        </is>
      </c>
      <c r="D57" s="7">
        <f>$C$16/2+($C$12-$C$17)/2</f>
        <v>1.0150000000000001</v>
      </c>
      <c r="E57" s="3" t="s">
        <v>993</v>
      </c>
      <c r="F57" s="7">
        <f>$C$9*D57</f>
        <v>5.93775</v>
      </c>
      <c r="G57" s="19">
        <f>F57*$C$24</f>
        <v>0.05937750000000001</v>
      </c>
    </row>
    <row r="58" spans="2:7">
      <c r="B58" s="2" t="s">
        <v>994</v>
      </c>
      <c r="C58" s="32" t="inlineStr">
        <is>
          <t xml:space="preserve">11 48 TO 51</t>
        </is>
      </c>
      <c r="D58" s="7">
        <f>($C$12-$C$17)/2</f>
        <v>0.41500000000000004</v>
      </c>
      <c r="E58" s="3" t="s">
        <v>995</v>
      </c>
      <c r="F58" s="7">
        <f>$C$9*D58</f>
        <v>2.42775</v>
      </c>
      <c r="G58" s="19">
        <f>F58*$C$24</f>
        <v>0.0242775</v>
      </c>
    </row>
    <row r="59" spans="2:7">
      <c r="B59" s="2" t="s">
        <v>996</v>
      </c>
      <c r="C59" s="32" t="inlineStr">
        <is>
          <t xml:space="preserve">241 242 269 TO 280 605 TO 608</t>
        </is>
      </c>
      <c r="D59" s="7">
        <f>(($C$12+$C$13)/2-$C$17)/2</f>
        <v>0.28531499999999976</v>
      </c>
      <c r="E59" s="3" t="s">
        <v>998</v>
      </c>
      <c r="F59" s="7">
        <f>$C$9*D59</f>
        <v>1.6690927499999986</v>
      </c>
      <c r="G59" s="19">
        <f>F59*$C$24</f>
        <v>0.016690927499999987</v>
      </c>
    </row>
    <row r="60" spans="2:7">
      <c r="B60" s="2" t="s">
        <v>999</v>
      </c>
      <c r="C60" s="32" t="inlineStr">
        <is>
          <t xml:space="preserve">243 TO 250 601 TO 604</t>
        </is>
      </c>
      <c r="D60" s="7">
        <f>(($C$13+$C$14)/2-$C$17)/2</f>
        <v>0.07782</v>
      </c>
      <c r="E60" s="3" t="s">
        <v>1001</v>
      </c>
      <c r="F60" s="7">
        <f>$C$9*D60</f>
        <v>0.45524699999999996</v>
      </c>
      <c r="G60" s="19">
        <f>F60*$C$24</f>
        <v>0.0045524699999999994</v>
      </c>
    </row>
    <row r="61" spans="2:7">
      <c r="B61" s="2" t="inlineStr">
        <is>
          <t xml:space="preserve">Cortina: la mitad arriba de cada jamba (nodos 69 y 70)</t>
        </is>
      </c>
      <c r="C61" s="32" t="inlineStr">
        <is>
          <t xml:space="preserve">69 70</t>
        </is>
      </c>
      <c r="D61" s="7"/>
      <c r="E61" s="3" t="inlineStr">
        <is>
          <t xml:space="preserve">Peso de la cortina ÷ 2 = carga puntual en kg (JOINT LOAD). R3.5: ya no va repartida en el dintel 234.</t>
        </is>
      </c>
      <c r="F61" s="7">
        <f>$C$22/2</f>
        <v>198.9</v>
      </c>
      <c r="G61" s="19">
        <f>F61</f>
        <v>198.9</v>
      </c>
    </row>
    <row r="63" spans="2:7" ht="21" customHeight="1" x14ac:dyDescent="0.3">
      <c r="B63" s="37" t="s">
        <v>1004</v>
      </c>
      <c r="C63" s="37"/>
      <c r="D63" s="37"/>
      <c r="E63" s="37"/>
      <c r="F63" s="37"/>
      <c r="G63" s="37"/>
    </row>
    <row r="64" spans="2:7" ht="30" customHeight="1" x14ac:dyDescent="0.3">
      <c r="B64" s="35" t="s">
        <v>1005</v>
      </c>
      <c r="C64" s="35"/>
      <c r="D64" s="35"/>
      <c r="E64" s="35"/>
      <c r="F64" s="35"/>
      <c r="G64" s="35"/>
    </row>
    <row r="66" spans="2:7">
      <c r="B66" s="1" t="inlineStr">
        <is>
          <t xml:space="preserve">Caso 1 — carga muerta</t>
        </is>
      </c>
      <c r="C66" s="1" t="inlineStr">
        <is>
          <t xml:space="preserve">Revisión</t>
        </is>
      </c>
    </row>
    <row r="67" spans="2:7">
      <c r="B67" s="29" t="inlineStr">
        <is>
          <t xml:space="preserve">MEMBER LOAD</t>
        </is>
      </c>
      <c r="C67" s="17" t="str">
        <f>IF(LEN($B67)&gt;79,"MÁS DE 79 CARACTERES","")</f>
        <v/>
      </c>
    </row>
    <row r="68" spans="2:7">
      <c r="B68" s="29" t="str">
        <f>C30&amp;" UNI GY "&amp;TEXT(-G30,"0.0000")</f>
        <v>74 121 TO 124 285 TO 287 310 TO 326 352 TO 371 UNI GY -0.2898</v>
      </c>
      <c r="C68" s="17" t="str">
        <f>IF(LEN($B68)&gt;79,"MÁS DE 79 CARACTERES","")</f>
        <v/>
      </c>
    </row>
    <row r="69" spans="2:7">
      <c r="B69" s="29" t="str">
        <f>C31&amp;" UNI GY "&amp;TEXT(-G31,"0.0000")</f>
        <v>327 372 TO 375 UNI GY -0.2415</v>
      </c>
      <c r="C69" s="17" t="str">
        <f>IF(LEN($B69)&gt;79,"MÁS DE 79 CARACTERES","")</f>
        <v/>
      </c>
    </row>
    <row r="70" spans="2:7">
      <c r="B70" s="29" t="str">
        <f>C32&amp;" UNI GY "&amp;TEXT(-G32,"0.0000")</f>
        <v>11 48 TO 51 UNI GY -0.0966</v>
      </c>
      <c r="C70" s="17" t="str">
        <f>IF(LEN($B70)&gt;79,"MÁS DE 79 CARACTERES","")</f>
        <v/>
      </c>
    </row>
    <row r="71" spans="2:7">
      <c r="B71" s="29" t="str">
        <f>C33&amp;" UNI GY "&amp;TEXT(-G33,"0.0000")</f>
        <v>12 52 TO 55 UNI GY -0.1449</v>
      </c>
      <c r="C71" s="17" t="str">
        <f>IF(LEN($B71)&gt;79,"MÁS DE 79 CARACTERES","")</f>
        <v/>
      </c>
    </row>
    <row r="72" spans="2:7">
      <c r="B72" s="29" t="str">
        <f>C48&amp;" UNI GY "&amp;TEXT(-G48,"0.0000")</f>
        <v>16 17 20 21 24 25 28 29 32 33 36 37 40 41 501 TO 542 UNI GY -0.0702</v>
      </c>
      <c r="C72" s="17" t="str">
        <f>IF(LEN($B72)&gt;79,"MÁS DE 79 CARACTERES","")</f>
        <v/>
      </c>
    </row>
    <row r="73" spans="2:7">
      <c r="B73" s="29" t="str">
        <f>C49&amp;" UNI GY "&amp;TEXT(-G49,"0.0000")</f>
        <v>199 TO 202 205 TO 214 549 TO 576 UNI GY -0.0702</v>
      </c>
      <c r="C73" s="17" t="str">
        <f>IF(LEN($B73)&gt;79,"MÁS DE 79 CARACTERES","")</f>
        <v/>
      </c>
    </row>
    <row r="74" spans="2:7">
      <c r="B74" s="29" t="str">
        <f>C50&amp;" UNI GY "&amp;TEXT(-G50,"0.0000")</f>
        <v>23 27 31 43 46 149 153 155 159 161 203 UNI GY -0.0702</v>
      </c>
      <c r="C74" s="17" t="str">
        <f>IF(LEN($B74)&gt;79,"MÁS DE 79 CARACTERES","")</f>
        <v/>
      </c>
    </row>
    <row r="75" spans="2:7">
      <c r="B75" s="29" t="str">
        <f>C51&amp;" UNI GY "&amp;TEXT(-G51,"0.0000")</f>
        <v>44 45 543 TO 548 UNI GY -0.0518</v>
      </c>
      <c r="C75" s="17" t="str">
        <f>IF(LEN($B75)&gt;79,"MÁS DE 79 CARACTERES","")</f>
        <v/>
      </c>
    </row>
    <row r="76" spans="2:7">
      <c r="B76" s="29" t="str">
        <f>C52&amp;" UNI GY "&amp;TEXT(-G52,"0.0000")</f>
        <v>215 216 577 TO 580 UNI GY -0.0397</v>
      </c>
      <c r="C76" s="17" t="str">
        <f>IF(LEN($B76)&gt;79,"MÁS DE 79 CARACTERES","")</f>
        <v/>
      </c>
    </row>
    <row r="77" spans="2:7">
      <c r="B77" s="29" t="str">
        <f>C53&amp;" UNI GY "&amp;TEXT(-G53,"0.0000")</f>
        <v>68 204 233 UNI GY -0.0351</v>
      </c>
      <c r="C77" s="17" t="str">
        <f>IF(LEN($B77)&gt;79,"MÁS DE 79 CARACTERES","")</f>
        <v/>
      </c>
    </row>
    <row r="78" spans="2:7">
      <c r="B78" s="29" t="str">
        <f>C54&amp;" UNI GY "&amp;TEXT(-G54,"0.0000")</f>
        <v>35 157 UNI GY -0.0497</v>
      </c>
      <c r="C78" s="17" t="str">
        <f>IF(LEN($B78)&gt;79,"MÁS DE 79 CARACTERES","")</f>
        <v/>
      </c>
    </row>
    <row r="79" spans="2:7">
      <c r="B79" s="29" t="str">
        <f>C55&amp;" UNI GY "&amp;TEXT(-G55,"0.0000")</f>
        <v>234 UNI GY -0.0205</v>
      </c>
      <c r="C79" s="17" t="str">
        <f>IF(LEN($B79)&gt;79,"MÁS DE 79 CARACTERES","")</f>
        <v/>
      </c>
    </row>
    <row r="80" spans="2:7">
      <c r="B80" s="29" t="str">
        <f>C56&amp;" UNI GY "&amp;TEXT(-G56,"0.0000")</f>
        <v>39 UNI GY -0.0556</v>
      </c>
      <c r="C80" s="17" t="str">
        <f>IF(LEN($B80)&gt;79,"MÁS DE 79 CARACTERES","")</f>
        <v/>
      </c>
    </row>
    <row r="81" spans="2:7">
      <c r="B81" s="29" t="str">
        <f>C57&amp;" UNI GY "&amp;TEXT(-G57,"0.0000")</f>
        <v>47 UNI GY -0.0594</v>
      </c>
      <c r="C81" s="17" t="str">
        <f>IF(LEN($B81)&gt;79,"MÁS DE 79 CARACTERES","")</f>
        <v/>
      </c>
    </row>
    <row r="82" spans="2:7">
      <c r="B82" s="29" t="str">
        <f>C58&amp;" UNI GY "&amp;TEXT(-G58,"0.0000")</f>
        <v>11 48 TO 51 UNI GY -0.0243</v>
      </c>
      <c r="C82" s="17" t="str">
        <f>IF(LEN($B82)&gt;79,"MÁS DE 79 CARACTERES","")</f>
        <v/>
      </c>
    </row>
    <row r="83" spans="2:7">
      <c r="B83" s="29" t="str">
        <f>C59&amp;" UNI GY "&amp;TEXT(-G59,"0.0000")</f>
        <v>241 242 269 TO 280 605 TO 608 UNI GY -0.0167</v>
      </c>
      <c r="C83" s="17" t="str">
        <f>IF(LEN($B83)&gt;79,"MÁS DE 79 CARACTERES","")</f>
        <v/>
      </c>
    </row>
    <row r="84" spans="2:7">
      <c r="B84" s="29" t="str">
        <f>C60&amp;" UNI GY "&amp;TEXT(-G60,"0.0000")</f>
        <v>243 TO 250 601 TO 604 UNI GY -0.0046</v>
      </c>
      <c r="C84" s="17" t="str">
        <f>IF(LEN($B84)&gt;79,"MÁS DE 79 CARACTERES","")</f>
        <v/>
      </c>
    </row>
    <row r="85" spans="2:7">
      <c r="B85" s="29" t="inlineStr">
        <is>
          <t xml:space="preserve">JOINT LOAD</t>
        </is>
      </c>
      <c r="C85" s="17" t="str">
        <f>IF(LEN($B85)&gt;79,"MÁS DE 79 CARACTERES","")</f>
        <v/>
      </c>
    </row>
    <row r="86" spans="2:7">
      <c r="B86" s="29" t="str">
        <f>C61&amp;" FY "&amp;TEXT(-G61,"0.0")</f>
        <v>69 70 FY -198.9</v>
      </c>
      <c r="C86" s="17" t="str">
        <f>IF(LEN($B86)&gt;79,"MÁS DE 79 CARACTERES","")</f>
        <v/>
      </c>
    </row>
    <row r="88" spans="2:7">
      <c r="B88" s="1" t="inlineStr">
        <is>
          <t xml:space="preserve">Caso 2 — carga viva</t>
        </is>
      </c>
      <c r="C88" s="1" t="inlineStr">
        <is>
          <t xml:space="preserve">Revisión</t>
        </is>
      </c>
    </row>
    <row r="89" spans="2:7">
      <c r="B89" s="29" t="inlineStr">
        <is>
          <t xml:space="preserve">MEMBER LOAD</t>
        </is>
      </c>
      <c r="C89" s="17" t="str">
        <f>IF(LEN($B89)&gt;79,"MÁS DE 79 CARACTERES","")</f>
        <v/>
      </c>
    </row>
    <row r="90" spans="2:7">
      <c r="B90" s="29" t="str">
        <f>C30&amp;" UNI GY "&amp;TEXT(-F30*$C$24,"0.0000")</f>
        <v>74 121 TO 124 285 TO 287 310 TO 326 352 TO 371 UNI GY -0.3000</v>
      </c>
      <c r="C90" s="17" t="str">
        <f>IF(LEN($B90)&gt;79,"MÁS DE 79 CARACTERES","")</f>
        <v/>
      </c>
    </row>
    <row r="91" spans="2:7">
      <c r="B91" s="29" t="str">
        <f>C31&amp;" UNI GY "&amp;TEXT(-F31*$C$24,"0.0000")</f>
        <v>327 372 TO 375 UNI GY -0.2500</v>
      </c>
      <c r="C91" s="17" t="str">
        <f>IF(LEN($B91)&gt;79,"MÁS DE 79 CARACTERES","")</f>
        <v/>
      </c>
    </row>
    <row r="92" spans="2:7">
      <c r="B92" s="29" t="str">
        <f>C32&amp;" UNI GY "&amp;TEXT(-F32*$C$24,"0.0000")</f>
        <v>11 48 TO 51 UNI GY -0.1000</v>
      </c>
      <c r="C92" s="17" t="str">
        <f>IF(LEN($B92)&gt;79,"MÁS DE 79 CARACTERES","")</f>
        <v/>
      </c>
    </row>
    <row r="93" spans="2:7">
      <c r="B93" s="29" t="str">
        <f>C33&amp;" UNI GY "&amp;TEXT(-F33*$C$24,"0.0000")</f>
        <v>12 52 TO 55 UNI GY -0.1500</v>
      </c>
      <c r="C93" s="17" t="str">
        <f>IF(LEN($B93)&gt;79,"MÁS DE 79 CARACTERES","")</f>
        <v/>
      </c>
    </row>
    <row r="95" spans="2:7">
      <c r="B95" s="1" t="inlineStr">
        <is>
          <t xml:space="preserve">Caso 4 — masa del sismo (antes del SPECTRUM) · R3.6: largueros, dinteles, lámina de muro y contraflambeos de muro concentrados en los extremos de cada larguero</t>
        </is>
      </c>
      <c r="C95" s="1" t="inlineStr">
        <is>
          <t xml:space="preserve">Revisión</t>
        </is>
      </c>
    </row>
    <row r="96" spans="2:7">
      <c r="B96" s="29" t="inlineStr">
        <is>
          <t xml:space="preserve">JOINT LOAD</t>
        </is>
      </c>
      <c r="C96" s="17" t="str">
        <f>IF(LEN($B96)&gt;79,"MÁS DE 79 CARACTERES","")</f>
        <v/>
      </c>
    </row>
    <row r="97" spans="2:7">
      <c r="B97" s="29" t="inlineStr">
        <is>
          <t xml:space="preserve">* TECHO: 19.32 KG/M2 X AREA TRIBUTARIA DE CADA CABEZA (SOLO TECHO)</t>
        </is>
      </c>
      <c r="C97" s="17" t="str">
        <f>IF(LEN($B97)&gt;79,"MÁS DE 79 CARACTERES","")</f>
        <v/>
      </c>
    </row>
    <row r="98" spans="2:7">
      <c r="B98" s="29" t="inlineStr">
        <is>
          <t xml:space="preserve">7 8 FX 486.86 FZ 486.86</t>
        </is>
      </c>
      <c r="C98" s="17" t="str">
        <f>IF(LEN($B98)&gt;79,"MÁS DE 79 CARACTERES","")</f>
        <v/>
      </c>
    </row>
    <row r="99" spans="2:7">
      <c r="B99" s="29" t="inlineStr">
        <is>
          <t xml:space="preserve">75 76 FX 778.98 FZ 778.98</t>
        </is>
      </c>
      <c r="C99" s="17" t="str">
        <f>IF(LEN($B99)&gt;79,"MÁS DE 79 CARACTERES","")</f>
        <v/>
      </c>
    </row>
    <row r="100" spans="2:7">
      <c r="B100" s="29" t="inlineStr">
        <is>
          <t xml:space="preserve">9 10 FX 292.12 FZ 292.12</t>
        </is>
      </c>
      <c r="C100" s="17" t="str">
        <f>IF(LEN($B100)&gt;79,"MÁS DE 79 CARACTERES","")</f>
        <v/>
      </c>
    </row>
    <row r="101" spans="2:7">
      <c r="B101" s="29" t="inlineStr">
        <is>
          <t xml:space="preserve">* CORTINA: 198.9 KG ARRIBA DE CADA JAMBA</t>
        </is>
      </c>
      <c r="C101" s="17" t="str">
        <f>IF(LEN($B101)&gt;79,"MÁS DE 79 CARACTERES","")</f>
        <v/>
      </c>
    </row>
    <row r="102" spans="2:7">
      <c r="B102" s="29" t="inlineStr">
        <is>
          <t xml:space="preserve">69 70 FX 198.9 FZ 198.9</t>
        </is>
      </c>
      <c r="C102" s="17" t="str">
        <f>IF(LEN($B102)&gt;79,"MÁS DE 79 CARACTERES","")</f>
        <v/>
      </c>
    </row>
    <row r="103" spans="2:7">
      <c r="B103" s="29" t="inlineStr">
        <is>
          <t xml:space="preserve">* LARGUEROS, DINTELES Y LAMINA DE MURO: SU MASA A LOS EXTREMOS DE CADA</t>
        </is>
      </c>
      <c r="C103" s="17" t="str">
        <f>IF(LEN($B103)&gt;79,"MÁS DE 79 CARACTERES","")</f>
        <v/>
      </c>
    </row>
    <row r="104" spans="2:7">
      <c r="B104" s="29" t="inlineStr">
        <is>
          <t xml:space="preserve">* LARGUERO (COLUMNAS, JAMBAS O POSTES), A SU ALTURA; CONTRAFLAMBEOS DE</t>
        </is>
      </c>
      <c r="C104" s="17" t="str">
        <f>IF(LEN($B104)&gt;79,"MÁS DE 79 CARACTERES","")</f>
        <v/>
      </c>
    </row>
    <row r="105" spans="2:7">
      <c r="B105" s="29" t="inlineStr">
        <is>
          <t xml:space="preserve">* MURO AL NODO DE ARRIBA. ASI NO HAY MODOS LOCALES DE LARGUEROS.</t>
        </is>
      </c>
      <c r="C105" s="17" t="str">
        <f>IF(LEN($B105)&gt;79,"MÁS DE 79 CARACTERES","")</f>
        <v/>
      </c>
    </row>
    <row r="106" spans="2:7">
      <c r="B106" s="29" t="inlineStr">
        <is>
          <t xml:space="preserve">53 55 FX 186.1 FZ 186.1</t>
        </is>
      </c>
      <c r="C106" s="17" t="str">
        <f>IF(LEN($B106)&gt;79,"MÁS DE 79 CARACTERES","")</f>
        <v/>
      </c>
    </row>
    <row r="107" spans="2:7">
      <c r="B107" s="29" t="inlineStr">
        <is>
          <t xml:space="preserve">47 50 FX 161.4 FZ 161.4</t>
        </is>
      </c>
      <c r="C107" s="17" t="str">
        <f>IF(LEN($B107)&gt;79,"MÁS DE 79 CARACTERES","")</f>
        <v/>
      </c>
    </row>
    <row r="108" spans="2:7">
      <c r="B108" s="29" t="inlineStr">
        <is>
          <t xml:space="preserve">41 44 FX 154.0 FZ 154.0</t>
        </is>
      </c>
      <c r="C108" s="17" t="str">
        <f>IF(LEN($B108)&gt;79,"MÁS DE 79 CARACTERES","")</f>
        <v/>
      </c>
    </row>
    <row r="109" spans="2:7">
      <c r="B109" s="29" t="inlineStr">
        <is>
          <t xml:space="preserve">131 132 FX 141.6 FZ 141.6</t>
        </is>
      </c>
      <c r="C109" s="17" t="str">
        <f>IF(LEN($B109)&gt;79,"MÁS DE 79 CARACTERES","")</f>
        <v/>
      </c>
    </row>
    <row r="110" spans="2:7">
      <c r="B110" s="29" t="inlineStr">
        <is>
          <t xml:space="preserve">12 15 18 21 24 27 30 33 36 39 42 45 48 51 FX 120.9 FZ 120.9</t>
        </is>
      </c>
      <c r="C110" s="17" t="str">
        <f>IF(LEN($B110)&gt;79,"MÁS DE 79 CARACTERES","")</f>
        <v/>
      </c>
    </row>
    <row r="111" spans="2:7">
      <c r="B111" s="29" t="inlineStr">
        <is>
          <t xml:space="preserve">14 20 26 32 FX 95.3 FZ 95.3</t>
        </is>
      </c>
      <c r="C111" s="17" t="str">
        <f>IF(LEN($B111)&gt;79,"MÁS DE 79 CARACTERES","")</f>
        <v/>
      </c>
    </row>
    <row r="112" spans="2:7">
      <c r="B112" s="29" t="inlineStr">
        <is>
          <t xml:space="preserve">23 29 FX 93.4 FZ 93.4</t>
        </is>
      </c>
      <c r="C112" s="17" t="str">
        <f>IF(LEN($B112)&gt;79,"MÁS DE 79 CARACTERES","")</f>
        <v/>
      </c>
    </row>
    <row r="113" spans="2:7">
      <c r="B113" s="29" t="inlineStr">
        <is>
          <t xml:space="preserve">38 FX 92.6 FZ 92.6</t>
        </is>
      </c>
      <c r="C113" s="17" t="str">
        <f>IF(LEN($B113)&gt;79,"MÁS DE 79 CARACTERES","")</f>
        <v/>
      </c>
    </row>
    <row r="114" spans="2:7">
      <c r="B114" s="29" t="inlineStr">
        <is>
          <t xml:space="preserve">35 FX 91.0 FZ 91.0</t>
        </is>
      </c>
      <c r="C114" s="17" t="str">
        <f>IF(LEN($B114)&gt;79,"MÁS DE 79 CARACTERES","")</f>
        <v/>
      </c>
    </row>
    <row r="115" spans="2:7">
      <c r="B115" s="29" t="inlineStr">
        <is>
          <t xml:space="preserve">70 FX 88.3 FZ 88.3</t>
        </is>
      </c>
      <c r="C115" s="17" t="str">
        <f>IF(LEN($B115)&gt;79,"MÁS DE 79 CARACTERES","")</f>
        <v/>
      </c>
    </row>
    <row r="116" spans="2:7">
      <c r="B116" s="29" t="inlineStr">
        <is>
          <t xml:space="preserve">69 FX 84.3 FZ 84.3</t>
        </is>
      </c>
      <c r="C116" s="17" t="str">
        <f>IF(LEN($B116)&gt;79,"MÁS DE 79 CARACTERES","")</f>
        <v/>
      </c>
    </row>
    <row r="117" spans="2:7">
      <c r="B117" s="29" t="inlineStr">
        <is>
          <t xml:space="preserve">11 17 FX 83.7 FZ 83.7</t>
        </is>
      </c>
      <c r="C117" s="17" t="str">
        <f>IF(LEN($B117)&gt;79,"MÁS DE 79 CARACTERES","")</f>
        <v/>
      </c>
    </row>
    <row r="118" spans="2:7">
      <c r="B118" s="29" t="inlineStr">
        <is>
          <t xml:space="preserve">9 10 FX 50.8 FZ 50.8</t>
        </is>
      </c>
      <c r="C118" s="17" t="str">
        <f>IF(LEN($B118)&gt;79,"MÁS DE 79 CARACTERES","")</f>
        <v/>
      </c>
    </row>
    <row r="119" spans="2:7">
      <c r="B119" s="29" t="inlineStr">
        <is>
          <t xml:space="preserve">13 16 19 22 25 28 31 34 37 40 43 46 49 52 FX 40.5 FZ 40.5</t>
        </is>
      </c>
      <c r="C119" s="17" t="str">
        <f>IF(LEN($B119)&gt;79,"MÁS DE 79 CARACTERES","")</f>
        <v/>
      </c>
    </row>
    <row r="120" spans="2:7">
      <c r="B120" s="29" t="inlineStr">
        <is>
          <t xml:space="preserve">130 FX 31.6 FZ 31.6</t>
        </is>
      </c>
      <c r="C120" s="17" t="str">
        <f>IF(LEN($B120)&gt;79,"MÁS DE 79 CARACTERES","")</f>
        <v/>
      </c>
    </row>
    <row r="121" spans="2:7">
      <c r="B121" s="29" t="inlineStr">
        <is>
          <t xml:space="preserve">129 FX 27.5 FZ 27.5</t>
        </is>
      </c>
      <c r="C121" s="17" t="str">
        <f>IF(LEN($B121)&gt;79,"MÁS DE 79 CARACTERES","")</f>
        <v/>
      </c>
    </row>
    <row r="122" spans="2:7">
      <c r="B122" s="29" t="inlineStr">
        <is>
          <t xml:space="preserve">169 175 FX 19.9 FZ 19.9</t>
        </is>
      </c>
      <c r="C122" s="17" t="str">
        <f>IF(LEN($B122)&gt;79,"MÁS DE 79 CARACTERES","")</f>
        <v/>
      </c>
    </row>
    <row r="123" spans="2:7">
      <c r="B123" s="29" t="inlineStr">
        <is>
          <t xml:space="preserve">386 388 FX 19.6 FZ 19.6</t>
        </is>
      </c>
      <c r="C123" s="17" t="str">
        <f>IF(LEN($B123)&gt;79,"MÁS DE 79 CARACTERES","")</f>
        <v/>
      </c>
    </row>
    <row r="124" spans="2:7">
      <c r="B124" s="29" t="inlineStr">
        <is>
          <t xml:space="preserve">385 387 FX 19.3 FZ 19.3</t>
        </is>
      </c>
      <c r="C124" s="17" t="str">
        <f>IF(LEN($B124)&gt;79,"MÁS DE 79 CARACTERES","")</f>
        <v/>
      </c>
    </row>
    <row r="125" spans="2:7">
      <c r="B125" s="29" t="inlineStr">
        <is>
          <t xml:space="preserve">381 383 FX 18.8 FZ 18.8</t>
        </is>
      </c>
      <c r="C125" s="17" t="str">
        <f>IF(LEN($B125)&gt;79,"MÁS DE 79 CARACTERES","")</f>
        <v/>
      </c>
    </row>
    <row r="126" spans="2:7">
      <c r="B126" s="29" t="inlineStr">
        <is>
          <t xml:space="preserve">382 384 FX 18.6 FZ 18.6</t>
        </is>
      </c>
      <c r="C126" s="17" t="str">
        <f>IF(LEN($B126)&gt;79,"MÁS DE 79 CARACTERES","")</f>
        <v/>
      </c>
    </row>
    <row r="127" spans="2:7">
      <c r="B127" s="29" t="inlineStr">
        <is>
          <t xml:space="preserve">117 119 121 127 FX 14.9 FZ 14.9</t>
        </is>
      </c>
      <c r="C127" s="17" t="str">
        <f>IF(LEN($B127)&gt;79,"MÁS DE 79 CARACTERES","")</f>
        <v/>
      </c>
    </row>
    <row r="128" spans="2:7">
      <c r="B128" s="29" t="inlineStr">
        <is>
          <t xml:space="preserve">120 122 FX 13.0 FZ 13.0</t>
        </is>
      </c>
      <c r="C128" s="17" t="str">
        <f>IF(LEN($B128)&gt;79,"MÁS DE 79 CARACTERES","")</f>
        <v/>
      </c>
    </row>
    <row r="129" spans="2:7">
      <c r="B129" s="29" t="inlineStr">
        <is>
          <t xml:space="preserve">123 FX 12.2 FZ 12.2</t>
        </is>
      </c>
      <c r="C129" s="17" t="str">
        <f>IF(LEN($B129)&gt;79,"MÁS DE 79 CARACTERES","")</f>
        <v/>
      </c>
    </row>
    <row r="130" spans="2:7">
      <c r="B130" s="29" t="inlineStr">
        <is>
          <t xml:space="preserve">124 FX 10.7 FZ 10.7</t>
        </is>
      </c>
      <c r="C130" s="17" t="str">
        <f>IF(LEN($B130)&gt;79,"MÁS DE 79 CARACTERES","")</f>
        <v/>
      </c>
    </row>
    <row r="131" spans="2:7">
      <c r="B131" s="29" t="inlineStr">
        <is>
          <t xml:space="preserve">71 FX 8.1 FZ 8.1</t>
        </is>
      </c>
      <c r="C131" s="17" t="str">
        <f>IF(LEN($B131)&gt;79,"MÁS DE 79 CARACTERES","")</f>
        <v/>
      </c>
    </row>
    <row r="132" spans="2:7">
      <c r="B132" s="29" t="inlineStr">
        <is>
          <t xml:space="preserve">72 FX 7.5 FZ 7.5</t>
        </is>
      </c>
      <c r="C132" s="17" t="str">
        <f>IF(LEN($B132)&gt;79,"MÁS DE 79 CARACTERES","")</f>
        <v/>
      </c>
    </row>
    <row r="133" spans="2:7">
      <c r="B133" s="29" t="inlineStr">
        <is>
          <t xml:space="preserve">57 TO 60 FX 7.1 FZ 7.1</t>
        </is>
      </c>
      <c r="C133" s="17" t="str">
        <f>IF(LEN($B133)&gt;79,"MÁS DE 79 CARACTERES","")</f>
        <v/>
      </c>
    </row>
    <row r="134" spans="2:7">
      <c r="B134" s="29" t="inlineStr">
        <is>
          <t xml:space="preserve">126 FX 3.4 FZ 3.4</t>
        </is>
      </c>
      <c r="C134" s="17" t="str">
        <f>IF(LEN($B134)&gt;79,"MÁS DE 79 CARACTERES","")</f>
        <v/>
      </c>
    </row>
    <row r="135" spans="2:7">
      <c r="B135" s="29" t="inlineStr">
        <is>
          <t xml:space="preserve">118 125 128 FX 2.8 FZ 2.8</t>
        </is>
      </c>
      <c r="C135" s="17" t="str">
        <f>IF(LEN($B135)&gt;79,"MÁS DE 79 CARACTERES","")</f>
        <v/>
      </c>
    </row>
    <row r="136" spans="2:7">
      <c r="B136" s="29" t="inlineStr">
        <is>
          <t xml:space="preserve">MEMBER LOAD</t>
        </is>
      </c>
      <c r="C136" s="17" t="str">
        <f>IF(LEN($B136)&gt;79,"MÁS DE 79 CARACTERES","")</f>
        <v/>
      </c>
    </row>
    <row r="137" spans="2:7">
      <c r="B137" s="29" t="inlineStr">
        <is>
          <t xml:space="preserve">11 48 TO 51 UNI GX 0.0243</t>
        </is>
      </c>
      <c r="C137" s="17" t="str">
        <f>IF(LEN($B137)&gt;79,"MÁS DE 79 CARACTERES","")</f>
        <v/>
      </c>
    </row>
    <row r="138" spans="2:7">
      <c r="B138" s="29" t="inlineStr">
        <is>
          <t xml:space="preserve">241 242 269 TO 280 605 TO 608 UNI GX 0.0167</t>
        </is>
      </c>
      <c r="C138" s="17" t="str">
        <f>IF(LEN($B138)&gt;79,"MÁS DE 79 CARACTERES","")</f>
        <v/>
      </c>
    </row>
    <row r="139" spans="2:7">
      <c r="B139" s="29" t="inlineStr">
        <is>
          <t xml:space="preserve">243 TO 250 601 TO 604 UNI GX 0.0046</t>
        </is>
      </c>
      <c r="C139" s="17" t="str">
        <f>IF(LEN($B139)&gt;79,"MÁS DE 79 CARACTERES","")</f>
        <v/>
      </c>
    </row>
    <row r="140" spans="2:7">
      <c r="B140" s="29" t="inlineStr">
        <is>
          <t xml:space="preserve">11 48 TO 51 UNI GZ 0.0243</t>
        </is>
      </c>
      <c r="C140" s="17" t="str">
        <f>IF(LEN($B140)&gt;79,"MÁS DE 79 CARACTERES","")</f>
        <v/>
      </c>
    </row>
    <row r="141" spans="2:7">
      <c r="B141" s="29" t="inlineStr">
        <is>
          <t xml:space="preserve">241 242 269 TO 280 605 TO 608 UNI GZ 0.0167</t>
        </is>
      </c>
      <c r="C141" s="17" t="str">
        <f>IF(LEN($B141)&gt;79,"MÁS DE 79 CARACTERES","")</f>
        <v/>
      </c>
    </row>
    <row r="142" spans="2:7">
      <c r="B142" s="29" t="inlineStr">
        <is>
          <t xml:space="preserve">243 TO 250 601 TO 604 UNI GZ 0.0046</t>
        </is>
      </c>
      <c r="C142" s="17" t="str">
        <f>IF(LEN($B142)&gt;79,"MÁS DE 79 CARACTERES","")</f>
        <v/>
      </c>
    </row>
    <row r="143" spans="2:7">
      <c r="B143" s="29" t="inlineStr">
        <is>
          <t xml:space="preserve">* PESO PROPIO DEL RESTO DEL ACERO (COLUMNAS, VIGAS, TECHO, PTR Y CABLES)</t>
        </is>
      </c>
      <c r="C143" s="17" t="str">
        <f>IF(LEN($B143)&gt;79,"MÁS DE 79 CARACTERES","")</f>
        <v/>
      </c>
    </row>
    <row r="144" spans="2:7">
      <c r="B144" s="29" t="inlineStr">
        <is>
          <t xml:space="preserve">SELFWEIGHT X 1 LIST 1 2 4 6 11 12 48 TO 55 60 61 64 TO 67 74 121 TO 124 151 -</t>
        </is>
      </c>
      <c r="C144" s="17" t="str">
        <f>IF(LEN($B144)&gt;79,"MÁS DE 79 CARACTERES","")</f>
        <v/>
      </c>
    </row>
    <row r="145" spans="2:7">
      <c r="B145" s="29" t="inlineStr">
        <is>
          <t xml:space="preserve">152 163 TO 198 217 TO 232 235 TO 250 269 TO 287 294 TO 375 426 TO 429 -</t>
        </is>
      </c>
      <c r="C145" s="17" t="str">
        <f>IF(LEN($B145)&gt;79,"MÁS DE 79 CARACTERES","")</f>
        <v/>
      </c>
    </row>
    <row r="146" spans="2:7">
      <c r="B146" s="29" t="inlineStr">
        <is>
          <t xml:space="preserve">434 TO 465 601 TO 608</t>
        </is>
      </c>
      <c r="C146" s="17" t="str">
        <f>IF(LEN($B146)&gt;79,"MÁS DE 79 CARACTERES","")</f>
        <v/>
      </c>
    </row>
    <row r="147" spans="2:7">
      <c r="B147" s="29" t="inlineStr">
        <is>
          <t xml:space="preserve">SELFWEIGHT Z 1 LIST 1 2 4 6 11 12 48 TO 55 60 61 64 TO 67 74 121 TO 124 151 -</t>
        </is>
      </c>
      <c r="C147" s="17" t="str">
        <f>IF(LEN($B147)&gt;79,"MÁS DE 79 CARACTERES","")</f>
        <v/>
      </c>
    </row>
    <row r="148" spans="2:7">
      <c r="B148" s="29" t="inlineStr">
        <is>
          <t xml:space="preserve">152 163 TO 198 217 TO 232 235 TO 250 269 TO 287 294 TO 375 426 TO 429 -</t>
        </is>
      </c>
      <c r="C148" s="17" t="str">
        <f>IF(LEN($B148)&gt;79,"MÁS DE 79 CARACTERES","")</f>
        <v/>
      </c>
    </row>
    <row r="149" spans="2:7">
      <c r="B149" s="29" t="inlineStr">
        <is>
          <t xml:space="preserve">434 TO 465 601 TO 608</t>
        </is>
      </c>
      <c r="C149" s="17" t="str">
        <f>IF(LEN($B149)&gt;79,"MÁS DE 79 CARACTERES","")</f>
        <v/>
      </c>
    </row>
  </sheetData>
  <mergeCells count="33">
    <mergeCell ref="B28:G28"/>
    <mergeCell ref="B36:G36"/>
    <mergeCell ref="B37:G37"/>
    <mergeCell ref="B45:G45"/>
    <mergeCell ref="B46:G46"/>
    <mergeCell ref="E22:G22"/>
    <mergeCell ref="E23:G23"/>
    <mergeCell ref="E24:G24"/>
    <mergeCell ref="E25:G25"/>
    <mergeCell ref="B27:G27"/>
    <mergeCell ref="E17:G17"/>
    <mergeCell ref="E18:G18"/>
    <mergeCell ref="E19:G19"/>
    <mergeCell ref="E20:G20"/>
    <mergeCell ref="E21:G21"/>
    <mergeCell ref="E12:G12"/>
    <mergeCell ref="E13:G13"/>
    <mergeCell ref="E14:G14"/>
    <mergeCell ref="E15:G15"/>
    <mergeCell ref="E16:G16"/>
    <mergeCell ref="E7:G7"/>
    <mergeCell ref="E8:G8"/>
    <mergeCell ref="E9:G9"/>
    <mergeCell ref="E10:G10"/>
    <mergeCell ref="E11:G11"/>
    <mergeCell ref="B1:G1"/>
    <mergeCell ref="B2:G2"/>
    <mergeCell ref="B4:G4"/>
    <mergeCell ref="E5:G5"/>
    <mergeCell ref="E6:G6"/>
    <mergeCell ref="B44:G44"/>
    <mergeCell ref="B63:G63"/>
    <mergeCell ref="B64:G6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C70F-AE84-4D07-8D7C-D51B065333DC}">
  <sheetPr>
    <pageSetUpPr fitToPage="1"/>
  </sheetPr>
  <dimension ref="B1:R117"/>
  <sheetViews>
    <sheetView showGridLines="0" topLeftCell="A3" zoomScaleNormal="100" workbookViewId="0">
      <selection activeCell="J11" sqref="J11:K117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4" width="14" customWidth="1"/>
    <col min="5" max="5" width="2.44140625" customWidth="1"/>
    <col min="6" max="6" width="10" customWidth="1"/>
    <col min="7" max="8" width="14" customWidth="1"/>
    <col min="9" max="9" width="2.44140625" customWidth="1"/>
    <col min="10" max="10" width="10" customWidth="1"/>
    <col min="11" max="13" width="14" customWidth="1"/>
    <col min="14" max="14" width="46" customWidth="1"/>
    <col min="15" max="16" width="12" customWidth="1"/>
    <col min="17" max="17" width="8" customWidth="1"/>
    <col min="18" max="18" width="46" customWidth="1"/>
  </cols>
  <sheetData>
    <row r="1" spans="2:18" ht="25.5" customHeight="1" x14ac:dyDescent="0.3">
      <c r="B1" s="38" t="s">
        <v>370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2:18" ht="30" customHeight="1" x14ac:dyDescent="0.3">
      <c r="B2" s="33" t="s">
        <v>371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2:1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2:18" ht="42" customHeight="1" x14ac:dyDescent="0.3">
      <c r="B4" s="39" t="s">
        <v>1013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2:18" ht="6" customHeight="1" x14ac:dyDescent="0.3"/>
    <row r="6" spans="2:18" ht="21" customHeight="1" x14ac:dyDescent="0.3">
      <c r="B6" s="37" t="s">
        <v>372</v>
      </c>
      <c r="C6" s="34"/>
      <c r="D6" s="34"/>
      <c r="E6" s="34"/>
      <c r="F6" s="34"/>
      <c r="G6" s="34"/>
      <c r="H6" s="34"/>
      <c r="I6" s="34"/>
      <c r="J6" s="34"/>
      <c r="K6" s="34"/>
      <c r="L6" s="34"/>
      <c r="N6" s="37" t="s">
        <v>373</v>
      </c>
      <c r="O6" s="34"/>
      <c r="P6" s="34"/>
      <c r="Q6" s="34"/>
      <c r="R6" s="34"/>
    </row>
    <row r="7" spans="2:18" ht="30" customHeight="1" x14ac:dyDescent="0.3">
      <c r="B7" s="35" t="s">
        <v>374</v>
      </c>
      <c r="C7" s="36"/>
      <c r="D7" s="36"/>
      <c r="E7" s="36"/>
      <c r="F7" s="36"/>
      <c r="G7" s="36"/>
      <c r="H7" s="36"/>
      <c r="I7" s="36"/>
      <c r="J7" s="36"/>
      <c r="K7" s="36"/>
      <c r="L7" s="36"/>
      <c r="N7" s="35" t="s">
        <v>375</v>
      </c>
      <c r="O7" s="36"/>
      <c r="P7" s="36"/>
      <c r="Q7" s="36"/>
      <c r="R7" s="36"/>
    </row>
    <row r="8" spans="2:18" ht="30" customHeight="1" x14ac:dyDescent="0.3">
      <c r="B8" s="45" t="s">
        <v>376</v>
      </c>
      <c r="C8" s="46"/>
      <c r="D8" s="46"/>
      <c r="F8" s="45" t="s">
        <v>377</v>
      </c>
      <c r="G8" s="46"/>
      <c r="H8" s="46"/>
      <c r="J8" s="45" t="s">
        <v>378</v>
      </c>
      <c r="K8" s="46"/>
      <c r="L8" s="46"/>
      <c r="N8" s="1" t="s">
        <v>28</v>
      </c>
      <c r="O8" s="1" t="s">
        <v>334</v>
      </c>
      <c r="P8" s="1" t="s">
        <v>335</v>
      </c>
      <c r="Q8" s="1" t="s">
        <v>30</v>
      </c>
      <c r="R8" s="1" t="s">
        <v>32</v>
      </c>
    </row>
    <row r="9" spans="2:18" ht="25.5" customHeight="1" x14ac:dyDescent="0.3">
      <c r="B9" s="48" t="str">
        <f>IF(STAAD!$C$17="ASCE 7-16","ASCE 7-16 §11.4.6 · S_a de diseño (⅔ del MCE_R)","NTDS-1994 §5.2, pág. 11 · C_sm con R = 1 (ya trae I)")</f>
        <v>NTDS-1994 §5.2, pág. 11 · C_sm con R = 1 (ya trae I)</v>
      </c>
      <c r="C9" s="36"/>
      <c r="D9" s="36"/>
      <c r="F9" s="48" t="str">
        <f>IF(STAAD!$C$17="ASCE 7-16","ASCE 7-16 §11.4.6 y §12.9.1 · S_a·I_e/R_X","NTDS-1994 §5.2, pág. 11 · C_sm ÷ R_X (Tabla 7, pág. 23)")</f>
        <v>NTDS-1994 §5.2, pág. 11 · C_sm ÷ R_X (Tabla 7, pág. 23)</v>
      </c>
      <c r="G9" s="36"/>
      <c r="H9" s="36"/>
      <c r="J9" s="48" t="str">
        <f>IF(STAAD!$C$17="ASCE 7-16","ASCE 7-16 §11.4.6 y §12.9.1 · S_a·I_e/R_Z","NTDS-1994 §5.2, pág. 11 · C_sm ÷ R_Z (Tabla 7, pág. 23)")</f>
        <v>NTDS-1994 §5.2, pág. 11 · C_sm ÷ R_Z (Tabla 7, pág. 23)</v>
      </c>
      <c r="K9" s="36"/>
      <c r="L9" s="36"/>
      <c r="N9" s="2" t="s">
        <v>379</v>
      </c>
      <c r="O9" s="49" t="str">
        <f>STAAD!$C$17</f>
        <v>NTDS-1994</v>
      </c>
      <c r="P9" s="36"/>
      <c r="Q9" s="6" t="s">
        <v>43</v>
      </c>
      <c r="R9" s="4" t="s">
        <v>380</v>
      </c>
    </row>
    <row r="10" spans="2:18" ht="48.6" customHeight="1" x14ac:dyDescent="0.3">
      <c r="B10" s="1" t="s">
        <v>7</v>
      </c>
      <c r="C10" s="1" t="s">
        <v>381</v>
      </c>
      <c r="D10" s="1" t="s">
        <v>382</v>
      </c>
      <c r="F10" s="1" t="s">
        <v>7</v>
      </c>
      <c r="G10" s="1" t="s">
        <v>381</v>
      </c>
      <c r="H10" s="1" t="s">
        <v>382</v>
      </c>
      <c r="J10" s="1" t="s">
        <v>7</v>
      </c>
      <c r="K10" s="1" t="s">
        <v>381</v>
      </c>
      <c r="L10" s="1" t="s">
        <v>382</v>
      </c>
      <c r="N10" s="2" t="s">
        <v>383</v>
      </c>
      <c r="O10" s="7">
        <f>IF(STAAD!$C$17="ASCE 7-16",COEFICIENTE!$C$35,COEFICIENTE!$C$12)</f>
        <v>7.0</v>
      </c>
      <c r="P10" s="7">
        <f>IF(STAAD!$C$17="ASCE 7-16",COEFICIENTE!$D$35,COEFICIENTE!$D$12)</f>
        <v>7.0</v>
      </c>
      <c r="Q10" s="6" t="s">
        <v>43</v>
      </c>
      <c r="R10" s="4" t="s">
        <v>384</v>
      </c>
    </row>
    <row r="11" spans="2:18" ht="15" customHeight="1" x14ac:dyDescent="0.3">
      <c r="B11" s="24">
        <f>ESPECTROS!$B73</f>
        <v>0.0</v>
      </c>
      <c r="C11" s="25">
        <f>ESPECTROS!$O73</f>
        <v>0.48</v>
      </c>
      <c r="D11" s="30">
        <f t="shared" ref="D11:D42" si="0">C11*$O$16</f>
        <v>470.7192</v>
      </c>
      <c r="F11" s="24">
        <f>ESPECTROS!$B73</f>
        <v>0.0</v>
      </c>
      <c r="G11" s="25">
        <f>IF(STAAD!$C$17="ASCE 7-16",ESPECTROS!$H73*IF(DATOS!$C$9="SÍ",COEFICIENTE!$C$68,1),ESPECTROS!$D73)</f>
        <v>0.06857142857142857</v>
      </c>
      <c r="H11" s="30">
        <f t="shared" ref="H11:H42" si="1">G11*$O$16</f>
        <v>67.2456</v>
      </c>
      <c r="J11" s="24">
        <f>ESPECTROS!$B73</f>
        <v>0.0</v>
      </c>
      <c r="K11" s="25">
        <f>IF(STAAD!$C$17="ASCE 7-16",ESPECTROS!$I73*IF(DATOS!$C$9="SÍ",COEFICIENTE!$D$68,1),ESPECTROS!$E73)</f>
        <v>0.06857142857142857</v>
      </c>
      <c r="L11" s="30">
        <f t="shared" ref="L11:L42" si="2">K11*$O$16</f>
        <v>67.2456</v>
      </c>
      <c r="N11" s="2" t="s">
        <v>385</v>
      </c>
      <c r="O11" s="28">
        <f>STAAD!$C$18</f>
        <v>140.095</v>
      </c>
      <c r="P11" s="28">
        <f>STAAD!$D$18</f>
        <v>140.095</v>
      </c>
      <c r="Q11" s="6" t="s">
        <v>386</v>
      </c>
      <c r="R11" s="4" t="s">
        <v>387</v>
      </c>
    </row>
    <row r="12" spans="2:18" ht="15" customHeight="1" x14ac:dyDescent="0.3">
      <c r="B12" s="24">
        <f>ESPECTROS!$B74</f>
        <v>0.02</v>
      </c>
      <c r="C12" s="25">
        <f>ESPECTROS!$O74</f>
        <v>0.576</v>
      </c>
      <c r="D12" s="30">
        <f t="shared" si="0"/>
        <v>564.86304</v>
      </c>
      <c r="F12" s="24">
        <f>ESPECTROS!$B74</f>
        <v>0.02</v>
      </c>
      <c r="G12" s="25">
        <f>IF(STAAD!$C$17="ASCE 7-16",ESPECTROS!$H74*IF(DATOS!$C$9="SÍ",COEFICIENTE!$C$68,1),ESPECTROS!$D74)</f>
        <v>0.08228571428571428</v>
      </c>
      <c r="H12" s="30">
        <f t="shared" si="1"/>
        <v>80.69471999999999</v>
      </c>
      <c r="J12" s="24">
        <f>ESPECTROS!$B74</f>
        <v>0.02</v>
      </c>
      <c r="K12" s="25">
        <f>IF(STAAD!$C$17="ASCE 7-16",ESPECTROS!$I74*IF(DATOS!$C$9="SÍ",COEFICIENTE!$D$68,1),ESPECTROS!$E74)</f>
        <v>0.08228571428571428</v>
      </c>
      <c r="L12" s="30">
        <f t="shared" si="2"/>
        <v>80.69471999999999</v>
      </c>
      <c r="N12" s="2" t="s">
        <v>388</v>
      </c>
      <c r="O12" s="28">
        <v>9.8066499999999994</v>
      </c>
      <c r="P12" s="28">
        <f>$O$12</f>
        <v>9.80665</v>
      </c>
      <c r="Q12" s="6" t="s">
        <v>386</v>
      </c>
      <c r="R12" s="4" t="s">
        <v>389</v>
      </c>
    </row>
    <row r="13" spans="2:18" ht="15" customHeight="1" x14ac:dyDescent="0.3">
      <c r="B13" s="24">
        <f>ESPECTROS!$B75</f>
        <v>0.04</v>
      </c>
      <c r="C13" s="25">
        <f>ESPECTROS!$O75</f>
        <v>0.6719999999999999</v>
      </c>
      <c r="D13" s="30">
        <f t="shared" si="0"/>
        <v>659.0068799999999</v>
      </c>
      <c r="F13" s="24">
        <f>ESPECTROS!$B75</f>
        <v>0.04</v>
      </c>
      <c r="G13" s="25">
        <f>IF(STAAD!$C$17="ASCE 7-16",ESPECTROS!$H75*IF(DATOS!$C$9="SÍ",COEFICIENTE!$C$68,1),ESPECTROS!$D75)</f>
        <v>0.09599999999999999</v>
      </c>
      <c r="H13" s="30">
        <f t="shared" si="1"/>
        <v>94.14383999999998</v>
      </c>
      <c r="J13" s="24">
        <f>ESPECTROS!$B75</f>
        <v>0.04</v>
      </c>
      <c r="K13" s="25">
        <f>IF(STAAD!$C$17="ASCE 7-16",ESPECTROS!$I75*IF(DATOS!$C$9="SÍ",COEFICIENTE!$D$68,1),ESPECTROS!$E75)</f>
        <v>0.09599999999999999</v>
      </c>
      <c r="L13" s="30">
        <f t="shared" si="2"/>
        <v>94.14383999999998</v>
      </c>
      <c r="N13" s="2" t="s">
        <v>390</v>
      </c>
      <c r="O13" s="47">
        <f>MAX($C$11:$C$117)</f>
        <v>1.44</v>
      </c>
      <c r="P13" s="36"/>
      <c r="Q13" s="6" t="s">
        <v>68</v>
      </c>
      <c r="R13" s="4" t="s">
        <v>391</v>
      </c>
    </row>
    <row r="14" spans="2:18" ht="15" customHeight="1" x14ac:dyDescent="0.3">
      <c r="B14" s="24">
        <f>ESPECTROS!$B76</f>
        <v>0.06</v>
      </c>
      <c r="C14" s="25">
        <f>ESPECTROS!$O76</f>
        <v>0.768</v>
      </c>
      <c r="D14" s="30">
        <f t="shared" si="0"/>
        <v>753.15072</v>
      </c>
      <c r="F14" s="24">
        <f>ESPECTROS!$B76</f>
        <v>0.06</v>
      </c>
      <c r="G14" s="25">
        <f>IF(STAAD!$C$17="ASCE 7-16",ESPECTROS!$H76*IF(DATOS!$C$9="SÍ",COEFICIENTE!$C$68,1),ESPECTROS!$D76)</f>
        <v>0.10971428571428572</v>
      </c>
      <c r="H14" s="30">
        <f t="shared" si="1"/>
        <v>107.59296</v>
      </c>
      <c r="J14" s="24">
        <f>ESPECTROS!$B76</f>
        <v>0.06</v>
      </c>
      <c r="K14" s="25">
        <f>IF(STAAD!$C$17="ASCE 7-16",ESPECTROS!$I76*IF(DATOS!$C$9="SÍ",COEFICIENTE!$D$68,1),ESPECTROS!$E76)</f>
        <v>0.10971428571428572</v>
      </c>
      <c r="L14" s="30">
        <f t="shared" si="2"/>
        <v>107.59296</v>
      </c>
      <c r="N14" s="2" t="s">
        <v>392</v>
      </c>
      <c r="O14" s="20">
        <f>MAX($G$11:$G$117)</f>
        <v>0.2057142857142857</v>
      </c>
      <c r="P14" s="20">
        <f>MAX($K$11:$K$117)</f>
        <v>0.2057142857142857</v>
      </c>
      <c r="Q14" s="6" t="s">
        <v>68</v>
      </c>
      <c r="R14" s="4" t="s">
        <v>393</v>
      </c>
    </row>
    <row r="15" spans="2:18" ht="15" customHeight="1" x14ac:dyDescent="0.3">
      <c r="B15" s="24">
        <f>ESPECTROS!$B77</f>
        <v>0.08</v>
      </c>
      <c r="C15" s="25">
        <f>ESPECTROS!$O77</f>
        <v>0.864</v>
      </c>
      <c r="D15" s="30">
        <f t="shared" si="0"/>
        <v>847.2945599999999</v>
      </c>
      <c r="F15" s="24">
        <f>ESPECTROS!$B77</f>
        <v>0.08</v>
      </c>
      <c r="G15" s="25">
        <f>IF(STAAD!$C$17="ASCE 7-16",ESPECTROS!$H77*IF(DATOS!$C$9="SÍ",COEFICIENTE!$C$68,1),ESPECTROS!$D77)</f>
        <v>0.12342857142857143</v>
      </c>
      <c r="H15" s="30">
        <f t="shared" si="1"/>
        <v>121.04208</v>
      </c>
      <c r="J15" s="24">
        <f>ESPECTROS!$B77</f>
        <v>0.08</v>
      </c>
      <c r="K15" s="25">
        <f>IF(STAAD!$C$17="ASCE 7-16",ESPECTROS!$I77*IF(DATOS!$C$9="SÍ",COEFICIENTE!$D$68,1),ESPECTROS!$E77)</f>
        <v>0.12342857142857143</v>
      </c>
      <c r="L15" s="30">
        <f t="shared" si="2"/>
        <v>121.04208</v>
      </c>
      <c r="N15" s="2" t="s">
        <v>394</v>
      </c>
      <c r="O15" s="21">
        <f>IF(STAAD!$C$17="ASCE 7-16",STAAD!$C$15,STAAD!$C$12)</f>
        <v>3.180198857142857</v>
      </c>
      <c r="P15" s="21">
        <f>IF(STAAD!$C$17="ASCE 7-16",STAAD!$D$15,STAAD!$D$12)</f>
        <v>3.180198857142857</v>
      </c>
      <c r="Q15" s="6" t="s">
        <v>168</v>
      </c>
      <c r="R15" s="4" t="s">
        <v>395</v>
      </c>
    </row>
    <row r="16" spans="2:18" ht="15" customHeight="1" x14ac:dyDescent="0.3">
      <c r="B16" s="24">
        <f>ESPECTROS!$B78</f>
        <v>0.1</v>
      </c>
      <c r="C16" s="25">
        <f>ESPECTROS!$O78</f>
        <v>0.96</v>
      </c>
      <c r="D16" s="30">
        <f t="shared" si="0"/>
        <v>941.4383999999999</v>
      </c>
      <c r="F16" s="24">
        <f>ESPECTROS!$B78</f>
        <v>0.1</v>
      </c>
      <c r="G16" s="25">
        <f>IF(STAAD!$C$17="ASCE 7-16",ESPECTROS!$H78*IF(DATOS!$C$9="SÍ",COEFICIENTE!$C$68,1),ESPECTROS!$D78)</f>
        <v>0.13714285714285715</v>
      </c>
      <c r="H16" s="30">
        <f t="shared" si="1"/>
        <v>134.4912</v>
      </c>
      <c r="J16" s="24">
        <f>ESPECTROS!$B78</f>
        <v>0.1</v>
      </c>
      <c r="K16" s="25">
        <f>IF(STAAD!$C$17="ASCE 7-16",ESPECTROS!$I78*IF(DATOS!$C$9="SÍ",COEFICIENTE!$D$68,1),ESPECTROS!$E78)</f>
        <v>0.13714285714285715</v>
      </c>
      <c r="L16" s="30">
        <f t="shared" si="2"/>
        <v>134.4912</v>
      </c>
      <c r="N16" s="2" t="s">
        <v>396</v>
      </c>
      <c r="O16" s="21">
        <f>$O$12*100</f>
        <v>980.665</v>
      </c>
      <c r="P16" s="21">
        <f>$O$16</f>
        <v>980.665</v>
      </c>
      <c r="Q16" s="6" t="s">
        <v>359</v>
      </c>
      <c r="R16" s="4" t="s">
        <v>397</v>
      </c>
    </row>
    <row r="17" spans="2:18" ht="15" customHeight="1" x14ac:dyDescent="0.3">
      <c r="B17" s="24">
        <f>ESPECTROS!$B79</f>
        <v>0.12</v>
      </c>
      <c r="C17" s="25">
        <f>ESPECTROS!$O79</f>
        <v>1.056</v>
      </c>
      <c r="D17" s="30">
        <f t="shared" si="0"/>
        <v>1035.58224</v>
      </c>
      <c r="F17" s="24">
        <f>ESPECTROS!$B79</f>
        <v>0.12</v>
      </c>
      <c r="G17" s="25">
        <f>IF(STAAD!$C$17="ASCE 7-16",ESPECTROS!$H79*IF(DATOS!$C$9="SÍ",COEFICIENTE!$C$68,1),ESPECTROS!$D79)</f>
        <v>0.15085714285714286</v>
      </c>
      <c r="H17" s="30">
        <f t="shared" si="1"/>
        <v>147.94031999999999</v>
      </c>
      <c r="J17" s="24">
        <f>ESPECTROS!$B79</f>
        <v>0.12</v>
      </c>
      <c r="K17" s="25">
        <f>IF(STAAD!$C$17="ASCE 7-16",ESPECTROS!$I79*IF(DATOS!$C$9="SÍ",COEFICIENTE!$D$68,1),ESPECTROS!$E79)</f>
        <v>0.15085714285714286</v>
      </c>
      <c r="L17" s="30">
        <f t="shared" si="2"/>
        <v>147.94031999999999</v>
      </c>
      <c r="N17" s="2" t="s">
        <v>398</v>
      </c>
      <c r="O17" s="21">
        <f>$O$11*100</f>
        <v>14009.5</v>
      </c>
      <c r="P17" s="21">
        <f>$P$11*100</f>
        <v>14009.5</v>
      </c>
      <c r="Q17" s="6" t="s">
        <v>359</v>
      </c>
      <c r="R17" s="4" t="s">
        <v>399</v>
      </c>
    </row>
    <row r="18" spans="2:18" ht="15" customHeight="1" x14ac:dyDescent="0.3">
      <c r="B18" s="24">
        <f>ESPECTROS!$B80</f>
        <v>0.14</v>
      </c>
      <c r="C18" s="25">
        <f>ESPECTROS!$O80</f>
        <v>1.1520000000000001</v>
      </c>
      <c r="D18" s="30">
        <f t="shared" si="0"/>
        <v>1129.7260800000001</v>
      </c>
      <c r="F18" s="24">
        <f>ESPECTROS!$B80</f>
        <v>0.14</v>
      </c>
      <c r="G18" s="25">
        <f>IF(STAAD!$C$17="ASCE 7-16",ESPECTROS!$H80*IF(DATOS!$C$9="SÍ",COEFICIENTE!$C$68,1),ESPECTROS!$D80)</f>
        <v>0.1645714285714286</v>
      </c>
      <c r="H18" s="30">
        <f t="shared" si="1"/>
        <v>161.38944</v>
      </c>
      <c r="J18" s="24">
        <f>ESPECTROS!$B80</f>
        <v>0.14</v>
      </c>
      <c r="K18" s="25">
        <f>IF(STAAD!$C$17="ASCE 7-16",ESPECTROS!$I80*IF(DATOS!$C$9="SÍ",COEFICIENTE!$D$68,1),ESPECTROS!$E80)</f>
        <v>0.1645714285714286</v>
      </c>
      <c r="L18" s="30">
        <f t="shared" si="2"/>
        <v>161.38944</v>
      </c>
      <c r="N18" s="2" t="s">
        <v>400</v>
      </c>
      <c r="O18" s="21">
        <f>$O$16</f>
        <v>980.665</v>
      </c>
      <c r="P18" s="21">
        <f>$P$16</f>
        <v>980.665</v>
      </c>
      <c r="Q18" s="6" t="s">
        <v>359</v>
      </c>
      <c r="R18" s="4" t="s">
        <v>389</v>
      </c>
    </row>
    <row r="19" spans="2:18" ht="15" customHeight="1" x14ac:dyDescent="0.3">
      <c r="B19" s="24">
        <f>ESPECTROS!$B81</f>
        <v>0.15720081135902642</v>
      </c>
      <c r="C19" s="25">
        <f>ESPECTROS!$O81</f>
        <v>1.2345638945233268</v>
      </c>
      <c r="D19" s="30">
        <f t="shared" si="0"/>
        <v>1210.6936016227182</v>
      </c>
      <c r="F19" s="24">
        <f>ESPECTROS!$B81</f>
        <v>0.15720081135902642</v>
      </c>
      <c r="G19" s="25">
        <f>IF(STAAD!$C$17="ASCE 7-16",ESPECTROS!$H81*IF(DATOS!$C$9="SÍ",COEFICIENTE!$C$68,1),ESPECTROS!$D81)</f>
        <v>0.17636627064618954</v>
      </c>
      <c r="H19" s="30">
        <f t="shared" si="1"/>
        <v>172.95622880324547</v>
      </c>
      <c r="J19" s="24">
        <f>ESPECTROS!$B81</f>
        <v>0.15720081135902642</v>
      </c>
      <c r="K19" s="25">
        <f>IF(STAAD!$C$17="ASCE 7-16",ESPECTROS!$I81*IF(DATOS!$C$9="SÍ",COEFICIENTE!$D$68,1),ESPECTROS!$E81)</f>
        <v>0.17636627064618954</v>
      </c>
      <c r="L19" s="30">
        <f t="shared" si="2"/>
        <v>172.95622880324547</v>
      </c>
      <c r="N19" s="2" t="s">
        <v>401</v>
      </c>
      <c r="O19" s="28">
        <f>$O$11/$O$12</f>
        <v>14.285714285714286</v>
      </c>
      <c r="P19" s="28">
        <f>$P$11/$O$12</f>
        <v>14.285714285714286</v>
      </c>
      <c r="Q19" s="6" t="s">
        <v>43</v>
      </c>
      <c r="R19" s="4" t="s">
        <v>402</v>
      </c>
    </row>
    <row r="20" spans="2:18" ht="15" customHeight="1" x14ac:dyDescent="0.3">
      <c r="B20" s="24">
        <f>ESPECTROS!$B82</f>
        <v>0.18</v>
      </c>
      <c r="C20" s="25">
        <f>ESPECTROS!$O82</f>
        <v>1.344</v>
      </c>
      <c r="D20" s="30">
        <f t="shared" si="0"/>
        <v>1318.01376</v>
      </c>
      <c r="F20" s="24">
        <f>ESPECTROS!$B82</f>
        <v>0.18</v>
      </c>
      <c r="G20" s="25">
        <f>IF(STAAD!$C$17="ASCE 7-16",ESPECTROS!$H82*IF(DATOS!$C$9="SÍ",COEFICIENTE!$C$68,1),ESPECTROS!$D82)</f>
        <v>0.192</v>
      </c>
      <c r="H20" s="30">
        <f t="shared" si="1"/>
        <v>188.28768</v>
      </c>
      <c r="J20" s="24">
        <f>ESPECTROS!$B82</f>
        <v>0.18</v>
      </c>
      <c r="K20" s="25">
        <f>IF(STAAD!$C$17="ASCE 7-16",ESPECTROS!$I82*IF(DATOS!$C$9="SÍ",COEFICIENTE!$D$68,1),ESPECTROS!$E82)</f>
        <v>0.192</v>
      </c>
      <c r="L20" s="30">
        <f t="shared" si="2"/>
        <v>188.28768</v>
      </c>
      <c r="N20" s="2" t="s">
        <v>403</v>
      </c>
      <c r="O20" s="22">
        <v>1</v>
      </c>
      <c r="P20" s="22">
        <f>$O$20</f>
        <v>1.0</v>
      </c>
      <c r="Q20" s="6" t="s">
        <v>43</v>
      </c>
      <c r="R20" s="4" t="s">
        <v>404</v>
      </c>
    </row>
    <row r="21" spans="2:18" ht="15" customHeight="1" x14ac:dyDescent="0.3">
      <c r="B21" s="24">
        <f>ESPECTROS!$B83</f>
        <v>0.19999999999999998</v>
      </c>
      <c r="C21" s="25">
        <f>ESPECTROS!$O83</f>
        <v>1.44</v>
      </c>
      <c r="D21" s="30">
        <f t="shared" si="0"/>
        <v>1412.1576</v>
      </c>
      <c r="F21" s="24">
        <f>ESPECTROS!$B83</f>
        <v>0.19999999999999998</v>
      </c>
      <c r="G21" s="25">
        <f>IF(STAAD!$C$17="ASCE 7-16",ESPECTROS!$H83*IF(DATOS!$C$9="SÍ",COEFICIENTE!$C$68,1),ESPECTROS!$D83)</f>
        <v>0.2057142857142857</v>
      </c>
      <c r="H21" s="30">
        <f t="shared" si="1"/>
        <v>201.7368</v>
      </c>
      <c r="J21" s="24">
        <f>ESPECTROS!$B83</f>
        <v>0.19999999999999998</v>
      </c>
      <c r="K21" s="25">
        <f>IF(STAAD!$C$17="ASCE 7-16",ESPECTROS!$I83*IF(DATOS!$C$9="SÍ",COEFICIENTE!$D$68,1),ESPECTROS!$E83)</f>
        <v>0.2057142857142857</v>
      </c>
      <c r="L21" s="30">
        <f t="shared" si="2"/>
        <v>201.7368</v>
      </c>
      <c r="N21" s="2" t="s">
        <v>405</v>
      </c>
      <c r="O21" s="22">
        <f>$O$14*$O$16</f>
        <v>201.7368</v>
      </c>
      <c r="P21" s="22">
        <f>$P$14*$O$16</f>
        <v>201.7368</v>
      </c>
      <c r="Q21" s="6" t="s">
        <v>359</v>
      </c>
      <c r="R21" s="4" t="s">
        <v>406</v>
      </c>
    </row>
    <row r="22" spans="2:18" ht="15" customHeight="1" x14ac:dyDescent="0.3">
      <c r="B22" s="24">
        <f>ESPECTROS!$B84</f>
        <v>0.22</v>
      </c>
      <c r="C22" s="25">
        <f>ESPECTROS!$O84</f>
        <v>1.44</v>
      </c>
      <c r="D22" s="30">
        <f t="shared" si="0"/>
        <v>1412.1576</v>
      </c>
      <c r="F22" s="24">
        <f>ESPECTROS!$B84</f>
        <v>0.22</v>
      </c>
      <c r="G22" s="25">
        <f>IF(STAAD!$C$17="ASCE 7-16",ESPECTROS!$H84*IF(DATOS!$C$9="SÍ",COEFICIENTE!$C$68,1),ESPECTROS!$D84)</f>
        <v>0.2057142857142857</v>
      </c>
      <c r="H22" s="30">
        <f t="shared" si="1"/>
        <v>201.7368</v>
      </c>
      <c r="J22" s="24">
        <f>ESPECTROS!$B84</f>
        <v>0.22</v>
      </c>
      <c r="K22" s="25">
        <f>IF(STAAD!$C$17="ASCE 7-16",ESPECTROS!$I84*IF(DATOS!$C$9="SÍ",COEFICIENTE!$D$68,1),ESPECTROS!$E84)</f>
        <v>0.2057142857142857</v>
      </c>
      <c r="L22" s="30">
        <f t="shared" si="2"/>
        <v>201.7368</v>
      </c>
    </row>
    <row r="23" spans="2:18" ht="15" customHeight="1" x14ac:dyDescent="0.3">
      <c r="B23" s="24">
        <f>ESPECTROS!$B85</f>
        <v>0.24</v>
      </c>
      <c r="C23" s="25">
        <f>ESPECTROS!$O85</f>
        <v>1.44</v>
      </c>
      <c r="D23" s="30">
        <f t="shared" si="0"/>
        <v>1412.1576</v>
      </c>
      <c r="F23" s="24">
        <f>ESPECTROS!$B85</f>
        <v>0.24</v>
      </c>
      <c r="G23" s="25">
        <f>IF(STAAD!$C$17="ASCE 7-16",ESPECTROS!$H85*IF(DATOS!$C$9="SÍ",COEFICIENTE!$C$68,1),ESPECTROS!$D85)</f>
        <v>0.2057142857142857</v>
      </c>
      <c r="H23" s="30">
        <f t="shared" si="1"/>
        <v>201.7368</v>
      </c>
      <c r="J23" s="24">
        <f>ESPECTROS!$B85</f>
        <v>0.24</v>
      </c>
      <c r="K23" s="25">
        <f>IF(STAAD!$C$17="ASCE 7-16",ESPECTROS!$I85*IF(DATOS!$C$9="SÍ",COEFICIENTE!$D$68,1),ESPECTROS!$E85)</f>
        <v>0.2057142857142857</v>
      </c>
      <c r="L23" s="30">
        <f t="shared" si="2"/>
        <v>201.7368</v>
      </c>
    </row>
    <row r="24" spans="2:18" ht="15" customHeight="1" x14ac:dyDescent="0.3">
      <c r="B24" s="24">
        <f>ESPECTROS!$B86</f>
        <v>0.26</v>
      </c>
      <c r="C24" s="25">
        <f>ESPECTROS!$O86</f>
        <v>1.44</v>
      </c>
      <c r="D24" s="30">
        <f t="shared" si="0"/>
        <v>1412.1576</v>
      </c>
      <c r="F24" s="24">
        <f>ESPECTROS!$B86</f>
        <v>0.26</v>
      </c>
      <c r="G24" s="25">
        <f>IF(STAAD!$C$17="ASCE 7-16",ESPECTROS!$H86*IF(DATOS!$C$9="SÍ",COEFICIENTE!$C$68,1),ESPECTROS!$D86)</f>
        <v>0.2057142857142857</v>
      </c>
      <c r="H24" s="30">
        <f t="shared" si="1"/>
        <v>201.7368</v>
      </c>
      <c r="J24" s="24">
        <f>ESPECTROS!$B86</f>
        <v>0.26</v>
      </c>
      <c r="K24" s="25">
        <f>IF(STAAD!$C$17="ASCE 7-16",ESPECTROS!$I86*IF(DATOS!$C$9="SÍ",COEFICIENTE!$D$68,1),ESPECTROS!$E86)</f>
        <v>0.2057142857142857</v>
      </c>
      <c r="L24" s="30">
        <f t="shared" si="2"/>
        <v>201.7368</v>
      </c>
    </row>
    <row r="25" spans="2:18" ht="15" customHeight="1" x14ac:dyDescent="0.3">
      <c r="B25" s="24">
        <f>ESPECTROS!$B87</f>
        <v>0.28</v>
      </c>
      <c r="C25" s="25">
        <f>ESPECTROS!$O87</f>
        <v>1.44</v>
      </c>
      <c r="D25" s="30">
        <f t="shared" si="0"/>
        <v>1412.1576</v>
      </c>
      <c r="F25" s="24">
        <f>ESPECTROS!$B87</f>
        <v>0.28</v>
      </c>
      <c r="G25" s="25">
        <f>IF(STAAD!$C$17="ASCE 7-16",ESPECTROS!$H87*IF(DATOS!$C$9="SÍ",COEFICIENTE!$C$68,1),ESPECTROS!$D87)</f>
        <v>0.2057142857142857</v>
      </c>
      <c r="H25" s="30">
        <f t="shared" si="1"/>
        <v>201.7368</v>
      </c>
      <c r="J25" s="24">
        <f>ESPECTROS!$B87</f>
        <v>0.28</v>
      </c>
      <c r="K25" s="25">
        <f>IF(STAAD!$C$17="ASCE 7-16",ESPECTROS!$I87*IF(DATOS!$C$9="SÍ",COEFICIENTE!$D$68,1),ESPECTROS!$E87)</f>
        <v>0.2057142857142857</v>
      </c>
      <c r="L25" s="30">
        <f t="shared" si="2"/>
        <v>201.7368</v>
      </c>
    </row>
    <row r="26" spans="2:18" ht="15" customHeight="1" x14ac:dyDescent="0.3">
      <c r="B26" s="24">
        <f>ESPECTROS!$B88</f>
        <v>0.3</v>
      </c>
      <c r="C26" s="25">
        <f>ESPECTROS!$O88</f>
        <v>1.44</v>
      </c>
      <c r="D26" s="30">
        <f t="shared" si="0"/>
        <v>1412.1576</v>
      </c>
      <c r="F26" s="24">
        <f>ESPECTROS!$B88</f>
        <v>0.3</v>
      </c>
      <c r="G26" s="25">
        <f>IF(STAAD!$C$17="ASCE 7-16",ESPECTROS!$H88*IF(DATOS!$C$9="SÍ",COEFICIENTE!$C$68,1),ESPECTROS!$D88)</f>
        <v>0.2057142857142857</v>
      </c>
      <c r="H26" s="30">
        <f t="shared" si="1"/>
        <v>201.7368</v>
      </c>
      <c r="J26" s="24">
        <f>ESPECTROS!$B88</f>
        <v>0.3</v>
      </c>
      <c r="K26" s="25">
        <f>IF(STAAD!$C$17="ASCE 7-16",ESPECTROS!$I88*IF(DATOS!$C$9="SÍ",COEFICIENTE!$D$68,1),ESPECTROS!$E88)</f>
        <v>0.2057142857142857</v>
      </c>
      <c r="L26" s="30">
        <f t="shared" si="2"/>
        <v>201.7368</v>
      </c>
    </row>
    <row r="27" spans="2:18" ht="15" customHeight="1" x14ac:dyDescent="0.3">
      <c r="B27" s="24">
        <f>ESPECTROS!$B89</f>
        <v>0.32</v>
      </c>
      <c r="C27" s="25">
        <f>ESPECTROS!$O89</f>
        <v>1.44</v>
      </c>
      <c r="D27" s="30">
        <f t="shared" si="0"/>
        <v>1412.1576</v>
      </c>
      <c r="F27" s="24">
        <f>ESPECTROS!$B89</f>
        <v>0.32</v>
      </c>
      <c r="G27" s="25">
        <f>IF(STAAD!$C$17="ASCE 7-16",ESPECTROS!$H89*IF(DATOS!$C$9="SÍ",COEFICIENTE!$C$68,1),ESPECTROS!$D89)</f>
        <v>0.2057142857142857</v>
      </c>
      <c r="H27" s="30">
        <f t="shared" si="1"/>
        <v>201.7368</v>
      </c>
      <c r="J27" s="24">
        <f>ESPECTROS!$B89</f>
        <v>0.32</v>
      </c>
      <c r="K27" s="25">
        <f>IF(STAAD!$C$17="ASCE 7-16",ESPECTROS!$I89*IF(DATOS!$C$9="SÍ",COEFICIENTE!$D$68,1),ESPECTROS!$E89)</f>
        <v>0.2057142857142857</v>
      </c>
      <c r="L27" s="30">
        <f t="shared" si="2"/>
        <v>201.7368</v>
      </c>
    </row>
    <row r="28" spans="2:18" ht="15" customHeight="1" x14ac:dyDescent="0.3">
      <c r="B28" s="24">
        <f>ESPECTROS!$B90</f>
        <v>0.34</v>
      </c>
      <c r="C28" s="25">
        <f>ESPECTROS!$O90</f>
        <v>1.44</v>
      </c>
      <c r="D28" s="30">
        <f t="shared" si="0"/>
        <v>1412.1576</v>
      </c>
      <c r="F28" s="24">
        <f>ESPECTROS!$B90</f>
        <v>0.34</v>
      </c>
      <c r="G28" s="25">
        <f>IF(STAAD!$C$17="ASCE 7-16",ESPECTROS!$H90*IF(DATOS!$C$9="SÍ",COEFICIENTE!$C$68,1),ESPECTROS!$D90)</f>
        <v>0.2057142857142857</v>
      </c>
      <c r="H28" s="30">
        <f t="shared" si="1"/>
        <v>201.7368</v>
      </c>
      <c r="J28" s="24">
        <f>ESPECTROS!$B90</f>
        <v>0.34</v>
      </c>
      <c r="K28" s="25">
        <f>IF(STAAD!$C$17="ASCE 7-16",ESPECTROS!$I90*IF(DATOS!$C$9="SÍ",COEFICIENTE!$D$68,1),ESPECTROS!$E90)</f>
        <v>0.2057142857142857</v>
      </c>
      <c r="L28" s="30">
        <f t="shared" si="2"/>
        <v>201.7368</v>
      </c>
    </row>
    <row r="29" spans="2:18" ht="15" customHeight="1" x14ac:dyDescent="0.3">
      <c r="B29" s="24">
        <f>ESPECTROS!$B91</f>
        <v>0.36</v>
      </c>
      <c r="C29" s="25">
        <f>ESPECTROS!$O91</f>
        <v>1.44</v>
      </c>
      <c r="D29" s="30">
        <f t="shared" si="0"/>
        <v>1412.1576</v>
      </c>
      <c r="F29" s="24">
        <f>ESPECTROS!$B91</f>
        <v>0.36</v>
      </c>
      <c r="G29" s="25">
        <f>IF(STAAD!$C$17="ASCE 7-16",ESPECTROS!$H91*IF(DATOS!$C$9="SÍ",COEFICIENTE!$C$68,1),ESPECTROS!$D91)</f>
        <v>0.2057142857142857</v>
      </c>
      <c r="H29" s="30">
        <f t="shared" si="1"/>
        <v>201.7368</v>
      </c>
      <c r="J29" s="24">
        <f>ESPECTROS!$B91</f>
        <v>0.36</v>
      </c>
      <c r="K29" s="25">
        <f>IF(STAAD!$C$17="ASCE 7-16",ESPECTROS!$I91*IF(DATOS!$C$9="SÍ",COEFICIENTE!$D$68,1),ESPECTROS!$E91)</f>
        <v>0.2057142857142857</v>
      </c>
      <c r="L29" s="30">
        <f t="shared" si="2"/>
        <v>201.7368</v>
      </c>
    </row>
    <row r="30" spans="2:18" ht="15" customHeight="1" x14ac:dyDescent="0.3">
      <c r="B30" s="24">
        <f>ESPECTROS!$B92</f>
        <v>0.38</v>
      </c>
      <c r="C30" s="25">
        <f>ESPECTROS!$O92</f>
        <v>1.44</v>
      </c>
      <c r="D30" s="30">
        <f t="shared" si="0"/>
        <v>1412.1576</v>
      </c>
      <c r="F30" s="24">
        <f>ESPECTROS!$B92</f>
        <v>0.38</v>
      </c>
      <c r="G30" s="25">
        <f>IF(STAAD!$C$17="ASCE 7-16",ESPECTROS!$H92*IF(DATOS!$C$9="SÍ",COEFICIENTE!$C$68,1),ESPECTROS!$D92)</f>
        <v>0.2057142857142857</v>
      </c>
      <c r="H30" s="30">
        <f t="shared" si="1"/>
        <v>201.7368</v>
      </c>
      <c r="J30" s="24">
        <f>ESPECTROS!$B92</f>
        <v>0.38</v>
      </c>
      <c r="K30" s="25">
        <f>IF(STAAD!$C$17="ASCE 7-16",ESPECTROS!$I92*IF(DATOS!$C$9="SÍ",COEFICIENTE!$D$68,1),ESPECTROS!$E92)</f>
        <v>0.2057142857142857</v>
      </c>
      <c r="L30" s="30">
        <f t="shared" si="2"/>
        <v>201.7368</v>
      </c>
    </row>
    <row r="31" spans="2:18" ht="15" customHeight="1" x14ac:dyDescent="0.3">
      <c r="B31" s="24">
        <f>ESPECTROS!$B93</f>
        <v>0.4</v>
      </c>
      <c r="C31" s="25">
        <f>ESPECTROS!$O93</f>
        <v>1.44</v>
      </c>
      <c r="D31" s="30">
        <f t="shared" si="0"/>
        <v>1412.1576</v>
      </c>
      <c r="F31" s="24">
        <f>ESPECTROS!$B93</f>
        <v>0.4</v>
      </c>
      <c r="G31" s="25">
        <f>IF(STAAD!$C$17="ASCE 7-16",ESPECTROS!$H93*IF(DATOS!$C$9="SÍ",COEFICIENTE!$C$68,1),ESPECTROS!$D93)</f>
        <v>0.2057142857142857</v>
      </c>
      <c r="H31" s="30">
        <f t="shared" si="1"/>
        <v>201.7368</v>
      </c>
      <c r="J31" s="24">
        <f>ESPECTROS!$B93</f>
        <v>0.4</v>
      </c>
      <c r="K31" s="25">
        <f>IF(STAAD!$C$17="ASCE 7-16",ESPECTROS!$I93*IF(DATOS!$C$9="SÍ",COEFICIENTE!$D$68,1),ESPECTROS!$E93)</f>
        <v>0.2057142857142857</v>
      </c>
      <c r="L31" s="30">
        <f t="shared" si="2"/>
        <v>201.7368</v>
      </c>
    </row>
    <row r="32" spans="2:18" ht="15" customHeight="1" x14ac:dyDescent="0.3">
      <c r="B32" s="24">
        <f>ESPECTROS!$B94</f>
        <v>0.42</v>
      </c>
      <c r="C32" s="25">
        <f>ESPECTROS!$O94</f>
        <v>1.44</v>
      </c>
      <c r="D32" s="30">
        <f t="shared" si="0"/>
        <v>1412.1576</v>
      </c>
      <c r="F32" s="24">
        <f>ESPECTROS!$B94</f>
        <v>0.42</v>
      </c>
      <c r="G32" s="25">
        <f>IF(STAAD!$C$17="ASCE 7-16",ESPECTROS!$H94*IF(DATOS!$C$9="SÍ",COEFICIENTE!$C$68,1),ESPECTROS!$D94)</f>
        <v>0.2057142857142857</v>
      </c>
      <c r="H32" s="30">
        <f t="shared" si="1"/>
        <v>201.7368</v>
      </c>
      <c r="J32" s="24">
        <f>ESPECTROS!$B94</f>
        <v>0.42</v>
      </c>
      <c r="K32" s="25">
        <f>IF(STAAD!$C$17="ASCE 7-16",ESPECTROS!$I94*IF(DATOS!$C$9="SÍ",COEFICIENTE!$D$68,1),ESPECTROS!$E94)</f>
        <v>0.2057142857142857</v>
      </c>
      <c r="L32" s="30">
        <f t="shared" si="2"/>
        <v>201.7368</v>
      </c>
    </row>
    <row r="33" spans="2:12" ht="15" customHeight="1" x14ac:dyDescent="0.3">
      <c r="B33" s="24">
        <f>ESPECTROS!$B95</f>
        <v>0.44</v>
      </c>
      <c r="C33" s="25">
        <f>ESPECTROS!$O95</f>
        <v>1.44</v>
      </c>
      <c r="D33" s="30">
        <f t="shared" si="0"/>
        <v>1412.1576</v>
      </c>
      <c r="F33" s="24">
        <f>ESPECTROS!$B95</f>
        <v>0.44</v>
      </c>
      <c r="G33" s="25">
        <f>IF(STAAD!$C$17="ASCE 7-16",ESPECTROS!$H95*IF(DATOS!$C$9="SÍ",COEFICIENTE!$C$68,1),ESPECTROS!$D95)</f>
        <v>0.2057142857142857</v>
      </c>
      <c r="H33" s="30">
        <f t="shared" si="1"/>
        <v>201.7368</v>
      </c>
      <c r="J33" s="24">
        <f>ESPECTROS!$B95</f>
        <v>0.44</v>
      </c>
      <c r="K33" s="25">
        <f>IF(STAAD!$C$17="ASCE 7-16",ESPECTROS!$I95*IF(DATOS!$C$9="SÍ",COEFICIENTE!$D$68,1),ESPECTROS!$E95)</f>
        <v>0.2057142857142857</v>
      </c>
      <c r="L33" s="30">
        <f t="shared" si="2"/>
        <v>201.7368</v>
      </c>
    </row>
    <row r="34" spans="2:12" ht="15" customHeight="1" x14ac:dyDescent="0.3">
      <c r="B34" s="24">
        <f>ESPECTROS!$B96</f>
        <v>0.46</v>
      </c>
      <c r="C34" s="25">
        <f>ESPECTROS!$O96</f>
        <v>1.44</v>
      </c>
      <c r="D34" s="30">
        <f t="shared" si="0"/>
        <v>1412.1576</v>
      </c>
      <c r="F34" s="24">
        <f>ESPECTROS!$B96</f>
        <v>0.46</v>
      </c>
      <c r="G34" s="25">
        <f>IF(STAAD!$C$17="ASCE 7-16",ESPECTROS!$H96*IF(DATOS!$C$9="SÍ",COEFICIENTE!$C$68,1),ESPECTROS!$D96)</f>
        <v>0.2057142857142857</v>
      </c>
      <c r="H34" s="30">
        <f t="shared" si="1"/>
        <v>201.7368</v>
      </c>
      <c r="J34" s="24">
        <f>ESPECTROS!$B96</f>
        <v>0.46</v>
      </c>
      <c r="K34" s="25">
        <f>IF(STAAD!$C$17="ASCE 7-16",ESPECTROS!$I96*IF(DATOS!$C$9="SÍ",COEFICIENTE!$D$68,1),ESPECTROS!$E96)</f>
        <v>0.2057142857142857</v>
      </c>
      <c r="L34" s="30">
        <f t="shared" si="2"/>
        <v>201.7368</v>
      </c>
    </row>
    <row r="35" spans="2:12" ht="15" customHeight="1" x14ac:dyDescent="0.3">
      <c r="B35" s="24">
        <f>ESPECTROS!$B97</f>
        <v>0.48</v>
      </c>
      <c r="C35" s="25">
        <f>ESPECTROS!$O97</f>
        <v>1.44</v>
      </c>
      <c r="D35" s="30">
        <f t="shared" si="0"/>
        <v>1412.1576</v>
      </c>
      <c r="F35" s="24">
        <f>ESPECTROS!$B97</f>
        <v>0.48</v>
      </c>
      <c r="G35" s="25">
        <f>IF(STAAD!$C$17="ASCE 7-16",ESPECTROS!$H97*IF(DATOS!$C$9="SÍ",COEFICIENTE!$C$68,1),ESPECTROS!$D97)</f>
        <v>0.2057142857142857</v>
      </c>
      <c r="H35" s="30">
        <f t="shared" si="1"/>
        <v>201.7368</v>
      </c>
      <c r="J35" s="24">
        <f>ESPECTROS!$B97</f>
        <v>0.48</v>
      </c>
      <c r="K35" s="25">
        <f>IF(STAAD!$C$17="ASCE 7-16",ESPECTROS!$I97*IF(DATOS!$C$9="SÍ",COEFICIENTE!$D$68,1),ESPECTROS!$E97)</f>
        <v>0.2057142857142857</v>
      </c>
      <c r="L35" s="30">
        <f t="shared" si="2"/>
        <v>201.7368</v>
      </c>
    </row>
    <row r="36" spans="2:12" ht="15" customHeight="1" x14ac:dyDescent="0.3">
      <c r="B36" s="24">
        <f>ESPECTROS!$B98</f>
        <v>0.5</v>
      </c>
      <c r="C36" s="25">
        <f>ESPECTROS!$O98</f>
        <v>1.44</v>
      </c>
      <c r="D36" s="30">
        <f t="shared" si="0"/>
        <v>1412.1576</v>
      </c>
      <c r="F36" s="24">
        <f>ESPECTROS!$B98</f>
        <v>0.5</v>
      </c>
      <c r="G36" s="25">
        <f>IF(STAAD!$C$17="ASCE 7-16",ESPECTROS!$H98*IF(DATOS!$C$9="SÍ",COEFICIENTE!$C$68,1),ESPECTROS!$D98)</f>
        <v>0.2057142857142857</v>
      </c>
      <c r="H36" s="30">
        <f t="shared" si="1"/>
        <v>201.7368</v>
      </c>
      <c r="J36" s="24">
        <f>ESPECTROS!$B98</f>
        <v>0.5</v>
      </c>
      <c r="K36" s="25">
        <f>IF(STAAD!$C$17="ASCE 7-16",ESPECTROS!$I98*IF(DATOS!$C$9="SÍ",COEFICIENTE!$D$68,1),ESPECTROS!$E98)</f>
        <v>0.2057142857142857</v>
      </c>
      <c r="L36" s="30">
        <f t="shared" si="2"/>
        <v>201.7368</v>
      </c>
    </row>
    <row r="37" spans="2:12" ht="15" customHeight="1" x14ac:dyDescent="0.3">
      <c r="B37" s="24">
        <f>ESPECTROS!$B99</f>
        <v>0.52</v>
      </c>
      <c r="C37" s="25">
        <f>ESPECTROS!$O99</f>
        <v>1.44</v>
      </c>
      <c r="D37" s="30">
        <f t="shared" si="0"/>
        <v>1412.1576</v>
      </c>
      <c r="F37" s="24">
        <f>ESPECTROS!$B99</f>
        <v>0.52</v>
      </c>
      <c r="G37" s="25">
        <f>IF(STAAD!$C$17="ASCE 7-16",ESPECTROS!$H99*IF(DATOS!$C$9="SÍ",COEFICIENTE!$C$68,1),ESPECTROS!$D99)</f>
        <v>0.2057142857142857</v>
      </c>
      <c r="H37" s="30">
        <f t="shared" si="1"/>
        <v>201.7368</v>
      </c>
      <c r="J37" s="24">
        <f>ESPECTROS!$B99</f>
        <v>0.52</v>
      </c>
      <c r="K37" s="25">
        <f>IF(STAAD!$C$17="ASCE 7-16",ESPECTROS!$I99*IF(DATOS!$C$9="SÍ",COEFICIENTE!$D$68,1),ESPECTROS!$E99)</f>
        <v>0.2057142857142857</v>
      </c>
      <c r="L37" s="30">
        <f t="shared" si="2"/>
        <v>201.7368</v>
      </c>
    </row>
    <row r="38" spans="2:12" ht="15" customHeight="1" x14ac:dyDescent="0.3">
      <c r="B38" s="24">
        <f>ESPECTROS!$B100</f>
        <v>0.54</v>
      </c>
      <c r="C38" s="25">
        <f>ESPECTROS!$O100</f>
        <v>1.44</v>
      </c>
      <c r="D38" s="30">
        <f t="shared" si="0"/>
        <v>1412.1576</v>
      </c>
      <c r="F38" s="24">
        <f>ESPECTROS!$B100</f>
        <v>0.54</v>
      </c>
      <c r="G38" s="25">
        <f>IF(STAAD!$C$17="ASCE 7-16",ESPECTROS!$H100*IF(DATOS!$C$9="SÍ",COEFICIENTE!$C$68,1),ESPECTROS!$D100)</f>
        <v>0.2057142857142857</v>
      </c>
      <c r="H38" s="30">
        <f t="shared" si="1"/>
        <v>201.7368</v>
      </c>
      <c r="J38" s="24">
        <f>ESPECTROS!$B100</f>
        <v>0.54</v>
      </c>
      <c r="K38" s="25">
        <f>IF(STAAD!$C$17="ASCE 7-16",ESPECTROS!$I100*IF(DATOS!$C$9="SÍ",COEFICIENTE!$D$68,1),ESPECTROS!$E100)</f>
        <v>0.2057142857142857</v>
      </c>
      <c r="L38" s="30">
        <f t="shared" si="2"/>
        <v>201.7368</v>
      </c>
    </row>
    <row r="39" spans="2:12" ht="15" customHeight="1" x14ac:dyDescent="0.3">
      <c r="B39" s="24">
        <f>ESPECTROS!$B101</f>
        <v>0.56</v>
      </c>
      <c r="C39" s="25">
        <f>ESPECTROS!$O101</f>
        <v>1.44</v>
      </c>
      <c r="D39" s="30">
        <f t="shared" si="0"/>
        <v>1412.1576</v>
      </c>
      <c r="F39" s="24">
        <f>ESPECTROS!$B101</f>
        <v>0.56</v>
      </c>
      <c r="G39" s="25">
        <f>IF(STAAD!$C$17="ASCE 7-16",ESPECTROS!$H101*IF(DATOS!$C$9="SÍ",COEFICIENTE!$C$68,1),ESPECTROS!$D101)</f>
        <v>0.2057142857142857</v>
      </c>
      <c r="H39" s="30">
        <f t="shared" si="1"/>
        <v>201.7368</v>
      </c>
      <c r="J39" s="24">
        <f>ESPECTROS!$B101</f>
        <v>0.56</v>
      </c>
      <c r="K39" s="25">
        <f>IF(STAAD!$C$17="ASCE 7-16",ESPECTROS!$I101*IF(DATOS!$C$9="SÍ",COEFICIENTE!$D$68,1),ESPECTROS!$E101)</f>
        <v>0.2057142857142857</v>
      </c>
      <c r="L39" s="30">
        <f t="shared" si="2"/>
        <v>201.7368</v>
      </c>
    </row>
    <row r="40" spans="2:12" ht="15" customHeight="1" x14ac:dyDescent="0.3">
      <c r="B40" s="24">
        <f>ESPECTROS!$B102</f>
        <v>0.58</v>
      </c>
      <c r="C40" s="25">
        <f>ESPECTROS!$O102</f>
        <v>1.44</v>
      </c>
      <c r="D40" s="30">
        <f t="shared" si="0"/>
        <v>1412.1576</v>
      </c>
      <c r="F40" s="24">
        <f>ESPECTROS!$B102</f>
        <v>0.58</v>
      </c>
      <c r="G40" s="25">
        <f>IF(STAAD!$C$17="ASCE 7-16",ESPECTROS!$H102*IF(DATOS!$C$9="SÍ",COEFICIENTE!$C$68,1),ESPECTROS!$D102)</f>
        <v>0.2057142857142857</v>
      </c>
      <c r="H40" s="30">
        <f t="shared" si="1"/>
        <v>201.7368</v>
      </c>
      <c r="J40" s="24">
        <f>ESPECTROS!$B102</f>
        <v>0.58</v>
      </c>
      <c r="K40" s="25">
        <f>IF(STAAD!$C$17="ASCE 7-16",ESPECTROS!$I102*IF(DATOS!$C$9="SÍ",COEFICIENTE!$D$68,1),ESPECTROS!$E102)</f>
        <v>0.2057142857142857</v>
      </c>
      <c r="L40" s="30">
        <f t="shared" si="2"/>
        <v>201.7368</v>
      </c>
    </row>
    <row r="41" spans="2:12" ht="15" customHeight="1" x14ac:dyDescent="0.3">
      <c r="B41" s="24">
        <f>ESPECTROS!$B103</f>
        <v>0.6</v>
      </c>
      <c r="C41" s="25">
        <f>ESPECTROS!$O103</f>
        <v>1.44</v>
      </c>
      <c r="D41" s="30">
        <f t="shared" si="0"/>
        <v>1412.1576</v>
      </c>
      <c r="F41" s="24">
        <f>ESPECTROS!$B103</f>
        <v>0.6</v>
      </c>
      <c r="G41" s="25">
        <f>IF(STAAD!$C$17="ASCE 7-16",ESPECTROS!$H103*IF(DATOS!$C$9="SÍ",COEFICIENTE!$C$68,1),ESPECTROS!$D103)</f>
        <v>0.2057142857142857</v>
      </c>
      <c r="H41" s="30">
        <f t="shared" si="1"/>
        <v>201.7368</v>
      </c>
      <c r="J41" s="24">
        <f>ESPECTROS!$B103</f>
        <v>0.6</v>
      </c>
      <c r="K41" s="25">
        <f>IF(STAAD!$C$17="ASCE 7-16",ESPECTROS!$I103*IF(DATOS!$C$9="SÍ",COEFICIENTE!$D$68,1),ESPECTROS!$E103)</f>
        <v>0.2057142857142857</v>
      </c>
      <c r="L41" s="30">
        <f t="shared" si="2"/>
        <v>201.7368</v>
      </c>
    </row>
    <row r="42" spans="2:12" ht="15" customHeight="1" x14ac:dyDescent="0.3">
      <c r="B42" s="24">
        <f>ESPECTROS!$B104</f>
        <v>0.62</v>
      </c>
      <c r="C42" s="25">
        <f>ESPECTROS!$O104</f>
        <v>1.408863331922817</v>
      </c>
      <c r="D42" s="30">
        <f t="shared" si="0"/>
        <v>1381.6229594000893</v>
      </c>
      <c r="F42" s="24">
        <f>ESPECTROS!$B104</f>
        <v>0.62</v>
      </c>
      <c r="G42" s="25">
        <f>IF(STAAD!$C$17="ASCE 7-16",ESPECTROS!$H104*IF(DATOS!$C$9="SÍ",COEFICIENTE!$C$68,1),ESPECTROS!$D104)</f>
        <v>0.20126619027468814</v>
      </c>
      <c r="H42" s="30">
        <f t="shared" si="1"/>
        <v>197.37470848572704</v>
      </c>
      <c r="J42" s="24">
        <f>ESPECTROS!$B104</f>
        <v>0.62</v>
      </c>
      <c r="K42" s="25">
        <f>IF(STAAD!$C$17="ASCE 7-16",ESPECTROS!$I104*IF(DATOS!$C$9="SÍ",COEFICIENTE!$D$68,1),ESPECTROS!$E104)</f>
        <v>0.20126619027468814</v>
      </c>
      <c r="L42" s="30">
        <f t="shared" si="2"/>
        <v>197.37470848572704</v>
      </c>
    </row>
    <row r="43" spans="2:12" ht="15" customHeight="1" x14ac:dyDescent="0.3">
      <c r="B43" s="24">
        <f>ESPECTROS!$B105</f>
        <v>0.64</v>
      </c>
      <c r="C43" s="25">
        <f>ESPECTROS!$O105</f>
        <v>1.3793569783083954</v>
      </c>
      <c r="D43" s="30">
        <f t="shared" ref="D43:D74" si="3">C43*$O$16</f>
        <v>1352.6871111328</v>
      </c>
      <c r="F43" s="24">
        <f>ESPECTROS!$B105</f>
        <v>0.64</v>
      </c>
      <c r="G43" s="25">
        <f>IF(STAAD!$C$17="ASCE 7-16",ESPECTROS!$H105*IF(DATOS!$C$9="SÍ",COEFICIENTE!$C$68,1),ESPECTROS!$D105)</f>
        <v>0.19705099690119934</v>
      </c>
      <c r="H43" s="30">
        <f t="shared" ref="H43:H74" si="4">G43*$O$16</f>
        <v>193.241015876115</v>
      </c>
      <c r="J43" s="24">
        <f>ESPECTROS!$B105</f>
        <v>0.64</v>
      </c>
      <c r="K43" s="25">
        <f>IF(STAAD!$C$17="ASCE 7-16",ESPECTROS!$I105*IF(DATOS!$C$9="SÍ",COEFICIENTE!$D$68,1),ESPECTROS!$E105)</f>
        <v>0.19705099690119934</v>
      </c>
      <c r="L43" s="30">
        <f t="shared" ref="L43:L74" si="5">K43*$O$16</f>
        <v>193.241015876115</v>
      </c>
    </row>
    <row r="44" spans="2:12" ht="15" customHeight="1" x14ac:dyDescent="0.3">
      <c r="B44" s="24">
        <f>ESPECTROS!$B106</f>
        <v>0.66</v>
      </c>
      <c r="C44" s="25">
        <f>ESPECTROS!$O106</f>
        <v>1.3513485147792441</v>
      </c>
      <c r="D44" s="30">
        <f t="shared" si="3"/>
        <v>1325.2201912459873</v>
      </c>
      <c r="F44" s="24">
        <f>ESPECTROS!$B106</f>
        <v>0.66</v>
      </c>
      <c r="G44" s="25">
        <f>IF(STAAD!$C$17="ASCE 7-16",ESPECTROS!$H106*IF(DATOS!$C$9="SÍ",COEFICIENTE!$C$68,1),ESPECTROS!$D106)</f>
        <v>0.1930497878256063</v>
      </c>
      <c r="H44" s="30">
        <f t="shared" si="4"/>
        <v>189.3171701779982</v>
      </c>
      <c r="J44" s="24">
        <f>ESPECTROS!$B106</f>
        <v>0.66</v>
      </c>
      <c r="K44" s="25">
        <f>IF(STAAD!$C$17="ASCE 7-16",ESPECTROS!$I106*IF(DATOS!$C$9="SÍ",COEFICIENTE!$D$68,1),ESPECTROS!$E106)</f>
        <v>0.1930497878256063</v>
      </c>
      <c r="L44" s="30">
        <f t="shared" si="5"/>
        <v>189.3171701779982</v>
      </c>
    </row>
    <row r="45" spans="2:12" ht="15" customHeight="1" x14ac:dyDescent="0.3">
      <c r="B45" s="24">
        <f>ESPECTROS!$B107</f>
        <v>0.68</v>
      </c>
      <c r="C45" s="25">
        <f>ESPECTROS!$O107</f>
        <v>1.3247198700888845</v>
      </c>
      <c r="D45" s="30">
        <f t="shared" si="3"/>
        <v>1299.1064114007158</v>
      </c>
      <c r="F45" s="24">
        <f>ESPECTROS!$B107</f>
        <v>0.68</v>
      </c>
      <c r="G45" s="25">
        <f>IF(STAAD!$C$17="ASCE 7-16",ESPECTROS!$H107*IF(DATOS!$C$9="SÍ",COEFICIENTE!$C$68,1),ESPECTROS!$D107)</f>
        <v>0.1892456957269835</v>
      </c>
      <c r="H45" s="30">
        <f t="shared" si="4"/>
        <v>185.58663020010226</v>
      </c>
      <c r="J45" s="24">
        <f>ESPECTROS!$B107</f>
        <v>0.68</v>
      </c>
      <c r="K45" s="25">
        <f>IF(STAAD!$C$17="ASCE 7-16",ESPECTROS!$I107*IF(DATOS!$C$9="SÍ",COEFICIENTE!$D$68,1),ESPECTROS!$E107)</f>
        <v>0.1892456957269835</v>
      </c>
      <c r="L45" s="30">
        <f t="shared" si="5"/>
        <v>185.58663020010226</v>
      </c>
    </row>
    <row r="46" spans="2:12" ht="15" customHeight="1" x14ac:dyDescent="0.3">
      <c r="B46" s="24">
        <f>ESPECTROS!$B108</f>
        <v>0.7</v>
      </c>
      <c r="C46" s="25">
        <f>ESPECTROS!$O108</f>
        <v>1.2993654029464552</v>
      </c>
      <c r="D46" s="30">
        <f t="shared" si="3"/>
        <v>1274.2421728804854</v>
      </c>
      <c r="F46" s="24">
        <f>ESPECTROS!$B108</f>
        <v>0.7</v>
      </c>
      <c r="G46" s="25">
        <f>IF(STAAD!$C$17="ASCE 7-16",ESPECTROS!$H108*IF(DATOS!$C$9="SÍ",COEFICIENTE!$C$68,1),ESPECTROS!$D108)</f>
        <v>0.18562362899235074</v>
      </c>
      <c r="H46" s="30">
        <f t="shared" si="4"/>
        <v>182.03459612578362</v>
      </c>
      <c r="J46" s="24">
        <f>ESPECTROS!$B108</f>
        <v>0.7</v>
      </c>
      <c r="K46" s="25">
        <f>IF(STAAD!$C$17="ASCE 7-16",ESPECTROS!$I108*IF(DATOS!$C$9="SÍ",COEFICIENTE!$D$68,1),ESPECTROS!$E108)</f>
        <v>0.18562362899235074</v>
      </c>
      <c r="L46" s="30">
        <f t="shared" si="5"/>
        <v>182.03459612578362</v>
      </c>
    </row>
    <row r="47" spans="2:12" ht="15" customHeight="1" x14ac:dyDescent="0.3">
      <c r="B47" s="24">
        <f>ESPECTROS!$B109</f>
        <v>0.72</v>
      </c>
      <c r="C47" s="25">
        <f>ESPECTROS!$O109</f>
        <v>1.2751902830191333</v>
      </c>
      <c r="D47" s="30">
        <f t="shared" si="3"/>
        <v>1250.5344788969583</v>
      </c>
      <c r="F47" s="24">
        <f>ESPECTROS!$B109</f>
        <v>0.72</v>
      </c>
      <c r="G47" s="25">
        <f>IF(STAAD!$C$17="ASCE 7-16",ESPECTROS!$H109*IF(DATOS!$C$9="SÍ",COEFICIENTE!$C$68,1),ESPECTROS!$D109)</f>
        <v>0.18217004043130475</v>
      </c>
      <c r="H47" s="30">
        <f t="shared" si="4"/>
        <v>178.64778269956545</v>
      </c>
      <c r="J47" s="24">
        <f>ESPECTROS!$B109</f>
        <v>0.72</v>
      </c>
      <c r="K47" s="25">
        <f>IF(STAAD!$C$17="ASCE 7-16",ESPECTROS!$I109*IF(DATOS!$C$9="SÍ",COEFICIENTE!$D$68,1),ESPECTROS!$E109)</f>
        <v>0.18217004043130475</v>
      </c>
      <c r="L47" s="30">
        <f t="shared" si="5"/>
        <v>178.64778269956545</v>
      </c>
    </row>
    <row r="48" spans="2:12" ht="15" customHeight="1" x14ac:dyDescent="0.3">
      <c r="B48" s="24">
        <f>ESPECTROS!$B110</f>
        <v>0.74</v>
      </c>
      <c r="C48" s="25">
        <f>ESPECTROS!$O110</f>
        <v>1.2521091210480324</v>
      </c>
      <c r="D48" s="30">
        <f t="shared" si="3"/>
        <v>1227.8995911925686</v>
      </c>
      <c r="F48" s="24">
        <f>ESPECTROS!$B110</f>
        <v>0.74</v>
      </c>
      <c r="G48" s="25">
        <f>IF(STAAD!$C$17="ASCE 7-16",ESPECTROS!$H110*IF(DATOS!$C$9="SÍ",COEFICIENTE!$C$68,1),ESPECTROS!$D110)</f>
        <v>0.17887273157829034</v>
      </c>
      <c r="H48" s="30">
        <f t="shared" si="4"/>
        <v>175.4142273132241</v>
      </c>
      <c r="J48" s="24">
        <f>ESPECTROS!$B110</f>
        <v>0.74</v>
      </c>
      <c r="K48" s="25">
        <f>IF(STAAD!$C$17="ASCE 7-16",ESPECTROS!$I110*IF(DATOS!$C$9="SÍ",COEFICIENTE!$D$68,1),ESPECTROS!$E110)</f>
        <v>0.17887273157829034</v>
      </c>
      <c r="L48" s="30">
        <f t="shared" si="5"/>
        <v>175.4142273132241</v>
      </c>
    </row>
    <row r="49" spans="2:12" ht="15" customHeight="1" x14ac:dyDescent="0.3">
      <c r="B49" s="24">
        <f>ESPECTROS!$B111</f>
        <v>0.76</v>
      </c>
      <c r="C49" s="25">
        <f>ESPECTROS!$O111</f>
        <v>1.2300448041737404</v>
      </c>
      <c r="D49" s="30">
        <f t="shared" si="3"/>
        <v>1206.261887885041</v>
      </c>
      <c r="F49" s="24">
        <f>ESPECTROS!$B111</f>
        <v>0.76</v>
      </c>
      <c r="G49" s="25">
        <f>IF(STAAD!$C$17="ASCE 7-16",ESPECTROS!$H111*IF(DATOS!$C$9="SÍ",COEFICIENTE!$C$68,1),ESPECTROS!$D111)</f>
        <v>0.17572068631053434</v>
      </c>
      <c r="H49" s="30">
        <f t="shared" si="4"/>
        <v>172.32312684072014</v>
      </c>
      <c r="J49" s="24">
        <f>ESPECTROS!$B111</f>
        <v>0.76</v>
      </c>
      <c r="K49" s="25">
        <f>IF(STAAD!$C$17="ASCE 7-16",ESPECTROS!$I111*IF(DATOS!$C$9="SÍ",COEFICIENTE!$D$68,1),ESPECTROS!$E111)</f>
        <v>0.17572068631053434</v>
      </c>
      <c r="L49" s="30">
        <f t="shared" si="5"/>
        <v>172.32312684072014</v>
      </c>
    </row>
    <row r="50" spans="2:12" ht="15" customHeight="1" x14ac:dyDescent="0.3">
      <c r="B50" s="24">
        <f>ESPECTROS!$B112</f>
        <v>0.786004056795132</v>
      </c>
      <c r="C50" s="25">
        <f>ESPECTROS!$O112</f>
        <v>1.2027632058417421</v>
      </c>
      <c r="D50" s="30">
        <f t="shared" si="3"/>
        <v>1179.507779256792</v>
      </c>
      <c r="F50" s="24">
        <f>ESPECTROS!$B112</f>
        <v>0.786004056795132</v>
      </c>
      <c r="G50" s="25">
        <f>IF(STAAD!$C$17="ASCE 7-16",ESPECTROS!$H112*IF(DATOS!$C$9="SÍ",COEFICIENTE!$C$68,1),ESPECTROS!$D112)</f>
        <v>0.17182331512024887</v>
      </c>
      <c r="H50" s="30">
        <f t="shared" si="4"/>
        <v>168.50111132239886</v>
      </c>
      <c r="J50" s="24">
        <f>ESPECTROS!$B112</f>
        <v>0.786004056795132</v>
      </c>
      <c r="K50" s="25">
        <f>IF(STAAD!$C$17="ASCE 7-16",ESPECTROS!$I112*IF(DATOS!$C$9="SÍ",COEFICIENTE!$D$68,1),ESPECTROS!$E112)</f>
        <v>0.17182331512024887</v>
      </c>
      <c r="L50" s="30">
        <f t="shared" si="5"/>
        <v>168.50111132239886</v>
      </c>
    </row>
    <row r="51" spans="2:12" ht="15" customHeight="1" x14ac:dyDescent="0.3">
      <c r="B51" s="24">
        <f>ESPECTROS!$B113</f>
        <v>0.8</v>
      </c>
      <c r="C51" s="25">
        <f>ESPECTROS!$O113</f>
        <v>1.1886938096020654</v>
      </c>
      <c r="D51" s="30">
        <f t="shared" si="3"/>
        <v>1165.7104147934094</v>
      </c>
      <c r="F51" s="24">
        <f>ESPECTROS!$B113</f>
        <v>0.8</v>
      </c>
      <c r="G51" s="25">
        <f>IF(STAAD!$C$17="ASCE 7-16",ESPECTROS!$H113*IF(DATOS!$C$9="SÍ",COEFICIENTE!$C$68,1),ESPECTROS!$D113)</f>
        <v>0.16981340137172363</v>
      </c>
      <c r="H51" s="30">
        <f t="shared" si="4"/>
        <v>166.53005925620135</v>
      </c>
      <c r="J51" s="24">
        <f>ESPECTROS!$B113</f>
        <v>0.8</v>
      </c>
      <c r="K51" s="25">
        <f>IF(STAAD!$C$17="ASCE 7-16",ESPECTROS!$I113*IF(DATOS!$C$9="SÍ",COEFICIENTE!$D$68,1),ESPECTROS!$E113)</f>
        <v>0.16981340137172363</v>
      </c>
      <c r="L51" s="30">
        <f t="shared" si="5"/>
        <v>166.53005925620135</v>
      </c>
    </row>
    <row r="52" spans="2:12" ht="15" customHeight="1" x14ac:dyDescent="0.3">
      <c r="B52" s="24">
        <f>ESPECTROS!$B114</f>
        <v>0.82</v>
      </c>
      <c r="C52" s="25">
        <f>ESPECTROS!$O114</f>
        <v>1.1692860203954265</v>
      </c>
      <c r="D52" s="30">
        <f t="shared" si="3"/>
        <v>1146.6778751910808</v>
      </c>
      <c r="F52" s="24">
        <f>ESPECTROS!$B114</f>
        <v>0.82</v>
      </c>
      <c r="G52" s="25">
        <f>IF(STAAD!$C$17="ASCE 7-16",ESPECTROS!$H114*IF(DATOS!$C$9="SÍ",COEFICIENTE!$C$68,1),ESPECTROS!$D114)</f>
        <v>0.1670408600564895</v>
      </c>
      <c r="H52" s="30">
        <f t="shared" si="4"/>
        <v>163.81112502729727</v>
      </c>
      <c r="J52" s="24">
        <f>ESPECTROS!$B114</f>
        <v>0.82</v>
      </c>
      <c r="K52" s="25">
        <f>IF(STAAD!$C$17="ASCE 7-16",ESPECTROS!$I114*IF(DATOS!$C$9="SÍ",COEFICIENTE!$D$68,1),ESPECTROS!$E114)</f>
        <v>0.1670408600564895</v>
      </c>
      <c r="L52" s="30">
        <f t="shared" si="5"/>
        <v>163.81112502729727</v>
      </c>
    </row>
    <row r="53" spans="2:12" ht="15" customHeight="1" x14ac:dyDescent="0.3">
      <c r="B53" s="24">
        <f>ESPECTROS!$B115</f>
        <v>0.84</v>
      </c>
      <c r="C53" s="25">
        <f>ESPECTROS!$O115</f>
        <v>1.1506514832837225</v>
      </c>
      <c r="D53" s="30">
        <f t="shared" si="3"/>
        <v>1128.4036368544316</v>
      </c>
      <c r="F53" s="24">
        <f>ESPECTROS!$B115</f>
        <v>0.84</v>
      </c>
      <c r="G53" s="25">
        <f>IF(STAAD!$C$17="ASCE 7-16",ESPECTROS!$H115*IF(DATOS!$C$9="SÍ",COEFICIENTE!$C$68,1),ESPECTROS!$D115)</f>
        <v>0.16437878332624606</v>
      </c>
      <c r="H53" s="30">
        <f t="shared" si="4"/>
        <v>161.2005195506331</v>
      </c>
      <c r="J53" s="24">
        <f>ESPECTROS!$B115</f>
        <v>0.84</v>
      </c>
      <c r="K53" s="25">
        <f>IF(STAAD!$C$17="ASCE 7-16",ESPECTROS!$I115*IF(DATOS!$C$9="SÍ",COEFICIENTE!$D$68,1),ESPECTROS!$E115)</f>
        <v>0.16437878332624606</v>
      </c>
      <c r="L53" s="30">
        <f t="shared" si="5"/>
        <v>161.2005195506331</v>
      </c>
    </row>
    <row r="54" spans="2:12" ht="15" customHeight="1" x14ac:dyDescent="0.3">
      <c r="B54" s="24">
        <f>ESPECTROS!$B116</f>
        <v>0.86</v>
      </c>
      <c r="C54" s="25">
        <f>ESPECTROS!$O116</f>
        <v>1.1327420552990517</v>
      </c>
      <c r="D54" s="30">
        <f t="shared" si="3"/>
        <v>1110.8404876598445</v>
      </c>
      <c r="F54" s="24">
        <f>ESPECTROS!$B116</f>
        <v>0.86</v>
      </c>
      <c r="G54" s="25">
        <f>IF(STAAD!$C$17="ASCE 7-16",ESPECTROS!$H116*IF(DATOS!$C$9="SÍ",COEFICIENTE!$C$68,1),ESPECTROS!$D116)</f>
        <v>0.16182029361415023</v>
      </c>
      <c r="H54" s="30">
        <f t="shared" si="4"/>
        <v>158.69149823712064</v>
      </c>
      <c r="J54" s="24">
        <f>ESPECTROS!$B116</f>
        <v>0.86</v>
      </c>
      <c r="K54" s="25">
        <f>IF(STAAD!$C$17="ASCE 7-16",ESPECTROS!$I116*IF(DATOS!$C$9="SÍ",COEFICIENTE!$D$68,1),ESPECTROS!$E116)</f>
        <v>0.16182029361415023</v>
      </c>
      <c r="L54" s="30">
        <f t="shared" si="5"/>
        <v>158.69149823712064</v>
      </c>
    </row>
    <row r="55" spans="2:12" ht="15" customHeight="1" x14ac:dyDescent="0.3">
      <c r="B55" s="24">
        <f>ESPECTROS!$B117</f>
        <v>0.88</v>
      </c>
      <c r="C55" s="25">
        <f>ESPECTROS!$O117</f>
        <v>1.1155136209257173</v>
      </c>
      <c r="D55" s="30">
        <f t="shared" si="3"/>
        <v>1093.9451650651185</v>
      </c>
      <c r="F55" s="24">
        <f>ESPECTROS!$B117</f>
        <v>0.88</v>
      </c>
      <c r="G55" s="25">
        <f>IF(STAAD!$C$17="ASCE 7-16",ESPECTROS!$H117*IF(DATOS!$C$9="SÍ",COEFICIENTE!$C$68,1),ESPECTROS!$D117)</f>
        <v>0.1593590887036739</v>
      </c>
      <c r="H55" s="30">
        <f t="shared" si="4"/>
        <v>156.27788072358837</v>
      </c>
      <c r="J55" s="24">
        <f>ESPECTROS!$B117</f>
        <v>0.88</v>
      </c>
      <c r="K55" s="25">
        <f>IF(STAAD!$C$17="ASCE 7-16",ESPECTROS!$I117*IF(DATOS!$C$9="SÍ",COEFICIENTE!$D$68,1),ESPECTROS!$E117)</f>
        <v>0.1593590887036739</v>
      </c>
      <c r="L55" s="30">
        <f t="shared" si="5"/>
        <v>156.27788072358837</v>
      </c>
    </row>
    <row r="56" spans="2:12" ht="15" customHeight="1" x14ac:dyDescent="0.3">
      <c r="B56" s="24">
        <f>ESPECTROS!$B118</f>
        <v>0.9</v>
      </c>
      <c r="C56" s="25">
        <f>ESPECTROS!$O118</f>
        <v>1.0989256728511985</v>
      </c>
      <c r="D56" s="30">
        <f t="shared" si="3"/>
        <v>1077.6779449666205</v>
      </c>
      <c r="F56" s="24">
        <f>ESPECTROS!$B118</f>
        <v>0.9</v>
      </c>
      <c r="G56" s="25">
        <f>IF(STAAD!$C$17="ASCE 7-16",ESPECTROS!$H118*IF(DATOS!$C$9="SÍ",COEFICIENTE!$C$68,1),ESPECTROS!$D118)</f>
        <v>0.15698938183588548</v>
      </c>
      <c r="H56" s="30">
        <f t="shared" si="4"/>
        <v>153.95399213808864</v>
      </c>
      <c r="J56" s="24">
        <f>ESPECTROS!$B118</f>
        <v>0.9</v>
      </c>
      <c r="K56" s="25">
        <f>IF(STAAD!$C$17="ASCE 7-16",ESPECTROS!$I118*IF(DATOS!$C$9="SÍ",COEFICIENTE!$D$68,1),ESPECTROS!$E118)</f>
        <v>0.15698938183588548</v>
      </c>
      <c r="L56" s="30">
        <f t="shared" si="5"/>
        <v>153.95399213808864</v>
      </c>
    </row>
    <row r="57" spans="2:12" ht="15" customHeight="1" x14ac:dyDescent="0.3">
      <c r="B57" s="24">
        <f>ESPECTROS!$B119</f>
        <v>0.92</v>
      </c>
      <c r="C57" s="25">
        <f>ESPECTROS!$O119</f>
        <v>1.082940944556427</v>
      </c>
      <c r="D57" s="30">
        <f t="shared" si="3"/>
        <v>1062.0022813934286</v>
      </c>
      <c r="F57" s="24">
        <f>ESPECTROS!$B119</f>
        <v>0.92</v>
      </c>
      <c r="G57" s="25">
        <f>IF(STAAD!$C$17="ASCE 7-16",ESPECTROS!$H119*IF(DATOS!$C$9="SÍ",COEFICIENTE!$C$68,1),ESPECTROS!$D119)</f>
        <v>0.15470584922234673</v>
      </c>
      <c r="H57" s="30">
        <f t="shared" si="4"/>
        <v>151.71461162763265</v>
      </c>
      <c r="J57" s="24">
        <f>ESPECTROS!$B119</f>
        <v>0.92</v>
      </c>
      <c r="K57" s="25">
        <f>IF(STAAD!$C$17="ASCE 7-16",ESPECTROS!$I119*IF(DATOS!$C$9="SÍ",COEFICIENTE!$D$68,1),ESPECTROS!$E119)</f>
        <v>0.15470584922234673</v>
      </c>
      <c r="L57" s="30">
        <f t="shared" si="5"/>
        <v>151.71461162763265</v>
      </c>
    </row>
    <row r="58" spans="2:12" ht="15" customHeight="1" x14ac:dyDescent="0.3">
      <c r="B58" s="24">
        <f>ESPECTROS!$B120</f>
        <v>0.94</v>
      </c>
      <c r="C58" s="25">
        <f>ESPECTROS!$O120</f>
        <v>1.0675250873653346</v>
      </c>
      <c r="D58" s="30">
        <f t="shared" si="3"/>
        <v>1046.8844898011257</v>
      </c>
      <c r="F58" s="24">
        <f>ESPECTROS!$B120</f>
        <v>0.94</v>
      </c>
      <c r="G58" s="25">
        <f>IF(STAAD!$C$17="ASCE 7-16",ESPECTROS!$H120*IF(DATOS!$C$9="SÍ",COEFICIENTE!$C$68,1),ESPECTROS!$D120)</f>
        <v>0.15250358390933352</v>
      </c>
      <c r="H58" s="30">
        <f t="shared" si="4"/>
        <v>149.55492711444654</v>
      </c>
      <c r="J58" s="24">
        <f>ESPECTROS!$B120</f>
        <v>0.94</v>
      </c>
      <c r="K58" s="25">
        <f>IF(STAAD!$C$17="ASCE 7-16",ESPECTROS!$I120*IF(DATOS!$C$9="SÍ",COEFICIENTE!$D$68,1),ESPECTROS!$E120)</f>
        <v>0.15250358390933352</v>
      </c>
      <c r="L58" s="30">
        <f t="shared" si="5"/>
        <v>149.55492711444654</v>
      </c>
    </row>
    <row r="59" spans="2:12" ht="15" customHeight="1" x14ac:dyDescent="0.3">
      <c r="B59" s="24">
        <f>ESPECTROS!$B121</f>
        <v>0.96</v>
      </c>
      <c r="C59" s="25">
        <f>ESPECTROS!$O121</f>
        <v>1.0526463857566317</v>
      </c>
      <c r="D59" s="30">
        <f t="shared" si="3"/>
        <v>1032.2934678880272</v>
      </c>
      <c r="F59" s="24">
        <f>ESPECTROS!$B121</f>
        <v>0.96</v>
      </c>
      <c r="G59" s="25">
        <f>IF(STAAD!$C$17="ASCE 7-16",ESPECTROS!$H121*IF(DATOS!$C$9="SÍ",COEFICIENTE!$C$68,1),ESPECTROS!$D121)</f>
        <v>0.15037805510809024</v>
      </c>
      <c r="H59" s="30">
        <f t="shared" si="4"/>
        <v>147.4704954125753</v>
      </c>
      <c r="J59" s="24">
        <f>ESPECTROS!$B121</f>
        <v>0.96</v>
      </c>
      <c r="K59" s="25">
        <f>IF(STAAD!$C$17="ASCE 7-16",ESPECTROS!$I121*IF(DATOS!$C$9="SÍ",COEFICIENTE!$D$68,1),ESPECTROS!$E121)</f>
        <v>0.15037805510809024</v>
      </c>
      <c r="L59" s="30">
        <f t="shared" si="5"/>
        <v>147.4704954125753</v>
      </c>
    </row>
    <row r="60" spans="2:12" ht="15" customHeight="1" x14ac:dyDescent="0.3">
      <c r="B60" s="24">
        <f>ESPECTROS!$B122</f>
        <v>0.98</v>
      </c>
      <c r="C60" s="25">
        <f>ESPECTROS!$O122</f>
        <v>1.0382755057138127</v>
      </c>
      <c r="D60" s="30">
        <f t="shared" si="3"/>
        <v>1018.2004488108361</v>
      </c>
      <c r="F60" s="24">
        <f>ESPECTROS!$B122</f>
        <v>0.98</v>
      </c>
      <c r="G60" s="25">
        <f>IF(STAAD!$C$17="ASCE 7-16",ESPECTROS!$H122*IF(DATOS!$C$9="SÍ",COEFICIENTE!$C$68,1),ESPECTROS!$D122)</f>
        <v>0.14832507224483038</v>
      </c>
      <c r="H60" s="30">
        <f t="shared" si="4"/>
        <v>145.4572069729766</v>
      </c>
      <c r="J60" s="24">
        <f>ESPECTROS!$B122</f>
        <v>0.98</v>
      </c>
      <c r="K60" s="25">
        <f>IF(STAAD!$C$17="ASCE 7-16",ESPECTROS!$I122*IF(DATOS!$C$9="SÍ",COEFICIENTE!$D$68,1),ESPECTROS!$E122)</f>
        <v>0.14832507224483038</v>
      </c>
      <c r="L60" s="30">
        <f t="shared" si="5"/>
        <v>145.4572069729766</v>
      </c>
    </row>
    <row r="61" spans="2:12" ht="15" customHeight="1" x14ac:dyDescent="0.3">
      <c r="B61" s="24">
        <f>ESPECTROS!$B123</f>
        <v>1.0</v>
      </c>
      <c r="C61" s="25">
        <f>ESPECTROS!$O123</f>
        <v>1.024385271693138</v>
      </c>
      <c r="D61" s="30">
        <f t="shared" si="3"/>
        <v>1004.5787824649512</v>
      </c>
      <c r="F61" s="24">
        <f>ESPECTROS!$B123</f>
        <v>1.0</v>
      </c>
      <c r="G61" s="25">
        <f>IF(STAAD!$C$17="ASCE 7-16",ESPECTROS!$H123*IF(DATOS!$C$9="SÍ",COEFICIENTE!$C$68,1),ESPECTROS!$D123)</f>
        <v>0.14634075309901973</v>
      </c>
      <c r="H61" s="30">
        <f t="shared" si="4"/>
        <v>143.5112546378502</v>
      </c>
      <c r="J61" s="24">
        <f>ESPECTROS!$B123</f>
        <v>1.0</v>
      </c>
      <c r="K61" s="25">
        <f>IF(STAAD!$C$17="ASCE 7-16",ESPECTROS!$I123*IF(DATOS!$C$9="SÍ",COEFICIENTE!$D$68,1),ESPECTROS!$E123)</f>
        <v>0.14634075309901973</v>
      </c>
      <c r="L61" s="30">
        <f t="shared" si="5"/>
        <v>143.5112546378502</v>
      </c>
    </row>
    <row r="62" spans="2:12" ht="15" customHeight="1" x14ac:dyDescent="0.3">
      <c r="B62" s="24">
        <f>ESPECTROS!$B124</f>
        <v>1.05</v>
      </c>
      <c r="C62" s="25">
        <f>ESPECTROS!$O124</f>
        <v>0.9916013886892374</v>
      </c>
      <c r="D62" s="30">
        <f t="shared" si="3"/>
        <v>972.428775838931</v>
      </c>
      <c r="F62" s="24">
        <f>ESPECTROS!$B124</f>
        <v>1.05</v>
      </c>
      <c r="G62" s="25">
        <f>IF(STAAD!$C$17="ASCE 7-16",ESPECTROS!$H124*IF(DATOS!$C$9="SÍ",COEFICIENTE!$C$68,1),ESPECTROS!$D124)</f>
        <v>0.14165734124131962</v>
      </c>
      <c r="H62" s="30">
        <f t="shared" si="4"/>
        <v>138.9183965484187</v>
      </c>
      <c r="J62" s="24">
        <f>ESPECTROS!$B124</f>
        <v>1.05</v>
      </c>
      <c r="K62" s="25">
        <f>IF(STAAD!$C$17="ASCE 7-16",ESPECTROS!$I124*IF(DATOS!$C$9="SÍ",COEFICIENTE!$D$68,1),ESPECTROS!$E124)</f>
        <v>0.14165734124131962</v>
      </c>
      <c r="L62" s="30">
        <f t="shared" si="5"/>
        <v>138.9183965484187</v>
      </c>
    </row>
    <row r="63" spans="2:12" ht="15" customHeight="1" x14ac:dyDescent="0.3">
      <c r="B63" s="24">
        <f>ESPECTROS!$B125</f>
        <v>1.1</v>
      </c>
      <c r="C63" s="25">
        <f>ESPECTROS!$O125</f>
        <v>0.961320496850177</v>
      </c>
      <c r="D63" s="30">
        <f t="shared" si="3"/>
        <v>942.7333650435787</v>
      </c>
      <c r="F63" s="24">
        <f>ESPECTROS!$B125</f>
        <v>1.1</v>
      </c>
      <c r="G63" s="25">
        <f>IF(STAAD!$C$17="ASCE 7-16",ESPECTROS!$H125*IF(DATOS!$C$9="SÍ",COEFICIENTE!$C$68,1),ESPECTROS!$D125)</f>
        <v>0.13733149955002527</v>
      </c>
      <c r="H63" s="30">
        <f t="shared" si="4"/>
        <v>134.67619500622553</v>
      </c>
      <c r="J63" s="24">
        <f>ESPECTROS!$B125</f>
        <v>1.1</v>
      </c>
      <c r="K63" s="25">
        <f>IF(STAAD!$C$17="ASCE 7-16",ESPECTROS!$I125*IF(DATOS!$C$9="SÍ",COEFICIENTE!$D$68,1),ESPECTROS!$E125)</f>
        <v>0.13733149955002527</v>
      </c>
      <c r="L63" s="30">
        <f t="shared" si="5"/>
        <v>134.67619500622553</v>
      </c>
    </row>
    <row r="64" spans="2:12" ht="15" customHeight="1" x14ac:dyDescent="0.3">
      <c r="B64" s="24">
        <f>ESPECTROS!$B126</f>
        <v>1.15</v>
      </c>
      <c r="C64" s="25">
        <f>ESPECTROS!$O126</f>
        <v>0.9332502152833047</v>
      </c>
      <c r="D64" s="30">
        <f t="shared" si="3"/>
        <v>915.2058223708019</v>
      </c>
      <c r="F64" s="24">
        <f>ESPECTROS!$B126</f>
        <v>1.15</v>
      </c>
      <c r="G64" s="25">
        <f>IF(STAAD!$C$17="ASCE 7-16",ESPECTROS!$H126*IF(DATOS!$C$9="SÍ",COEFICIENTE!$C$68,1),ESPECTROS!$D126)</f>
        <v>0.1333214593261864</v>
      </c>
      <c r="H64" s="30">
        <f t="shared" si="4"/>
        <v>130.74368891011457</v>
      </c>
      <c r="J64" s="24">
        <f>ESPECTROS!$B126</f>
        <v>1.15</v>
      </c>
      <c r="K64" s="25">
        <f>IF(STAAD!$C$17="ASCE 7-16",ESPECTROS!$I126*IF(DATOS!$C$9="SÍ",COEFICIENTE!$D$68,1),ESPECTROS!$E126)</f>
        <v>0.1333214593261864</v>
      </c>
      <c r="L64" s="30">
        <f t="shared" si="5"/>
        <v>130.74368891011457</v>
      </c>
    </row>
    <row r="65" spans="2:12" ht="15" customHeight="1" x14ac:dyDescent="0.3">
      <c r="B65" s="24">
        <f>ESPECTROS!$B127</f>
        <v>1.2</v>
      </c>
      <c r="C65" s="25">
        <f>ESPECTROS!$O127</f>
        <v>0.9071431559243086</v>
      </c>
      <c r="D65" s="30">
        <f t="shared" si="3"/>
        <v>889.6035430045121</v>
      </c>
      <c r="F65" s="24">
        <f>ESPECTROS!$B127</f>
        <v>1.2</v>
      </c>
      <c r="G65" s="25">
        <f>IF(STAAD!$C$17="ASCE 7-16",ESPECTROS!$H127*IF(DATOS!$C$9="SÍ",COEFICIENTE!$C$68,1),ESPECTROS!$D127)</f>
        <v>0.12959187941775838</v>
      </c>
      <c r="H65" s="30">
        <f t="shared" si="4"/>
        <v>127.08622042921601</v>
      </c>
      <c r="J65" s="24">
        <f>ESPECTROS!$B127</f>
        <v>1.2</v>
      </c>
      <c r="K65" s="25">
        <f>IF(STAAD!$C$17="ASCE 7-16",ESPECTROS!$I127*IF(DATOS!$C$9="SÍ",COEFICIENTE!$D$68,1),ESPECTROS!$E127)</f>
        <v>0.12959187941775838</v>
      </c>
      <c r="L65" s="30">
        <f t="shared" si="5"/>
        <v>127.08622042921601</v>
      </c>
    </row>
    <row r="66" spans="2:12" ht="15" customHeight="1" x14ac:dyDescent="0.3">
      <c r="B66" s="24">
        <f>ESPECTROS!$B128</f>
        <v>1.25</v>
      </c>
      <c r="C66" s="25">
        <f>ESPECTROS!$O128</f>
        <v>0.882788466117373</v>
      </c>
      <c r="D66" s="30">
        <f t="shared" si="3"/>
        <v>865.7197511249936</v>
      </c>
      <c r="F66" s="24">
        <f>ESPECTROS!$B128</f>
        <v>1.25</v>
      </c>
      <c r="G66" s="25">
        <f>IF(STAAD!$C$17="ASCE 7-16",ESPECTROS!$H128*IF(DATOS!$C$9="SÍ",COEFICIENTE!$C$68,1),ESPECTROS!$D128)</f>
        <v>0.1261126380167676</v>
      </c>
      <c r="H66" s="30">
        <f t="shared" si="4"/>
        <v>123.67425016071338</v>
      </c>
      <c r="J66" s="24">
        <f>ESPECTROS!$B128</f>
        <v>1.25</v>
      </c>
      <c r="K66" s="25">
        <f>IF(STAAD!$C$17="ASCE 7-16",ESPECTROS!$I128*IF(DATOS!$C$9="SÍ",COEFICIENTE!$D$68,1),ESPECTROS!$E128)</f>
        <v>0.1261126380167676</v>
      </c>
      <c r="L66" s="30">
        <f t="shared" si="5"/>
        <v>123.67425016071338</v>
      </c>
    </row>
    <row r="67" spans="2:12" ht="15" customHeight="1" x14ac:dyDescent="0.3">
      <c r="B67" s="24">
        <f>ESPECTROS!$B129</f>
        <v>1.3</v>
      </c>
      <c r="C67" s="25">
        <f>ESPECTROS!$O129</f>
        <v>0.8600052269526987</v>
      </c>
      <c r="D67" s="30">
        <f t="shared" si="3"/>
        <v>843.3770258895682</v>
      </c>
      <c r="F67" s="24">
        <f>ESPECTROS!$B129</f>
        <v>1.3</v>
      </c>
      <c r="G67" s="25">
        <f>IF(STAAD!$C$17="ASCE 7-16",ESPECTROS!$H129*IF(DATOS!$C$9="SÍ",COEFICIENTE!$C$68,1),ESPECTROS!$D129)</f>
        <v>0.12285788956467124</v>
      </c>
      <c r="H67" s="30">
        <f t="shared" si="4"/>
        <v>120.48243226993831</v>
      </c>
      <c r="J67" s="24">
        <f>ESPECTROS!$B129</f>
        <v>1.3</v>
      </c>
      <c r="K67" s="25">
        <f>IF(STAAD!$C$17="ASCE 7-16",ESPECTROS!$I129*IF(DATOS!$C$9="SÍ",COEFICIENTE!$D$68,1),ESPECTROS!$E129)</f>
        <v>0.12285788956467124</v>
      </c>
      <c r="L67" s="30">
        <f t="shared" si="5"/>
        <v>120.48243226993831</v>
      </c>
    </row>
    <row r="68" spans="2:12" ht="15" customHeight="1" x14ac:dyDescent="0.3">
      <c r="B68" s="24">
        <f>ESPECTROS!$B130</f>
        <v>1.35</v>
      </c>
      <c r="C68" s="25">
        <f>ESPECTROS!$O130</f>
        <v>0.8386372461468469</v>
      </c>
      <c r="D68" s="30">
        <f t="shared" si="3"/>
        <v>822.4221949925976</v>
      </c>
      <c r="F68" s="24">
        <f>ESPECTROS!$B130</f>
        <v>1.35</v>
      </c>
      <c r="G68" s="25">
        <f>IF(STAAD!$C$17="ASCE 7-16",ESPECTROS!$H130*IF(DATOS!$C$9="SÍ",COEFICIENTE!$C$68,1),ESPECTROS!$D130)</f>
        <v>0.11980532087812099</v>
      </c>
      <c r="H68" s="30">
        <f t="shared" si="4"/>
        <v>117.48888499894251</v>
      </c>
      <c r="J68" s="24">
        <f>ESPECTROS!$B130</f>
        <v>1.35</v>
      </c>
      <c r="K68" s="25">
        <f>IF(STAAD!$C$17="ASCE 7-16",ESPECTROS!$I130*IF(DATOS!$C$9="SÍ",COEFICIENTE!$D$68,1),ESPECTROS!$E130)</f>
        <v>0.11980532087812099</v>
      </c>
      <c r="L68" s="30">
        <f t="shared" si="5"/>
        <v>117.48888499894251</v>
      </c>
    </row>
    <row r="69" spans="2:12" ht="15" customHeight="1" x14ac:dyDescent="0.3">
      <c r="B69" s="24">
        <f>ESPECTROS!$B131</f>
        <v>1.4</v>
      </c>
      <c r="C69" s="25">
        <f>ESPECTROS!$O131</f>
        <v>0.8185489113386862</v>
      </c>
      <c r="D69" s="30">
        <f t="shared" si="3"/>
        <v>802.7222681379527</v>
      </c>
      <c r="F69" s="24">
        <f>ESPECTROS!$B131</f>
        <v>1.4</v>
      </c>
      <c r="G69" s="25">
        <f>IF(STAAD!$C$17="ASCE 7-16",ESPECTROS!$H131*IF(DATOS!$C$9="SÍ",COEFICIENTE!$C$68,1),ESPECTROS!$D131)</f>
        <v>0.11693555876266946</v>
      </c>
      <c r="H69" s="30">
        <f t="shared" si="4"/>
        <v>114.67460973399325</v>
      </c>
      <c r="J69" s="24">
        <f>ESPECTROS!$B131</f>
        <v>1.4</v>
      </c>
      <c r="K69" s="25">
        <f>IF(STAAD!$C$17="ASCE 7-16",ESPECTROS!$I131*IF(DATOS!$C$9="SÍ",COEFICIENTE!$D$68,1),ESPECTROS!$E131)</f>
        <v>0.11693555876266946</v>
      </c>
      <c r="L69" s="30">
        <f t="shared" si="5"/>
        <v>114.67460973399325</v>
      </c>
    </row>
    <row r="70" spans="2:12" ht="15" customHeight="1" x14ac:dyDescent="0.3">
      <c r="B70" s="24">
        <f>ESPECTROS!$B132</f>
        <v>1.45</v>
      </c>
      <c r="C70" s="25">
        <f>ESPECTROS!$O132</f>
        <v>0.799621858546697</v>
      </c>
      <c r="D70" s="30">
        <f t="shared" si="3"/>
        <v>784.1611699116966</v>
      </c>
      <c r="F70" s="24">
        <f>ESPECTROS!$B132</f>
        <v>1.45</v>
      </c>
      <c r="G70" s="25">
        <f>IF(STAAD!$C$17="ASCE 7-16",ESPECTROS!$H132*IF(DATOS!$C$9="SÍ",COEFICIENTE!$C$68,1),ESPECTROS!$D132)</f>
        <v>0.11423169407809956</v>
      </c>
      <c r="H70" s="30">
        <f t="shared" si="4"/>
        <v>112.02302427309951</v>
      </c>
      <c r="J70" s="24">
        <f>ESPECTROS!$B132</f>
        <v>1.45</v>
      </c>
      <c r="K70" s="25">
        <f>IF(STAAD!$C$17="ASCE 7-16",ESPECTROS!$I132*IF(DATOS!$C$9="SÍ",COEFICIENTE!$D$68,1),ESPECTROS!$E132)</f>
        <v>0.11423169407809956</v>
      </c>
      <c r="L70" s="30">
        <f t="shared" si="5"/>
        <v>112.02302427309951</v>
      </c>
    </row>
    <row r="71" spans="2:12" ht="15" customHeight="1" x14ac:dyDescent="0.3">
      <c r="B71" s="24">
        <f>ESPECTROS!$B133</f>
        <v>1.5</v>
      </c>
      <c r="C71" s="25">
        <f>ESPECTROS!$O133</f>
        <v>0.781752273579333</v>
      </c>
      <c r="D71" s="30">
        <f t="shared" si="3"/>
        <v>766.6370933696766</v>
      </c>
      <c r="F71" s="24">
        <f>ESPECTROS!$B133</f>
        <v>1.5</v>
      </c>
      <c r="G71" s="25">
        <f>IF(STAAD!$C$17="ASCE 7-16",ESPECTROS!$H133*IF(DATOS!$C$9="SÍ",COEFICIENTE!$C$68,1),ESPECTROS!$D133)</f>
        <v>0.111678896225619</v>
      </c>
      <c r="H71" s="30">
        <f t="shared" si="4"/>
        <v>109.51958476709665</v>
      </c>
      <c r="J71" s="24">
        <f>ESPECTROS!$B133</f>
        <v>1.5</v>
      </c>
      <c r="K71" s="25">
        <f>IF(STAAD!$C$17="ASCE 7-16",ESPECTROS!$I133*IF(DATOS!$C$9="SÍ",COEFICIENTE!$D$68,1),ESPECTROS!$E133)</f>
        <v>0.111678896225619</v>
      </c>
      <c r="L71" s="30">
        <f t="shared" si="5"/>
        <v>109.51958476709665</v>
      </c>
    </row>
    <row r="72" spans="2:12" ht="15" customHeight="1" x14ac:dyDescent="0.3">
      <c r="B72" s="24">
        <f>ESPECTROS!$B134</f>
        <v>1.55</v>
      </c>
      <c r="C72" s="25">
        <f>ESPECTROS!$O134</f>
        <v>0.7648486895091783</v>
      </c>
      <c r="D72" s="30">
        <f t="shared" si="3"/>
        <v>750.0603400975183</v>
      </c>
      <c r="F72" s="24">
        <f>ESPECTROS!$B134</f>
        <v>1.55</v>
      </c>
      <c r="G72" s="25">
        <f>IF(STAAD!$C$17="ASCE 7-16",ESPECTROS!$H134*IF(DATOS!$C$9="SÍ",COEFICIENTE!$C$68,1),ESPECTROS!$D134)</f>
        <v>0.10926409850131118</v>
      </c>
      <c r="H72" s="30">
        <f t="shared" si="4"/>
        <v>107.15147715678832</v>
      </c>
      <c r="J72" s="24">
        <f>ESPECTROS!$B134</f>
        <v>1.55</v>
      </c>
      <c r="K72" s="25">
        <f>IF(STAAD!$C$17="ASCE 7-16",ESPECTROS!$I134*IF(DATOS!$C$9="SÍ",COEFICIENTE!$D$68,1),ESPECTROS!$E134)</f>
        <v>0.10926409850131118</v>
      </c>
      <c r="L72" s="30">
        <f t="shared" si="5"/>
        <v>107.15147715678832</v>
      </c>
    </row>
    <row r="73" spans="2:12" ht="15" customHeight="1" x14ac:dyDescent="0.3">
      <c r="B73" s="24">
        <f>ESPECTROS!$B135</f>
        <v>1.6</v>
      </c>
      <c r="C73" s="25">
        <f>ESPECTROS!$O135</f>
        <v>0.7488301762986854</v>
      </c>
      <c r="D73" s="30">
        <f t="shared" si="3"/>
        <v>734.3515448399503</v>
      </c>
      <c r="F73" s="24">
        <f>ESPECTROS!$B135</f>
        <v>1.6</v>
      </c>
      <c r="G73" s="25">
        <f>IF(STAAD!$C$17="ASCE 7-16",ESPECTROS!$H135*IF(DATOS!$C$9="SÍ",COEFICIENTE!$C$68,1),ESPECTROS!$D135)</f>
        <v>0.10697573947124077</v>
      </c>
      <c r="H73" s="30">
        <f t="shared" si="4"/>
        <v>104.90736354856432</v>
      </c>
      <c r="J73" s="24">
        <f>ESPECTROS!$B135</f>
        <v>1.6</v>
      </c>
      <c r="K73" s="25">
        <f>IF(STAAD!$C$17="ASCE 7-16",ESPECTROS!$I135*IF(DATOS!$C$9="SÍ",COEFICIENTE!$D$68,1),ESPECTROS!$E135)</f>
        <v>0.10697573947124077</v>
      </c>
      <c r="L73" s="30">
        <f t="shared" si="5"/>
        <v>104.90736354856432</v>
      </c>
    </row>
    <row r="74" spans="2:12" ht="15" customHeight="1" x14ac:dyDescent="0.3">
      <c r="B74" s="24">
        <f>ESPECTROS!$B136</f>
        <v>1.65</v>
      </c>
      <c r="C74" s="25">
        <f>ESPECTROS!$O136</f>
        <v>0.7336248429352287</v>
      </c>
      <c r="D74" s="30">
        <f t="shared" si="3"/>
        <v>719.440206597076</v>
      </c>
      <c r="F74" s="24">
        <f>ESPECTROS!$B136</f>
        <v>1.65</v>
      </c>
      <c r="G74" s="25">
        <f>IF(STAAD!$C$17="ASCE 7-16",ESPECTROS!$H136*IF(DATOS!$C$9="SÍ",COEFICIENTE!$C$68,1),ESPECTROS!$D136)</f>
        <v>0.10480354899074695</v>
      </c>
      <c r="H74" s="30">
        <f t="shared" si="4"/>
        <v>102.77717237101086</v>
      </c>
      <c r="J74" s="24">
        <f>ESPECTROS!$B136</f>
        <v>1.65</v>
      </c>
      <c r="K74" s="25">
        <f>IF(STAAD!$C$17="ASCE 7-16",ESPECTROS!$I136*IF(DATOS!$C$9="SÍ",COEFICIENTE!$D$68,1),ESPECTROS!$E136)</f>
        <v>0.10480354899074695</v>
      </c>
      <c r="L74" s="30">
        <f t="shared" si="5"/>
        <v>102.77717237101086</v>
      </c>
    </row>
    <row r="75" spans="2:12" ht="15" customHeight="1" x14ac:dyDescent="0.3">
      <c r="B75" s="24">
        <f>ESPECTROS!$B137</f>
        <v>1.7</v>
      </c>
      <c r="C75" s="25">
        <f>ESPECTROS!$O137</f>
        <v>0.7191685904845169</v>
      </c>
      <c r="D75" s="30">
        <f t="shared" ref="D75:D106" si="6">C75*$O$16</f>
        <v>705.263465787499</v>
      </c>
      <c r="F75" s="24">
        <f>ESPECTROS!$B137</f>
        <v>1.7</v>
      </c>
      <c r="G75" s="25">
        <f>IF(STAAD!$C$17="ASCE 7-16",ESPECTROS!$H137*IF(DATOS!$C$9="SÍ",COEFICIENTE!$C$68,1),ESPECTROS!$D137)</f>
        <v>0.1027383700692167</v>
      </c>
      <c r="H75" s="30">
        <f t="shared" ref="H75:H106" si="7">G75*$O$16</f>
        <v>100.751923683928</v>
      </c>
      <c r="J75" s="24">
        <f>ESPECTROS!$B137</f>
        <v>1.7</v>
      </c>
      <c r="K75" s="25">
        <f>IF(STAAD!$C$17="ASCE 7-16",ESPECTROS!$I137*IF(DATOS!$C$9="SÍ",COEFICIENTE!$D$68,1),ESPECTROS!$E137)</f>
        <v>0.1027383700692167</v>
      </c>
      <c r="L75" s="30">
        <f t="shared" ref="L75:L106" si="8">K75*$O$16</f>
        <v>100.751923683928</v>
      </c>
    </row>
    <row r="76" spans="2:12" ht="15" customHeight="1" x14ac:dyDescent="0.3">
      <c r="B76" s="24">
        <f>ESPECTROS!$B138</f>
        <v>1.75</v>
      </c>
      <c r="C76" s="25">
        <f>ESPECTROS!$O138</f>
        <v>0.7054040680303595</v>
      </c>
      <c r="D76" s="30">
        <f t="shared" si="6"/>
        <v>691.7650803749924</v>
      </c>
      <c r="F76" s="24">
        <f>ESPECTROS!$B138</f>
        <v>1.75</v>
      </c>
      <c r="G76" s="25">
        <f>IF(STAAD!$C$17="ASCE 7-16",ESPECTROS!$H138*IF(DATOS!$C$9="SÍ",COEFICIENTE!$C$68,1),ESPECTROS!$D138)</f>
        <v>0.10077200971862278</v>
      </c>
      <c r="H76" s="30">
        <f t="shared" si="7"/>
        <v>98.82358291071321</v>
      </c>
      <c r="J76" s="24">
        <f>ESPECTROS!$B138</f>
        <v>1.75</v>
      </c>
      <c r="K76" s="25">
        <f>IF(STAAD!$C$17="ASCE 7-16",ESPECTROS!$I138*IF(DATOS!$C$9="SÍ",COEFICIENTE!$D$68,1),ESPECTROS!$E138)</f>
        <v>0.10077200971862278</v>
      </c>
      <c r="L76" s="30">
        <f t="shared" si="8"/>
        <v>98.82358291071321</v>
      </c>
    </row>
    <row r="77" spans="2:12" ht="15" customHeight="1" x14ac:dyDescent="0.3">
      <c r="B77" s="24">
        <f>ESPECTROS!$B139</f>
        <v>1.8</v>
      </c>
      <c r="C77" s="25">
        <f>ESPECTROS!$O139</f>
        <v>0.692279793747556</v>
      </c>
      <c r="D77" s="30">
        <f t="shared" si="6"/>
        <v>678.894563935447</v>
      </c>
      <c r="F77" s="24">
        <f>ESPECTROS!$B139</f>
        <v>1.8</v>
      </c>
      <c r="G77" s="25">
        <f>IF(STAAD!$C$17="ASCE 7-16",ESPECTROS!$H139*IF(DATOS!$C$9="SÍ",COEFICIENTE!$C$68,1),ESPECTROS!$D139)</f>
        <v>0.098897113392508</v>
      </c>
      <c r="H77" s="30">
        <f t="shared" si="7"/>
        <v>96.98493770506384</v>
      </c>
      <c r="J77" s="24">
        <f>ESPECTROS!$B139</f>
        <v>1.8</v>
      </c>
      <c r="K77" s="25">
        <f>IF(STAAD!$C$17="ASCE 7-16",ESPECTROS!$I139*IF(DATOS!$C$9="SÍ",COEFICIENTE!$D$68,1),ESPECTROS!$E139)</f>
        <v>0.098897113392508</v>
      </c>
      <c r="L77" s="30">
        <f t="shared" si="8"/>
        <v>96.98493770506384</v>
      </c>
    </row>
    <row r="78" spans="2:12" ht="15" customHeight="1" x14ac:dyDescent="0.3">
      <c r="B78" s="24">
        <f>ESPECTROS!$B140</f>
        <v>1.85</v>
      </c>
      <c r="C78" s="25">
        <f>ESPECTROS!$O140</f>
        <v>0.6797494112143887</v>
      </c>
      <c r="D78" s="30">
        <f t="shared" si="6"/>
        <v>666.6064563485585</v>
      </c>
      <c r="F78" s="24">
        <f>ESPECTROS!$B140</f>
        <v>1.85</v>
      </c>
      <c r="G78" s="25">
        <f>IF(STAAD!$C$17="ASCE 7-16",ESPECTROS!$H140*IF(DATOS!$C$9="SÍ",COEFICIENTE!$C$68,1),ESPECTROS!$D140)</f>
        <v>0.09710705874491267</v>
      </c>
      <c r="H78" s="30">
        <f t="shared" si="7"/>
        <v>95.22949376407978</v>
      </c>
      <c r="J78" s="24">
        <f>ESPECTROS!$B140</f>
        <v>1.85</v>
      </c>
      <c r="K78" s="25">
        <f>IF(STAAD!$C$17="ASCE 7-16",ESPECTROS!$I140*IF(DATOS!$C$9="SÍ",COEFICIENTE!$D$68,1),ESPECTROS!$E140)</f>
        <v>0.09710705874491267</v>
      </c>
      <c r="L78" s="30">
        <f t="shared" si="8"/>
        <v>95.22949376407978</v>
      </c>
    </row>
    <row r="79" spans="2:12" ht="15" customHeight="1" x14ac:dyDescent="0.3">
      <c r="B79" s="24">
        <f>ESPECTROS!$B141</f>
        <v>1.9</v>
      </c>
      <c r="C79" s="25">
        <f>ESPECTROS!$O141</f>
        <v>0.6677710571300466</v>
      </c>
      <c r="D79" s="30">
        <f t="shared" si="6"/>
        <v>654.8597037404371</v>
      </c>
      <c r="F79" s="24">
        <f>ESPECTROS!$B141</f>
        <v>1.9</v>
      </c>
      <c r="G79" s="25">
        <f>IF(STAAD!$C$17="ASCE 7-16",ESPECTROS!$H141*IF(DATOS!$C$9="SÍ",COEFICIENTE!$C$68,1),ESPECTROS!$D141)</f>
        <v>0.09539586530429237</v>
      </c>
      <c r="H79" s="30">
        <f t="shared" si="7"/>
        <v>93.55138624863388</v>
      </c>
      <c r="J79" s="24">
        <f>ESPECTROS!$B141</f>
        <v>1.9</v>
      </c>
      <c r="K79" s="25">
        <f>IF(STAAD!$C$17="ASCE 7-16",ESPECTROS!$I141*IF(DATOS!$C$9="SÍ",COEFICIENTE!$D$68,1),ESPECTROS!$E141)</f>
        <v>0.09539586530429237</v>
      </c>
      <c r="L79" s="30">
        <f t="shared" si="8"/>
        <v>93.55138624863388</v>
      </c>
    </row>
    <row r="80" spans="2:12" ht="15" customHeight="1" x14ac:dyDescent="0.3">
      <c r="B80" s="24">
        <f>ESPECTROS!$B142</f>
        <v>1.95</v>
      </c>
      <c r="C80" s="25">
        <f>ESPECTROS!$O142</f>
        <v>0.6563068213087098</v>
      </c>
      <c r="D80" s="30">
        <f t="shared" si="6"/>
        <v>643.6171289187058</v>
      </c>
      <c r="F80" s="24">
        <f>ESPECTROS!$B142</f>
        <v>1.95</v>
      </c>
      <c r="G80" s="25">
        <f>IF(STAAD!$C$17="ASCE 7-16",ESPECTROS!$H142*IF(DATOS!$C$9="SÍ",COEFICIENTE!$C$68,1),ESPECTROS!$D142)</f>
        <v>0.09375811732981568</v>
      </c>
      <c r="H80" s="30">
        <f t="shared" si="7"/>
        <v>91.94530413124369</v>
      </c>
      <c r="J80" s="24">
        <f>ESPECTROS!$B142</f>
        <v>1.95</v>
      </c>
      <c r="K80" s="25">
        <f>IF(STAAD!$C$17="ASCE 7-16",ESPECTROS!$I142*IF(DATOS!$C$9="SÍ",COEFICIENTE!$D$68,1),ESPECTROS!$E142)</f>
        <v>0.09375811732981568</v>
      </c>
      <c r="L80" s="30">
        <f t="shared" si="8"/>
        <v>91.94530413124369</v>
      </c>
    </row>
    <row r="81" spans="2:12" ht="15" customHeight="1" x14ac:dyDescent="0.3">
      <c r="B81" s="24">
        <f>ESPECTROS!$B143</f>
        <v>2.0</v>
      </c>
      <c r="C81" s="25">
        <f>ESPECTROS!$O143</f>
        <v>0.6453222835042317</v>
      </c>
      <c r="D81" s="30">
        <f t="shared" si="6"/>
        <v>632.8449771526774</v>
      </c>
      <c r="F81" s="24">
        <f>ESPECTROS!$B143</f>
        <v>2.0</v>
      </c>
      <c r="G81" s="25">
        <f>IF(STAAD!$C$17="ASCE 7-16",ESPECTROS!$H143*IF(DATOS!$C$9="SÍ",COEFICIENTE!$C$68,1),ESPECTROS!$D143)</f>
        <v>0.09218889764346168</v>
      </c>
      <c r="H81" s="30">
        <f t="shared" si="7"/>
        <v>90.40642530752534</v>
      </c>
      <c r="J81" s="24">
        <f>ESPECTROS!$B143</f>
        <v>2.0</v>
      </c>
      <c r="K81" s="25">
        <f>IF(STAAD!$C$17="ASCE 7-16",ESPECTROS!$I143*IF(DATOS!$C$9="SÍ",COEFICIENTE!$D$68,1),ESPECTROS!$E143)</f>
        <v>0.09218889764346168</v>
      </c>
      <c r="L81" s="30">
        <f t="shared" si="8"/>
        <v>90.40642530752534</v>
      </c>
    </row>
    <row r="82" spans="2:12" ht="15" customHeight="1" x14ac:dyDescent="0.3">
      <c r="B82" s="24">
        <f>ESPECTROS!$B144</f>
        <v>2.1</v>
      </c>
      <c r="C82" s="25">
        <f>ESPECTROS!$O144</f>
        <v>0.6246697313572791</v>
      </c>
      <c r="D82" s="30">
        <f t="shared" si="6"/>
        <v>612.591742101486</v>
      </c>
      <c r="F82" s="24">
        <f>ESPECTROS!$B144</f>
        <v>2.1</v>
      </c>
      <c r="G82" s="25">
        <f>IF(STAAD!$C$17="ASCE 7-16",ESPECTROS!$H144*IF(DATOS!$C$9="SÍ",COEFICIENTE!$C$68,1),ESPECTROS!$D144)</f>
        <v>0.08923853305103988</v>
      </c>
      <c r="H82" s="30">
        <f t="shared" si="7"/>
        <v>87.51310601449802</v>
      </c>
      <c r="J82" s="24">
        <f>ESPECTROS!$B144</f>
        <v>2.1</v>
      </c>
      <c r="K82" s="25">
        <f>IF(STAAD!$C$17="ASCE 7-16",ESPECTROS!$I144*IF(DATOS!$C$9="SÍ",COEFICIENTE!$D$68,1),ESPECTROS!$E144)</f>
        <v>0.08923853305103988</v>
      </c>
      <c r="L82" s="30">
        <f t="shared" si="8"/>
        <v>87.51310601449802</v>
      </c>
    </row>
    <row r="83" spans="2:12" ht="15" customHeight="1" x14ac:dyDescent="0.3">
      <c r="B83" s="24">
        <f>ESPECTROS!$B145</f>
        <v>2.2</v>
      </c>
      <c r="C83" s="25">
        <f>ESPECTROS!$O145</f>
        <v>0.605593964838468</v>
      </c>
      <c r="D83" s="30">
        <f t="shared" si="6"/>
        <v>593.8848055283162</v>
      </c>
      <c r="F83" s="24">
        <f>ESPECTROS!$B145</f>
        <v>2.2</v>
      </c>
      <c r="G83" s="25">
        <f>IF(STAAD!$C$17="ASCE 7-16",ESPECTROS!$H145*IF(DATOS!$C$9="SÍ",COEFICIENTE!$C$68,1),ESPECTROS!$D145)</f>
        <v>0.08651342354835256</v>
      </c>
      <c r="H83" s="30">
        <f t="shared" si="7"/>
        <v>84.84068650404517</v>
      </c>
      <c r="J83" s="24">
        <f>ESPECTROS!$B145</f>
        <v>2.2</v>
      </c>
      <c r="K83" s="25">
        <f>IF(STAAD!$C$17="ASCE 7-16",ESPECTROS!$I145*IF(DATOS!$C$9="SÍ",COEFICIENTE!$D$68,1),ESPECTROS!$E145)</f>
        <v>0.08651342354835256</v>
      </c>
      <c r="L83" s="30">
        <f t="shared" si="8"/>
        <v>84.84068650404517</v>
      </c>
    </row>
    <row r="84" spans="2:12" ht="15" customHeight="1" x14ac:dyDescent="0.3">
      <c r="B84" s="24">
        <f>ESPECTROS!$B146</f>
        <v>2.3</v>
      </c>
      <c r="C84" s="25">
        <f>ESPECTROS!$O146</f>
        <v>0.5879107955271788</v>
      </c>
      <c r="D84" s="30">
        <f t="shared" si="6"/>
        <v>576.5435402956608</v>
      </c>
      <c r="F84" s="24">
        <f>ESPECTROS!$B146</f>
        <v>2.3</v>
      </c>
      <c r="G84" s="25">
        <f>IF(STAAD!$C$17="ASCE 7-16",ESPECTROS!$H146*IF(DATOS!$C$9="SÍ",COEFICIENTE!$C$68,1),ESPECTROS!$D146)</f>
        <v>0.0839872565038827</v>
      </c>
      <c r="H84" s="30">
        <f t="shared" si="7"/>
        <v>82.36336289938012</v>
      </c>
      <c r="J84" s="24">
        <f>ESPECTROS!$B146</f>
        <v>2.3</v>
      </c>
      <c r="K84" s="25">
        <f>IF(STAAD!$C$17="ASCE 7-16",ESPECTROS!$I146*IF(DATOS!$C$9="SÍ",COEFICIENTE!$D$68,1),ESPECTROS!$E146)</f>
        <v>0.0839872565038827</v>
      </c>
      <c r="L84" s="30">
        <f t="shared" si="8"/>
        <v>82.36336289938012</v>
      </c>
    </row>
    <row r="85" spans="2:12" ht="15" customHeight="1" x14ac:dyDescent="0.3">
      <c r="B85" s="24">
        <f>ESPECTROS!$B147</f>
        <v>2.4</v>
      </c>
      <c r="C85" s="25">
        <f>ESPECTROS!$O147</f>
        <v>0.5714643787085518</v>
      </c>
      <c r="D85" s="30">
        <f t="shared" si="6"/>
        <v>560.4151149462219</v>
      </c>
      <c r="F85" s="24">
        <f>ESPECTROS!$B147</f>
        <v>2.4</v>
      </c>
      <c r="G85" s="25">
        <f>IF(STAAD!$C$17="ASCE 7-16",ESPECTROS!$H147*IF(DATOS!$C$9="SÍ",COEFICIENTE!$C$68,1),ESPECTROS!$D147)</f>
        <v>0.08163776838693597</v>
      </c>
      <c r="H85" s="30">
        <f t="shared" si="7"/>
        <v>80.05930213517456</v>
      </c>
      <c r="J85" s="24">
        <f>ESPECTROS!$B147</f>
        <v>2.4</v>
      </c>
      <c r="K85" s="25">
        <f>IF(STAAD!$C$17="ASCE 7-16",ESPECTROS!$I147*IF(DATOS!$C$9="SÍ",COEFICIENTE!$D$68,1),ESPECTROS!$E147)</f>
        <v>0.08163776838693597</v>
      </c>
      <c r="L85" s="30">
        <f t="shared" si="8"/>
        <v>80.05930213517456</v>
      </c>
    </row>
    <row r="86" spans="2:12" ht="15" customHeight="1" x14ac:dyDescent="0.3">
      <c r="B86" s="24">
        <f>ESPECTROS!$B148</f>
        <v>2.5</v>
      </c>
      <c r="C86" s="25">
        <f>ESPECTROS!$O148</f>
        <v>0.5561218855328427</v>
      </c>
      <c r="D86" s="30">
        <f t="shared" si="6"/>
        <v>545.3692688760651</v>
      </c>
      <c r="F86" s="24">
        <f>ESPECTROS!$B148</f>
        <v>2.5</v>
      </c>
      <c r="G86" s="25">
        <f>IF(STAAD!$C$17="ASCE 7-16",ESPECTROS!$H148*IF(DATOS!$C$9="SÍ",COEFICIENTE!$C$68,1),ESPECTROS!$D148)</f>
        <v>0.07944598364754896</v>
      </c>
      <c r="H86" s="30">
        <f t="shared" si="7"/>
        <v>77.9098955537236</v>
      </c>
      <c r="J86" s="24">
        <f>ESPECTROS!$B148</f>
        <v>2.5</v>
      </c>
      <c r="K86" s="25">
        <f>IF(STAAD!$C$17="ASCE 7-16",ESPECTROS!$I148*IF(DATOS!$C$9="SÍ",COEFICIENTE!$D$68,1),ESPECTROS!$E148)</f>
        <v>0.07944598364754896</v>
      </c>
      <c r="L86" s="30">
        <f t="shared" si="8"/>
        <v>77.9098955537236</v>
      </c>
    </row>
    <row r="87" spans="2:12" ht="15" customHeight="1" x14ac:dyDescent="0.3">
      <c r="B87" s="24">
        <f>ESPECTROS!$B149</f>
        <v>2.6</v>
      </c>
      <c r="C87" s="25">
        <f>ESPECTROS!$O149</f>
        <v>0.5417693442286613</v>
      </c>
      <c r="D87" s="30">
        <f t="shared" si="6"/>
        <v>531.2942339580001</v>
      </c>
      <c r="F87" s="24">
        <f>ESPECTROS!$B149</f>
        <v>2.6</v>
      </c>
      <c r="G87" s="25">
        <f>IF(STAAD!$C$17="ASCE 7-16",ESPECTROS!$H149*IF(DATOS!$C$9="SÍ",COEFICIENTE!$C$68,1),ESPECTROS!$D149)</f>
        <v>0.07739562060409447</v>
      </c>
      <c r="H87" s="30">
        <f t="shared" si="7"/>
        <v>75.8991762797143</v>
      </c>
      <c r="J87" s="24">
        <f>ESPECTROS!$B149</f>
        <v>2.6</v>
      </c>
      <c r="K87" s="25">
        <f>IF(STAAD!$C$17="ASCE 7-16",ESPECTROS!$I149*IF(DATOS!$C$9="SÍ",COEFICIENTE!$D$68,1),ESPECTROS!$E149)</f>
        <v>0.07739562060409447</v>
      </c>
      <c r="L87" s="30">
        <f t="shared" si="8"/>
        <v>75.8991762797143</v>
      </c>
    </row>
    <row r="88" spans="2:12" ht="15" customHeight="1" x14ac:dyDescent="0.3">
      <c r="B88" s="24">
        <f>ESPECTROS!$B150</f>
        <v>2.7</v>
      </c>
      <c r="C88" s="25">
        <f>ESPECTROS!$O150</f>
        <v>0.5283083598231403</v>
      </c>
      <c r="D88" s="30">
        <f t="shared" si="6"/>
        <v>518.0935176859598</v>
      </c>
      <c r="F88" s="24">
        <f>ESPECTROS!$B150</f>
        <v>2.7</v>
      </c>
      <c r="G88" s="25">
        <f>IF(STAAD!$C$17="ASCE 7-16",ESPECTROS!$H150*IF(DATOS!$C$9="SÍ",COEFICIENTE!$C$68,1),ESPECTROS!$D150)</f>
        <v>0.07547262283187718</v>
      </c>
      <c r="H88" s="30">
        <f t="shared" si="7"/>
        <v>74.01335966942284</v>
      </c>
      <c r="J88" s="24">
        <f>ESPECTROS!$B150</f>
        <v>2.7</v>
      </c>
      <c r="K88" s="25">
        <f>IF(STAAD!$C$17="ASCE 7-16",ESPECTROS!$I150*IF(DATOS!$C$9="SÍ",COEFICIENTE!$D$68,1),ESPECTROS!$E150)</f>
        <v>0.07547262283187718</v>
      </c>
      <c r="L88" s="30">
        <f t="shared" si="8"/>
        <v>74.01335966942284</v>
      </c>
    </row>
    <row r="89" spans="2:12" ht="15" customHeight="1" x14ac:dyDescent="0.3">
      <c r="B89" s="24">
        <f>ESPECTROS!$B151</f>
        <v>2.8</v>
      </c>
      <c r="C89" s="25">
        <f>ESPECTROS!$O151</f>
        <v>0.5156535018820716</v>
      </c>
      <c r="D89" s="30">
        <f t="shared" si="6"/>
        <v>505.68334142318173</v>
      </c>
      <c r="F89" s="24">
        <f>ESPECTROS!$B151</f>
        <v>2.8</v>
      </c>
      <c r="G89" s="25">
        <f>IF(STAAD!$C$17="ASCE 7-16",ESPECTROS!$H151*IF(DATOS!$C$9="SÍ",COEFICIENTE!$C$68,1),ESPECTROS!$D151)</f>
        <v>0.07366478598315308</v>
      </c>
      <c r="H89" s="30">
        <f t="shared" si="7"/>
        <v>72.24047734616882</v>
      </c>
      <c r="J89" s="24">
        <f>ESPECTROS!$B151</f>
        <v>2.8</v>
      </c>
      <c r="K89" s="25">
        <f>IF(STAAD!$C$17="ASCE 7-16",ESPECTROS!$I151*IF(DATOS!$C$9="SÍ",COEFICIENTE!$D$68,1),ESPECTROS!$E151)</f>
        <v>0.07366478598315308</v>
      </c>
      <c r="L89" s="30">
        <f t="shared" si="8"/>
        <v>72.24047734616882</v>
      </c>
    </row>
    <row r="90" spans="2:12" ht="15" customHeight="1" x14ac:dyDescent="0.3">
      <c r="B90" s="24">
        <f>ESPECTROS!$B152</f>
        <v>2.9</v>
      </c>
      <c r="C90" s="25">
        <f>ESPECTROS!$O152</f>
        <v>0.5037302057695221</v>
      </c>
      <c r="D90" s="30">
        <f t="shared" si="6"/>
        <v>493.99058224096837</v>
      </c>
      <c r="F90" s="24">
        <f>ESPECTROS!$B152</f>
        <v>2.9</v>
      </c>
      <c r="G90" s="25">
        <f>IF(STAAD!$C$17="ASCE 7-16",ESPECTROS!$H152*IF(DATOS!$C$9="SÍ",COEFICIENTE!$C$68,1),ESPECTROS!$D152)</f>
        <v>0.07196145796707458</v>
      </c>
      <c r="H90" s="30">
        <f t="shared" si="7"/>
        <v>70.57008317728119</v>
      </c>
      <c r="J90" s="24">
        <f>ESPECTROS!$B152</f>
        <v>2.9</v>
      </c>
      <c r="K90" s="25">
        <f>IF(STAAD!$C$17="ASCE 7-16",ESPECTROS!$I152*IF(DATOS!$C$9="SÍ",COEFICIENTE!$D$68,1),ESPECTROS!$E152)</f>
        <v>0.07196145796707458</v>
      </c>
      <c r="L90" s="30">
        <f t="shared" si="8"/>
        <v>70.57008317728119</v>
      </c>
    </row>
    <row r="91" spans="2:12" ht="15" customHeight="1" x14ac:dyDescent="0.3">
      <c r="B91" s="24">
        <f>ESPECTROS!$B153</f>
        <v>3.0</v>
      </c>
      <c r="C91" s="25">
        <f>ESPECTROS!$O153</f>
        <v>0.4924730726428887</v>
      </c>
      <c r="D91" s="30">
        <f t="shared" si="6"/>
        <v>482.95110578333845</v>
      </c>
      <c r="F91" s="24">
        <f>ESPECTROS!$B153</f>
        <v>3.0</v>
      </c>
      <c r="G91" s="25">
        <f>IF(STAAD!$C$17="ASCE 7-16",ESPECTROS!$H153*IF(DATOS!$C$9="SÍ",COEFICIENTE!$C$68,1),ESPECTROS!$D153)</f>
        <v>0.07035329609184124</v>
      </c>
      <c r="H91" s="30">
        <f t="shared" si="7"/>
        <v>68.99301511190549</v>
      </c>
      <c r="J91" s="24">
        <f>ESPECTROS!$B153</f>
        <v>3.0</v>
      </c>
      <c r="K91" s="25">
        <f>IF(STAAD!$C$17="ASCE 7-16",ESPECTROS!$I153*IF(DATOS!$C$9="SÍ",COEFICIENTE!$D$68,1),ESPECTROS!$E153)</f>
        <v>0.07035329609184124</v>
      </c>
      <c r="L91" s="30">
        <f t="shared" si="8"/>
        <v>68.99301511190549</v>
      </c>
    </row>
    <row r="92" spans="2:12" ht="15" customHeight="1" x14ac:dyDescent="0.3">
      <c r="B92" s="24">
        <f>ESPECTROS!$B154</f>
        <v>3.1</v>
      </c>
      <c r="C92" s="25">
        <f>ESPECTROS!$O154</f>
        <v>0.48182448194856087</v>
      </c>
      <c r="D92" s="30">
        <f t="shared" si="6"/>
        <v>472.50840559008543</v>
      </c>
      <c r="F92" s="24">
        <f>ESPECTROS!$B154</f>
        <v>3.1</v>
      </c>
      <c r="G92" s="25">
        <f>IF(STAAD!$C$17="ASCE 7-16",ESPECTROS!$H154*IF(DATOS!$C$9="SÍ",COEFICIENTE!$C$68,1),ESPECTROS!$D154)</f>
        <v>0.06883206884979441</v>
      </c>
      <c r="H92" s="30">
        <f t="shared" si="7"/>
        <v>67.50120079858364</v>
      </c>
      <c r="J92" s="24">
        <f>ESPECTROS!$B154</f>
        <v>3.1</v>
      </c>
      <c r="K92" s="25">
        <f>IF(STAAD!$C$17="ASCE 7-16",ESPECTROS!$I154*IF(DATOS!$C$9="SÍ",COEFICIENTE!$D$68,1),ESPECTROS!$E154)</f>
        <v>0.06883206884979441</v>
      </c>
      <c r="L92" s="30">
        <f t="shared" si="8"/>
        <v>67.50120079858364</v>
      </c>
    </row>
    <row r="93" spans="2:12" ht="15" customHeight="1" x14ac:dyDescent="0.3">
      <c r="B93" s="24">
        <f>ESPECTROS!$B155</f>
        <v>3.2</v>
      </c>
      <c r="C93" s="25">
        <f>ESPECTROS!$O155</f>
        <v>0.47173345095760133</v>
      </c>
      <c r="D93" s="30">
        <f t="shared" si="6"/>
        <v>462.6124846833361</v>
      </c>
      <c r="F93" s="24">
        <f>ESPECTROS!$B155</f>
        <v>3.2</v>
      </c>
      <c r="G93" s="25">
        <f>IF(STAAD!$C$17="ASCE 7-16",ESPECTROS!$H155*IF(DATOS!$C$9="SÍ",COEFICIENTE!$C$68,1),ESPECTROS!$D155)</f>
        <v>0.06739049299394305</v>
      </c>
      <c r="H93" s="30">
        <f t="shared" si="7"/>
        <v>66.08749781190515</v>
      </c>
      <c r="J93" s="24">
        <f>ESPECTROS!$B155</f>
        <v>3.2</v>
      </c>
      <c r="K93" s="25">
        <f>IF(STAAD!$C$17="ASCE 7-16",ESPECTROS!$I155*IF(DATOS!$C$9="SÍ",COEFICIENTE!$D$68,1),ESPECTROS!$E155)</f>
        <v>0.06739049299394305</v>
      </c>
      <c r="L93" s="30">
        <f t="shared" si="8"/>
        <v>66.08749781190515</v>
      </c>
    </row>
    <row r="94" spans="2:12" ht="15" customHeight="1" x14ac:dyDescent="0.3">
      <c r="B94" s="24">
        <f>ESPECTROS!$B156</f>
        <v>3.3</v>
      </c>
      <c r="C94" s="25">
        <f>ESPECTROS!$O156</f>
        <v>0.46215469116995733</v>
      </c>
      <c r="D94" s="30">
        <f t="shared" si="6"/>
        <v>453.2189302161862</v>
      </c>
      <c r="F94" s="24">
        <f>ESPECTROS!$B156</f>
        <v>3.3</v>
      </c>
      <c r="G94" s="25">
        <f>IF(STAAD!$C$17="ASCE 7-16",ESPECTROS!$H156*IF(DATOS!$C$9="SÍ",COEFICIENTE!$C$68,1),ESPECTROS!$D156)</f>
        <v>0.06602209873856534</v>
      </c>
      <c r="H94" s="30">
        <f t="shared" si="7"/>
        <v>64.74556145945517</v>
      </c>
      <c r="J94" s="24">
        <f>ESPECTROS!$B156</f>
        <v>3.3</v>
      </c>
      <c r="K94" s="25">
        <f>IF(STAAD!$C$17="ASCE 7-16",ESPECTROS!$I156*IF(DATOS!$C$9="SÍ",COEFICIENTE!$D$68,1),ESPECTROS!$E156)</f>
        <v>0.06602209873856534</v>
      </c>
      <c r="L94" s="30">
        <f t="shared" si="8"/>
        <v>64.74556145945517</v>
      </c>
    </row>
    <row r="95" spans="2:12" ht="15" customHeight="1" x14ac:dyDescent="0.3">
      <c r="B95" s="24">
        <f>ESPECTROS!$B157</f>
        <v>3.4</v>
      </c>
      <c r="C95" s="25">
        <f>ESPECTROS!$O157</f>
        <v>0.4530478227873343</v>
      </c>
      <c r="D95" s="30">
        <f t="shared" si="6"/>
        <v>444.2881431337412</v>
      </c>
      <c r="F95" s="24">
        <f>ESPECTROS!$B157</f>
        <v>3.4</v>
      </c>
      <c r="G95" s="25">
        <f>IF(STAAD!$C$17="ASCE 7-16",ESPECTROS!$H157*IF(DATOS!$C$9="SÍ",COEFICIENTE!$C$68,1),ESPECTROS!$D157)</f>
        <v>0.06472111754104776</v>
      </c>
      <c r="H95" s="30">
        <f t="shared" si="7"/>
        <v>63.4697347333916</v>
      </c>
      <c r="J95" s="24">
        <f>ESPECTROS!$B157</f>
        <v>3.4</v>
      </c>
      <c r="K95" s="25">
        <f>IF(STAAD!$C$17="ASCE 7-16",ESPECTROS!$I157*IF(DATOS!$C$9="SÍ",COEFICIENTE!$D$68,1),ESPECTROS!$E157)</f>
        <v>0.06472111754104776</v>
      </c>
      <c r="L95" s="30">
        <f t="shared" si="8"/>
        <v>63.4697347333916</v>
      </c>
    </row>
    <row r="96" spans="2:12" ht="15" customHeight="1" x14ac:dyDescent="0.3">
      <c r="B96" s="24">
        <f>ESPECTROS!$B158</f>
        <v>3.5</v>
      </c>
      <c r="C96" s="25">
        <f>ESPECTROS!$O158</f>
        <v>0.44437671699646253</v>
      </c>
      <c r="D96" s="30">
        <f t="shared" si="6"/>
        <v>435.7846931733359</v>
      </c>
      <c r="F96" s="24">
        <f>ESPECTROS!$B158</f>
        <v>3.5</v>
      </c>
      <c r="G96" s="25">
        <f>IF(STAAD!$C$17="ASCE 7-16",ESPECTROS!$H158*IF(DATOS!$C$9="SÍ",COEFICIENTE!$C$68,1),ESPECTROS!$D158)</f>
        <v>0.06348238814235178</v>
      </c>
      <c r="H96" s="30">
        <f t="shared" si="7"/>
        <v>62.25495616761941</v>
      </c>
      <c r="J96" s="24">
        <f>ESPECTROS!$B158</f>
        <v>3.5</v>
      </c>
      <c r="K96" s="25">
        <f>IF(STAAD!$C$17="ASCE 7-16",ESPECTROS!$I158*IF(DATOS!$C$9="SÍ",COEFICIENTE!$D$68,1),ESPECTROS!$E158)</f>
        <v>0.06348238814235178</v>
      </c>
      <c r="L96" s="30">
        <f t="shared" si="8"/>
        <v>62.25495616761941</v>
      </c>
    </row>
    <row r="97" spans="2:12" ht="15" customHeight="1" x14ac:dyDescent="0.3">
      <c r="B97" s="24">
        <f>ESPECTROS!$B159</f>
        <v>3.6</v>
      </c>
      <c r="C97" s="25">
        <f>ESPECTROS!$O159</f>
        <v>0.4361089422797135</v>
      </c>
      <c r="D97" s="30">
        <f t="shared" si="6"/>
        <v>427.6767758807352</v>
      </c>
      <c r="F97" s="24">
        <f>ESPECTROS!$B159</f>
        <v>3.6</v>
      </c>
      <c r="G97" s="25">
        <f>IF(STAAD!$C$17="ASCE 7-16",ESPECTROS!$H159*IF(DATOS!$C$9="SÍ",COEFICIENTE!$C$68,1),ESPECTROS!$D159)</f>
        <v>0.062301277468530494</v>
      </c>
      <c r="H97" s="30">
        <f t="shared" si="7"/>
        <v>61.09668226867645</v>
      </c>
      <c r="J97" s="24">
        <f>ESPECTROS!$B159</f>
        <v>3.6</v>
      </c>
      <c r="K97" s="25">
        <f>IF(STAAD!$C$17="ASCE 7-16",ESPECTROS!$I159*IF(DATOS!$C$9="SÍ",COEFICIENTE!$D$68,1),ESPECTROS!$E159)</f>
        <v>0.062301277468530494</v>
      </c>
      <c r="L97" s="30">
        <f t="shared" si="8"/>
        <v>61.09668226867645</v>
      </c>
    </row>
    <row r="98" spans="2:12" ht="15" customHeight="1" x14ac:dyDescent="0.3">
      <c r="B98" s="24">
        <f>ESPECTROS!$B160</f>
        <v>3.7</v>
      </c>
      <c r="C98" s="25">
        <f>ESPECTROS!$O160</f>
        <v>0.42821529592132723</v>
      </c>
      <c r="D98" s="30">
        <f t="shared" si="6"/>
        <v>419.93575317468833</v>
      </c>
      <c r="F98" s="24">
        <f>ESPECTROS!$B160</f>
        <v>3.7</v>
      </c>
      <c r="G98" s="25">
        <f>IF(STAAD!$C$17="ASCE 7-16",ESPECTROS!$H160*IF(DATOS!$C$9="SÍ",COEFICIENTE!$C$68,1),ESPECTROS!$D160)</f>
        <v>0.06117361370304675</v>
      </c>
      <c r="H98" s="30">
        <f t="shared" si="7"/>
        <v>59.99082188209834</v>
      </c>
      <c r="J98" s="24">
        <f>ESPECTROS!$B160</f>
        <v>3.7</v>
      </c>
      <c r="K98" s="25">
        <f>IF(STAAD!$C$17="ASCE 7-16",ESPECTROS!$I160*IF(DATOS!$C$9="SÍ",COEFICIENTE!$D$68,1),ESPECTROS!$E160)</f>
        <v>0.06117361370304675</v>
      </c>
      <c r="L98" s="30">
        <f t="shared" si="8"/>
        <v>59.99082188209834</v>
      </c>
    </row>
    <row r="99" spans="2:12" ht="15" customHeight="1" x14ac:dyDescent="0.3">
      <c r="B99" s="24">
        <f>ESPECTROS!$B161</f>
        <v>3.8</v>
      </c>
      <c r="C99" s="25">
        <f>ESPECTROS!$O161</f>
        <v>0.42066940569434885</v>
      </c>
      <c r="D99" s="30">
        <f t="shared" si="6"/>
        <v>412.5357627352486</v>
      </c>
      <c r="F99" s="24">
        <f>ESPECTROS!$B161</f>
        <v>3.8</v>
      </c>
      <c r="G99" s="25">
        <f>IF(STAAD!$C$17="ASCE 7-16",ESPECTROS!$H161*IF(DATOS!$C$9="SÍ",COEFICIENTE!$C$68,1),ESPECTROS!$D161)</f>
        <v>0.06009562938490698</v>
      </c>
      <c r="H99" s="30">
        <f t="shared" si="7"/>
        <v>58.9336803907498</v>
      </c>
      <c r="J99" s="24">
        <f>ESPECTROS!$B161</f>
        <v>3.8</v>
      </c>
      <c r="K99" s="25">
        <f>IF(STAAD!$C$17="ASCE 7-16",ESPECTROS!$I161*IF(DATOS!$C$9="SÍ",COEFICIENTE!$D$68,1),ESPECTROS!$E161)</f>
        <v>0.06009562938490698</v>
      </c>
      <c r="L99" s="30">
        <f t="shared" si="8"/>
        <v>58.9336803907498</v>
      </c>
    </row>
    <row r="100" spans="2:12" ht="15" customHeight="1" x14ac:dyDescent="0.3">
      <c r="B100" s="24">
        <f>ESPECTROS!$B162</f>
        <v>3.9</v>
      </c>
      <c r="C100" s="25">
        <f>ESPECTROS!$O162</f>
        <v>0.41344738967821826</v>
      </c>
      <c r="D100" s="30">
        <f t="shared" si="6"/>
        <v>405.45338439878986</v>
      </c>
      <c r="F100" s="24">
        <f>ESPECTROS!$B162</f>
        <v>3.9</v>
      </c>
      <c r="G100" s="25">
        <f>IF(STAAD!$C$17="ASCE 7-16",ESPECTROS!$H162*IF(DATOS!$C$9="SÍ",COEFICIENTE!$C$68,1),ESPECTROS!$D162)</f>
        <v>0.059063912811174034</v>
      </c>
      <c r="H100" s="30">
        <f t="shared" si="7"/>
        <v>57.92191205696998</v>
      </c>
      <c r="J100" s="24">
        <f>ESPECTROS!$B162</f>
        <v>3.9</v>
      </c>
      <c r="K100" s="25">
        <f>IF(STAAD!$C$17="ASCE 7-16",ESPECTROS!$I162*IF(DATOS!$C$9="SÍ",COEFICIENTE!$D$68,1),ESPECTROS!$E162)</f>
        <v>0.059063912811174034</v>
      </c>
      <c r="L100" s="30">
        <f t="shared" si="8"/>
        <v>57.92191205696998</v>
      </c>
    </row>
    <row r="101" spans="2:12" ht="15" customHeight="1" x14ac:dyDescent="0.3">
      <c r="B101" s="24">
        <f>ESPECTROS!$B163</f>
        <v>4.0</v>
      </c>
      <c r="C101" s="25">
        <f>ESPECTROS!$O163</f>
        <v>0.4065275644766043</v>
      </c>
      <c r="D101" s="30">
        <f t="shared" si="6"/>
        <v>398.66735401744916</v>
      </c>
      <c r="F101" s="24">
        <f>ESPECTROS!$B163</f>
        <v>4.0</v>
      </c>
      <c r="G101" s="25">
        <f>IF(STAAD!$C$17="ASCE 7-16",ESPECTROS!$H163*IF(DATOS!$C$9="SÍ",COEFICIENTE!$C$68,1),ESPECTROS!$D163)</f>
        <v>0.05807536635380062</v>
      </c>
      <c r="H101" s="30">
        <f t="shared" si="7"/>
        <v>56.95247914534988</v>
      </c>
      <c r="J101" s="24">
        <f>ESPECTROS!$B163</f>
        <v>4.0</v>
      </c>
      <c r="K101" s="25">
        <f>IF(STAAD!$C$17="ASCE 7-16",ESPECTROS!$I163*IF(DATOS!$C$9="SÍ",COEFICIENTE!$D$68,1),ESPECTROS!$E163)</f>
        <v>0.05807536635380062</v>
      </c>
      <c r="L101" s="30">
        <f t="shared" si="8"/>
        <v>56.95247914534988</v>
      </c>
    </row>
    <row r="102" spans="2:12" ht="15" customHeight="1" x14ac:dyDescent="0.3">
      <c r="B102" s="24">
        <f>ESPECTROS!$B164</f>
        <v>4.25</v>
      </c>
      <c r="C102" s="25">
        <f>ESPECTROS!$O164</f>
        <v>0.372007270344294</v>
      </c>
      <c r="D102" s="30">
        <f t="shared" si="6"/>
        <v>364.814509772187</v>
      </c>
      <c r="F102" s="24">
        <f>ESPECTROS!$B164</f>
        <v>4.25</v>
      </c>
      <c r="G102" s="25">
        <f>IF(STAAD!$C$17="ASCE 7-16",ESPECTROS!$H164*IF(DATOS!$C$9="SÍ",COEFICIENTE!$C$68,1),ESPECTROS!$D164)</f>
        <v>0.05314389576347057</v>
      </c>
      <c r="H102" s="30">
        <f t="shared" si="7"/>
        <v>52.116358538883865</v>
      </c>
      <c r="J102" s="24">
        <f>ESPECTROS!$B164</f>
        <v>4.25</v>
      </c>
      <c r="K102" s="25">
        <f>IF(STAAD!$C$17="ASCE 7-16",ESPECTROS!$I164*IF(DATOS!$C$9="SÍ",COEFICIENTE!$D$68,1),ESPECTROS!$E164)</f>
        <v>0.05314389576347057</v>
      </c>
      <c r="L102" s="30">
        <f t="shared" si="8"/>
        <v>52.116358538883865</v>
      </c>
    </row>
    <row r="103" spans="2:12" ht="15" customHeight="1" x14ac:dyDescent="0.3">
      <c r="B103" s="24">
        <f>ESPECTROS!$B165</f>
        <v>4.5</v>
      </c>
      <c r="C103" s="25">
        <f>ESPECTROS!$O165</f>
        <v>0.3447095504051015</v>
      </c>
      <c r="D103" s="30">
        <f t="shared" si="6"/>
        <v>338.04459124801883</v>
      </c>
      <c r="F103" s="24">
        <f>ESPECTROS!$B165</f>
        <v>4.5</v>
      </c>
      <c r="G103" s="25">
        <f>IF(STAAD!$C$17="ASCE 7-16",ESPECTROS!$H165*IF(DATOS!$C$9="SÍ",COEFICIENTE!$C$68,1),ESPECTROS!$D165)</f>
        <v>0.04924422148644307</v>
      </c>
      <c r="H103" s="30">
        <f t="shared" si="7"/>
        <v>48.29208446400269</v>
      </c>
      <c r="J103" s="24">
        <f>ESPECTROS!$B165</f>
        <v>4.5</v>
      </c>
      <c r="K103" s="25">
        <f>IF(STAAD!$C$17="ASCE 7-16",ESPECTROS!$I165*IF(DATOS!$C$9="SÍ",COEFICIENTE!$D$68,1),ESPECTROS!$E165)</f>
        <v>0.04924422148644307</v>
      </c>
      <c r="L103" s="30">
        <f t="shared" si="8"/>
        <v>48.29208446400269</v>
      </c>
    </row>
    <row r="104" spans="2:12" ht="15" customHeight="1" x14ac:dyDescent="0.3">
      <c r="B104" s="24">
        <f>ESPECTROS!$B166</f>
        <v>4.75</v>
      </c>
      <c r="C104" s="25">
        <f>ESPECTROS!$O166</f>
        <v>0.320734138569877</v>
      </c>
      <c r="D104" s="30">
        <f t="shared" si="6"/>
        <v>314.5327440006284</v>
      </c>
      <c r="F104" s="24">
        <f>ESPECTROS!$B166</f>
        <v>4.75</v>
      </c>
      <c r="G104" s="25">
        <f>IF(STAAD!$C$17="ASCE 7-16",ESPECTROS!$H166*IF(DATOS!$C$9="SÍ",COEFICIENTE!$C$68,1),ESPECTROS!$D166)</f>
        <v>0.04581916265283957</v>
      </c>
      <c r="H104" s="30">
        <f t="shared" si="7"/>
        <v>44.93324914294691</v>
      </c>
      <c r="J104" s="24">
        <f>ESPECTROS!$B166</f>
        <v>4.75</v>
      </c>
      <c r="K104" s="25">
        <f>IF(STAAD!$C$17="ASCE 7-16",ESPECTROS!$I166*IF(DATOS!$C$9="SÍ",COEFICIENTE!$D$68,1),ESPECTROS!$E166)</f>
        <v>0.04581916265283957</v>
      </c>
      <c r="L104" s="30">
        <f t="shared" si="8"/>
        <v>44.93324914294691</v>
      </c>
    </row>
    <row r="105" spans="2:12" ht="15" customHeight="1" x14ac:dyDescent="0.3">
      <c r="B105" s="24">
        <f>ESPECTROS!$B167</f>
        <v>5.0</v>
      </c>
      <c r="C105" s="25">
        <f>ESPECTROS!$O167</f>
        <v>0.2995320705194742</v>
      </c>
      <c r="D105" s="30">
        <f t="shared" si="6"/>
        <v>293.7406179359802</v>
      </c>
      <c r="F105" s="24">
        <f>ESPECTROS!$B167</f>
        <v>5.0</v>
      </c>
      <c r="G105" s="25">
        <f>IF(STAAD!$C$17="ASCE 7-16",ESPECTROS!$H167*IF(DATOS!$C$9="SÍ",COEFICIENTE!$C$68,1),ESPECTROS!$D167)</f>
        <v>0.042790295788496316</v>
      </c>
      <c r="H105" s="30">
        <f t="shared" si="7"/>
        <v>41.962945419425736</v>
      </c>
      <c r="J105" s="24">
        <f>ESPECTROS!$B167</f>
        <v>5.0</v>
      </c>
      <c r="K105" s="25">
        <f>IF(STAAD!$C$17="ASCE 7-16",ESPECTROS!$I167*IF(DATOS!$C$9="SÍ",COEFICIENTE!$D$68,1),ESPECTROS!$E167)</f>
        <v>0.042790295788496316</v>
      </c>
      <c r="L105" s="30">
        <f t="shared" si="8"/>
        <v>41.962945419425736</v>
      </c>
    </row>
    <row r="106" spans="2:12" ht="15" customHeight="1" x14ac:dyDescent="0.3">
      <c r="B106" s="24">
        <f>ESPECTROS!$B168</f>
        <v>5.25</v>
      </c>
      <c r="C106" s="25">
        <f>ESPECTROS!$O168</f>
        <v>0.28066672679144594</v>
      </c>
      <c r="D106" s="30">
        <f t="shared" si="6"/>
        <v>275.2400356289333</v>
      </c>
      <c r="F106" s="24">
        <f>ESPECTROS!$B168</f>
        <v>5.25</v>
      </c>
      <c r="G106" s="25">
        <f>IF(STAAD!$C$17="ASCE 7-16",ESPECTROS!$H168*IF(DATOS!$C$9="SÍ",COEFICIENTE!$C$68,1),ESPECTROS!$D168)</f>
        <v>0.040095246684492276</v>
      </c>
      <c r="H106" s="30">
        <f t="shared" si="7"/>
        <v>39.32000508984762</v>
      </c>
      <c r="J106" s="24">
        <f>ESPECTROS!$B168</f>
        <v>5.25</v>
      </c>
      <c r="K106" s="25">
        <f>IF(STAAD!$C$17="ASCE 7-16",ESPECTROS!$I168*IF(DATOS!$C$9="SÍ",COEFICIENTE!$D$68,1),ESPECTROS!$E168)</f>
        <v>0.040095246684492276</v>
      </c>
      <c r="L106" s="30">
        <f t="shared" si="8"/>
        <v>39.32000508984762</v>
      </c>
    </row>
    <row r="107" spans="2:12" ht="15" customHeight="1" x14ac:dyDescent="0.3">
      <c r="B107" s="24">
        <f>ESPECTROS!$B169</f>
        <v>5.5</v>
      </c>
      <c r="C107" s="25">
        <f>ESPECTROS!$O169</f>
        <v>0.26378681349494704</v>
      </c>
      <c r="D107" s="30">
        <f t="shared" ref="D107:D117" si="9">C107*$O$16</f>
        <v>258.686495456022</v>
      </c>
      <c r="F107" s="24">
        <f>ESPECTROS!$B169</f>
        <v>5.5</v>
      </c>
      <c r="G107" s="25">
        <f>IF(STAAD!$C$17="ASCE 7-16",ESPECTROS!$H169*IF(DATOS!$C$9="SÍ",COEFICIENTE!$C$68,1),ESPECTROS!$D169)</f>
        <v>0.03768383049927815</v>
      </c>
      <c r="H107" s="30">
        <f t="shared" ref="H107:H117" si="10">G107*$O$16</f>
        <v>36.9552136365746</v>
      </c>
      <c r="J107" s="24">
        <f>ESPECTROS!$B169</f>
        <v>5.5</v>
      </c>
      <c r="K107" s="25">
        <f>IF(STAAD!$C$17="ASCE 7-16",ESPECTROS!$I169*IF(DATOS!$C$9="SÍ",COEFICIENTE!$D$68,1),ESPECTROS!$E169)</f>
        <v>0.03768383049927815</v>
      </c>
      <c r="L107" s="30">
        <f t="shared" ref="L107:L117" si="11">K107*$O$16</f>
        <v>36.9552136365746</v>
      </c>
    </row>
    <row r="108" spans="2:12" ht="15" customHeight="1" x14ac:dyDescent="0.3">
      <c r="B108" s="24">
        <f>ESPECTROS!$B170</f>
        <v>5.75</v>
      </c>
      <c r="C108" s="25">
        <f>ESPECTROS!$O170</f>
        <v>0.24860672632311862</v>
      </c>
      <c r="D108" s="30">
        <f t="shared" si="9"/>
        <v>243.7999152696611</v>
      </c>
      <c r="F108" s="24">
        <f>ESPECTROS!$B170</f>
        <v>5.75</v>
      </c>
      <c r="G108" s="25">
        <f>IF(STAAD!$C$17="ASCE 7-16",ESPECTROS!$H170*IF(DATOS!$C$9="SÍ",COEFICIENTE!$C$68,1),ESPECTROS!$D170)</f>
        <v>0.03551524661758838</v>
      </c>
      <c r="H108" s="30">
        <f t="shared" si="10"/>
        <v>34.828559324237304</v>
      </c>
      <c r="J108" s="24">
        <f>ESPECTROS!$B170</f>
        <v>5.75</v>
      </c>
      <c r="K108" s="25">
        <f>IF(STAAD!$C$17="ASCE 7-16",ESPECTROS!$I170*IF(DATOS!$C$9="SÍ",COEFICIENTE!$D$68,1),ESPECTROS!$E170)</f>
        <v>0.03551524661758838</v>
      </c>
      <c r="L108" s="30">
        <f t="shared" si="11"/>
        <v>34.828559324237304</v>
      </c>
    </row>
    <row r="109" spans="2:12" ht="15" customHeight="1" x14ac:dyDescent="0.3">
      <c r="B109" s="24">
        <f>ESPECTROS!$B171</f>
        <v>6.0</v>
      </c>
      <c r="C109" s="25">
        <f>ESPECTROS!$O171</f>
        <v>0.2348920584701319</v>
      </c>
      <c r="D109" s="30">
        <f t="shared" si="9"/>
        <v>230.35042051961187</v>
      </c>
      <c r="F109" s="24">
        <f>ESPECTROS!$B171</f>
        <v>6.0</v>
      </c>
      <c r="G109" s="25">
        <f>IF(STAAD!$C$17="ASCE 7-16",ESPECTROS!$H171*IF(DATOS!$C$9="SÍ",COEFICIENTE!$C$68,1),ESPECTROS!$D171)</f>
        <v>0.033556008352875984</v>
      </c>
      <c r="H109" s="30">
        <f t="shared" si="10"/>
        <v>32.90720293137313</v>
      </c>
      <c r="J109" s="24">
        <f>ESPECTROS!$B171</f>
        <v>6.0</v>
      </c>
      <c r="K109" s="25">
        <f>IF(STAAD!$C$17="ASCE 7-16",ESPECTROS!$I171*IF(DATOS!$C$9="SÍ",COEFICIENTE!$D$68,1),ESPECTROS!$E171)</f>
        <v>0.033556008352875984</v>
      </c>
      <c r="L109" s="30">
        <f t="shared" si="11"/>
        <v>32.90720293137313</v>
      </c>
    </row>
    <row r="110" spans="2:12" ht="15" customHeight="1" x14ac:dyDescent="0.3">
      <c r="B110" s="24">
        <f>ESPECTROS!$B172</f>
        <v>6.5</v>
      </c>
      <c r="C110" s="25">
        <f>ESPECTROS!$O172</f>
        <v>0.21111488684875349</v>
      </c>
      <c r="D110" s="30">
        <f t="shared" si="9"/>
        <v>207.03298051153283</v>
      </c>
      <c r="F110" s="24">
        <f>ESPECTROS!$B172</f>
        <v>6.5</v>
      </c>
      <c r="G110" s="25">
        <f>IF(STAAD!$C$17="ASCE 7-16",ESPECTROS!$H172*IF(DATOS!$C$9="SÍ",COEFICIENTE!$C$68,1),ESPECTROS!$D172)</f>
        <v>0.030159269549821927</v>
      </c>
      <c r="H110" s="30">
        <f t="shared" si="10"/>
        <v>29.576140073076118</v>
      </c>
      <c r="J110" s="24">
        <f>ESPECTROS!$B172</f>
        <v>6.5</v>
      </c>
      <c r="K110" s="25">
        <f>IF(STAAD!$C$17="ASCE 7-16",ESPECTROS!$I172*IF(DATOS!$C$9="SÍ",COEFICIENTE!$D$68,1),ESPECTROS!$E172)</f>
        <v>0.030159269549821927</v>
      </c>
      <c r="L110" s="30">
        <f t="shared" si="11"/>
        <v>29.576140073076118</v>
      </c>
    </row>
    <row r="111" spans="2:12" ht="15" customHeight="1" x14ac:dyDescent="0.3">
      <c r="B111" s="24">
        <f>ESPECTROS!$B173</f>
        <v>7.0</v>
      </c>
      <c r="C111" s="25">
        <f>ESPECTROS!$O173</f>
        <v>0.19125198336582316</v>
      </c>
      <c r="D111" s="30">
        <f t="shared" si="9"/>
        <v>187.55412626744496</v>
      </c>
      <c r="F111" s="24">
        <f>ESPECTROS!$B173</f>
        <v>7.0</v>
      </c>
      <c r="G111" s="25">
        <f>IF(STAAD!$C$17="ASCE 7-16",ESPECTROS!$H173*IF(DATOS!$C$9="SÍ",COEFICIENTE!$C$68,1),ESPECTROS!$D173)</f>
        <v>0.027321711909403308</v>
      </c>
      <c r="H111" s="30">
        <f t="shared" si="10"/>
        <v>26.793446609634994</v>
      </c>
      <c r="J111" s="24">
        <f>ESPECTROS!$B173</f>
        <v>7.0</v>
      </c>
      <c r="K111" s="25">
        <f>IF(STAAD!$C$17="ASCE 7-16",ESPECTROS!$I173*IF(DATOS!$C$9="SÍ",COEFICIENTE!$D$68,1),ESPECTROS!$E173)</f>
        <v>0.027321711909403308</v>
      </c>
      <c r="L111" s="30">
        <f t="shared" si="11"/>
        <v>26.793446609634994</v>
      </c>
    </row>
    <row r="112" spans="2:12" ht="15" customHeight="1" x14ac:dyDescent="0.3">
      <c r="B112" s="24">
        <f>ESPECTROS!$B174</f>
        <v>7.5</v>
      </c>
      <c r="C112" s="25">
        <f>ESPECTROS!$O174</f>
        <v>0.17444357691188545</v>
      </c>
      <c r="D112" s="30">
        <f t="shared" si="9"/>
        <v>171.07071035229413</v>
      </c>
      <c r="F112" s="24">
        <f>ESPECTROS!$B174</f>
        <v>7.5</v>
      </c>
      <c r="G112" s="25">
        <f>IF(STAAD!$C$17="ASCE 7-16",ESPECTROS!$H174*IF(DATOS!$C$9="SÍ",COEFICIENTE!$C$68,1),ESPECTROS!$D174)</f>
        <v>0.024920510987412207</v>
      </c>
      <c r="H112" s="30">
        <f t="shared" si="10"/>
        <v>24.43867290747059</v>
      </c>
      <c r="J112" s="24">
        <f>ESPECTROS!$B174</f>
        <v>7.5</v>
      </c>
      <c r="K112" s="25">
        <f>IF(STAAD!$C$17="ASCE 7-16",ESPECTROS!$I174*IF(DATOS!$C$9="SÍ",COEFICIENTE!$D$68,1),ESPECTROS!$E174)</f>
        <v>0.024920510987412207</v>
      </c>
      <c r="L112" s="30">
        <f t="shared" si="11"/>
        <v>24.43867290747059</v>
      </c>
    </row>
    <row r="113" spans="2:12" ht="15" customHeight="1" x14ac:dyDescent="0.3">
      <c r="B113" s="24">
        <f>ESPECTROS!$B175</f>
        <v>8.0</v>
      </c>
      <c r="C113" s="25">
        <f>ESPECTROS!$O175</f>
        <v>0.16006019870205287</v>
      </c>
      <c r="D113" s="30">
        <f t="shared" si="9"/>
        <v>156.96543476014867</v>
      </c>
      <c r="F113" s="24">
        <f>ESPECTROS!$B175</f>
        <v>8.0</v>
      </c>
      <c r="G113" s="25">
        <f>IF(STAAD!$C$17="ASCE 7-16",ESPECTROS!$H175*IF(DATOS!$C$9="SÍ",COEFICIENTE!$C$68,1),ESPECTROS!$D175)</f>
        <v>0.02286574267172184</v>
      </c>
      <c r="H113" s="30">
        <f t="shared" si="10"/>
        <v>22.423633537164097</v>
      </c>
      <c r="J113" s="24">
        <f>ESPECTROS!$B175</f>
        <v>8.0</v>
      </c>
      <c r="K113" s="25">
        <f>IF(STAAD!$C$17="ASCE 7-16",ESPECTROS!$I175*IF(DATOS!$C$9="SÍ",COEFICIENTE!$D$68,1),ESPECTROS!$E175)</f>
        <v>0.02286574267172184</v>
      </c>
      <c r="L113" s="30">
        <f t="shared" si="11"/>
        <v>22.423633537164097</v>
      </c>
    </row>
    <row r="114" spans="2:12" ht="15" customHeight="1" x14ac:dyDescent="0.3">
      <c r="B114" s="24">
        <f>ESPECTROS!$B176</f>
        <v>8.5</v>
      </c>
      <c r="C114" s="25">
        <f>ESPECTROS!$O176</f>
        <v>0.1476311830710877</v>
      </c>
      <c r="D114" s="30">
        <f t="shared" si="9"/>
        <v>144.77673414640822</v>
      </c>
      <c r="F114" s="24">
        <f>ESPECTROS!$B176</f>
        <v>8.5</v>
      </c>
      <c r="G114" s="25">
        <f>IF(STAAD!$C$17="ASCE 7-16",ESPECTROS!$H176*IF(DATOS!$C$9="SÍ",COEFICIENTE!$C$68,1),ESPECTROS!$D176)</f>
        <v>0.021090169010155386</v>
      </c>
      <c r="H114" s="30">
        <f t="shared" si="10"/>
        <v>20.68239059234403</v>
      </c>
      <c r="J114" s="24">
        <f>ESPECTROS!$B176</f>
        <v>8.5</v>
      </c>
      <c r="K114" s="25">
        <f>IF(STAAD!$C$17="ASCE 7-16",ESPECTROS!$I176*IF(DATOS!$C$9="SÍ",COEFICIENTE!$D$68,1),ESPECTROS!$E176)</f>
        <v>0.021090169010155386</v>
      </c>
      <c r="L114" s="30">
        <f t="shared" si="11"/>
        <v>20.68239059234403</v>
      </c>
    </row>
    <row r="115" spans="2:12" ht="15" customHeight="1" x14ac:dyDescent="0.3">
      <c r="B115" s="24">
        <f>ESPECTROS!$B177</f>
        <v>9.0</v>
      </c>
      <c r="C115" s="25">
        <f>ESPECTROS!$O177</f>
        <v>0.1367980757341358</v>
      </c>
      <c r="D115" s="30">
        <f t="shared" si="9"/>
        <v>134.15308493981627</v>
      </c>
      <c r="F115" s="24">
        <f>ESPECTROS!$B177</f>
        <v>9.0</v>
      </c>
      <c r="G115" s="25">
        <f>IF(STAAD!$C$17="ASCE 7-16",ESPECTROS!$H177*IF(DATOS!$C$9="SÍ",COEFICIENTE!$C$68,1),ESPECTROS!$D177)</f>
        <v>0.019542582247733687</v>
      </c>
      <c r="H115" s="30">
        <f t="shared" si="10"/>
        <v>19.164726419973757</v>
      </c>
      <c r="J115" s="24">
        <f>ESPECTROS!$B177</f>
        <v>9.0</v>
      </c>
      <c r="K115" s="25">
        <f>IF(STAAD!$C$17="ASCE 7-16",ESPECTROS!$I177*IF(DATOS!$C$9="SÍ",COEFICIENTE!$D$68,1),ESPECTROS!$E177)</f>
        <v>0.019542582247733687</v>
      </c>
      <c r="L115" s="30">
        <f t="shared" si="11"/>
        <v>19.164726419973757</v>
      </c>
    </row>
    <row r="116" spans="2:12" ht="15" customHeight="1" x14ac:dyDescent="0.3">
      <c r="B116" s="24">
        <f>ESPECTROS!$B178</f>
        <v>9.5</v>
      </c>
      <c r="C116" s="25">
        <f>ESPECTROS!$O178</f>
        <v>0.12728342724198424</v>
      </c>
      <c r="D116" s="30">
        <f t="shared" si="9"/>
        <v>124.82240217626047</v>
      </c>
      <c r="F116" s="24">
        <f>ESPECTROS!$B178</f>
        <v>9.5</v>
      </c>
      <c r="G116" s="25">
        <f>IF(STAAD!$C$17="ASCE 7-16",ESPECTROS!$H178*IF(DATOS!$C$9="SÍ",COEFICIENTE!$C$68,1),ESPECTROS!$D178)</f>
        <v>0.01818334674885489</v>
      </c>
      <c r="H116" s="30">
        <f t="shared" si="10"/>
        <v>17.83177173946578</v>
      </c>
      <c r="J116" s="24">
        <f>ESPECTROS!$B178</f>
        <v>9.5</v>
      </c>
      <c r="K116" s="25">
        <f>IF(STAAD!$C$17="ASCE 7-16",ESPECTROS!$I178*IF(DATOS!$C$9="SÍ",COEFICIENTE!$D$68,1),ESPECTROS!$E178)</f>
        <v>0.01818334674885489</v>
      </c>
      <c r="L116" s="30">
        <f t="shared" si="11"/>
        <v>17.83177173946578</v>
      </c>
    </row>
    <row r="117" spans="2:12" ht="15" customHeight="1" x14ac:dyDescent="0.3">
      <c r="B117" s="24">
        <f>ESPECTROS!$B179</f>
        <v>10.0</v>
      </c>
      <c r="C117" s="25">
        <f>ESPECTROS!$O179</f>
        <v>0.1188693809602066</v>
      </c>
      <c r="D117" s="30">
        <f t="shared" si="9"/>
        <v>116.571041479341</v>
      </c>
      <c r="F117" s="24">
        <f>ESPECTROS!$B179</f>
        <v>10.0</v>
      </c>
      <c r="G117" s="25">
        <f>IF(STAAD!$C$17="ASCE 7-16",ESPECTROS!$H179*IF(DATOS!$C$9="SÍ",COEFICIENTE!$C$68,1),ESPECTROS!$D179)</f>
        <v>0.01698134013717237</v>
      </c>
      <c r="H117" s="30">
        <f t="shared" si="10"/>
        <v>16.653005925620143</v>
      </c>
      <c r="J117" s="24">
        <f>ESPECTROS!$B179</f>
        <v>10.0</v>
      </c>
      <c r="K117" s="25">
        <f>IF(STAAD!$C$17="ASCE 7-16",ESPECTROS!$I179*IF(DATOS!$C$9="SÍ",COEFICIENTE!$D$68,1),ESPECTROS!$E179)</f>
        <v>0.01698134013717237</v>
      </c>
      <c r="L117" s="30">
        <f t="shared" si="11"/>
        <v>16.653005925620143</v>
      </c>
    </row>
  </sheetData>
  <mergeCells count="16">
    <mergeCell ref="O13:P13"/>
    <mergeCell ref="B1:R1"/>
    <mergeCell ref="B2:R2"/>
    <mergeCell ref="F8:H8"/>
    <mergeCell ref="J8:L8"/>
    <mergeCell ref="B9:D9"/>
    <mergeCell ref="F9:H9"/>
    <mergeCell ref="B3:R3"/>
    <mergeCell ref="J9:L9"/>
    <mergeCell ref="O9:P9"/>
    <mergeCell ref="B4:R4"/>
    <mergeCell ref="B6:L6"/>
    <mergeCell ref="B8:D8"/>
    <mergeCell ref="N7:R7"/>
    <mergeCell ref="B7:L7"/>
    <mergeCell ref="N6:R6"/>
  </mergeCells>
  <conditionalFormatting sqref="B3">
    <cfRule type="expression" dxfId="0" priority="2">
      <formula>LEFT($B$3,3)="Sin"</formula>
    </cfRule>
  </conditionalFormatting>
  <pageMargins left="0.5" right="0.5" top="0.75" bottom="0.7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259E-808E-4C7B-BB4B-9749A8CE99D2}">
  <sheetPr>
    <pageSetUpPr fitToPage="1"/>
  </sheetPr>
  <dimension ref="B1:F27"/>
  <sheetViews>
    <sheetView showGridLines="0" topLeftCell="A7" zoomScaleNormal="100" workbookViewId="0"/>
  </sheetViews>
  <sheetFormatPr baseColWidth="10" defaultColWidth="8.88671875" defaultRowHeight="14.4" x14ac:dyDescent="0.3"/>
  <cols>
    <col min="1" max="1" width="1.77734375" customWidth="1"/>
    <col min="2" max="2" width="24" customWidth="1"/>
    <col min="3" max="5" width="40" customWidth="1"/>
    <col min="6" max="6" width="20" customWidth="1"/>
  </cols>
  <sheetData>
    <row r="1" spans="2:6" ht="25.5" customHeight="1" x14ac:dyDescent="0.3">
      <c r="B1" s="38" t="s">
        <v>407</v>
      </c>
      <c r="C1" s="34"/>
      <c r="D1" s="34"/>
      <c r="E1" s="34"/>
      <c r="F1" s="34"/>
    </row>
    <row r="2" spans="2:6" ht="30" customHeight="1" x14ac:dyDescent="0.3">
      <c r="B2" s="33" t="s">
        <v>408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409</v>
      </c>
      <c r="C4" s="34"/>
      <c r="D4" s="34"/>
      <c r="E4" s="34"/>
      <c r="F4" s="34"/>
    </row>
    <row r="5" spans="2:6" ht="30" customHeight="1" x14ac:dyDescent="0.3">
      <c r="B5" s="1" t="s">
        <v>410</v>
      </c>
      <c r="C5" s="1" t="s">
        <v>411</v>
      </c>
      <c r="D5" s="1" t="s">
        <v>412</v>
      </c>
      <c r="E5" s="1" t="s">
        <v>413</v>
      </c>
      <c r="F5" s="1" t="s">
        <v>414</v>
      </c>
    </row>
    <row r="6" spans="2:6" ht="54" customHeight="1" x14ac:dyDescent="0.3">
      <c r="B6" s="8" t="s">
        <v>415</v>
      </c>
      <c r="C6" s="3" t="s">
        <v>416</v>
      </c>
      <c r="D6" s="3" t="s">
        <v>417</v>
      </c>
      <c r="E6" s="3" t="s">
        <v>418</v>
      </c>
      <c r="F6" s="4" t="s">
        <v>357</v>
      </c>
    </row>
    <row r="7" spans="2:6" ht="54" customHeight="1" x14ac:dyDescent="0.3">
      <c r="B7" s="8" t="s">
        <v>419</v>
      </c>
      <c r="C7" s="3" t="s">
        <v>420</v>
      </c>
      <c r="D7" s="3" t="s">
        <v>421</v>
      </c>
      <c r="E7" s="3" t="s">
        <v>422</v>
      </c>
      <c r="F7" s="4" t="s">
        <v>423</v>
      </c>
    </row>
    <row r="8" spans="2:6" ht="42" customHeight="1" x14ac:dyDescent="0.3">
      <c r="B8" s="8" t="s">
        <v>424</v>
      </c>
      <c r="C8" s="3" t="s">
        <v>425</v>
      </c>
      <c r="D8" s="3" t="s">
        <v>426</v>
      </c>
      <c r="E8" s="3" t="s">
        <v>427</v>
      </c>
      <c r="F8" s="4" t="s">
        <v>43</v>
      </c>
    </row>
    <row r="9" spans="2:6" ht="42" customHeight="1" x14ac:dyDescent="0.3">
      <c r="B9" s="8" t="s">
        <v>428</v>
      </c>
      <c r="C9" s="3" t="s">
        <v>429</v>
      </c>
      <c r="D9" s="3" t="s">
        <v>430</v>
      </c>
      <c r="E9" s="3" t="s">
        <v>431</v>
      </c>
      <c r="F9" s="4" t="s">
        <v>423</v>
      </c>
    </row>
    <row r="10" spans="2:6" ht="30" customHeight="1" x14ac:dyDescent="0.3">
      <c r="B10" s="8" t="s">
        <v>432</v>
      </c>
      <c r="C10" s="3" t="s">
        <v>433</v>
      </c>
      <c r="D10" s="3" t="s">
        <v>434</v>
      </c>
      <c r="E10" s="3" t="s">
        <v>435</v>
      </c>
      <c r="F10" s="4" t="s">
        <v>423</v>
      </c>
    </row>
    <row r="11" spans="2:6" ht="42" customHeight="1" x14ac:dyDescent="0.3">
      <c r="B11" s="8" t="s">
        <v>436</v>
      </c>
      <c r="C11" s="3" t="s">
        <v>437</v>
      </c>
      <c r="D11" s="3" t="s">
        <v>438</v>
      </c>
      <c r="E11" s="3" t="s">
        <v>439</v>
      </c>
      <c r="F11" s="4" t="s">
        <v>440</v>
      </c>
    </row>
    <row r="12" spans="2:6" ht="42" customHeight="1" x14ac:dyDescent="0.3">
      <c r="B12" s="8" t="s">
        <v>441</v>
      </c>
      <c r="C12" s="3" t="s">
        <v>442</v>
      </c>
      <c r="D12" s="3" t="s">
        <v>443</v>
      </c>
      <c r="E12" s="3" t="s">
        <v>444</v>
      </c>
      <c r="F12" s="4" t="s">
        <v>445</v>
      </c>
    </row>
    <row r="13" spans="2:6" ht="42" customHeight="1" x14ac:dyDescent="0.3">
      <c r="B13" s="8" t="s">
        <v>446</v>
      </c>
      <c r="C13" s="3" t="s">
        <v>447</v>
      </c>
      <c r="D13" s="3" t="s">
        <v>448</v>
      </c>
      <c r="E13" s="3" t="s">
        <v>449</v>
      </c>
      <c r="F13" s="4" t="s">
        <v>450</v>
      </c>
    </row>
    <row r="14" spans="2:6" ht="42" customHeight="1" x14ac:dyDescent="0.3">
      <c r="B14" s="8" t="s">
        <v>451</v>
      </c>
      <c r="C14" s="3" t="s">
        <v>452</v>
      </c>
      <c r="D14" s="3" t="s">
        <v>453</v>
      </c>
      <c r="E14" s="3" t="s">
        <v>454</v>
      </c>
      <c r="F14" s="4" t="s">
        <v>455</v>
      </c>
    </row>
    <row r="15" spans="2:6" ht="42" customHeight="1" x14ac:dyDescent="0.3">
      <c r="B15" s="8" t="s">
        <v>456</v>
      </c>
      <c r="C15" s="3" t="s">
        <v>457</v>
      </c>
      <c r="D15" s="3" t="s">
        <v>458</v>
      </c>
      <c r="E15" s="3" t="s">
        <v>459</v>
      </c>
      <c r="F15" s="4" t="s">
        <v>460</v>
      </c>
    </row>
    <row r="16" spans="2:6" ht="66" customHeight="1" x14ac:dyDescent="0.3">
      <c r="B16" s="8" t="s">
        <v>461</v>
      </c>
      <c r="C16" s="3" t="s">
        <v>462</v>
      </c>
      <c r="D16" s="3" t="s">
        <v>463</v>
      </c>
      <c r="E16" s="3" t="s">
        <v>464</v>
      </c>
      <c r="F16" s="4" t="s">
        <v>465</v>
      </c>
    </row>
    <row r="17" spans="2:6" ht="42" customHeight="1" x14ac:dyDescent="0.3">
      <c r="B17" s="8" t="s">
        <v>466</v>
      </c>
      <c r="C17" s="3" t="s">
        <v>43</v>
      </c>
      <c r="D17" s="3" t="s">
        <v>467</v>
      </c>
      <c r="E17" s="3" t="s">
        <v>468</v>
      </c>
      <c r="F17" s="4" t="s">
        <v>469</v>
      </c>
    </row>
    <row r="18" spans="2:6" ht="6" customHeight="1" x14ac:dyDescent="0.3"/>
    <row r="19" spans="2:6" ht="21" customHeight="1" x14ac:dyDescent="0.3">
      <c r="B19" s="37" t="s">
        <v>470</v>
      </c>
      <c r="C19" s="34"/>
      <c r="D19" s="34"/>
      <c r="E19" s="34"/>
      <c r="F19" s="34"/>
    </row>
    <row r="20" spans="2:6" ht="30" customHeight="1" x14ac:dyDescent="0.3">
      <c r="B20" s="44" t="s">
        <v>471</v>
      </c>
      <c r="C20" s="36"/>
      <c r="D20" s="36"/>
      <c r="E20" s="36"/>
      <c r="F20" s="36"/>
    </row>
    <row r="21" spans="2:6" ht="30" customHeight="1" x14ac:dyDescent="0.3">
      <c r="B21" s="44" t="s">
        <v>472</v>
      </c>
      <c r="C21" s="36"/>
      <c r="D21" s="36"/>
      <c r="E21" s="36"/>
      <c r="F21" s="36"/>
    </row>
    <row r="22" spans="2:6" ht="30" customHeight="1" x14ac:dyDescent="0.3">
      <c r="B22" s="44" t="s">
        <v>473</v>
      </c>
      <c r="C22" s="36"/>
      <c r="D22" s="36"/>
      <c r="E22" s="36"/>
      <c r="F22" s="36"/>
    </row>
    <row r="23" spans="2:6" ht="18" customHeight="1" x14ac:dyDescent="0.3">
      <c r="B23" s="44" t="s">
        <v>474</v>
      </c>
      <c r="C23" s="36"/>
      <c r="D23" s="36"/>
      <c r="E23" s="36"/>
      <c r="F23" s="36"/>
    </row>
    <row r="24" spans="2:6" ht="18" customHeight="1" x14ac:dyDescent="0.3">
      <c r="B24" s="44" t="s">
        <v>475</v>
      </c>
      <c r="C24" s="36"/>
      <c r="D24" s="36"/>
      <c r="E24" s="36"/>
      <c r="F24" s="36"/>
    </row>
    <row r="25" spans="2:6" ht="30" customHeight="1" x14ac:dyDescent="0.3">
      <c r="B25" s="44" t="s">
        <v>476</v>
      </c>
      <c r="C25" s="36"/>
      <c r="D25" s="36"/>
      <c r="E25" s="36"/>
      <c r="F25" s="36"/>
    </row>
    <row r="26" spans="2:6" ht="18" customHeight="1" x14ac:dyDescent="0.3">
      <c r="B26" s="44" t="s">
        <v>477</v>
      </c>
      <c r="C26" s="36"/>
      <c r="D26" s="36"/>
      <c r="E26" s="36"/>
      <c r="F26" s="36"/>
    </row>
    <row r="27" spans="2:6" ht="18" customHeight="1" x14ac:dyDescent="0.3">
      <c r="B27" s="44" t="s">
        <v>478</v>
      </c>
      <c r="C27" s="36"/>
      <c r="D27" s="36"/>
      <c r="E27" s="36"/>
      <c r="F27" s="36"/>
    </row>
  </sheetData>
  <mergeCells count="12">
    <mergeCell ref="B26:F26"/>
    <mergeCell ref="B27:F27"/>
    <mergeCell ref="B25:F25"/>
    <mergeCell ref="B19:F19"/>
    <mergeCell ref="B23:F23"/>
    <mergeCell ref="B1:F1"/>
    <mergeCell ref="B22:F22"/>
    <mergeCell ref="B4:F4"/>
    <mergeCell ref="B21:F21"/>
    <mergeCell ref="B24:F24"/>
    <mergeCell ref="B2:F2"/>
    <mergeCell ref="B20:F2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866F-C6C8-4E04-A5D4-730D1B27266E}">
  <sheetPr>
    <pageSetUpPr fitToPage="1"/>
  </sheetPr>
  <dimension ref="B1:I168"/>
  <sheetViews>
    <sheetView showGridLines="0" topLeftCell="A16" zoomScaleNormal="100" workbookViewId="0">
      <selection activeCell="F22" sqref="F22"/>
    </sheetView>
  </sheetViews>
  <sheetFormatPr baseColWidth="10" defaultColWidth="8.88671875" defaultRowHeight="14.4" x14ac:dyDescent="0.3"/>
  <cols>
    <col min="1" max="1" width="1.77734375" customWidth="1"/>
    <col min="2" max="2" width="17" customWidth="1"/>
    <col min="3" max="3" width="52" customWidth="1"/>
    <col min="4" max="6" width="11" customWidth="1"/>
    <col min="7" max="7" width="12" customWidth="1"/>
    <col min="8" max="8" width="42" customWidth="1"/>
    <col min="9" max="9" width="14" customWidth="1"/>
  </cols>
  <sheetData>
    <row r="1" spans="2:9" ht="25.5" customHeight="1" x14ac:dyDescent="0.3">
      <c r="B1" s="38" t="s">
        <v>479</v>
      </c>
      <c r="C1" s="34"/>
      <c r="D1" s="34"/>
      <c r="E1" s="34"/>
      <c r="F1" s="34"/>
      <c r="G1" s="34"/>
      <c r="H1" s="34"/>
      <c r="I1" s="34"/>
    </row>
    <row r="2" spans="2:9" ht="30" customHeight="1" x14ac:dyDescent="0.3">
      <c r="B2" s="33" t="s">
        <v>480</v>
      </c>
      <c r="C2" s="34"/>
      <c r="D2" s="34"/>
      <c r="E2" s="34"/>
      <c r="F2" s="34"/>
      <c r="G2" s="34"/>
      <c r="H2" s="34"/>
      <c r="I2" s="34"/>
    </row>
    <row r="3" spans="2:9" ht="6" customHeight="1" x14ac:dyDescent="0.3"/>
    <row r="4" spans="2:9" ht="21" customHeight="1" x14ac:dyDescent="0.3">
      <c r="B4" s="37" t="s">
        <v>481</v>
      </c>
      <c r="C4" s="34"/>
      <c r="D4" s="34"/>
      <c r="E4" s="34"/>
      <c r="F4" s="34"/>
      <c r="G4" s="34"/>
      <c r="H4" s="34"/>
      <c r="I4" s="34"/>
    </row>
    <row r="5" spans="2:9" ht="30" customHeight="1" x14ac:dyDescent="0.3">
      <c r="B5" s="35" t="s">
        <v>482</v>
      </c>
      <c r="C5" s="36"/>
      <c r="D5" s="36"/>
      <c r="E5" s="36"/>
      <c r="F5" s="36"/>
      <c r="G5" s="36"/>
      <c r="H5" s="36"/>
      <c r="I5" s="36"/>
    </row>
    <row r="6" spans="2:9" ht="30" customHeight="1" x14ac:dyDescent="0.3">
      <c r="B6" s="1" t="s">
        <v>483</v>
      </c>
      <c r="C6" s="1" t="s">
        <v>484</v>
      </c>
      <c r="D6" s="1" t="s">
        <v>485</v>
      </c>
    </row>
    <row r="7" spans="2:9" ht="31.5" customHeight="1" x14ac:dyDescent="0.3">
      <c r="B7" s="8">
        <v>1</v>
      </c>
      <c r="C7" s="2" t="s">
        <v>486</v>
      </c>
      <c r="D7" s="10">
        <v>0.4</v>
      </c>
    </row>
    <row r="8" spans="2:9" ht="18.75" customHeight="1" x14ac:dyDescent="0.3">
      <c r="B8" s="8">
        <v>2</v>
      </c>
      <c r="C8" s="2" t="s">
        <v>487</v>
      </c>
      <c r="D8" s="10">
        <v>0.3</v>
      </c>
    </row>
    <row r="10" spans="2:9" ht="21" customHeight="1" x14ac:dyDescent="0.3">
      <c r="B10" s="37" t="s">
        <v>488</v>
      </c>
      <c r="C10" s="34"/>
      <c r="D10" s="34"/>
      <c r="E10" s="34"/>
      <c r="F10" s="34"/>
      <c r="G10" s="34"/>
      <c r="H10" s="34"/>
      <c r="I10" s="34"/>
    </row>
    <row r="11" spans="2:9" ht="30" customHeight="1" x14ac:dyDescent="0.3">
      <c r="B11" s="35" t="s">
        <v>489</v>
      </c>
      <c r="C11" s="36"/>
      <c r="D11" s="36"/>
      <c r="E11" s="36"/>
      <c r="F11" s="36"/>
      <c r="G11" s="36"/>
      <c r="H11" s="36"/>
      <c r="I11" s="36"/>
    </row>
    <row r="12" spans="2:9" ht="30" customHeight="1" x14ac:dyDescent="0.3">
      <c r="B12" s="1" t="s">
        <v>490</v>
      </c>
      <c r="C12" s="1" t="s">
        <v>491</v>
      </c>
      <c r="D12" s="1" t="s">
        <v>492</v>
      </c>
      <c r="E12" s="1" t="s">
        <v>493</v>
      </c>
    </row>
    <row r="13" spans="2:9" ht="31.5" customHeight="1" x14ac:dyDescent="0.3">
      <c r="B13" s="8" t="s">
        <v>494</v>
      </c>
      <c r="C13" s="2" t="s">
        <v>495</v>
      </c>
      <c r="D13" s="10">
        <v>2.5</v>
      </c>
      <c r="E13" s="10">
        <v>0.3</v>
      </c>
    </row>
    <row r="14" spans="2:9" ht="45" customHeight="1" x14ac:dyDescent="0.3">
      <c r="B14" s="8" t="s">
        <v>496</v>
      </c>
      <c r="C14" s="2" t="s">
        <v>497</v>
      </c>
      <c r="D14" s="10">
        <v>2.75</v>
      </c>
      <c r="E14" s="10">
        <v>0.5</v>
      </c>
    </row>
    <row r="15" spans="2:9" ht="31.5" customHeight="1" x14ac:dyDescent="0.3">
      <c r="B15" s="8" t="s">
        <v>72</v>
      </c>
      <c r="C15" s="2" t="s">
        <v>498</v>
      </c>
      <c r="D15" s="10">
        <v>3</v>
      </c>
      <c r="E15" s="10">
        <v>0.6</v>
      </c>
    </row>
    <row r="16" spans="2:9" ht="31.5" customHeight="1" x14ac:dyDescent="0.3">
      <c r="B16" s="8" t="s">
        <v>499</v>
      </c>
      <c r="C16" s="2" t="s">
        <v>500</v>
      </c>
      <c r="D16" s="10">
        <v>3</v>
      </c>
      <c r="E16" s="10">
        <v>0.9</v>
      </c>
    </row>
    <row r="18" spans="2:9" ht="21" customHeight="1" x14ac:dyDescent="0.3">
      <c r="B18" s="37" t="s">
        <v>501</v>
      </c>
      <c r="C18" s="34"/>
      <c r="D18" s="34"/>
      <c r="E18" s="34"/>
      <c r="F18" s="34"/>
      <c r="G18" s="34"/>
      <c r="H18" s="34"/>
      <c r="I18" s="34"/>
    </row>
    <row r="19" spans="2:9" ht="18" customHeight="1" x14ac:dyDescent="0.3">
      <c r="B19" s="35" t="s">
        <v>502</v>
      </c>
      <c r="C19" s="36"/>
      <c r="D19" s="36"/>
      <c r="E19" s="36"/>
      <c r="F19" s="36"/>
      <c r="G19" s="36"/>
      <c r="H19" s="36"/>
      <c r="I19" s="36"/>
    </row>
    <row r="20" spans="2:9" ht="30" customHeight="1" x14ac:dyDescent="0.3">
      <c r="B20" s="1" t="s">
        <v>503</v>
      </c>
      <c r="C20" s="1" t="s">
        <v>504</v>
      </c>
      <c r="D20" s="1" t="s">
        <v>505</v>
      </c>
    </row>
    <row r="21" spans="2:9" ht="70.5" customHeight="1" x14ac:dyDescent="0.3">
      <c r="B21" s="8" t="s">
        <v>505</v>
      </c>
      <c r="C21" s="2" t="s">
        <v>506</v>
      </c>
      <c r="D21" s="10">
        <v>1.5</v>
      </c>
    </row>
    <row r="22" spans="2:9" ht="84" customHeight="1" x14ac:dyDescent="0.3">
      <c r="B22" s="8" t="s">
        <v>82</v>
      </c>
      <c r="C22" s="2" t="s">
        <v>507</v>
      </c>
      <c r="D22" s="10">
        <v>1.2</v>
      </c>
    </row>
    <row r="23" spans="2:9" ht="45" customHeight="1" x14ac:dyDescent="0.3">
      <c r="B23" s="8" t="s">
        <v>508</v>
      </c>
      <c r="C23" s="2" t="s">
        <v>509</v>
      </c>
      <c r="D23" s="10">
        <v>1</v>
      </c>
    </row>
    <row r="25" spans="2:9" ht="21" customHeight="1" x14ac:dyDescent="0.3">
      <c r="B25" s="37" t="s">
        <v>510</v>
      </c>
      <c r="C25" s="34"/>
      <c r="D25" s="34"/>
      <c r="E25" s="34"/>
      <c r="F25" s="34"/>
      <c r="G25" s="34"/>
      <c r="H25" s="34"/>
      <c r="I25" s="34"/>
    </row>
    <row r="26" spans="2:9" ht="30" customHeight="1" x14ac:dyDescent="0.3">
      <c r="B26" s="35" t="s">
        <v>511</v>
      </c>
      <c r="C26" s="36"/>
      <c r="D26" s="36"/>
      <c r="E26" s="36"/>
      <c r="F26" s="36"/>
      <c r="G26" s="36"/>
      <c r="H26" s="36"/>
      <c r="I26" s="36"/>
    </row>
    <row r="27" spans="2:9" ht="30" customHeight="1" x14ac:dyDescent="0.3">
      <c r="B27" s="1" t="s">
        <v>512</v>
      </c>
      <c r="C27" s="1" t="s">
        <v>513</v>
      </c>
      <c r="D27" s="1" t="s">
        <v>514</v>
      </c>
      <c r="E27" s="1" t="s">
        <v>515</v>
      </c>
      <c r="F27" s="1" t="s">
        <v>516</v>
      </c>
    </row>
    <row r="28" spans="2:9" ht="31.5" customHeight="1" x14ac:dyDescent="0.3">
      <c r="B28" s="8" t="s">
        <v>517</v>
      </c>
      <c r="C28" s="2" t="s">
        <v>518</v>
      </c>
      <c r="D28" s="10">
        <v>8</v>
      </c>
      <c r="E28" s="10">
        <v>12</v>
      </c>
      <c r="F28" s="10" t="s">
        <v>519</v>
      </c>
    </row>
    <row r="29" spans="2:9" ht="31.5" customHeight="1" x14ac:dyDescent="0.3">
      <c r="B29" s="8" t="s">
        <v>520</v>
      </c>
      <c r="C29" s="2" t="s">
        <v>521</v>
      </c>
      <c r="D29" s="10">
        <v>5</v>
      </c>
      <c r="E29" s="10">
        <v>5</v>
      </c>
      <c r="F29" s="10">
        <v>15</v>
      </c>
    </row>
    <row r="30" spans="2:9" ht="18.75" customHeight="1" x14ac:dyDescent="0.3">
      <c r="B30" s="8" t="s">
        <v>522</v>
      </c>
      <c r="C30" s="2" t="s">
        <v>523</v>
      </c>
      <c r="D30" s="10">
        <v>6</v>
      </c>
      <c r="E30" s="10">
        <v>7</v>
      </c>
      <c r="F30" s="10">
        <v>30</v>
      </c>
    </row>
    <row r="31" spans="2:9" ht="31.5" customHeight="1" x14ac:dyDescent="0.3">
      <c r="B31" s="8" t="s">
        <v>524</v>
      </c>
      <c r="C31" s="2" t="s">
        <v>525</v>
      </c>
      <c r="D31" s="10">
        <v>7</v>
      </c>
      <c r="E31" s="10">
        <v>8</v>
      </c>
      <c r="F31" s="10">
        <v>50</v>
      </c>
    </row>
    <row r="32" spans="2:9" ht="18.75" customHeight="1" x14ac:dyDescent="0.3">
      <c r="B32" s="8" t="s">
        <v>526</v>
      </c>
      <c r="C32" s="2" t="s">
        <v>527</v>
      </c>
      <c r="D32" s="10">
        <v>6</v>
      </c>
      <c r="E32" s="10">
        <v>7</v>
      </c>
      <c r="F32" s="10">
        <v>35</v>
      </c>
    </row>
    <row r="33" spans="2:9" ht="31.5" customHeight="1" x14ac:dyDescent="0.3">
      <c r="B33" s="8" t="s">
        <v>528</v>
      </c>
      <c r="C33" s="2" t="s">
        <v>529</v>
      </c>
      <c r="D33" s="10">
        <v>6</v>
      </c>
      <c r="E33" s="10">
        <v>10</v>
      </c>
      <c r="F33" s="10">
        <v>50</v>
      </c>
    </row>
    <row r="34" spans="2:9" ht="31.5" customHeight="1" x14ac:dyDescent="0.3">
      <c r="B34" s="8" t="s">
        <v>530</v>
      </c>
      <c r="C34" s="2" t="s">
        <v>531</v>
      </c>
      <c r="D34" s="10">
        <v>7</v>
      </c>
      <c r="E34" s="10">
        <v>8</v>
      </c>
      <c r="F34" s="10">
        <v>50</v>
      </c>
    </row>
    <row r="35" spans="2:9" ht="31.5" customHeight="1" x14ac:dyDescent="0.3">
      <c r="B35" s="8" t="s">
        <v>532</v>
      </c>
      <c r="C35" s="2" t="s">
        <v>533</v>
      </c>
      <c r="D35" s="10">
        <v>9</v>
      </c>
      <c r="E35" s="10">
        <v>12</v>
      </c>
      <c r="F35" s="10" t="s">
        <v>519</v>
      </c>
    </row>
    <row r="36" spans="2:9" ht="31.5" customHeight="1" x14ac:dyDescent="0.3">
      <c r="B36" s="8" t="s">
        <v>534</v>
      </c>
      <c r="C36" s="2" t="s">
        <v>535</v>
      </c>
      <c r="D36" s="10">
        <v>7</v>
      </c>
      <c r="E36" s="10">
        <v>8</v>
      </c>
      <c r="F36" s="10" t="s">
        <v>519</v>
      </c>
    </row>
    <row r="37" spans="2:9" ht="31.5" customHeight="1" x14ac:dyDescent="0.3">
      <c r="B37" s="8" t="s">
        <v>536</v>
      </c>
      <c r="C37" s="2" t="s">
        <v>537</v>
      </c>
      <c r="D37" s="10">
        <v>6</v>
      </c>
      <c r="E37" s="10">
        <v>7</v>
      </c>
      <c r="F37" s="10">
        <v>50</v>
      </c>
    </row>
    <row r="38" spans="2:9" ht="31.5" customHeight="1" x14ac:dyDescent="0.3">
      <c r="B38" s="8" t="s">
        <v>538</v>
      </c>
      <c r="C38" s="2" t="s">
        <v>539</v>
      </c>
      <c r="D38" s="10">
        <v>5</v>
      </c>
      <c r="E38" s="10">
        <v>6</v>
      </c>
      <c r="F38" s="10">
        <v>30</v>
      </c>
    </row>
    <row r="39" spans="2:9" ht="31.5" customHeight="1" x14ac:dyDescent="0.3">
      <c r="B39" s="8" t="s">
        <v>540</v>
      </c>
      <c r="C39" s="2" t="s">
        <v>541</v>
      </c>
      <c r="D39" s="10">
        <v>6</v>
      </c>
      <c r="E39" s="10">
        <v>12</v>
      </c>
      <c r="F39" s="10" t="s">
        <v>519</v>
      </c>
    </row>
    <row r="40" spans="2:9" ht="31.5" customHeight="1" x14ac:dyDescent="0.3">
      <c r="B40" s="8" t="s">
        <v>542</v>
      </c>
      <c r="C40" s="2" t="s">
        <v>543</v>
      </c>
      <c r="D40" s="10">
        <v>7</v>
      </c>
      <c r="E40" s="10">
        <v>10</v>
      </c>
      <c r="F40" s="10" t="s">
        <v>519</v>
      </c>
    </row>
    <row r="41" spans="2:9" ht="31.5" customHeight="1" x14ac:dyDescent="0.3">
      <c r="B41" s="8" t="s">
        <v>544</v>
      </c>
      <c r="C41" s="2" t="s">
        <v>545</v>
      </c>
      <c r="D41" s="10">
        <v>6</v>
      </c>
      <c r="E41" s="10">
        <v>7</v>
      </c>
      <c r="F41" s="10">
        <v>35</v>
      </c>
    </row>
    <row r="42" spans="2:9" ht="18.75" customHeight="1" x14ac:dyDescent="0.3">
      <c r="B42" s="8" t="s">
        <v>546</v>
      </c>
      <c r="C42" s="2" t="s">
        <v>547</v>
      </c>
      <c r="D42" s="10">
        <v>5</v>
      </c>
      <c r="E42" s="10">
        <v>6</v>
      </c>
      <c r="F42" s="10">
        <v>25</v>
      </c>
    </row>
    <row r="43" spans="2:9" ht="18.75" customHeight="1" x14ac:dyDescent="0.3">
      <c r="B43" s="8" t="s">
        <v>548</v>
      </c>
      <c r="C43" s="2" t="s">
        <v>549</v>
      </c>
      <c r="D43" s="10">
        <v>5</v>
      </c>
      <c r="E43" s="10">
        <v>6</v>
      </c>
      <c r="F43" s="10">
        <v>50</v>
      </c>
    </row>
    <row r="44" spans="2:9" ht="31.5" customHeight="1" x14ac:dyDescent="0.3">
      <c r="B44" s="8" t="s">
        <v>550</v>
      </c>
      <c r="C44" s="2" t="s">
        <v>551</v>
      </c>
      <c r="D44" s="10">
        <v>3</v>
      </c>
      <c r="E44" s="10">
        <v>3</v>
      </c>
      <c r="F44" s="10" t="s">
        <v>43</v>
      </c>
    </row>
    <row r="45" spans="2:9" ht="31.5" customHeight="1" x14ac:dyDescent="0.3">
      <c r="B45" s="8" t="s">
        <v>552</v>
      </c>
      <c r="C45" s="2" t="s">
        <v>553</v>
      </c>
      <c r="D45" s="10">
        <v>4</v>
      </c>
      <c r="E45" s="10">
        <v>4</v>
      </c>
      <c r="F45" s="10" t="s">
        <v>43</v>
      </c>
    </row>
    <row r="47" spans="2:9" ht="21" customHeight="1" x14ac:dyDescent="0.3">
      <c r="B47" s="37" t="s">
        <v>554</v>
      </c>
      <c r="C47" s="34"/>
      <c r="D47" s="34"/>
      <c r="E47" s="34"/>
      <c r="F47" s="34"/>
      <c r="G47" s="34"/>
      <c r="H47" s="34"/>
      <c r="I47" s="34"/>
    </row>
    <row r="48" spans="2:9" ht="30" customHeight="1" x14ac:dyDescent="0.3">
      <c r="B48" s="35" t="s">
        <v>555</v>
      </c>
      <c r="C48" s="36"/>
      <c r="D48" s="36"/>
      <c r="E48" s="36"/>
      <c r="F48" s="36"/>
      <c r="G48" s="36"/>
      <c r="H48" s="36"/>
      <c r="I48" s="36"/>
    </row>
    <row r="49" spans="2:9" ht="30" customHeight="1" x14ac:dyDescent="0.3">
      <c r="B49" s="1" t="s">
        <v>556</v>
      </c>
      <c r="C49" s="1" t="s">
        <v>182</v>
      </c>
      <c r="D49" s="1" t="s">
        <v>557</v>
      </c>
      <c r="E49" s="1" t="s">
        <v>558</v>
      </c>
      <c r="F49" s="1" t="s">
        <v>559</v>
      </c>
      <c r="H49" s="1" t="s">
        <v>560</v>
      </c>
    </row>
    <row r="50" spans="2:9" ht="57.75" customHeight="1" x14ac:dyDescent="0.3">
      <c r="B50" s="10">
        <v>1</v>
      </c>
      <c r="C50" s="2" t="s">
        <v>150</v>
      </c>
      <c r="D50" s="10" t="s">
        <v>522</v>
      </c>
      <c r="E50" s="10" t="s">
        <v>561</v>
      </c>
      <c r="F50" s="10" t="s">
        <v>562</v>
      </c>
      <c r="H50" s="2" t="s">
        <v>563</v>
      </c>
    </row>
    <row r="51" spans="2:9" ht="31.5" customHeight="1" x14ac:dyDescent="0.3">
      <c r="B51" s="10">
        <v>2</v>
      </c>
      <c r="C51" s="2" t="s">
        <v>564</v>
      </c>
      <c r="D51" s="10" t="s">
        <v>522</v>
      </c>
      <c r="E51" s="10" t="s">
        <v>565</v>
      </c>
      <c r="F51" s="10" t="s">
        <v>562</v>
      </c>
      <c r="H51" s="2" t="s">
        <v>566</v>
      </c>
    </row>
    <row r="52" spans="2:9" ht="31.5" customHeight="1" x14ac:dyDescent="0.3">
      <c r="B52" s="10">
        <v>3</v>
      </c>
      <c r="C52" s="2" t="s">
        <v>567</v>
      </c>
      <c r="D52" s="10" t="s">
        <v>517</v>
      </c>
      <c r="E52" s="10" t="s">
        <v>568</v>
      </c>
      <c r="F52" s="10" t="s">
        <v>562</v>
      </c>
      <c r="H52" s="2" t="s">
        <v>569</v>
      </c>
    </row>
    <row r="53" spans="2:9" ht="45" customHeight="1" x14ac:dyDescent="0.3">
      <c r="B53" s="10">
        <v>4</v>
      </c>
      <c r="C53" s="2" t="s">
        <v>570</v>
      </c>
      <c r="D53" s="10" t="s">
        <v>530</v>
      </c>
      <c r="E53" s="10" t="s">
        <v>571</v>
      </c>
      <c r="F53" s="10" t="s">
        <v>572</v>
      </c>
      <c r="H53" s="2" t="s">
        <v>573</v>
      </c>
    </row>
    <row r="54" spans="2:9" ht="31.5" customHeight="1" x14ac:dyDescent="0.3">
      <c r="B54" s="10">
        <v>5</v>
      </c>
      <c r="C54" s="2" t="s">
        <v>574</v>
      </c>
      <c r="D54" s="10" t="s">
        <v>530</v>
      </c>
      <c r="E54" s="10" t="s">
        <v>575</v>
      </c>
      <c r="F54" s="10" t="s">
        <v>572</v>
      </c>
      <c r="H54" s="2" t="s">
        <v>576</v>
      </c>
    </row>
    <row r="55" spans="2:9" ht="31.5" customHeight="1" x14ac:dyDescent="0.3">
      <c r="B55" s="10">
        <v>6</v>
      </c>
      <c r="C55" s="2" t="s">
        <v>577</v>
      </c>
      <c r="D55" s="10" t="s">
        <v>528</v>
      </c>
      <c r="E55" s="10" t="s">
        <v>578</v>
      </c>
      <c r="F55" s="10" t="s">
        <v>579</v>
      </c>
      <c r="H55" s="2" t="s">
        <v>580</v>
      </c>
    </row>
    <row r="56" spans="2:9" ht="31.5" customHeight="1" x14ac:dyDescent="0.3">
      <c r="B56" s="10">
        <v>7</v>
      </c>
      <c r="C56" s="2" t="s">
        <v>581</v>
      </c>
      <c r="D56" s="10" t="s">
        <v>548</v>
      </c>
      <c r="E56" s="10" t="s">
        <v>571</v>
      </c>
      <c r="F56" s="10" t="s">
        <v>572</v>
      </c>
      <c r="H56" s="2" t="s">
        <v>582</v>
      </c>
    </row>
    <row r="57" spans="2:9" ht="45" customHeight="1" x14ac:dyDescent="0.3">
      <c r="B57" s="10">
        <v>8</v>
      </c>
      <c r="C57" s="2" t="s">
        <v>583</v>
      </c>
      <c r="D57" s="10" t="s">
        <v>550</v>
      </c>
      <c r="E57" s="10" t="s">
        <v>584</v>
      </c>
      <c r="F57" s="10" t="s">
        <v>572</v>
      </c>
      <c r="H57" s="2" t="s">
        <v>585</v>
      </c>
    </row>
    <row r="58" spans="2:9" ht="31.5" customHeight="1" x14ac:dyDescent="0.3">
      <c r="B58" s="10">
        <v>9</v>
      </c>
      <c r="C58" s="2" t="s">
        <v>586</v>
      </c>
      <c r="D58" s="10" t="s">
        <v>550</v>
      </c>
      <c r="E58" s="10" t="s">
        <v>587</v>
      </c>
      <c r="F58" s="10" t="s">
        <v>572</v>
      </c>
      <c r="H58" s="2" t="s">
        <v>588</v>
      </c>
    </row>
    <row r="59" spans="2:9" ht="31.5" customHeight="1" x14ac:dyDescent="0.3">
      <c r="B59" s="10">
        <v>10</v>
      </c>
      <c r="C59" s="2" t="s">
        <v>589</v>
      </c>
      <c r="D59" s="10" t="s">
        <v>520</v>
      </c>
      <c r="E59" s="10" t="s">
        <v>590</v>
      </c>
      <c r="F59" s="10" t="s">
        <v>591</v>
      </c>
      <c r="H59" s="2" t="s">
        <v>592</v>
      </c>
    </row>
    <row r="60" spans="2:9" ht="31.5" customHeight="1" x14ac:dyDescent="0.3">
      <c r="B60" s="10">
        <v>11</v>
      </c>
      <c r="C60" s="2" t="s">
        <v>593</v>
      </c>
      <c r="D60" s="10" t="s">
        <v>546</v>
      </c>
      <c r="E60" s="10" t="s">
        <v>594</v>
      </c>
      <c r="F60" s="10" t="s">
        <v>595</v>
      </c>
      <c r="H60" s="2" t="s">
        <v>596</v>
      </c>
    </row>
    <row r="62" spans="2:9" ht="21" customHeight="1" x14ac:dyDescent="0.3">
      <c r="B62" s="37" t="s">
        <v>597</v>
      </c>
      <c r="C62" s="34"/>
      <c r="D62" s="34"/>
      <c r="E62" s="34"/>
      <c r="F62" s="34"/>
      <c r="G62" s="34"/>
      <c r="H62" s="34"/>
      <c r="I62" s="34"/>
    </row>
    <row r="63" spans="2:9" ht="18" customHeight="1" x14ac:dyDescent="0.3">
      <c r="B63" s="35" t="s">
        <v>598</v>
      </c>
      <c r="C63" s="36"/>
      <c r="D63" s="36"/>
      <c r="E63" s="36"/>
      <c r="F63" s="36"/>
      <c r="G63" s="36"/>
      <c r="H63" s="36"/>
      <c r="I63" s="36"/>
    </row>
    <row r="64" spans="2:9" ht="30" customHeight="1" x14ac:dyDescent="0.3">
      <c r="B64" s="1" t="s">
        <v>599</v>
      </c>
      <c r="C64" s="1" t="s">
        <v>504</v>
      </c>
      <c r="D64" s="1" t="s">
        <v>600</v>
      </c>
      <c r="E64" s="1" t="s">
        <v>601</v>
      </c>
      <c r="F64" s="1" t="s">
        <v>602</v>
      </c>
    </row>
    <row r="65" spans="2:9" ht="31.5" customHeight="1" x14ac:dyDescent="0.3">
      <c r="B65" s="8" t="s">
        <v>562</v>
      </c>
      <c r="C65" s="2" t="s">
        <v>603</v>
      </c>
      <c r="D65" s="10">
        <v>8.5000000000000006E-2</v>
      </c>
      <c r="E65" s="10">
        <v>7.2400000000000006E-2</v>
      </c>
      <c r="F65" s="10">
        <v>0.8</v>
      </c>
    </row>
    <row r="66" spans="2:9" ht="31.5" customHeight="1" x14ac:dyDescent="0.3">
      <c r="B66" s="8" t="s">
        <v>591</v>
      </c>
      <c r="C66" s="2" t="s">
        <v>604</v>
      </c>
      <c r="D66" s="10">
        <v>7.2999999999999995E-2</v>
      </c>
      <c r="E66" s="10">
        <v>4.6600000000000003E-2</v>
      </c>
      <c r="F66" s="10">
        <v>0.9</v>
      </c>
    </row>
    <row r="67" spans="2:9" ht="31.5" customHeight="1" x14ac:dyDescent="0.3">
      <c r="B67" s="8" t="s">
        <v>579</v>
      </c>
      <c r="C67" s="2" t="s">
        <v>605</v>
      </c>
      <c r="D67" s="10">
        <v>4.9000000000000002E-2</v>
      </c>
      <c r="E67" s="10">
        <v>7.3099999999999998E-2</v>
      </c>
      <c r="F67" s="10">
        <v>0.75</v>
      </c>
    </row>
    <row r="68" spans="2:9" ht="31.5" customHeight="1" x14ac:dyDescent="0.3">
      <c r="B68" s="8" t="s">
        <v>595</v>
      </c>
      <c r="C68" s="2" t="s">
        <v>606</v>
      </c>
      <c r="D68" s="10">
        <v>4.9000000000000002E-2</v>
      </c>
      <c r="E68" s="10">
        <v>4.8800000000000003E-2</v>
      </c>
      <c r="F68" s="10">
        <v>0.75</v>
      </c>
    </row>
    <row r="69" spans="2:9" ht="18.75" customHeight="1" x14ac:dyDescent="0.3">
      <c r="B69" s="8" t="s">
        <v>572</v>
      </c>
      <c r="C69" s="2" t="s">
        <v>607</v>
      </c>
      <c r="D69" s="10">
        <v>4.9000000000000002E-2</v>
      </c>
      <c r="E69" s="10">
        <v>4.8800000000000003E-2</v>
      </c>
      <c r="F69" s="10">
        <v>0.75</v>
      </c>
    </row>
    <row r="71" spans="2:9" ht="21" customHeight="1" x14ac:dyDescent="0.3">
      <c r="B71" s="37" t="s">
        <v>608</v>
      </c>
      <c r="C71" s="34"/>
      <c r="D71" s="34"/>
      <c r="E71" s="34"/>
      <c r="F71" s="34"/>
      <c r="G71" s="34"/>
      <c r="H71" s="34"/>
      <c r="I71" s="34"/>
    </row>
    <row r="72" spans="2:9" ht="18" customHeight="1" x14ac:dyDescent="0.3">
      <c r="B72" s="35" t="s">
        <v>609</v>
      </c>
      <c r="C72" s="36"/>
      <c r="D72" s="36"/>
      <c r="E72" s="36"/>
      <c r="F72" s="36"/>
      <c r="G72" s="36"/>
      <c r="H72" s="36"/>
      <c r="I72" s="36"/>
    </row>
    <row r="73" spans="2:9" ht="30" customHeight="1" x14ac:dyDescent="0.3">
      <c r="B73" s="1" t="s">
        <v>599</v>
      </c>
      <c r="C73" s="1" t="s">
        <v>610</v>
      </c>
      <c r="D73" s="1" t="s">
        <v>611</v>
      </c>
      <c r="E73" s="1" t="s">
        <v>612</v>
      </c>
      <c r="F73" s="1" t="s">
        <v>613</v>
      </c>
    </row>
    <row r="74" spans="2:9" ht="31.5" customHeight="1" x14ac:dyDescent="0.3">
      <c r="B74" s="8" t="s">
        <v>614</v>
      </c>
      <c r="C74" s="2" t="s">
        <v>615</v>
      </c>
      <c r="D74" s="10">
        <v>1.4999999999999999E-2</v>
      </c>
      <c r="E74" s="10">
        <v>0.02</v>
      </c>
      <c r="F74" s="10" t="s">
        <v>519</v>
      </c>
    </row>
    <row r="75" spans="2:9" ht="18.75" customHeight="1" x14ac:dyDescent="0.3">
      <c r="B75" s="8" t="s">
        <v>616</v>
      </c>
      <c r="C75" s="2" t="s">
        <v>617</v>
      </c>
      <c r="D75" s="10">
        <v>0.01</v>
      </c>
      <c r="E75" s="10">
        <v>1.4999999999999999E-2</v>
      </c>
      <c r="F75" s="10">
        <v>0.02</v>
      </c>
    </row>
    <row r="76" spans="2:9" ht="18.75" customHeight="1" x14ac:dyDescent="0.3">
      <c r="B76" s="8" t="s">
        <v>572</v>
      </c>
      <c r="C76" s="2" t="s">
        <v>618</v>
      </c>
      <c r="D76" s="10">
        <v>0.01</v>
      </c>
      <c r="E76" s="10">
        <v>1.4999999999999999E-2</v>
      </c>
      <c r="F76" s="10">
        <v>1.4999999999999999E-2</v>
      </c>
    </row>
    <row r="78" spans="2:9" ht="21" customHeight="1" x14ac:dyDescent="0.3">
      <c r="B78" s="37" t="s">
        <v>619</v>
      </c>
      <c r="C78" s="34"/>
      <c r="D78" s="34"/>
      <c r="E78" s="34"/>
      <c r="F78" s="34"/>
      <c r="G78" s="34"/>
      <c r="H78" s="34"/>
      <c r="I78" s="34"/>
    </row>
    <row r="79" spans="2:9" ht="30" customHeight="1" x14ac:dyDescent="0.3">
      <c r="B79" s="35" t="s">
        <v>620</v>
      </c>
      <c r="C79" s="36"/>
      <c r="D79" s="36"/>
      <c r="E79" s="36"/>
      <c r="F79" s="36"/>
      <c r="G79" s="36"/>
      <c r="H79" s="36"/>
      <c r="I79" s="36"/>
    </row>
    <row r="80" spans="2:9" ht="30" customHeight="1" x14ac:dyDescent="0.3">
      <c r="B80" s="1" t="s">
        <v>621</v>
      </c>
      <c r="C80" s="1" t="s">
        <v>491</v>
      </c>
      <c r="D80" s="1" t="s">
        <v>622</v>
      </c>
      <c r="E80" s="1" t="s">
        <v>623</v>
      </c>
    </row>
    <row r="81" spans="2:9" ht="18.75" customHeight="1" x14ac:dyDescent="0.3">
      <c r="B81" s="8" t="s">
        <v>624</v>
      </c>
      <c r="C81" s="2" t="s">
        <v>625</v>
      </c>
      <c r="D81" s="10">
        <v>1500</v>
      </c>
      <c r="E81" s="10" t="s">
        <v>43</v>
      </c>
    </row>
    <row r="82" spans="2:9" ht="18.75" customHeight="1" x14ac:dyDescent="0.3">
      <c r="B82" s="8" t="s">
        <v>626</v>
      </c>
      <c r="C82" s="2" t="s">
        <v>627</v>
      </c>
      <c r="D82" s="10">
        <v>760</v>
      </c>
      <c r="E82" s="10">
        <v>1500</v>
      </c>
    </row>
    <row r="83" spans="2:9" ht="18.75" customHeight="1" x14ac:dyDescent="0.3">
      <c r="B83" s="8" t="s">
        <v>628</v>
      </c>
      <c r="C83" s="2" t="s">
        <v>629</v>
      </c>
      <c r="D83" s="10">
        <v>360</v>
      </c>
      <c r="E83" s="10">
        <v>760</v>
      </c>
    </row>
    <row r="84" spans="2:9" ht="18.75" customHeight="1" x14ac:dyDescent="0.3">
      <c r="B84" s="8" t="s">
        <v>630</v>
      </c>
      <c r="C84" s="2" t="s">
        <v>631</v>
      </c>
      <c r="D84" s="10">
        <v>180</v>
      </c>
      <c r="E84" s="10">
        <v>360</v>
      </c>
    </row>
    <row r="85" spans="2:9" ht="18.75" customHeight="1" x14ac:dyDescent="0.3">
      <c r="B85" s="8" t="s">
        <v>632</v>
      </c>
      <c r="C85" s="2" t="s">
        <v>633</v>
      </c>
      <c r="D85" s="10">
        <v>0</v>
      </c>
      <c r="E85" s="10">
        <v>180</v>
      </c>
    </row>
    <row r="86" spans="2:9" ht="31.5" customHeight="1" x14ac:dyDescent="0.3">
      <c r="B86" s="8" t="s">
        <v>634</v>
      </c>
      <c r="C86" s="2" t="s">
        <v>635</v>
      </c>
      <c r="D86" s="10" t="s">
        <v>43</v>
      </c>
      <c r="E86" s="10">
        <v>180</v>
      </c>
    </row>
    <row r="88" spans="2:9" ht="21" customHeight="1" x14ac:dyDescent="0.3">
      <c r="B88" s="37" t="s">
        <v>636</v>
      </c>
      <c r="C88" s="34"/>
      <c r="D88" s="34"/>
      <c r="E88" s="34"/>
      <c r="F88" s="34"/>
      <c r="G88" s="34"/>
      <c r="H88" s="34"/>
      <c r="I88" s="34"/>
    </row>
    <row r="89" spans="2:9" ht="30" customHeight="1" x14ac:dyDescent="0.3">
      <c r="B89" s="35" t="s">
        <v>637</v>
      </c>
      <c r="C89" s="36"/>
      <c r="D89" s="36"/>
      <c r="E89" s="36"/>
      <c r="F89" s="36"/>
      <c r="G89" s="36"/>
      <c r="H89" s="36"/>
      <c r="I89" s="36"/>
    </row>
    <row r="90" spans="2:9" ht="30" customHeight="1" x14ac:dyDescent="0.3">
      <c r="B90" s="1" t="s">
        <v>621</v>
      </c>
      <c r="C90" s="1" t="s">
        <v>560</v>
      </c>
      <c r="D90" s="1" t="s">
        <v>638</v>
      </c>
      <c r="E90" s="1" t="s">
        <v>639</v>
      </c>
    </row>
    <row r="91" spans="2:9" ht="18.75" customHeight="1" x14ac:dyDescent="0.3">
      <c r="B91" s="8" t="s">
        <v>624</v>
      </c>
      <c r="D91" s="10">
        <v>0.97</v>
      </c>
      <c r="E91" s="10">
        <v>1.72</v>
      </c>
    </row>
    <row r="92" spans="2:9" ht="18.75" customHeight="1" x14ac:dyDescent="0.3">
      <c r="B92" s="8" t="s">
        <v>626</v>
      </c>
      <c r="D92" s="10">
        <v>1.02</v>
      </c>
      <c r="E92" s="10">
        <v>2.5</v>
      </c>
    </row>
    <row r="93" spans="2:9" ht="18.75" customHeight="1" x14ac:dyDescent="0.3">
      <c r="B93" s="8" t="s">
        <v>628</v>
      </c>
      <c r="D93" s="10">
        <v>1.06</v>
      </c>
      <c r="E93" s="10">
        <v>2.65</v>
      </c>
    </row>
    <row r="94" spans="2:9" ht="18.75" customHeight="1" x14ac:dyDescent="0.3">
      <c r="B94" s="8" t="s">
        <v>630</v>
      </c>
      <c r="D94" s="10">
        <v>1.1599999999999999</v>
      </c>
      <c r="E94" s="10">
        <v>3.25</v>
      </c>
    </row>
    <row r="95" spans="2:9" ht="18.75" customHeight="1" x14ac:dyDescent="0.3">
      <c r="B95" s="8" t="s">
        <v>632</v>
      </c>
      <c r="D95" s="10">
        <v>1.1599999999999999</v>
      </c>
      <c r="E95" s="10">
        <v>4</v>
      </c>
    </row>
    <row r="96" spans="2:9" ht="31.5" customHeight="1" x14ac:dyDescent="0.3">
      <c r="B96" s="8" t="s">
        <v>634</v>
      </c>
      <c r="C96" s="2" t="s">
        <v>640</v>
      </c>
      <c r="D96" s="10">
        <v>1.1599999999999999</v>
      </c>
      <c r="E96" s="10">
        <v>4</v>
      </c>
    </row>
    <row r="98" spans="2:9" ht="21" customHeight="1" x14ac:dyDescent="0.3">
      <c r="B98" s="37" t="s">
        <v>641</v>
      </c>
      <c r="C98" s="34"/>
      <c r="D98" s="34"/>
      <c r="E98" s="34"/>
      <c r="F98" s="34"/>
      <c r="G98" s="34"/>
      <c r="H98" s="34"/>
      <c r="I98" s="34"/>
    </row>
    <row r="99" spans="2:9" ht="18" customHeight="1" x14ac:dyDescent="0.3">
      <c r="B99" s="35" t="s">
        <v>642</v>
      </c>
      <c r="C99" s="36"/>
      <c r="D99" s="36"/>
      <c r="E99" s="36"/>
      <c r="F99" s="36"/>
      <c r="G99" s="36"/>
      <c r="H99" s="36"/>
      <c r="I99" s="36"/>
    </row>
    <row r="100" spans="2:9" ht="30" customHeight="1" x14ac:dyDescent="0.3">
      <c r="B100" s="1" t="s">
        <v>643</v>
      </c>
      <c r="C100" s="1" t="s">
        <v>644</v>
      </c>
      <c r="D100" s="1" t="s">
        <v>645</v>
      </c>
    </row>
    <row r="101" spans="2:9" ht="18.75" customHeight="1" x14ac:dyDescent="0.3">
      <c r="B101" s="8" t="s">
        <v>646</v>
      </c>
      <c r="C101" s="2" t="s">
        <v>647</v>
      </c>
      <c r="D101" s="10">
        <v>2.21</v>
      </c>
    </row>
    <row r="102" spans="2:9" ht="18.75" customHeight="1" x14ac:dyDescent="0.3">
      <c r="B102" s="8" t="s">
        <v>648</v>
      </c>
      <c r="C102" s="2" t="s">
        <v>649</v>
      </c>
      <c r="D102" s="10">
        <v>0.62</v>
      </c>
    </row>
    <row r="104" spans="2:9" ht="21" customHeight="1" x14ac:dyDescent="0.3">
      <c r="B104" s="37" t="s">
        <v>650</v>
      </c>
      <c r="C104" s="34"/>
      <c r="D104" s="34"/>
      <c r="E104" s="34"/>
      <c r="F104" s="34"/>
      <c r="G104" s="34"/>
      <c r="H104" s="34"/>
      <c r="I104" s="34"/>
    </row>
    <row r="105" spans="2:9" ht="18" customHeight="1" x14ac:dyDescent="0.3">
      <c r="B105" s="35" t="s">
        <v>651</v>
      </c>
      <c r="C105" s="36"/>
      <c r="D105" s="36"/>
      <c r="E105" s="36"/>
      <c r="F105" s="36"/>
      <c r="G105" s="36"/>
      <c r="H105" s="36"/>
      <c r="I105" s="36"/>
    </row>
    <row r="106" spans="2:9" ht="30" customHeight="1" x14ac:dyDescent="0.3">
      <c r="B106" s="1" t="s">
        <v>652</v>
      </c>
      <c r="C106" s="1" t="s">
        <v>653</v>
      </c>
      <c r="D106" s="1" t="s">
        <v>654</v>
      </c>
    </row>
    <row r="107" spans="2:9" ht="31.5" customHeight="1" x14ac:dyDescent="0.3">
      <c r="B107" s="8" t="s">
        <v>505</v>
      </c>
      <c r="C107" s="2" t="s">
        <v>655</v>
      </c>
      <c r="D107" s="10">
        <v>1</v>
      </c>
    </row>
    <row r="108" spans="2:9" ht="31.5" customHeight="1" x14ac:dyDescent="0.3">
      <c r="B108" s="8" t="s">
        <v>82</v>
      </c>
      <c r="C108" s="2" t="s">
        <v>656</v>
      </c>
      <c r="D108" s="10">
        <v>1</v>
      </c>
    </row>
    <row r="109" spans="2:9" ht="31.5" customHeight="1" x14ac:dyDescent="0.3">
      <c r="B109" s="8" t="s">
        <v>508</v>
      </c>
      <c r="C109" s="2" t="s">
        <v>657</v>
      </c>
      <c r="D109" s="10">
        <v>1.25</v>
      </c>
    </row>
    <row r="110" spans="2:9" ht="31.5" customHeight="1" x14ac:dyDescent="0.3">
      <c r="B110" s="8" t="s">
        <v>658</v>
      </c>
      <c r="C110" s="2" t="s">
        <v>659</v>
      </c>
      <c r="D110" s="10">
        <v>1.5</v>
      </c>
    </row>
    <row r="112" spans="2:9" ht="21" customHeight="1" x14ac:dyDescent="0.3">
      <c r="B112" s="37" t="s">
        <v>660</v>
      </c>
      <c r="C112" s="34"/>
      <c r="D112" s="34"/>
      <c r="E112" s="34"/>
      <c r="F112" s="34"/>
      <c r="G112" s="34"/>
      <c r="H112" s="34"/>
      <c r="I112" s="34"/>
    </row>
    <row r="113" spans="2:9" ht="18" customHeight="1" x14ac:dyDescent="0.3">
      <c r="B113" s="35" t="s">
        <v>661</v>
      </c>
      <c r="C113" s="36"/>
      <c r="D113" s="36"/>
      <c r="E113" s="36"/>
      <c r="F113" s="36"/>
      <c r="G113" s="36"/>
      <c r="H113" s="36"/>
      <c r="I113" s="36"/>
    </row>
    <row r="114" spans="2:9" ht="30" customHeight="1" x14ac:dyDescent="0.3">
      <c r="B114" s="1" t="s">
        <v>662</v>
      </c>
      <c r="C114" s="1" t="s">
        <v>663</v>
      </c>
      <c r="D114" s="1" t="s">
        <v>664</v>
      </c>
    </row>
    <row r="115" spans="2:9" ht="18.75" customHeight="1" x14ac:dyDescent="0.3">
      <c r="B115" s="8" t="s">
        <v>665</v>
      </c>
      <c r="C115" s="2" t="s">
        <v>666</v>
      </c>
      <c r="D115" s="10">
        <v>1.4</v>
      </c>
    </row>
    <row r="116" spans="2:9" ht="18.75" customHeight="1" x14ac:dyDescent="0.3">
      <c r="B116" s="8" t="s">
        <v>667</v>
      </c>
      <c r="D116" s="10">
        <v>1.4</v>
      </c>
    </row>
    <row r="117" spans="2:9" ht="18.75" customHeight="1" x14ac:dyDescent="0.3">
      <c r="B117" s="8" t="s">
        <v>668</v>
      </c>
      <c r="D117" s="10">
        <v>1.5</v>
      </c>
    </row>
    <row r="118" spans="2:9" ht="18.75" customHeight="1" x14ac:dyDescent="0.3">
      <c r="B118" s="8" t="s">
        <v>669</v>
      </c>
      <c r="D118" s="10">
        <v>1.6</v>
      </c>
    </row>
    <row r="119" spans="2:9" ht="18.75" customHeight="1" x14ac:dyDescent="0.3">
      <c r="B119" s="8" t="s">
        <v>670</v>
      </c>
      <c r="D119" s="10">
        <v>1.7</v>
      </c>
    </row>
    <row r="121" spans="2:9" ht="21" customHeight="1" x14ac:dyDescent="0.3">
      <c r="B121" s="37" t="s">
        <v>671</v>
      </c>
      <c r="C121" s="34"/>
      <c r="D121" s="34"/>
      <c r="E121" s="34"/>
      <c r="F121" s="34"/>
      <c r="G121" s="34"/>
      <c r="H121" s="34"/>
      <c r="I121" s="34"/>
    </row>
    <row r="122" spans="2:9" ht="30" customHeight="1" x14ac:dyDescent="0.3">
      <c r="B122" s="35" t="s">
        <v>672</v>
      </c>
      <c r="C122" s="36"/>
      <c r="D122" s="36"/>
      <c r="E122" s="36"/>
      <c r="F122" s="36"/>
      <c r="G122" s="36"/>
      <c r="H122" s="36"/>
      <c r="I122" s="36"/>
    </row>
    <row r="123" spans="2:9" ht="42" customHeight="1" x14ac:dyDescent="0.3">
      <c r="B123" s="1" t="s">
        <v>512</v>
      </c>
      <c r="C123" s="1" t="s">
        <v>673</v>
      </c>
      <c r="D123" s="1" t="s">
        <v>515</v>
      </c>
      <c r="E123" s="1" t="s">
        <v>674</v>
      </c>
      <c r="F123" s="1" t="s">
        <v>514</v>
      </c>
      <c r="G123" s="1" t="s">
        <v>675</v>
      </c>
      <c r="H123" s="1" t="s">
        <v>560</v>
      </c>
      <c r="I123" s="1" t="s">
        <v>676</v>
      </c>
    </row>
    <row r="124" spans="2:9" ht="18.75" customHeight="1" x14ac:dyDescent="0.3">
      <c r="B124" s="8" t="s">
        <v>568</v>
      </c>
      <c r="C124" s="2" t="s">
        <v>677</v>
      </c>
      <c r="D124" s="10">
        <v>8</v>
      </c>
      <c r="E124" s="10">
        <v>3</v>
      </c>
      <c r="F124" s="10">
        <v>5.5</v>
      </c>
      <c r="G124" s="10" t="s">
        <v>678</v>
      </c>
      <c r="I124" s="10" t="s">
        <v>43</v>
      </c>
    </row>
    <row r="125" spans="2:9" ht="31.5" customHeight="1" x14ac:dyDescent="0.3">
      <c r="B125" s="8" t="s">
        <v>565</v>
      </c>
      <c r="C125" s="2" t="s">
        <v>679</v>
      </c>
      <c r="D125" s="10">
        <v>4.5</v>
      </c>
      <c r="E125" s="10">
        <v>3</v>
      </c>
      <c r="F125" s="10">
        <v>4</v>
      </c>
      <c r="G125" s="10">
        <v>10.7</v>
      </c>
      <c r="H125" s="2" t="s">
        <v>680</v>
      </c>
      <c r="I125" s="10">
        <v>20</v>
      </c>
    </row>
    <row r="126" spans="2:9" ht="31.5" customHeight="1" x14ac:dyDescent="0.3">
      <c r="B126" s="8" t="s">
        <v>561</v>
      </c>
      <c r="C126" s="2" t="s">
        <v>681</v>
      </c>
      <c r="D126" s="10">
        <v>3.5</v>
      </c>
      <c r="E126" s="10">
        <v>3</v>
      </c>
      <c r="F126" s="10">
        <v>3</v>
      </c>
      <c r="G126" s="10" t="s">
        <v>682</v>
      </c>
      <c r="H126" s="2" t="s">
        <v>683</v>
      </c>
      <c r="I126" s="10">
        <v>20</v>
      </c>
    </row>
    <row r="127" spans="2:9" ht="18.75" customHeight="1" x14ac:dyDescent="0.3">
      <c r="B127" s="8" t="s">
        <v>684</v>
      </c>
      <c r="C127" s="2" t="s">
        <v>685</v>
      </c>
      <c r="D127" s="10">
        <v>8</v>
      </c>
      <c r="E127" s="10">
        <v>3</v>
      </c>
      <c r="F127" s="10">
        <v>5.5</v>
      </c>
      <c r="G127" s="10" t="s">
        <v>678</v>
      </c>
      <c r="I127" s="10" t="s">
        <v>43</v>
      </c>
    </row>
    <row r="128" spans="2:9" ht="18.75" customHeight="1" x14ac:dyDescent="0.3">
      <c r="B128" s="8" t="s">
        <v>590</v>
      </c>
      <c r="C128" s="2" t="s">
        <v>686</v>
      </c>
      <c r="D128" s="10">
        <v>5</v>
      </c>
      <c r="E128" s="10">
        <v>3</v>
      </c>
      <c r="F128" s="10">
        <v>4.5</v>
      </c>
      <c r="G128" s="10" t="s">
        <v>682</v>
      </c>
      <c r="I128" s="10" t="s">
        <v>43</v>
      </c>
    </row>
    <row r="129" spans="2:9" ht="18.75" customHeight="1" x14ac:dyDescent="0.3">
      <c r="B129" s="8" t="s">
        <v>578</v>
      </c>
      <c r="C129" s="2" t="s">
        <v>687</v>
      </c>
      <c r="D129" s="10">
        <v>8</v>
      </c>
      <c r="E129" s="10">
        <v>2</v>
      </c>
      <c r="F129" s="10">
        <v>4</v>
      </c>
      <c r="G129" s="10">
        <v>48.8</v>
      </c>
      <c r="I129" s="10" t="s">
        <v>43</v>
      </c>
    </row>
    <row r="130" spans="2:9" ht="31.5" customHeight="1" x14ac:dyDescent="0.3">
      <c r="B130" s="8" t="s">
        <v>575</v>
      </c>
      <c r="C130" s="2" t="s">
        <v>688</v>
      </c>
      <c r="D130" s="10">
        <v>6</v>
      </c>
      <c r="E130" s="10">
        <v>2</v>
      </c>
      <c r="F130" s="10">
        <v>5</v>
      </c>
      <c r="G130" s="10">
        <v>48.8</v>
      </c>
      <c r="I130" s="10" t="s">
        <v>43</v>
      </c>
    </row>
    <row r="131" spans="2:9" ht="31.5" customHeight="1" x14ac:dyDescent="0.3">
      <c r="B131" s="8" t="s">
        <v>571</v>
      </c>
      <c r="C131" s="2" t="s">
        <v>689</v>
      </c>
      <c r="D131" s="10">
        <v>3.25</v>
      </c>
      <c r="E131" s="10">
        <v>2</v>
      </c>
      <c r="F131" s="10">
        <v>3.25</v>
      </c>
      <c r="G131" s="10">
        <v>10.7</v>
      </c>
      <c r="H131" s="2" t="s">
        <v>690</v>
      </c>
      <c r="I131" s="10">
        <v>18.3</v>
      </c>
    </row>
    <row r="132" spans="2:9" ht="31.5" customHeight="1" x14ac:dyDescent="0.3">
      <c r="B132" s="8" t="s">
        <v>691</v>
      </c>
      <c r="C132" s="2" t="s">
        <v>692</v>
      </c>
      <c r="D132" s="10">
        <v>8</v>
      </c>
      <c r="E132" s="10">
        <v>2.5</v>
      </c>
      <c r="F132" s="10">
        <v>5</v>
      </c>
      <c r="G132" s="10">
        <v>48.8</v>
      </c>
      <c r="I132" s="10" t="s">
        <v>43</v>
      </c>
    </row>
    <row r="133" spans="2:9" ht="18.75" customHeight="1" x14ac:dyDescent="0.3">
      <c r="B133" s="8" t="s">
        <v>693</v>
      </c>
      <c r="C133" s="2" t="s">
        <v>694</v>
      </c>
      <c r="D133" s="10">
        <v>6</v>
      </c>
      <c r="E133" s="10">
        <v>2.5</v>
      </c>
      <c r="F133" s="10">
        <v>5</v>
      </c>
      <c r="G133" s="10">
        <v>48.8</v>
      </c>
      <c r="I133" s="10" t="s">
        <v>43</v>
      </c>
    </row>
    <row r="134" spans="2:9" ht="18.75" customHeight="1" x14ac:dyDescent="0.3">
      <c r="B134" s="8" t="s">
        <v>517</v>
      </c>
      <c r="C134" s="2" t="s">
        <v>695</v>
      </c>
      <c r="D134" s="10">
        <v>5</v>
      </c>
      <c r="E134" s="10">
        <v>2.5</v>
      </c>
      <c r="F134" s="10">
        <v>5</v>
      </c>
      <c r="G134" s="10">
        <v>48.8</v>
      </c>
      <c r="I134" s="10" t="s">
        <v>43</v>
      </c>
    </row>
    <row r="135" spans="2:9" ht="18.75" customHeight="1" x14ac:dyDescent="0.3">
      <c r="B135" s="8" t="s">
        <v>594</v>
      </c>
      <c r="C135" s="2" t="s">
        <v>696</v>
      </c>
      <c r="D135" s="10">
        <v>5</v>
      </c>
      <c r="E135" s="10">
        <v>2.5</v>
      </c>
      <c r="F135" s="10">
        <v>3.5</v>
      </c>
      <c r="G135" s="10">
        <v>48.8</v>
      </c>
      <c r="I135" s="10" t="s">
        <v>43</v>
      </c>
    </row>
    <row r="136" spans="2:9" ht="18.75" customHeight="1" x14ac:dyDescent="0.3">
      <c r="B136" s="8" t="s">
        <v>697</v>
      </c>
      <c r="C136" s="2" t="s">
        <v>698</v>
      </c>
      <c r="D136" s="10">
        <v>3.5</v>
      </c>
      <c r="E136" s="10">
        <v>2.5</v>
      </c>
      <c r="F136" s="10">
        <v>2.25</v>
      </c>
      <c r="G136" s="10" t="s">
        <v>682</v>
      </c>
      <c r="I136" s="10" t="s">
        <v>43</v>
      </c>
    </row>
    <row r="137" spans="2:9" ht="31.5" customHeight="1" x14ac:dyDescent="0.3">
      <c r="B137" s="8" t="s">
        <v>699</v>
      </c>
      <c r="C137" s="2" t="s">
        <v>700</v>
      </c>
      <c r="D137" s="10">
        <v>8</v>
      </c>
      <c r="E137" s="10">
        <v>2.5</v>
      </c>
      <c r="F137" s="10">
        <v>4</v>
      </c>
      <c r="G137" s="10" t="s">
        <v>678</v>
      </c>
      <c r="I137" s="10" t="s">
        <v>43</v>
      </c>
    </row>
    <row r="138" spans="2:9" ht="31.5" customHeight="1" x14ac:dyDescent="0.3">
      <c r="B138" s="8" t="s">
        <v>548</v>
      </c>
      <c r="C138" s="2" t="s">
        <v>701</v>
      </c>
      <c r="D138" s="10">
        <v>7</v>
      </c>
      <c r="E138" s="10">
        <v>2.5</v>
      </c>
      <c r="F138" s="10">
        <v>5.5</v>
      </c>
      <c r="G138" s="10" t="s">
        <v>678</v>
      </c>
      <c r="I138" s="10" t="s">
        <v>43</v>
      </c>
    </row>
    <row r="139" spans="2:9" ht="18.75" customHeight="1" x14ac:dyDescent="0.3">
      <c r="B139" s="8" t="s">
        <v>702</v>
      </c>
      <c r="C139" s="2" t="s">
        <v>703</v>
      </c>
      <c r="D139" s="10">
        <v>7</v>
      </c>
      <c r="E139" s="10">
        <v>2.5</v>
      </c>
      <c r="F139" s="10">
        <v>5.5</v>
      </c>
      <c r="G139" s="10" t="s">
        <v>678</v>
      </c>
      <c r="I139" s="10" t="s">
        <v>43</v>
      </c>
    </row>
    <row r="140" spans="2:9" ht="31.5" customHeight="1" x14ac:dyDescent="0.3">
      <c r="B140" s="8" t="s">
        <v>552</v>
      </c>
      <c r="C140" s="2" t="s">
        <v>704</v>
      </c>
      <c r="D140" s="10">
        <v>6.5</v>
      </c>
      <c r="E140" s="10">
        <v>2.5</v>
      </c>
      <c r="F140" s="10">
        <v>5</v>
      </c>
      <c r="G140" s="10">
        <v>48.8</v>
      </c>
      <c r="I140" s="10" t="s">
        <v>43</v>
      </c>
    </row>
    <row r="141" spans="2:9" ht="18.75" customHeight="1" x14ac:dyDescent="0.3">
      <c r="B141" s="8" t="s">
        <v>587</v>
      </c>
      <c r="C141" s="2" t="s">
        <v>705</v>
      </c>
      <c r="D141" s="10">
        <v>2.5</v>
      </c>
      <c r="E141" s="10">
        <v>1.25</v>
      </c>
      <c r="F141" s="10">
        <v>2.5</v>
      </c>
      <c r="G141" s="10">
        <v>10.7</v>
      </c>
      <c r="I141" s="10" t="s">
        <v>43</v>
      </c>
    </row>
    <row r="142" spans="2:9" ht="18.75" customHeight="1" x14ac:dyDescent="0.3">
      <c r="B142" s="8" t="s">
        <v>584</v>
      </c>
      <c r="C142" s="2" t="s">
        <v>706</v>
      </c>
      <c r="D142" s="10">
        <v>1.25</v>
      </c>
      <c r="E142" s="10">
        <v>1.25</v>
      </c>
      <c r="F142" s="10">
        <v>1.25</v>
      </c>
      <c r="G142" s="10" t="s">
        <v>682</v>
      </c>
      <c r="H142" s="2" t="s">
        <v>707</v>
      </c>
      <c r="I142" s="10" t="s">
        <v>43</v>
      </c>
    </row>
    <row r="143" spans="2:9" ht="18.75" customHeight="1" x14ac:dyDescent="0.3">
      <c r="B143" s="8" t="s">
        <v>708</v>
      </c>
      <c r="C143" s="2" t="s">
        <v>709</v>
      </c>
      <c r="D143" s="10">
        <v>2.5</v>
      </c>
      <c r="E143" s="10">
        <v>1.25</v>
      </c>
      <c r="F143" s="10">
        <v>2.5</v>
      </c>
      <c r="G143" s="10">
        <v>10.7</v>
      </c>
      <c r="I143" s="10" t="s">
        <v>43</v>
      </c>
    </row>
    <row r="144" spans="2:9" ht="18.75" customHeight="1" x14ac:dyDescent="0.3">
      <c r="B144" s="8" t="s">
        <v>710</v>
      </c>
      <c r="C144" s="2" t="s">
        <v>711</v>
      </c>
      <c r="D144" s="10">
        <v>3</v>
      </c>
      <c r="E144" s="10">
        <v>3</v>
      </c>
      <c r="F144" s="10">
        <v>3</v>
      </c>
      <c r="G144" s="10" t="s">
        <v>682</v>
      </c>
      <c r="I144" s="10" t="s">
        <v>43</v>
      </c>
    </row>
    <row r="146" spans="2:9" ht="21" customHeight="1" x14ac:dyDescent="0.3">
      <c r="B146" s="37" t="s">
        <v>712</v>
      </c>
      <c r="C146" s="34"/>
      <c r="D146" s="34"/>
      <c r="E146" s="34"/>
      <c r="F146" s="34"/>
      <c r="G146" s="34"/>
      <c r="H146" s="34"/>
      <c r="I146" s="34"/>
    </row>
    <row r="147" spans="2:9" ht="18" customHeight="1" x14ac:dyDescent="0.3">
      <c r="B147" s="35" t="s">
        <v>713</v>
      </c>
      <c r="C147" s="36"/>
      <c r="D147" s="36"/>
      <c r="E147" s="36"/>
      <c r="F147" s="36"/>
      <c r="G147" s="36"/>
      <c r="H147" s="36"/>
      <c r="I147" s="36"/>
    </row>
    <row r="148" spans="2:9" ht="30" customHeight="1" x14ac:dyDescent="0.3">
      <c r="B148" s="1" t="s">
        <v>714</v>
      </c>
      <c r="C148" s="1" t="s">
        <v>662</v>
      </c>
      <c r="D148" s="1" t="s">
        <v>715</v>
      </c>
      <c r="E148" s="1" t="s">
        <v>716</v>
      </c>
    </row>
    <row r="149" spans="2:9" ht="18.75" customHeight="1" x14ac:dyDescent="0.3">
      <c r="B149" s="8" t="s">
        <v>717</v>
      </c>
      <c r="C149" s="2" t="s">
        <v>718</v>
      </c>
      <c r="D149" s="10" t="s">
        <v>624</v>
      </c>
      <c r="E149" s="10" t="s">
        <v>624</v>
      </c>
    </row>
    <row r="150" spans="2:9" ht="18.75" customHeight="1" x14ac:dyDescent="0.3">
      <c r="B150" s="8" t="s">
        <v>719</v>
      </c>
      <c r="C150" s="2" t="s">
        <v>720</v>
      </c>
      <c r="D150" s="10" t="s">
        <v>626</v>
      </c>
      <c r="E150" s="10" t="s">
        <v>628</v>
      </c>
    </row>
    <row r="151" spans="2:9" ht="18.75" customHeight="1" x14ac:dyDescent="0.3">
      <c r="B151" s="8" t="s">
        <v>721</v>
      </c>
      <c r="C151" s="2" t="s">
        <v>722</v>
      </c>
      <c r="D151" s="10" t="s">
        <v>628</v>
      </c>
      <c r="E151" s="10" t="s">
        <v>630</v>
      </c>
    </row>
    <row r="152" spans="2:9" ht="18.75" customHeight="1" x14ac:dyDescent="0.3">
      <c r="B152" s="8" t="s">
        <v>723</v>
      </c>
      <c r="C152" s="2" t="s">
        <v>724</v>
      </c>
      <c r="D152" s="10" t="s">
        <v>630</v>
      </c>
      <c r="E152" s="10" t="s">
        <v>630</v>
      </c>
    </row>
    <row r="153" spans="2:9" ht="18.75" customHeight="1" x14ac:dyDescent="0.3">
      <c r="B153" s="8" t="s">
        <v>725</v>
      </c>
      <c r="C153" s="2" t="s">
        <v>726</v>
      </c>
      <c r="D153" s="10" t="s">
        <v>632</v>
      </c>
      <c r="E153" s="10" t="s">
        <v>634</v>
      </c>
    </row>
    <row r="155" spans="2:9" ht="21" customHeight="1" x14ac:dyDescent="0.3">
      <c r="B155" s="37" t="s">
        <v>727</v>
      </c>
      <c r="C155" s="34"/>
      <c r="D155" s="34"/>
      <c r="E155" s="34"/>
      <c r="F155" s="34"/>
      <c r="G155" s="34"/>
      <c r="H155" s="34"/>
      <c r="I155" s="34"/>
    </row>
    <row r="156" spans="2:9" ht="18" customHeight="1" x14ac:dyDescent="0.3">
      <c r="B156" s="35" t="s">
        <v>728</v>
      </c>
      <c r="C156" s="36"/>
      <c r="D156" s="36"/>
      <c r="E156" s="36"/>
      <c r="F156" s="36"/>
      <c r="G156" s="36"/>
      <c r="H156" s="36"/>
      <c r="I156" s="36"/>
    </row>
    <row r="157" spans="2:9" ht="30" customHeight="1" x14ac:dyDescent="0.3">
      <c r="B157" s="1" t="s">
        <v>729</v>
      </c>
      <c r="C157" s="1" t="s">
        <v>491</v>
      </c>
      <c r="D157" s="1" t="s">
        <v>730</v>
      </c>
      <c r="E157" s="1" t="s">
        <v>613</v>
      </c>
      <c r="F157" s="1" t="s">
        <v>716</v>
      </c>
    </row>
    <row r="158" spans="2:9" ht="45" customHeight="1" x14ac:dyDescent="0.3">
      <c r="B158" s="8" t="s">
        <v>616</v>
      </c>
      <c r="C158" s="2" t="s">
        <v>731</v>
      </c>
      <c r="D158" s="10">
        <v>2.5000000000000001E-2</v>
      </c>
      <c r="E158" s="10">
        <v>0.02</v>
      </c>
      <c r="F158" s="10">
        <v>1.4999999999999999E-2</v>
      </c>
    </row>
    <row r="159" spans="2:9" ht="18.75" customHeight="1" x14ac:dyDescent="0.3">
      <c r="B159" s="8" t="s">
        <v>732</v>
      </c>
      <c r="C159" s="2" t="s">
        <v>733</v>
      </c>
      <c r="D159" s="10">
        <v>0.01</v>
      </c>
      <c r="E159" s="10">
        <v>0.01</v>
      </c>
      <c r="F159" s="10">
        <v>0.01</v>
      </c>
    </row>
    <row r="160" spans="2:9" ht="18.75" customHeight="1" x14ac:dyDescent="0.3">
      <c r="B160" s="8" t="s">
        <v>734</v>
      </c>
      <c r="C160" s="2" t="s">
        <v>735</v>
      </c>
      <c r="D160" s="10">
        <v>7.0000000000000001E-3</v>
      </c>
      <c r="E160" s="10">
        <v>7.0000000000000001E-3</v>
      </c>
      <c r="F160" s="10">
        <v>7.0000000000000001E-3</v>
      </c>
    </row>
    <row r="161" spans="2:9" ht="18.75" customHeight="1" x14ac:dyDescent="0.3">
      <c r="B161" s="8" t="s">
        <v>736</v>
      </c>
      <c r="C161" s="2" t="s">
        <v>737</v>
      </c>
      <c r="D161" s="10">
        <v>0.02</v>
      </c>
      <c r="E161" s="10">
        <v>1.4999999999999999E-2</v>
      </c>
      <c r="F161" s="10">
        <v>0.01</v>
      </c>
    </row>
    <row r="163" spans="2:9" ht="21" customHeight="1" x14ac:dyDescent="0.3">
      <c r="B163" s="37" t="s">
        <v>738</v>
      </c>
      <c r="C163" s="34"/>
      <c r="D163" s="34"/>
      <c r="E163" s="34"/>
      <c r="F163" s="34"/>
      <c r="G163" s="34"/>
      <c r="H163" s="34"/>
      <c r="I163" s="34"/>
    </row>
    <row r="164" spans="2:9" ht="18" customHeight="1" x14ac:dyDescent="0.3">
      <c r="B164" s="35" t="s">
        <v>739</v>
      </c>
      <c r="C164" s="36"/>
      <c r="D164" s="36"/>
      <c r="E164" s="36"/>
      <c r="F164" s="36"/>
      <c r="G164" s="36"/>
      <c r="H164" s="36"/>
      <c r="I164" s="36"/>
    </row>
    <row r="165" spans="2:9" ht="30" customHeight="1" x14ac:dyDescent="0.3">
      <c r="B165" s="1" t="s">
        <v>740</v>
      </c>
      <c r="C165" s="1" t="s">
        <v>741</v>
      </c>
      <c r="D165" s="1" t="s">
        <v>742</v>
      </c>
    </row>
    <row r="166" spans="2:9" ht="18.75" customHeight="1" x14ac:dyDescent="0.3">
      <c r="B166" s="8" t="s">
        <v>743</v>
      </c>
      <c r="C166" s="2" t="s">
        <v>744</v>
      </c>
      <c r="D166" s="10" t="s">
        <v>43</v>
      </c>
    </row>
    <row r="167" spans="2:9" ht="18.75" customHeight="1" x14ac:dyDescent="0.3">
      <c r="B167" s="8" t="s">
        <v>745</v>
      </c>
      <c r="C167" s="2" t="s">
        <v>746</v>
      </c>
      <c r="D167" s="10">
        <v>1.4025000000000001</v>
      </c>
    </row>
    <row r="168" spans="2:9" ht="18.75" customHeight="1" x14ac:dyDescent="0.3">
      <c r="B168" s="8" t="s">
        <v>747</v>
      </c>
      <c r="C168" s="2" t="s">
        <v>748</v>
      </c>
      <c r="D168" s="10">
        <v>1.43</v>
      </c>
    </row>
  </sheetData>
  <mergeCells count="34">
    <mergeCell ref="B121:I121"/>
    <mergeCell ref="B122:I122"/>
    <mergeCell ref="B11:I11"/>
    <mergeCell ref="B2:I2"/>
    <mergeCell ref="B164:I164"/>
    <mergeCell ref="B89:I89"/>
    <mergeCell ref="B104:I104"/>
    <mergeCell ref="B5:I5"/>
    <mergeCell ref="B63:I63"/>
    <mergeCell ref="B79:I79"/>
    <mergeCell ref="B163:I163"/>
    <mergeCell ref="B113:I113"/>
    <mergeCell ref="B98:I98"/>
    <mergeCell ref="B62:I62"/>
    <mergeCell ref="B25:I25"/>
    <mergeCell ref="B47:I47"/>
    <mergeCell ref="B156:I156"/>
    <mergeCell ref="B72:I72"/>
    <mergeCell ref="B155:I155"/>
    <mergeCell ref="B71:I71"/>
    <mergeCell ref="B1:I1"/>
    <mergeCell ref="B88:I88"/>
    <mergeCell ref="B147:I147"/>
    <mergeCell ref="B78:I78"/>
    <mergeCell ref="B26:I26"/>
    <mergeCell ref="B10:I10"/>
    <mergeCell ref="B112:I112"/>
    <mergeCell ref="B4:I4"/>
    <mergeCell ref="B99:I99"/>
    <mergeCell ref="B19:I19"/>
    <mergeCell ref="B146:I146"/>
    <mergeCell ref="B18:I18"/>
    <mergeCell ref="B105:I105"/>
    <mergeCell ref="B48:I48"/>
  </mergeCell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9DE9-27FC-40A1-9023-1D7FB247BE53}">
  <sheetPr>
    <pageSetUpPr fitToPage="1"/>
  </sheetPr>
  <dimension ref="B1:E55"/>
  <sheetViews>
    <sheetView showGridLines="0" zoomScaleNormal="100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2" customWidth="1"/>
    <col min="4" max="4" width="62" customWidth="1"/>
    <col min="5" max="5" width="16" customWidth="1"/>
  </cols>
  <sheetData>
    <row r="1" spans="2:5" ht="25.5" customHeight="1" x14ac:dyDescent="0.3">
      <c r="B1" s="38" t="s">
        <v>749</v>
      </c>
      <c r="C1" s="34"/>
      <c r="D1" s="34"/>
      <c r="E1" s="34"/>
    </row>
    <row r="2" spans="2:5" ht="30" customHeight="1" x14ac:dyDescent="0.3">
      <c r="B2" s="33" t="s">
        <v>750</v>
      </c>
      <c r="C2" s="34"/>
      <c r="D2" s="34"/>
      <c r="E2" s="34"/>
    </row>
    <row r="3" spans="2:5" ht="6" customHeight="1" x14ac:dyDescent="0.3"/>
    <row r="4" spans="2:5" ht="21" customHeight="1" x14ac:dyDescent="0.3">
      <c r="B4" s="37" t="s">
        <v>751</v>
      </c>
      <c r="C4" s="34"/>
      <c r="D4" s="34"/>
      <c r="E4" s="34"/>
    </row>
    <row r="5" spans="2:5" ht="30" customHeight="1" x14ac:dyDescent="0.3">
      <c r="B5" s="1" t="s">
        <v>752</v>
      </c>
      <c r="C5" s="1" t="s">
        <v>753</v>
      </c>
      <c r="D5" s="1" t="s">
        <v>754</v>
      </c>
      <c r="E5" s="1" t="s">
        <v>755</v>
      </c>
    </row>
    <row r="6" spans="2:5" ht="18.75" customHeight="1" x14ac:dyDescent="0.3">
      <c r="B6" s="2" t="s">
        <v>756</v>
      </c>
      <c r="C6" s="10" t="s">
        <v>757</v>
      </c>
      <c r="D6" s="3" t="s">
        <v>758</v>
      </c>
      <c r="E6" s="4" t="s">
        <v>759</v>
      </c>
    </row>
    <row r="7" spans="2:5" ht="18.75" customHeight="1" x14ac:dyDescent="0.3">
      <c r="B7" s="2" t="s">
        <v>760</v>
      </c>
      <c r="C7" s="10" t="s">
        <v>761</v>
      </c>
      <c r="D7" s="3" t="s">
        <v>762</v>
      </c>
      <c r="E7" s="4" t="s">
        <v>759</v>
      </c>
    </row>
    <row r="8" spans="2:5" ht="30" customHeight="1" x14ac:dyDescent="0.3">
      <c r="B8" s="2" t="s">
        <v>763</v>
      </c>
      <c r="C8" s="10" t="s">
        <v>764</v>
      </c>
      <c r="D8" s="3" t="s">
        <v>765</v>
      </c>
      <c r="E8" s="4" t="s">
        <v>766</v>
      </c>
    </row>
    <row r="9" spans="2:5" ht="18.75" customHeight="1" x14ac:dyDescent="0.3">
      <c r="B9" s="2" t="s">
        <v>767</v>
      </c>
      <c r="C9" s="10" t="s">
        <v>768</v>
      </c>
      <c r="D9" s="3" t="s">
        <v>769</v>
      </c>
      <c r="E9" s="4" t="s">
        <v>759</v>
      </c>
    </row>
    <row r="10" spans="2:5" ht="18.75" customHeight="1" x14ac:dyDescent="0.3">
      <c r="B10" s="2" t="s">
        <v>770</v>
      </c>
      <c r="C10" s="10" t="s">
        <v>768</v>
      </c>
      <c r="D10" s="3" t="s">
        <v>771</v>
      </c>
      <c r="E10" s="4" t="s">
        <v>766</v>
      </c>
    </row>
    <row r="11" spans="2:5" ht="18.75" customHeight="1" x14ac:dyDescent="0.3">
      <c r="B11" s="2" t="s">
        <v>772</v>
      </c>
      <c r="C11" s="10" t="s">
        <v>768</v>
      </c>
      <c r="D11" s="3" t="s">
        <v>773</v>
      </c>
      <c r="E11" s="4" t="s">
        <v>759</v>
      </c>
    </row>
    <row r="12" spans="2:5" ht="18.75" customHeight="1" x14ac:dyDescent="0.3">
      <c r="B12" s="2" t="s">
        <v>774</v>
      </c>
      <c r="C12" s="10" t="s">
        <v>775</v>
      </c>
      <c r="D12" s="3" t="s">
        <v>776</v>
      </c>
      <c r="E12" s="4" t="s">
        <v>766</v>
      </c>
    </row>
    <row r="13" spans="2:5" ht="31.5" customHeight="1" x14ac:dyDescent="0.3">
      <c r="B13" s="2" t="s">
        <v>777</v>
      </c>
      <c r="C13" s="10" t="s">
        <v>778</v>
      </c>
      <c r="D13" s="3" t="s">
        <v>779</v>
      </c>
      <c r="E13" s="4" t="s">
        <v>766</v>
      </c>
    </row>
    <row r="14" spans="2:5" ht="18.75" customHeight="1" x14ac:dyDescent="0.3">
      <c r="B14" s="2" t="s">
        <v>780</v>
      </c>
      <c r="C14" s="10" t="s">
        <v>781</v>
      </c>
      <c r="D14" s="3" t="s">
        <v>782</v>
      </c>
      <c r="E14" s="4" t="s">
        <v>766</v>
      </c>
    </row>
    <row r="15" spans="2:5" ht="18.75" customHeight="1" x14ac:dyDescent="0.3">
      <c r="B15" s="2" t="s">
        <v>783</v>
      </c>
      <c r="C15" s="10" t="s">
        <v>784</v>
      </c>
      <c r="D15" s="3" t="s">
        <v>785</v>
      </c>
      <c r="E15" s="4" t="s">
        <v>786</v>
      </c>
    </row>
    <row r="16" spans="2:5" ht="30" customHeight="1" x14ac:dyDescent="0.3">
      <c r="B16" s="2" t="s">
        <v>787</v>
      </c>
      <c r="C16" s="10" t="s">
        <v>788</v>
      </c>
      <c r="D16" s="3" t="s">
        <v>789</v>
      </c>
      <c r="E16" s="4" t="s">
        <v>766</v>
      </c>
    </row>
    <row r="17" spans="2:5" ht="18.75" customHeight="1" x14ac:dyDescent="0.3">
      <c r="B17" s="2" t="s">
        <v>790</v>
      </c>
      <c r="C17" s="10" t="s">
        <v>791</v>
      </c>
      <c r="D17" s="3" t="s">
        <v>792</v>
      </c>
      <c r="E17" s="4" t="s">
        <v>460</v>
      </c>
    </row>
    <row r="18" spans="2:5" ht="18.75" customHeight="1" x14ac:dyDescent="0.3">
      <c r="B18" s="2" t="s">
        <v>793</v>
      </c>
      <c r="C18" s="10" t="s">
        <v>794</v>
      </c>
      <c r="D18" s="3" t="s">
        <v>795</v>
      </c>
      <c r="E18" s="4" t="s">
        <v>460</v>
      </c>
    </row>
    <row r="19" spans="2:5" ht="18.75" customHeight="1" x14ac:dyDescent="0.3">
      <c r="B19" s="2" t="s">
        <v>796</v>
      </c>
      <c r="C19" s="10" t="s">
        <v>797</v>
      </c>
      <c r="D19" s="3" t="s">
        <v>798</v>
      </c>
      <c r="E19" s="4" t="s">
        <v>460</v>
      </c>
    </row>
    <row r="20" spans="2:5" ht="18.75" customHeight="1" x14ac:dyDescent="0.3">
      <c r="B20" s="2" t="s">
        <v>799</v>
      </c>
      <c r="C20" s="10" t="s">
        <v>800</v>
      </c>
      <c r="D20" s="3" t="s">
        <v>801</v>
      </c>
      <c r="E20" s="4" t="s">
        <v>759</v>
      </c>
    </row>
    <row r="21" spans="2:5" ht="18.75" customHeight="1" x14ac:dyDescent="0.3">
      <c r="B21" s="2" t="s">
        <v>802</v>
      </c>
      <c r="C21" s="10" t="s">
        <v>803</v>
      </c>
      <c r="D21" s="3" t="s">
        <v>804</v>
      </c>
      <c r="E21" s="4" t="s">
        <v>460</v>
      </c>
    </row>
    <row r="22" spans="2:5" ht="18.75" customHeight="1" x14ac:dyDescent="0.3">
      <c r="B22" s="2" t="s">
        <v>805</v>
      </c>
      <c r="C22" s="10" t="s">
        <v>806</v>
      </c>
      <c r="D22" s="3" t="s">
        <v>807</v>
      </c>
      <c r="E22" s="4" t="s">
        <v>460</v>
      </c>
    </row>
    <row r="23" spans="2:5" ht="30" customHeight="1" x14ac:dyDescent="0.3">
      <c r="B23" s="2" t="s">
        <v>808</v>
      </c>
      <c r="C23" s="10" t="s">
        <v>809</v>
      </c>
      <c r="D23" s="3" t="s">
        <v>810</v>
      </c>
      <c r="E23" s="4" t="s">
        <v>811</v>
      </c>
    </row>
    <row r="24" spans="2:5" ht="18.75" customHeight="1" x14ac:dyDescent="0.3">
      <c r="B24" s="2" t="s">
        <v>812</v>
      </c>
      <c r="C24" s="10" t="s">
        <v>775</v>
      </c>
      <c r="D24" s="3" t="s">
        <v>813</v>
      </c>
      <c r="E24" s="4" t="s">
        <v>460</v>
      </c>
    </row>
    <row r="25" spans="2:5" ht="18.75" customHeight="1" x14ac:dyDescent="0.3">
      <c r="B25" s="2" t="s">
        <v>814</v>
      </c>
      <c r="C25" s="10" t="s">
        <v>815</v>
      </c>
      <c r="D25" s="3" t="s">
        <v>816</v>
      </c>
      <c r="E25" s="4" t="s">
        <v>759</v>
      </c>
    </row>
    <row r="26" spans="2:5" ht="18.75" customHeight="1" x14ac:dyDescent="0.3">
      <c r="B26" s="2" t="s">
        <v>817</v>
      </c>
      <c r="C26" s="10" t="s">
        <v>818</v>
      </c>
      <c r="D26" s="3" t="s">
        <v>819</v>
      </c>
      <c r="E26" s="4" t="s">
        <v>759</v>
      </c>
    </row>
    <row r="27" spans="2:5" ht="18.75" customHeight="1" x14ac:dyDescent="0.3">
      <c r="B27" s="2" t="s">
        <v>820</v>
      </c>
      <c r="C27" s="10" t="s">
        <v>821</v>
      </c>
      <c r="D27" s="3" t="s">
        <v>822</v>
      </c>
      <c r="E27" s="4" t="s">
        <v>460</v>
      </c>
    </row>
    <row r="28" spans="2:5" ht="31.5" customHeight="1" x14ac:dyDescent="0.3">
      <c r="B28" s="2" t="s">
        <v>823</v>
      </c>
      <c r="C28" s="10" t="s">
        <v>824</v>
      </c>
      <c r="D28" s="3" t="s">
        <v>825</v>
      </c>
      <c r="E28" s="4" t="s">
        <v>766</v>
      </c>
    </row>
    <row r="29" spans="2:5" ht="30" customHeight="1" x14ac:dyDescent="0.3">
      <c r="B29" s="2" t="s">
        <v>826</v>
      </c>
      <c r="C29" s="10" t="s">
        <v>827</v>
      </c>
      <c r="D29" s="3" t="s">
        <v>828</v>
      </c>
      <c r="E29" s="4" t="s">
        <v>759</v>
      </c>
    </row>
    <row r="30" spans="2:5" ht="18.75" customHeight="1" x14ac:dyDescent="0.3">
      <c r="B30" s="2" t="s">
        <v>829</v>
      </c>
      <c r="C30" s="10" t="s">
        <v>830</v>
      </c>
      <c r="D30" s="3" t="s">
        <v>831</v>
      </c>
      <c r="E30" s="4" t="s">
        <v>759</v>
      </c>
    </row>
    <row r="31" spans="2:5" ht="18.75" customHeight="1" x14ac:dyDescent="0.3">
      <c r="B31" s="2" t="s">
        <v>832</v>
      </c>
      <c r="C31" s="10" t="s">
        <v>830</v>
      </c>
      <c r="D31" s="3" t="s">
        <v>833</v>
      </c>
      <c r="E31" s="4" t="s">
        <v>460</v>
      </c>
    </row>
    <row r="32" spans="2:5" ht="30" customHeight="1" x14ac:dyDescent="0.3">
      <c r="B32" s="2" t="s">
        <v>834</v>
      </c>
      <c r="C32" s="10" t="s">
        <v>830</v>
      </c>
      <c r="D32" s="3" t="s">
        <v>835</v>
      </c>
      <c r="E32" s="4" t="s">
        <v>811</v>
      </c>
    </row>
    <row r="33" spans="2:5" ht="18.75" customHeight="1" x14ac:dyDescent="0.3">
      <c r="B33" s="2" t="s">
        <v>836</v>
      </c>
      <c r="C33" s="10" t="s">
        <v>837</v>
      </c>
      <c r="D33" s="3" t="s">
        <v>838</v>
      </c>
      <c r="E33" s="4" t="s">
        <v>839</v>
      </c>
    </row>
    <row r="34" spans="2:5" ht="18.75" customHeight="1" x14ac:dyDescent="0.3">
      <c r="B34" s="2" t="s">
        <v>840</v>
      </c>
      <c r="C34" s="10" t="s">
        <v>837</v>
      </c>
      <c r="D34" s="3" t="s">
        <v>841</v>
      </c>
      <c r="E34" s="4" t="s">
        <v>759</v>
      </c>
    </row>
    <row r="35" spans="2:5" ht="18.75" customHeight="1" x14ac:dyDescent="0.3">
      <c r="B35" s="2" t="s">
        <v>842</v>
      </c>
      <c r="C35" s="10" t="s">
        <v>837</v>
      </c>
      <c r="D35" s="3" t="s">
        <v>843</v>
      </c>
      <c r="E35" s="4" t="s">
        <v>766</v>
      </c>
    </row>
    <row r="36" spans="2:5" ht="31.5" customHeight="1" x14ac:dyDescent="0.3">
      <c r="B36" s="2" t="s">
        <v>844</v>
      </c>
      <c r="C36" s="10" t="s">
        <v>837</v>
      </c>
      <c r="D36" s="3" t="s">
        <v>845</v>
      </c>
      <c r="E36" s="4" t="s">
        <v>460</v>
      </c>
    </row>
    <row r="37" spans="2:5" ht="18.75" customHeight="1" x14ac:dyDescent="0.3">
      <c r="B37" s="2" t="s">
        <v>846</v>
      </c>
      <c r="C37" s="10" t="s">
        <v>778</v>
      </c>
      <c r="D37" s="3" t="s">
        <v>847</v>
      </c>
      <c r="E37" s="4" t="s">
        <v>848</v>
      </c>
    </row>
    <row r="38" spans="2:5" ht="30" customHeight="1" x14ac:dyDescent="0.3">
      <c r="B38" s="2" t="s">
        <v>849</v>
      </c>
      <c r="C38" s="10" t="s">
        <v>850</v>
      </c>
      <c r="D38" s="3" t="s">
        <v>851</v>
      </c>
      <c r="E38" s="4" t="s">
        <v>852</v>
      </c>
    </row>
    <row r="39" spans="2:5" ht="18.75" customHeight="1" x14ac:dyDescent="0.3">
      <c r="B39" s="2" t="s">
        <v>853</v>
      </c>
      <c r="C39" s="10" t="s">
        <v>837</v>
      </c>
      <c r="D39" s="3" t="s">
        <v>854</v>
      </c>
      <c r="E39" s="4" t="s">
        <v>759</v>
      </c>
    </row>
    <row r="40" spans="2:5" ht="31.5" customHeight="1" x14ac:dyDescent="0.3">
      <c r="B40" s="2" t="s">
        <v>855</v>
      </c>
      <c r="C40" s="10" t="s">
        <v>837</v>
      </c>
      <c r="D40" s="3" t="s">
        <v>856</v>
      </c>
      <c r="E40" s="4" t="s">
        <v>766</v>
      </c>
    </row>
    <row r="41" spans="2:5" ht="18.75" customHeight="1" x14ac:dyDescent="0.3">
      <c r="B41" s="2" t="s">
        <v>857</v>
      </c>
      <c r="C41" s="10" t="s">
        <v>858</v>
      </c>
      <c r="D41" s="3" t="s">
        <v>859</v>
      </c>
      <c r="E41" s="4" t="s">
        <v>852</v>
      </c>
    </row>
    <row r="42" spans="2:5" ht="6" customHeight="1" x14ac:dyDescent="0.3"/>
    <row r="43" spans="2:5" ht="21" customHeight="1" x14ac:dyDescent="0.3">
      <c r="B43" s="37" t="s">
        <v>860</v>
      </c>
      <c r="C43" s="34"/>
      <c r="D43" s="34"/>
      <c r="E43" s="34"/>
    </row>
    <row r="44" spans="2:5" ht="30" customHeight="1" x14ac:dyDescent="0.3">
      <c r="B44" s="44" t="s">
        <v>861</v>
      </c>
      <c r="C44" s="36"/>
      <c r="D44" s="36"/>
      <c r="E44" s="36"/>
    </row>
    <row r="45" spans="2:5" ht="18" customHeight="1" x14ac:dyDescent="0.3">
      <c r="B45" s="44" t="s">
        <v>862</v>
      </c>
      <c r="C45" s="36"/>
      <c r="D45" s="36"/>
      <c r="E45" s="36"/>
    </row>
    <row r="46" spans="2:5" ht="18" customHeight="1" x14ac:dyDescent="0.3">
      <c r="B46" s="44" t="s">
        <v>863</v>
      </c>
      <c r="C46" s="36"/>
      <c r="D46" s="36"/>
      <c r="E46" s="36"/>
    </row>
    <row r="47" spans="2:5" ht="18" customHeight="1" x14ac:dyDescent="0.3">
      <c r="B47" s="44" t="s">
        <v>864</v>
      </c>
      <c r="C47" s="36"/>
      <c r="D47" s="36"/>
      <c r="E47" s="36"/>
    </row>
    <row r="48" spans="2:5" ht="30" customHeight="1" x14ac:dyDescent="0.3">
      <c r="B48" s="44" t="s">
        <v>865</v>
      </c>
      <c r="C48" s="36"/>
      <c r="D48" s="36"/>
      <c r="E48" s="36"/>
    </row>
    <row r="49" spans="2:5" ht="18" customHeight="1" x14ac:dyDescent="0.3">
      <c r="B49" s="44" t="s">
        <v>866</v>
      </c>
      <c r="C49" s="36"/>
      <c r="D49" s="36"/>
      <c r="E49" s="36"/>
    </row>
    <row r="50" spans="2:5" ht="30" customHeight="1" x14ac:dyDescent="0.3">
      <c r="B50" s="44" t="s">
        <v>867</v>
      </c>
      <c r="C50" s="36"/>
      <c r="D50" s="36"/>
      <c r="E50" s="36"/>
    </row>
    <row r="51" spans="2:5" ht="18" customHeight="1" x14ac:dyDescent="0.3">
      <c r="B51" s="44" t="s">
        <v>868</v>
      </c>
      <c r="C51" s="36"/>
      <c r="D51" s="36"/>
      <c r="E51" s="36"/>
    </row>
    <row r="52" spans="2:5" ht="18" customHeight="1" x14ac:dyDescent="0.3">
      <c r="B52" s="44" t="s">
        <v>869</v>
      </c>
      <c r="C52" s="36"/>
      <c r="D52" s="36"/>
      <c r="E52" s="36"/>
    </row>
    <row r="53" spans="2:5" ht="30" customHeight="1" x14ac:dyDescent="0.3">
      <c r="B53" s="44" t="s">
        <v>870</v>
      </c>
      <c r="C53" s="36"/>
      <c r="D53" s="36"/>
      <c r="E53" s="36"/>
    </row>
    <row r="54" spans="2:5" ht="18" customHeight="1" x14ac:dyDescent="0.3">
      <c r="B54" s="44" t="s">
        <v>871</v>
      </c>
      <c r="C54" s="36"/>
      <c r="D54" s="36"/>
      <c r="E54" s="36"/>
    </row>
    <row r="55" spans="2:5" ht="18" customHeight="1" x14ac:dyDescent="0.3">
      <c r="B55" s="44" t="s">
        <v>872</v>
      </c>
      <c r="C55" s="36"/>
      <c r="D55" s="36"/>
      <c r="E55" s="36"/>
    </row>
  </sheetData>
  <mergeCells count="16">
    <mergeCell ref="B55:E55"/>
    <mergeCell ref="B47:E47"/>
    <mergeCell ref="B2:E2"/>
    <mergeCell ref="B51:E51"/>
    <mergeCell ref="B46:E46"/>
    <mergeCell ref="B53:E53"/>
    <mergeCell ref="B52:E52"/>
    <mergeCell ref="B44:E44"/>
    <mergeCell ref="B48:E48"/>
    <mergeCell ref="B54:E54"/>
    <mergeCell ref="B45:E45"/>
    <mergeCell ref="B1:E1"/>
    <mergeCell ref="B49:E49"/>
    <mergeCell ref="B50:E50"/>
    <mergeCell ref="B4:E4"/>
    <mergeCell ref="B43:E43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DATOS</vt:lpstr>
      <vt:lpstr>COEFICIENTE</vt:lpstr>
      <vt:lpstr>ESPECTROS</vt:lpstr>
      <vt:lpstr>STAAD</vt:lpstr>
      <vt:lpstr>CM_CV_MASA</vt:lpstr>
      <vt:lpstr>TABLA_T_Sa</vt:lpstr>
      <vt:lpstr>SV_vs_MEXICO</vt:lpstr>
      <vt:lpstr>TABLAS</vt:lpstr>
      <vt:lpstr>REFERENCIAS</vt:lpstr>
      <vt:lpstr>ESPECTROS!Área_de_impresión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cp:revision>1</cp:revision>
  <dcterms:created xsi:type="dcterms:W3CDTF">2026-09-23T07:08:09Z</dcterms:created>
  <dcterms:modified xsi:type="dcterms:W3CDTF">2026-09-30T22:41:25Z</dcterms:modified>
  <dc:language>en-US</dc:language>
</cp:coreProperties>
</file>