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<sst xmlns="http://schemas.openxmlformats.org/spreadsheetml/2006/main" count="1385" uniqueCount="1014">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</sst>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3.0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1.0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s">
        <v>873</v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0.375</v>
      </c>
      <c r="D58" s="6" t="s">
        <v>79</v>
      </c>
      <c r="E58" s="3" t="inlineStr">
        <is>
          <t>CAPTURA de STAAD: periodo del modo con mayor masa en X (.anl). Con 0 se usa el aproximado.</t>
        </is>
      </c>
      <c r="F58" s="4" t="s">
        <v>164</v>
      </c>
    </row>
    <row r="59" spans="2:6" ht="30" customHeight="1" x14ac:dyDescent="0.3">
      <c r="B59" s="2" t="s">
        <v>165</v>
      </c>
      <c r="C59" s="16">
        <v>0.12</v>
      </c>
      <c r="D59" s="6" t="s">
        <v>79</v>
      </c>
      <c r="E59" s="3" t="inlineStr">
        <is>
          <t>CAPTURA de STAAD: periodo del modo con mayor masa en Z (.anl). Con 0 se usa el aproximado.</t>
        </is>
      </c>
      <c r="F59" s="4" t="s">
        <v>164</v>
      </c>
    </row>
    <row r="60" spans="2:6" ht="57.6" customHeight="1" x14ac:dyDescent="0.3">
      <c r="B60" s="2" t="s">
        <v>167</v>
      </c>
      <c r="C60" s="15">
        <v>17.177</v>
      </c>
      <c r="D60" s="6" t="s">
        <v>168</v>
      </c>
      <c r="E60" s="3" t="inlineStr">
        <is>
          <t>CAPTURA de STAAD: DYNAMIC WEIGHT X Y Z = 17,177.35 kg (.anl R3.3).</t>
        </is>
      </c>
      <c r="F60" s="4" t="s">
        <v>169</v>
      </c>
    </row>
    <row r="61" spans="2:6" ht="64.2" customHeight="1" x14ac:dyDescent="0.3">
      <c r="B61" s="2" t="s">
        <v>170</v>
      </c>
      <c r="C61" s="15">
        <v>17.177</v>
      </c>
      <c r="D61" s="6" t="s">
        <v>168</v>
      </c>
      <c r="E61" s="3" t="inlineStr">
        <is>
          <t>CAPTURA de STAAD: igual que la NTDS.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7.0</v>
      </c>
      <c r="D12" s="18">
        <f>INDEX(TABLAS!$E$28:$E$45,MATCH($D$10,TABLAS!$B$28:$B$45,0))</f>
        <v>7.0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6.0</v>
      </c>
      <c r="D13" s="12">
        <f>INDEX(TABLAS!$D$28:$D$45,MATCH($D$10,TABLAS!$B$28:$B$45,0))</f>
        <v>6.0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30.0</v>
      </c>
      <c r="D14" s="10">
        <f>INDEX(TABLAS!$F$28:$F$45,MATCH($D$10,TABLAS!$B$28:$B$45,0))</f>
        <v>30.0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0.4785277645409309</v>
      </c>
      <c r="D18" s="13">
        <f>$D$17*DATOS!$C$55^(3/4)</f>
        <v>0.4785277645409309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0.375</v>
      </c>
      <c r="D19" s="13">
        <f>IF(DATOS!$C$59&gt;0,DATOS!$C$59,$D$18)</f>
        <v>0.12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0.2057142857142857</v>
      </c>
      <c r="D21" s="19">
        <f>DATOS!$C$20*DATOS!$C$25*DATOS!$C$22/$D$12*(DATOS!$C$23/$D$20)^(2/3)</f>
        <v>0.2057142857142857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0.2057142857142857</v>
      </c>
      <c r="D22" s="19">
        <f>DATOS!$C$20*DATOS!$C$25*DATOS!$C$22/$D$12*(DATOS!$C$23/MIN(MAX($D$18,DATOS!$C$23),6*DATOS!$C$23))^(2/3)</f>
        <v>0.2057142857142857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0.2057142857142857</v>
      </c>
      <c r="D23" s="20">
        <f>IF(DATOS!$C$59&gt;0,MAX($D$21,0.8*$D$22),$D$22)</f>
        <v>0.2057142857142857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3.5335542857142856</v>
      </c>
      <c r="D24" s="21">
        <f>$D$23*DATOS!$C$60</f>
        <v>3.5335542857142856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</v>
      </c>
      <c r="D25" s="13">
        <f>IF($D$19&lt;=0.7,0,MIN(0.07*$D$19,0.25))</f>
        <v>0.0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3.0</v>
      </c>
      <c r="D36" s="7">
        <f>INDEX(TABLAS!$E$124:$E$144,MATCH($D$33,TABLAS!$B$124:$B$144,0))</f>
        <v>3.0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3.0</v>
      </c>
      <c r="D37" s="7">
        <f>INDEX(TABLAS!$F$124:$F$144,MATCH($D$33,TABLAS!$B$124:$B$144,0))</f>
        <v>3.0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20.0</v>
      </c>
      <c r="D39" s="10">
        <f>INDEX(TABLAS!$I$124:$I$144,MATCH($D$33,TABLAS!$B$124:$B$144,0))</f>
        <v>20.0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0.4573612109674784</v>
      </c>
      <c r="D43" s="13">
        <f>$D$41*DATOS!$C$55^$D$42</f>
        <v>0.4573612109674784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0.375</v>
      </c>
      <c r="D45" s="13">
        <f>MAX(0.01,IF(DATOS!$C$59&gt;0,MIN(DATOS!$C$59,$D$44*$D$43),$D$43))</f>
        <v>0.12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1.0234920634920635</v>
      </c>
      <c r="D47" s="19">
        <f>IF($D$45&lt;=DATOS!$C$44,DATOS!$C$41/($D$45*$D$35/DATOS!$C$46),DATOS!$C$41*DATOS!$C$44/($D$45^2*$D$35/DATOS!$C$46))</f>
        <v>3.1984126984126986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0.07519893333333331</v>
      </c>
      <c r="D48" s="19">
        <f>MAX(0.044*DATOS!$C$40*DATOS!$C$46,0.01)</f>
        <v>0.07519893333333331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0.08857142857142856</v>
      </c>
      <c r="D49" s="19">
        <f>IF(DATOS!$C$32&gt;=0.6,0.5*DATOS!$C$32/($D$35/DATOS!$C$46),0)</f>
        <v>0.08857142857142856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8.387610895238094</v>
      </c>
      <c r="D51" s="21">
        <f>$D$50*DATOS!$C$61</f>
        <v>8.387610895238094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</v>
      </c>
      <c r="D52" s="7">
        <f>IF($D$45&lt;=0.5,1,IF($D$45&gt;=2.5,2,1+($D$45-0.5)/2))</f>
        <v>1.0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3.0</v>
      </c>
      <c r="D55" s="7">
        <f>$D$37/DATOS!$C$46</f>
        <v>3.0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5.052982628571428</v>
      </c>
      <c r="D60" s="13">
        <f>$D$24*DATOS!$C$12</f>
        <v>5.052982628571428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8.387610895238094</v>
      </c>
      <c r="D61" s="13">
        <f>$D$51</f>
        <v>8.387610895238094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1.6599326599326598</v>
      </c>
      <c r="D62" s="7">
        <f>IF($D$60&gt;0,$D$61/$D$60,0)</f>
        <v>1.6599326599326598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1.0</v>
      </c>
      <c r="D64" s="7">
        <f>IF($D$62&gt;0,MAX(1,1/$D$62),1)</f>
        <v>1.0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4.0</v>
      </c>
      <c r="D66" s="7">
        <f>INDEX(ESPECTROS!$B$73:$B$179,MATCH($D$65,ESPECTROS!$M$73:$M$179,0))</f>
        <v>4.0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1.0</v>
      </c>
      <c r="D68" s="7">
        <f>IF($D$65&gt;0,MAX(1,1/$D$65),1)</f>
        <v>1.0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2.163</v>
      </c>
      <c r="D73" s="16">
        <v>1.741</v>
      </c>
      <c r="E73" s="6" t="inlineStr">
        <is>
          <t>t</t>
        </is>
      </c>
      <c r="F73" s="44" t="inlineStr">
        <is>
          <t>CAPTURA de STAAD: cortante basal SRSS del caso 4 (X) y 5 (Z) en el .anl, kg ÷ 1000.</t>
        </is>
      </c>
      <c r="G73" s="48" t="inlineStr">
        <is>
          <t>Salida de STAAD (.anl)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3.180198857142857</v>
      </c>
      <c r="D74" s="13">
        <f>$D$27*DATOS!$C$60</f>
        <v>3.180198857142857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1.4702722409352091</v>
      </c>
      <c r="D76" s="50">
        <f>IF($D$73&gt;0,MAX(1,$D$74/$D$73),1)</f>
        <v>1.8266506933617788</v>
      </c>
      <c r="E76" s="6" t="inlineStr">
        <is>
          <t>×</t>
        </is>
      </c>
      <c r="F76" s="52" t="inlineStr">
        <is>
          <t>◀ CALCULADA = V mín / V dinámico. Va en la dirección del SPECTRUM.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en STAAD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FIJO. Convierte g a cm/s² (modelo en kg-cm).</t>
        </is>
      </c>
      <c r="G77" s="48" t="inlineStr">
        <is>
          <t>Archivo .STD R2.9 · casos 4 a 7</t>
        </is>
      </c>
    </row>
    <row r="78" ht="30" customHeight="1">
      <c r="B78" s="8" t="inlineStr">
        <is>
          <t>Factor de dirección en SPECTRUM</t>
        </is>
      </c>
      <c r="C78" s="21">
        <f>$C$76</f>
        <v>1.4702722409352091</v>
      </c>
      <c r="D78" s="21">
        <f>$D$76</f>
        <v>1.8266506933617788</v>
      </c>
      <c r="E78" s="6" t="inlineStr">
        <is>
          <t>—</t>
        </is>
      </c>
      <c r="F78" s="44" t="inlineStr">
        <is>
          <t>= fila 76. X: caso 4 (+), 6 (−). Z: caso 5 (+), 7 (−).</t>
        </is>
      </c>
      <c r="G78" s="48" t="inlineStr">
        <is>
          <t>Manual técnico de STAAD.Pro · comando SPECTRUM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3.180198857142857</v>
      </c>
      <c r="D79" s="13">
        <f>IF(DATOS!$C$57="SÍ",0.9,1)*$D$21*DATOS!$C$60</f>
        <v>3.180198857142857</v>
      </c>
      <c r="E79" s="6" t="inlineStr">
        <is>
          <t>t</t>
        </is>
      </c>
      <c r="F79" s="44" t="inlineStr">
        <is>
          <t>CALCULADA = 90% de C_s(T) × W, sin el 80% del Método A.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1.4702722409352091</v>
      </c>
      <c r="D80" s="21">
        <f>IF($D$73&gt;0,MAX(1,$D$79/$D$73),1)</f>
        <v>1.8266506933617788</v>
      </c>
      <c r="E80" s="6" t="inlineStr">
        <is>
          <t>×</t>
        </is>
      </c>
      <c r="F80" s="44" t="inlineStr">
        <is>
          <t>CALCULADA. Deriva = δ × C_d × factor.</t>
        </is>
      </c>
      <c r="G80" s="48" t="inlineStr">
        <is>
          <t>NTDS-1994 · ec. 4.11 y §4.6.2, pág. 9 · Tabla 8, pág. 24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Mismo método en las dos. Valores de él en azul.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De dónde sale</t>
        </is>
      </c>
      <c r="G84" s="45" t="inlineStr">
        <is>
          <t>Referencia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17.177</v>
      </c>
      <c r="D86" s="53">
        <v>17.12906</v>
      </c>
      <c r="E86" s="6" t="inlineStr">
        <is>
          <t>t</t>
        </is>
      </c>
      <c r="F86" s="44" t="inlineStr">
        <is>
          <t>Tú: CAPTURA de STAAD, DYNAMIC WEIGHT (.anl R3.3). Él: E165 (modelo sin contravientos).</t>
        </is>
      </c>
      <c r="G86" s="48" t="inlineStr">
        <is>
          <t>NTDS-1994 · §4.1.3, pág. 7</t>
        </is>
      </c>
    </row>
    <row r="87" ht="30" customHeight="1">
      <c r="B87" s="2" t="inlineStr">
        <is>
          <t>T del modelo</t>
        </is>
      </c>
      <c r="C87" s="13">
        <f>DATOS!$C$58</f>
        <v>0.375</v>
      </c>
      <c r="D87" s="53">
        <v>0.81</v>
      </c>
      <c r="E87" s="6" t="inlineStr">
        <is>
          <t>s</t>
        </is>
      </c>
      <c r="F87" s="44" t="inlineStr">
        <is>
          <t>Tú: CAPTURA de STAAD, periodo del modo en X (.anl). Él: D177, redondeado.</t>
        </is>
      </c>
      <c r="G87" s="48" t="inlineStr">
        <is>
          <t>NTDS-1994 · §4.2.2 (2), págs. 7 y 8</t>
        </is>
      </c>
    </row>
    <row r="88" ht="30" customHeight="1">
      <c r="B88" s="2" t="inlineStr">
        <is>
          <t>C_s con el T del modelo</t>
        </is>
      </c>
      <c r="C88" s="55">
        <f>$C$21</f>
        <v>0.2057142857142857</v>
      </c>
      <c r="D88" s="54">
        <v>0.1684128685092748</v>
      </c>
      <c r="E88" s="6" t="inlineStr">
        <is>
          <t>—</t>
        </is>
      </c>
      <c r="F88" s="44" t="inlineStr">
        <is>
          <t>CALCULADA con el T de arriba. Él: J177.</t>
        </is>
      </c>
      <c r="G88" s="48" t="inlineStr">
        <is>
          <t>NTDS-1994 · ec. 4.2, pág. 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CALCULADA = 0.8 × A·I·C_o / R. Él: F141.</t>
        </is>
      </c>
      <c r="G89" s="48" t="inlineStr">
        <is>
          <t>NTDS-1994 · ec. 4.3, pág. 7 · §5.4.1 (3), pág. 12</t>
        </is>
      </c>
    </row>
    <row r="90" ht="30" customHeight="1">
      <c r="B90" s="2" t="inlineStr">
        <is>
          <t>C_s mínimo para escalar</t>
        </is>
      </c>
      <c r="C90" s="55">
        <f>$C$27</f>
        <v>0.18514285714285714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CALCULADA: mayor de 90% C_s(T) y 80% Método A. Él: K207 ÷ W.</t>
        </is>
      </c>
      <c r="G90" s="48" t="inlineStr">
        <is>
          <t>NTDS-1994 · §5.4.1 (3), pág. 12</t>
        </is>
      </c>
    </row>
    <row r="91" ht="30" customHeight="1">
      <c r="B91" s="2" t="inlineStr">
        <is>
          <t>V mínimo</t>
        </is>
      </c>
      <c r="C91" s="13">
        <f>$C$74</f>
        <v>3.180198857142857</v>
      </c>
      <c r="D91" s="13">
        <f>D90*D86</f>
        <v>2.8189538742857145</v>
      </c>
      <c r="E91" s="6" t="inlineStr">
        <is>
          <t>t</t>
        </is>
      </c>
      <c r="F91" s="44" t="inlineStr">
        <is>
          <t>CALCULADA = C_s mín × W. Él: K211.</t>
        </is>
      </c>
      <c r="G91" s="48" t="inlineStr">
        <is>
          <t>NTDS-1994 · ec. 4.1, pág. 7 · §5.4.1 (3), pág. 12</t>
        </is>
      </c>
    </row>
    <row r="92" ht="54" customHeight="1">
      <c r="B92" s="2" t="inlineStr">
        <is>
          <t>V modal (dinámico)</t>
        </is>
      </c>
      <c r="C92" s="13">
        <f>$C$73</f>
        <v>2.163</v>
      </c>
      <c r="D92" s="53">
        <v>1.82038061</v>
      </c>
      <c r="E92" s="6" t="inlineStr">
        <is>
          <t>t</t>
        </is>
      </c>
      <c r="F92" s="44" t="inlineStr">
        <is>
          <t>Tú: CAPTURA de STAAD, cortante SRSS del caso 4 (.anl). Él: K212, a mano.</t>
        </is>
      </c>
      <c r="G92" s="48" t="inlineStr">
        <is>
          <t>Salida de STAAD (.anl) · NTDS-1994 · §5.4.1 (3), pág. 12</t>
        </is>
      </c>
    </row>
    <row r="93" ht="30" customHeight="1">
      <c r="B93" s="8" t="inlineStr">
        <is>
          <t>Factor = V mínimo / V modal</t>
        </is>
      </c>
      <c r="C93" s="21">
        <f>$C$76</f>
        <v>1.4702722409352091</v>
      </c>
      <c r="D93" s="21">
        <f>MAX(1,D91/D92)</f>
        <v>1.5485519120563005</v>
      </c>
      <c r="E93" s="6" t="inlineStr">
        <is>
          <t>×</t>
        </is>
      </c>
      <c r="F93" s="44" t="inlineStr">
        <is>
          <t>CALCULADA = V mín / V modal. Tú: fila 76. Él: K214.</t>
        </is>
      </c>
      <c r="G93" s="48" t="inlineStr">
        <is>
          <t>NTDS-1994 · §5.4.1 (3), pág. 12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17.177</v>
      </c>
      <c r="D95" s="53">
        <v>17.12906</v>
      </c>
      <c r="E95" s="6" t="inlineStr">
        <is>
          <t>t</t>
        </is>
      </c>
      <c r="F95" s="44" t="inlineStr">
        <is>
          <t>Tú: CAPTURA de STAAD, DYNAMIC WEIGHT (.anl R3.3). Él: E165 (modelo sin contravientos).</t>
        </is>
      </c>
      <c r="G95" s="48" t="inlineStr">
        <is>
          <t>NTDS-1994 · §4.1.3, pág. 7</t>
        </is>
      </c>
    </row>
    <row r="96" ht="30" customHeight="1">
      <c r="B96" s="2" t="inlineStr">
        <is>
          <t>T del modelo</t>
        </is>
      </c>
      <c r="C96" s="13">
        <f>DATOS!$C$59</f>
        <v>0.12</v>
      </c>
      <c r="D96" s="53">
        <v>0.63</v>
      </c>
      <c r="E96" s="6" t="inlineStr">
        <is>
          <t>s</t>
        </is>
      </c>
      <c r="F96" s="44" t="inlineStr">
        <is>
          <t>Tú: CAPTURA de STAAD, periodo del modo en Z (.anl). Él: D178, redondeado.</t>
        </is>
      </c>
      <c r="G96" s="48" t="inlineStr">
        <is>
          <t>NTDS-1994 · §4.2.2 (2), págs. 7 y 8</t>
        </is>
      </c>
    </row>
    <row r="97" ht="30" customHeight="1">
      <c r="B97" s="2" t="inlineStr">
        <is>
          <t>C_s con el T del modelo</t>
        </is>
      </c>
      <c r="C97" s="55">
        <f>$D$21</f>
        <v>0.2057142857142857</v>
      </c>
      <c r="D97" s="54">
        <v>0.1991307148045427</v>
      </c>
      <c r="E97" s="6" t="inlineStr">
        <is>
          <t>—</t>
        </is>
      </c>
      <c r="F97" s="44" t="inlineStr">
        <is>
          <t>CALCULADA con el T de arriba. Él: J178.</t>
        </is>
      </c>
      <c r="G97" s="48" t="inlineStr">
        <is>
          <t>NTDS-1994 · ec. 4.2, pág. 7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CALCULADA = 0.8 × A·I·C_o / R. Él: F141.</t>
        </is>
      </c>
      <c r="G98" s="48" t="inlineStr">
        <is>
          <t>NTDS-1994 · ec. 4.3, pág. 7 · §5.4.1 (3), pág. 12</t>
        </is>
      </c>
    </row>
    <row r="99" ht="30" customHeight="1">
      <c r="B99" s="2" t="inlineStr">
        <is>
          <t>C_s mínimo para escalar</t>
        </is>
      </c>
      <c r="C99" s="55">
        <f>$D$27</f>
        <v>0.18514285714285714</v>
      </c>
      <c r="D99" s="55">
        <f>MAX(0.9*D97,D98)</f>
        <v>0.1792176433240887</v>
      </c>
      <c r="E99" s="6" t="inlineStr">
        <is>
          <t>—</t>
        </is>
      </c>
      <c r="F99" s="44" t="inlineStr">
        <is>
          <t>CALCULADA: mayor de 90% C_s(T) y 80% Método A. Él: L207 ÷ W.</t>
        </is>
      </c>
      <c r="G99" s="48" t="inlineStr">
        <is>
          <t>NTDS-1994 · §5.4.1 (3), pág. 12</t>
        </is>
      </c>
    </row>
    <row r="100" ht="30" customHeight="1">
      <c r="B100" s="2" t="inlineStr">
        <is>
          <t>V mínimo</t>
        </is>
      </c>
      <c r="C100" s="13">
        <f>$D$74</f>
        <v>3.180198857142857</v>
      </c>
      <c r="D100" s="13">
        <f>D99*D95</f>
        <v>3.0698297655569147</v>
      </c>
      <c r="E100" s="6" t="inlineStr">
        <is>
          <t>t</t>
        </is>
      </c>
      <c r="F100" s="44" t="inlineStr">
        <is>
          <t>CALCULADA = C_s mín × W. Él: L211.</t>
        </is>
      </c>
      <c r="G100" s="48" t="inlineStr">
        <is>
          <t>NTDS-1994 · ec. 4.1, pág. 7 · §5.4.1 (3), pág. 12</t>
        </is>
      </c>
    </row>
    <row r="101" ht="54" customHeight="1">
      <c r="B101" s="2" t="inlineStr">
        <is>
          <t>V modal (dinámico)</t>
        </is>
      </c>
      <c r="C101" s="13">
        <f>$D$73</f>
        <v>1.741</v>
      </c>
      <c r="D101" s="53">
        <v>2.72429032</v>
      </c>
      <c r="E101" s="6" t="inlineStr">
        <is>
          <t>t</t>
        </is>
      </c>
      <c r="F101" s="44" t="inlineStr">
        <is>
          <t>Tú: CAPTURA de STAAD, cortante SRSS del caso 5 (.anl). Él: L212, a mano.</t>
        </is>
      </c>
      <c r="G101" s="48" t="inlineStr">
        <is>
          <t>Salida de STAAD (.anl) · NTDS-1994 · §5.4.1 (3), pág. 12</t>
        </is>
      </c>
    </row>
    <row r="102" ht="30" customHeight="1">
      <c r="B102" s="8" t="inlineStr">
        <is>
          <t>Factor = V mínimo / V modal</t>
        </is>
      </c>
      <c r="C102" s="21">
        <f>$D$76</f>
        <v>1.8266506933617788</v>
      </c>
      <c r="D102" s="21">
        <f>MAX(1,D100/D101)</f>
        <v>1.126836498672768</v>
      </c>
      <c r="E102" s="6" t="inlineStr">
        <is>
          <t>×</t>
        </is>
      </c>
      <c r="F102" s="44" t="inlineStr">
        <is>
          <t>CALCULADA = V mín / V modal. Tú: fila 76. Él: L214.</t>
        </is>
      </c>
      <c r="G102" s="48" t="inlineStr">
        <is>
          <t>NTDS-1994 · §5.4.1 (3), pág. 12</t>
        </is>
      </c>
    </row>
    <row r="103" ht="30" customHeight="1">
      <c r="B103" s="45" t="inlineStr">
        <is>
          <t>Cómo queda en STAAD (SCALE 981)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De dónde sale</t>
        </is>
      </c>
      <c r="G103" s="45" t="inlineStr">
        <is>
          <t>Referencia</t>
        </is>
      </c>
    </row>
    <row r="104" ht="42" customHeight="1">
      <c r="B104" s="2" t="inlineStr">
        <is>
          <t>Factor de dirección, casos 4 y 5</t>
        </is>
      </c>
      <c r="C104" s="13">
        <f>$C$76</f>
        <v>1.4702722409352091</v>
      </c>
      <c r="D104" s="13">
        <f>$D$76</f>
        <v>1.8266506933617788</v>
      </c>
      <c r="E104" s="6" t="inlineStr">
        <is>
          <t>cm/s²</t>
        </is>
      </c>
      <c r="F104" s="44" t="inlineStr">
        <is>
          <t>= fila 76, con signo +.</t>
        </is>
      </c>
      <c r="G104" s="48" t="inlineStr">
        <is>
          <t>Manual técnico de STAAD.Pro · comando SPECTRUM</t>
        </is>
      </c>
    </row>
    <row r="105" ht="42" customHeight="1">
      <c r="B105" s="2" t="inlineStr">
        <is>
          <t>Factor de dirección, casos 6 y 7</t>
        </is>
      </c>
      <c r="C105" s="13">
        <f>-$C$76</f>
        <v>-1.4702722409352091</v>
      </c>
      <c r="D105" s="13">
        <f>-$D$76</f>
        <v>-1.8266506933617788</v>
      </c>
      <c r="E105" s="6" t="inlineStr">
        <is>
          <t>cm/s²</t>
        </is>
      </c>
      <c r="F105" s="44" t="inlineStr">
        <is>
          <t>= fila 76, con signo −.</t>
        </is>
      </c>
      <c r="G105" s="48" t="inlineStr">
        <is>
          <t>Manual técnico de STAAD.Pro · comando SPECTRUM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0.30245600384952875</v>
      </c>
      <c r="D106" s="55">
        <f>DATOS!$C$26/$D$12*$D$76</f>
        <v>0.37576814263442304</v>
      </c>
      <c r="E106" s="6" t="inlineStr">
        <is>
          <t>g</t>
        </is>
      </c>
      <c r="F106" s="44" t="inlineStr">
        <is>
          <t>CALCULADA = I·A·C_o / R × factor.</t>
        </is>
      </c>
      <c r="G106" s="48" t="inlineStr">
        <is>
          <t>NTDS-1994 · §5.2, pág. 11 · §5.4.1 (3), pág. 12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0.0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0.06857142857142857</v>
      </c>
      <c r="E73" s="25">
        <f>$C73/COEFICIENTE!$D$12</f>
        <v>0.06857142857142857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0.09805714285714286</v>
      </c>
      <c r="K73" s="19">
        <f>$E73*DATOS!$C$12</f>
        <v>0.09805714285714286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0.08228571428571428</v>
      </c>
      <c r="E74" s="25">
        <f>$C74/COEFICIENTE!$D$12</f>
        <v>0.08228571428571428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</v>
      </c>
      <c r="M74" s="7">
        <f t="shared" si="2"/>
        <v>1.976712066905615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</v>
      </c>
      <c r="D75" s="25">
        <f>$C75/COEFICIENTE!$C$12</f>
        <v>0.09599999999999999</v>
      </c>
      <c r="E75" s="25">
        <f>$C75/COEFICIENTE!$D$12</f>
        <v>0.09599999999999999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0.2698718653149001</v>
      </c>
      <c r="I75" s="19">
        <f>$G75*DATOS!$C$46/COEFICIENTE!$D$35</f>
        <v>0.2698718653149001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</v>
      </c>
      <c r="I76" s="19">
        <f>$G76*DATOS!$C$46/COEFICIENTE!$D$35</f>
        <v>0.3071468455913977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1.808214585806451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</v>
      </c>
      <c r="I78" s="19">
        <f>$G78*DATOS!$C$46/COEFICIENTE!$D$35</f>
        <v>0.3816968061443931</v>
      </c>
      <c r="J78" s="19">
        <f>$D78*DATOS!$C$12</f>
        <v>0.1961142857142857</v>
      </c>
      <c r="K78" s="19">
        <f>$E78*DATOS!$C$12</f>
        <v>0.1961142857142857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2.199601878709677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0.4189717864208908</v>
      </c>
      <c r="I79" s="19">
        <f>$G79*DATOS!$C$46/COEFICIENTE!$D$35</f>
        <v>0.4189717864208908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</v>
      </c>
      <c r="M79" s="7">
        <f t="shared" si="2"/>
        <v>1.942150419147486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0.1645714285714286</v>
      </c>
      <c r="E80" s="25">
        <f>$C80/COEFICIENTE!$D$12</f>
        <v>0.1645714285714286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</v>
      </c>
      <c r="I80" s="19">
        <f>$G80*DATOS!$C$46/COEFICIENTE!$D$35</f>
        <v>0.4562467666973885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</v>
      </c>
      <c r="E83" s="25">
        <f>$C83/COEFICIENTE!$D$12</f>
        <v>0.2057142857142857</v>
      </c>
      <c r="F83" s="19">
        <f t="shared" si="0"/>
        <v>2.563599999999999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</v>
      </c>
      <c r="E84" s="25">
        <f>$C84/COEFICIENTE!$D$12</f>
        <v>0.2057142857142857</v>
      </c>
      <c r="F84" s="19">
        <f t="shared" si="0"/>
        <v>2.563599999999999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</v>
      </c>
      <c r="E85" s="25">
        <f>$C85/COEFICIENTE!$D$12</f>
        <v>0.2057142857142857</v>
      </c>
      <c r="F85" s="19">
        <f t="shared" si="0"/>
        <v>2.563599999999999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</v>
      </c>
      <c r="E86" s="25">
        <f>$C86/COEFICIENTE!$D$12</f>
        <v>0.2057142857142857</v>
      </c>
      <c r="F86" s="19">
        <f t="shared" si="0"/>
        <v>2.563599999999999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</v>
      </c>
      <c r="E87" s="25">
        <f>$C87/COEFICIENTE!$D$12</f>
        <v>0.2057142857142857</v>
      </c>
      <c r="F87" s="19">
        <f t="shared" si="0"/>
        <v>2.563599999999999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</v>
      </c>
      <c r="E88" s="25">
        <f>$C88/COEFICIENTE!$D$12</f>
        <v>0.2057142857142857</v>
      </c>
      <c r="F88" s="19">
        <f t="shared" si="0"/>
        <v>2.563599999999999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</v>
      </c>
      <c r="E89" s="25">
        <f>$C89/COEFICIENTE!$D$12</f>
        <v>0.2057142857142857</v>
      </c>
      <c r="F89" s="19">
        <f t="shared" si="0"/>
        <v>2.563599999999999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</v>
      </c>
      <c r="E90" s="25">
        <f>$C90/COEFICIENTE!$D$12</f>
        <v>0.2057142857142857</v>
      </c>
      <c r="F90" s="19">
        <f t="shared" si="0"/>
        <v>2.563599999999999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</v>
      </c>
      <c r="E91" s="25">
        <f>$C91/COEFICIENTE!$D$12</f>
        <v>0.2057142857142857</v>
      </c>
      <c r="F91" s="19">
        <f t="shared" si="0"/>
        <v>2.563599999999999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</v>
      </c>
      <c r="E92" s="25">
        <f>$C92/COEFICIENTE!$D$12</f>
        <v>0.2057142857142857</v>
      </c>
      <c r="F92" s="19">
        <f t="shared" si="0"/>
        <v>2.563599999999999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</v>
      </c>
      <c r="E93" s="25">
        <f>$C93/COEFICIENTE!$D$12</f>
        <v>0.2057142857142857</v>
      </c>
      <c r="F93" s="19">
        <f t="shared" si="0"/>
        <v>2.563599999999999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</v>
      </c>
      <c r="E94" s="25">
        <f>$C94/COEFICIENTE!$D$12</f>
        <v>0.2057142857142857</v>
      </c>
      <c r="F94" s="19">
        <f t="shared" si="0"/>
        <v>2.563599999999999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</v>
      </c>
      <c r="E95" s="25">
        <f>$C95/COEFICIENTE!$D$12</f>
        <v>0.2057142857142857</v>
      </c>
      <c r="F95" s="19">
        <f t="shared" si="0"/>
        <v>2.563599999999999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</v>
      </c>
      <c r="E96" s="25">
        <f>$C96/COEFICIENTE!$D$12</f>
        <v>0.2057142857142857</v>
      </c>
      <c r="F96" s="19">
        <f t="shared" si="0"/>
        <v>2.563599999999999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</v>
      </c>
      <c r="E97" s="25">
        <f>$C97/COEFICIENTE!$D$12</f>
        <v>0.2057142857142857</v>
      </c>
      <c r="F97" s="19">
        <f t="shared" si="0"/>
        <v>2.563599999999999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</v>
      </c>
      <c r="E98" s="25">
        <f>$C98/COEFICIENTE!$D$12</f>
        <v>0.2057142857142857</v>
      </c>
      <c r="F98" s="19">
        <f t="shared" si="0"/>
        <v>2.563599999999999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</v>
      </c>
      <c r="E99" s="25">
        <f>$C99/COEFICIENTE!$D$12</f>
        <v>0.2057142857142857</v>
      </c>
      <c r="F99" s="19">
        <f t="shared" si="0"/>
        <v>2.563599999999999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</v>
      </c>
      <c r="E100" s="25">
        <f>$C100/COEFICIENTE!$D$12</f>
        <v>0.2057142857142857</v>
      </c>
      <c r="F100" s="19">
        <f t="shared" si="0"/>
        <v>2.563599999999999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</v>
      </c>
      <c r="E101" s="25">
        <f>$C101/COEFICIENTE!$D$12</f>
        <v>0.2057142857142857</v>
      </c>
      <c r="F101" s="19">
        <f t="shared" si="0"/>
        <v>2.563599999999999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</v>
      </c>
      <c r="E102" s="25">
        <f>$C102/COEFICIENTE!$D$12</f>
        <v>0.2057142857142857</v>
      </c>
      <c r="F102" s="19">
        <f t="shared" si="0"/>
        <v>2.563599999999999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</v>
      </c>
      <c r="E103" s="25">
        <f>$C103/COEFICIENTE!$D$12</f>
        <v>0.2057142857142857</v>
      </c>
      <c r="F103" s="19">
        <f t="shared" si="0"/>
        <v>2.563599999999999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</v>
      </c>
      <c r="E106" s="25">
        <f>$C106/COEFICIENTE!$D$12</f>
        <v>0.1930497878256063</v>
      </c>
      <c r="F106" s="19">
        <f t="shared" si="3"/>
        <v>2.563599999999999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1.768827955306192</v>
      </c>
      <c r="M106" s="7">
        <f t="shared" si="5"/>
        <v>1.768827955306192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0.1892456957269835</v>
      </c>
      <c r="E107" s="25">
        <f>$C107/COEFICIENTE!$D$12</f>
        <v>0.1892456957269835</v>
      </c>
      <c r="F107" s="19">
        <f t="shared" si="3"/>
        <v>2.563599999999999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0.2706213448895864</v>
      </c>
      <c r="K107" s="19">
        <f>$E107*DATOS!$C$12</f>
        <v>0.2706213448895864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</v>
      </c>
      <c r="M108" s="7">
        <f t="shared" si="5"/>
        <v>1.839592638747155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0.2557880061569552</v>
      </c>
      <c r="K110" s="19">
        <f>$E110*DATOS!$C$12</f>
        <v>0.2557880061569552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</v>
      </c>
      <c r="I113" s="19">
        <f>$G113*DATOS!$C$46/COEFICIENTE!$D$35</f>
        <v>0.4797619047619047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0.1670408600564895</v>
      </c>
      <c r="E114" s="25">
        <f>$C114/COEFICIENTE!$D$12</f>
        <v>0.1670408600564895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</v>
      </c>
      <c r="I116" s="19">
        <f>$G116*DATOS!$C$46/COEFICIENTE!$D$35</f>
        <v>0.4462901439645625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</v>
      </c>
      <c r="E117" s="25">
        <f>$C117/COEFICIENTE!$D$12</f>
        <v>0.1593590887036739</v>
      </c>
      <c r="F117" s="19">
        <f t="shared" si="3"/>
        <v>2.289772727272727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</v>
      </c>
      <c r="I117" s="19">
        <f>$G117*DATOS!$C$46/COEFICIENTE!$D$35</f>
        <v>0.4361471861471861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</v>
      </c>
      <c r="I118" s="19">
        <f>$G118*DATOS!$C$46/COEFICIENTE!$D$35</f>
        <v>0.4264550264550264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2.143617021276596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</v>
      </c>
      <c r="I120" s="19">
        <f>$G120*DATOS!$C$46/COEFICIENTE!$D$35</f>
        <v>0.4083080040526849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</v>
      </c>
      <c r="I121" s="19">
        <f>$G121*DATOS!$C$46/COEFICIENTE!$D$35</f>
        <v>0.3998015873015873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</v>
      </c>
      <c r="I122" s="19">
        <f>$G122*DATOS!$C$46/COEFICIENTE!$D$35</f>
        <v>0.3916423712342079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1.0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1.024385271693138</v>
      </c>
      <c r="D123" s="25">
        <f>$C123/COEFICIENTE!$C$12</f>
        <v>0.14634075309901973</v>
      </c>
      <c r="E123" s="25">
        <f>$C123/COEFICIENTE!$D$12</f>
        <v>0.14634075309901973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0.2092672769315982</v>
      </c>
      <c r="K123" s="19">
        <f>$E123*DATOS!$C$12</f>
        <v>0.2092672769315982</v>
      </c>
      <c r="L123" s="7">
        <f t="shared" si="4"/>
        <v>1.8340637362762504</v>
      </c>
      <c r="M123" s="7">
        <f t="shared" si="5"/>
        <v>1.8340637362762504</v>
      </c>
      <c r="N123" s="10" t="str">
        <f>IF(DATOS!$C$9="NO","—",IF(AND($L123&gt;=1,$M123&gt;=1),"OK","CALIBRAR"))</f>
        <v>—</v>
      </c>
      <c r="O123" s="25">
        <f>IF(STAAD!$C$17="ASCE 7-16",$G123,$C123)</f>
        <v>1.024385271693138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0.9332502152833047</v>
      </c>
      <c r="D126" s="25">
        <f>$C126/COEFICIENTE!$C$12</f>
        <v>0.1333214593261864</v>
      </c>
      <c r="E126" s="25">
        <f>$C126/COEFICIENTE!$D$12</f>
        <v>0.1333214593261864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0.19064968683644654</v>
      </c>
      <c r="K126" s="19">
        <f>$E126*DATOS!$C$12</f>
        <v>0.19064968683644654</v>
      </c>
      <c r="L126" s="7">
        <f t="shared" si="4"/>
        <v>1.7505793874951123</v>
      </c>
      <c r="M126" s="7">
        <f t="shared" si="5"/>
        <v>1.7505793874951123</v>
      </c>
      <c r="N126" s="10" t="str">
        <f>IF(DATOS!$C$9="NO","—",IF(AND($L126&gt;=1,$M126&gt;=1),"OK","CALIBRAR"))</f>
        <v>—</v>
      </c>
      <c r="O126" s="25">
        <f>IF(STAAD!$C$17="ASCE 7-16",$G126,$C126)</f>
        <v>0.9332502152833047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0.1261126380167676</v>
      </c>
      <c r="E128" s="25">
        <f>$C128/COEFICIENTE!$D$12</f>
        <v>0.1261126380167676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0.8600052269526987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0.2952380952380952</v>
      </c>
      <c r="I129" s="19">
        <f>$G129*DATOS!$C$46/COEFICIENTE!$D$35</f>
        <v>0.2952380952380952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0.8600052269526987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0.8386372461468469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0.9950617283950616</v>
      </c>
      <c r="H130" s="19">
        <f>$G130*DATOS!$C$46/COEFICIENTE!$C$35</f>
        <v>0.2843033509700176</v>
      </c>
      <c r="I130" s="19">
        <f>$G130*DATOS!$C$46/COEFICIENTE!$D$35</f>
        <v>0.2843033509700176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0.8386372461468469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0.7648486895091783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0.8666666666666666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0.7648486895091783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0.8395833333333332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0.8141414141414142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</v>
      </c>
      <c r="D137" s="25">
        <f>$C137/COEFICIENTE!$C$12</f>
        <v>0.1027383700692167</v>
      </c>
      <c r="E137" s="25">
        <f>$C137/COEFICIENTE!$D$12</f>
        <v>0.1027383700692167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0.7901960784313725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0.14691586919897986</v>
      </c>
      <c r="K137" s="19">
        <f>$E137*DATOS!$C$12</f>
        <v>0.14691586919897986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0.7054040680303595</v>
      </c>
      <c r="D138" s="25">
        <f>$C138/COEFICIENTE!$C$12</f>
        <v>0.10077200971862278</v>
      </c>
      <c r="E138" s="25">
        <f>$C138/COEFICIENTE!$D$12</f>
        <v>0.10077200971862278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0.14410397389763058</v>
      </c>
      <c r="K138" s="19">
        <f>$E138*DATOS!$C$12</f>
        <v>0.14410397389763058</v>
      </c>
      <c r="L138" s="7">
        <f t="shared" si="7"/>
        <v>1.5219547522468608</v>
      </c>
      <c r="M138" s="7">
        <f t="shared" si="8"/>
        <v>1.5219547522468608</v>
      </c>
      <c r="N138" s="10" t="str">
        <f>IF(DATOS!$C$9="NO","—",IF(AND($L138&gt;=1,$M138&gt;=1),"OK","CALIBRAR"))</f>
        <v>—</v>
      </c>
      <c r="O138" s="25">
        <f>IF(STAAD!$C$17="ASCE 7-16",$G138,$C138)</f>
        <v>0.7054040680303595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</v>
      </c>
      <c r="H139" s="19">
        <f>$G139*DATOS!$C$46/COEFICIENTE!$C$35</f>
        <v>0.2132275132275132</v>
      </c>
      <c r="I139" s="19">
        <f>$G139*DATOS!$C$46/COEFICIENTE!$D$35</f>
        <v>0.2132275132275132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0.09710705874491267</v>
      </c>
      <c r="E140" s="25">
        <f>$C140/COEFICIENTE!$D$12</f>
        <v>0.09710705874491267</v>
      </c>
      <c r="F140" s="19">
        <f t="shared" si="6"/>
        <v>1.089189189189189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0.6677710571300466</v>
      </c>
      <c r="D141" s="25">
        <f>$C141/COEFICIENTE!$C$12</f>
        <v>0.09539586530429237</v>
      </c>
      <c r="E141" s="25">
        <f>$C141/COEFICIENTE!$D$12</f>
        <v>0.09539586530429237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0.6677710571300466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0.6563068213087098</v>
      </c>
      <c r="D142" s="25">
        <f>$C142/COEFICIENTE!$C$12</f>
        <v>0.09375811732981568</v>
      </c>
      <c r="E142" s="25">
        <f>$C142/COEFICIENTE!$D$12</f>
        <v>0.09375811732981568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0.6888888888888889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0.6563068213087098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2.0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0.6453222835042317</v>
      </c>
      <c r="D143" s="25">
        <f>$C143/COEFICIENTE!$C$12</f>
        <v>0.09218889764346168</v>
      </c>
      <c r="E143" s="25">
        <f>$C143/COEFICIENTE!$D$12</f>
        <v>0.09218889764346168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0.1318301236301502</v>
      </c>
      <c r="K143" s="19">
        <f>$E143*DATOS!$C$12</f>
        <v>0.1318301236301502</v>
      </c>
      <c r="L143" s="7">
        <f t="shared" si="7"/>
        <v>1.455697352170823</v>
      </c>
      <c r="M143" s="7">
        <f t="shared" si="8"/>
        <v>1.455697352170823</v>
      </c>
      <c r="N143" s="10" t="str">
        <f>IF(DATOS!$C$9="NO","—",IF(AND($L143&gt;=1,$M143&gt;=1),"OK","CALIBRAR"))</f>
        <v>—</v>
      </c>
      <c r="O143" s="25">
        <f>IF(STAAD!$C$17="ASCE 7-16",$G143,$C143)</f>
        <v>0.6453222835042317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0.08923853305103988</v>
      </c>
      <c r="E144" s="25">
        <f>$C144/COEFICIENTE!$D$12</f>
        <v>0.08923853305103988</v>
      </c>
      <c r="F144" s="19">
        <f t="shared" si="6"/>
        <v>0.9595238095238094</v>
      </c>
      <c r="G144" s="19">
        <f>IF($B144&lt;DATOS!$C$42,DATOS!$C$40*(0.4+0.6*$B144/DATOS!$C$42),IF($B144&lt;=DATOS!$C$43,DATOS!$C$40,IF($B144&lt;=DATOS!$C$44,DATOS!$C$41/$B144,DATOS!$C$41*DATOS!$C$44/$B144^2)))</f>
        <v>0.6396825396825396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0.08651342354835256</v>
      </c>
      <c r="E145" s="25">
        <f>$C145/COEFICIENTE!$D$12</f>
        <v>0.08651342354835256</v>
      </c>
      <c r="F145" s="19">
        <f t="shared" si="6"/>
        <v>0.9159090909090908</v>
      </c>
      <c r="G145" s="19">
        <f>IF($B145&lt;DATOS!$C$42,DATOS!$C$40*(0.4+0.6*$B145/DATOS!$C$42),IF($B145&lt;=DATOS!$C$43,DATOS!$C$40,IF($B145&lt;=DATOS!$C$44,DATOS!$C$41/$B145,DATOS!$C$41*DATOS!$C$44/$B145^2)))</f>
        <v>0.6106060606060605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0.8760869565217391</v>
      </c>
      <c r="G146" s="19">
        <f>IF($B146&lt;DATOS!$C$42,DATOS!$C$40*(0.4+0.6*$B146/DATOS!$C$42),IF($B146&lt;=DATOS!$C$43,DATOS!$C$40,IF($B146&lt;=DATOS!$C$44,DATOS!$C$41/$B146,DATOS!$C$41*DATOS!$C$44/$B146^2)))</f>
        <v>0.5840579710144927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</v>
      </c>
      <c r="D147" s="25">
        <f>$C147/COEFICIENTE!$C$12</f>
        <v>0.08163776838693597</v>
      </c>
      <c r="E147" s="25">
        <f>$C147/COEFICIENTE!$D$12</f>
        <v>0.08163776838693597</v>
      </c>
      <c r="F147" s="19">
        <f t="shared" si="6"/>
        <v>0.8395833333333333</v>
      </c>
      <c r="G147" s="19">
        <f>IF($B147&lt;DATOS!$C$42,DATOS!$C$40*(0.4+0.6*$B147/DATOS!$C$42),IF($B147&lt;=DATOS!$C$43,DATOS!$C$40,IF($B147&lt;=DATOS!$C$44,DATOS!$C$41/$B147,DATOS!$C$41*DATOS!$C$44/$B147^2)))</f>
        <v>0.5597222222222222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0.07944598364754896</v>
      </c>
      <c r="E148" s="25">
        <f>$C148/COEFICIENTE!$D$12</f>
        <v>0.07944598364754896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0.07739562060409447</v>
      </c>
      <c r="E149" s="25">
        <f>$C149/COEFICIENTE!$D$12</f>
        <v>0.07739562060409447</v>
      </c>
      <c r="F149" s="19">
        <f t="shared" si="6"/>
        <v>0.7749999999999999</v>
      </c>
      <c r="G149" s="19">
        <f>IF($B149&lt;DATOS!$C$42,DATOS!$C$40*(0.4+0.6*$B149/DATOS!$C$42),IF($B149&lt;=DATOS!$C$43,DATOS!$C$40,IF($B149&lt;=DATOS!$C$44,DATOS!$C$41/$B149,DATOS!$C$41*DATOS!$C$44/$B149^2)))</f>
        <v>0.5166666666666666</v>
      </c>
      <c r="H149" s="19">
        <f>$G149*DATOS!$C$46/COEFICIENTE!$C$35</f>
        <v>0.1476190476190476</v>
      </c>
      <c r="I149" s="19">
        <f>$G149*DATOS!$C$46/COEFICIENTE!$D$35</f>
        <v>0.1476190476190476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0.5283083598231403</v>
      </c>
      <c r="D150" s="25">
        <f>$C150/COEFICIENTE!$C$12</f>
        <v>0.07547262283187718</v>
      </c>
      <c r="E150" s="25">
        <f>$C150/COEFICIENTE!$D$12</f>
        <v>0.07547262283187718</v>
      </c>
      <c r="F150" s="19">
        <f t="shared" si="6"/>
        <v>0.7462962962962962</v>
      </c>
      <c r="G150" s="19">
        <f>IF($B150&lt;DATOS!$C$42,DATOS!$C$40*(0.4+0.6*$B150/DATOS!$C$42),IF($B150&lt;=DATOS!$C$43,DATOS!$C$40,IF($B150&lt;=DATOS!$C$44,DATOS!$C$41/$B150,DATOS!$C$41*DATOS!$C$44/$B150^2)))</f>
        <v>0.4975308641975308</v>
      </c>
      <c r="H150" s="19">
        <f>$G150*DATOS!$C$46/COEFICIENTE!$C$35</f>
        <v>0.1421516754850088</v>
      </c>
      <c r="I150" s="19">
        <f>$G150*DATOS!$C$46/COEFICIENTE!$D$35</f>
        <v>0.1421516754850088</v>
      </c>
      <c r="J150" s="19">
        <f>$D150*DATOS!$C$12</f>
        <v>0.10792585064958436</v>
      </c>
      <c r="K150" s="19">
        <f>$E150*DATOS!$C$12</f>
        <v>0.10792585064958436</v>
      </c>
      <c r="L150" s="7">
        <f t="shared" si="7"/>
        <v>1.3171235123876806</v>
      </c>
      <c r="M150" s="7">
        <f t="shared" si="8"/>
        <v>1.3171235123876806</v>
      </c>
      <c r="N150" s="10" t="str">
        <f>IF(DATOS!$C$9="NO","—",IF(AND($L150&gt;=1,$M150&gt;=1),"OK","CALIBRAR"))</f>
        <v>—</v>
      </c>
      <c r="O150" s="25">
        <f>IF(STAAD!$C$17="ASCE 7-16",$G150,$C150)</f>
        <v>0.5283083598231403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0.5156535018820716</v>
      </c>
      <c r="D151" s="25">
        <f>$C151/COEFICIENTE!$C$12</f>
        <v>0.07366478598315308</v>
      </c>
      <c r="E151" s="25">
        <f>$C151/COEFICIENTE!$D$12</f>
        <v>0.07366478598315308</v>
      </c>
      <c r="F151" s="19">
        <f t="shared" si="6"/>
        <v>0.7196428571428571</v>
      </c>
      <c r="G151" s="19">
        <f>IF($B151&lt;DATOS!$C$42,DATOS!$C$40*(0.4+0.6*$B151/DATOS!$C$42),IF($B151&lt;=DATOS!$C$43,DATOS!$C$40,IF($B151&lt;=DATOS!$C$44,DATOS!$C$41/$B151,DATOS!$C$41*DATOS!$C$44/$B151^2)))</f>
        <v>0.4797619047619048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0.1053406439559089</v>
      </c>
      <c r="K151" s="19">
        <f>$E151*DATOS!$C$12</f>
        <v>0.1053406439559089</v>
      </c>
      <c r="L151" s="7">
        <f t="shared" si="7"/>
        <v>1.301253009136212</v>
      </c>
      <c r="M151" s="7">
        <f t="shared" si="8"/>
        <v>1.301253009136212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0.5156535018820716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0.5037302057695221</v>
      </c>
      <c r="D152" s="25">
        <f>$C152/COEFICIENTE!$C$12</f>
        <v>0.07196145796707458</v>
      </c>
      <c r="E152" s="25">
        <f>$C152/COEFICIENTE!$D$12</f>
        <v>0.07196145796707458</v>
      </c>
      <c r="F152" s="19">
        <f t="shared" si="6"/>
        <v>0.6948275862068966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0.10290488489291665</v>
      </c>
      <c r="K152" s="19">
        <f>$E152*DATOS!$C$12</f>
        <v>0.10290488489291665</v>
      </c>
      <c r="L152" s="7">
        <f t="shared" si="7"/>
        <v>1.2861207881062071</v>
      </c>
      <c r="M152" s="7">
        <f t="shared" si="8"/>
        <v>1.2861207881062071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3.0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0.07035329609184124</v>
      </c>
      <c r="E153" s="25">
        <f>$C153/COEFICIENTE!$D$12</f>
        <v>0.07035329609184124</v>
      </c>
      <c r="F153" s="19">
        <f t="shared" si="6"/>
        <v>0.6716666666666666</v>
      </c>
      <c r="G153" s="19">
        <f>IF($B153&lt;DATOS!$C$42,DATOS!$C$40*(0.4+0.6*$B153/DATOS!$C$42),IF($B153&lt;=DATOS!$C$43,DATOS!$C$40,IF($B153&lt;=DATOS!$C$44,DATOS!$C$41/$B153,DATOS!$C$41*DATOS!$C$44/$B153^2)))</f>
        <v>0.4477777777777778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0.06883206884979441</v>
      </c>
      <c r="E154" s="25">
        <f>$C154/COEFICIENTE!$D$12</f>
        <v>0.06883206884979441</v>
      </c>
      <c r="F154" s="19">
        <f t="shared" si="6"/>
        <v>0.6499999999999999</v>
      </c>
      <c r="G154" s="19">
        <f>IF($B154&lt;DATOS!$C$42,DATOS!$C$40*(0.4+0.6*$B154/DATOS!$C$42),IF($B154&lt;=DATOS!$C$43,DATOS!$C$40,IF($B154&lt;=DATOS!$C$44,DATOS!$C$41/$B154,DATOS!$C$41*DATOS!$C$44/$B154^2)))</f>
        <v>0.4333333333333333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0.47173345095760133</v>
      </c>
      <c r="D155" s="25">
        <f>$C155/COEFICIENTE!$C$12</f>
        <v>0.06739049299394305</v>
      </c>
      <c r="E155" s="25">
        <f>$C155/COEFICIENTE!$D$12</f>
        <v>0.06739049299394305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0.4197916666666666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0.09636840498133856</v>
      </c>
      <c r="K155" s="19">
        <f>$E155*DATOS!$C$12</f>
        <v>0.09636840498133856</v>
      </c>
      <c r="L155" s="7">
        <f t="shared" si="7"/>
        <v>1.2446037289265324</v>
      </c>
      <c r="M155" s="7">
        <f t="shared" si="8"/>
        <v>1.2446037289265324</v>
      </c>
      <c r="N155" s="10" t="str">
        <f>IF(DATOS!$C$9="NO","—",IF(AND($L155&gt;=1,$M155&gt;=1),"OK","CALIBRAR"))</f>
        <v>—</v>
      </c>
      <c r="O155" s="25">
        <f>IF(STAAD!$C$17="ASCE 7-16",$G155,$C155)</f>
        <v>0.47173345095760133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0.46215469116995733</v>
      </c>
      <c r="D156" s="25">
        <f>$C156/COEFICIENTE!$C$12</f>
        <v>0.06602209873856534</v>
      </c>
      <c r="E156" s="25">
        <f>$C156/COEFICIENTE!$D$12</f>
        <v>0.06602209873856534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0.4070707070707071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0.09441160119614843</v>
      </c>
      <c r="K156" s="19">
        <f>$E156*DATOS!$C$12</f>
        <v>0.09441160119614843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0.46215469116995733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0.06472111754104776</v>
      </c>
      <c r="E157" s="25">
        <f>$C157/COEFICIENTE!$D$12</f>
        <v>0.06472111754104776</v>
      </c>
      <c r="F157" s="19">
        <f t="shared" si="6"/>
        <v>0.5926470588235294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0.09255119808369829</v>
      </c>
      <c r="K157" s="19">
        <f>$E157*DATOS!$C$12</f>
        <v>0.09255119808369829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0.06348238814235178</v>
      </c>
      <c r="E158" s="25">
        <f>$C158/COEFICIENTE!$D$12</f>
        <v>0.06348238814235178</v>
      </c>
      <c r="F158" s="19">
        <f t="shared" si="6"/>
        <v>0.5757142857142856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0.09077981504356304</v>
      </c>
      <c r="K158" s="19">
        <f>$E158*DATOS!$C$12</f>
        <v>0.09077981504356304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</v>
      </c>
      <c r="D159" s="25">
        <f>$C159/COEFICIENTE!$C$12</f>
        <v>0.062301277468530494</v>
      </c>
      <c r="E159" s="25">
        <f>$C159/COEFICIENTE!$D$12</f>
        <v>0.062301277468530494</v>
      </c>
      <c r="F159" s="19">
        <f t="shared" si="6"/>
        <v>0.5597222222222222</v>
      </c>
      <c r="G159" s="19">
        <f>IF($B159&lt;DATOS!$C$42,DATOS!$C$40*(0.4+0.6*$B159/DATOS!$C$42),IF($B159&lt;=DATOS!$C$43,DATOS!$C$40,IF($B159&lt;=DATOS!$C$44,DATOS!$C$41/$B159,DATOS!$C$41*DATOS!$C$44/$B159^2)))</f>
        <v>0.3731481481481481</v>
      </c>
      <c r="H159" s="19">
        <f>$G159*DATOS!$C$46/COEFICIENTE!$C$35</f>
        <v>0.1066137566137566</v>
      </c>
      <c r="I159" s="19">
        <f>$G159*DATOS!$C$46/COEFICIENTE!$D$35</f>
        <v>0.1066137566137566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1.1966861288315263</v>
      </c>
      <c r="M159" s="7">
        <f t="shared" si="8"/>
        <v>1.1966861288315263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0.06117361370304675</v>
      </c>
      <c r="E160" s="25">
        <f>$C160/COEFICIENTE!$D$12</f>
        <v>0.06117361370304675</v>
      </c>
      <c r="F160" s="19">
        <f t="shared" si="6"/>
        <v>0.5445945945945945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0.08747826759535685</v>
      </c>
      <c r="K160" s="19">
        <f>$E160*DATOS!$C$12</f>
        <v>0.08747826759535685</v>
      </c>
      <c r="L160" s="7">
        <f t="shared" si="7"/>
        <v>1.185806561832388</v>
      </c>
      <c r="M160" s="7">
        <f t="shared" si="8"/>
        <v>1.185806561832388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0.06009562938490698</v>
      </c>
      <c r="E161" s="25">
        <f>$C161/COEFICIENTE!$D$12</f>
        <v>0.06009562938490698</v>
      </c>
      <c r="F161" s="19">
        <f t="shared" si="6"/>
        <v>0.5302631578947368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0.08593675002041698</v>
      </c>
      <c r="K161" s="19">
        <f>$E161*DATOS!$C$12</f>
        <v>0.08593675002041698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0.059063912811174034</v>
      </c>
      <c r="E162" s="25">
        <f>$C162/COEFICIENTE!$D$12</f>
        <v>0.059063912811174034</v>
      </c>
      <c r="F162" s="19">
        <f t="shared" si="6"/>
        <v>0.5166666666666666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0.09841269841269841</v>
      </c>
      <c r="I162" s="19">
        <f>$G162*DATOS!$C$46/COEFICIENTE!$D$35</f>
        <v>0.09841269841269841</v>
      </c>
      <c r="J162" s="19">
        <f>$D162*DATOS!$C$12</f>
        <v>0.08446139531997887</v>
      </c>
      <c r="K162" s="19">
        <f>$E162*DATOS!$C$12</f>
        <v>0.08446139531997887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4.0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</v>
      </c>
      <c r="D163" s="25">
        <f>$C163/COEFICIENTE!$C$12</f>
        <v>0.05807536635380062</v>
      </c>
      <c r="E163" s="25">
        <f>$C163/COEFICIENTE!$D$12</f>
        <v>0.05807536635380062</v>
      </c>
      <c r="F163" s="19">
        <f t="shared" si="6"/>
        <v>0.5037499999999999</v>
      </c>
      <c r="G163" s="19">
        <f>IF($B163&lt;DATOS!$C$42,DATOS!$C$40*(0.4+0.6*$B163/DATOS!$C$42),IF($B163&lt;=DATOS!$C$43,DATOS!$C$40,IF($B163&lt;=DATOS!$C$44,DATOS!$C$41/$B163,DATOS!$C$41*DATOS!$C$44/$B163^2)))</f>
        <v>0.3358333333333333</v>
      </c>
      <c r="H163" s="19">
        <f>$G163*DATOS!$C$46/COEFICIENTE!$C$35</f>
        <v>0.09595238095238094</v>
      </c>
      <c r="I163" s="19">
        <f>$G163*DATOS!$C$46/COEFICIENTE!$D$35</f>
        <v>0.09595238095238094</v>
      </c>
      <c r="J163" s="19">
        <f>$D163*DATOS!$C$12</f>
        <v>0.08304777388593487</v>
      </c>
      <c r="K163" s="19">
        <f>$E163*DATOS!$C$12</f>
        <v>0.08304777388593487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0.05314389576347057</v>
      </c>
      <c r="E164" s="25">
        <f>$C164/COEFICIENTE!$D$12</f>
        <v>0.05314389576347057</v>
      </c>
      <c r="F164" s="19">
        <f t="shared" si="6"/>
        <v>0.4741176470588235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0.09030812324929971</v>
      </c>
      <c r="I164" s="19">
        <f>$G164*DATOS!$C$46/COEFICIENTE!$D$35</f>
        <v>0.09030812324929971</v>
      </c>
      <c r="J164" s="19">
        <f>$D164*DATOS!$C$12</f>
        <v>0.07599577094176291</v>
      </c>
      <c r="K164" s="19">
        <f>$E164*DATOS!$C$12</f>
        <v>0.07599577094176291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0.3447095504051015</v>
      </c>
      <c r="D165" s="25">
        <f>$C165/COEFICIENTE!$C$12</f>
        <v>0.04924422148644307</v>
      </c>
      <c r="E165" s="25">
        <f>$C165/COEFICIENTE!$D$12</f>
        <v>0.04924422148644307</v>
      </c>
      <c r="F165" s="19">
        <f t="shared" si="6"/>
        <v>0.4477777777777778</v>
      </c>
      <c r="G165" s="19">
        <f>IF($B165&lt;DATOS!$C$42,DATOS!$C$40*(0.4+0.6*$B165/DATOS!$C$42),IF($B165&lt;=DATOS!$C$43,DATOS!$C$40,IF($B165&lt;=DATOS!$C$44,DATOS!$C$41/$B165,DATOS!$C$41*DATOS!$C$44/$B165^2)))</f>
        <v>0.2985185185185185</v>
      </c>
      <c r="H165" s="19">
        <f>$G165*DATOS!$C$46/COEFICIENTE!$C$35</f>
        <v>0.08529100529100529</v>
      </c>
      <c r="I165" s="19">
        <f>$G165*DATOS!$C$46/COEFICIENTE!$D$35</f>
        <v>0.08529100529100529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1.2111890054040075</v>
      </c>
      <c r="M165" s="7">
        <f t="shared" si="8"/>
        <v>1.2111890054040075</v>
      </c>
      <c r="N165" s="10" t="str">
        <f>IF(DATOS!$C$9="NO","—",IF(AND($L165&gt;=1,$M165&gt;=1),"OK","CALIBRAR"))</f>
        <v>—</v>
      </c>
      <c r="O165" s="25">
        <f>IF(STAAD!$C$17="ASCE 7-16",$G165,$C165)</f>
        <v>0.3447095504051015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0.04581916265283957</v>
      </c>
      <c r="E166" s="25">
        <f>$C166/COEFICIENTE!$D$12</f>
        <v>0.04581916265283957</v>
      </c>
      <c r="F166" s="19">
        <f t="shared" si="6"/>
        <v>0.4242105263157894</v>
      </c>
      <c r="G166" s="19">
        <f>IF($B166&lt;DATOS!$C$42,DATOS!$C$40*(0.4+0.6*$B166/DATOS!$C$42),IF($B166&lt;=DATOS!$C$43,DATOS!$C$40,IF($B166&lt;=DATOS!$C$44,DATOS!$C$41/$B166,DATOS!$C$41*DATOS!$C$44/$B166^2)))</f>
        <v>0.2828070175438596</v>
      </c>
      <c r="H166" s="19">
        <f>$G166*DATOS!$C$46/COEFICIENTE!$C$35</f>
        <v>0.08080200501253132</v>
      </c>
      <c r="I166" s="19">
        <f>$G166*DATOS!$C$46/COEFICIENTE!$D$35</f>
        <v>0.08080200501253132</v>
      </c>
      <c r="J166" s="19">
        <f>$D166*DATOS!$C$12</f>
        <v>0.06552140259356058</v>
      </c>
      <c r="K166" s="19">
        <f>$E166*DATOS!$C$12</f>
        <v>0.06552140259356058</v>
      </c>
      <c r="L166" s="7">
        <f t="shared" si="7"/>
        <v>1.2332154351725142</v>
      </c>
      <c r="M166" s="7">
        <f t="shared" si="8"/>
        <v>1.2332154351725142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5.0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0.2995320705194742</v>
      </c>
      <c r="D167" s="25">
        <f>$C167/COEFICIENTE!$C$12</f>
        <v>0.042790295788496316</v>
      </c>
      <c r="E167" s="25">
        <f>$C167/COEFICIENTE!$D$12</f>
        <v>0.042790295788496316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0.07676190476190477</v>
      </c>
      <c r="I167" s="19">
        <f>$G167*DATOS!$C$46/COEFICIENTE!$D$35</f>
        <v>0.07676190476190477</v>
      </c>
      <c r="J167" s="19">
        <f>$D167*DATOS!$C$12</f>
        <v>0.06119012297754973</v>
      </c>
      <c r="K167" s="19">
        <f>$E167*DATOS!$C$12</f>
        <v>0.06119012297754973</v>
      </c>
      <c r="L167" s="7">
        <f t="shared" si="7"/>
        <v>1.2544819494817525</v>
      </c>
      <c r="M167" s="7">
        <f t="shared" si="8"/>
        <v>1.2544819494817525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0.2995320705194742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0.040095246684492276</v>
      </c>
      <c r="E168" s="25">
        <f>$C168/COEFICIENTE!$D$12</f>
        <v>0.040095246684492276</v>
      </c>
      <c r="F168" s="19">
        <f t="shared" si="6"/>
        <v>0.3838095238095238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0.07310657596371882</v>
      </c>
      <c r="I168" s="19">
        <f>$G168*DATOS!$C$46/COEFICIENTE!$D$35</f>
        <v>0.07310657596371882</v>
      </c>
      <c r="J168" s="19">
        <f>$D168*DATOS!$C$12</f>
        <v>0.05733620275882395</v>
      </c>
      <c r="K168" s="19">
        <f>$E168*DATOS!$C$12</f>
        <v>0.05733620275882395</v>
      </c>
      <c r="L168" s="7">
        <f t="shared" si="7"/>
        <v>1.275050883143248</v>
      </c>
      <c r="M168" s="7">
        <f t="shared" si="8"/>
        <v>1.275050883143248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0.26378681349494704</v>
      </c>
      <c r="D169" s="25">
        <f>$C169/COEFICIENTE!$C$12</f>
        <v>0.03768383049927815</v>
      </c>
      <c r="E169" s="25">
        <f>$C169/COEFICIENTE!$D$12</f>
        <v>0.03768383049927815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0.06978354978354978</v>
      </c>
      <c r="I169" s="19">
        <f>$G169*DATOS!$C$46/COEFICIENTE!$D$35</f>
        <v>0.06978354978354978</v>
      </c>
      <c r="J169" s="19">
        <f>$D169*DATOS!$C$12</f>
        <v>0.05388787761396775</v>
      </c>
      <c r="K169" s="19">
        <f>$E169*DATOS!$C$12</f>
        <v>0.05388787761396775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0.26378681349494704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0.24860672632311862</v>
      </c>
      <c r="D170" s="25">
        <f>$C170/COEFICIENTE!$C$12</f>
        <v>0.03551524661758838</v>
      </c>
      <c r="E170" s="25">
        <f>$C170/COEFICIENTE!$D$12</f>
        <v>0.03551524661758838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0.06674948240165632</v>
      </c>
      <c r="I170" s="19">
        <f>$G170*DATOS!$C$46/COEFICIENTE!$D$35</f>
        <v>0.06674948240165632</v>
      </c>
      <c r="J170" s="19">
        <f>$D170*DATOS!$C$12</f>
        <v>0.05078680266315137</v>
      </c>
      <c r="K170" s="19">
        <f>$E170*DATOS!$C$12</f>
        <v>0.05078680266315137</v>
      </c>
      <c r="L170" s="7">
        <f t="shared" si="10"/>
        <v>1.314307633114434</v>
      </c>
      <c r="M170" s="7">
        <f t="shared" si="11"/>
        <v>1.314307633114434</v>
      </c>
      <c r="N170" s="10" t="str">
        <f>IF(DATOS!$C$9="NO","—",IF(AND($L170&gt;=1,$M170&gt;=1),"OK","CALIBRAR"))</f>
        <v>—</v>
      </c>
      <c r="O170" s="25">
        <f>IF(STAAD!$C$17="ASCE 7-16",$G170,$C170)</f>
        <v>0.24860672632311862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6.0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0.2348920584701319</v>
      </c>
      <c r="D171" s="25">
        <f>$C171/COEFICIENTE!$C$12</f>
        <v>0.033556008352875984</v>
      </c>
      <c r="E171" s="25">
        <f>$C171/COEFICIENTE!$D$12</f>
        <v>0.033556008352875984</v>
      </c>
      <c r="F171" s="19">
        <f t="shared" si="9"/>
        <v>0.3358333333333333</v>
      </c>
      <c r="G171" s="19">
        <f>IF($B171&lt;DATOS!$C$42,DATOS!$C$40*(0.4+0.6*$B171/DATOS!$C$42),IF($B171&lt;=DATOS!$C$43,DATOS!$C$40,IF($B171&lt;=DATOS!$C$44,DATOS!$C$41/$B171,DATOS!$C$41*DATOS!$C$44/$B171^2)))</f>
        <v>0.2238888888888889</v>
      </c>
      <c r="H171" s="19">
        <f>$G171*DATOS!$C$46/COEFICIENTE!$C$35</f>
        <v>0.06396825396825397</v>
      </c>
      <c r="I171" s="19">
        <f>$G171*DATOS!$C$46/COEFICIENTE!$D$35</f>
        <v>0.06396825396825397</v>
      </c>
      <c r="J171" s="19">
        <f>$D171*DATOS!$C$12</f>
        <v>0.04798509194461265</v>
      </c>
      <c r="K171" s="19">
        <f>$E171*DATOS!$C$12</f>
        <v>0.04798509194461265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0.030159269549821927</v>
      </c>
      <c r="E172" s="25">
        <f>$C172/COEFICIENTE!$D$12</f>
        <v>0.030159269549821927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0.05904761904761905</v>
      </c>
      <c r="I172" s="19">
        <f>$G172*DATOS!$C$46/COEFICIENTE!$D$35</f>
        <v>0.05904761904761905</v>
      </c>
      <c r="J172" s="19">
        <f>$D172*DATOS!$C$12</f>
        <v>0.04312775545624535</v>
      </c>
      <c r="K172" s="19">
        <f>$E172*DATOS!$C$12</f>
        <v>0.04312775545624535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7.0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0.19125198336582316</v>
      </c>
      <c r="D173" s="25">
        <f>$C173/COEFICIENTE!$C$12</f>
        <v>0.027321711909403308</v>
      </c>
      <c r="E173" s="25">
        <f>$C173/COEFICIENTE!$D$12</f>
        <v>0.027321711909403308</v>
      </c>
      <c r="F173" s="19">
        <f t="shared" si="9"/>
        <v>0.2878571428571428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0.05482993197278911</v>
      </c>
      <c r="I173" s="19">
        <f>$G173*DATOS!$C$46/COEFICIENTE!$D$35</f>
        <v>0.05482993197278911</v>
      </c>
      <c r="J173" s="19">
        <f>$D173*DATOS!$C$12</f>
        <v>0.03907004803044673</v>
      </c>
      <c r="K173" s="19">
        <f>$E173*DATOS!$C$12</f>
        <v>0.03907004803044673</v>
      </c>
      <c r="L173" s="7">
        <f t="shared" si="10"/>
        <v>1.4033750849259496</v>
      </c>
      <c r="M173" s="7">
        <f t="shared" si="11"/>
        <v>1.4033750849259496</v>
      </c>
      <c r="N173" s="10" t="str">
        <f>IF(DATOS!$C$9="NO","—",IF(AND($L173&gt;=1,$M173&gt;=1),"OK","CALIBRAR"))</f>
        <v>—</v>
      </c>
      <c r="O173" s="25">
        <f>IF(STAAD!$C$17="ASCE 7-16",$G173,$C173)</f>
        <v>0.19125198336582316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0.17444357691188545</v>
      </c>
      <c r="D174" s="25">
        <f>$C174/COEFICIENTE!$C$12</f>
        <v>0.024920510987412207</v>
      </c>
      <c r="E174" s="25">
        <f>$C174/COEFICIENTE!$D$12</f>
        <v>0.024920510987412207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</v>
      </c>
      <c r="H174" s="19">
        <f>$G174*DATOS!$C$46/COEFICIENTE!$C$35</f>
        <v>0.05117460317460317</v>
      </c>
      <c r="I174" s="19">
        <f>$G174*DATOS!$C$46/COEFICIENTE!$D$35</f>
        <v>0.05117460317460317</v>
      </c>
      <c r="J174" s="19">
        <f>$D174*DATOS!$C$12</f>
        <v>0.03563633071199945</v>
      </c>
      <c r="K174" s="19">
        <f>$E174*DATOS!$C$12</f>
        <v>0.03563633071199945</v>
      </c>
      <c r="L174" s="7">
        <f t="shared" si="10"/>
        <v>1.4360233545978311</v>
      </c>
      <c r="M174" s="7">
        <f t="shared" si="11"/>
        <v>1.4360233545978311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8.0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0.16006019870205287</v>
      </c>
      <c r="D175" s="25">
        <f>$C175/COEFICIENTE!$C$12</f>
        <v>0.02286574267172184</v>
      </c>
      <c r="E175" s="25">
        <f>$C175/COEFICIENTE!$D$12</f>
        <v>0.02286574267172184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0.04797619047619047</v>
      </c>
      <c r="I175" s="19">
        <f>$G175*DATOS!$C$46/COEFICIENTE!$D$35</f>
        <v>0.04797619047619047</v>
      </c>
      <c r="J175" s="19">
        <f>$D175*DATOS!$C$12</f>
        <v>0.03269801202056223</v>
      </c>
      <c r="K175" s="19">
        <f>$E175*DATOS!$C$12</f>
        <v>0.03269801202056223</v>
      </c>
      <c r="L175" s="7">
        <f t="shared" si="10"/>
        <v>1.4672509890209997</v>
      </c>
      <c r="M175" s="7">
        <f t="shared" si="11"/>
        <v>1.4672509890209997</v>
      </c>
      <c r="N175" s="10" t="str">
        <f>IF(DATOS!$C$9="NO","—",IF(AND($L175&gt;=1,$M175&gt;=1),"OK","CALIBRAR"))</f>
        <v>—</v>
      </c>
      <c r="O175" s="25">
        <f>IF(STAAD!$C$17="ASCE 7-16",$G175,$C175)</f>
        <v>0.16006019870205287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0.1476311830710877</v>
      </c>
      <c r="D176" s="25">
        <f>$C176/COEFICIENTE!$C$12</f>
        <v>0.021090169010155386</v>
      </c>
      <c r="E176" s="25">
        <f>$C176/COEFICIENTE!$D$12</f>
        <v>0.021090169010155386</v>
      </c>
      <c r="F176" s="19">
        <f t="shared" si="9"/>
        <v>0.2231141868512111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0.04249794035261163</v>
      </c>
      <c r="I176" s="19">
        <f>$G176*DATOS!$C$46/COEFICIENTE!$D$35</f>
        <v>0.04249794035261163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0.1476311830710877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9.0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0.1367980757341358</v>
      </c>
      <c r="D177" s="25">
        <f>$C177/COEFICIENTE!$C$12</f>
        <v>0.019542582247733687</v>
      </c>
      <c r="E177" s="25">
        <f>$C177/COEFICIENTE!$D$12</f>
        <v>0.019542582247733687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0.03790711346266901</v>
      </c>
      <c r="I177" s="19">
        <f>$G177*DATOS!$C$46/COEFICIENTE!$D$35</f>
        <v>0.03790711346266901</v>
      </c>
      <c r="J177" s="19">
        <f>$D177*DATOS!$C$12</f>
        <v>0.02794589261425917</v>
      </c>
      <c r="K177" s="19">
        <f>$E177*DATOS!$C$12</f>
        <v>0.02794589261425917</v>
      </c>
      <c r="L177" s="7">
        <f t="shared" si="10"/>
        <v>1.3564466873864394</v>
      </c>
      <c r="M177" s="7">
        <f t="shared" si="11"/>
        <v>1.3564466873864394</v>
      </c>
      <c r="N177" s="10" t="str">
        <f>IF(DATOS!$C$9="NO","—",IF(AND($L177&gt;=1,$M177&gt;=1),"OK","CALIBRAR"))</f>
        <v>—</v>
      </c>
      <c r="O177" s="25">
        <f>IF(STAAD!$C$17="ASCE 7-16",$G177,$C177)</f>
        <v>0.1367980757341358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0.12728342724198424</v>
      </c>
      <c r="D178" s="25">
        <f>$C178/COEFICIENTE!$C$12</f>
        <v>0.01818334674885489</v>
      </c>
      <c r="E178" s="25">
        <f>$C178/COEFICIENTE!$D$12</f>
        <v>0.01818334674885489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0.03402189684738161</v>
      </c>
      <c r="I178" s="19">
        <f>$G178*DATOS!$C$46/COEFICIENTE!$D$35</f>
        <v>0.03402189684738161</v>
      </c>
      <c r="J178" s="19">
        <f>$D178*DATOS!$C$12</f>
        <v>0.026002185850862492</v>
      </c>
      <c r="K178" s="19">
        <f>$E178*DATOS!$C$12</f>
        <v>0.026002185850862492</v>
      </c>
      <c r="L178" s="7">
        <f t="shared" si="10"/>
        <v>1.308424493329783</v>
      </c>
      <c r="M178" s="7">
        <f t="shared" si="11"/>
        <v>1.308424493329783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10.0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0.1188693809602066</v>
      </c>
      <c r="D179" s="25">
        <f>$C179/COEFICIENTE!$C$12</f>
        <v>0.01698134013717237</v>
      </c>
      <c r="E179" s="25">
        <f>$C179/COEFICIENTE!$D$12</f>
        <v>0.01698134013717237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0.02428331639615649</v>
      </c>
      <c r="K179" s="19">
        <f>$E179*DATOS!$C$12</f>
        <v>0.02428331639615649</v>
      </c>
      <c r="L179" s="7">
        <f t="shared" si="10"/>
        <v>1.2644385718921731</v>
      </c>
      <c r="M179" s="7">
        <f t="shared" si="11"/>
        <v>1.2644385718921731</v>
      </c>
      <c r="N179" s="10" t="str">
        <f>IF(DATOS!$C$9="NO","—",IF(AND($L179&gt;=1,$M179&gt;=1),"OK","CALIBRAR"))</f>
        <v>—</v>
      </c>
      <c r="O179" s="25">
        <f>IF(STAAD!$C$17="ASCE 7-16",$G179,$C179)</f>
        <v>0.1188693809602066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3.5335542857142856</v>
      </c>
      <c r="D9" s="21">
        <f>COEFICIENTE!$D$24</f>
        <v>3.5335542857142856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34.652330135999996</v>
      </c>
      <c r="D10" s="7">
        <f>COEFICIENTE!$D$24*9.80665</f>
        <v>34.652330135999996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0.0</v>
      </c>
      <c r="D11" s="13">
        <f>COEFICIENTE!$D$25*COEFICIENTE!$D$24</f>
        <v>0.0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3.180198857142857</v>
      </c>
      <c r="D12" s="13">
        <f>COEFICIENTE!$D$27*DATOS!$C$60</f>
        <v>3.180198857142857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6.0</v>
      </c>
      <c r="D13" s="12">
        <f>COEFICIENTE!$D$13</f>
        <v>6.0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8.387610895238094</v>
      </c>
      <c r="D14" s="13">
        <f>COEFICIENTE!$D$51</f>
        <v>8.387610895238094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8.387610895238094</v>
      </c>
      <c r="D15" s="13">
        <f>COEFICIENTE!$D$54*DATOS!$C$61*IF(DATOS!$C$9="SÍ",COEFICIENTE!$D$64,1)</f>
        <v>8.387610895238094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3.0</v>
      </c>
      <c r="D16" s="7">
        <f>COEFICIENTE!$D$55</f>
        <v>3.0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25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s">
        <v>882</v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30.0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25.0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10.0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15.0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5.0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10.0</v>
      </c>
      <c r="E40" s="7">
        <f>(D41-D39)/2</f>
        <v>8.0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16.0</v>
      </c>
      <c r="E41" s="7">
        <f>(D41-D40)/2</f>
        <v>3.0</v>
      </c>
      <c r="F41" s="7">
        <f>$C$10/2*E41</f>
        <v>15.120000000000001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16.0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 ht="26.4" x14ac:dyDescent="0.3">
      <c r="B48" s="2" t="s">
        <v>968</v>
      </c>
      <c r="C48" s="32" t="s">
        <v>969</v>
      </c>
      <c r="D48" s="7">
        <f>$C$16</f>
        <v>1.2</v>
      </c>
      <c r="E48" s="3" t="s">
        <v>970</v>
      </c>
      <c r="F48" s="7">
        <f t="shared" ref="F48:F59" si="0">$C$9*D48</f>
        <v>7.02</v>
      </c>
      <c r="G48" s="19">
        <f t="shared" ref="G48:G60" si="1">F48*$C$24</f>
        <v>0.0702</v>
      </c>
    </row>
    <row r="49" spans="2:7" x14ac:dyDescent="0.3">
      <c r="B49" s="2" t="s">
        <v>971</v>
      </c>
      <c r="C49" s="32" t="s">
        <v>972</v>
      </c>
      <c r="D49" s="7">
        <f>$C$16</f>
        <v>1.2</v>
      </c>
      <c r="E49" s="3" t="s">
        <v>970</v>
      </c>
      <c r="F49" s="7">
        <f t="shared" si="0"/>
        <v>7.02</v>
      </c>
      <c r="G49" s="19">
        <f t="shared" si="1"/>
        <v>0.0702</v>
      </c>
    </row>
    <row r="50" spans="2:7" ht="26.4" x14ac:dyDescent="0.3">
      <c r="B50" s="2" t="s">
        <v>973</v>
      </c>
      <c r="C50" s="32" t="s">
        <v>974</v>
      </c>
      <c r="D50" s="7">
        <f>$C$16/2+(($C$12+$C$13)/2-$C$17)/2</f>
        <v>0.8853149999999997</v>
      </c>
      <c r="E50" s="3" t="s">
        <v>975</v>
      </c>
      <c r="F50" s="7">
        <f t="shared" si="0"/>
        <v>5.179092749999998</v>
      </c>
      <c r="G50" s="19">
        <f t="shared" si="1"/>
        <v>0.05179092749999998</v>
      </c>
    </row>
    <row r="51" spans="2:7" ht="26.4" x14ac:dyDescent="0.3">
      <c r="B51" s="2" t="s">
        <v>976</v>
      </c>
      <c r="C51" s="32" t="s">
        <v>977</v>
      </c>
      <c r="D51" s="7">
        <f>$C$16/2+(($C$13+$C$14)/2-$C$17)/2</f>
        <v>0.67782</v>
      </c>
      <c r="E51" s="3" t="s">
        <v>978</v>
      </c>
      <c r="F51" s="7">
        <f t="shared" si="0"/>
        <v>3.9652469999999997</v>
      </c>
      <c r="G51" s="19">
        <f t="shared" si="1"/>
        <v>0.039652469999999995</v>
      </c>
    </row>
    <row r="52" spans="2:7" x14ac:dyDescent="0.3">
      <c r="B52" s="2" t="s">
        <v>979</v>
      </c>
      <c r="C52" s="32" t="s">
        <v>980</v>
      </c>
      <c r="D52" s="7">
        <f>$C$16/2</f>
        <v>0.6</v>
      </c>
      <c r="E52" s="3" t="s">
        <v>981</v>
      </c>
      <c r="F52" s="7">
        <f t="shared" si="0"/>
        <v>3.51</v>
      </c>
      <c r="G52" s="19">
        <f t="shared" si="1"/>
        <v>0.0351</v>
      </c>
    </row>
    <row r="53" spans="2:7" x14ac:dyDescent="0.3">
      <c r="B53" s="2" t="s">
        <v>982</v>
      </c>
      <c r="C53" s="32" t="s">
        <v>983</v>
      </c>
      <c r="D53" s="7">
        <f>$C$16/2+($C$19-$C$20)/2</f>
        <v>0.85</v>
      </c>
      <c r="E53" s="3" t="s">
        <v>984</v>
      </c>
      <c r="F53" s="7">
        <f t="shared" si="0"/>
        <v>4.972499999999999</v>
      </c>
      <c r="G53" s="19">
        <f t="shared" si="1"/>
        <v>0.04972499999999999</v>
      </c>
    </row>
    <row r="54" spans="2:7" x14ac:dyDescent="0.3">
      <c r="B54" s="2" t="s">
        <v>985</v>
      </c>
      <c r="C54" s="32" t="s">
        <v>986</v>
      </c>
      <c r="D54" s="7">
        <f>($C$21-$C$19)/2</f>
        <v>0.3500000000000001</v>
      </c>
      <c r="E54" s="3" t="s">
        <v>987</v>
      </c>
      <c r="F54" s="7">
        <f t="shared" si="0"/>
        <v>2.0475000000000003</v>
      </c>
      <c r="G54" s="19">
        <f t="shared" si="1"/>
        <v>0.020475000000000004</v>
      </c>
    </row>
    <row r="55" spans="2:7" x14ac:dyDescent="0.3">
      <c r="B55" s="2" t="s">
        <v>988</v>
      </c>
      <c r="C55" s="32" t="s">
        <v>989</v>
      </c>
      <c r="D55" s="7">
        <f>$C$16/2+($C$21-$C$19)/2</f>
        <v>0.9500000000000001</v>
      </c>
      <c r="E55" s="3" t="s">
        <v>990</v>
      </c>
      <c r="F55" s="7">
        <f t="shared" si="0"/>
        <v>5.5575</v>
      </c>
      <c r="G55" s="19">
        <f t="shared" si="1"/>
        <v>0.055575</v>
      </c>
    </row>
    <row r="56" spans="2:7" x14ac:dyDescent="0.3">
      <c r="B56" s="2" t="s">
        <v>991</v>
      </c>
      <c r="C56" s="32" t="s">
        <v>992</v>
      </c>
      <c r="D56" s="7">
        <f>$C$16/2+($C$12-$C$17)/2</f>
        <v>1.0150000000000001</v>
      </c>
      <c r="E56" s="3" t="s">
        <v>993</v>
      </c>
      <c r="F56" s="7">
        <f t="shared" si="0"/>
        <v>5.93775</v>
      </c>
      <c r="G56" s="19">
        <f t="shared" si="1"/>
        <v>0.05937750000000001</v>
      </c>
    </row>
    <row r="57" spans="2:7" x14ac:dyDescent="0.3">
      <c r="B57" s="2" t="s">
        <v>994</v>
      </c>
      <c r="C57" s="32" t="s">
        <v>942</v>
      </c>
      <c r="D57" s="7">
        <f>($C$12-$C$17)/2</f>
        <v>0.41500000000000004</v>
      </c>
      <c r="E57" s="3" t="s">
        <v>995</v>
      </c>
      <c r="F57" s="7">
        <f t="shared" si="0"/>
        <v>2.42775</v>
      </c>
      <c r="G57" s="19">
        <f t="shared" si="1"/>
        <v>0.0242775</v>
      </c>
    </row>
    <row r="58" spans="2:7" x14ac:dyDescent="0.3">
      <c r="B58" s="2" t="s">
        <v>996</v>
      </c>
      <c r="C58" s="32" t="s">
        <v>997</v>
      </c>
      <c r="D58" s="7">
        <f>(($C$12+$C$13)/2-$C$17)/2</f>
        <v>0.28531499999999976</v>
      </c>
      <c r="E58" s="3" t="s">
        <v>998</v>
      </c>
      <c r="F58" s="7">
        <f t="shared" si="0"/>
        <v>1.6690927499999986</v>
      </c>
      <c r="G58" s="19">
        <f t="shared" si="1"/>
        <v>0.016690927499999987</v>
      </c>
    </row>
    <row r="59" spans="2:7" x14ac:dyDescent="0.3">
      <c r="B59" s="2" t="s">
        <v>999</v>
      </c>
      <c r="C59" s="32" t="s">
        <v>1000</v>
      </c>
      <c r="D59" s="7">
        <f>(($C$13+$C$14)/2-$C$17)/2</f>
        <v>0.07782</v>
      </c>
      <c r="E59" s="3" t="s">
        <v>1001</v>
      </c>
      <c r="F59" s="7">
        <f t="shared" si="0"/>
        <v>0.45524699999999996</v>
      </c>
      <c r="G59" s="19">
        <f t="shared" si="1"/>
        <v>0.0045524699999999994</v>
      </c>
    </row>
    <row r="60" spans="2:7" x14ac:dyDescent="0.3">
      <c r="B60" s="2" t="s">
        <v>1002</v>
      </c>
      <c r="C60" s="32" t="s">
        <v>986</v>
      </c>
      <c r="D60" s="7"/>
      <c r="E60" s="3" t="s">
        <v>1003</v>
      </c>
      <c r="F60" s="7">
        <f>$C$22/$C$23*100</f>
        <v>78.0</v>
      </c>
      <c r="G60" s="19">
        <f t="shared" si="1"/>
        <v>0.78</v>
      </c>
    </row>
    <row r="62" spans="2:7" ht="21" customHeight="1" x14ac:dyDescent="0.3">
      <c r="B62" s="37" t="s">
        <v>1004</v>
      </c>
      <c r="C62" s="37"/>
      <c r="D62" s="37"/>
      <c r="E62" s="37"/>
      <c r="F62" s="37"/>
      <c r="G62" s="37"/>
    </row>
    <row r="63" spans="2:7" ht="30" customHeight="1" x14ac:dyDescent="0.3">
      <c r="B63" s="35" t="s">
        <v>1005</v>
      </c>
      <c r="C63" s="35"/>
      <c r="D63" s="35"/>
      <c r="E63" s="35"/>
      <c r="F63" s="35"/>
      <c r="G63" s="35"/>
    </row>
    <row r="65" spans="2:3" x14ac:dyDescent="0.3">
      <c r="B65" s="1" t="s">
        <v>1006</v>
      </c>
      <c r="C65" s="1" t="s">
        <v>945</v>
      </c>
    </row>
    <row r="66" spans="2:3" x14ac:dyDescent="0.3">
      <c r="B66" s="29" t="s">
        <v>1007</v>
      </c>
      <c r="C66" s="17" t="str">
        <f t="shared" ref="C66:C83" si="2">IF(LEN($B66)&gt;79,"MÁS DE 79 CARACTERES","")</f>
        <v/>
      </c>
    </row>
    <row r="67" spans="2:3" x14ac:dyDescent="0.3">
      <c r="B67" s="29" t="str">
        <f>C30&amp;" UNI GY "&amp;TEXT(-G30,"0.0000")</f>
        <v>74 121 TO 124 285 TO 287 310 TO 326 352 TO 371 UNI GY -0.2898</v>
      </c>
      <c r="C67" s="17" t="str">
        <f t="shared" si="2"/>
        <v/>
      </c>
    </row>
    <row r="68" spans="2:3" x14ac:dyDescent="0.3">
      <c r="B68" s="29" t="str">
        <f>C31&amp;" UNI GY "&amp;TEXT(-G31,"0.0000")</f>
        <v>327 372 TO 375 UNI GY -0.2415</v>
      </c>
      <c r="C68" s="17" t="str">
        <f t="shared" si="2"/>
        <v/>
      </c>
    </row>
    <row r="69" spans="2:3" x14ac:dyDescent="0.3">
      <c r="B69" s="29" t="str">
        <f>C32&amp;" UNI GY "&amp;TEXT(-G32,"0.0000")</f>
        <v>11 48 TO 51 UNI GY -0.0966</v>
      </c>
      <c r="C69" s="17" t="str">
        <f t="shared" si="2"/>
        <v/>
      </c>
    </row>
    <row r="70" spans="2:3" x14ac:dyDescent="0.3">
      <c r="B70" s="29" t="str">
        <f>C33&amp;" UNI GY "&amp;TEXT(-G33,"0.0000")</f>
        <v>12 52 TO 55 UNI GY -0.1449</v>
      </c>
      <c r="C70" s="17" t="str">
        <f t="shared" si="2"/>
        <v/>
      </c>
    </row>
    <row r="71" spans="2:3" x14ac:dyDescent="0.3">
      <c r="B71" s="29" t="str">
        <f t="shared" ref="B71:B83" si="3">C48&amp;" UNI GY "&amp;TEXT(-G48,"0.0000")</f>
        <v>16 17 20 21 24 25 28 29 32 33 36 37 40 41 199 TO 202 205 TO 214 UNI GY -0.0702</v>
      </c>
      <c r="C71" s="17" t="str">
        <f t="shared" si="2"/>
        <v/>
      </c>
    </row>
    <row r="72" spans="2:3" x14ac:dyDescent="0.3">
      <c r="B72" s="29" t="str">
        <f t="shared" si="3"/>
        <v>23 27 31 43 46 149 153 155 159 161 203 UNI GY -0.0702</v>
      </c>
      <c r="C72" s="17" t="str">
        <f t="shared" si="2"/>
        <v/>
      </c>
    </row>
    <row r="73" spans="2:3" x14ac:dyDescent="0.3">
      <c r="B73" s="29" t="str">
        <f t="shared" si="3"/>
        <v>44 45 UNI GY -0.0518</v>
      </c>
      <c r="C73" s="17" t="str">
        <f t="shared" si="2"/>
        <v/>
      </c>
    </row>
    <row r="74" spans="2:3" x14ac:dyDescent="0.3">
      <c r="B74" s="29" t="str">
        <f t="shared" si="3"/>
        <v>215 216 UNI GY -0.0397</v>
      </c>
      <c r="C74" s="17" t="str">
        <f t="shared" si="2"/>
        <v/>
      </c>
    </row>
    <row r="75" spans="2:3" x14ac:dyDescent="0.3">
      <c r="B75" s="29" t="str">
        <f t="shared" si="3"/>
        <v>68 204 233 UNI GY -0.0351</v>
      </c>
      <c r="C75" s="17" t="str">
        <f t="shared" si="2"/>
        <v/>
      </c>
    </row>
    <row r="76" spans="2:3" x14ac:dyDescent="0.3">
      <c r="B76" s="29" t="str">
        <f t="shared" si="3"/>
        <v>35 157 UNI GY -0.0497</v>
      </c>
      <c r="C76" s="17" t="str">
        <f t="shared" si="2"/>
        <v/>
      </c>
    </row>
    <row r="77" spans="2:3" x14ac:dyDescent="0.3">
      <c r="B77" s="29" t="str">
        <f t="shared" si="3"/>
        <v>234 UNI GY -0.0205</v>
      </c>
      <c r="C77" s="17" t="str">
        <f t="shared" si="2"/>
        <v/>
      </c>
    </row>
    <row r="78" spans="2:3" x14ac:dyDescent="0.3">
      <c r="B78" s="29" t="str">
        <f t="shared" si="3"/>
        <v>39 UNI GY -0.0556</v>
      </c>
      <c r="C78" s="17" t="str">
        <f t="shared" si="2"/>
        <v/>
      </c>
    </row>
    <row r="79" spans="2:3" x14ac:dyDescent="0.3">
      <c r="B79" s="29" t="str">
        <f t="shared" si="3"/>
        <v>47 UNI GY -0.0594</v>
      </c>
      <c r="C79" s="17" t="str">
        <f t="shared" si="2"/>
        <v/>
      </c>
    </row>
    <row r="80" spans="2:3" x14ac:dyDescent="0.3">
      <c r="B80" s="29" t="str">
        <f t="shared" si="3"/>
        <v>11 48 TO 51 UNI GY -0.0243</v>
      </c>
      <c r="C80" s="17" t="str">
        <f t="shared" si="2"/>
        <v/>
      </c>
    </row>
    <row r="81" spans="2:3" x14ac:dyDescent="0.3">
      <c r="B81" s="29" t="str">
        <f t="shared" si="3"/>
        <v>241 242 269 TO 280 UNI GY -0.0167</v>
      </c>
      <c r="C81" s="17" t="str">
        <f t="shared" si="2"/>
        <v/>
      </c>
    </row>
    <row r="82" spans="2:3" x14ac:dyDescent="0.3">
      <c r="B82" s="29" t="str">
        <f t="shared" si="3"/>
        <v>243 TO 250 UNI GY -0.0046</v>
      </c>
      <c r="C82" s="17" t="str">
        <f t="shared" si="2"/>
        <v/>
      </c>
    </row>
    <row r="83" spans="2:3" x14ac:dyDescent="0.3">
      <c r="B83" s="29" t="str">
        <f t="shared" si="3"/>
        <v>234 UNI GY -0.7800</v>
      </c>
      <c r="C83" s="17" t="str">
        <f t="shared" si="2"/>
        <v/>
      </c>
    </row>
    <row r="85" spans="2:3" x14ac:dyDescent="0.3">
      <c r="B85" s="1" t="s">
        <v>1008</v>
      </c>
      <c r="C85" s="1" t="s">
        <v>945</v>
      </c>
    </row>
    <row r="86" spans="2:3" x14ac:dyDescent="0.3">
      <c r="B86" s="29" t="s">
        <v>1007</v>
      </c>
      <c r="C86" s="17" t="str">
        <f>IF(LEN($B86)&gt;79,"MÁS DE 79 CARACTERES","")</f>
        <v/>
      </c>
    </row>
    <row r="87" spans="2:3" x14ac:dyDescent="0.3">
      <c r="B87" s="29" t="str">
        <f>C30&amp;" UNI GY "&amp;TEXT(-F30*$C$24,"0.0000")</f>
        <v>74 121 TO 124 285 TO 287 310 TO 326 352 TO 371 UNI GY -0.3000</v>
      </c>
      <c r="C87" s="17" t="str">
        <f>IF(LEN($B87)&gt;79,"MÁS DE 79 CARACTERES","")</f>
        <v/>
      </c>
    </row>
    <row r="88" spans="2:3" x14ac:dyDescent="0.3">
      <c r="B88" s="29" t="str">
        <f>C31&amp;" UNI GY "&amp;TEXT(-F31*$C$24,"0.0000")</f>
        <v>327 372 TO 375 UNI GY -0.2500</v>
      </c>
      <c r="C88" s="17" t="str">
        <f>IF(LEN($B88)&gt;79,"MÁS DE 79 CARACTERES","")</f>
        <v/>
      </c>
    </row>
    <row r="89" spans="2:3" x14ac:dyDescent="0.3">
      <c r="B89" s="29" t="str">
        <f>C32&amp;" UNI GY "&amp;TEXT(-F32*$C$24,"0.0000")</f>
        <v>11 48 TO 51 UNI GY -0.1000</v>
      </c>
      <c r="C89" s="17" t="str">
        <f>IF(LEN($B89)&gt;79,"MÁS DE 79 CARACTERES","")</f>
        <v/>
      </c>
    </row>
    <row r="90" spans="2:3" x14ac:dyDescent="0.3">
      <c r="B90" s="29" t="str">
        <f>C33&amp;" UNI GY "&amp;TEXT(-F33*$C$24,"0.0000")</f>
        <v>12 52 TO 55 UNI GY -0.1500</v>
      </c>
      <c r="C90" s="17" t="str">
        <f>IF(LEN($B90)&gt;79,"MÁS DE 79 CARACTERES","")</f>
        <v/>
      </c>
    </row>
    <row r="92" spans="2:3" x14ac:dyDescent="0.3">
      <c r="B92" s="1" t="s">
        <v>1009</v>
      </c>
      <c r="C92" s="1" t="s">
        <v>945</v>
      </c>
    </row>
    <row r="93" spans="2:3" x14ac:dyDescent="0.3">
      <c r="B93" s="29" t="s">
        <v>1010</v>
      </c>
      <c r="C93" s="17" t="str">
        <f t="shared" ref="C93:C125" si="4">IF(LEN($B93)&gt;79,"MÁS DE 79 CARACTERES","")</f>
        <v/>
      </c>
    </row>
    <row r="94" spans="2:3" x14ac:dyDescent="0.3">
      <c r="B94" s="29" t="str">
        <f>C39&amp;" FX "&amp;TEXT(G39,"0.00")&amp;" FZ "&amp;TEXT(G39,"0.00")</f>
        <v>7 8 FX 486.86 FZ 486.86</v>
      </c>
      <c r="C94" s="17" t="str">
        <f t="shared" si="4"/>
        <v/>
      </c>
    </row>
    <row r="95" spans="2:3" x14ac:dyDescent="0.3">
      <c r="B95" s="29" t="str">
        <f>C40&amp;" FX "&amp;TEXT(G40,"0.00")&amp;" FZ "&amp;TEXT(G40,"0.00")</f>
        <v>75 76 FX 778.98 FZ 778.98</v>
      </c>
      <c r="C95" s="17" t="str">
        <f t="shared" si="4"/>
        <v/>
      </c>
    </row>
    <row r="96" spans="2:3" x14ac:dyDescent="0.3">
      <c r="B96" s="29" t="str">
        <f>C41&amp;" FX "&amp;TEXT(G41,"0.00")&amp;" FZ "&amp;TEXT(G41,"0.00")</f>
        <v>9 10 FX 292.12 FZ 292.12</v>
      </c>
      <c r="C96" s="17" t="str">
        <f t="shared" si="4"/>
        <v/>
      </c>
    </row>
    <row r="97" spans="2:3" x14ac:dyDescent="0.3">
      <c r="B97" s="29" t="s">
        <v>1007</v>
      </c>
      <c r="C97" s="17" t="str">
        <f t="shared" si="4"/>
        <v/>
      </c>
    </row>
    <row r="98" spans="2:3" x14ac:dyDescent="0.3">
      <c r="B98" s="29" t="str">
        <f t="shared" ref="B98:B110" si="5">C48&amp;" UNI GX "&amp;TEXT(G48,"0.0000")</f>
        <v>16 17 20 21 24 25 28 29 32 33 36 37 40 41 199 TO 202 205 TO 214 UNI GX 0.0702</v>
      </c>
      <c r="C98" s="17" t="str">
        <f t="shared" si="4"/>
        <v/>
      </c>
    </row>
    <row r="99" spans="2:3" x14ac:dyDescent="0.3">
      <c r="B99" s="29" t="str">
        <f t="shared" si="5"/>
        <v>23 27 31 43 46 149 153 155 159 161 203 UNI GX 0.0702</v>
      </c>
      <c r="C99" s="17" t="str">
        <f t="shared" si="4"/>
        <v/>
      </c>
    </row>
    <row r="100" spans="2:3" x14ac:dyDescent="0.3">
      <c r="B100" s="29" t="str">
        <f t="shared" si="5"/>
        <v>44 45 UNI GX 0.0518</v>
      </c>
      <c r="C100" s="17" t="str">
        <f t="shared" si="4"/>
        <v/>
      </c>
    </row>
    <row r="101" spans="2:3" x14ac:dyDescent="0.3">
      <c r="B101" s="29" t="str">
        <f t="shared" si="5"/>
        <v>215 216 UNI GX 0.0397</v>
      </c>
      <c r="C101" s="17" t="str">
        <f t="shared" si="4"/>
        <v/>
      </c>
    </row>
    <row r="102" spans="2:3" x14ac:dyDescent="0.3">
      <c r="B102" s="29" t="str">
        <f t="shared" si="5"/>
        <v>68 204 233 UNI GX 0.0351</v>
      </c>
      <c r="C102" s="17" t="str">
        <f t="shared" si="4"/>
        <v/>
      </c>
    </row>
    <row r="103" spans="2:3" x14ac:dyDescent="0.3">
      <c r="B103" s="29" t="str">
        <f t="shared" si="5"/>
        <v>35 157 UNI GX 0.0497</v>
      </c>
      <c r="C103" s="17" t="str">
        <f t="shared" si="4"/>
        <v/>
      </c>
    </row>
    <row r="104" spans="2:3" x14ac:dyDescent="0.3">
      <c r="B104" s="29" t="str">
        <f t="shared" si="5"/>
        <v>234 UNI GX 0.0205</v>
      </c>
      <c r="C104" s="17" t="str">
        <f t="shared" si="4"/>
        <v/>
      </c>
    </row>
    <row r="105" spans="2:3" x14ac:dyDescent="0.3">
      <c r="B105" s="29" t="str">
        <f t="shared" si="5"/>
        <v>39 UNI GX 0.0556</v>
      </c>
      <c r="C105" s="17" t="str">
        <f t="shared" si="4"/>
        <v/>
      </c>
    </row>
    <row r="106" spans="2:3" x14ac:dyDescent="0.3">
      <c r="B106" s="29" t="str">
        <f t="shared" si="5"/>
        <v>47 UNI GX 0.0594</v>
      </c>
      <c r="C106" s="17" t="str">
        <f t="shared" si="4"/>
        <v/>
      </c>
    </row>
    <row r="107" spans="2:3" x14ac:dyDescent="0.3">
      <c r="B107" s="29" t="str">
        <f t="shared" si="5"/>
        <v>11 48 TO 51 UNI GX 0.0243</v>
      </c>
      <c r="C107" s="17" t="str">
        <f t="shared" si="4"/>
        <v/>
      </c>
    </row>
    <row r="108" spans="2:3" x14ac:dyDescent="0.3">
      <c r="B108" s="29" t="str">
        <f t="shared" si="5"/>
        <v>241 242 269 TO 280 UNI GX 0.0167</v>
      </c>
      <c r="C108" s="17" t="str">
        <f t="shared" si="4"/>
        <v/>
      </c>
    </row>
    <row r="109" spans="2:3" x14ac:dyDescent="0.3">
      <c r="B109" s="29" t="str">
        <f t="shared" si="5"/>
        <v>243 TO 250 UNI GX 0.0046</v>
      </c>
      <c r="C109" s="17" t="str">
        <f t="shared" si="4"/>
        <v/>
      </c>
    </row>
    <row r="110" spans="2:3" x14ac:dyDescent="0.3">
      <c r="B110" s="29" t="str">
        <f t="shared" si="5"/>
        <v>234 UNI GX 0.7800</v>
      </c>
      <c r="C110" s="17" t="str">
        <f t="shared" si="4"/>
        <v/>
      </c>
    </row>
    <row r="111" spans="2:3" x14ac:dyDescent="0.3">
      <c r="B111" s="29" t="str">
        <f t="shared" ref="B111:B123" si="6">C48&amp;" UNI GZ "&amp;TEXT(G48,"0.0000")</f>
        <v>16 17 20 21 24 25 28 29 32 33 36 37 40 41 199 TO 202 205 TO 214 UNI GZ 0.0702</v>
      </c>
      <c r="C111" s="17" t="str">
        <f t="shared" si="4"/>
        <v/>
      </c>
    </row>
    <row r="112" spans="2:3" x14ac:dyDescent="0.3">
      <c r="B112" s="29" t="str">
        <f t="shared" si="6"/>
        <v>23 27 31 43 46 149 153 155 159 161 203 UNI GZ 0.0702</v>
      </c>
      <c r="C112" s="17" t="str">
        <f t="shared" si="4"/>
        <v/>
      </c>
    </row>
    <row r="113" spans="2:3" x14ac:dyDescent="0.3">
      <c r="B113" s="29" t="str">
        <f t="shared" si="6"/>
        <v>44 45 UNI GZ 0.0518</v>
      </c>
      <c r="C113" s="17" t="str">
        <f t="shared" si="4"/>
        <v/>
      </c>
    </row>
    <row r="114" spans="2:3" x14ac:dyDescent="0.3">
      <c r="B114" s="29" t="str">
        <f t="shared" si="6"/>
        <v>215 216 UNI GZ 0.0397</v>
      </c>
      <c r="C114" s="17" t="str">
        <f t="shared" si="4"/>
        <v/>
      </c>
    </row>
    <row r="115" spans="2:3" x14ac:dyDescent="0.3">
      <c r="B115" s="29" t="str">
        <f t="shared" si="6"/>
        <v>68 204 233 UNI GZ 0.0351</v>
      </c>
      <c r="C115" s="17" t="str">
        <f t="shared" si="4"/>
        <v/>
      </c>
    </row>
    <row r="116" spans="2:3" x14ac:dyDescent="0.3">
      <c r="B116" s="29" t="str">
        <f t="shared" si="6"/>
        <v>35 157 UNI GZ 0.0497</v>
      </c>
      <c r="C116" s="17" t="str">
        <f t="shared" si="4"/>
        <v/>
      </c>
    </row>
    <row r="117" spans="2:3" x14ac:dyDescent="0.3">
      <c r="B117" s="29" t="str">
        <f t="shared" si="6"/>
        <v>234 UNI GZ 0.0205</v>
      </c>
      <c r="C117" s="17" t="str">
        <f t="shared" si="4"/>
        <v/>
      </c>
    </row>
    <row r="118" spans="2:3" x14ac:dyDescent="0.3">
      <c r="B118" s="29" t="str">
        <f t="shared" si="6"/>
        <v>39 UNI GZ 0.0556</v>
      </c>
      <c r="C118" s="17" t="str">
        <f t="shared" si="4"/>
        <v/>
      </c>
    </row>
    <row r="119" spans="2:3" x14ac:dyDescent="0.3">
      <c r="B119" s="29" t="str">
        <f t="shared" si="6"/>
        <v>47 UNI GZ 0.0594</v>
      </c>
      <c r="C119" s="17" t="str">
        <f t="shared" si="4"/>
        <v/>
      </c>
    </row>
    <row r="120" spans="2:3" x14ac:dyDescent="0.3">
      <c r="B120" s="29" t="str">
        <f t="shared" si="6"/>
        <v>11 48 TO 51 UNI GZ 0.0243</v>
      </c>
      <c r="C120" s="17" t="str">
        <f t="shared" si="4"/>
        <v/>
      </c>
    </row>
    <row r="121" spans="2:3" x14ac:dyDescent="0.3">
      <c r="B121" s="29" t="str">
        <f t="shared" si="6"/>
        <v>241 242 269 TO 280 UNI GZ 0.0167</v>
      </c>
      <c r="C121" s="17" t="str">
        <f t="shared" si="4"/>
        <v/>
      </c>
    </row>
    <row r="122" spans="2:3" x14ac:dyDescent="0.3">
      <c r="B122" s="29" t="str">
        <f t="shared" si="6"/>
        <v>243 TO 250 UNI GZ 0.0046</v>
      </c>
      <c r="C122" s="17" t="str">
        <f t="shared" si="4"/>
        <v/>
      </c>
    </row>
    <row r="123" spans="2:3" x14ac:dyDescent="0.3">
      <c r="B123" s="29" t="str">
        <f t="shared" si="6"/>
        <v>234 UNI GZ 0.7800</v>
      </c>
      <c r="C123" s="17" t="str">
        <f t="shared" si="4"/>
        <v/>
      </c>
    </row>
    <row r="124" spans="2:3" x14ac:dyDescent="0.3">
      <c r="B124" s="29" t="s">
        <v>1011</v>
      </c>
      <c r="C124" s="17" t="str">
        <f t="shared" si="4"/>
        <v/>
      </c>
    </row>
    <row r="125" spans="2:3" x14ac:dyDescent="0.3">
      <c r="B125" s="29" t="s">
        <v>1012</v>
      </c>
      <c r="C125" s="17" t="str">
        <f t="shared" si="4"/>
        <v/>
      </c>
    </row>
  </sheetData>
  <mergeCells count="32">
    <mergeCell ref="B62:G62"/>
    <mergeCell ref="B63:G63"/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7.0</v>
      </c>
      <c r="P10" s="7">
        <f>IF(STAAD!$C$17="ASCE 7-16",COEFICIENTE!$D$35,COEFICIENTE!$D$12)</f>
        <v>7.0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0.0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0.0</v>
      </c>
      <c r="G11" s="25">
        <f>IF(STAAD!$C$17="ASCE 7-16",ESPECTROS!$H73*IF(DATOS!$C$9="SÍ",COEFICIENTE!$C$68,1),ESPECTROS!$D73)</f>
        <v>0.06857142857142857</v>
      </c>
      <c r="H11" s="30">
        <f t="shared" ref="H11:H42" si="1">G11*$O$16</f>
        <v>67.2456</v>
      </c>
      <c r="J11" s="24">
        <f>ESPECTROS!$B73</f>
        <v>0.0</v>
      </c>
      <c r="K11" s="25">
        <f>IF(STAAD!$C$17="ASCE 7-16",ESPECTROS!$I73*IF(DATOS!$C$9="SÍ",COEFICIENTE!$D$68,1),ESPECTROS!$E73)</f>
        <v>0.06857142857142857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0.08228571428571428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0.08228571428571428</v>
      </c>
      <c r="L12" s="30">
        <f t="shared" si="2"/>
        <v>80.69471999999999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0.6719999999999999</v>
      </c>
      <c r="D13" s="30">
        <f t="shared" si="0"/>
        <v>659.0068799999999</v>
      </c>
      <c r="F13" s="24">
        <f>ESPECTROS!$B75</f>
        <v>0.04</v>
      </c>
      <c r="G13" s="25">
        <f>IF(STAAD!$C$17="ASCE 7-16",ESPECTROS!$H75*IF(DATOS!$C$9="SÍ",COEFICIENTE!$C$68,1),ESPECTROS!$D75)</f>
        <v>0.09599999999999999</v>
      </c>
      <c r="H13" s="30">
        <f t="shared" si="1"/>
        <v>94.14383999999998</v>
      </c>
      <c r="J13" s="24">
        <f>ESPECTROS!$B75</f>
        <v>0.04</v>
      </c>
      <c r="K13" s="25">
        <f>IF(STAAD!$C$17="ASCE 7-16",ESPECTROS!$I75*IF(DATOS!$C$9="SÍ",COEFICIENTE!$D$68,1),ESPECTROS!$E75)</f>
        <v>0.09599999999999999</v>
      </c>
      <c r="L13" s="30">
        <f t="shared" si="2"/>
        <v>94.14383999999998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</v>
      </c>
      <c r="N14" s="2" t="s">
        <v>392</v>
      </c>
      <c r="O14" s="20">
        <f>MAX($G$11:$G$117)</f>
        <v>0.2057142857142857</v>
      </c>
      <c r="P14" s="20">
        <f>MAX($K$11:$K$117)</f>
        <v>0.2057142857142857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847.2945599999999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394</v>
      </c>
      <c r="O15" s="21">
        <f>IF(STAAD!$C$17="ASCE 7-16",STAAD!$C$15,STAAD!$C$12)</f>
        <v>3.180198857142857</v>
      </c>
      <c r="P15" s="21">
        <f>IF(STAAD!$C$17="ASCE 7-16",STAAD!$D$15,STAAD!$D$12)</f>
        <v>3.180198857142857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</v>
      </c>
      <c r="G18" s="25">
        <f>IF(STAAD!$C$17="ASCE 7-16",ESPECTROS!$H80*IF(DATOS!$C$9="SÍ",COEFICIENTE!$C$68,1),ESPECTROS!$D80)</f>
        <v>0.1645714285714286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0.1645714285714286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401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1.0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</v>
      </c>
      <c r="H21" s="30">
        <f t="shared" si="1"/>
        <v>201.7368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0.2057142857142857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0.2057142857142857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0.2057142857142857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0.2057142857142857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0.2057142857142857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0.2057142857142857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0.2057142857142857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0.2057142857142857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0.2057142857142857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0.2057142857142857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0.2057142857142857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0.2057142857142857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0.2057142857142857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0.2057142857142857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0.2057142857142857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0.2057142857142857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0.2057142857142857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0.2057142857142857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0.2057142857142857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0.2057142857142857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0.2057142857142857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0.2057142857142857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0.2057142857142857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</v>
      </c>
      <c r="H44" s="30">
        <f t="shared" si="4"/>
        <v>189.3171701779982</v>
      </c>
      <c r="J44" s="24">
        <f>ESPECTROS!$B106</f>
        <v>0.66</v>
      </c>
      <c r="K44" s="25">
        <f>IF(STAAD!$C$17="ASCE 7-16",ESPECTROS!$I106*IF(DATOS!$C$9="SÍ",COEFICIENTE!$D$68,1),ESPECTROS!$E106)</f>
        <v>0.1930497878256063</v>
      </c>
      <c r="L44" s="30">
        <f t="shared" si="5"/>
        <v>189.3171701779982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0.1892456957269835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0.1892456957269835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0.1670408600564895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0.1670408600564895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161.2005195506331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161.2005195506331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145.4572069729766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145.4572069729766</v>
      </c>
    </row>
    <row r="61" spans="2:12" ht="15" customHeight="1" x14ac:dyDescent="0.3">
      <c r="B61" s="24">
        <f>ESPECTROS!$B123</f>
        <v>1.0</v>
      </c>
      <c r="C61" s="25">
        <f>ESPECTROS!$O123</f>
        <v>1.024385271693138</v>
      </c>
      <c r="D61" s="30">
        <f t="shared" si="3"/>
        <v>1004.5787824649512</v>
      </c>
      <c r="F61" s="24">
        <f>ESPECTROS!$B123</f>
        <v>1.0</v>
      </c>
      <c r="G61" s="25">
        <f>IF(STAAD!$C$17="ASCE 7-16",ESPECTROS!$H123*IF(DATOS!$C$9="SÍ",COEFICIENTE!$C$68,1),ESPECTROS!$D123)</f>
        <v>0.14634075309901973</v>
      </c>
      <c r="H61" s="30">
        <f t="shared" si="4"/>
        <v>143.5112546378502</v>
      </c>
      <c r="J61" s="24">
        <f>ESPECTROS!$B123</f>
        <v>1.0</v>
      </c>
      <c r="K61" s="25">
        <f>IF(STAAD!$C$17="ASCE 7-16",ESPECTROS!$I123*IF(DATOS!$C$9="SÍ",COEFICIENTE!$D$68,1),ESPECTROS!$E123)</f>
        <v>0.14634075309901973</v>
      </c>
      <c r="L61" s="30">
        <f t="shared" si="5"/>
        <v>143.5112546378502</v>
      </c>
    </row>
    <row r="62" spans="2:12" ht="15" customHeight="1" x14ac:dyDescent="0.3">
      <c r="B62" s="24">
        <f>ESPECTROS!$B124</f>
        <v>1.05</v>
      </c>
      <c r="C62" s="25">
        <f>ESPECTROS!$O124</f>
        <v>0.9916013886892374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942.7333650435787</v>
      </c>
      <c r="F63" s="24">
        <f>ESPECTROS!$B125</f>
        <v>1.1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1.15</v>
      </c>
      <c r="C64" s="25">
        <f>ESPECTROS!$O126</f>
        <v>0.9332502152833047</v>
      </c>
      <c r="D64" s="30">
        <f t="shared" si="3"/>
        <v>915.2058223708019</v>
      </c>
      <c r="F64" s="24">
        <f>ESPECTROS!$B126</f>
        <v>1.15</v>
      </c>
      <c r="G64" s="25">
        <f>IF(STAAD!$C$17="ASCE 7-16",ESPECTROS!$H126*IF(DATOS!$C$9="SÍ",COEFICIENTE!$C$68,1),ESPECTROS!$D126)</f>
        <v>0.1333214593261864</v>
      </c>
      <c r="H64" s="30">
        <f t="shared" si="4"/>
        <v>130.74368891011457</v>
      </c>
      <c r="J64" s="24">
        <f>ESPECTROS!$B126</f>
        <v>1.15</v>
      </c>
      <c r="K64" s="25">
        <f>IF(STAAD!$C$17="ASCE 7-16",ESPECTROS!$I126*IF(DATOS!$C$9="SÍ",COEFICIENTE!$D$68,1),ESPECTROS!$E126)</f>
        <v>0.1333214593261864</v>
      </c>
      <c r="L64" s="30">
        <f t="shared" si="5"/>
        <v>130.74368891011457</v>
      </c>
    </row>
    <row r="65" spans="2:12" ht="15" customHeight="1" x14ac:dyDescent="0.3">
      <c r="B65" s="24">
        <f>ESPECTROS!$B127</f>
        <v>1.2</v>
      </c>
      <c r="C65" s="25">
        <f>ESPECTROS!$O127</f>
        <v>0.9071431559243086</v>
      </c>
      <c r="D65" s="30">
        <f t="shared" si="3"/>
        <v>889.6035430045121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865.7197511249936</v>
      </c>
      <c r="F66" s="24">
        <f>ESPECTROS!$B128</f>
        <v>1.25</v>
      </c>
      <c r="G66" s="25">
        <f>IF(STAAD!$C$17="ASCE 7-16",ESPECTROS!$H128*IF(DATOS!$C$9="SÍ",COEFICIENTE!$C$68,1),ESPECTROS!$D128)</f>
        <v>0.1261126380167676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0.1261126380167676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0.8600052269526987</v>
      </c>
      <c r="D67" s="30">
        <f t="shared" si="3"/>
        <v>843.3770258895682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0.8386372461468469</v>
      </c>
      <c r="D68" s="30">
        <f t="shared" si="3"/>
        <v>822.4221949925976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</v>
      </c>
      <c r="D69" s="30">
        <f t="shared" si="3"/>
        <v>802.7222681379527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784.1611699116966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766.6370933696766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0.7648486895091783</v>
      </c>
      <c r="D72" s="30">
        <f t="shared" si="3"/>
        <v>750.0603400975183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</v>
      </c>
      <c r="D73" s="30">
        <f t="shared" si="3"/>
        <v>734.3515448399503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0.7336248429352287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0.1027383700692167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0.1027383700692167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0.7054040680303595</v>
      </c>
      <c r="D76" s="30">
        <f t="shared" si="6"/>
        <v>691.7650803749924</v>
      </c>
      <c r="F76" s="24">
        <f>ESPECTROS!$B138</f>
        <v>1.75</v>
      </c>
      <c r="G76" s="25">
        <f>IF(STAAD!$C$17="ASCE 7-16",ESPECTROS!$H138*IF(DATOS!$C$9="SÍ",COEFICIENTE!$C$68,1),ESPECTROS!$D138)</f>
        <v>0.10077200971862278</v>
      </c>
      <c r="H76" s="30">
        <f t="shared" si="7"/>
        <v>98.82358291071321</v>
      </c>
      <c r="J76" s="24">
        <f>ESPECTROS!$B138</f>
        <v>1.75</v>
      </c>
      <c r="K76" s="25">
        <f>IF(STAAD!$C$17="ASCE 7-16",ESPECTROS!$I138*IF(DATOS!$C$9="SÍ",COEFICIENTE!$D$68,1),ESPECTROS!$E138)</f>
        <v>0.10077200971862278</v>
      </c>
      <c r="L76" s="30">
        <f t="shared" si="8"/>
        <v>98.82358291071321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96.98493770506384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96.98493770506384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666.6064563485585</v>
      </c>
      <c r="F78" s="24">
        <f>ESPECTROS!$B140</f>
        <v>1.85</v>
      </c>
      <c r="G78" s="25">
        <f>IF(STAAD!$C$17="ASCE 7-16",ESPECTROS!$H140*IF(DATOS!$C$9="SÍ",COEFICIENTE!$C$68,1),ESPECTROS!$D140)</f>
        <v>0.09710705874491267</v>
      </c>
      <c r="H78" s="30">
        <f t="shared" si="7"/>
        <v>95.22949376407978</v>
      </c>
      <c r="J78" s="24">
        <f>ESPECTROS!$B140</f>
        <v>1.85</v>
      </c>
      <c r="K78" s="25">
        <f>IF(STAAD!$C$17="ASCE 7-16",ESPECTROS!$I140*IF(DATOS!$C$9="SÍ",COEFICIENTE!$D$68,1),ESPECTROS!$E140)</f>
        <v>0.09710705874491267</v>
      </c>
      <c r="L78" s="30">
        <f t="shared" si="8"/>
        <v>95.22949376407978</v>
      </c>
    </row>
    <row r="79" spans="2:12" ht="15" customHeight="1" x14ac:dyDescent="0.3">
      <c r="B79" s="24">
        <f>ESPECTROS!$B141</f>
        <v>1.9</v>
      </c>
      <c r="C79" s="25">
        <f>ESPECTROS!$O141</f>
        <v>0.6677710571300466</v>
      </c>
      <c r="D79" s="30">
        <f t="shared" si="6"/>
        <v>654.8597037404371</v>
      </c>
      <c r="F79" s="24">
        <f>ESPECTROS!$B141</f>
        <v>1.9</v>
      </c>
      <c r="G79" s="25">
        <f>IF(STAAD!$C$17="ASCE 7-16",ESPECTROS!$H141*IF(DATOS!$C$9="SÍ",COEFICIENTE!$C$68,1),ESPECTROS!$D141)</f>
        <v>0.09539586530429237</v>
      </c>
      <c r="H79" s="30">
        <f t="shared" si="7"/>
        <v>93.55138624863388</v>
      </c>
      <c r="J79" s="24">
        <f>ESPECTROS!$B141</f>
        <v>1.9</v>
      </c>
      <c r="K79" s="25">
        <f>IF(STAAD!$C$17="ASCE 7-16",ESPECTROS!$I141*IF(DATOS!$C$9="SÍ",COEFICIENTE!$D$68,1),ESPECTROS!$E141)</f>
        <v>0.09539586530429237</v>
      </c>
      <c r="L79" s="30">
        <f t="shared" si="8"/>
        <v>93.55138624863388</v>
      </c>
    </row>
    <row r="80" spans="2:12" ht="15" customHeight="1" x14ac:dyDescent="0.3">
      <c r="B80" s="24">
        <f>ESPECTROS!$B142</f>
        <v>1.95</v>
      </c>
      <c r="C80" s="25">
        <f>ESPECTROS!$O142</f>
        <v>0.6563068213087098</v>
      </c>
      <c r="D80" s="30">
        <f t="shared" si="6"/>
        <v>643.6171289187058</v>
      </c>
      <c r="F80" s="24">
        <f>ESPECTROS!$B142</f>
        <v>1.95</v>
      </c>
      <c r="G80" s="25">
        <f>IF(STAAD!$C$17="ASCE 7-16",ESPECTROS!$H142*IF(DATOS!$C$9="SÍ",COEFICIENTE!$C$68,1),ESPECTROS!$D142)</f>
        <v>0.09375811732981568</v>
      </c>
      <c r="H80" s="30">
        <f t="shared" si="7"/>
        <v>91.94530413124369</v>
      </c>
      <c r="J80" s="24">
        <f>ESPECTROS!$B142</f>
        <v>1.95</v>
      </c>
      <c r="K80" s="25">
        <f>IF(STAAD!$C$17="ASCE 7-16",ESPECTROS!$I142*IF(DATOS!$C$9="SÍ",COEFICIENTE!$D$68,1),ESPECTROS!$E142)</f>
        <v>0.09375811732981568</v>
      </c>
      <c r="L80" s="30">
        <f t="shared" si="8"/>
        <v>91.94530413124369</v>
      </c>
    </row>
    <row r="81" spans="2:12" ht="15" customHeight="1" x14ac:dyDescent="0.3">
      <c r="B81" s="24">
        <f>ESPECTROS!$B143</f>
        <v>2.0</v>
      </c>
      <c r="C81" s="25">
        <f>ESPECTROS!$O143</f>
        <v>0.6453222835042317</v>
      </c>
      <c r="D81" s="30">
        <f t="shared" si="6"/>
        <v>632.8449771526774</v>
      </c>
      <c r="F81" s="24">
        <f>ESPECTROS!$B143</f>
        <v>2.0</v>
      </c>
      <c r="G81" s="25">
        <f>IF(STAAD!$C$17="ASCE 7-16",ESPECTROS!$H143*IF(DATOS!$C$9="SÍ",COEFICIENTE!$C$68,1),ESPECTROS!$D143)</f>
        <v>0.09218889764346168</v>
      </c>
      <c r="H81" s="30">
        <f t="shared" si="7"/>
        <v>90.40642530752534</v>
      </c>
      <c r="J81" s="24">
        <f>ESPECTROS!$B143</f>
        <v>2.0</v>
      </c>
      <c r="K81" s="25">
        <f>IF(STAAD!$C$17="ASCE 7-16",ESPECTROS!$I143*IF(DATOS!$C$9="SÍ",COEFICIENTE!$D$68,1),ESPECTROS!$E143)</f>
        <v>0.09218889764346168</v>
      </c>
      <c r="L81" s="30">
        <f t="shared" si="8"/>
        <v>90.40642530752534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0.08923853305103988</v>
      </c>
      <c r="H82" s="30">
        <f t="shared" si="7"/>
        <v>87.51310601449802</v>
      </c>
      <c r="J82" s="24">
        <f>ESPECTROS!$B144</f>
        <v>2.1</v>
      </c>
      <c r="K82" s="25">
        <f>IF(STAAD!$C$17="ASCE 7-16",ESPECTROS!$I144*IF(DATOS!$C$9="SÍ",COEFICIENTE!$D$68,1),ESPECTROS!$E144)</f>
        <v>0.08923853305103988</v>
      </c>
      <c r="L82" s="30">
        <f t="shared" si="8"/>
        <v>87.51310601449802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593.8848055283162</v>
      </c>
      <c r="F83" s="24">
        <f>ESPECTROS!$B145</f>
        <v>2.2</v>
      </c>
      <c r="G83" s="25">
        <f>IF(STAAD!$C$17="ASCE 7-16",ESPECTROS!$H145*IF(DATOS!$C$9="SÍ",COEFICIENTE!$C$68,1),ESPECTROS!$D145)</f>
        <v>0.08651342354835256</v>
      </c>
      <c r="H83" s="30">
        <f t="shared" si="7"/>
        <v>84.84068650404517</v>
      </c>
      <c r="J83" s="24">
        <f>ESPECTROS!$B145</f>
        <v>2.2</v>
      </c>
      <c r="K83" s="25">
        <f>IF(STAAD!$C$17="ASCE 7-16",ESPECTROS!$I145*IF(DATOS!$C$9="SÍ",COEFICIENTE!$D$68,1),ESPECTROS!$E145)</f>
        <v>0.08651342354835256</v>
      </c>
      <c r="L83" s="30">
        <f t="shared" si="8"/>
        <v>84.84068650404517</v>
      </c>
    </row>
    <row r="84" spans="2:12" ht="15" customHeight="1" x14ac:dyDescent="0.3">
      <c r="B84" s="24">
        <f>ESPECTROS!$B146</f>
        <v>2.3</v>
      </c>
      <c r="C84" s="25">
        <f>ESPECTROS!$O146</f>
        <v>0.5879107955271788</v>
      </c>
      <c r="D84" s="30">
        <f t="shared" si="6"/>
        <v>576.5435402956608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82.36336289938012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82.36336289938012</v>
      </c>
    </row>
    <row r="85" spans="2:12" ht="15" customHeight="1" x14ac:dyDescent="0.3">
      <c r="B85" s="24">
        <f>ESPECTROS!$B147</f>
        <v>2.4</v>
      </c>
      <c r="C85" s="25">
        <f>ESPECTROS!$O147</f>
        <v>0.5714643787085518</v>
      </c>
      <c r="D85" s="30">
        <f t="shared" si="6"/>
        <v>560.4151149462219</v>
      </c>
      <c r="F85" s="24">
        <f>ESPECTROS!$B147</f>
        <v>2.4</v>
      </c>
      <c r="G85" s="25">
        <f>IF(STAAD!$C$17="ASCE 7-16",ESPECTROS!$H147*IF(DATOS!$C$9="SÍ",COEFICIENTE!$C$68,1),ESPECTROS!$D147)</f>
        <v>0.08163776838693597</v>
      </c>
      <c r="H85" s="30">
        <f t="shared" si="7"/>
        <v>80.05930213517456</v>
      </c>
      <c r="J85" s="24">
        <f>ESPECTROS!$B147</f>
        <v>2.4</v>
      </c>
      <c r="K85" s="25">
        <f>IF(STAAD!$C$17="ASCE 7-16",ESPECTROS!$I147*IF(DATOS!$C$9="SÍ",COEFICIENTE!$D$68,1),ESPECTROS!$E147)</f>
        <v>0.08163776838693597</v>
      </c>
      <c r="L85" s="30">
        <f t="shared" si="8"/>
        <v>80.05930213517456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</v>
      </c>
      <c r="F86" s="24">
        <f>ESPECTROS!$B148</f>
        <v>2.5</v>
      </c>
      <c r="G86" s="25">
        <f>IF(STAAD!$C$17="ASCE 7-16",ESPECTROS!$H148*IF(DATOS!$C$9="SÍ",COEFICIENTE!$C$68,1),ESPECTROS!$D148)</f>
        <v>0.07944598364754896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0.07944598364754896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531.2942339580001</v>
      </c>
      <c r="F87" s="24">
        <f>ESPECTROS!$B149</f>
        <v>2.6</v>
      </c>
      <c r="G87" s="25">
        <f>IF(STAAD!$C$17="ASCE 7-16",ESPECTROS!$H149*IF(DATOS!$C$9="SÍ",COEFICIENTE!$C$68,1),ESPECTROS!$D149)</f>
        <v>0.07739562060409447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0.07739562060409447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0.5283083598231403</v>
      </c>
      <c r="D88" s="30">
        <f t="shared" si="6"/>
        <v>518.0935176859598</v>
      </c>
      <c r="F88" s="24">
        <f>ESPECTROS!$B150</f>
        <v>2.7</v>
      </c>
      <c r="G88" s="25">
        <f>IF(STAAD!$C$17="ASCE 7-16",ESPECTROS!$H150*IF(DATOS!$C$9="SÍ",COEFICIENTE!$C$68,1),ESPECTROS!$D150)</f>
        <v>0.07547262283187718</v>
      </c>
      <c r="H88" s="30">
        <f t="shared" si="7"/>
        <v>74.01335966942284</v>
      </c>
      <c r="J88" s="24">
        <f>ESPECTROS!$B150</f>
        <v>2.7</v>
      </c>
      <c r="K88" s="25">
        <f>IF(STAAD!$C$17="ASCE 7-16",ESPECTROS!$I150*IF(DATOS!$C$9="SÍ",COEFICIENTE!$D$68,1),ESPECTROS!$E150)</f>
        <v>0.07547262283187718</v>
      </c>
      <c r="L88" s="30">
        <f t="shared" si="8"/>
        <v>74.01335966942284</v>
      </c>
    </row>
    <row r="89" spans="2:12" ht="15" customHeight="1" x14ac:dyDescent="0.3">
      <c r="B89" s="24">
        <f>ESPECTROS!$B151</f>
        <v>2.8</v>
      </c>
      <c r="C89" s="25">
        <f>ESPECTROS!$O151</f>
        <v>0.5156535018820716</v>
      </c>
      <c r="D89" s="30">
        <f t="shared" si="6"/>
        <v>505.68334142318173</v>
      </c>
      <c r="F89" s="24">
        <f>ESPECTROS!$B151</f>
        <v>2.8</v>
      </c>
      <c r="G89" s="25">
        <f>IF(STAAD!$C$17="ASCE 7-16",ESPECTROS!$H151*IF(DATOS!$C$9="SÍ",COEFICIENTE!$C$68,1),ESPECTROS!$D151)</f>
        <v>0.07366478598315308</v>
      </c>
      <c r="H89" s="30">
        <f t="shared" si="7"/>
        <v>72.24047734616882</v>
      </c>
      <c r="J89" s="24">
        <f>ESPECTROS!$B151</f>
        <v>2.8</v>
      </c>
      <c r="K89" s="25">
        <f>IF(STAAD!$C$17="ASCE 7-16",ESPECTROS!$I151*IF(DATOS!$C$9="SÍ",COEFICIENTE!$D$68,1),ESPECTROS!$E151)</f>
        <v>0.07366478598315308</v>
      </c>
      <c r="L89" s="30">
        <f t="shared" si="8"/>
        <v>72.24047734616882</v>
      </c>
    </row>
    <row r="90" spans="2:12" ht="15" customHeight="1" x14ac:dyDescent="0.3">
      <c r="B90" s="24">
        <f>ESPECTROS!$B152</f>
        <v>2.9</v>
      </c>
      <c r="C90" s="25">
        <f>ESPECTROS!$O152</f>
        <v>0.5037302057695221</v>
      </c>
      <c r="D90" s="30">
        <f t="shared" si="6"/>
        <v>493.99058224096837</v>
      </c>
      <c r="F90" s="24">
        <f>ESPECTROS!$B152</f>
        <v>2.9</v>
      </c>
      <c r="G90" s="25">
        <f>IF(STAAD!$C$17="ASCE 7-16",ESPECTROS!$H152*IF(DATOS!$C$9="SÍ",COEFICIENTE!$C$68,1),ESPECTROS!$D152)</f>
        <v>0.07196145796707458</v>
      </c>
      <c r="H90" s="30">
        <f t="shared" si="7"/>
        <v>70.57008317728119</v>
      </c>
      <c r="J90" s="24">
        <f>ESPECTROS!$B152</f>
        <v>2.9</v>
      </c>
      <c r="K90" s="25">
        <f>IF(STAAD!$C$17="ASCE 7-16",ESPECTROS!$I152*IF(DATOS!$C$9="SÍ",COEFICIENTE!$D$68,1),ESPECTROS!$E152)</f>
        <v>0.07196145796707458</v>
      </c>
      <c r="L90" s="30">
        <f t="shared" si="8"/>
        <v>70.57008317728119</v>
      </c>
    </row>
    <row r="91" spans="2:12" ht="15" customHeight="1" x14ac:dyDescent="0.3">
      <c r="B91" s="24">
        <f>ESPECTROS!$B153</f>
        <v>3.0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3.0</v>
      </c>
      <c r="G91" s="25">
        <f>IF(STAAD!$C$17="ASCE 7-16",ESPECTROS!$H153*IF(DATOS!$C$9="SÍ",COEFICIENTE!$C$68,1),ESPECTROS!$D153)</f>
        <v>0.07035329609184124</v>
      </c>
      <c r="H91" s="30">
        <f t="shared" si="7"/>
        <v>68.99301511190549</v>
      </c>
      <c r="J91" s="24">
        <f>ESPECTROS!$B153</f>
        <v>3.0</v>
      </c>
      <c r="K91" s="25">
        <f>IF(STAAD!$C$17="ASCE 7-16",ESPECTROS!$I153*IF(DATOS!$C$9="SÍ",COEFICIENTE!$D$68,1),ESPECTROS!$E153)</f>
        <v>0.07035329609184124</v>
      </c>
      <c r="L91" s="30">
        <f t="shared" si="8"/>
        <v>68.99301511190549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0.06883206884979441</v>
      </c>
      <c r="H92" s="30">
        <f t="shared" si="7"/>
        <v>67.50120079858364</v>
      </c>
      <c r="J92" s="24">
        <f>ESPECTROS!$B154</f>
        <v>3.1</v>
      </c>
      <c r="K92" s="25">
        <f>IF(STAAD!$C$17="ASCE 7-16",ESPECTROS!$I154*IF(DATOS!$C$9="SÍ",COEFICIENTE!$D$68,1),ESPECTROS!$E154)</f>
        <v>0.06883206884979441</v>
      </c>
      <c r="L92" s="30">
        <f t="shared" si="8"/>
        <v>67.50120079858364</v>
      </c>
    </row>
    <row r="93" spans="2:12" ht="15" customHeight="1" x14ac:dyDescent="0.3">
      <c r="B93" s="24">
        <f>ESPECTROS!$B155</f>
        <v>3.2</v>
      </c>
      <c r="C93" s="25">
        <f>ESPECTROS!$O155</f>
        <v>0.47173345095760133</v>
      </c>
      <c r="D93" s="30">
        <f t="shared" si="6"/>
        <v>462.6124846833361</v>
      </c>
      <c r="F93" s="24">
        <f>ESPECTROS!$B155</f>
        <v>3.2</v>
      </c>
      <c r="G93" s="25">
        <f>IF(STAAD!$C$17="ASCE 7-16",ESPECTROS!$H155*IF(DATOS!$C$9="SÍ",COEFICIENTE!$C$68,1),ESPECTROS!$D155)</f>
        <v>0.06739049299394305</v>
      </c>
      <c r="H93" s="30">
        <f t="shared" si="7"/>
        <v>66.08749781190515</v>
      </c>
      <c r="J93" s="24">
        <f>ESPECTROS!$B155</f>
        <v>3.2</v>
      </c>
      <c r="K93" s="25">
        <f>IF(STAAD!$C$17="ASCE 7-16",ESPECTROS!$I155*IF(DATOS!$C$9="SÍ",COEFICIENTE!$D$68,1),ESPECTROS!$E155)</f>
        <v>0.06739049299394305</v>
      </c>
      <c r="L93" s="30">
        <f t="shared" si="8"/>
        <v>66.08749781190515</v>
      </c>
    </row>
    <row r="94" spans="2:12" ht="15" customHeight="1" x14ac:dyDescent="0.3">
      <c r="B94" s="24">
        <f>ESPECTROS!$B156</f>
        <v>3.3</v>
      </c>
      <c r="C94" s="25">
        <f>ESPECTROS!$O156</f>
        <v>0.46215469116995733</v>
      </c>
      <c r="D94" s="30">
        <f t="shared" si="6"/>
        <v>453.2189302161862</v>
      </c>
      <c r="F94" s="24">
        <f>ESPECTROS!$B156</f>
        <v>3.3</v>
      </c>
      <c r="G94" s="25">
        <f>IF(STAAD!$C$17="ASCE 7-16",ESPECTROS!$H156*IF(DATOS!$C$9="SÍ",COEFICIENTE!$C$68,1),ESPECTROS!$D156)</f>
        <v>0.06602209873856534</v>
      </c>
      <c r="H94" s="30">
        <f t="shared" si="7"/>
        <v>64.74556145945517</v>
      </c>
      <c r="J94" s="24">
        <f>ESPECTROS!$B156</f>
        <v>3.3</v>
      </c>
      <c r="K94" s="25">
        <f>IF(STAAD!$C$17="ASCE 7-16",ESPECTROS!$I156*IF(DATOS!$C$9="SÍ",COEFICIENTE!$D$68,1),ESPECTROS!$E156)</f>
        <v>0.06602209873856534</v>
      </c>
      <c r="L94" s="30">
        <f t="shared" si="8"/>
        <v>64.74556145945517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444.2881431337412</v>
      </c>
      <c r="F95" s="24">
        <f>ESPECTROS!$B157</f>
        <v>3.4</v>
      </c>
      <c r="G95" s="25">
        <f>IF(STAAD!$C$17="ASCE 7-16",ESPECTROS!$H157*IF(DATOS!$C$9="SÍ",COEFICIENTE!$C$68,1),ESPECTROS!$D157)</f>
        <v>0.06472111754104776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0.06472111754104776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435.7846931733359</v>
      </c>
      <c r="F96" s="24">
        <f>ESPECTROS!$B158</f>
        <v>3.5</v>
      </c>
      <c r="G96" s="25">
        <f>IF(STAAD!$C$17="ASCE 7-16",ESPECTROS!$H158*IF(DATOS!$C$9="SÍ",COEFICIENTE!$C$68,1),ESPECTROS!$D158)</f>
        <v>0.06348238814235178</v>
      </c>
      <c r="H96" s="30">
        <f t="shared" si="7"/>
        <v>62.25495616761941</v>
      </c>
      <c r="J96" s="24">
        <f>ESPECTROS!$B158</f>
        <v>3.5</v>
      </c>
      <c r="K96" s="25">
        <f>IF(STAAD!$C$17="ASCE 7-16",ESPECTROS!$I158*IF(DATOS!$C$9="SÍ",COEFICIENTE!$D$68,1),ESPECTROS!$E158)</f>
        <v>0.06348238814235178</v>
      </c>
      <c r="L96" s="30">
        <f t="shared" si="8"/>
        <v>62.25495616761941</v>
      </c>
    </row>
    <row r="97" spans="2:12" ht="15" customHeight="1" x14ac:dyDescent="0.3">
      <c r="B97" s="24">
        <f>ESPECTROS!$B159</f>
        <v>3.6</v>
      </c>
      <c r="C97" s="25">
        <f>ESPECTROS!$O159</f>
        <v>0.4361089422797135</v>
      </c>
      <c r="D97" s="30">
        <f t="shared" si="6"/>
        <v>427.6767758807352</v>
      </c>
      <c r="F97" s="24">
        <f>ESPECTROS!$B159</f>
        <v>3.6</v>
      </c>
      <c r="G97" s="25">
        <f>IF(STAAD!$C$17="ASCE 7-16",ESPECTROS!$H159*IF(DATOS!$C$9="SÍ",COEFICIENTE!$C$68,1),ESPECTROS!$D159)</f>
        <v>0.062301277468530494</v>
      </c>
      <c r="H97" s="30">
        <f t="shared" si="7"/>
        <v>61.09668226867645</v>
      </c>
      <c r="J97" s="24">
        <f>ESPECTROS!$B159</f>
        <v>3.6</v>
      </c>
      <c r="K97" s="25">
        <f>IF(STAAD!$C$17="ASCE 7-16",ESPECTROS!$I159*IF(DATOS!$C$9="SÍ",COEFICIENTE!$D$68,1),ESPECTROS!$E159)</f>
        <v>0.062301277468530494</v>
      </c>
      <c r="L97" s="30">
        <f t="shared" si="8"/>
        <v>61.09668226867645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0.06117361370304675</v>
      </c>
      <c r="H98" s="30">
        <f t="shared" si="7"/>
        <v>59.99082188209834</v>
      </c>
      <c r="J98" s="24">
        <f>ESPECTROS!$B160</f>
        <v>3.7</v>
      </c>
      <c r="K98" s="25">
        <f>IF(STAAD!$C$17="ASCE 7-16",ESPECTROS!$I160*IF(DATOS!$C$9="SÍ",COEFICIENTE!$D$68,1),ESPECTROS!$E160)</f>
        <v>0.06117361370304675</v>
      </c>
      <c r="L98" s="30">
        <f t="shared" si="8"/>
        <v>59.99082188209834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</v>
      </c>
      <c r="F99" s="24">
        <f>ESPECTROS!$B161</f>
        <v>3.8</v>
      </c>
      <c r="G99" s="25">
        <f>IF(STAAD!$C$17="ASCE 7-16",ESPECTROS!$H161*IF(DATOS!$C$9="SÍ",COEFICIENTE!$C$68,1),ESPECTROS!$D161)</f>
        <v>0.06009562938490698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0.06009562938490698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0.059063912811174034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0.059063912811174034</v>
      </c>
      <c r="L100" s="30">
        <f t="shared" si="8"/>
        <v>57.92191205696998</v>
      </c>
    </row>
    <row r="101" spans="2:12" ht="15" customHeight="1" x14ac:dyDescent="0.3">
      <c r="B101" s="24">
        <f>ESPECTROS!$B163</f>
        <v>4.0</v>
      </c>
      <c r="C101" s="25">
        <f>ESPECTROS!$O163</f>
        <v>0.4065275644766043</v>
      </c>
      <c r="D101" s="30">
        <f t="shared" si="6"/>
        <v>398.66735401744916</v>
      </c>
      <c r="F101" s="24">
        <f>ESPECTROS!$B163</f>
        <v>4.0</v>
      </c>
      <c r="G101" s="25">
        <f>IF(STAAD!$C$17="ASCE 7-16",ESPECTROS!$H163*IF(DATOS!$C$9="SÍ",COEFICIENTE!$C$68,1),ESPECTROS!$D163)</f>
        <v>0.05807536635380062</v>
      </c>
      <c r="H101" s="30">
        <f t="shared" si="7"/>
        <v>56.95247914534988</v>
      </c>
      <c r="J101" s="24">
        <f>ESPECTROS!$B163</f>
        <v>4.0</v>
      </c>
      <c r="K101" s="25">
        <f>IF(STAAD!$C$17="ASCE 7-16",ESPECTROS!$I163*IF(DATOS!$C$9="SÍ",COEFICIENTE!$D$68,1),ESPECTROS!$E163)</f>
        <v>0.05807536635380062</v>
      </c>
      <c r="L101" s="30">
        <f t="shared" si="8"/>
        <v>56.95247914534988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0.05314389576347057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0.05314389576347057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0.3447095504051015</v>
      </c>
      <c r="D103" s="30">
        <f t="shared" si="6"/>
        <v>338.04459124801883</v>
      </c>
      <c r="F103" s="24">
        <f>ESPECTROS!$B165</f>
        <v>4.5</v>
      </c>
      <c r="G103" s="25">
        <f>IF(STAAD!$C$17="ASCE 7-16",ESPECTROS!$H165*IF(DATOS!$C$9="SÍ",COEFICIENTE!$C$68,1),ESPECTROS!$D165)</f>
        <v>0.04924422148644307</v>
      </c>
      <c r="H103" s="30">
        <f t="shared" si="7"/>
        <v>48.29208446400269</v>
      </c>
      <c r="J103" s="24">
        <f>ESPECTROS!$B165</f>
        <v>4.5</v>
      </c>
      <c r="K103" s="25">
        <f>IF(STAAD!$C$17="ASCE 7-16",ESPECTROS!$I165*IF(DATOS!$C$9="SÍ",COEFICIENTE!$D$68,1),ESPECTROS!$E165)</f>
        <v>0.04924422148644307</v>
      </c>
      <c r="L103" s="30">
        <f t="shared" si="8"/>
        <v>48.29208446400269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314.5327440006284</v>
      </c>
      <c r="F104" s="24">
        <f>ESPECTROS!$B166</f>
        <v>4.75</v>
      </c>
      <c r="G104" s="25">
        <f>IF(STAAD!$C$17="ASCE 7-16",ESPECTROS!$H166*IF(DATOS!$C$9="SÍ",COEFICIENTE!$C$68,1),ESPECTROS!$D166)</f>
        <v>0.04581916265283957</v>
      </c>
      <c r="H104" s="30">
        <f t="shared" si="7"/>
        <v>44.93324914294691</v>
      </c>
      <c r="J104" s="24">
        <f>ESPECTROS!$B166</f>
        <v>4.75</v>
      </c>
      <c r="K104" s="25">
        <f>IF(STAAD!$C$17="ASCE 7-16",ESPECTROS!$I166*IF(DATOS!$C$9="SÍ",COEFICIENTE!$D$68,1),ESPECTROS!$E166)</f>
        <v>0.04581916265283957</v>
      </c>
      <c r="L104" s="30">
        <f t="shared" si="8"/>
        <v>44.93324914294691</v>
      </c>
    </row>
    <row r="105" spans="2:12" ht="15" customHeight="1" x14ac:dyDescent="0.3">
      <c r="B105" s="24">
        <f>ESPECTROS!$B167</f>
        <v>5.0</v>
      </c>
      <c r="C105" s="25">
        <f>ESPECTROS!$O167</f>
        <v>0.2995320705194742</v>
      </c>
      <c r="D105" s="30">
        <f t="shared" si="6"/>
        <v>293.7406179359802</v>
      </c>
      <c r="F105" s="24">
        <f>ESPECTROS!$B167</f>
        <v>5.0</v>
      </c>
      <c r="G105" s="25">
        <f>IF(STAAD!$C$17="ASCE 7-16",ESPECTROS!$H167*IF(DATOS!$C$9="SÍ",COEFICIENTE!$C$68,1),ESPECTROS!$D167)</f>
        <v>0.042790295788496316</v>
      </c>
      <c r="H105" s="30">
        <f t="shared" si="7"/>
        <v>41.962945419425736</v>
      </c>
      <c r="J105" s="24">
        <f>ESPECTROS!$B167</f>
        <v>5.0</v>
      </c>
      <c r="K105" s="25">
        <f>IF(STAAD!$C$17="ASCE 7-16",ESPECTROS!$I167*IF(DATOS!$C$9="SÍ",COEFICIENTE!$D$68,1),ESPECTROS!$E167)</f>
        <v>0.042790295788496316</v>
      </c>
      <c r="L105" s="30">
        <f t="shared" si="8"/>
        <v>41.962945419425736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0.040095246684492276</v>
      </c>
      <c r="H106" s="30">
        <f t="shared" si="7"/>
        <v>39.32000508984762</v>
      </c>
      <c r="J106" s="24">
        <f>ESPECTROS!$B168</f>
        <v>5.25</v>
      </c>
      <c r="K106" s="25">
        <f>IF(STAAD!$C$17="ASCE 7-16",ESPECTROS!$I168*IF(DATOS!$C$9="SÍ",COEFICIENTE!$D$68,1),ESPECTROS!$E168)</f>
        <v>0.040095246684492276</v>
      </c>
      <c r="L106" s="30">
        <f t="shared" si="8"/>
        <v>39.32000508984762</v>
      </c>
    </row>
    <row r="107" spans="2:12" ht="15" customHeight="1" x14ac:dyDescent="0.3">
      <c r="B107" s="24">
        <f>ESPECTROS!$B169</f>
        <v>5.5</v>
      </c>
      <c r="C107" s="25">
        <f>ESPECTROS!$O169</f>
        <v>0.26378681349494704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0.03768383049927815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0.03768383049927815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0.24860672632311862</v>
      </c>
      <c r="D108" s="30">
        <f t="shared" si="9"/>
        <v>243.7999152696611</v>
      </c>
      <c r="F108" s="24">
        <f>ESPECTROS!$B170</f>
        <v>5.75</v>
      </c>
      <c r="G108" s="25">
        <f>IF(STAAD!$C$17="ASCE 7-16",ESPECTROS!$H170*IF(DATOS!$C$9="SÍ",COEFICIENTE!$C$68,1),ESPECTROS!$D170)</f>
        <v>0.03551524661758838</v>
      </c>
      <c r="H108" s="30">
        <f t="shared" si="10"/>
        <v>34.828559324237304</v>
      </c>
      <c r="J108" s="24">
        <f>ESPECTROS!$B170</f>
        <v>5.75</v>
      </c>
      <c r="K108" s="25">
        <f>IF(STAAD!$C$17="ASCE 7-16",ESPECTROS!$I170*IF(DATOS!$C$9="SÍ",COEFICIENTE!$D$68,1),ESPECTROS!$E170)</f>
        <v>0.03551524661758838</v>
      </c>
      <c r="L108" s="30">
        <f t="shared" si="11"/>
        <v>34.828559324237304</v>
      </c>
    </row>
    <row r="109" spans="2:12" ht="15" customHeight="1" x14ac:dyDescent="0.3">
      <c r="B109" s="24">
        <f>ESPECTROS!$B171</f>
        <v>6.0</v>
      </c>
      <c r="C109" s="25">
        <f>ESPECTROS!$O171</f>
        <v>0.2348920584701319</v>
      </c>
      <c r="D109" s="30">
        <f t="shared" si="9"/>
        <v>230.35042051961187</v>
      </c>
      <c r="F109" s="24">
        <f>ESPECTROS!$B171</f>
        <v>6.0</v>
      </c>
      <c r="G109" s="25">
        <f>IF(STAAD!$C$17="ASCE 7-16",ESPECTROS!$H171*IF(DATOS!$C$9="SÍ",COEFICIENTE!$C$68,1),ESPECTROS!$D171)</f>
        <v>0.033556008352875984</v>
      </c>
      <c r="H109" s="30">
        <f t="shared" si="10"/>
        <v>32.90720293137313</v>
      </c>
      <c r="J109" s="24">
        <f>ESPECTROS!$B171</f>
        <v>6.0</v>
      </c>
      <c r="K109" s="25">
        <f>IF(STAAD!$C$17="ASCE 7-16",ESPECTROS!$I171*IF(DATOS!$C$9="SÍ",COEFICIENTE!$D$68,1),ESPECTROS!$E171)</f>
        <v>0.033556008352875984</v>
      </c>
      <c r="L109" s="30">
        <f t="shared" si="11"/>
        <v>32.90720293137313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0.030159269549821927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0.030159269549821927</v>
      </c>
      <c r="L110" s="30">
        <f t="shared" si="11"/>
        <v>29.576140073076118</v>
      </c>
    </row>
    <row r="111" spans="2:12" ht="15" customHeight="1" x14ac:dyDescent="0.3">
      <c r="B111" s="24">
        <f>ESPECTROS!$B173</f>
        <v>7.0</v>
      </c>
      <c r="C111" s="25">
        <f>ESPECTROS!$O173</f>
        <v>0.19125198336582316</v>
      </c>
      <c r="D111" s="30">
        <f t="shared" si="9"/>
        <v>187.55412626744496</v>
      </c>
      <c r="F111" s="24">
        <f>ESPECTROS!$B173</f>
        <v>7.0</v>
      </c>
      <c r="G111" s="25">
        <f>IF(STAAD!$C$17="ASCE 7-16",ESPECTROS!$H173*IF(DATOS!$C$9="SÍ",COEFICIENTE!$C$68,1),ESPECTROS!$D173)</f>
        <v>0.027321711909403308</v>
      </c>
      <c r="H111" s="30">
        <f t="shared" si="10"/>
        <v>26.793446609634994</v>
      </c>
      <c r="J111" s="24">
        <f>ESPECTROS!$B173</f>
        <v>7.0</v>
      </c>
      <c r="K111" s="25">
        <f>IF(STAAD!$C$17="ASCE 7-16",ESPECTROS!$I173*IF(DATOS!$C$9="SÍ",COEFICIENTE!$D$68,1),ESPECTROS!$E173)</f>
        <v>0.027321711909403308</v>
      </c>
      <c r="L111" s="30">
        <f t="shared" si="11"/>
        <v>26.793446609634994</v>
      </c>
    </row>
    <row r="112" spans="2:12" ht="15" customHeight="1" x14ac:dyDescent="0.3">
      <c r="B112" s="24">
        <f>ESPECTROS!$B174</f>
        <v>7.5</v>
      </c>
      <c r="C112" s="25">
        <f>ESPECTROS!$O174</f>
        <v>0.17444357691188545</v>
      </c>
      <c r="D112" s="30">
        <f t="shared" si="9"/>
        <v>171.07071035229413</v>
      </c>
      <c r="F112" s="24">
        <f>ESPECTROS!$B174</f>
        <v>7.5</v>
      </c>
      <c r="G112" s="25">
        <f>IF(STAAD!$C$17="ASCE 7-16",ESPECTROS!$H174*IF(DATOS!$C$9="SÍ",COEFICIENTE!$C$68,1),ESPECTROS!$D174)</f>
        <v>0.024920510987412207</v>
      </c>
      <c r="H112" s="30">
        <f t="shared" si="10"/>
        <v>24.43867290747059</v>
      </c>
      <c r="J112" s="24">
        <f>ESPECTROS!$B174</f>
        <v>7.5</v>
      </c>
      <c r="K112" s="25">
        <f>IF(STAAD!$C$17="ASCE 7-16",ESPECTROS!$I174*IF(DATOS!$C$9="SÍ",COEFICIENTE!$D$68,1),ESPECTROS!$E174)</f>
        <v>0.024920510987412207</v>
      </c>
      <c r="L112" s="30">
        <f t="shared" si="11"/>
        <v>24.43867290747059</v>
      </c>
    </row>
    <row r="113" spans="2:12" ht="15" customHeight="1" x14ac:dyDescent="0.3">
      <c r="B113" s="24">
        <f>ESPECTROS!$B175</f>
        <v>8.0</v>
      </c>
      <c r="C113" s="25">
        <f>ESPECTROS!$O175</f>
        <v>0.16006019870205287</v>
      </c>
      <c r="D113" s="30">
        <f t="shared" si="9"/>
        <v>156.96543476014867</v>
      </c>
      <c r="F113" s="24">
        <f>ESPECTROS!$B175</f>
        <v>8.0</v>
      </c>
      <c r="G113" s="25">
        <f>IF(STAAD!$C$17="ASCE 7-16",ESPECTROS!$H175*IF(DATOS!$C$9="SÍ",COEFICIENTE!$C$68,1),ESPECTROS!$D175)</f>
        <v>0.02286574267172184</v>
      </c>
      <c r="H113" s="30">
        <f t="shared" si="10"/>
        <v>22.423633537164097</v>
      </c>
      <c r="J113" s="24">
        <f>ESPECTROS!$B175</f>
        <v>8.0</v>
      </c>
      <c r="K113" s="25">
        <f>IF(STAAD!$C$17="ASCE 7-16",ESPECTROS!$I175*IF(DATOS!$C$9="SÍ",COEFICIENTE!$D$68,1),ESPECTROS!$E175)</f>
        <v>0.02286574267172184</v>
      </c>
      <c r="L113" s="30">
        <f t="shared" si="11"/>
        <v>22.423633537164097</v>
      </c>
    </row>
    <row r="114" spans="2:12" ht="15" customHeight="1" x14ac:dyDescent="0.3">
      <c r="B114" s="24">
        <f>ESPECTROS!$B176</f>
        <v>8.5</v>
      </c>
      <c r="C114" s="25">
        <f>ESPECTROS!$O176</f>
        <v>0.1476311830710877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0.021090169010155386</v>
      </c>
      <c r="H114" s="30">
        <f t="shared" si="10"/>
        <v>20.68239059234403</v>
      </c>
      <c r="J114" s="24">
        <f>ESPECTROS!$B176</f>
        <v>8.5</v>
      </c>
      <c r="K114" s="25">
        <f>IF(STAAD!$C$17="ASCE 7-16",ESPECTROS!$I176*IF(DATOS!$C$9="SÍ",COEFICIENTE!$D$68,1),ESPECTROS!$E176)</f>
        <v>0.021090169010155386</v>
      </c>
      <c r="L114" s="30">
        <f t="shared" si="11"/>
        <v>20.68239059234403</v>
      </c>
    </row>
    <row r="115" spans="2:12" ht="15" customHeight="1" x14ac:dyDescent="0.3">
      <c r="B115" s="24">
        <f>ESPECTROS!$B177</f>
        <v>9.0</v>
      </c>
      <c r="C115" s="25">
        <f>ESPECTROS!$O177</f>
        <v>0.1367980757341358</v>
      </c>
      <c r="D115" s="30">
        <f t="shared" si="9"/>
        <v>134.15308493981627</v>
      </c>
      <c r="F115" s="24">
        <f>ESPECTROS!$B177</f>
        <v>9.0</v>
      </c>
      <c r="G115" s="25">
        <f>IF(STAAD!$C$17="ASCE 7-16",ESPECTROS!$H177*IF(DATOS!$C$9="SÍ",COEFICIENTE!$C$68,1),ESPECTROS!$D177)</f>
        <v>0.019542582247733687</v>
      </c>
      <c r="H115" s="30">
        <f t="shared" si="10"/>
        <v>19.164726419973757</v>
      </c>
      <c r="J115" s="24">
        <f>ESPECTROS!$B177</f>
        <v>9.0</v>
      </c>
      <c r="K115" s="25">
        <f>IF(STAAD!$C$17="ASCE 7-16",ESPECTROS!$I177*IF(DATOS!$C$9="SÍ",COEFICIENTE!$D$68,1),ESPECTROS!$E177)</f>
        <v>0.019542582247733687</v>
      </c>
      <c r="L115" s="30">
        <f t="shared" si="11"/>
        <v>19.164726419973757</v>
      </c>
    </row>
    <row r="116" spans="2:12" ht="15" customHeight="1" x14ac:dyDescent="0.3">
      <c r="B116" s="24">
        <f>ESPECTROS!$B178</f>
        <v>9.5</v>
      </c>
      <c r="C116" s="25">
        <f>ESPECTROS!$O178</f>
        <v>0.12728342724198424</v>
      </c>
      <c r="D116" s="30">
        <f t="shared" si="9"/>
        <v>124.82240217626047</v>
      </c>
      <c r="F116" s="24">
        <f>ESPECTROS!$B178</f>
        <v>9.5</v>
      </c>
      <c r="G116" s="25">
        <f>IF(STAAD!$C$17="ASCE 7-16",ESPECTROS!$H178*IF(DATOS!$C$9="SÍ",COEFICIENTE!$C$68,1),ESPECTROS!$D178)</f>
        <v>0.01818334674885489</v>
      </c>
      <c r="H116" s="30">
        <f t="shared" si="10"/>
        <v>17.83177173946578</v>
      </c>
      <c r="J116" s="24">
        <f>ESPECTROS!$B178</f>
        <v>9.5</v>
      </c>
      <c r="K116" s="25">
        <f>IF(STAAD!$C$17="ASCE 7-16",ESPECTROS!$I178*IF(DATOS!$C$9="SÍ",COEFICIENTE!$D$68,1),ESPECTROS!$E178)</f>
        <v>0.01818334674885489</v>
      </c>
      <c r="L116" s="30">
        <f t="shared" si="11"/>
        <v>17.83177173946578</v>
      </c>
    </row>
    <row r="117" spans="2:12" ht="15" customHeight="1" x14ac:dyDescent="0.3">
      <c r="B117" s="24">
        <f>ESPECTROS!$B179</f>
        <v>10.0</v>
      </c>
      <c r="C117" s="25">
        <f>ESPECTROS!$O179</f>
        <v>0.1188693809602066</v>
      </c>
      <c r="D117" s="30">
        <f t="shared" si="9"/>
        <v>116.571041479341</v>
      </c>
      <c r="F117" s="24">
        <f>ESPECTROS!$B179</f>
        <v>10.0</v>
      </c>
      <c r="G117" s="25">
        <f>IF(STAAD!$C$17="ASCE 7-16",ESPECTROS!$H179*IF(DATOS!$C$9="SÍ",COEFICIENTE!$C$68,1),ESPECTROS!$D179)</f>
        <v>0.01698134013717237</v>
      </c>
      <c r="H117" s="30">
        <f t="shared" si="10"/>
        <v>16.653005925620143</v>
      </c>
      <c r="J117" s="24">
        <f>ESPECTROS!$B179</f>
        <v>10.0</v>
      </c>
      <c r="K117" s="25">
        <f>IF(STAAD!$C$17="ASCE 7-16",ESPECTROS!$I179*IF(DATOS!$C$9="SÍ",COEFICIENTE!$D$68,1),ESPECTROS!$E179)</f>
        <v>0.01698134013717237</v>
      </c>
      <c r="L117" s="30">
        <f t="shared" si="11"/>
        <v>16.653005925620143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