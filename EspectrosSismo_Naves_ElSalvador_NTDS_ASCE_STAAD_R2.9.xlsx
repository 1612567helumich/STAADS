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F8AEA57-1293-4F68-834B-73BA23947830}" xr6:coauthVersionLast="47" xr6:coauthVersionMax="47" xr10:uidLastSave="{00000000-0000-0000-0000-000000000000}"/>
  <bookViews>
    <workbookView xWindow="-108" yWindow="-108" windowWidth="23256" windowHeight="13176" tabRatio="500" firstSheet="1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14"/>
    <sheet name="TABLA_T_Sa" sheetId="5" r:id="rId5"/>
    <sheet name="SV_vs_MEXICO" sheetId="6" r:id="rId6"/>
    <sheet name="TABLAS" sheetId="7" r:id="rId7"/>
    <sheet name="REFERENCIAS" sheetId="8" r:id="rId8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<sst xmlns="http://schemas.openxmlformats.org/spreadsheetml/2006/main" count="1280" uniqueCount="918">
  <si>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</si>
  <si>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</si>
  <si>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</si>
  <si>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</si>
  <si>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</si>
  <si>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</si>
  <si>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</si>
  <si>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</si>
  <si>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</si>
  <si>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</si>
  <si>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</si>
  <si>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</si>
  <si>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</si>
  <si>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</si>
  <si>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</si>
  <si>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</si>
  <si>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</si>
  <si>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</si>
  <si>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</si>
  <si>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</si>
  <si>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</si>
  <si>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</si>
  <si>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</si>
  <si>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</si>
  <si>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</si>
  <si>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</si>
  <si>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</si>
  <si>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</si>
  <si>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</si>
  <si>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</si>
  <si>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</si>
  <si>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</si>
  <si>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</si>
  <si>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</si>
  <si>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</si>
  <si>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</si>
  <si>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</si>
  <si>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</si>
  <si>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</si>
  <si>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</si>
  <si>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</si>
  <si>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</si>
  <si>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</si>
  <si>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</si>
  <si>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</si>
  <si>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</si>
  <si>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</si>
  <si>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</si>
  <si>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</si>
  <si>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</si>
  <si>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</si>
  <si>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</si>
  <si>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</si>
  <si>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</si>
  <si>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</si>
  <si>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</si>
  <si>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</si>
  <si>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</si>
  <si>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</si>
  <si>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</si>
  <si>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</si>
  <si>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</si>
  <si>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</si>
  <si>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</si>
  <si>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</si>
  <si>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</si>
  <si>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</si>
  <si>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</si>
  <si>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</si>
  <si>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</si>
  <si>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</si>
  <si>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</si>
  <si>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</si>
  <si>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</si>
  <si>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</si>
  <si>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</si>
  <si>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</si>
  <si>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</si>
  <si>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</si>
  <si>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</si>
  <si>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</si>
  <si>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</si>
  <si>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</si>
  <si>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</si>
  <si>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</si>
  <si>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</si>
  <si>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</si>
  <si>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</si>
  <si>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</si>
  <si>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</si>
  <si>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</si>
  <si>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</si>
  <si>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</si>
  <si>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</si>
  <si>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</si>
  <si>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</si>
  <si>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</si>
  <si>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</si>
  <si>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</si>
  <si>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</si>
  <si>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</si>
  <si>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</si>
  <si>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</si>
  <si>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</si>
  <si>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</si>
  <si>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</si>
  <si>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</si>
  <si>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</si>
  <si>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</si>
  <si>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</si>
  <si>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</si>
  <si>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</si>
  <si>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</si>
  <si>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</si>
  <si>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</si>
  <si>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</si>
  <si>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</si>
  <si>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</si>
  <si>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</si>
  <si>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</si>
  <si>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</si>
  <si>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</si>
  <si>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</si>
  <si>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</si>
  <si>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</si>
  <si>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</si>
  <si>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</si>
  <si>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</si>
  <si>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</si>
  <si>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</si>
  <si>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</si>
  <si>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</si>
  <si>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</si>
  <si>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</si>
  <si>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</si>
  <si>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</si>
  <si>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</si>
  <si>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</si>
  <si>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</si>
  <si>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</si>
  <si>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</si>
  <si>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</si>
  <si>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</si>
  <si>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</si>
  <si>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</si>
  <si>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</si>
  <si>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</si>
  <si>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</si>
  <si>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</si>
  <si>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</si>
  <si>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</si>
  <si>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SELECTOR. Del modelo 001_NOSE_DOCK_H5_H6_R3.STD: marcos de los ejes 1 a 4 con columnas HSS6×6×½ y vigas MCE6-12 sin liberaciones (conexión rígida).</t>
  </si>
  <si>
    <t>Catálogo en TABLAS · NTDS Tabla 7, pág. 23 · ASCE Tabla 12.2-1</t>
  </si>
  <si>
    <t>Tipo de estructura — dirección Z (longitudinal)</t>
  </si>
  <si>
    <t>SELECTOR. Del modelo R3: no hay contravientos; en Z trabajan los marcos de los ejes A y B (columnas + vigas de alero MCE6-12 rígidas). Si agregas contravientos, cambia este tipo.</t>
  </si>
  <si>
    <t>h_n — altura de la nave</t>
  </si>
  <si>
    <t>m</t>
  </si>
  <si>
    <t>CAPTURA. Del modelo R3: base de columnas en Y = 0; techo a 10.62 m en el eje 1 y a 9.82 m en el eje 4 (pendiente en Z) → promedio (10.62 + 9.82)/2 = 10.22 m.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</si>
  <si>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</si>
  <si>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</si>
  <si>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</si>
  <si>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</si>
  <si>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</si>
  <si>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</si>
  <si>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</si>
  <si>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</si>
  <si>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</si>
  <si>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</si>
  <si>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</si>
  <si>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</si>
  <si>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</si>
  <si>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</si>
  <si>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CAPTURA. De AreasTributarias_NOSE_DOCK_H5_H6.xlsx, hoja RESUMEN: acero 6.60 t + CM techo 3.12 t + CM muros 2.21 t + w_i = 0 (pendiente &gt; 5%) = 11.92 t. Compáralo con la suma de cargas del caso 1 en STAAD.</t>
  </si>
  <si>
    <t>NTDS §4.1.3, pág. 7 · RESESCO Art. 25.2, pág. 10 y tabla, pág. 12</t>
  </si>
  <si>
    <t>W para ASCE</t>
  </si>
  <si>
    <t>CAPTURA. CM sin almacenamiento, particiones ni equipo permanente: igual que la NTDS, 11.92 t (fuera del AMSS sólo es referencia).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</si>
  <si>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</si>
  <si>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</si>
  <si>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</si>
  <si>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</si>
  <si>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</si>
  <si>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</si>
  <si>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</si>
  <si>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</si>
  <si>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</si>
  <si>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</si>
  <si>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</si>
  <si>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</si>
  <si>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</si>
  <si>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</si>
  <si>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</si>
  <si>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</si>
  <si>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</si>
  <si>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</si>
  <si>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</si>
  <si>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</si>
  <si>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</si>
  <si>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</si>
  <si>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</si>
  <si>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</si>
  <si>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</si>
  <si>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</si>
  <si>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</si>
  <si>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</si>
  <si>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</si>
  <si>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</si>
  <si>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</si>
  <si>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</si>
  <si>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</si>
  <si>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</si>
  <si>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</si>
  <si>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</si>
  <si>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</si>
  <si>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</si>
  <si>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</si>
  <si>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</si>
  <si>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</si>
  <si>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</si>
  <si>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</si>
  <si>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</si>
  <si>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</si>
  <si>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</si>
  <si>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</si>
  <si>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</si>
  <si>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</si>
  <si>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</si>
  <si>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</si>
  <si>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</si>
  <si>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</si>
  <si>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</si>
  <si>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</si>
  <si>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</si>
  <si>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</si>
  <si>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</si>
  <si>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</si>
  <si>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</si>
  <si>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</si>
  <si>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</si>
  <si>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</si>
  <si>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</si>
  <si>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</si>
  <si>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</si>
  <si>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</si>
  <si>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</si>
  <si>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</si>
  <si>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</si>
  <si>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</si>
  <si>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</si>
  <si>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</si>
  <si>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</si>
  <si>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</si>
  <si>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</si>
  <si>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</si>
  <si>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</si>
  <si>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</si>
  <si>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</si>
  <si>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</si>
  <si>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</si>
  <si>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</si>
  <si>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</si>
  <si>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</si>
  <si>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</si>
  <si>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</si>
  <si>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</si>
  <si>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</si>
  <si>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</si>
  <si>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</si>
  <si>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</si>
  <si>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</si>
  <si>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</si>
  <si>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</si>
  <si>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</si>
  <si>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</si>
  <si>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</si>
  <si>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</si>
  <si>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</si>
  <si>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</si>
  <si>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</si>
  <si>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</si>
  <si>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</si>
  <si>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</si>
  <si>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</si>
  <si>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</si>
  <si>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</si>
  <si>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</si>
  <si>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</si>
  <si>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</si>
  <si>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</si>
  <si>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</si>
  <si>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</si>
  <si>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</si>
  <si>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</si>
  <si>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</si>
  <si>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</si>
  <si>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</si>
  <si>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</si>
  <si>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</si>
  <si>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</si>
  <si>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</si>
  <si>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</si>
  <si>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</si>
  <si>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</si>
  <si>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</si>
  <si>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</si>
  <si>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</si>
  <si>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</si>
  <si>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</si>
  <si>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</si>
  <si>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</si>
  <si>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</si>
  <si>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</si>
  <si>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</si>
  <si>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</si>
  <si>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</si>
  <si>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</si>
  <si>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</si>
  <si>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</si>
  <si>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</si>
  <si>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</si>
  <si>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</si>
  <si>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</si>
  <si>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</si>
  <si>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</si>
  <si>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</si>
  <si>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</si>
  <si>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</si>
  <si>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</si>
  <si>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</si>
  <si>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</si>
  <si>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</si>
  <si>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</si>
  <si>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</si>
  <si>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</si>
  <si>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</si>
  <si>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</si>
  <si>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</si>
  <si>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</si>
  <si>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CÓMO SE USA: para un modelo STAAD en kgf–cm usa la hoja STAAD_KGF_CM si quieres pegar directamente las ordenadas de diseño en cm/s². La hoja STAAD conserva el método equivalente con ordenadas en g y SCALE convertido a cm/s².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</si>
  <si>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</si>
  <si>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</si>
  <si>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</si>
  <si>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</si>
  <si>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</si>
  <si>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</si>
  <si>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</si>
  <si>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</si>
  <si>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</si>
  <si>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</si>
  <si>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</si>
  <si>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</si>
  <si>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</si>
  <si>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</si>
  <si>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</si>
  <si>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</si>
  <si>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</si>
  <si>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</si>
  <si>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</si>
  <si>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</si>
  <si>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</si>
  <si>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</si>
  <si>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</si>
  <si>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</si>
  <si>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</si>
  <si>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</si>
  <si>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</si>
  <si>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</si>
  <si>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</si>
  <si>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</si>
  <si>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</si>
  <si>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</si>
  <si>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</si>
  <si>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</si>
  <si>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</si>
  <si>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Antes del SPECTRUM, en el mismo caso: SELFWEIGHT X 1, SELFWEIGHT Y 1, SELFWEIGHT Z 1 y JOINT LOAD con los pesos que no modeles (lámina, largueros, instalaciones, muros) en FX, FY y FZ.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</si>
  <si>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</si>
  <si>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</si>
  <si>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Las tablas T–Sₐ están en TABLA_T_Sa en g y cm/s². Para un modelo kgf–cm, la unidad correcta de aceleración es cm/s² (no kg/cm²). También se agregó la hoja STAAD_KGF_CM, que usa el espectro de diseño directamente en cm/s² con SCALE = 1.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</si>
  <si>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</si>
  <si>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</si>
  <si>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</si>
  <si>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CÓMO SE USA: en esta hoja cada uno de los tres espectros tiene T (s), Sₐ (g) y Sₐ (cm/s²). Para STAAD en unidades kgf–cm puedes pegar el bloque de la hoja STAAD_KGF_CM con SCALE = 1 y las ordenadas directamente en cm/s².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</si>
  <si>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</si>
  <si>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</si>
  <si>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</si>
  <si>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</si>
  <si>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</si>
  <si>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</si>
  <si>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</si>
  <si>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</si>
  <si>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</si>
  <si>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</si>
  <si>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</si>
  <si>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</si>
  <si>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</si>
  <si>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</si>
  <si>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</si>
  <si>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</si>
  <si>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</si>
  <si>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</si>
  <si>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</si>
  <si>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</si>
  <si>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</si>
  <si>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</si>
  <si>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</si>
  <si>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</si>
  <si>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</si>
  <si>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</si>
  <si>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</si>
  <si>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</si>
  <si>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</si>
  <si>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</si>
  <si>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</si>
  <si>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</si>
  <si>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</si>
  <si>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</si>
  <si>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</si>
  <si>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</si>
  <si>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</si>
  <si>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</si>
  <si>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</si>
  <si>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</si>
  <si>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</si>
  <si>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</si>
  <si>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</si>
  <si>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</si>
  <si>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</si>
  <si>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</si>
  <si>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</si>
  <si>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</si>
  <si>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</si>
  <si>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</si>
  <si>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</si>
  <si>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</si>
  <si>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</si>
  <si>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</si>
  <si>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</si>
  <si>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</si>
  <si>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</si>
  <si>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</si>
  <si>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</si>
  <si>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</si>
  <si>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</si>
  <si>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</si>
  <si>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</si>
  <si>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</si>
  <si>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</si>
  <si>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</si>
  <si>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</si>
  <si>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</si>
  <si>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</si>
  <si>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</si>
  <si>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</si>
  <si>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</si>
  <si>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</si>
  <si>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</si>
  <si>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</si>
  <si>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</si>
  <si>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</si>
  <si>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</si>
  <si>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</si>
  <si>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</si>
  <si>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</si>
  <si>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</si>
  <si>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</si>
  <si>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</si>
  <si>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</si>
  <si>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</si>
  <si>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</si>
  <si>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</si>
  <si>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</si>
  <si>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</si>
  <si>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</si>
  <si>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</si>
  <si>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</si>
  <si>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</si>
  <si>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</si>
  <si>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</si>
  <si>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</si>
  <si>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</si>
  <si>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</si>
  <si>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</si>
  <si>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</si>
  <si>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</si>
  <si>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</si>
  <si>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</si>
  <si>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</si>
  <si>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</si>
  <si>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</si>
  <si>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</si>
  <si>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</si>
  <si>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</si>
  <si>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</si>
  <si>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</si>
  <si>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</si>
  <si>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</si>
  <si>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</si>
  <si>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</si>
  <si>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</si>
  <si>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</si>
  <si>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</si>
  <si>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</si>
  <si>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</si>
  <si>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</si>
  <si>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</si>
  <si>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</si>
  <si>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</si>
  <si>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</si>
  <si>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</si>
  <si>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</si>
  <si>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</si>
  <si>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</si>
  <si>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</si>
  <si>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</si>
  <si>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</si>
  <si>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</si>
  <si>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</si>
  <si>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</si>
  <si>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</si>
  <si>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</si>
  <si>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</si>
  <si>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</si>
  <si>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</si>
  <si>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</si>
  <si>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</si>
  <si>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</si>
  <si>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</si>
  <si>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</si>
  <si>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</si>
  <si>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</si>
  <si>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</si>
  <si>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</si>
  <si>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</si>
  <si>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</si>
  <si>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</si>
  <si>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</si>
  <si>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</si>
  <si>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</si>
  <si>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</si>
  <si>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</si>
  <si>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</si>
  <si>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</si>
  <si>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</si>
  <si>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</si>
  <si>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</si>
  <si>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</si>
  <si>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</si>
  <si>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</si>
  <si>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</si>
  <si>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</si>
  <si>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</si>
  <si>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</si>
  <si>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</si>
  <si>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</si>
  <si>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</si>
  <si>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</si>
  <si>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</si>
  <si>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</si>
  <si>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</si>
  <si>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</si>
  <si>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</si>
  <si>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</si>
  <si>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</si>
  <si>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</si>
  <si>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</si>
  <si>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</si>
  <si>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</si>
  <si>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</si>
  <si>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</si>
  <si>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</si>
  <si>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</si>
  <si>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</si>
  <si>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</si>
  <si>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</si>
  <si>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</si>
  <si>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</si>
  <si>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</si>
  <si>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</si>
  <si>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</si>
  <si>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</si>
  <si>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</si>
  <si>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</si>
  <si>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</si>
  <si>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</si>
  <si>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</si>
  <si>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</si>
  <si>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</si>
  <si>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</si>
  <si>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</si>
  <si>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</si>
  <si>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</si>
  <si>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</si>
  <si>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</si>
  <si>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</si>
  <si>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</si>
  <si>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</si>
  <si>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</si>
  <si>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</si>
  <si>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</si>
  <si>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</si>
  <si>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</si>
  <si>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</si>
  <si>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</si>
  <si>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</si>
  <si>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</si>
  <si>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</si>
  <si>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</si>
  <si>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</si>
  <si>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</si>
  <si>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</si>
  <si>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</si>
  <si>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</si>
  <si>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</si>
  <si>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</si>
  <si>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</si>
  <si>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</si>
  <si>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</si>
  <si>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</si>
  <si>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</si>
  <si>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</si>
  <si>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</si>
  <si>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</si>
  <si>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</si>
  <si>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</si>
  <si>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</si>
  <si>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</si>
  <si>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</si>
  <si>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</si>
  <si>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</si>
  <si>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</si>
  <si>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</si>
  <si>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</si>
  <si>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</si>
  <si>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</si>
  <si>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</si>
  <si>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</si>
  <si>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</si>
  <si>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</si>
  <si>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</si>
  <si>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</si>
  <si>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</si>
  <si>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</si>
  <si>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</si>
  <si>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</si>
  <si>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</si>
  <si>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</si>
  <si>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</si>
  <si>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</si>
  <si>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</si>
  <si>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</si>
  <si>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</si>
  <si>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</si>
  <si>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</si>
  <si>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</si>
  <si>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</si>
  <si>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</si>
  <si>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</si>
  <si>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</si>
  <si>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</si>
  <si>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</si>
  <si>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</si>
  <si>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</si>
  <si>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</si>
  <si>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</si>
  <si>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</si>
  <si>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</si>
  <si>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</si>
  <si>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</si>
  <si>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</si>
  <si>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</si>
  <si>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</si>
  <si>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</si>
  <si>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</si>
  <si>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</si>
  <si>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</si>
  <si>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</si>
  <si>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</si>
  <si>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</si>
  <si>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</si>
  <si>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</si>
  <si>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</si>
  <si>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</si>
  <si>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</si>
  <si>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</si>
  <si>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</si>
  <si>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</si>
  <si>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</si>
  <si>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</si>
  <si>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</si>
  <si>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</si>
  <si>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</si>
  <si>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</si>
  <si>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</si>
  <si>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</si>
  <si>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</si>
  <si>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</si>
  <si>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</si>
  <si>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</si>
  <si>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</si>
  <si>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</si>
  <si>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</si>
  <si>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</si>
  <si>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</si>
  <si>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</si>
  <si>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</si>
  <si>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</si>
  <si>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</si>
  <si>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</si>
  <si>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</si>
  <si>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</si>
  <si>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</si>
  <si>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</si>
  <si>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</si>
  <si>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</si>
  <si>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</si>
  <si>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</si>
  <si>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</si>
  <si>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</si>
  <si>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</si>
  <si>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</si>
  <si>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</si>
  <si>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</si>
  <si>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</si>
  <si>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</si>
  <si>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</si>
  <si>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</si>
  <si>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</si>
  <si>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</si>
  <si>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</si>
  <si>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</si>
  <si>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</si>
  <si>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</si>
  <si>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</si>
  <si>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</si>
  <si>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</si>
  <si>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</si>
  <si>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</si>
  <si>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</si>
  <si>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</si>
  <si>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</si>
  <si>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</si>
  <si>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</si>
  <si>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</si>
  <si>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</si>
  <si>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</si>
  <si>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</si>
  <si>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</si>
  <si>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</si>
  <si>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</si>
  <si>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</si>
  <si>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</si>
  <si>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</si>
  <si>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</si>
  <si>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</si>
  <si>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</si>
  <si>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</si>
  <si>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</si>
  <si>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</si>
  <si>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</si>
  <si>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</si>
  <si>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</si>
  <si>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</si>
  <si>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</si>
  <si>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</si>
  <si>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</si>
  <si>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</si>
  <si>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</si>
  <si>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</si>
  <si>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</si>
  <si>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</si>
  <si>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</si>
  <si>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</si>
  <si>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</si>
  <si>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</si>
  <si>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</si>
  <si>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</si>
  <si>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</si>
  <si>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</si>
  <si>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</si>
  <si>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</si>
  <si>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</si>
  <si>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</si>
  <si>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</si>
  <si>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</si>
  <si>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</si>
  <si>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</si>
  <si>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</si>
  <si>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</si>
  <si>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</si>
  <si>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</si>
  <si>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</si>
  <si>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</si>
  <si>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</si>
  <si>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</si>
  <si>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</si>
  <si>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</si>
  <si>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</si>
  <si>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</si>
  <si>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</si>
  <si>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</si>
  <si>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</si>
  <si>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</si>
  <si>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</si>
  <si>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</si>
  <si>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</si>
  <si>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</si>
  <si>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</si>
  <si>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</si>
  <si>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</si>
  <si>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</si>
  <si>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</si>
  <si>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</si>
  <si>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</si>
  <si>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</si>
  <si>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</si>
  <si>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</si>
  <si>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</si>
  <si>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</si>
  <si>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</si>
  <si>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</si>
  <si>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</si>
  <si>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</si>
  <si>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</si>
  <si>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</si>
  <si>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</si>
  <si>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</si>
  <si>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</si>
  <si>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</si>
  <si>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</si>
  <si>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</si>
  <si>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</si>
  <si>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</si>
  <si>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</si>
  <si>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</si>
  <si>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</si>
  <si>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</si>
  <si>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</si>
  <si>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</si>
  <si>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</si>
  <si>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</si>
  <si>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</si>
  <si>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</si>
  <si>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</si>
  <si>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</si>
  <si>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</si>
  <si>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</si>
  <si>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</si>
  <si>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</si>
  <si>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</si>
  <si>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</si>
  <si>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</si>
  <si>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</si>
  <si>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</si>
  <si>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</si>
  <si>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</si>
  <si>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</si>
  <si>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</si>
  <si>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</si>
  <si>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</si>
  <si>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</si>
  <si>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</si>
  <si>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</si>
  <si>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</si>
  <si>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</si>
  <si>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</si>
  <si>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</si>
  <si>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</si>
  <si>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</si>
  <si>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</si>
  <si>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</si>
  <si>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</si>
  <si>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</si>
  <si>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</si>
  <si>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</si>
  <si>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</si>
  <si>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</si>
  <si>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</si>
  <si>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</si>
  <si>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</si>
  <si>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</si>
  <si>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</si>
  <si>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</si>
  <si>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</si>
  <si>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STAAD PRO — ESPECTRO EN UNIDADES kgf–cm</t>
  </si>
  <si>
    <t>Para modelo con LONGITUD = CM y FUERZA = KGF. La pseudoaceleración se introduce en cm/s². No se usa kg/cm².</t>
  </si>
  <si>
    <t>Fuente: TABLA_T_Sa de este mismo archivo. El espectro corresponde al selector activo de STAAD (actualmente NTDS-1994).</t>
  </si>
  <si>
    <t>CASO DE SISMO X — copiar la columna B desde la línea SPECTRUM</t>
  </si>
  <si>
    <t>* SISMO X - pseudoaceleración en cm/s2 - SCALE = 1 - CQC 5% LIN - factor de dirección 1.242 (cortante mínimo NTDS §5.4.1(3), pág. 12)</t>
  </si>
  <si>
    <t>SPECTRUM CQC X 1.242 ACC SCALE 1.0 DAMP 0.05 LIN</t>
  </si>
  <si>
    <t>0.000 67.2456; 0.020 80.6947; 0.040 94.1438; 0.060 107.5930; 0.080 121.0421;</t>
  </si>
  <si>
    <t>0.100 134.4912; 0.120 147.9403; 0.140 161.3894; 0.157 172.9562; 0.180 188.2877;</t>
  </si>
  <si>
    <t>0.200 201.7368; 0.220 201.7368; 0.240 201.7368; 0.260 201.7368; 0.280 201.7368;</t>
  </si>
  <si>
    <t>0.300 201.7368; 0.320 201.7368; 0.340 201.7368; 0.360 201.7368; 0.380 201.7368;</t>
  </si>
  <si>
    <t>0.400 201.7368; 0.420 201.7368; 0.440 201.7368; 0.460 201.7368; 0.480 201.7368;</t>
  </si>
  <si>
    <t>0.500 201.7368; 0.520 201.7368; 0.540 201.7368; 0.560 201.7368; 0.580 201.7368;</t>
  </si>
  <si>
    <t>0.600 201.7368; 0.620 197.3747; 0.640 193.2410; 0.660 189.3172; 0.680 185.5866;</t>
  </si>
  <si>
    <t>0.700 182.0346; 0.720 178.6478; 0.740 175.4142; 0.760 172.3231; 0.786 168.5011;</t>
  </si>
  <si>
    <t>0.800 166.5301; 0.820 163.8111; 0.840 161.2005; 0.860 158.6915; 0.880 156.2779;</t>
  </si>
  <si>
    <t>0.900 153.9540; 0.920 151.7146; 0.940 149.5549; 0.960 147.4705; 0.980 145.4572;</t>
  </si>
  <si>
    <t>1.000 143.5113; 1.050 138.9184; 1.100 134.6762; 1.150 130.7437; 1.200 127.0862;</t>
  </si>
  <si>
    <t>1.250 123.6743; 1.300 120.4824; 1.350 117.4889; 1.400 114.6746; 1.450 112.0230;</t>
  </si>
  <si>
    <t>1.500 109.5196; 1.550 107.1515; 1.600 104.9074; 1.650 102.7772; 1.700 100.7519;</t>
  </si>
  <si>
    <t>1.750 98.8236; 1.800 96.9849; 1.850 95.2295; 1.900 93.5514; 1.950 91.9453;</t>
  </si>
  <si>
    <t>2.000 90.4064; 2.100 87.5131; 2.200 84.8407; 2.300 82.3634; 2.400 80.0593;</t>
  </si>
  <si>
    <t>2.500 77.9099; 2.600 75.8992; 2.700 74.0134; 2.800 72.2405; 2.900 70.5701;</t>
  </si>
  <si>
    <t>3.000 68.9930; 3.100 67.5012; 3.200 66.0875; 3.300 64.7456; 3.400 63.4697;</t>
  </si>
  <si>
    <t>3.500 62.2550; 3.600 61.0967; 3.700 59.9908; 3.800 58.9337; 3.900 57.9219;</t>
  </si>
  <si>
    <t>4.000 56.9525; 4.250 52.1164; 4.500 48.2921; 4.750 44.9332; 5.000 41.9629;</t>
  </si>
  <si>
    <t>5.250 39.3200; 5.500 36.9552; 5.750 34.8286; 6.000 32.9072; 6.500 29.5761;</t>
  </si>
  <si>
    <t>7.000 26.7934; 7.500 24.4387; 8.000 22.4236; 8.500 20.6824; 9.000 19.1647;</t>
  </si>
  <si>
    <t>9.500 17.8318; 10.000 16.6530;</t>
  </si>
  <si>
    <t>CASO DE SISMO Z — copiar la columna B desde la línea SPECTRUM</t>
  </si>
  <si>
    <t>* SISMO Z - pseudoaceleración en cm/s2 - SCALE = 1 - CQC 5% LIN - factor de dirección 1.133 (cortante mínimo NTDS §5.4.1(3), pág. 12)</t>
  </si>
  <si>
    <t>SPECTRUM CQC Z 1.133 ACC SCALE 1.0 DAMP 0.05 LIN</t>
  </si>
  <si>
    <t>NOTAS</t>
  </si>
  <si>
    <t>• En kgf–cm, 1 g = 980.665 cm/s².</t>
  </si>
  <si>
    <t>• Este bloque usa directamente el espectro de DISEÑO (ya dividido entre R). Por eso SCALE = 1.0.</t>
  </si>
  <si>
    <t>• Si prefieres usar el espectro ELÁSTICO, usa el bloque 1 de TABLA_T_Sa y coloca SCALE = 1/R en el caso correspondiente.</t>
  </si>
  <si>
    <t>• Factores 1.242 (X) y 1.133 (Z): llevan el CQC al cortante mínimo NTDS §5.4.1(3), pág. 12, con W = 15,969 kg y Tz = 0.733 s (output STAAD R2.2, págs. 19–20). Para SISMO -X y -Z usa -1.242 y -1.133. Verifica en el output: X ≥ 2,957 kg, Z ≥ 2,628 kg.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</si>
</sst>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9"/>
      <color rgb="FF1F3864"/>
      <name val="Arial"/>
      <charset val="1"/>
    </font>
    <font>
      <sz val="10"/>
      <color rgb="FF1A1A1A"/>
      <name val="Arial"/>
      <charset val="1"/>
    </font>
    <font>
      <b/>
      <sz val="10"/>
      <color rgb="FF0000CC"/>
      <name val="Arial"/>
      <charset val="1"/>
    </font>
    <font>
      <sz val="8"/>
      <color rgb="FF1F4E79"/>
      <name val="Arial"/>
      <charset val="1"/>
    </font>
    <font>
      <b/>
      <sz val="10"/>
      <color rgb="FF1A1A1A"/>
      <name val="Arial"/>
      <charset val="1"/>
    </font>
    <font>
      <b/>
      <sz val="10"/>
      <color rgb="FF006100"/>
      <name val="Arial"/>
      <charset val="1"/>
    </font>
    <font>
      <b/>
      <sz val="10"/>
      <color rgb="FF9C0006"/>
      <name val="Arial"/>
      <charset val="1"/>
    </font>
    <font>
      <b/>
      <sz val="9"/>
      <color rgb="FF843C0C"/>
      <name val="Arial"/>
      <charset val="1"/>
    </font>
    <font>
      <sz val="8"/>
      <color rgb="FFA6A6A6"/>
      <name val="Arial"/>
      <charset val="1"/>
    </font>
    <font>
      <b/>
      <sz val="10"/>
      <color rgb="FF1F4E79"/>
      <name val="Arial"/>
      <charset val="1"/>
    </font>
    <font>
      <sz val="9"/>
      <color rgb="FF1A1A1A"/>
      <name val="Arial"/>
      <charset val="1"/>
    </font>
    <font>
      <b/>
      <sz val="14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FF0E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6" fillId="0" borderId="0" xfId="0" applyFont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62"/>
  <sheetViews>
    <sheetView showGridLines="0" topLeftCell="A12" zoomScale="70" zoomScaleNormal="70" workbookViewId="0">
      <selection activeCell="H19" sqref="H19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7"/>
      <c r="D1" s="37"/>
      <c r="E1" s="37"/>
      <c r="F1" s="37"/>
    </row>
    <row r="2" spans="2:6" ht="30" customHeight="1" x14ac:dyDescent="0.3">
      <c r="B2" s="39" t="s">
        <v>25</v>
      </c>
      <c r="C2" s="37"/>
      <c r="D2" s="37"/>
      <c r="E2" s="37"/>
      <c r="F2" s="37"/>
    </row>
    <row r="3" spans="2:6" ht="6" customHeight="1" x14ac:dyDescent="0.3"/>
    <row r="4" spans="2:6" ht="21" customHeight="1" x14ac:dyDescent="0.3">
      <c r="B4" s="36" t="s">
        <v>26</v>
      </c>
      <c r="C4" s="37"/>
      <c r="D4" s="37"/>
      <c r="E4" s="37"/>
      <c r="F4" s="37"/>
    </row>
    <row r="5" spans="2:6" ht="30" customHeight="1" x14ac:dyDescent="0.3">
      <c r="B5" s="40" t="s">
        <v>27</v>
      </c>
      <c r="C5" s="35"/>
      <c r="D5" s="35"/>
      <c r="E5" s="35"/>
      <c r="F5" s="35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1" t="s">
        <v>34</v>
      </c>
      <c r="D7" s="35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1" t="s">
        <v>38</v>
      </c>
      <c r="D8" s="35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6" t="s">
        <v>62</v>
      </c>
      <c r="C16" s="37"/>
      <c r="D16" s="37"/>
      <c r="E16" s="37"/>
      <c r="F16" s="37"/>
    </row>
    <row r="17" spans="2:6" ht="18" customHeight="1" x14ac:dyDescent="0.3">
      <c r="B17" s="40" t="s">
        <v>63</v>
      </c>
      <c r="C17" s="35"/>
      <c r="D17" s="35"/>
      <c r="E17" s="35"/>
      <c r="F17" s="35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6" t="s">
        <v>91</v>
      </c>
      <c r="C28" s="37"/>
      <c r="D28" s="37"/>
      <c r="E28" s="37"/>
      <c r="F28" s="37"/>
    </row>
    <row r="29" spans="2:6" ht="30" customHeight="1" x14ac:dyDescent="0.3">
      <c r="B29" s="40" t="s">
        <v>92</v>
      </c>
      <c r="C29" s="35"/>
      <c r="D29" s="35"/>
      <c r="E29" s="35"/>
      <c r="F29" s="35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6" t="s">
        <v>147</v>
      </c>
      <c r="C50" s="37"/>
      <c r="D50" s="37"/>
      <c r="E50" s="37"/>
      <c r="F50" s="37"/>
    </row>
    <row r="51" spans="2:6" ht="30" customHeight="1" x14ac:dyDescent="0.3">
      <c r="B51" s="40" t="s">
        <v>148</v>
      </c>
      <c r="C51" s="35"/>
      <c r="D51" s="35"/>
      <c r="E51" s="35"/>
      <c r="F51" s="35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ht="31.5" customHeight="1" x14ac:dyDescent="0.3">
      <c r="B53" s="2" t="s">
        <v>149</v>
      </c>
      <c r="C53" s="5" t="s">
        <v>150</v>
      </c>
      <c r="D53" s="6" t="s">
        <v>43</v>
      </c>
      <c r="E53" s="3" t="inlineStr">
        <is>
          <t>SELECTOR. Del modelo 001_NOSE_DOCK_H5_H6_R2.9.STD: marcos de los ejes 1, 2 y 3 con columnas HSS10×10×5/16 y vigas MCC12-12 sin liberaciones (conexión rígida).</t>
        </is>
      </c>
      <c r="F53" s="4" t="s">
        <v>152</v>
      </c>
    </row>
    <row r="54" ht="45" customHeight="1" x14ac:dyDescent="0.3">
      <c r="B54" s="2" t="s">
        <v>153</v>
      </c>
      <c r="C54" s="5" t="s">
        <v>150</v>
      </c>
      <c r="D54" s="6" t="s">
        <v>43</v>
      </c>
      <c r="E54" s="3" t="inlineStr">
        <is>
          <t>SELECTOR. Del modelo: no hay contravientos; en Z trabajan los marcos de los ejes A y B (columnas + vigas de alero MCC12-12 rígidas). Si agregas contravientos, cambia este tipo.</t>
        </is>
      </c>
      <c r="F54" s="4" t="s">
        <v>152</v>
      </c>
    </row>
    <row r="55" ht="42" customHeight="1" x14ac:dyDescent="0.3">
      <c r="B55" s="2" t="s">
        <v>155</v>
      </c>
      <c r="C55" s="15">
        <v>10.015</v>
      </c>
      <c r="D55" s="6" t="s">
        <v>156</v>
      </c>
      <c r="E55" s="3" t="inlineStr">
        <is>
          <t>CAPTURA. Del modelo R2.9: base de columnas en Y = 0; techo a 10.43 m en el eje 1 y a 9.60 m en el eje 3 (pendiente en Z) → promedio (10.43 + 9.60)/2 = 10.02 m.</t>
        </is>
      </c>
      <c r="F55" s="4" t="s">
        <v>158</v>
      </c>
    </row>
    <row r="56" spans="2:6" ht="42" customHeight="1" x14ac:dyDescent="0.3">
      <c r="B56" s="2" t="s">
        <v>159</v>
      </c>
      <c r="C56" s="11">
        <v>1</v>
      </c>
      <c r="D56" s="6" t="s">
        <v>43</v>
      </c>
      <c r="E56" s="3" t="s">
        <v>160</v>
      </c>
      <c r="F56" s="4" t="s">
        <v>161</v>
      </c>
    </row>
    <row r="57" spans="2:6" ht="42" customHeight="1" x14ac:dyDescent="0.3">
      <c r="B57" s="2" t="s">
        <v>162</v>
      </c>
      <c r="C57" s="5" t="s">
        <v>144</v>
      </c>
      <c r="D57" s="6" t="s">
        <v>43</v>
      </c>
      <c r="E57" s="3" t="s">
        <v>163</v>
      </c>
      <c r="F57" s="4" t="s">
        <v>164</v>
      </c>
    </row>
    <row r="58" spans="2:6" ht="42" customHeight="1" x14ac:dyDescent="0.3">
      <c r="B58" s="2" t="s">
        <v>165</v>
      </c>
      <c r="C58" s="16">
        <v>0</v>
      </c>
      <c r="D58" s="6" t="s">
        <v>79</v>
      </c>
      <c r="E58" s="3" t="s">
        <v>166</v>
      </c>
      <c r="F58" s="4" t="s">
        <v>167</v>
      </c>
    </row>
    <row r="59" spans="2:6" ht="30" customHeight="1" x14ac:dyDescent="0.3">
      <c r="B59" s="2" t="s">
        <v>168</v>
      </c>
      <c r="C59" s="16">
        <v>0</v>
      </c>
      <c r="D59" s="6" t="s">
        <v>79</v>
      </c>
      <c r="E59" s="3" t="s">
        <v>169</v>
      </c>
      <c r="F59" s="4" t="s">
        <v>167</v>
      </c>
    </row>
    <row r="60" ht="30" customHeight="1" x14ac:dyDescent="0.3">
      <c r="B60" s="2" t="s">
        <v>170</v>
      </c>
      <c r="C60" s="15">
        <v>17.49</v>
      </c>
      <c r="D60" s="6" t="s">
        <v>171</v>
      </c>
      <c r="E60" s="3" t="inlineStr">
        <is>
          <t>CAPTURA. De AreasTributarias_NOSE_DOCK_H5_H6_R2.9.xlsx, hoja RESUMEN: acero 11.82 t + CM techo 3.12 t + CM muros 2.15 t + cortina 0.40 t + w_i = 0 (pendiente &gt; 5%) = 17.49 t. Compáralo con la suma de cargas del caso 1 en STAAD.</t>
        </is>
      </c>
      <c r="F60" s="4" t="s">
        <v>173</v>
      </c>
    </row>
    <row r="61" ht="42" customHeight="1" x14ac:dyDescent="0.3">
      <c r="B61" s="2" t="s">
        <v>174</v>
      </c>
      <c r="C61" s="15">
        <v>17.49</v>
      </c>
      <c r="D61" s="6" t="s">
        <v>171</v>
      </c>
      <c r="E61" s="3" t="inlineStr">
        <is>
          <t>CAPTURA. CM sin almacenamiento, particiones ni equipo permanente: igual que la NTDS, 17.49 t (fuera del AMSS sólo es referencia).</t>
        </is>
      </c>
      <c r="F61" s="4" t="s">
        <v>176</v>
      </c>
    </row>
    <row r="62" spans="2:6" ht="45" customHeight="1" x14ac:dyDescent="0.3">
      <c r="B62" s="8" t="s">
        <v>177</v>
      </c>
      <c r="C62" s="42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5"/>
      <c r="E62" s="3" t="s">
        <v>178</v>
      </c>
      <c r="F62" s="4" t="s">
        <v>179</v>
      </c>
    </row>
  </sheetData>
  <mergeCells count="13">
    <mergeCell ref="C62:D62"/>
    <mergeCell ref="B2:F2"/>
    <mergeCell ref="B16:F16"/>
    <mergeCell ref="B28:F28"/>
    <mergeCell ref="B5:F5"/>
    <mergeCell ref="B51:F51"/>
    <mergeCell ref="B1:F1"/>
    <mergeCell ref="B50:F50"/>
    <mergeCell ref="B17:F17"/>
    <mergeCell ref="C8:D8"/>
    <mergeCell ref="B4:F4"/>
    <mergeCell ref="B29:F29"/>
    <mergeCell ref="C7:D7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68"/>
  <sheetViews>
    <sheetView showGridLines="0" tabSelected="1" zoomScaleNormal="100" workbookViewId="0">
      <selection activeCell="H11" sqref="H11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180</v>
      </c>
      <c r="C1" s="37"/>
      <c r="D1" s="37"/>
      <c r="E1" s="37"/>
      <c r="F1" s="37"/>
      <c r="G1" s="37"/>
    </row>
    <row r="2" spans="2:7" ht="30" customHeight="1" x14ac:dyDescent="0.3">
      <c r="B2" s="39" t="s">
        <v>181</v>
      </c>
      <c r="C2" s="37"/>
      <c r="D2" s="37"/>
      <c r="E2" s="37"/>
      <c r="F2" s="37"/>
      <c r="G2" s="37"/>
    </row>
    <row r="3" spans="2:7" ht="30" customHeight="1" x14ac:dyDescent="0.3">
      <c r="B3" s="43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7"/>
      <c r="D3" s="37"/>
      <c r="E3" s="37"/>
      <c r="F3" s="37"/>
      <c r="G3" s="37"/>
    </row>
    <row r="4" spans="2:7" ht="30" customHeight="1" x14ac:dyDescent="0.3">
      <c r="B4" s="44" t="s">
        <v>182</v>
      </c>
      <c r="C4" s="35"/>
      <c r="D4" s="35"/>
      <c r="E4" s="35"/>
      <c r="F4" s="35"/>
      <c r="G4" s="35"/>
    </row>
    <row r="5" spans="2:7" ht="6" customHeight="1" x14ac:dyDescent="0.3"/>
    <row r="6" spans="2:7" ht="21" customHeight="1" x14ac:dyDescent="0.3">
      <c r="B6" s="36" t="s">
        <v>183</v>
      </c>
      <c r="C6" s="37"/>
      <c r="D6" s="37"/>
      <c r="E6" s="37"/>
      <c r="F6" s="37"/>
      <c r="G6" s="37"/>
    </row>
    <row r="7" spans="2:7" ht="18" customHeight="1" x14ac:dyDescent="0.3">
      <c r="B7" s="40" t="s">
        <v>184</v>
      </c>
      <c r="C7" s="35"/>
      <c r="D7" s="35"/>
      <c r="E7" s="35"/>
      <c r="F7" s="35"/>
      <c r="G7" s="35"/>
    </row>
    <row r="8" spans="2:7" ht="30" customHeight="1" x14ac:dyDescent="0.3">
      <c r="B8" s="1" t="s">
        <v>28</v>
      </c>
      <c r="C8" s="1" t="s">
        <v>185</v>
      </c>
      <c r="D8" s="1" t="s">
        <v>186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187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188</v>
      </c>
      <c r="G9" s="4" t="s">
        <v>189</v>
      </c>
    </row>
    <row r="10" spans="2:7" ht="30" customHeight="1" x14ac:dyDescent="0.3">
      <c r="B10" s="2" t="s">
        <v>190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191</v>
      </c>
      <c r="G10" s="4" t="s">
        <v>192</v>
      </c>
    </row>
    <row r="11" spans="2:7" ht="54" customHeight="1" x14ac:dyDescent="0.3">
      <c r="B11" s="2" t="s">
        <v>193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194</v>
      </c>
      <c r="G11" s="4" t="s">
        <v>195</v>
      </c>
    </row>
    <row r="12" spans="2:7" ht="30" customHeight="1" x14ac:dyDescent="0.3">
      <c r="B12" s="8" t="s">
        <v>196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197</v>
      </c>
      <c r="G12" s="4" t="s">
        <v>198</v>
      </c>
    </row>
    <row r="13" spans="2:7" ht="30" customHeight="1" x14ac:dyDescent="0.3">
      <c r="B13" s="2" t="s">
        <v>199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200</v>
      </c>
      <c r="G13" s="4" t="s">
        <v>201</v>
      </c>
    </row>
    <row r="14" spans="2:7" ht="30" customHeight="1" x14ac:dyDescent="0.3">
      <c r="B14" s="2" t="s">
        <v>202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156</v>
      </c>
      <c r="F14" s="3" t="s">
        <v>203</v>
      </c>
      <c r="G14" s="4" t="s">
        <v>198</v>
      </c>
    </row>
    <row r="15" spans="2:7" ht="31.5" customHeight="1" x14ac:dyDescent="0.3">
      <c r="B15" s="8" t="s">
        <v>204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205</v>
      </c>
      <c r="G15" s="4" t="s">
        <v>198</v>
      </c>
    </row>
    <row r="16" spans="2:7" ht="30" customHeight="1" x14ac:dyDescent="0.3">
      <c r="B16" s="2" t="s">
        <v>206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207</v>
      </c>
      <c r="G16" s="4" t="s">
        <v>208</v>
      </c>
    </row>
    <row r="17" spans="2:7" ht="30" customHeight="1" x14ac:dyDescent="0.3">
      <c r="B17" s="2" t="s">
        <v>209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210</v>
      </c>
      <c r="G17" s="4" t="s">
        <v>211</v>
      </c>
    </row>
    <row r="18" spans="2:7" ht="30" customHeight="1" x14ac:dyDescent="0.3">
      <c r="B18" s="2" t="s">
        <v>212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213</v>
      </c>
      <c r="G18" s="4" t="s">
        <v>214</v>
      </c>
    </row>
    <row r="19" spans="2:7" ht="30" customHeight="1" x14ac:dyDescent="0.3">
      <c r="B19" s="2" t="s">
        <v>215</v>
      </c>
      <c r="C19" s="13">
        <f>IF(DATOS!$C$58&gt;0,DATOS!$C$58,$C$18)</f>
        <v>0.478527764540931</v>
      </c>
      <c r="D19" s="13">
        <f>IF(DATOS!$C$59&gt;0,DATOS!$C$59,$D$18)</f>
        <v>0.478527764540931</v>
      </c>
      <c r="E19" s="6" t="s">
        <v>79</v>
      </c>
      <c r="F19" s="3" t="s">
        <v>216</v>
      </c>
      <c r="G19" s="4" t="s">
        <v>217</v>
      </c>
    </row>
    <row r="20" spans="2:7" ht="30" customHeight="1" x14ac:dyDescent="0.3">
      <c r="B20" s="2" t="s">
        <v>218</v>
      </c>
      <c r="C20" s="13">
        <f>MIN(MAX($C$19,DATOS!$C$23),6*DATOS!$C$23)</f>
        <v>0.6</v>
      </c>
      <c r="D20" s="13">
        <f>MIN(MAX($D$19,DATOS!$C$23),6*DATOS!$C$23)</f>
        <v>0.6</v>
      </c>
      <c r="E20" s="6" t="s">
        <v>79</v>
      </c>
      <c r="F20" s="3" t="s">
        <v>219</v>
      </c>
      <c r="G20" s="4" t="s">
        <v>220</v>
      </c>
    </row>
    <row r="21" spans="2:7" ht="30" customHeight="1" x14ac:dyDescent="0.3">
      <c r="B21" s="2" t="s">
        <v>221</v>
      </c>
      <c r="C21" s="19">
        <f>DATOS!$C$20*DATOS!$C$25*DATOS!$C$22/$C$12*(DATOS!$C$23/$C$20)^(2/3)</f>
        <v>0.205714285714286</v>
      </c>
      <c r="D21" s="19">
        <f>DATOS!$C$20*DATOS!$C$25*DATOS!$C$22/$D$12*(DATOS!$C$23/$D$20)^(2/3)</f>
        <v>0.205714285714286</v>
      </c>
      <c r="E21" s="6" t="s">
        <v>43</v>
      </c>
      <c r="F21" s="3" t="s">
        <v>222</v>
      </c>
      <c r="G21" s="4" t="s">
        <v>223</v>
      </c>
    </row>
    <row r="22" spans="2:7" ht="30" customHeight="1" x14ac:dyDescent="0.3">
      <c r="B22" s="2" t="s">
        <v>224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225</v>
      </c>
      <c r="G22" s="4" t="s">
        <v>226</v>
      </c>
    </row>
    <row r="23" spans="2:7" ht="30" customHeight="1" x14ac:dyDescent="0.3">
      <c r="B23" s="8" t="s">
        <v>227</v>
      </c>
      <c r="C23" s="20">
        <f>IF(DATOS!$C$58&gt;0,MAX($C$21,0.8*$C$22),$C$22)</f>
        <v>0.205714285714286</v>
      </c>
      <c r="D23" s="20">
        <f>IF(DATOS!$C$59&gt;0,MAX($D$21,0.8*$D$22),$D$22)</f>
        <v>0.205714285714286</v>
      </c>
      <c r="E23" s="6" t="s">
        <v>43</v>
      </c>
      <c r="F23" s="3" t="s">
        <v>228</v>
      </c>
      <c r="G23" s="4" t="s">
        <v>229</v>
      </c>
    </row>
    <row r="24" spans="2:7" ht="30" customHeight="1" x14ac:dyDescent="0.3">
      <c r="B24" s="8" t="s">
        <v>230</v>
      </c>
      <c r="C24" s="21">
        <f>$C$23*DATOS!$C$60</f>
        <v>3.59794285714286</v>
      </c>
      <c r="D24" s="21">
        <f>$D$23*DATOS!$C$60</f>
        <v>3.59794285714286</v>
      </c>
      <c r="E24" s="6" t="s">
        <v>171</v>
      </c>
      <c r="F24" s="3" t="s">
        <v>231</v>
      </c>
      <c r="G24" s="4" t="s">
        <v>232</v>
      </c>
    </row>
    <row r="25" spans="2:7" ht="30" customHeight="1" x14ac:dyDescent="0.3">
      <c r="B25" s="2" t="s">
        <v>233</v>
      </c>
      <c r="C25" s="13">
        <f>IF($C$19&lt;=0.7,0,MIN(0.07*$C$19,0.25))</f>
        <v>0</v>
      </c>
      <c r="D25" s="13">
        <f>IF($D$19&lt;=0.7,0,MIN(0.07*$D$19,0.25))</f>
        <v>0</v>
      </c>
      <c r="E25" s="6" t="s">
        <v>43</v>
      </c>
      <c r="F25" s="3" t="s">
        <v>234</v>
      </c>
      <c r="G25" s="4" t="s">
        <v>235</v>
      </c>
    </row>
    <row r="26" spans="2:7" ht="42" customHeight="1" x14ac:dyDescent="0.3">
      <c r="B26" s="8" t="s">
        <v>236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237</v>
      </c>
      <c r="G26" s="4" t="s">
        <v>238</v>
      </c>
    </row>
    <row r="27" spans="2:7" ht="42" customHeight="1" x14ac:dyDescent="0.3">
      <c r="B27" s="2" t="s">
        <v>239</v>
      </c>
      <c r="C27" s="19">
        <f>IF(DATOS!$C$57="SÍ",MAX(0.9*$C$23,0.8*$C$22),$C$23)</f>
        <v>0.185142857142857</v>
      </c>
      <c r="D27" s="19">
        <f>IF(DATOS!$C$57="SÍ",MAX(0.9*$D$23,0.8*$D$22),$D$23)</f>
        <v>0.185142857142857</v>
      </c>
      <c r="E27" s="6" t="s">
        <v>43</v>
      </c>
      <c r="F27" s="3" t="s">
        <v>240</v>
      </c>
      <c r="G27" s="4" t="s">
        <v>241</v>
      </c>
    </row>
    <row r="28" spans="2:7" ht="31.5" customHeight="1" x14ac:dyDescent="0.3">
      <c r="B28" s="2" t="s">
        <v>242</v>
      </c>
      <c r="C28" s="19">
        <f>$C$23*DATOS!$C$12</f>
        <v>0.294171428571429</v>
      </c>
      <c r="D28" s="19">
        <f>$D$23*DATOS!$C$12</f>
        <v>0.294171428571429</v>
      </c>
      <c r="E28" s="6" t="s">
        <v>43</v>
      </c>
      <c r="F28" s="3" t="s">
        <v>243</v>
      </c>
      <c r="G28" s="4" t="s">
        <v>244</v>
      </c>
    </row>
    <row r="29" spans="2:7" ht="6" customHeight="1" x14ac:dyDescent="0.3"/>
    <row r="30" spans="2:7" ht="21" customHeight="1" x14ac:dyDescent="0.3">
      <c r="B30" s="36" t="s">
        <v>245</v>
      </c>
      <c r="C30" s="37"/>
      <c r="D30" s="37"/>
      <c r="E30" s="37"/>
      <c r="F30" s="37"/>
      <c r="G30" s="37"/>
    </row>
    <row r="31" spans="2:7" ht="18" customHeight="1" x14ac:dyDescent="0.3">
      <c r="B31" s="40" t="s">
        <v>246</v>
      </c>
      <c r="C31" s="35"/>
      <c r="D31" s="35"/>
      <c r="E31" s="35"/>
      <c r="F31" s="35"/>
      <c r="G31" s="35"/>
    </row>
    <row r="32" spans="2:7" ht="30" customHeight="1" x14ac:dyDescent="0.3">
      <c r="B32" s="1" t="s">
        <v>28</v>
      </c>
      <c r="C32" s="1" t="s">
        <v>185</v>
      </c>
      <c r="D32" s="1" t="s">
        <v>186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247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191</v>
      </c>
      <c r="G33" s="4" t="s">
        <v>248</v>
      </c>
    </row>
    <row r="34" spans="2:7" ht="42" customHeight="1" x14ac:dyDescent="0.3">
      <c r="B34" s="2" t="s">
        <v>249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250</v>
      </c>
      <c r="G34" s="4" t="s">
        <v>251</v>
      </c>
    </row>
    <row r="35" spans="2:7" ht="31.5" customHeight="1" x14ac:dyDescent="0.3">
      <c r="B35" s="8" t="s">
        <v>252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253</v>
      </c>
      <c r="G35" s="4" t="s">
        <v>251</v>
      </c>
    </row>
    <row r="36" spans="2:7" ht="30" customHeight="1" x14ac:dyDescent="0.3">
      <c r="B36" s="2" t="s">
        <v>254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255</v>
      </c>
      <c r="G36" s="4" t="s">
        <v>256</v>
      </c>
    </row>
    <row r="37" spans="2:7" ht="30" customHeight="1" x14ac:dyDescent="0.3">
      <c r="B37" s="2" t="s">
        <v>199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257</v>
      </c>
      <c r="G37" s="4" t="s">
        <v>258</v>
      </c>
    </row>
    <row r="38" spans="2:7" ht="30" customHeight="1" x14ac:dyDescent="0.3">
      <c r="B38" s="2" t="s">
        <v>259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156</v>
      </c>
      <c r="F38" s="3" t="s">
        <v>260</v>
      </c>
      <c r="G38" s="4" t="s">
        <v>261</v>
      </c>
    </row>
    <row r="39" spans="2:7" ht="42" customHeight="1" x14ac:dyDescent="0.3">
      <c r="B39" s="2" t="s">
        <v>262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156</v>
      </c>
      <c r="F39" s="3" t="s">
        <v>263</v>
      </c>
      <c r="G39" s="4" t="s">
        <v>264</v>
      </c>
    </row>
    <row r="40" spans="2:7" ht="45" customHeight="1" x14ac:dyDescent="0.3">
      <c r="B40" s="8" t="s">
        <v>265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266</v>
      </c>
      <c r="G40" s="4" t="s">
        <v>267</v>
      </c>
    </row>
    <row r="41" spans="2:7" ht="30" customHeight="1" x14ac:dyDescent="0.3">
      <c r="B41" s="2" t="s">
        <v>268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269</v>
      </c>
      <c r="G41" s="4" t="s">
        <v>270</v>
      </c>
    </row>
    <row r="42" spans="2:7" ht="30" customHeight="1" x14ac:dyDescent="0.3">
      <c r="B42" s="2" t="s">
        <v>271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272</v>
      </c>
      <c r="G42" s="4" t="s">
        <v>270</v>
      </c>
    </row>
    <row r="43" spans="2:7" ht="30" customHeight="1" x14ac:dyDescent="0.3">
      <c r="B43" s="2" t="s">
        <v>273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274</v>
      </c>
      <c r="G43" s="4" t="s">
        <v>275</v>
      </c>
    </row>
    <row r="44" spans="2:7" ht="30" customHeight="1" x14ac:dyDescent="0.3">
      <c r="B44" s="2" t="s">
        <v>276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277</v>
      </c>
      <c r="G44" s="4" t="s">
        <v>278</v>
      </c>
    </row>
    <row r="45" spans="2:7" ht="30" customHeight="1" x14ac:dyDescent="0.3">
      <c r="B45" s="2" t="s">
        <v>215</v>
      </c>
      <c r="C45" s="13">
        <f>MAX(0.01,IF(DATOS!$C$58&gt;0,MIN(DATOS!$C$58,$C$44*$C$43),$C$43))</f>
        <v>0.457361210967478</v>
      </c>
      <c r="D45" s="13">
        <f>MAX(0.01,IF(DATOS!$C$59&gt;0,MIN(DATOS!$C$59,$D$44*$D$43),$D$43))</f>
        <v>0.457361210967478</v>
      </c>
      <c r="E45" s="6" t="s">
        <v>79</v>
      </c>
      <c r="F45" s="3" t="s">
        <v>279</v>
      </c>
      <c r="G45" s="4" t="s">
        <v>280</v>
      </c>
    </row>
    <row r="46" spans="2:7" ht="30" customHeight="1" x14ac:dyDescent="0.3">
      <c r="B46" s="2" t="s">
        <v>281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282</v>
      </c>
      <c r="G46" s="4" t="s">
        <v>283</v>
      </c>
    </row>
    <row r="47" spans="2:7" ht="30" customHeight="1" x14ac:dyDescent="0.3">
      <c r="B47" s="2" t="s">
        <v>284</v>
      </c>
      <c r="C47" s="19">
        <f>IF($C$45&lt;=DATOS!$C$44,DATOS!$C$41/($C$45*$C$35/DATOS!$C$46),DATOS!$C$41*DATOS!$C$44/($C$45^2*$C$35/DATOS!$C$46))</f>
        <v>0.839182498659283</v>
      </c>
      <c r="D47" s="19">
        <f>IF($D$45&lt;=DATOS!$C$44,DATOS!$C$41/($D$45*$D$35/DATOS!$C$46),DATOS!$C$41*DATOS!$C$44/($D$45^2*$D$35/DATOS!$C$46))</f>
        <v>0.839182498659283</v>
      </c>
      <c r="E47" s="6" t="s">
        <v>43</v>
      </c>
      <c r="F47" s="3" t="s">
        <v>222</v>
      </c>
      <c r="G47" s="4" t="s">
        <v>285</v>
      </c>
    </row>
    <row r="48" spans="2:7" ht="30" customHeight="1" x14ac:dyDescent="0.3">
      <c r="B48" s="2" t="s">
        <v>286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287</v>
      </c>
      <c r="G48" s="4" t="s">
        <v>288</v>
      </c>
    </row>
    <row r="49" spans="2:7" ht="30" customHeight="1" x14ac:dyDescent="0.3">
      <c r="B49" s="2" t="s">
        <v>289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290</v>
      </c>
      <c r="G49" s="4" t="s">
        <v>291</v>
      </c>
    </row>
    <row r="50" spans="2:7" ht="30" customHeight="1" x14ac:dyDescent="0.3">
      <c r="B50" s="8" t="s">
        <v>227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292</v>
      </c>
      <c r="G50" s="4" t="s">
        <v>293</v>
      </c>
    </row>
    <row r="51" spans="2:7" ht="30" customHeight="1" x14ac:dyDescent="0.3">
      <c r="B51" s="8" t="s">
        <v>230</v>
      </c>
      <c r="C51" s="21">
        <f>$C$50*DATOS!$C$61</f>
        <v>8.54045028571428</v>
      </c>
      <c r="D51" s="21">
        <f>$D$50*DATOS!$C$61</f>
        <v>8.54045028571428</v>
      </c>
      <c r="E51" s="6" t="s">
        <v>171</v>
      </c>
      <c r="F51" s="3" t="s">
        <v>294</v>
      </c>
      <c r="G51" s="4" t="s">
        <v>295</v>
      </c>
    </row>
    <row r="52" spans="2:7" ht="30" customHeight="1" x14ac:dyDescent="0.3">
      <c r="B52" s="2" t="s">
        <v>296</v>
      </c>
      <c r="C52" s="7">
        <f>IF($C$45&lt;=0.5,1,IF($C$45&gt;=2.5,2,1+($C$45-0.5)/2))</f>
        <v>1</v>
      </c>
      <c r="D52" s="7">
        <f>IF($D$45&lt;=0.5,1,IF($D$45&gt;=2.5,2,1+($D$45-0.5)/2))</f>
        <v>1</v>
      </c>
      <c r="E52" s="6" t="s">
        <v>43</v>
      </c>
      <c r="F52" s="3" t="s">
        <v>297</v>
      </c>
      <c r="G52" s="4" t="s">
        <v>298</v>
      </c>
    </row>
    <row r="53" spans="2:7" ht="45" customHeight="1" x14ac:dyDescent="0.3">
      <c r="B53" s="8" t="s">
        <v>299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300</v>
      </c>
      <c r="G53" s="4" t="s">
        <v>301</v>
      </c>
    </row>
    <row r="54" spans="2:7" ht="30" customHeight="1" x14ac:dyDescent="0.3">
      <c r="B54" s="2" t="s">
        <v>302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303</v>
      </c>
      <c r="G54" s="4" t="s">
        <v>304</v>
      </c>
    </row>
    <row r="55" spans="2:7" ht="30" customHeight="1" x14ac:dyDescent="0.3">
      <c r="B55" s="2" t="s">
        <v>305</v>
      </c>
      <c r="C55" s="7">
        <f>$C$37/DATOS!$C$46</f>
        <v>3</v>
      </c>
      <c r="D55" s="7">
        <f>$D$37/DATOS!$C$46</f>
        <v>3</v>
      </c>
      <c r="E55" s="6" t="s">
        <v>306</v>
      </c>
      <c r="F55" s="3" t="s">
        <v>307</v>
      </c>
      <c r="G55" s="4" t="s">
        <v>308</v>
      </c>
    </row>
    <row r="56" spans="2:7" ht="6" customHeight="1" x14ac:dyDescent="0.3"/>
    <row r="57" spans="2:7" ht="21" customHeight="1" x14ac:dyDescent="0.3">
      <c r="B57" s="36" t="s">
        <v>309</v>
      </c>
      <c r="C57" s="37"/>
      <c r="D57" s="37"/>
      <c r="E57" s="37"/>
      <c r="F57" s="37"/>
      <c r="G57" s="37"/>
    </row>
    <row r="58" spans="2:7" ht="30" customHeight="1" x14ac:dyDescent="0.3">
      <c r="B58" s="40" t="s">
        <v>310</v>
      </c>
      <c r="C58" s="35"/>
      <c r="D58" s="35"/>
      <c r="E58" s="35"/>
      <c r="F58" s="35"/>
      <c r="G58" s="35"/>
    </row>
    <row r="59" spans="2:7" ht="30" customHeight="1" x14ac:dyDescent="0.3">
      <c r="B59" s="1" t="s">
        <v>28</v>
      </c>
      <c r="C59" s="1" t="s">
        <v>185</v>
      </c>
      <c r="D59" s="1" t="s">
        <v>186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311</v>
      </c>
      <c r="C60" s="13">
        <f>$C$24*DATOS!$C$12</f>
        <v>5.14505828571429</v>
      </c>
      <c r="D60" s="13">
        <f>$D$24*DATOS!$C$12</f>
        <v>5.14505828571429</v>
      </c>
      <c r="E60" s="6" t="s">
        <v>171</v>
      </c>
      <c r="F60" s="3" t="s">
        <v>312</v>
      </c>
      <c r="G60" s="4" t="s">
        <v>313</v>
      </c>
    </row>
    <row r="61" spans="2:7" ht="30" customHeight="1" x14ac:dyDescent="0.3">
      <c r="B61" s="2" t="s">
        <v>314</v>
      </c>
      <c r="C61" s="13">
        <f>$C$51</f>
        <v>8.54045028571428</v>
      </c>
      <c r="D61" s="13">
        <f>$D$51</f>
        <v>8.54045028571428</v>
      </c>
      <c r="E61" s="6" t="s">
        <v>171</v>
      </c>
      <c r="F61" s="3" t="s">
        <v>222</v>
      </c>
      <c r="G61" s="4" t="s">
        <v>315</v>
      </c>
    </row>
    <row r="62" spans="2:7" ht="30" customHeight="1" x14ac:dyDescent="0.3">
      <c r="B62" s="2" t="s">
        <v>316</v>
      </c>
      <c r="C62" s="7">
        <f>IF($C$60&gt;0,$C$61/$C$60,0)</f>
        <v>1.65993265993266</v>
      </c>
      <c r="D62" s="7">
        <f>IF($D$60&gt;0,$D$61/$D$60,0)</f>
        <v>1.65993265993266</v>
      </c>
      <c r="E62" s="6" t="s">
        <v>43</v>
      </c>
      <c r="F62" s="3" t="s">
        <v>317</v>
      </c>
      <c r="G62" s="4" t="s">
        <v>318</v>
      </c>
    </row>
    <row r="63" spans="2:7" ht="45" customHeight="1" x14ac:dyDescent="0.3">
      <c r="B63" s="8" t="s">
        <v>319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320</v>
      </c>
      <c r="G63" s="4" t="s">
        <v>318</v>
      </c>
    </row>
    <row r="64" spans="2:7" ht="30" customHeight="1" x14ac:dyDescent="0.3">
      <c r="B64" s="2" t="s">
        <v>321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322</v>
      </c>
      <c r="G64" s="4" t="s">
        <v>323</v>
      </c>
    </row>
    <row r="65" spans="2:7" ht="31.5" customHeight="1" x14ac:dyDescent="0.3">
      <c r="B65" s="2" t="s">
        <v>324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325</v>
      </c>
      <c r="G65" s="4" t="s">
        <v>326</v>
      </c>
    </row>
    <row r="66" spans="2:7" ht="30" customHeight="1" x14ac:dyDescent="0.3">
      <c r="B66" s="2" t="s">
        <v>327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222</v>
      </c>
      <c r="G66" s="4" t="s">
        <v>328</v>
      </c>
    </row>
    <row r="67" spans="2:7" ht="45" customHeight="1" x14ac:dyDescent="0.3">
      <c r="B67" s="8" t="s">
        <v>329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330</v>
      </c>
      <c r="G67" s="4" t="s">
        <v>331</v>
      </c>
    </row>
    <row r="68" spans="2:7" ht="31.5" customHeight="1" x14ac:dyDescent="0.3">
      <c r="B68" s="2" t="s">
        <v>332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333</v>
      </c>
      <c r="G68" s="4" t="s">
        <v>334</v>
      </c>
    </row>
  </sheetData>
  <mergeCells count="10">
    <mergeCell ref="B2:G2"/>
    <mergeCell ref="B31:G31"/>
    <mergeCell ref="B57:G57"/>
    <mergeCell ref="B1:G1"/>
    <mergeCell ref="B4:G4"/>
    <mergeCell ref="B58:G58"/>
    <mergeCell ref="B30:G30"/>
    <mergeCell ref="B7:G7"/>
    <mergeCell ref="B6:G6"/>
    <mergeCell ref="B3:G3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U179"/>
  <sheetViews>
    <sheetView showGridLines="0" topLeftCell="A4" zoomScaleNormal="100" workbookViewId="0">
      <selection activeCell="Q21" sqref="Q2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2:15" ht="30" customHeight="1" x14ac:dyDescent="0.3">
      <c r="B2" s="39" t="s">
        <v>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</row>
    <row r="3" spans="2:15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2:15" ht="30" customHeight="1" x14ac:dyDescent="0.3">
      <c r="B4" s="44" t="s">
        <v>2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</row>
    <row r="5" spans="2:15" ht="30" customHeight="1" x14ac:dyDescent="0.3">
      <c r="B5" s="45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</row>
    <row r="6" spans="2:15" ht="6" customHeight="1" x14ac:dyDescent="0.3"/>
    <row r="7" spans="2:15" ht="21" customHeight="1" x14ac:dyDescent="0.3">
      <c r="B7" s="36" t="s">
        <v>3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spans="2:15" ht="30" customHeight="1" x14ac:dyDescent="0.3">
      <c r="B8" s="40" t="s">
        <v>4</v>
      </c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</row>
    <row r="70" spans="2:21" ht="21" customHeight="1" x14ac:dyDescent="0.3">
      <c r="B70" s="36" t="s">
        <v>5</v>
      </c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</row>
    <row r="71" spans="2:21" ht="30" customHeight="1" x14ac:dyDescent="0.3">
      <c r="B71" s="40" t="s">
        <v>6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335</v>
      </c>
      <c r="C1" s="37"/>
      <c r="D1" s="37"/>
      <c r="E1" s="37"/>
      <c r="F1" s="37"/>
      <c r="G1" s="37"/>
      <c r="H1" s="37"/>
    </row>
    <row r="2" spans="2:8" ht="30" customHeight="1" x14ac:dyDescent="0.3">
      <c r="B2" s="39" t="s">
        <v>336</v>
      </c>
      <c r="C2" s="37"/>
      <c r="D2" s="37"/>
      <c r="E2" s="37"/>
      <c r="F2" s="37"/>
      <c r="G2" s="37"/>
      <c r="H2" s="37"/>
    </row>
    <row r="3" spans="2:8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</row>
    <row r="4" ht="30" customHeight="1" x14ac:dyDescent="0.3">
      <c r="B4" s="44" t="inlineStr">
        <is>
          <t>CÓMO SE USA: copia la columna B de cada bloque al caso de sismo del .STD. Las ordenadas van en g y el SCALE convierte a cm/s² con el R de cada dirección (factor de dirección 1). La masa del caso sale de la hoja CM_CV_MASA.</t>
        </is>
      </c>
      <c r="C4" s="35"/>
      <c r="D4" s="35"/>
      <c r="E4" s="35"/>
      <c r="F4" s="35"/>
      <c r="G4" s="35"/>
      <c r="H4" s="35"/>
    </row>
    <row r="5" spans="2:8" ht="6" customHeight="1" x14ac:dyDescent="0.3"/>
    <row r="6" spans="2:8" ht="21" customHeight="1" x14ac:dyDescent="0.3">
      <c r="B6" s="36" t="s">
        <v>338</v>
      </c>
      <c r="C6" s="37"/>
      <c r="D6" s="37"/>
      <c r="E6" s="37"/>
      <c r="F6" s="37"/>
      <c r="G6" s="37"/>
      <c r="H6" s="37"/>
    </row>
    <row r="7" spans="2:8" ht="30" customHeight="1" x14ac:dyDescent="0.3">
      <c r="B7" s="40" t="s">
        <v>339</v>
      </c>
      <c r="C7" s="35"/>
      <c r="D7" s="35"/>
      <c r="E7" s="35"/>
      <c r="F7" s="35"/>
      <c r="G7" s="35"/>
      <c r="H7" s="35"/>
    </row>
    <row r="8" spans="2:8" ht="30" customHeight="1" x14ac:dyDescent="0.3">
      <c r="B8" s="1" t="s">
        <v>28</v>
      </c>
      <c r="C8" s="1" t="s">
        <v>340</v>
      </c>
      <c r="D8" s="1" t="s">
        <v>341</v>
      </c>
      <c r="E8" s="1" t="s">
        <v>30</v>
      </c>
      <c r="F8" s="46" t="s">
        <v>342</v>
      </c>
      <c r="G8" s="47"/>
      <c r="H8" s="1" t="s">
        <v>32</v>
      </c>
    </row>
    <row r="9" spans="2:8" ht="30" customHeight="1" x14ac:dyDescent="0.3">
      <c r="B9" s="8" t="s">
        <v>343</v>
      </c>
      <c r="C9" s="21">
        <f>COEFICIENTE!$C$24</f>
        <v>3.59794285714286</v>
      </c>
      <c r="D9" s="21">
        <f>COEFICIENTE!$D$24</f>
        <v>3.59794285714286</v>
      </c>
      <c r="E9" s="6" t="s">
        <v>171</v>
      </c>
      <c r="F9" s="34" t="s">
        <v>344</v>
      </c>
      <c r="G9" s="35"/>
      <c r="H9" s="4" t="s">
        <v>232</v>
      </c>
    </row>
    <row r="10" spans="2:8" ht="30" customHeight="1" x14ac:dyDescent="0.3">
      <c r="B10" s="2" t="s">
        <v>343</v>
      </c>
      <c r="C10" s="7">
        <f>COEFICIENTE!$C$24*9.80665</f>
        <v>35.28376632</v>
      </c>
      <c r="D10" s="7">
        <f>COEFICIENTE!$D$24*9.80665</f>
        <v>35.28376632</v>
      </c>
      <c r="E10" s="6" t="s">
        <v>345</v>
      </c>
      <c r="F10" s="34" t="s">
        <v>346</v>
      </c>
      <c r="G10" s="35"/>
      <c r="H10" s="4" t="s">
        <v>43</v>
      </c>
    </row>
    <row r="11" spans="2:8" ht="30" customHeight="1" x14ac:dyDescent="0.3">
      <c r="B11" s="2" t="s">
        <v>347</v>
      </c>
      <c r="C11" s="13">
        <f>COEFICIENTE!$C$25*COEFICIENTE!$C$24</f>
        <v>0</v>
      </c>
      <c r="D11" s="13">
        <f>COEFICIENTE!$D$25*COEFICIENTE!$D$24</f>
        <v>0</v>
      </c>
      <c r="E11" s="6" t="s">
        <v>171</v>
      </c>
      <c r="F11" s="34" t="s">
        <v>348</v>
      </c>
      <c r="G11" s="35"/>
      <c r="H11" s="4" t="s">
        <v>235</v>
      </c>
    </row>
    <row r="12" spans="2:8" ht="30" customHeight="1" x14ac:dyDescent="0.3">
      <c r="B12" s="2" t="s">
        <v>349</v>
      </c>
      <c r="C12" s="13">
        <f>COEFICIENTE!$C$27*DATOS!$C$60</f>
        <v>3.23814857142857</v>
      </c>
      <c r="D12" s="13">
        <f>COEFICIENTE!$D$27*DATOS!$C$60</f>
        <v>3.23814857142857</v>
      </c>
      <c r="E12" s="6" t="s">
        <v>171</v>
      </c>
      <c r="F12" s="34" t="s">
        <v>350</v>
      </c>
      <c r="G12" s="35"/>
      <c r="H12" s="4" t="s">
        <v>241</v>
      </c>
    </row>
    <row r="13" spans="2:8" ht="30" customHeight="1" x14ac:dyDescent="0.3">
      <c r="B13" s="2" t="s">
        <v>351</v>
      </c>
      <c r="C13" s="12">
        <f>COEFICIENTE!$C$13</f>
        <v>6</v>
      </c>
      <c r="D13" s="12">
        <f>COEFICIENTE!$D$13</f>
        <v>6</v>
      </c>
      <c r="E13" s="6" t="s">
        <v>306</v>
      </c>
      <c r="F13" s="34" t="s">
        <v>352</v>
      </c>
      <c r="G13" s="35"/>
      <c r="H13" s="4" t="s">
        <v>201</v>
      </c>
    </row>
    <row r="14" spans="2:8" ht="30" customHeight="1" x14ac:dyDescent="0.3">
      <c r="B14" s="2" t="s">
        <v>353</v>
      </c>
      <c r="C14" s="13">
        <f>COEFICIENTE!$C$51</f>
        <v>8.54045028571428</v>
      </c>
      <c r="D14" s="13">
        <f>COEFICIENTE!$D$51</f>
        <v>8.54045028571428</v>
      </c>
      <c r="E14" s="6" t="s">
        <v>171</v>
      </c>
      <c r="F14" s="34" t="s">
        <v>354</v>
      </c>
      <c r="G14" s="35"/>
      <c r="H14" s="4" t="s">
        <v>295</v>
      </c>
    </row>
    <row r="15" spans="2:8" ht="30" customHeight="1" x14ac:dyDescent="0.3">
      <c r="B15" s="2" t="s">
        <v>355</v>
      </c>
      <c r="C15" s="13">
        <f>COEFICIENTE!$C$54*DATOS!$C$61*IF(DATOS!$C$9="SÍ",COEFICIENTE!$C$64,1)</f>
        <v>8.54045028571428</v>
      </c>
      <c r="D15" s="13">
        <f>COEFICIENTE!$D$54*DATOS!$C$61*IF(DATOS!$C$9="SÍ",COEFICIENTE!$D$64,1)</f>
        <v>8.54045028571428</v>
      </c>
      <c r="E15" s="6" t="s">
        <v>171</v>
      </c>
      <c r="F15" s="34" t="s">
        <v>356</v>
      </c>
      <c r="G15" s="35"/>
      <c r="H15" s="4" t="s">
        <v>304</v>
      </c>
    </row>
    <row r="16" spans="2:8" ht="30" customHeight="1" x14ac:dyDescent="0.3">
      <c r="B16" s="2" t="s">
        <v>357</v>
      </c>
      <c r="C16" s="7">
        <f>COEFICIENTE!$C$55</f>
        <v>3</v>
      </c>
      <c r="D16" s="7">
        <f>COEFICIENTE!$D$55</f>
        <v>3</v>
      </c>
      <c r="E16" s="6" t="s">
        <v>306</v>
      </c>
      <c r="F16" s="34" t="s">
        <v>358</v>
      </c>
      <c r="G16" s="35"/>
      <c r="H16" s="4" t="s">
        <v>359</v>
      </c>
    </row>
    <row r="17" spans="2:8" ht="30" customHeight="1" x14ac:dyDescent="0.3">
      <c r="B17" s="2" t="s">
        <v>360</v>
      </c>
      <c r="C17" s="5" t="s">
        <v>361</v>
      </c>
      <c r="D17" s="6" t="s">
        <v>43</v>
      </c>
      <c r="E17" s="34" t="s">
        <v>362</v>
      </c>
      <c r="F17" s="35"/>
      <c r="G17" s="35"/>
      <c r="H17" s="4" t="s">
        <v>363</v>
      </c>
    </row>
    <row r="18" spans="2:8" ht="31.5" customHeight="1" x14ac:dyDescent="0.3">
      <c r="B18" s="8" t="s">
        <v>364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365</v>
      </c>
      <c r="F18" s="34" t="s">
        <v>366</v>
      </c>
      <c r="G18" s="35"/>
      <c r="H18" s="4" t="s">
        <v>367</v>
      </c>
    </row>
    <row r="19" spans="2:8" ht="6" customHeight="1" x14ac:dyDescent="0.3"/>
    <row r="20" spans="2:8" ht="21" customHeight="1" x14ac:dyDescent="0.3">
      <c r="B20" s="36" t="s">
        <v>368</v>
      </c>
      <c r="C20" s="37"/>
      <c r="D20" s="37"/>
      <c r="E20" s="37"/>
      <c r="F20" s="37"/>
      <c r="G20" s="37"/>
      <c r="H20" s="37"/>
    </row>
    <row r="21" spans="2:8" ht="18" customHeight="1" x14ac:dyDescent="0.3">
      <c r="B21" s="40" t="s">
        <v>369</v>
      </c>
      <c r="C21" s="35"/>
      <c r="D21" s="35"/>
      <c r="E21" s="35"/>
      <c r="F21" s="35"/>
      <c r="G21" s="35"/>
      <c r="H21" s="35"/>
    </row>
    <row r="22" ht="15" customHeight="1" x14ac:dyDescent="0.3">
      <c r="B22" s="29" t="str">
        <f>"SPECTRUM CQC X 1 ACC SCALE "&amp;TEXT(C18,"0.000")&amp;" DAMP 0.05 LIN"</f>
        <v>SPECTRUM CQC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6" t="s">
        <v>370</v>
      </c>
      <c r="C46" s="37"/>
      <c r="D46" s="37"/>
      <c r="E46" s="37"/>
      <c r="F46" s="37"/>
      <c r="G46" s="37"/>
      <c r="H46" s="37"/>
    </row>
    <row r="47" spans="2:8" ht="18" customHeight="1" x14ac:dyDescent="0.3">
      <c r="B47" s="40" t="s">
        <v>371</v>
      </c>
      <c r="C47" s="35"/>
      <c r="D47" s="35"/>
      <c r="E47" s="35"/>
      <c r="F47" s="35"/>
      <c r="G47" s="35"/>
      <c r="H47" s="35"/>
    </row>
    <row r="48" ht="15" customHeight="1" x14ac:dyDescent="0.3">
      <c r="B48" s="29" t="str">
        <f>"SPECTRUM CQC Z 1 ACC SCALE "&amp;TEXT(D18,"0.000")&amp;" DAMP 0.05 LIN"</f>
        <v>SPECTRUM CQC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6" t="s">
        <v>372</v>
      </c>
      <c r="C72" s="37"/>
      <c r="D72" s="37"/>
      <c r="E72" s="37"/>
      <c r="F72" s="37"/>
      <c r="G72" s="37"/>
      <c r="H72" s="37"/>
    </row>
    <row r="73" ht="18" customHeight="1" x14ac:dyDescent="0.3">
      <c r="B73" s="34" t="inlineStr">
        <is>
          <t>•  En el mismo caso de sismo, ANTES del SPECTRUM, va su masa: las líneas de la hoja CM_CV_MASA (cubierta en los nodos de arriba de las columnas y muros por larguero) con SELFWEIGHT X 1 y Z 1.</t>
        </is>
      </c>
      <c r="C73" s="35"/>
      <c r="D73" s="35"/>
      <c r="E73" s="35"/>
      <c r="F73" s="35"/>
      <c r="G73" s="35"/>
      <c r="H73" s="35"/>
    </row>
    <row r="74" spans="2:8" ht="18" customHeight="1" x14ac:dyDescent="0.3">
      <c r="B74" s="34" t="s">
        <v>374</v>
      </c>
      <c r="C74" s="35"/>
      <c r="D74" s="35"/>
      <c r="E74" s="35"/>
      <c r="F74" s="35"/>
      <c r="G74" s="35"/>
      <c r="H74" s="35"/>
    </row>
    <row r="75" spans="2:8" ht="18" customHeight="1" x14ac:dyDescent="0.3">
      <c r="B75" s="34" t="s">
        <v>375</v>
      </c>
      <c r="C75" s="35"/>
      <c r="D75" s="35"/>
      <c r="E75" s="35"/>
      <c r="F75" s="35"/>
      <c r="G75" s="35"/>
      <c r="H75" s="35"/>
    </row>
    <row r="76" ht="18" customHeight="1" x14ac:dyDescent="0.3">
      <c r="B76" s="34" t="inlineStr">
        <is>
          <t>•  Las tablas T–Sₐ están en TABLA_T_Sa en g y cm/s². En un modelo kgf–cm la aceleración va en cm/s² (no kg/cm²): por eso el SCALE lleva g = 980.665 cm/s².</t>
        </is>
      </c>
      <c r="C76" s="35"/>
      <c r="D76" s="35"/>
      <c r="E76" s="35"/>
      <c r="F76" s="35"/>
      <c r="G76" s="35"/>
      <c r="H76" s="35"/>
    </row>
    <row r="77" spans="2:8" ht="18" customHeight="1" x14ac:dyDescent="0.3">
      <c r="B77" s="34" t="s">
        <v>377</v>
      </c>
      <c r="C77" s="35"/>
      <c r="D77" s="35"/>
      <c r="E77" s="35"/>
      <c r="F77" s="35"/>
      <c r="G77" s="35"/>
      <c r="H77" s="35"/>
    </row>
  </sheetData>
  <mergeCells count="27"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R117"/>
  <sheetViews>
    <sheetView showGridLines="0" topLeftCell="A85" zoomScaleNormal="100" workbookViewId="0">
      <selection activeCell="M77" sqref="M7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2:18" ht="30" customHeight="1" x14ac:dyDescent="0.3">
      <c r="B2" s="39" t="s">
        <v>379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</row>
    <row r="3" spans="2:18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</row>
    <row r="4" ht="42" customHeight="1" x14ac:dyDescent="0.3">
      <c r="B4" s="44" t="inlineStr">
        <is>
          <t>CÓMO SE USA: en esta hoja cada uno de los tres espectros tiene T (s), Sₐ (g) y Sₐ (cm/s²). Para STAAD usa el bloque de la hoja STAAD (ordenadas en g con el SCALE en cm/s²).</t>
        </is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</row>
    <row r="5" spans="2:18" ht="6" customHeight="1" x14ac:dyDescent="0.3"/>
    <row r="6" spans="2:18" ht="21" customHeight="1" x14ac:dyDescent="0.3">
      <c r="B6" s="36" t="s">
        <v>381</v>
      </c>
      <c r="C6" s="37"/>
      <c r="D6" s="37"/>
      <c r="E6" s="37"/>
      <c r="F6" s="37"/>
      <c r="G6" s="37"/>
      <c r="H6" s="37"/>
      <c r="I6" s="37"/>
      <c r="J6" s="37"/>
      <c r="K6" s="37"/>
      <c r="L6" s="37"/>
      <c r="N6" s="36" t="s">
        <v>382</v>
      </c>
      <c r="O6" s="37"/>
      <c r="P6" s="37"/>
      <c r="Q6" s="37"/>
      <c r="R6" s="37"/>
    </row>
    <row r="7" spans="2:18" ht="30" customHeight="1" x14ac:dyDescent="0.3">
      <c r="B7" s="40" t="s">
        <v>383</v>
      </c>
      <c r="C7" s="35"/>
      <c r="D7" s="35"/>
      <c r="E7" s="35"/>
      <c r="F7" s="35"/>
      <c r="G7" s="35"/>
      <c r="H7" s="35"/>
      <c r="I7" s="35"/>
      <c r="J7" s="35"/>
      <c r="K7" s="35"/>
      <c r="L7" s="35"/>
      <c r="N7" s="40" t="s">
        <v>384</v>
      </c>
      <c r="O7" s="35"/>
      <c r="P7" s="35"/>
      <c r="Q7" s="35"/>
      <c r="R7" s="35"/>
    </row>
    <row r="8" spans="2:18" ht="30" customHeight="1" x14ac:dyDescent="0.3">
      <c r="B8" s="46" t="s">
        <v>385</v>
      </c>
      <c r="C8" s="47"/>
      <c r="D8" s="47"/>
      <c r="F8" s="46" t="s">
        <v>386</v>
      </c>
      <c r="G8" s="47"/>
      <c r="H8" s="47"/>
      <c r="J8" s="46" t="s">
        <v>387</v>
      </c>
      <c r="K8" s="47"/>
      <c r="L8" s="47"/>
      <c r="N8" s="1" t="s">
        <v>28</v>
      </c>
      <c r="O8" s="1" t="s">
        <v>340</v>
      </c>
      <c r="P8" s="1" t="s">
        <v>341</v>
      </c>
      <c r="Q8" s="1" t="s">
        <v>30</v>
      </c>
      <c r="R8" s="1" t="s">
        <v>32</v>
      </c>
    </row>
    <row r="9" spans="2:18" ht="25.5" customHeight="1" x14ac:dyDescent="0.3">
      <c r="B9" s="49" t="str">
        <f>IF(STAAD!$C$17="ASCE 7-16","ASCE 7-16 §11.4.6 · S_a de diseño (⅔ del MCE_R)","NTDS-1994 §5.2, pág. 11 · C_sm con R = 1 (ya trae I)")</f>
        <v>NTDS-1994 §5.2, pág. 11 · C_sm con R = 1 (ya trae I)</v>
      </c>
      <c r="C9" s="35"/>
      <c r="D9" s="35"/>
      <c r="F9" s="49" t="str">
        <f>IF(STAAD!$C$17="ASCE 7-16","ASCE 7-16 §11.4.6 y §12.9.1 · S_a·I_e/R_X","NTDS-1994 §5.2, pág. 11 · C_sm ÷ R_X (Tabla 7, pág. 23)")</f>
        <v>NTDS-1994 §5.2, pág. 11 · C_sm ÷ R_X (Tabla 7, pág. 23)</v>
      </c>
      <c r="G9" s="35"/>
      <c r="H9" s="35"/>
      <c r="J9" s="49" t="str">
        <f>IF(STAAD!$C$17="ASCE 7-16","ASCE 7-16 §11.4.6 y §12.9.1 · S_a·I_e/R_Z","NTDS-1994 §5.2, pág. 11 · C_sm ÷ R_Z (Tabla 7, pág. 23)")</f>
        <v>NTDS-1994 §5.2, pág. 11 · C_sm ÷ R_Z (Tabla 7, pág. 23)</v>
      </c>
      <c r="K9" s="35"/>
      <c r="L9" s="35"/>
      <c r="N9" s="2" t="s">
        <v>388</v>
      </c>
      <c r="O9" s="50" t="str">
        <f>STAAD!$C$17</f>
        <v>NTDS-1994</v>
      </c>
      <c r="P9" s="35"/>
      <c r="Q9" s="6" t="s">
        <v>43</v>
      </c>
      <c r="R9" s="4" t="s">
        <v>389</v>
      </c>
    </row>
    <row r="10" spans="2:18" ht="48.6" customHeight="1" x14ac:dyDescent="0.3">
      <c r="B10" s="1" t="s">
        <v>7</v>
      </c>
      <c r="C10" s="1" t="s">
        <v>390</v>
      </c>
      <c r="D10" s="1" t="s">
        <v>391</v>
      </c>
      <c r="F10" s="1" t="s">
        <v>7</v>
      </c>
      <c r="G10" s="1" t="s">
        <v>390</v>
      </c>
      <c r="H10" s="1" t="s">
        <v>391</v>
      </c>
      <c r="J10" s="1" t="s">
        <v>7</v>
      </c>
      <c r="K10" s="1" t="s">
        <v>390</v>
      </c>
      <c r="L10" s="1" t="s">
        <v>391</v>
      </c>
      <c r="N10" s="2" t="s">
        <v>392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393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394</v>
      </c>
      <c r="O11" s="28">
        <f>STAAD!$C$18</f>
        <v>140.095</v>
      </c>
      <c r="P11" s="28">
        <f>STAAD!$D$18</f>
        <v>140.095</v>
      </c>
      <c r="Q11" s="6" t="s">
        <v>395</v>
      </c>
      <c r="R11" s="4" t="s">
        <v>396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397</v>
      </c>
      <c r="O12" s="28">
        <v>9.8066499999999994</v>
      </c>
      <c r="P12" s="28">
        <f>$O$12</f>
        <v>9.80665</v>
      </c>
      <c r="Q12" s="6" t="s">
        <v>395</v>
      </c>
      <c r="R12" s="4" t="s">
        <v>398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399</v>
      </c>
      <c r="O13" s="48">
        <f>MAX($C$11:$C$117)</f>
        <v>1.44</v>
      </c>
      <c r="P13" s="35"/>
      <c r="Q13" s="6" t="s">
        <v>68</v>
      </c>
      <c r="R13" s="4" t="s">
        <v>400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401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402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403</v>
      </c>
      <c r="O15" s="21">
        <f>IF(STAAD!$C$17="ASCE 7-16",STAAD!$C$15,STAAD!$C$12)</f>
        <v>3.23814857142857</v>
      </c>
      <c r="P15" s="21">
        <f>IF(STAAD!$C$17="ASCE 7-16",STAAD!$D$15,STAAD!$D$12)</f>
        <v>3.23814857142857</v>
      </c>
      <c r="Q15" s="6" t="s">
        <v>171</v>
      </c>
      <c r="R15" s="4" t="s">
        <v>404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405</v>
      </c>
      <c r="O16" s="21">
        <f>$O$12*100</f>
        <v>980.665</v>
      </c>
      <c r="P16" s="21">
        <f>$O$16</f>
        <v>980.665</v>
      </c>
      <c r="Q16" s="6" t="s">
        <v>365</v>
      </c>
      <c r="R16" s="4" t="s">
        <v>406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407</v>
      </c>
      <c r="O17" s="21">
        <f>$O$11*100</f>
        <v>14009.5</v>
      </c>
      <c r="P17" s="21">
        <f>$P$11*100</f>
        <v>14009.5</v>
      </c>
      <c r="Q17" s="6" t="s">
        <v>365</v>
      </c>
      <c r="R17" s="4" t="s">
        <v>408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409</v>
      </c>
      <c r="O18" s="21">
        <f>$O$16</f>
        <v>980.665</v>
      </c>
      <c r="P18" s="21">
        <f>$P$16</f>
        <v>980.665</v>
      </c>
      <c r="Q18" s="6" t="s">
        <v>365</v>
      </c>
      <c r="R18" s="4" t="s">
        <v>398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410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411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412</v>
      </c>
      <c r="O20" s="22">
        <v>1</v>
      </c>
      <c r="P20" s="22">
        <f>$O$20</f>
        <v>1</v>
      </c>
      <c r="Q20" s="6" t="s">
        <v>43</v>
      </c>
      <c r="R20" s="4" t="s">
        <v>413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414</v>
      </c>
      <c r="O21" s="22">
        <f>$O$14*$O$16</f>
        <v>201.7368</v>
      </c>
      <c r="P21" s="22">
        <f>$P$14*$O$16</f>
        <v>201.7368</v>
      </c>
      <c r="Q21" s="6" t="s">
        <v>365</v>
      </c>
      <c r="R21" s="4" t="s">
        <v>415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416</v>
      </c>
      <c r="C1" s="37"/>
      <c r="D1" s="37"/>
      <c r="E1" s="37"/>
      <c r="F1" s="37"/>
    </row>
    <row r="2" spans="2:6" ht="30" customHeight="1" x14ac:dyDescent="0.3">
      <c r="B2" s="39" t="s">
        <v>417</v>
      </c>
      <c r="C2" s="37"/>
      <c r="D2" s="37"/>
      <c r="E2" s="37"/>
      <c r="F2" s="37"/>
    </row>
    <row r="3" spans="2:6" ht="6" customHeight="1" x14ac:dyDescent="0.3"/>
    <row r="4" spans="2:6" ht="21" customHeight="1" x14ac:dyDescent="0.3">
      <c r="B4" s="36" t="s">
        <v>418</v>
      </c>
      <c r="C4" s="37"/>
      <c r="D4" s="37"/>
      <c r="E4" s="37"/>
      <c r="F4" s="37"/>
    </row>
    <row r="5" spans="2:6" ht="30" customHeight="1" x14ac:dyDescent="0.3">
      <c r="B5" s="1" t="s">
        <v>419</v>
      </c>
      <c r="C5" s="1" t="s">
        <v>420</v>
      </c>
      <c r="D5" s="1" t="s">
        <v>421</v>
      </c>
      <c r="E5" s="1" t="s">
        <v>422</v>
      </c>
      <c r="F5" s="1" t="s">
        <v>423</v>
      </c>
    </row>
    <row r="6" spans="2:6" ht="54" customHeight="1" x14ac:dyDescent="0.3">
      <c r="B6" s="8" t="s">
        <v>424</v>
      </c>
      <c r="C6" s="3" t="s">
        <v>425</v>
      </c>
      <c r="D6" s="3" t="s">
        <v>426</v>
      </c>
      <c r="E6" s="3" t="s">
        <v>427</v>
      </c>
      <c r="F6" s="4" t="s">
        <v>363</v>
      </c>
    </row>
    <row r="7" spans="2:6" ht="54" customHeight="1" x14ac:dyDescent="0.3">
      <c r="B7" s="8" t="s">
        <v>428</v>
      </c>
      <c r="C7" s="3" t="s">
        <v>429</v>
      </c>
      <c r="D7" s="3" t="s">
        <v>430</v>
      </c>
      <c r="E7" s="3" t="s">
        <v>431</v>
      </c>
      <c r="F7" s="4" t="s">
        <v>432</v>
      </c>
    </row>
    <row r="8" spans="2:6" ht="42" customHeight="1" x14ac:dyDescent="0.3">
      <c r="B8" s="8" t="s">
        <v>433</v>
      </c>
      <c r="C8" s="3" t="s">
        <v>434</v>
      </c>
      <c r="D8" s="3" t="s">
        <v>435</v>
      </c>
      <c r="E8" s="3" t="s">
        <v>436</v>
      </c>
      <c r="F8" s="4" t="s">
        <v>43</v>
      </c>
    </row>
    <row r="9" spans="2:6" ht="42" customHeight="1" x14ac:dyDescent="0.3">
      <c r="B9" s="8" t="s">
        <v>437</v>
      </c>
      <c r="C9" s="3" t="s">
        <v>438</v>
      </c>
      <c r="D9" s="3" t="s">
        <v>439</v>
      </c>
      <c r="E9" s="3" t="s">
        <v>440</v>
      </c>
      <c r="F9" s="4" t="s">
        <v>432</v>
      </c>
    </row>
    <row r="10" spans="2:6" ht="30" customHeight="1" x14ac:dyDescent="0.3">
      <c r="B10" s="8" t="s">
        <v>441</v>
      </c>
      <c r="C10" s="3" t="s">
        <v>442</v>
      </c>
      <c r="D10" s="3" t="s">
        <v>443</v>
      </c>
      <c r="E10" s="3" t="s">
        <v>444</v>
      </c>
      <c r="F10" s="4" t="s">
        <v>432</v>
      </c>
    </row>
    <row r="11" spans="2:6" ht="42" customHeight="1" x14ac:dyDescent="0.3">
      <c r="B11" s="8" t="s">
        <v>445</v>
      </c>
      <c r="C11" s="3" t="s">
        <v>446</v>
      </c>
      <c r="D11" s="3" t="s">
        <v>447</v>
      </c>
      <c r="E11" s="3" t="s">
        <v>448</v>
      </c>
      <c r="F11" s="4" t="s">
        <v>449</v>
      </c>
    </row>
    <row r="12" spans="2:6" ht="42" customHeight="1" x14ac:dyDescent="0.3">
      <c r="B12" s="8" t="s">
        <v>450</v>
      </c>
      <c r="C12" s="3" t="s">
        <v>451</v>
      </c>
      <c r="D12" s="3" t="s">
        <v>452</v>
      </c>
      <c r="E12" s="3" t="s">
        <v>453</v>
      </c>
      <c r="F12" s="4" t="s">
        <v>454</v>
      </c>
    </row>
    <row r="13" spans="2:6" ht="42" customHeight="1" x14ac:dyDescent="0.3">
      <c r="B13" s="8" t="s">
        <v>455</v>
      </c>
      <c r="C13" s="3" t="s">
        <v>456</v>
      </c>
      <c r="D13" s="3" t="s">
        <v>457</v>
      </c>
      <c r="E13" s="3" t="s">
        <v>458</v>
      </c>
      <c r="F13" s="4" t="s">
        <v>459</v>
      </c>
    </row>
    <row r="14" spans="2:6" ht="42" customHeight="1" x14ac:dyDescent="0.3">
      <c r="B14" s="8" t="s">
        <v>460</v>
      </c>
      <c r="C14" s="3" t="s">
        <v>461</v>
      </c>
      <c r="D14" s="3" t="s">
        <v>462</v>
      </c>
      <c r="E14" s="3" t="s">
        <v>463</v>
      </c>
      <c r="F14" s="4" t="s">
        <v>464</v>
      </c>
    </row>
    <row r="15" spans="2:6" ht="42" customHeight="1" x14ac:dyDescent="0.3">
      <c r="B15" s="8" t="s">
        <v>465</v>
      </c>
      <c r="C15" s="3" t="s">
        <v>466</v>
      </c>
      <c r="D15" s="3" t="s">
        <v>467</v>
      </c>
      <c r="E15" s="3" t="s">
        <v>468</v>
      </c>
      <c r="F15" s="4" t="s">
        <v>469</v>
      </c>
    </row>
    <row r="16" spans="2:6" ht="66" customHeight="1" x14ac:dyDescent="0.3">
      <c r="B16" s="8" t="s">
        <v>470</v>
      </c>
      <c r="C16" s="3" t="s">
        <v>471</v>
      </c>
      <c r="D16" s="3" t="s">
        <v>472</v>
      </c>
      <c r="E16" s="3" t="s">
        <v>473</v>
      </c>
      <c r="F16" s="4" t="s">
        <v>474</v>
      </c>
    </row>
    <row r="17" spans="2:6" ht="42" customHeight="1" x14ac:dyDescent="0.3">
      <c r="B17" s="8" t="s">
        <v>475</v>
      </c>
      <c r="C17" s="3" t="s">
        <v>43</v>
      </c>
      <c r="D17" s="3" t="s">
        <v>476</v>
      </c>
      <c r="E17" s="3" t="s">
        <v>477</v>
      </c>
      <c r="F17" s="4" t="s">
        <v>478</v>
      </c>
    </row>
    <row r="18" spans="2:6" ht="6" customHeight="1" x14ac:dyDescent="0.3"/>
    <row r="19" spans="2:6" ht="21" customHeight="1" x14ac:dyDescent="0.3">
      <c r="B19" s="36" t="s">
        <v>479</v>
      </c>
      <c r="C19" s="37"/>
      <c r="D19" s="37"/>
      <c r="E19" s="37"/>
      <c r="F19" s="37"/>
    </row>
    <row r="20" spans="2:6" ht="30" customHeight="1" x14ac:dyDescent="0.3">
      <c r="B20" s="34" t="s">
        <v>480</v>
      </c>
      <c r="C20" s="35"/>
      <c r="D20" s="35"/>
      <c r="E20" s="35"/>
      <c r="F20" s="35"/>
    </row>
    <row r="21" spans="2:6" ht="30" customHeight="1" x14ac:dyDescent="0.3">
      <c r="B21" s="34" t="s">
        <v>481</v>
      </c>
      <c r="C21" s="35"/>
      <c r="D21" s="35"/>
      <c r="E21" s="35"/>
      <c r="F21" s="35"/>
    </row>
    <row r="22" spans="2:6" ht="30" customHeight="1" x14ac:dyDescent="0.3">
      <c r="B22" s="34" t="s">
        <v>482</v>
      </c>
      <c r="C22" s="35"/>
      <c r="D22" s="35"/>
      <c r="E22" s="35"/>
      <c r="F22" s="35"/>
    </row>
    <row r="23" spans="2:6" ht="18" customHeight="1" x14ac:dyDescent="0.3">
      <c r="B23" s="34" t="s">
        <v>483</v>
      </c>
      <c r="C23" s="35"/>
      <c r="D23" s="35"/>
      <c r="E23" s="35"/>
      <c r="F23" s="35"/>
    </row>
    <row r="24" spans="2:6" ht="18" customHeight="1" x14ac:dyDescent="0.3">
      <c r="B24" s="34" t="s">
        <v>484</v>
      </c>
      <c r="C24" s="35"/>
      <c r="D24" s="35"/>
      <c r="E24" s="35"/>
      <c r="F24" s="35"/>
    </row>
    <row r="25" spans="2:6" ht="30" customHeight="1" x14ac:dyDescent="0.3">
      <c r="B25" s="34" t="s">
        <v>485</v>
      </c>
      <c r="C25" s="35"/>
      <c r="D25" s="35"/>
      <c r="E25" s="35"/>
      <c r="F25" s="35"/>
    </row>
    <row r="26" spans="2:6" ht="18" customHeight="1" x14ac:dyDescent="0.3">
      <c r="B26" s="34" t="s">
        <v>486</v>
      </c>
      <c r="C26" s="35"/>
      <c r="D26" s="35"/>
      <c r="E26" s="35"/>
      <c r="F26" s="35"/>
    </row>
    <row r="27" spans="2:6" ht="18" customHeight="1" x14ac:dyDescent="0.3">
      <c r="B27" s="34" t="s">
        <v>487</v>
      </c>
      <c r="C27" s="35"/>
      <c r="D27" s="35"/>
      <c r="E27" s="35"/>
      <c r="F27" s="35"/>
    </row>
  </sheetData>
  <mergeCells count="12">
    <mergeCell ref="B1:F1"/>
    <mergeCell ref="B22:F22"/>
    <mergeCell ref="B4:F4"/>
    <mergeCell ref="B21:F21"/>
    <mergeCell ref="B24:F24"/>
    <mergeCell ref="B2:F2"/>
    <mergeCell ref="B20:F20"/>
    <mergeCell ref="B26:F26"/>
    <mergeCell ref="B27:F27"/>
    <mergeCell ref="B25:F25"/>
    <mergeCell ref="B19:F19"/>
    <mergeCell ref="B23:F2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488</v>
      </c>
      <c r="C1" s="37"/>
      <c r="D1" s="37"/>
      <c r="E1" s="37"/>
      <c r="F1" s="37"/>
      <c r="G1" s="37"/>
      <c r="H1" s="37"/>
      <c r="I1" s="37"/>
    </row>
    <row r="2" spans="2:9" ht="30" customHeight="1" x14ac:dyDescent="0.3">
      <c r="B2" s="39" t="s">
        <v>489</v>
      </c>
      <c r="C2" s="37"/>
      <c r="D2" s="37"/>
      <c r="E2" s="37"/>
      <c r="F2" s="37"/>
      <c r="G2" s="37"/>
      <c r="H2" s="37"/>
      <c r="I2" s="37"/>
    </row>
    <row r="3" spans="2:9" ht="6" customHeight="1" x14ac:dyDescent="0.3"/>
    <row r="4" spans="2:9" ht="21" customHeight="1" x14ac:dyDescent="0.3">
      <c r="B4" s="36" t="s">
        <v>490</v>
      </c>
      <c r="C4" s="37"/>
      <c r="D4" s="37"/>
      <c r="E4" s="37"/>
      <c r="F4" s="37"/>
      <c r="G4" s="37"/>
      <c r="H4" s="37"/>
      <c r="I4" s="37"/>
    </row>
    <row r="5" spans="2:9" ht="30" customHeight="1" x14ac:dyDescent="0.3">
      <c r="B5" s="40" t="s">
        <v>491</v>
      </c>
      <c r="C5" s="35"/>
      <c r="D5" s="35"/>
      <c r="E5" s="35"/>
      <c r="F5" s="35"/>
      <c r="G5" s="35"/>
      <c r="H5" s="35"/>
      <c r="I5" s="35"/>
    </row>
    <row r="6" spans="2:9" ht="30" customHeight="1" x14ac:dyDescent="0.3">
      <c r="B6" s="1" t="s">
        <v>492</v>
      </c>
      <c r="C6" s="1" t="s">
        <v>493</v>
      </c>
      <c r="D6" s="1" t="s">
        <v>494</v>
      </c>
    </row>
    <row r="7" spans="2:9" ht="31.5" customHeight="1" x14ac:dyDescent="0.3">
      <c r="B7" s="8">
        <v>1</v>
      </c>
      <c r="C7" s="2" t="s">
        <v>495</v>
      </c>
      <c r="D7" s="10">
        <v>0.4</v>
      </c>
    </row>
    <row r="8" spans="2:9" ht="18.75" customHeight="1" x14ac:dyDescent="0.3">
      <c r="B8" s="8">
        <v>2</v>
      </c>
      <c r="C8" s="2" t="s">
        <v>496</v>
      </c>
      <c r="D8" s="10">
        <v>0.3</v>
      </c>
    </row>
    <row r="10" spans="2:9" ht="21" customHeight="1" x14ac:dyDescent="0.3">
      <c r="B10" s="36" t="s">
        <v>497</v>
      </c>
      <c r="C10" s="37"/>
      <c r="D10" s="37"/>
      <c r="E10" s="37"/>
      <c r="F10" s="37"/>
      <c r="G10" s="37"/>
      <c r="H10" s="37"/>
      <c r="I10" s="37"/>
    </row>
    <row r="11" spans="2:9" ht="30" customHeight="1" x14ac:dyDescent="0.3">
      <c r="B11" s="40" t="s">
        <v>498</v>
      </c>
      <c r="C11" s="35"/>
      <c r="D11" s="35"/>
      <c r="E11" s="35"/>
      <c r="F11" s="35"/>
      <c r="G11" s="35"/>
      <c r="H11" s="35"/>
      <c r="I11" s="35"/>
    </row>
    <row r="12" spans="2:9" ht="30" customHeight="1" x14ac:dyDescent="0.3">
      <c r="B12" s="1" t="s">
        <v>499</v>
      </c>
      <c r="C12" s="1" t="s">
        <v>500</v>
      </c>
      <c r="D12" s="1" t="s">
        <v>501</v>
      </c>
      <c r="E12" s="1" t="s">
        <v>502</v>
      </c>
    </row>
    <row r="13" spans="2:9" ht="31.5" customHeight="1" x14ac:dyDescent="0.3">
      <c r="B13" s="8" t="s">
        <v>503</v>
      </c>
      <c r="C13" s="2" t="s">
        <v>504</v>
      </c>
      <c r="D13" s="10">
        <v>2.5</v>
      </c>
      <c r="E13" s="10">
        <v>0.3</v>
      </c>
    </row>
    <row r="14" spans="2:9" ht="45" customHeight="1" x14ac:dyDescent="0.3">
      <c r="B14" s="8" t="s">
        <v>505</v>
      </c>
      <c r="C14" s="2" t="s">
        <v>506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507</v>
      </c>
      <c r="D15" s="10">
        <v>3</v>
      </c>
      <c r="E15" s="10">
        <v>0.6</v>
      </c>
    </row>
    <row r="16" spans="2:9" ht="31.5" customHeight="1" x14ac:dyDescent="0.3">
      <c r="B16" s="8" t="s">
        <v>508</v>
      </c>
      <c r="C16" s="2" t="s">
        <v>509</v>
      </c>
      <c r="D16" s="10">
        <v>3</v>
      </c>
      <c r="E16" s="10">
        <v>0.9</v>
      </c>
    </row>
    <row r="18" spans="2:9" ht="21" customHeight="1" x14ac:dyDescent="0.3">
      <c r="B18" s="36" t="s">
        <v>510</v>
      </c>
      <c r="C18" s="37"/>
      <c r="D18" s="37"/>
      <c r="E18" s="37"/>
      <c r="F18" s="37"/>
      <c r="G18" s="37"/>
      <c r="H18" s="37"/>
      <c r="I18" s="37"/>
    </row>
    <row r="19" spans="2:9" ht="18" customHeight="1" x14ac:dyDescent="0.3">
      <c r="B19" s="40" t="s">
        <v>511</v>
      </c>
      <c r="C19" s="35"/>
      <c r="D19" s="35"/>
      <c r="E19" s="35"/>
      <c r="F19" s="35"/>
      <c r="G19" s="35"/>
      <c r="H19" s="35"/>
      <c r="I19" s="35"/>
    </row>
    <row r="20" spans="2:9" ht="30" customHeight="1" x14ac:dyDescent="0.3">
      <c r="B20" s="1" t="s">
        <v>512</v>
      </c>
      <c r="C20" s="1" t="s">
        <v>513</v>
      </c>
      <c r="D20" s="1" t="s">
        <v>514</v>
      </c>
    </row>
    <row r="21" spans="2:9" ht="70.5" customHeight="1" x14ac:dyDescent="0.3">
      <c r="B21" s="8" t="s">
        <v>514</v>
      </c>
      <c r="C21" s="2" t="s">
        <v>515</v>
      </c>
      <c r="D21" s="10">
        <v>1.5</v>
      </c>
    </row>
    <row r="22" spans="2:9" ht="84" customHeight="1" x14ac:dyDescent="0.3">
      <c r="B22" s="8" t="s">
        <v>82</v>
      </c>
      <c r="C22" s="2" t="s">
        <v>516</v>
      </c>
      <c r="D22" s="10">
        <v>1.2</v>
      </c>
    </row>
    <row r="23" spans="2:9" ht="45" customHeight="1" x14ac:dyDescent="0.3">
      <c r="B23" s="8" t="s">
        <v>517</v>
      </c>
      <c r="C23" s="2" t="s">
        <v>518</v>
      </c>
      <c r="D23" s="10">
        <v>1</v>
      </c>
    </row>
    <row r="25" spans="2:9" ht="21" customHeight="1" x14ac:dyDescent="0.3">
      <c r="B25" s="36" t="s">
        <v>519</v>
      </c>
      <c r="C25" s="37"/>
      <c r="D25" s="37"/>
      <c r="E25" s="37"/>
      <c r="F25" s="37"/>
      <c r="G25" s="37"/>
      <c r="H25" s="37"/>
      <c r="I25" s="37"/>
    </row>
    <row r="26" spans="2:9" ht="30" customHeight="1" x14ac:dyDescent="0.3">
      <c r="B26" s="40" t="s">
        <v>520</v>
      </c>
      <c r="C26" s="35"/>
      <c r="D26" s="35"/>
      <c r="E26" s="35"/>
      <c r="F26" s="35"/>
      <c r="G26" s="35"/>
      <c r="H26" s="35"/>
      <c r="I26" s="35"/>
    </row>
    <row r="27" spans="2:9" ht="30" customHeight="1" x14ac:dyDescent="0.3">
      <c r="B27" s="1" t="s">
        <v>521</v>
      </c>
      <c r="C27" s="1" t="s">
        <v>522</v>
      </c>
      <c r="D27" s="1" t="s">
        <v>523</v>
      </c>
      <c r="E27" s="1" t="s">
        <v>524</v>
      </c>
      <c r="F27" s="1" t="s">
        <v>525</v>
      </c>
    </row>
    <row r="28" spans="2:9" ht="31.5" customHeight="1" x14ac:dyDescent="0.3">
      <c r="B28" s="8" t="s">
        <v>526</v>
      </c>
      <c r="C28" s="2" t="s">
        <v>527</v>
      </c>
      <c r="D28" s="10">
        <v>8</v>
      </c>
      <c r="E28" s="10">
        <v>12</v>
      </c>
      <c r="F28" s="10" t="s">
        <v>528</v>
      </c>
    </row>
    <row r="29" spans="2:9" ht="31.5" customHeight="1" x14ac:dyDescent="0.3">
      <c r="B29" s="8" t="s">
        <v>529</v>
      </c>
      <c r="C29" s="2" t="s">
        <v>530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531</v>
      </c>
      <c r="C30" s="2" t="s">
        <v>532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533</v>
      </c>
      <c r="C31" s="2" t="s">
        <v>534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535</v>
      </c>
      <c r="C32" s="2" t="s">
        <v>536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537</v>
      </c>
      <c r="C33" s="2" t="s">
        <v>538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539</v>
      </c>
      <c r="C34" s="2" t="s">
        <v>540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541</v>
      </c>
      <c r="C35" s="2" t="s">
        <v>542</v>
      </c>
      <c r="D35" s="10">
        <v>9</v>
      </c>
      <c r="E35" s="10">
        <v>12</v>
      </c>
      <c r="F35" s="10" t="s">
        <v>528</v>
      </c>
    </row>
    <row r="36" spans="2:9" ht="31.5" customHeight="1" x14ac:dyDescent="0.3">
      <c r="B36" s="8" t="s">
        <v>543</v>
      </c>
      <c r="C36" s="2" t="s">
        <v>544</v>
      </c>
      <c r="D36" s="10">
        <v>7</v>
      </c>
      <c r="E36" s="10">
        <v>8</v>
      </c>
      <c r="F36" s="10" t="s">
        <v>528</v>
      </c>
    </row>
    <row r="37" spans="2:9" ht="31.5" customHeight="1" x14ac:dyDescent="0.3">
      <c r="B37" s="8" t="s">
        <v>545</v>
      </c>
      <c r="C37" s="2" t="s">
        <v>546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547</v>
      </c>
      <c r="C38" s="2" t="s">
        <v>548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549</v>
      </c>
      <c r="C39" s="2" t="s">
        <v>550</v>
      </c>
      <c r="D39" s="10">
        <v>6</v>
      </c>
      <c r="E39" s="10">
        <v>12</v>
      </c>
      <c r="F39" s="10" t="s">
        <v>528</v>
      </c>
    </row>
    <row r="40" spans="2:9" ht="31.5" customHeight="1" x14ac:dyDescent="0.3">
      <c r="B40" s="8" t="s">
        <v>551</v>
      </c>
      <c r="C40" s="2" t="s">
        <v>552</v>
      </c>
      <c r="D40" s="10">
        <v>7</v>
      </c>
      <c r="E40" s="10">
        <v>10</v>
      </c>
      <c r="F40" s="10" t="s">
        <v>528</v>
      </c>
    </row>
    <row r="41" spans="2:9" ht="31.5" customHeight="1" x14ac:dyDescent="0.3">
      <c r="B41" s="8" t="s">
        <v>553</v>
      </c>
      <c r="C41" s="2" t="s">
        <v>554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555</v>
      </c>
      <c r="C42" s="2" t="s">
        <v>556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557</v>
      </c>
      <c r="C43" s="2" t="s">
        <v>558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559</v>
      </c>
      <c r="C44" s="2" t="s">
        <v>560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561</v>
      </c>
      <c r="C45" s="2" t="s">
        <v>562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6" t="s">
        <v>563</v>
      </c>
      <c r="C47" s="37"/>
      <c r="D47" s="37"/>
      <c r="E47" s="37"/>
      <c r="F47" s="37"/>
      <c r="G47" s="37"/>
      <c r="H47" s="37"/>
      <c r="I47" s="37"/>
    </row>
    <row r="48" spans="2:9" ht="30" customHeight="1" x14ac:dyDescent="0.3">
      <c r="B48" s="40" t="s">
        <v>564</v>
      </c>
      <c r="C48" s="35"/>
      <c r="D48" s="35"/>
      <c r="E48" s="35"/>
      <c r="F48" s="35"/>
      <c r="G48" s="35"/>
      <c r="H48" s="35"/>
      <c r="I48" s="35"/>
    </row>
    <row r="49" spans="2:9" ht="30" customHeight="1" x14ac:dyDescent="0.3">
      <c r="B49" s="1" t="s">
        <v>565</v>
      </c>
      <c r="C49" s="1" t="s">
        <v>187</v>
      </c>
      <c r="D49" s="1" t="s">
        <v>566</v>
      </c>
      <c r="E49" s="1" t="s">
        <v>567</v>
      </c>
      <c r="F49" s="1" t="s">
        <v>568</v>
      </c>
      <c r="H49" s="1" t="s">
        <v>569</v>
      </c>
    </row>
    <row r="50" spans="2:9" ht="57.75" customHeight="1" x14ac:dyDescent="0.3">
      <c r="B50" s="10">
        <v>1</v>
      </c>
      <c r="C50" s="2" t="s">
        <v>150</v>
      </c>
      <c r="D50" s="10" t="s">
        <v>531</v>
      </c>
      <c r="E50" s="10" t="s">
        <v>570</v>
      </c>
      <c r="F50" s="10" t="s">
        <v>571</v>
      </c>
      <c r="H50" s="2" t="s">
        <v>572</v>
      </c>
    </row>
    <row r="51" spans="2:9" ht="31.5" customHeight="1" x14ac:dyDescent="0.3">
      <c r="B51" s="10">
        <v>2</v>
      </c>
      <c r="C51" s="2" t="s">
        <v>573</v>
      </c>
      <c r="D51" s="10" t="s">
        <v>531</v>
      </c>
      <c r="E51" s="10" t="s">
        <v>574</v>
      </c>
      <c r="F51" s="10" t="s">
        <v>571</v>
      </c>
      <c r="H51" s="2" t="s">
        <v>575</v>
      </c>
    </row>
    <row r="52" spans="2:9" ht="31.5" customHeight="1" x14ac:dyDescent="0.3">
      <c r="B52" s="10">
        <v>3</v>
      </c>
      <c r="C52" s="2" t="s">
        <v>576</v>
      </c>
      <c r="D52" s="10" t="s">
        <v>526</v>
      </c>
      <c r="E52" s="10" t="s">
        <v>577</v>
      </c>
      <c r="F52" s="10" t="s">
        <v>571</v>
      </c>
      <c r="H52" s="2" t="s">
        <v>578</v>
      </c>
    </row>
    <row r="53" spans="2:9" ht="45" customHeight="1" x14ac:dyDescent="0.3">
      <c r="B53" s="10">
        <v>4</v>
      </c>
      <c r="C53" s="2" t="s">
        <v>579</v>
      </c>
      <c r="D53" s="10" t="s">
        <v>539</v>
      </c>
      <c r="E53" s="10" t="s">
        <v>580</v>
      </c>
      <c r="F53" s="10" t="s">
        <v>581</v>
      </c>
      <c r="H53" s="2" t="s">
        <v>582</v>
      </c>
    </row>
    <row r="54" spans="2:9" ht="31.5" customHeight="1" x14ac:dyDescent="0.3">
      <c r="B54" s="10">
        <v>5</v>
      </c>
      <c r="C54" s="2" t="s">
        <v>583</v>
      </c>
      <c r="D54" s="10" t="s">
        <v>539</v>
      </c>
      <c r="E54" s="10" t="s">
        <v>584</v>
      </c>
      <c r="F54" s="10" t="s">
        <v>581</v>
      </c>
      <c r="H54" s="2" t="s">
        <v>585</v>
      </c>
    </row>
    <row r="55" spans="2:9" ht="31.5" customHeight="1" x14ac:dyDescent="0.3">
      <c r="B55" s="10">
        <v>6</v>
      </c>
      <c r="C55" s="2" t="s">
        <v>586</v>
      </c>
      <c r="D55" s="10" t="s">
        <v>537</v>
      </c>
      <c r="E55" s="10" t="s">
        <v>587</v>
      </c>
      <c r="F55" s="10" t="s">
        <v>588</v>
      </c>
      <c r="H55" s="2" t="s">
        <v>589</v>
      </c>
    </row>
    <row r="56" spans="2:9" ht="31.5" customHeight="1" x14ac:dyDescent="0.3">
      <c r="B56" s="10">
        <v>7</v>
      </c>
      <c r="C56" s="2" t="s">
        <v>590</v>
      </c>
      <c r="D56" s="10" t="s">
        <v>557</v>
      </c>
      <c r="E56" s="10" t="s">
        <v>580</v>
      </c>
      <c r="F56" s="10" t="s">
        <v>581</v>
      </c>
      <c r="H56" s="2" t="s">
        <v>591</v>
      </c>
    </row>
    <row r="57" spans="2:9" ht="45" customHeight="1" x14ac:dyDescent="0.3">
      <c r="B57" s="10">
        <v>8</v>
      </c>
      <c r="C57" s="2" t="s">
        <v>592</v>
      </c>
      <c r="D57" s="10" t="s">
        <v>559</v>
      </c>
      <c r="E57" s="10" t="s">
        <v>593</v>
      </c>
      <c r="F57" s="10" t="s">
        <v>581</v>
      </c>
      <c r="H57" s="2" t="s">
        <v>594</v>
      </c>
    </row>
    <row r="58" spans="2:9" ht="31.5" customHeight="1" x14ac:dyDescent="0.3">
      <c r="B58" s="10">
        <v>9</v>
      </c>
      <c r="C58" s="2" t="s">
        <v>595</v>
      </c>
      <c r="D58" s="10" t="s">
        <v>559</v>
      </c>
      <c r="E58" s="10" t="s">
        <v>596</v>
      </c>
      <c r="F58" s="10" t="s">
        <v>581</v>
      </c>
      <c r="H58" s="2" t="s">
        <v>597</v>
      </c>
    </row>
    <row r="59" spans="2:9" ht="31.5" customHeight="1" x14ac:dyDescent="0.3">
      <c r="B59" s="10">
        <v>10</v>
      </c>
      <c r="C59" s="2" t="s">
        <v>598</v>
      </c>
      <c r="D59" s="10" t="s">
        <v>529</v>
      </c>
      <c r="E59" s="10" t="s">
        <v>599</v>
      </c>
      <c r="F59" s="10" t="s">
        <v>600</v>
      </c>
      <c r="H59" s="2" t="s">
        <v>601</v>
      </c>
    </row>
    <row r="60" spans="2:9" ht="31.5" customHeight="1" x14ac:dyDescent="0.3">
      <c r="B60" s="10">
        <v>11</v>
      </c>
      <c r="C60" s="2" t="s">
        <v>602</v>
      </c>
      <c r="D60" s="10" t="s">
        <v>555</v>
      </c>
      <c r="E60" s="10" t="s">
        <v>603</v>
      </c>
      <c r="F60" s="10" t="s">
        <v>604</v>
      </c>
      <c r="H60" s="2" t="s">
        <v>605</v>
      </c>
    </row>
    <row r="62" spans="2:9" ht="21" customHeight="1" x14ac:dyDescent="0.3">
      <c r="B62" s="36" t="s">
        <v>606</v>
      </c>
      <c r="C62" s="37"/>
      <c r="D62" s="37"/>
      <c r="E62" s="37"/>
      <c r="F62" s="37"/>
      <c r="G62" s="37"/>
      <c r="H62" s="37"/>
      <c r="I62" s="37"/>
    </row>
    <row r="63" spans="2:9" ht="18" customHeight="1" x14ac:dyDescent="0.3">
      <c r="B63" s="40" t="s">
        <v>607</v>
      </c>
      <c r="C63" s="35"/>
      <c r="D63" s="35"/>
      <c r="E63" s="35"/>
      <c r="F63" s="35"/>
      <c r="G63" s="35"/>
      <c r="H63" s="35"/>
      <c r="I63" s="35"/>
    </row>
    <row r="64" spans="2:9" ht="30" customHeight="1" x14ac:dyDescent="0.3">
      <c r="B64" s="1" t="s">
        <v>608</v>
      </c>
      <c r="C64" s="1" t="s">
        <v>513</v>
      </c>
      <c r="D64" s="1" t="s">
        <v>609</v>
      </c>
      <c r="E64" s="1" t="s">
        <v>610</v>
      </c>
      <c r="F64" s="1" t="s">
        <v>611</v>
      </c>
    </row>
    <row r="65" spans="2:9" ht="31.5" customHeight="1" x14ac:dyDescent="0.3">
      <c r="B65" s="8" t="s">
        <v>571</v>
      </c>
      <c r="C65" s="2" t="s">
        <v>612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600</v>
      </c>
      <c r="C66" s="2" t="s">
        <v>613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588</v>
      </c>
      <c r="C67" s="2" t="s">
        <v>614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604</v>
      </c>
      <c r="C68" s="2" t="s">
        <v>615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581</v>
      </c>
      <c r="C69" s="2" t="s">
        <v>616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6" t="s">
        <v>617</v>
      </c>
      <c r="C71" s="37"/>
      <c r="D71" s="37"/>
      <c r="E71" s="37"/>
      <c r="F71" s="37"/>
      <c r="G71" s="37"/>
      <c r="H71" s="37"/>
      <c r="I71" s="37"/>
    </row>
    <row r="72" spans="2:9" ht="18" customHeight="1" x14ac:dyDescent="0.3">
      <c r="B72" s="40" t="s">
        <v>618</v>
      </c>
      <c r="C72" s="35"/>
      <c r="D72" s="35"/>
      <c r="E72" s="35"/>
      <c r="F72" s="35"/>
      <c r="G72" s="35"/>
      <c r="H72" s="35"/>
      <c r="I72" s="35"/>
    </row>
    <row r="73" spans="2:9" ht="30" customHeight="1" x14ac:dyDescent="0.3">
      <c r="B73" s="1" t="s">
        <v>608</v>
      </c>
      <c r="C73" s="1" t="s">
        <v>619</v>
      </c>
      <c r="D73" s="1" t="s">
        <v>620</v>
      </c>
      <c r="E73" s="1" t="s">
        <v>621</v>
      </c>
      <c r="F73" s="1" t="s">
        <v>622</v>
      </c>
    </row>
    <row r="74" spans="2:9" ht="31.5" customHeight="1" x14ac:dyDescent="0.3">
      <c r="B74" s="8" t="s">
        <v>623</v>
      </c>
      <c r="C74" s="2" t="s">
        <v>624</v>
      </c>
      <c r="D74" s="10">
        <v>1.4999999999999999E-2</v>
      </c>
      <c r="E74" s="10">
        <v>0.02</v>
      </c>
      <c r="F74" s="10" t="s">
        <v>528</v>
      </c>
    </row>
    <row r="75" spans="2:9" ht="18.75" customHeight="1" x14ac:dyDescent="0.3">
      <c r="B75" s="8" t="s">
        <v>625</v>
      </c>
      <c r="C75" s="2" t="s">
        <v>626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581</v>
      </c>
      <c r="C76" s="2" t="s">
        <v>627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6" t="s">
        <v>628</v>
      </c>
      <c r="C78" s="37"/>
      <c r="D78" s="37"/>
      <c r="E78" s="37"/>
      <c r="F78" s="37"/>
      <c r="G78" s="37"/>
      <c r="H78" s="37"/>
      <c r="I78" s="37"/>
    </row>
    <row r="79" spans="2:9" ht="30" customHeight="1" x14ac:dyDescent="0.3">
      <c r="B79" s="40" t="s">
        <v>629</v>
      </c>
      <c r="C79" s="35"/>
      <c r="D79" s="35"/>
      <c r="E79" s="35"/>
      <c r="F79" s="35"/>
      <c r="G79" s="35"/>
      <c r="H79" s="35"/>
      <c r="I79" s="35"/>
    </row>
    <row r="80" spans="2:9" ht="30" customHeight="1" x14ac:dyDescent="0.3">
      <c r="B80" s="1" t="s">
        <v>630</v>
      </c>
      <c r="C80" s="1" t="s">
        <v>500</v>
      </c>
      <c r="D80" s="1" t="s">
        <v>631</v>
      </c>
      <c r="E80" s="1" t="s">
        <v>632</v>
      </c>
    </row>
    <row r="81" spans="2:9" ht="18.75" customHeight="1" x14ac:dyDescent="0.3">
      <c r="B81" s="8" t="s">
        <v>633</v>
      </c>
      <c r="C81" s="2" t="s">
        <v>634</v>
      </c>
      <c r="D81" s="10">
        <v>1500</v>
      </c>
      <c r="E81" s="10" t="s">
        <v>43</v>
      </c>
    </row>
    <row r="82" spans="2:9" ht="18.75" customHeight="1" x14ac:dyDescent="0.3">
      <c r="B82" s="8" t="s">
        <v>635</v>
      </c>
      <c r="C82" s="2" t="s">
        <v>636</v>
      </c>
      <c r="D82" s="10">
        <v>760</v>
      </c>
      <c r="E82" s="10">
        <v>1500</v>
      </c>
    </row>
    <row r="83" spans="2:9" ht="18.75" customHeight="1" x14ac:dyDescent="0.3">
      <c r="B83" s="8" t="s">
        <v>637</v>
      </c>
      <c r="C83" s="2" t="s">
        <v>638</v>
      </c>
      <c r="D83" s="10">
        <v>360</v>
      </c>
      <c r="E83" s="10">
        <v>760</v>
      </c>
    </row>
    <row r="84" spans="2:9" ht="18.75" customHeight="1" x14ac:dyDescent="0.3">
      <c r="B84" s="8" t="s">
        <v>639</v>
      </c>
      <c r="C84" s="2" t="s">
        <v>640</v>
      </c>
      <c r="D84" s="10">
        <v>180</v>
      </c>
      <c r="E84" s="10">
        <v>360</v>
      </c>
    </row>
    <row r="85" spans="2:9" ht="18.75" customHeight="1" x14ac:dyDescent="0.3">
      <c r="B85" s="8" t="s">
        <v>641</v>
      </c>
      <c r="C85" s="2" t="s">
        <v>642</v>
      </c>
      <c r="D85" s="10">
        <v>0</v>
      </c>
      <c r="E85" s="10">
        <v>180</v>
      </c>
    </row>
    <row r="86" spans="2:9" ht="31.5" customHeight="1" x14ac:dyDescent="0.3">
      <c r="B86" s="8" t="s">
        <v>643</v>
      </c>
      <c r="C86" s="2" t="s">
        <v>644</v>
      </c>
      <c r="D86" s="10" t="s">
        <v>43</v>
      </c>
      <c r="E86" s="10">
        <v>180</v>
      </c>
    </row>
    <row r="88" spans="2:9" ht="21" customHeight="1" x14ac:dyDescent="0.3">
      <c r="B88" s="36" t="s">
        <v>645</v>
      </c>
      <c r="C88" s="37"/>
      <c r="D88" s="37"/>
      <c r="E88" s="37"/>
      <c r="F88" s="37"/>
      <c r="G88" s="37"/>
      <c r="H88" s="37"/>
      <c r="I88" s="37"/>
    </row>
    <row r="89" spans="2:9" ht="30" customHeight="1" x14ac:dyDescent="0.3">
      <c r="B89" s="40" t="s">
        <v>646</v>
      </c>
      <c r="C89" s="35"/>
      <c r="D89" s="35"/>
      <c r="E89" s="35"/>
      <c r="F89" s="35"/>
      <c r="G89" s="35"/>
      <c r="H89" s="35"/>
      <c r="I89" s="35"/>
    </row>
    <row r="90" spans="2:9" ht="30" customHeight="1" x14ac:dyDescent="0.3">
      <c r="B90" s="1" t="s">
        <v>630</v>
      </c>
      <c r="C90" s="1" t="s">
        <v>569</v>
      </c>
      <c r="D90" s="1" t="s">
        <v>647</v>
      </c>
      <c r="E90" s="1" t="s">
        <v>648</v>
      </c>
    </row>
    <row r="91" spans="2:9" ht="18.75" customHeight="1" x14ac:dyDescent="0.3">
      <c r="B91" s="8" t="s">
        <v>633</v>
      </c>
      <c r="D91" s="10">
        <v>0.97</v>
      </c>
      <c r="E91" s="10">
        <v>1.72</v>
      </c>
    </row>
    <row r="92" spans="2:9" ht="18.75" customHeight="1" x14ac:dyDescent="0.3">
      <c r="B92" s="8" t="s">
        <v>635</v>
      </c>
      <c r="D92" s="10">
        <v>1.02</v>
      </c>
      <c r="E92" s="10">
        <v>2.5</v>
      </c>
    </row>
    <row r="93" spans="2:9" ht="18.75" customHeight="1" x14ac:dyDescent="0.3">
      <c r="B93" s="8" t="s">
        <v>637</v>
      </c>
      <c r="D93" s="10">
        <v>1.06</v>
      </c>
      <c r="E93" s="10">
        <v>2.65</v>
      </c>
    </row>
    <row r="94" spans="2:9" ht="18.75" customHeight="1" x14ac:dyDescent="0.3">
      <c r="B94" s="8" t="s">
        <v>639</v>
      </c>
      <c r="D94" s="10">
        <v>1.1599999999999999</v>
      </c>
      <c r="E94" s="10">
        <v>3.25</v>
      </c>
    </row>
    <row r="95" spans="2:9" ht="18.75" customHeight="1" x14ac:dyDescent="0.3">
      <c r="B95" s="8" t="s">
        <v>641</v>
      </c>
      <c r="D95" s="10">
        <v>1.1599999999999999</v>
      </c>
      <c r="E95" s="10">
        <v>4</v>
      </c>
    </row>
    <row r="96" spans="2:9" ht="31.5" customHeight="1" x14ac:dyDescent="0.3">
      <c r="B96" s="8" t="s">
        <v>643</v>
      </c>
      <c r="C96" s="2" t="s">
        <v>649</v>
      </c>
      <c r="D96" s="10">
        <v>1.1599999999999999</v>
      </c>
      <c r="E96" s="10">
        <v>4</v>
      </c>
    </row>
    <row r="98" spans="2:9" ht="21" customHeight="1" x14ac:dyDescent="0.3">
      <c r="B98" s="36" t="s">
        <v>650</v>
      </c>
      <c r="C98" s="37"/>
      <c r="D98" s="37"/>
      <c r="E98" s="37"/>
      <c r="F98" s="37"/>
      <c r="G98" s="37"/>
      <c r="H98" s="37"/>
      <c r="I98" s="37"/>
    </row>
    <row r="99" spans="2:9" ht="18" customHeight="1" x14ac:dyDescent="0.3">
      <c r="B99" s="40" t="s">
        <v>651</v>
      </c>
      <c r="C99" s="35"/>
      <c r="D99" s="35"/>
      <c r="E99" s="35"/>
      <c r="F99" s="35"/>
      <c r="G99" s="35"/>
      <c r="H99" s="35"/>
      <c r="I99" s="35"/>
    </row>
    <row r="100" spans="2:9" ht="30" customHeight="1" x14ac:dyDescent="0.3">
      <c r="B100" s="1" t="s">
        <v>652</v>
      </c>
      <c r="C100" s="1" t="s">
        <v>653</v>
      </c>
      <c r="D100" s="1" t="s">
        <v>654</v>
      </c>
    </row>
    <row r="101" spans="2:9" ht="18.75" customHeight="1" x14ac:dyDescent="0.3">
      <c r="B101" s="8" t="s">
        <v>655</v>
      </c>
      <c r="C101" s="2" t="s">
        <v>656</v>
      </c>
      <c r="D101" s="10">
        <v>2.21</v>
      </c>
    </row>
    <row r="102" spans="2:9" ht="18.75" customHeight="1" x14ac:dyDescent="0.3">
      <c r="B102" s="8" t="s">
        <v>657</v>
      </c>
      <c r="C102" s="2" t="s">
        <v>658</v>
      </c>
      <c r="D102" s="10">
        <v>0.62</v>
      </c>
    </row>
    <row r="104" spans="2:9" ht="21" customHeight="1" x14ac:dyDescent="0.3">
      <c r="B104" s="36" t="s">
        <v>659</v>
      </c>
      <c r="C104" s="37"/>
      <c r="D104" s="37"/>
      <c r="E104" s="37"/>
      <c r="F104" s="37"/>
      <c r="G104" s="37"/>
      <c r="H104" s="37"/>
      <c r="I104" s="37"/>
    </row>
    <row r="105" spans="2:9" ht="18" customHeight="1" x14ac:dyDescent="0.3">
      <c r="B105" s="40" t="s">
        <v>660</v>
      </c>
      <c r="C105" s="35"/>
      <c r="D105" s="35"/>
      <c r="E105" s="35"/>
      <c r="F105" s="35"/>
      <c r="G105" s="35"/>
      <c r="H105" s="35"/>
      <c r="I105" s="35"/>
    </row>
    <row r="106" spans="2:9" ht="30" customHeight="1" x14ac:dyDescent="0.3">
      <c r="B106" s="1" t="s">
        <v>661</v>
      </c>
      <c r="C106" s="1" t="s">
        <v>662</v>
      </c>
      <c r="D106" s="1" t="s">
        <v>663</v>
      </c>
    </row>
    <row r="107" spans="2:9" ht="31.5" customHeight="1" x14ac:dyDescent="0.3">
      <c r="B107" s="8" t="s">
        <v>514</v>
      </c>
      <c r="C107" s="2" t="s">
        <v>664</v>
      </c>
      <c r="D107" s="10">
        <v>1</v>
      </c>
    </row>
    <row r="108" spans="2:9" ht="31.5" customHeight="1" x14ac:dyDescent="0.3">
      <c r="B108" s="8" t="s">
        <v>82</v>
      </c>
      <c r="C108" s="2" t="s">
        <v>665</v>
      </c>
      <c r="D108" s="10">
        <v>1</v>
      </c>
    </row>
    <row r="109" spans="2:9" ht="31.5" customHeight="1" x14ac:dyDescent="0.3">
      <c r="B109" s="8" t="s">
        <v>517</v>
      </c>
      <c r="C109" s="2" t="s">
        <v>666</v>
      </c>
      <c r="D109" s="10">
        <v>1.25</v>
      </c>
    </row>
    <row r="110" spans="2:9" ht="31.5" customHeight="1" x14ac:dyDescent="0.3">
      <c r="B110" s="8" t="s">
        <v>667</v>
      </c>
      <c r="C110" s="2" t="s">
        <v>668</v>
      </c>
      <c r="D110" s="10">
        <v>1.5</v>
      </c>
    </row>
    <row r="112" spans="2:9" ht="21" customHeight="1" x14ac:dyDescent="0.3">
      <c r="B112" s="36" t="s">
        <v>669</v>
      </c>
      <c r="C112" s="37"/>
      <c r="D112" s="37"/>
      <c r="E112" s="37"/>
      <c r="F112" s="37"/>
      <c r="G112" s="37"/>
      <c r="H112" s="37"/>
      <c r="I112" s="37"/>
    </row>
    <row r="113" spans="2:9" ht="18" customHeight="1" x14ac:dyDescent="0.3">
      <c r="B113" s="40" t="s">
        <v>670</v>
      </c>
      <c r="C113" s="35"/>
      <c r="D113" s="35"/>
      <c r="E113" s="35"/>
      <c r="F113" s="35"/>
      <c r="G113" s="35"/>
      <c r="H113" s="35"/>
      <c r="I113" s="35"/>
    </row>
    <row r="114" spans="2:9" ht="30" customHeight="1" x14ac:dyDescent="0.3">
      <c r="B114" s="1" t="s">
        <v>671</v>
      </c>
      <c r="C114" s="1" t="s">
        <v>672</v>
      </c>
      <c r="D114" s="1" t="s">
        <v>673</v>
      </c>
    </row>
    <row r="115" spans="2:9" ht="18.75" customHeight="1" x14ac:dyDescent="0.3">
      <c r="B115" s="8" t="s">
        <v>674</v>
      </c>
      <c r="C115" s="2" t="s">
        <v>675</v>
      </c>
      <c r="D115" s="10">
        <v>1.4</v>
      </c>
    </row>
    <row r="116" spans="2:9" ht="18.75" customHeight="1" x14ac:dyDescent="0.3">
      <c r="B116" s="8" t="s">
        <v>676</v>
      </c>
      <c r="D116" s="10">
        <v>1.4</v>
      </c>
    </row>
    <row r="117" spans="2:9" ht="18.75" customHeight="1" x14ac:dyDescent="0.3">
      <c r="B117" s="8" t="s">
        <v>677</v>
      </c>
      <c r="D117" s="10">
        <v>1.5</v>
      </c>
    </row>
    <row r="118" spans="2:9" ht="18.75" customHeight="1" x14ac:dyDescent="0.3">
      <c r="B118" s="8" t="s">
        <v>678</v>
      </c>
      <c r="D118" s="10">
        <v>1.6</v>
      </c>
    </row>
    <row r="119" spans="2:9" ht="18.75" customHeight="1" x14ac:dyDescent="0.3">
      <c r="B119" s="8" t="s">
        <v>679</v>
      </c>
      <c r="D119" s="10">
        <v>1.7</v>
      </c>
    </row>
    <row r="121" spans="2:9" ht="21" customHeight="1" x14ac:dyDescent="0.3">
      <c r="B121" s="36" t="s">
        <v>680</v>
      </c>
      <c r="C121" s="37"/>
      <c r="D121" s="37"/>
      <c r="E121" s="37"/>
      <c r="F121" s="37"/>
      <c r="G121" s="37"/>
      <c r="H121" s="37"/>
      <c r="I121" s="37"/>
    </row>
    <row r="122" spans="2:9" ht="30" customHeight="1" x14ac:dyDescent="0.3">
      <c r="B122" s="40" t="s">
        <v>681</v>
      </c>
      <c r="C122" s="35"/>
      <c r="D122" s="35"/>
      <c r="E122" s="35"/>
      <c r="F122" s="35"/>
      <c r="G122" s="35"/>
      <c r="H122" s="35"/>
      <c r="I122" s="35"/>
    </row>
    <row r="123" spans="2:9" ht="42" customHeight="1" x14ac:dyDescent="0.3">
      <c r="B123" s="1" t="s">
        <v>521</v>
      </c>
      <c r="C123" s="1" t="s">
        <v>682</v>
      </c>
      <c r="D123" s="1" t="s">
        <v>524</v>
      </c>
      <c r="E123" s="1" t="s">
        <v>683</v>
      </c>
      <c r="F123" s="1" t="s">
        <v>523</v>
      </c>
      <c r="G123" s="1" t="s">
        <v>684</v>
      </c>
      <c r="H123" s="1" t="s">
        <v>569</v>
      </c>
      <c r="I123" s="1" t="s">
        <v>685</v>
      </c>
    </row>
    <row r="124" spans="2:9" ht="18.75" customHeight="1" x14ac:dyDescent="0.3">
      <c r="B124" s="8" t="s">
        <v>577</v>
      </c>
      <c r="C124" s="2" t="s">
        <v>686</v>
      </c>
      <c r="D124" s="10">
        <v>8</v>
      </c>
      <c r="E124" s="10">
        <v>3</v>
      </c>
      <c r="F124" s="10">
        <v>5.5</v>
      </c>
      <c r="G124" s="10" t="s">
        <v>687</v>
      </c>
      <c r="I124" s="10" t="s">
        <v>43</v>
      </c>
    </row>
    <row r="125" spans="2:9" ht="31.5" customHeight="1" x14ac:dyDescent="0.3">
      <c r="B125" s="8" t="s">
        <v>574</v>
      </c>
      <c r="C125" s="2" t="s">
        <v>688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689</v>
      </c>
      <c r="I125" s="10">
        <v>20</v>
      </c>
    </row>
    <row r="126" spans="2:9" ht="31.5" customHeight="1" x14ac:dyDescent="0.3">
      <c r="B126" s="8" t="s">
        <v>570</v>
      </c>
      <c r="C126" s="2" t="s">
        <v>690</v>
      </c>
      <c r="D126" s="10">
        <v>3.5</v>
      </c>
      <c r="E126" s="10">
        <v>3</v>
      </c>
      <c r="F126" s="10">
        <v>3</v>
      </c>
      <c r="G126" s="10" t="s">
        <v>691</v>
      </c>
      <c r="H126" s="2" t="s">
        <v>692</v>
      </c>
      <c r="I126" s="10">
        <v>20</v>
      </c>
    </row>
    <row r="127" spans="2:9" ht="18.75" customHeight="1" x14ac:dyDescent="0.3">
      <c r="B127" s="8" t="s">
        <v>693</v>
      </c>
      <c r="C127" s="2" t="s">
        <v>694</v>
      </c>
      <c r="D127" s="10">
        <v>8</v>
      </c>
      <c r="E127" s="10">
        <v>3</v>
      </c>
      <c r="F127" s="10">
        <v>5.5</v>
      </c>
      <c r="G127" s="10" t="s">
        <v>687</v>
      </c>
      <c r="I127" s="10" t="s">
        <v>43</v>
      </c>
    </row>
    <row r="128" spans="2:9" ht="18.75" customHeight="1" x14ac:dyDescent="0.3">
      <c r="B128" s="8" t="s">
        <v>599</v>
      </c>
      <c r="C128" s="2" t="s">
        <v>695</v>
      </c>
      <c r="D128" s="10">
        <v>5</v>
      </c>
      <c r="E128" s="10">
        <v>3</v>
      </c>
      <c r="F128" s="10">
        <v>4.5</v>
      </c>
      <c r="G128" s="10" t="s">
        <v>691</v>
      </c>
      <c r="I128" s="10" t="s">
        <v>43</v>
      </c>
    </row>
    <row r="129" spans="2:9" ht="18.75" customHeight="1" x14ac:dyDescent="0.3">
      <c r="B129" s="8" t="s">
        <v>587</v>
      </c>
      <c r="C129" s="2" t="s">
        <v>696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584</v>
      </c>
      <c r="C130" s="2" t="s">
        <v>697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580</v>
      </c>
      <c r="C131" s="2" t="s">
        <v>698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699</v>
      </c>
      <c r="I131" s="10">
        <v>18.3</v>
      </c>
    </row>
    <row r="132" spans="2:9" ht="31.5" customHeight="1" x14ac:dyDescent="0.3">
      <c r="B132" s="8" t="s">
        <v>700</v>
      </c>
      <c r="C132" s="2" t="s">
        <v>701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702</v>
      </c>
      <c r="C133" s="2" t="s">
        <v>703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526</v>
      </c>
      <c r="C134" s="2" t="s">
        <v>704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603</v>
      </c>
      <c r="C135" s="2" t="s">
        <v>705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706</v>
      </c>
      <c r="C136" s="2" t="s">
        <v>707</v>
      </c>
      <c r="D136" s="10">
        <v>3.5</v>
      </c>
      <c r="E136" s="10">
        <v>2.5</v>
      </c>
      <c r="F136" s="10">
        <v>2.25</v>
      </c>
      <c r="G136" s="10" t="s">
        <v>691</v>
      </c>
      <c r="I136" s="10" t="s">
        <v>43</v>
      </c>
    </row>
    <row r="137" spans="2:9" ht="31.5" customHeight="1" x14ac:dyDescent="0.3">
      <c r="B137" s="8" t="s">
        <v>708</v>
      </c>
      <c r="C137" s="2" t="s">
        <v>709</v>
      </c>
      <c r="D137" s="10">
        <v>8</v>
      </c>
      <c r="E137" s="10">
        <v>2.5</v>
      </c>
      <c r="F137" s="10">
        <v>4</v>
      </c>
      <c r="G137" s="10" t="s">
        <v>687</v>
      </c>
      <c r="I137" s="10" t="s">
        <v>43</v>
      </c>
    </row>
    <row r="138" spans="2:9" ht="31.5" customHeight="1" x14ac:dyDescent="0.3">
      <c r="B138" s="8" t="s">
        <v>557</v>
      </c>
      <c r="C138" s="2" t="s">
        <v>710</v>
      </c>
      <c r="D138" s="10">
        <v>7</v>
      </c>
      <c r="E138" s="10">
        <v>2.5</v>
      </c>
      <c r="F138" s="10">
        <v>5.5</v>
      </c>
      <c r="G138" s="10" t="s">
        <v>687</v>
      </c>
      <c r="I138" s="10" t="s">
        <v>43</v>
      </c>
    </row>
    <row r="139" spans="2:9" ht="18.75" customHeight="1" x14ac:dyDescent="0.3">
      <c r="B139" s="8" t="s">
        <v>711</v>
      </c>
      <c r="C139" s="2" t="s">
        <v>712</v>
      </c>
      <c r="D139" s="10">
        <v>7</v>
      </c>
      <c r="E139" s="10">
        <v>2.5</v>
      </c>
      <c r="F139" s="10">
        <v>5.5</v>
      </c>
      <c r="G139" s="10" t="s">
        <v>687</v>
      </c>
      <c r="I139" s="10" t="s">
        <v>43</v>
      </c>
    </row>
    <row r="140" spans="2:9" ht="31.5" customHeight="1" x14ac:dyDescent="0.3">
      <c r="B140" s="8" t="s">
        <v>561</v>
      </c>
      <c r="C140" s="2" t="s">
        <v>713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596</v>
      </c>
      <c r="C141" s="2" t="s">
        <v>714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593</v>
      </c>
      <c r="C142" s="2" t="s">
        <v>715</v>
      </c>
      <c r="D142" s="10">
        <v>1.25</v>
      </c>
      <c r="E142" s="10">
        <v>1.25</v>
      </c>
      <c r="F142" s="10">
        <v>1.25</v>
      </c>
      <c r="G142" s="10" t="s">
        <v>691</v>
      </c>
      <c r="H142" s="2" t="s">
        <v>716</v>
      </c>
      <c r="I142" s="10" t="s">
        <v>43</v>
      </c>
    </row>
    <row r="143" spans="2:9" ht="18.75" customHeight="1" x14ac:dyDescent="0.3">
      <c r="B143" s="8" t="s">
        <v>717</v>
      </c>
      <c r="C143" s="2" t="s">
        <v>718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719</v>
      </c>
      <c r="C144" s="2" t="s">
        <v>720</v>
      </c>
      <c r="D144" s="10">
        <v>3</v>
      </c>
      <c r="E144" s="10">
        <v>3</v>
      </c>
      <c r="F144" s="10">
        <v>3</v>
      </c>
      <c r="G144" s="10" t="s">
        <v>691</v>
      </c>
      <c r="I144" s="10" t="s">
        <v>43</v>
      </c>
    </row>
    <row r="146" spans="2:9" ht="21" customHeight="1" x14ac:dyDescent="0.3">
      <c r="B146" s="36" t="s">
        <v>721</v>
      </c>
      <c r="C146" s="37"/>
      <c r="D146" s="37"/>
      <c r="E146" s="37"/>
      <c r="F146" s="37"/>
      <c r="G146" s="37"/>
      <c r="H146" s="37"/>
      <c r="I146" s="37"/>
    </row>
    <row r="147" spans="2:9" ht="18" customHeight="1" x14ac:dyDescent="0.3">
      <c r="B147" s="40" t="s">
        <v>722</v>
      </c>
      <c r="C147" s="35"/>
      <c r="D147" s="35"/>
      <c r="E147" s="35"/>
      <c r="F147" s="35"/>
      <c r="G147" s="35"/>
      <c r="H147" s="35"/>
      <c r="I147" s="35"/>
    </row>
    <row r="148" spans="2:9" ht="30" customHeight="1" x14ac:dyDescent="0.3">
      <c r="B148" s="1" t="s">
        <v>723</v>
      </c>
      <c r="C148" s="1" t="s">
        <v>671</v>
      </c>
      <c r="D148" s="1" t="s">
        <v>724</v>
      </c>
      <c r="E148" s="1" t="s">
        <v>725</v>
      </c>
    </row>
    <row r="149" spans="2:9" ht="18.75" customHeight="1" x14ac:dyDescent="0.3">
      <c r="B149" s="8" t="s">
        <v>726</v>
      </c>
      <c r="C149" s="2" t="s">
        <v>727</v>
      </c>
      <c r="D149" s="10" t="s">
        <v>633</v>
      </c>
      <c r="E149" s="10" t="s">
        <v>633</v>
      </c>
    </row>
    <row r="150" spans="2:9" ht="18.75" customHeight="1" x14ac:dyDescent="0.3">
      <c r="B150" s="8" t="s">
        <v>728</v>
      </c>
      <c r="C150" s="2" t="s">
        <v>729</v>
      </c>
      <c r="D150" s="10" t="s">
        <v>635</v>
      </c>
      <c r="E150" s="10" t="s">
        <v>637</v>
      </c>
    </row>
    <row r="151" spans="2:9" ht="18.75" customHeight="1" x14ac:dyDescent="0.3">
      <c r="B151" s="8" t="s">
        <v>730</v>
      </c>
      <c r="C151" s="2" t="s">
        <v>731</v>
      </c>
      <c r="D151" s="10" t="s">
        <v>637</v>
      </c>
      <c r="E151" s="10" t="s">
        <v>639</v>
      </c>
    </row>
    <row r="152" spans="2:9" ht="18.75" customHeight="1" x14ac:dyDescent="0.3">
      <c r="B152" s="8" t="s">
        <v>732</v>
      </c>
      <c r="C152" s="2" t="s">
        <v>733</v>
      </c>
      <c r="D152" s="10" t="s">
        <v>639</v>
      </c>
      <c r="E152" s="10" t="s">
        <v>639</v>
      </c>
    </row>
    <row r="153" spans="2:9" ht="18.75" customHeight="1" x14ac:dyDescent="0.3">
      <c r="B153" s="8" t="s">
        <v>734</v>
      </c>
      <c r="C153" s="2" t="s">
        <v>735</v>
      </c>
      <c r="D153" s="10" t="s">
        <v>641</v>
      </c>
      <c r="E153" s="10" t="s">
        <v>643</v>
      </c>
    </row>
    <row r="155" spans="2:9" ht="21" customHeight="1" x14ac:dyDescent="0.3">
      <c r="B155" s="36" t="s">
        <v>736</v>
      </c>
      <c r="C155" s="37"/>
      <c r="D155" s="37"/>
      <c r="E155" s="37"/>
      <c r="F155" s="37"/>
      <c r="G155" s="37"/>
      <c r="H155" s="37"/>
      <c r="I155" s="37"/>
    </row>
    <row r="156" spans="2:9" ht="18" customHeight="1" x14ac:dyDescent="0.3">
      <c r="B156" s="40" t="s">
        <v>737</v>
      </c>
      <c r="C156" s="35"/>
      <c r="D156" s="35"/>
      <c r="E156" s="35"/>
      <c r="F156" s="35"/>
      <c r="G156" s="35"/>
      <c r="H156" s="35"/>
      <c r="I156" s="35"/>
    </row>
    <row r="157" spans="2:9" ht="30" customHeight="1" x14ac:dyDescent="0.3">
      <c r="B157" s="1" t="s">
        <v>738</v>
      </c>
      <c r="C157" s="1" t="s">
        <v>500</v>
      </c>
      <c r="D157" s="1" t="s">
        <v>739</v>
      </c>
      <c r="E157" s="1" t="s">
        <v>622</v>
      </c>
      <c r="F157" s="1" t="s">
        <v>725</v>
      </c>
    </row>
    <row r="158" spans="2:9" ht="45" customHeight="1" x14ac:dyDescent="0.3">
      <c r="B158" s="8" t="s">
        <v>625</v>
      </c>
      <c r="C158" s="2" t="s">
        <v>740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741</v>
      </c>
      <c r="C159" s="2" t="s">
        <v>742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743</v>
      </c>
      <c r="C160" s="2" t="s">
        <v>744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745</v>
      </c>
      <c r="C161" s="2" t="s">
        <v>746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6" t="s">
        <v>747</v>
      </c>
      <c r="C163" s="37"/>
      <c r="D163" s="37"/>
      <c r="E163" s="37"/>
      <c r="F163" s="37"/>
      <c r="G163" s="37"/>
      <c r="H163" s="37"/>
      <c r="I163" s="37"/>
    </row>
    <row r="164" spans="2:9" ht="18" customHeight="1" x14ac:dyDescent="0.3">
      <c r="B164" s="40" t="s">
        <v>748</v>
      </c>
      <c r="C164" s="35"/>
      <c r="D164" s="35"/>
      <c r="E164" s="35"/>
      <c r="F164" s="35"/>
      <c r="G164" s="35"/>
      <c r="H164" s="35"/>
      <c r="I164" s="35"/>
    </row>
    <row r="165" spans="2:9" ht="30" customHeight="1" x14ac:dyDescent="0.3">
      <c r="B165" s="1" t="s">
        <v>749</v>
      </c>
      <c r="C165" s="1" t="s">
        <v>750</v>
      </c>
      <c r="D165" s="1" t="s">
        <v>751</v>
      </c>
    </row>
    <row r="166" spans="2:9" ht="18.75" customHeight="1" x14ac:dyDescent="0.3">
      <c r="B166" s="8" t="s">
        <v>752</v>
      </c>
      <c r="C166" s="2" t="s">
        <v>753</v>
      </c>
      <c r="D166" s="10" t="s">
        <v>43</v>
      </c>
    </row>
    <row r="167" spans="2:9" ht="18.75" customHeight="1" x14ac:dyDescent="0.3">
      <c r="B167" s="8" t="s">
        <v>754</v>
      </c>
      <c r="C167" s="2" t="s">
        <v>755</v>
      </c>
      <c r="D167" s="10">
        <v>1.4025000000000001</v>
      </c>
    </row>
    <row r="168" spans="2:9" ht="18.75" customHeight="1" x14ac:dyDescent="0.3">
      <c r="B168" s="8" t="s">
        <v>756</v>
      </c>
      <c r="C168" s="2" t="s">
        <v>757</v>
      </c>
      <c r="D168" s="10">
        <v>1.43</v>
      </c>
    </row>
  </sheetData>
  <mergeCells count="34"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21:I121"/>
    <mergeCell ref="B122:I122"/>
  </mergeCells>
  <pageMargins left="0.75" right="0.75" top="1" bottom="1" header="0.511811023622047" footer="0.511811023622047"/>
  <pageSetup fitToHeight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758</v>
      </c>
      <c r="C1" s="37"/>
      <c r="D1" s="37"/>
      <c r="E1" s="37"/>
    </row>
    <row r="2" spans="2:5" ht="30" customHeight="1" x14ac:dyDescent="0.3">
      <c r="B2" s="39" t="s">
        <v>759</v>
      </c>
      <c r="C2" s="37"/>
      <c r="D2" s="37"/>
      <c r="E2" s="37"/>
    </row>
    <row r="3" spans="2:5" ht="6" customHeight="1" x14ac:dyDescent="0.3"/>
    <row r="4" spans="2:5" ht="21" customHeight="1" x14ac:dyDescent="0.3">
      <c r="B4" s="36" t="s">
        <v>760</v>
      </c>
      <c r="C4" s="37"/>
      <c r="D4" s="37"/>
      <c r="E4" s="37"/>
    </row>
    <row r="5" spans="2:5" ht="30" customHeight="1" x14ac:dyDescent="0.3">
      <c r="B5" s="1" t="s">
        <v>761</v>
      </c>
      <c r="C5" s="1" t="s">
        <v>762</v>
      </c>
      <c r="D5" s="1" t="s">
        <v>763</v>
      </c>
      <c r="E5" s="1" t="s">
        <v>764</v>
      </c>
    </row>
    <row r="6" spans="2:5" ht="18.75" customHeight="1" x14ac:dyDescent="0.3">
      <c r="B6" s="2" t="s">
        <v>765</v>
      </c>
      <c r="C6" s="10" t="s">
        <v>766</v>
      </c>
      <c r="D6" s="3" t="s">
        <v>767</v>
      </c>
      <c r="E6" s="4" t="s">
        <v>768</v>
      </c>
    </row>
    <row r="7" spans="2:5" ht="18.75" customHeight="1" x14ac:dyDescent="0.3">
      <c r="B7" s="2" t="s">
        <v>769</v>
      </c>
      <c r="C7" s="10" t="s">
        <v>770</v>
      </c>
      <c r="D7" s="3" t="s">
        <v>771</v>
      </c>
      <c r="E7" s="4" t="s">
        <v>768</v>
      </c>
    </row>
    <row r="8" spans="2:5" ht="30" customHeight="1" x14ac:dyDescent="0.3">
      <c r="B8" s="2" t="s">
        <v>772</v>
      </c>
      <c r="C8" s="10" t="s">
        <v>773</v>
      </c>
      <c r="D8" s="3" t="s">
        <v>774</v>
      </c>
      <c r="E8" s="4" t="s">
        <v>775</v>
      </c>
    </row>
    <row r="9" spans="2:5" ht="18.75" customHeight="1" x14ac:dyDescent="0.3">
      <c r="B9" s="2" t="s">
        <v>776</v>
      </c>
      <c r="C9" s="10" t="s">
        <v>777</v>
      </c>
      <c r="D9" s="3" t="s">
        <v>778</v>
      </c>
      <c r="E9" s="4" t="s">
        <v>768</v>
      </c>
    </row>
    <row r="10" spans="2:5" ht="18.75" customHeight="1" x14ac:dyDescent="0.3">
      <c r="B10" s="2" t="s">
        <v>779</v>
      </c>
      <c r="C10" s="10" t="s">
        <v>777</v>
      </c>
      <c r="D10" s="3" t="s">
        <v>780</v>
      </c>
      <c r="E10" s="4" t="s">
        <v>775</v>
      </c>
    </row>
    <row r="11" spans="2:5" ht="18.75" customHeight="1" x14ac:dyDescent="0.3">
      <c r="B11" s="2" t="s">
        <v>781</v>
      </c>
      <c r="C11" s="10" t="s">
        <v>777</v>
      </c>
      <c r="D11" s="3" t="s">
        <v>782</v>
      </c>
      <c r="E11" s="4" t="s">
        <v>768</v>
      </c>
    </row>
    <row r="12" spans="2:5" ht="18.75" customHeight="1" x14ac:dyDescent="0.3">
      <c r="B12" s="2" t="s">
        <v>783</v>
      </c>
      <c r="C12" s="10" t="s">
        <v>784</v>
      </c>
      <c r="D12" s="3" t="s">
        <v>785</v>
      </c>
      <c r="E12" s="4" t="s">
        <v>775</v>
      </c>
    </row>
    <row r="13" spans="2:5" ht="31.5" customHeight="1" x14ac:dyDescent="0.3">
      <c r="B13" s="2" t="s">
        <v>786</v>
      </c>
      <c r="C13" s="10" t="s">
        <v>787</v>
      </c>
      <c r="D13" s="3" t="s">
        <v>788</v>
      </c>
      <c r="E13" s="4" t="s">
        <v>775</v>
      </c>
    </row>
    <row r="14" spans="2:5" ht="18.75" customHeight="1" x14ac:dyDescent="0.3">
      <c r="B14" s="2" t="s">
        <v>789</v>
      </c>
      <c r="C14" s="10" t="s">
        <v>790</v>
      </c>
      <c r="D14" s="3" t="s">
        <v>791</v>
      </c>
      <c r="E14" s="4" t="s">
        <v>775</v>
      </c>
    </row>
    <row r="15" spans="2:5" ht="18.75" customHeight="1" x14ac:dyDescent="0.3">
      <c r="B15" s="2" t="s">
        <v>792</v>
      </c>
      <c r="C15" s="10" t="s">
        <v>793</v>
      </c>
      <c r="D15" s="3" t="s">
        <v>794</v>
      </c>
      <c r="E15" s="4" t="s">
        <v>795</v>
      </c>
    </row>
    <row r="16" spans="2:5" ht="30" customHeight="1" x14ac:dyDescent="0.3">
      <c r="B16" s="2" t="s">
        <v>796</v>
      </c>
      <c r="C16" s="10" t="s">
        <v>797</v>
      </c>
      <c r="D16" s="3" t="s">
        <v>798</v>
      </c>
      <c r="E16" s="4" t="s">
        <v>775</v>
      </c>
    </row>
    <row r="17" spans="2:5" ht="18.75" customHeight="1" x14ac:dyDescent="0.3">
      <c r="B17" s="2" t="s">
        <v>799</v>
      </c>
      <c r="C17" s="10" t="s">
        <v>800</v>
      </c>
      <c r="D17" s="3" t="s">
        <v>801</v>
      </c>
      <c r="E17" s="4" t="s">
        <v>469</v>
      </c>
    </row>
    <row r="18" spans="2:5" ht="18.75" customHeight="1" x14ac:dyDescent="0.3">
      <c r="B18" s="2" t="s">
        <v>802</v>
      </c>
      <c r="C18" s="10" t="s">
        <v>803</v>
      </c>
      <c r="D18" s="3" t="s">
        <v>804</v>
      </c>
      <c r="E18" s="4" t="s">
        <v>469</v>
      </c>
    </row>
    <row r="19" spans="2:5" ht="18.75" customHeight="1" x14ac:dyDescent="0.3">
      <c r="B19" s="2" t="s">
        <v>805</v>
      </c>
      <c r="C19" s="10" t="s">
        <v>806</v>
      </c>
      <c r="D19" s="3" t="s">
        <v>807</v>
      </c>
      <c r="E19" s="4" t="s">
        <v>469</v>
      </c>
    </row>
    <row r="20" spans="2:5" ht="18.75" customHeight="1" x14ac:dyDescent="0.3">
      <c r="B20" s="2" t="s">
        <v>808</v>
      </c>
      <c r="C20" s="10" t="s">
        <v>809</v>
      </c>
      <c r="D20" s="3" t="s">
        <v>810</v>
      </c>
      <c r="E20" s="4" t="s">
        <v>768</v>
      </c>
    </row>
    <row r="21" spans="2:5" ht="18.75" customHeight="1" x14ac:dyDescent="0.3">
      <c r="B21" s="2" t="s">
        <v>811</v>
      </c>
      <c r="C21" s="10" t="s">
        <v>812</v>
      </c>
      <c r="D21" s="3" t="s">
        <v>813</v>
      </c>
      <c r="E21" s="4" t="s">
        <v>469</v>
      </c>
    </row>
    <row r="22" spans="2:5" ht="18.75" customHeight="1" x14ac:dyDescent="0.3">
      <c r="B22" s="2" t="s">
        <v>814</v>
      </c>
      <c r="C22" s="10" t="s">
        <v>815</v>
      </c>
      <c r="D22" s="3" t="s">
        <v>816</v>
      </c>
      <c r="E22" s="4" t="s">
        <v>469</v>
      </c>
    </row>
    <row r="23" spans="2:5" ht="30" customHeight="1" x14ac:dyDescent="0.3">
      <c r="B23" s="2" t="s">
        <v>817</v>
      </c>
      <c r="C23" s="10" t="s">
        <v>818</v>
      </c>
      <c r="D23" s="3" t="s">
        <v>819</v>
      </c>
      <c r="E23" s="4" t="s">
        <v>820</v>
      </c>
    </row>
    <row r="24" spans="2:5" ht="18.75" customHeight="1" x14ac:dyDescent="0.3">
      <c r="B24" s="2" t="s">
        <v>821</v>
      </c>
      <c r="C24" s="10" t="s">
        <v>784</v>
      </c>
      <c r="D24" s="3" t="s">
        <v>822</v>
      </c>
      <c r="E24" s="4" t="s">
        <v>469</v>
      </c>
    </row>
    <row r="25" spans="2:5" ht="18.75" customHeight="1" x14ac:dyDescent="0.3">
      <c r="B25" s="2" t="s">
        <v>823</v>
      </c>
      <c r="C25" s="10" t="s">
        <v>824</v>
      </c>
      <c r="D25" s="3" t="s">
        <v>825</v>
      </c>
      <c r="E25" s="4" t="s">
        <v>768</v>
      </c>
    </row>
    <row r="26" spans="2:5" ht="18.75" customHeight="1" x14ac:dyDescent="0.3">
      <c r="B26" s="2" t="s">
        <v>826</v>
      </c>
      <c r="C26" s="10" t="s">
        <v>827</v>
      </c>
      <c r="D26" s="3" t="s">
        <v>828</v>
      </c>
      <c r="E26" s="4" t="s">
        <v>768</v>
      </c>
    </row>
    <row r="27" spans="2:5" ht="18.75" customHeight="1" x14ac:dyDescent="0.3">
      <c r="B27" s="2" t="s">
        <v>829</v>
      </c>
      <c r="C27" s="10" t="s">
        <v>830</v>
      </c>
      <c r="D27" s="3" t="s">
        <v>831</v>
      </c>
      <c r="E27" s="4" t="s">
        <v>469</v>
      </c>
    </row>
    <row r="28" spans="2:5" ht="31.5" customHeight="1" x14ac:dyDescent="0.3">
      <c r="B28" s="2" t="s">
        <v>832</v>
      </c>
      <c r="C28" s="10" t="s">
        <v>833</v>
      </c>
      <c r="D28" s="3" t="s">
        <v>834</v>
      </c>
      <c r="E28" s="4" t="s">
        <v>775</v>
      </c>
    </row>
    <row r="29" spans="2:5" ht="30" customHeight="1" x14ac:dyDescent="0.3">
      <c r="B29" s="2" t="s">
        <v>835</v>
      </c>
      <c r="C29" s="10" t="s">
        <v>836</v>
      </c>
      <c r="D29" s="3" t="s">
        <v>837</v>
      </c>
      <c r="E29" s="4" t="s">
        <v>768</v>
      </c>
    </row>
    <row r="30" spans="2:5" ht="18.75" customHeight="1" x14ac:dyDescent="0.3">
      <c r="B30" s="2" t="s">
        <v>838</v>
      </c>
      <c r="C30" s="10" t="s">
        <v>839</v>
      </c>
      <c r="D30" s="3" t="s">
        <v>840</v>
      </c>
      <c r="E30" s="4" t="s">
        <v>768</v>
      </c>
    </row>
    <row r="31" spans="2:5" ht="18.75" customHeight="1" x14ac:dyDescent="0.3">
      <c r="B31" s="2" t="s">
        <v>841</v>
      </c>
      <c r="C31" s="10" t="s">
        <v>839</v>
      </c>
      <c r="D31" s="3" t="s">
        <v>842</v>
      </c>
      <c r="E31" s="4" t="s">
        <v>469</v>
      </c>
    </row>
    <row r="32" spans="2:5" ht="30" customHeight="1" x14ac:dyDescent="0.3">
      <c r="B32" s="2" t="s">
        <v>843</v>
      </c>
      <c r="C32" s="10" t="s">
        <v>839</v>
      </c>
      <c r="D32" s="3" t="s">
        <v>844</v>
      </c>
      <c r="E32" s="4" t="s">
        <v>820</v>
      </c>
    </row>
    <row r="33" spans="2:5" ht="18.75" customHeight="1" x14ac:dyDescent="0.3">
      <c r="B33" s="2" t="s">
        <v>845</v>
      </c>
      <c r="C33" s="10" t="s">
        <v>846</v>
      </c>
      <c r="D33" s="3" t="s">
        <v>847</v>
      </c>
      <c r="E33" s="4" t="s">
        <v>848</v>
      </c>
    </row>
    <row r="34" spans="2:5" ht="18.75" customHeight="1" x14ac:dyDescent="0.3">
      <c r="B34" s="2" t="s">
        <v>849</v>
      </c>
      <c r="C34" s="10" t="s">
        <v>846</v>
      </c>
      <c r="D34" s="3" t="s">
        <v>850</v>
      </c>
      <c r="E34" s="4" t="s">
        <v>768</v>
      </c>
    </row>
    <row r="35" spans="2:5" ht="18.75" customHeight="1" x14ac:dyDescent="0.3">
      <c r="B35" s="2" t="s">
        <v>851</v>
      </c>
      <c r="C35" s="10" t="s">
        <v>846</v>
      </c>
      <c r="D35" s="3" t="s">
        <v>852</v>
      </c>
      <c r="E35" s="4" t="s">
        <v>775</v>
      </c>
    </row>
    <row r="36" spans="2:5" ht="31.5" customHeight="1" x14ac:dyDescent="0.3">
      <c r="B36" s="2" t="s">
        <v>853</v>
      </c>
      <c r="C36" s="10" t="s">
        <v>846</v>
      </c>
      <c r="D36" s="3" t="s">
        <v>854</v>
      </c>
      <c r="E36" s="4" t="s">
        <v>469</v>
      </c>
    </row>
    <row r="37" spans="2:5" ht="18.75" customHeight="1" x14ac:dyDescent="0.3">
      <c r="B37" s="2" t="s">
        <v>855</v>
      </c>
      <c r="C37" s="10" t="s">
        <v>787</v>
      </c>
      <c r="D37" s="3" t="s">
        <v>856</v>
      </c>
      <c r="E37" s="4" t="s">
        <v>857</v>
      </c>
    </row>
    <row r="38" spans="2:5" ht="30" customHeight="1" x14ac:dyDescent="0.3">
      <c r="B38" s="2" t="s">
        <v>858</v>
      </c>
      <c r="C38" s="10" t="s">
        <v>859</v>
      </c>
      <c r="D38" s="3" t="s">
        <v>860</v>
      </c>
      <c r="E38" s="4" t="s">
        <v>861</v>
      </c>
    </row>
    <row r="39" spans="2:5" ht="18.75" customHeight="1" x14ac:dyDescent="0.3">
      <c r="B39" s="2" t="s">
        <v>862</v>
      </c>
      <c r="C39" s="10" t="s">
        <v>846</v>
      </c>
      <c r="D39" s="3" t="s">
        <v>863</v>
      </c>
      <c r="E39" s="4" t="s">
        <v>768</v>
      </c>
    </row>
    <row r="40" spans="2:5" ht="31.5" customHeight="1" x14ac:dyDescent="0.3">
      <c r="B40" s="2" t="s">
        <v>864</v>
      </c>
      <c r="C40" s="10" t="s">
        <v>846</v>
      </c>
      <c r="D40" s="3" t="s">
        <v>865</v>
      </c>
      <c r="E40" s="4" t="s">
        <v>775</v>
      </c>
    </row>
    <row r="41" spans="2:5" ht="18.75" customHeight="1" x14ac:dyDescent="0.3">
      <c r="B41" s="2" t="s">
        <v>866</v>
      </c>
      <c r="C41" s="10" t="s">
        <v>867</v>
      </c>
      <c r="D41" s="3" t="s">
        <v>868</v>
      </c>
      <c r="E41" s="4" t="s">
        <v>861</v>
      </c>
    </row>
    <row r="42" spans="2:5" ht="6" customHeight="1" x14ac:dyDescent="0.3"/>
    <row r="43" spans="2:5" ht="21" customHeight="1" x14ac:dyDescent="0.3">
      <c r="B43" s="36" t="s">
        <v>869</v>
      </c>
      <c r="C43" s="37"/>
      <c r="D43" s="37"/>
      <c r="E43" s="37"/>
    </row>
    <row r="44" spans="2:5" ht="30" customHeight="1" x14ac:dyDescent="0.3">
      <c r="B44" s="34" t="s">
        <v>870</v>
      </c>
      <c r="C44" s="35"/>
      <c r="D44" s="35"/>
      <c r="E44" s="35"/>
    </row>
    <row r="45" spans="2:5" ht="18" customHeight="1" x14ac:dyDescent="0.3">
      <c r="B45" s="34" t="s">
        <v>871</v>
      </c>
      <c r="C45" s="35"/>
      <c r="D45" s="35"/>
      <c r="E45" s="35"/>
    </row>
    <row r="46" spans="2:5" ht="18" customHeight="1" x14ac:dyDescent="0.3">
      <c r="B46" s="34" t="s">
        <v>872</v>
      </c>
      <c r="C46" s="35"/>
      <c r="D46" s="35"/>
      <c r="E46" s="35"/>
    </row>
    <row r="47" spans="2:5" ht="18" customHeight="1" x14ac:dyDescent="0.3">
      <c r="B47" s="34" t="s">
        <v>873</v>
      </c>
      <c r="C47" s="35"/>
      <c r="D47" s="35"/>
      <c r="E47" s="35"/>
    </row>
    <row r="48" spans="2:5" ht="30" customHeight="1" x14ac:dyDescent="0.3">
      <c r="B48" s="34" t="s">
        <v>874</v>
      </c>
      <c r="C48" s="35"/>
      <c r="D48" s="35"/>
      <c r="E48" s="35"/>
    </row>
    <row r="49" spans="2:5" ht="18" customHeight="1" x14ac:dyDescent="0.3">
      <c r="B49" s="34" t="s">
        <v>875</v>
      </c>
      <c r="C49" s="35"/>
      <c r="D49" s="35"/>
      <c r="E49" s="35"/>
    </row>
    <row r="50" spans="2:5" ht="30" customHeight="1" x14ac:dyDescent="0.3">
      <c r="B50" s="34" t="s">
        <v>876</v>
      </c>
      <c r="C50" s="35"/>
      <c r="D50" s="35"/>
      <c r="E50" s="35"/>
    </row>
    <row r="51" spans="2:5" ht="18" customHeight="1" x14ac:dyDescent="0.3">
      <c r="B51" s="34" t="s">
        <v>877</v>
      </c>
      <c r="C51" s="35"/>
      <c r="D51" s="35"/>
      <c r="E51" s="35"/>
    </row>
    <row r="52" spans="2:5" ht="18" customHeight="1" x14ac:dyDescent="0.3">
      <c r="B52" s="34" t="s">
        <v>878</v>
      </c>
      <c r="C52" s="35"/>
      <c r="D52" s="35"/>
      <c r="E52" s="35"/>
    </row>
    <row r="53" spans="2:5" ht="30" customHeight="1" x14ac:dyDescent="0.3">
      <c r="B53" s="34" t="s">
        <v>879</v>
      </c>
      <c r="C53" s="35"/>
      <c r="D53" s="35"/>
      <c r="E53" s="35"/>
    </row>
    <row r="54" spans="2:5" ht="18" customHeight="1" x14ac:dyDescent="0.3">
      <c r="B54" s="34" t="s">
        <v>880</v>
      </c>
      <c r="C54" s="35"/>
      <c r="D54" s="35"/>
      <c r="E54" s="35"/>
    </row>
    <row r="55" spans="2:5" ht="18" customHeight="1" x14ac:dyDescent="0.3">
      <c r="B55" s="34" t="s">
        <v>881</v>
      </c>
      <c r="C55" s="35"/>
      <c r="D55" s="35"/>
      <c r="E55" s="35"/>
    </row>
  </sheetData>
  <mergeCells count="16">
    <mergeCell ref="B1:E1"/>
    <mergeCell ref="B49:E49"/>
    <mergeCell ref="B50:E50"/>
    <mergeCell ref="B4:E4"/>
    <mergeCell ref="B43:E43"/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B1:G125"/>
  <sheetViews>
    <sheetView showGridLines="0" zoomScale="90" zoomScaleNormal="90" workbookViewId="0">
      <selection activeCell="C6" sqref="C6"/>
    </sheetView>
  </sheetViews>
  <sheetFormatPr baseColWidth="10" defaultColWidth="8.88671875" defaultRowHeight="14.4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ht="25.5" customHeight="1">
      <c r="B1" s="38" t="inlineStr">
        <is>
          <t>CM, CV Y MASA DEL SISMO PARA STAAD — COPIAR Y PEGAR</t>
        </is>
      </c>
      <c r="C1" s="38"/>
      <c r="D1" s="38"/>
      <c r="E1" s="38"/>
      <c r="F1" s="38"/>
      <c r="G1" s="38"/>
    </row>
    <row r="2" ht="30" customHeight="1">
      <c r="B2" s="39" t="inlineStr">
        <is>
          <t>De aquí salen las cargas de los casos 1 (CM), 2 (CV) y 4 (masa del sismo) del .STD R2.9. Techo en UNI por larguero y viga con su ancho tributario; en el sismo la cubierta va a los nodos de arriba de las columnas; muros con una carga uniforme por larguero completo.</t>
        </is>
      </c>
      <c r="C2" s="39"/>
      <c r="D2" s="39"/>
      <c r="E2" s="39"/>
      <c r="F2" s="39"/>
      <c r="G2" s="39"/>
    </row>
    <row r="4" ht="21" customHeight="1">
      <c r="B4" s="36" t="inlineStr">
        <is>
          <t>A. DATOS</t>
        </is>
      </c>
      <c r="C4" s="36"/>
      <c r="D4" s="36"/>
      <c r="E4" s="36"/>
      <c r="F4" s="36"/>
      <c r="G4" s="36"/>
    </row>
    <row r="5">
      <c r="B5" s="46" t="inlineStr">
        <is>
          <t>Concepto</t>
        </is>
      </c>
      <c r="C5" s="46" t="inlineStr">
        <is>
          <t>Valor</t>
        </is>
      </c>
      <c r="D5" s="46" t="inlineStr">
        <is>
          <t>Unidad</t>
        </is>
      </c>
      <c r="E5" s="46" t="inlineStr">
        <is>
          <t>De dónde sale</t>
        </is>
      </c>
      <c r="F5" s="46" t="inlineStr">
        <is>
          <t/>
        </is>
      </c>
      <c r="G5" s="46" t="inlineStr">
        <is>
          <t/>
        </is>
      </c>
    </row>
    <row r="6">
      <c r="B6" s="2" t="inlineStr">
        <is>
          <t>CM de techo</t>
        </is>
      </c>
      <c r="C6" s="15">
        <v>19.32</v>
      </c>
      <c r="D6" s="35" t="inlineStr">
        <is>
          <t>kg/m²</t>
        </is>
      </c>
      <c r="E6" s="34" t="inlineStr">
        <is>
          <t>Panel Glamet 9.32 + instalaciones 10.00 (AreasTributarias R2.9, DATOS C8)</t>
        </is>
      </c>
      <c r="F6" s="34"/>
      <c r="G6" s="34"/>
    </row>
    <row r="7">
      <c r="B7" s="2" t="inlineStr">
        <is>
          <t>CV máxima de techo w_m</t>
        </is>
      </c>
      <c r="C7" s="15">
        <v>20</v>
      </c>
      <c r="D7" s="35" t="inlineStr">
        <is>
          <t>kg/m²</t>
        </is>
      </c>
      <c r="E7" s="34" t="inlineStr">
        <is>
          <t>RESESCO, tabla de cargas vivas, inciso i (pendiente mayor de 5%), pág. 12</t>
        </is>
      </c>
      <c r="F7" s="34"/>
      <c r="G7" s="34"/>
    </row>
    <row r="8">
      <c r="B8" s="2" t="inlineStr">
        <is>
          <t>CV instantánea de techo w_i</t>
        </is>
      </c>
      <c r="C8" s="15">
        <v>0</v>
      </c>
      <c r="D8" s="35" t="inlineStr">
        <is>
          <t>kg/m²</t>
        </is>
      </c>
      <c r="E8" s="34" t="inlineStr">
        <is>
          <t>RESESCO, inciso i, pág. 12: con 0 no suma masa</t>
        </is>
      </c>
      <c r="F8" s="34"/>
      <c r="G8" s="34"/>
    </row>
    <row r="9">
      <c r="B9" s="2" t="inlineStr">
        <is>
          <t>CM de muro</t>
        </is>
      </c>
      <c r="C9" s="15">
        <v>5.85</v>
      </c>
      <c r="D9" s="35" t="inlineStr">
        <is>
          <t>kg/m²</t>
        </is>
      </c>
      <c r="E9" s="34" t="inlineStr">
        <is>
          <t>Lámina KR-18 cal. 24</t>
        </is>
      </c>
      <c r="F9" s="34"/>
      <c r="G9" s="34"/>
    </row>
    <row r="10">
      <c r="B10" s="2" t="inlineStr">
        <is>
          <t>B — claro de los marcos (X)</t>
        </is>
      </c>
      <c r="C10" s="15">
        <v>10.08</v>
      </c>
      <c r="D10" s="35" t="inlineStr">
        <is>
          <t>m</t>
        </is>
      </c>
      <c r="E10" s="34" t="inlineStr">
        <is>
          <t>Modelo STAAD R2.9: X de 0 a 1008 cm</t>
        </is>
      </c>
      <c r="F10" s="34"/>
      <c r="G10" s="34"/>
    </row>
    <row r="11">
      <c r="B11" s="2" t="inlineStr">
        <is>
          <t>L — largo de la nave (Z)</t>
        </is>
      </c>
      <c r="C11" s="15">
        <v>16</v>
      </c>
      <c r="D11" s="35" t="inlineStr">
        <is>
          <t>m</t>
        </is>
      </c>
      <c r="E11" s="34" t="inlineStr">
        <is>
          <t>Modelo STAAD R2.9: Z de 0 a 1600 cm</t>
        </is>
      </c>
      <c r="F11" s="34"/>
      <c r="G11" s="34"/>
    </row>
    <row r="12">
      <c r="B12" s="2" t="inlineStr">
        <is>
          <t>Altura del techo en el eje 1 (Z = 0)</t>
        </is>
      </c>
      <c r="C12" s="15">
        <v>10.43</v>
      </c>
      <c r="D12" s="35" t="inlineStr">
        <is>
          <t>m</t>
        </is>
      </c>
      <c r="E12" s="34" t="inlineStr">
        <is>
          <t>Modelo STAAD R2.9: nodos 7 y 8</t>
        </is>
      </c>
      <c r="F12" s="34"/>
      <c r="G12" s="34"/>
    </row>
    <row r="13">
      <c r="B13" s="2" t="inlineStr">
        <is>
          <t>Altura del techo en el eje 2 (Z = 10 m)</t>
        </is>
      </c>
      <c r="C13" s="15">
        <v>9.91126</v>
      </c>
      <c r="D13" s="35" t="inlineStr">
        <is>
          <t>m</t>
        </is>
      </c>
      <c r="E13" s="34" t="inlineStr">
        <is>
          <t>Modelo STAAD R2.9: nodos 75 y 76</t>
        </is>
      </c>
      <c r="F13" s="34"/>
      <c r="G13" s="34"/>
    </row>
    <row r="14">
      <c r="B14" s="2" t="inlineStr">
        <is>
          <t>Altura del techo en el eje 3 (Z = L)</t>
        </is>
      </c>
      <c r="C14" s="15">
        <v>9.60002</v>
      </c>
      <c r="D14" s="35" t="inlineStr">
        <is>
          <t>m</t>
        </is>
      </c>
      <c r="E14" s="34" t="inlineStr">
        <is>
          <t>Modelo STAAD R2.9: nodos 9 y 10</t>
        </is>
      </c>
      <c r="F14" s="34"/>
      <c r="G14" s="34"/>
    </row>
    <row r="15">
      <c r="B15" s="2" t="inlineStr">
        <is>
          <t>Z del eje 2</t>
        </is>
      </c>
      <c r="C15" s="15">
        <v>10</v>
      </c>
      <c r="D15" s="35" t="inlineStr">
        <is>
          <t>m</t>
        </is>
      </c>
      <c r="E15" s="34" t="inlineStr">
        <is>
          <t>Modelo STAAD R2.9: nodos 2 y 5</t>
        </is>
      </c>
      <c r="F15" s="34"/>
      <c r="G15" s="34"/>
    </row>
    <row r="16">
      <c r="B16" s="2" t="inlineStr">
        <is>
          <t>Separación de largueros de muro</t>
        </is>
      </c>
      <c r="C16" s="15">
        <v>1.2</v>
      </c>
      <c r="D16" s="35" t="inlineStr">
        <is>
          <t>m</t>
        </is>
      </c>
      <c r="E16" s="34" t="inlineStr">
        <is>
          <t>Modelo STAAD R2.9: largueros a 1.20, 2.40 … 9.60 m</t>
        </is>
      </c>
      <c r="F16" s="34"/>
      <c r="G16" s="34"/>
    </row>
    <row r="17">
      <c r="B17" s="2" t="inlineStr">
        <is>
          <t>Nivel del último larguero de muro</t>
        </is>
      </c>
      <c r="C17" s="15">
        <v>9.6</v>
      </c>
      <c r="D17" s="35" t="inlineStr">
        <is>
          <t>m</t>
        </is>
      </c>
      <c r="E17" s="34" t="inlineStr">
        <is>
          <t>Modelo STAAD R2.9</t>
        </is>
      </c>
      <c r="F17" s="34"/>
      <c r="G17" s="34"/>
    </row>
    <row r="18">
      <c r="B18" s="2" t="inlineStr">
        <is>
          <t>Nivel del dintel de la puerta</t>
        </is>
      </c>
      <c r="C18" s="15">
        <v>2.4</v>
      </c>
      <c r="D18" s="35" t="inlineStr">
        <is>
          <t>m</t>
        </is>
      </c>
      <c r="E18" s="34" t="inlineStr">
        <is>
          <t>Modelo STAAD R2.9: miembro 204</t>
        </is>
      </c>
      <c r="F18" s="34"/>
      <c r="G18" s="34"/>
    </row>
    <row r="19">
      <c r="B19" s="2" t="inlineStr">
        <is>
          <t>Nivel del dintel de la cortina</t>
        </is>
      </c>
      <c r="C19" s="15">
        <v>6.5</v>
      </c>
      <c r="D19" s="35" t="inlineStr">
        <is>
          <t>m</t>
        </is>
      </c>
      <c r="E19" s="34" t="inlineStr">
        <is>
          <t>Modelo STAAD R2.9: nodos 69 y 70 (miembro 234)</t>
        </is>
      </c>
      <c r="F19" s="34"/>
      <c r="G19" s="34"/>
    </row>
    <row r="20">
      <c r="B20" s="2" t="inlineStr">
        <is>
          <t>Nivel de los largueros bajo el dintel de la cortina</t>
        </is>
      </c>
      <c r="C20" s="15">
        <v>6</v>
      </c>
      <c r="D20" s="35" t="inlineStr">
        <is>
          <t>m</t>
        </is>
      </c>
      <c r="E20" s="34" t="inlineStr">
        <is>
          <t>Modelo STAAD R2.9: miembros 35 y 157</t>
        </is>
      </c>
      <c r="F20" s="34"/>
      <c r="G20" s="34"/>
    </row>
    <row r="21">
      <c r="B21" s="2" t="inlineStr">
        <is>
          <t>Nivel del larguero sobre el dintel de la cortina</t>
        </is>
      </c>
      <c r="C21" s="15">
        <v>7.2</v>
      </c>
      <c r="D21" s="35" t="inlineStr">
        <is>
          <t>m</t>
        </is>
      </c>
      <c r="E21" s="34" t="inlineStr">
        <is>
          <t>Modelo STAAD R2.9: miembro 39</t>
        </is>
      </c>
      <c r="F21" s="34"/>
      <c r="G21" s="34"/>
    </row>
    <row r="22">
      <c r="B22" s="2" t="inlineStr">
        <is>
          <t>Peso de la cortina</t>
        </is>
      </c>
      <c r="C22" s="15">
        <v>397.8</v>
      </c>
      <c r="D22" s="35" t="inlineStr">
        <is>
          <t>kg</t>
        </is>
      </c>
      <c r="E22" s="34" t="inlineStr">
        <is>
          <t>AreasTributarias R2.9, DATOS C52: 12 kg/m² × 5.10 × 6.50 m</t>
        </is>
      </c>
      <c r="F22" s="34"/>
      <c r="G22" s="34"/>
    </row>
    <row r="23">
      <c r="B23" s="2" t="inlineStr">
        <is>
          <t>Largo del dintel de la cortina (miembro 234)</t>
        </is>
      </c>
      <c r="C23" s="15">
        <v>510</v>
      </c>
      <c r="D23" s="35" t="inlineStr">
        <is>
          <t>cm</t>
        </is>
      </c>
      <c r="E23" s="34" t="inlineStr">
        <is>
          <t>Modelo STAAD R2.9: X de 232 a 742 cm</t>
        </is>
      </c>
      <c r="F23" s="34"/>
      <c r="G23" s="34"/>
    </row>
    <row r="24">
      <c r="B24" s="2" t="inlineStr">
        <is>
          <t>Factor kg/m → unidades del .STD</t>
        </is>
      </c>
      <c r="C24" s="19">
        <v>0.01</v>
      </c>
      <c r="D24" s="35" t="inlineStr">
        <is>
          <t>—</t>
        </is>
      </c>
      <c r="E24" s="34" t="inlineStr">
        <is>
          <t>UNIT CM KG: carga lineal en kg/cm</t>
        </is>
      </c>
      <c r="F24" s="34"/>
      <c r="G24" s="34"/>
    </row>
    <row r="25">
      <c r="B25" s="2" t="inlineStr">
        <is>
          <t>Factor kg/m² → unidades del .STD</t>
        </is>
      </c>
      <c r="C25" s="19">
        <v>0.0001</v>
      </c>
      <c r="D25" s="35" t="inlineStr">
        <is>
          <t>—</t>
        </is>
      </c>
      <c r="E25" s="34" t="inlineStr">
        <is>
          <t>UNIT CM KG: presión en kg/cm²</t>
        </is>
      </c>
      <c r="F25" s="34"/>
      <c r="G25" s="34"/>
    </row>
    <row r="27" ht="21" customHeight="1">
      <c r="B27" s="36" t="inlineStr">
        <is>
          <t>B. TECHO EN LARGUEROS Y VIGAS (CASOS 1 Y 2)</t>
        </is>
      </c>
      <c r="C27" s="36"/>
      <c r="D27" s="36"/>
      <c r="E27" s="36"/>
      <c r="F27" s="36"/>
      <c r="G27" s="36"/>
    </row>
    <row r="28" ht="30" customHeight="1">
      <c r="B28" s="40" t="inlineStr">
        <is>
          <t>Cada línea de largueros o viga de marco toma la mitad de la separación con sus vecinas (b, hoja TECHO de AreasTributarias R2.9). Las que tienen el mismo b van en un renglón.</t>
        </is>
      </c>
      <c r="C28" s="40"/>
      <c r="D28" s="40"/>
      <c r="E28" s="40"/>
      <c r="F28" s="40"/>
      <c r="G28" s="40"/>
    </row>
    <row r="29" ht="30" customHeight="1">
      <c r="B29" s="46" t="inlineStr">
        <is>
          <t>Líneas</t>
        </is>
      </c>
      <c r="C29" s="46" t="inlineStr">
        <is>
          <t>Miembros de STAAD</t>
        </is>
      </c>
      <c r="D29" s="46" t="inlineStr">
        <is>
          <t>b (m)</t>
        </is>
      </c>
      <c r="E29" s="46" t="inlineStr">
        <is>
          <t>w CM (kg/m)</t>
        </is>
      </c>
      <c r="F29" s="46" t="inlineStr">
        <is>
          <t>w CV (kg/m)</t>
        </is>
      </c>
      <c r="G29" s="46" t="inlineStr">
        <is>
          <t>w CM (unid. .STD)</t>
        </is>
      </c>
    </row>
    <row r="30">
      <c r="B30" s="2" t="inlineStr">
        <is>
          <t>LT-2 a LT-6, VM-2, LT-7 a LT-9</t>
        </is>
      </c>
      <c r="C30" s="41" t="inlineStr">
        <is>
          <t>74 121 TO 124 285 TO 287 310 TO 326 352 TO 371</t>
        </is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>
      <c r="B31" s="2" t="inlineStr">
        <is>
          <t>LT-1</t>
        </is>
      </c>
      <c r="C31" s="41" t="inlineStr">
        <is>
          <t>327 372 TO 375</t>
        </is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>
      <c r="B32" s="2" t="inlineStr">
        <is>
          <t>VM-1</t>
        </is>
      </c>
      <c r="C32" s="41" t="inlineStr">
        <is>
          <t>11 48 TO 51</t>
        </is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>
      <c r="B33" s="2" t="inlineStr">
        <is>
          <t>VM-3</t>
        </is>
      </c>
      <c r="C33" s="41" t="inlineStr">
        <is>
          <t>12 52 TO 55</t>
        </is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>
      <c r="B34" s="2" t="inlineStr">
        <is>
          <t>Revisión</t>
        </is>
      </c>
      <c r="C34" s="42" t="str">
        <f>IF(ABS(D30*9+D31+D32+D33-$C$11)&lt;0.001,"OK: suma de b = L (9 líneas con b = 1.50 m)","REVISA LOS ANCHOS")</f>
        <v>OK: suma de b = L (9 líneas con b = 1.50 m)</v>
      </c>
    </row>
    <row r="36" ht="21" customHeight="1">
      <c r="B36" s="36" t="inlineStr">
        <is>
          <t>C. CUBIERTA EN LOS NODOS DE ARRIBA DE LAS COLUMNAS (MASA DEL SISMO, CASO 4)</t>
        </is>
      </c>
      <c r="C36" s="36"/>
      <c r="D36" s="36"/>
      <c r="E36" s="36"/>
      <c r="F36" s="36"/>
      <c r="G36" s="36"/>
    </row>
    <row r="37" ht="30" customHeight="1">
      <c r="B37" s="40" t="inlineStr">
        <is>
          <t>Cada nodo toma la mitad del claro B y la mitad de la separación con los marcos vecinos. Peso = (CM + w_i) × área tributaria; en el caso 4 va en FX y en FZ.</t>
        </is>
      </c>
      <c r="C37" s="40"/>
      <c r="D37" s="40"/>
      <c r="E37" s="40"/>
      <c r="F37" s="40"/>
      <c r="G37" s="40"/>
    </row>
    <row r="38" ht="30" customHeight="1">
      <c r="B38" s="46" t="inlineStr">
        <is>
          <t>Marco</t>
        </is>
      </c>
      <c r="C38" s="46" t="inlineStr">
        <is>
          <t>Nodos de arriba (X = 0 y X = B)</t>
        </is>
      </c>
      <c r="D38" s="46" t="inlineStr">
        <is>
          <t>Z (m)</t>
        </is>
      </c>
      <c r="E38" s="46" t="inlineStr">
        <is>
          <t>Ancho tributario en Z (m)</t>
        </is>
      </c>
      <c r="F38" s="46" t="inlineStr">
        <is>
          <t>Área por nodo (m²)</t>
        </is>
      </c>
      <c r="G38" s="46" t="inlineStr">
        <is>
          <t>Peso por nodo (kg)</t>
        </is>
      </c>
    </row>
    <row r="39">
      <c r="B39" s="2" t="inlineStr">
        <is>
          <t>Eje 1</t>
        </is>
      </c>
      <c r="C39" s="41" t="inlineStr">
        <is>
          <t>7 8</t>
        </is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>
      <c r="B40" s="2" t="inlineStr">
        <is>
          <t>Eje 2</t>
        </is>
      </c>
      <c r="C40" s="41" t="inlineStr">
        <is>
          <t>75 76</t>
        </is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>
      <c r="B41" s="2" t="inlineStr">
        <is>
          <t>Eje 3</t>
        </is>
      </c>
      <c r="C41" s="41" t="inlineStr">
        <is>
          <t>9 10</t>
        </is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>
      <c r="B42" s="2" t="inlineStr">
        <is>
          <t>Total (los dos nodos de cada marco)</t>
        </is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>
      <c r="B43" s="2" t="inlineStr">
        <is>
          <t>Revisión</t>
        </is>
      </c>
      <c r="C43" s="42" t="str">
        <f>IF(ABS($G$42-($C$6+$C$8)*$C$10*$C$11)&lt;0.01,"OK: suma = (CM + w_i)·B·L","REVISA LOS MARCOS")</f>
        <v>OK: suma = (CM + w_i)·B·L</v>
      </c>
    </row>
    <row r="45" ht="21" customHeight="1">
      <c r="B45" s="36" t="inlineStr">
        <is>
          <t>D. MUROS: UNA CARGA UNIFORME POR LARGUERO COMPLETO (CASOS 1 Y 4)</t>
        </is>
      </c>
      <c r="C45" s="36"/>
      <c r="D45" s="36"/>
      <c r="E45" s="36"/>
      <c r="F45" s="36"/>
      <c r="G45" s="36"/>
    </row>
    <row r="46" ht="45" customHeight="1">
      <c r="B46" s="40" t="inlineStr">
        <is>
          <t>Altura tributaria = la mitad hacia el larguero de abajo más la mitad hacia el de arriba. En las orillas inclinadas se usa la altura media del techo a lo largo del larguero: la carga queda uniforme en todo el larguero y la fuerza total no cambia.</t>
        </is>
      </c>
      <c r="C46" s="40"/>
      <c r="D46" s="40"/>
      <c r="E46" s="40"/>
      <c r="F46" s="40"/>
      <c r="G46" s="40"/>
    </row>
    <row r="47" ht="30" customHeight="1">
      <c r="B47" s="46" t="inlineStr">
        <is>
          <t>Elemento</t>
        </is>
      </c>
      <c r="C47" s="46" t="inlineStr">
        <is>
          <t>Miembros de STAAD</t>
        </is>
      </c>
      <c r="D47" s="46" t="inlineStr">
        <is>
          <t>Altura trib. (m)</t>
        </is>
      </c>
      <c r="E47" s="46" t="inlineStr">
        <is>
          <t>Cómo sale la altura</t>
        </is>
      </c>
      <c r="F47" s="46" t="inlineStr">
        <is>
          <t>w (kg/m)</t>
        </is>
      </c>
      <c r="G47" s="46" t="inlineStr">
        <is>
          <t>w (unid. .STD)</t>
        </is>
      </c>
    </row>
    <row r="48">
      <c r="B48" s="2" t="inlineStr">
        <is>
          <t>Largueros típicos (h = 1.20 m) de los muros 3 y 4</t>
        </is>
      </c>
      <c r="C48" s="41" t="inlineStr">
        <is>
          <t>16 17 20 21 24 25 28 29 32 33 36 37 40 41 199 TO 202 205 TO 214</t>
        </is>
      </c>
      <c r="D48" s="7">
        <f>$C$16</f>
        <v>1.2</v>
      </c>
      <c r="E48" s="34" t="inlineStr">
        <is>
          <t>Separación de largueros</t>
        </is>
      </c>
      <c r="F48" s="7">
        <f>$C$9*D48</f>
        <v>7.02</v>
      </c>
      <c r="G48" s="19">
        <f>F48*$C$24</f>
        <v>0.0702</v>
      </c>
    </row>
    <row r="49">
      <c r="B49" s="2" t="inlineStr">
        <is>
          <t>Largueros típicos (h = 1.20 m) del muro 1</t>
        </is>
      </c>
      <c r="C49" s="41" t="inlineStr">
        <is>
          <t>23 27 31 43 46 149 153 155 159 161 203</t>
        </is>
      </c>
      <c r="D49" s="7">
        <f>$C$16</f>
        <v>1.2</v>
      </c>
      <c r="E49" s="34" t="inlineStr">
        <is>
          <t>Separación de largueros</t>
        </is>
      </c>
      <c r="F49" s="7">
        <f>$C$9*D49</f>
        <v>7.02</v>
      </c>
      <c r="G49" s="19">
        <f>F49*$C$24</f>
        <v>0.0702</v>
      </c>
    </row>
    <row r="50">
      <c r="B50" s="2" t="inlineStr">
        <is>
          <t>Último larguero de los muros 3 y 4, claro 1-2 (LA-8.1, LB-8.1)</t>
        </is>
      </c>
      <c r="C50" s="41" t="inlineStr">
        <is>
          <t>44 45</t>
        </is>
      </c>
      <c r="D50" s="7">
        <f>$C$16/2+(($C$12+$C$13)/2-$C$17)/2</f>
        <v>0.885315</v>
      </c>
      <c r="E50" s="34" t="inlineStr">
        <is>
          <t>Mitad hacia abajo + mitad hasta el alero, con la altura media del techo entre los ejes 1 y 2</t>
        </is>
      </c>
      <c r="F50" s="7">
        <f>$C$9*D50</f>
        <v>5.17909275</v>
      </c>
      <c r="G50" s="19">
        <f>F50*$C$24</f>
        <v>0.0517909275</v>
      </c>
    </row>
    <row r="51">
      <c r="B51" s="2" t="inlineStr">
        <is>
          <t>Último larguero de los muros 3 y 4, claro 2-3 (LA-8.2, LB-8.2)</t>
        </is>
      </c>
      <c r="C51" s="41" t="inlineStr">
        <is>
          <t>215 216</t>
        </is>
      </c>
      <c r="D51" s="7">
        <f>$C$16/2+(($C$13+$C$14)/2-$C$17)/2</f>
        <v>0.67782</v>
      </c>
      <c r="E51" s="34" t="inlineStr">
        <is>
          <t>Mitad hacia abajo + mitad hasta el alero, con la altura media del techo entre los ejes 2 y 3</t>
        </is>
      </c>
      <c r="F51" s="7">
        <f>$C$9*D51</f>
        <v>3.965247</v>
      </c>
      <c r="G51" s="19">
        <f>F51*$C$24</f>
        <v>0.03965247</v>
      </c>
    </row>
    <row r="52">
      <c r="B52" s="2" t="inlineStr">
        <is>
          <t>Dintel de la puerta y largueros a 6.50 m junto a la cortina</t>
        </is>
      </c>
      <c r="C52" s="41" t="inlineStr">
        <is>
          <t>68 204 233</t>
        </is>
      </c>
      <c r="D52" s="7">
        <f>$C$16/2</f>
        <v>0.6</v>
      </c>
      <c r="E52" s="34" t="inlineStr">
        <is>
          <t>204: de 2.40 a 3.00 m. 68 y 233: de 6.25 a 6.85 m = 0.60 m, lo mismo</t>
        </is>
      </c>
      <c r="F52" s="7">
        <f>$C$9*D52</f>
        <v>3.51</v>
      </c>
      <c r="G52" s="19">
        <f>F52*$C$24</f>
        <v>0.0351</v>
      </c>
    </row>
    <row r="53">
      <c r="B53" s="2" t="inlineStr">
        <is>
          <t>Largueros a 6.00 m junto a la cortina (L1-5)</t>
        </is>
      </c>
      <c r="C53" s="41" t="inlineStr">
        <is>
          <t>35 157</t>
        </is>
      </c>
      <c r="D53" s="7">
        <f>$C$16/2+($C$19-$C$20)/2</f>
        <v>0.85</v>
      </c>
      <c r="E53" s="34" t="inlineStr">
        <is>
          <t>Mitad hacia abajo + mitad hasta el larguero de 6.50 m</t>
        </is>
      </c>
      <c r="F53" s="7">
        <f>$C$9*D53</f>
        <v>4.9725</v>
      </c>
      <c r="G53" s="19">
        <f>F53*$C$24</f>
        <v>0.049725</v>
      </c>
    </row>
    <row r="54">
      <c r="B54" s="2" t="inlineStr">
        <is>
          <t>Dintel de la cortina (L1-6.2)</t>
        </is>
      </c>
      <c r="C54" s="41" t="inlineStr">
        <is>
          <t>234</t>
        </is>
      </c>
      <c r="D54" s="7">
        <f>($C$21-$C$19)/2</f>
        <v>0.35</v>
      </c>
      <c r="E54" s="34" t="inlineStr">
        <is>
          <t>Del dintel a la mitad hacia el larguero de arriba</t>
        </is>
      </c>
      <c r="F54" s="7">
        <f>$C$9*D54</f>
        <v>2.0475</v>
      </c>
      <c r="G54" s="19">
        <f>F54*$C$24</f>
        <v>0.020475</v>
      </c>
    </row>
    <row r="55">
      <c r="B55" s="2" t="inlineStr">
        <is>
          <t>Larguero a 7.20 m del muro 1 (L1-7.1)</t>
        </is>
      </c>
      <c r="C55" s="41" t="inlineStr">
        <is>
          <t>39</t>
        </is>
      </c>
      <c r="D55" s="7">
        <f>$C$16/2+($C$21-$C$19)/2</f>
        <v>0.95</v>
      </c>
      <c r="E55" s="34" t="inlineStr">
        <is>
          <t>Mitad hacia arriba + mitad hasta el dintel de la cortina</t>
        </is>
      </c>
      <c r="F55" s="7">
        <f>$C$9*D55</f>
        <v>5.5575</v>
      </c>
      <c r="G55" s="19">
        <f>F55*$C$24</f>
        <v>0.055575</v>
      </c>
    </row>
    <row r="56">
      <c r="B56" s="2" t="inlineStr">
        <is>
          <t>Último larguero del muro 1 (L1-9.1)</t>
        </is>
      </c>
      <c r="C56" s="41" t="inlineStr">
        <is>
          <t>47</t>
        </is>
      </c>
      <c r="D56" s="7">
        <f>$C$16/2+($C$12-$C$17)/2</f>
        <v>1.015</v>
      </c>
      <c r="E56" s="34" t="inlineStr">
        <is>
          <t>Mitad hacia abajo + mitad hasta la viga del eje 1</t>
        </is>
      </c>
      <c r="F56" s="7">
        <f>$C$9*D56</f>
        <v>5.93775</v>
      </c>
      <c r="G56" s="19">
        <f>F56*$C$24</f>
        <v>0.0593775</v>
      </c>
    </row>
    <row r="57">
      <c r="B57" s="2" t="inlineStr">
        <is>
          <t>Franja alta del muro 1 a la viga del eje 1 (VM-1)</t>
        </is>
      </c>
      <c r="C57" s="41" t="inlineStr">
        <is>
          <t>11 48 TO 51</t>
        </is>
      </c>
      <c r="D57" s="7">
        <f>($C$12-$C$17)/2</f>
        <v>0.415</v>
      </c>
      <c r="E57" s="34" t="inlineStr">
        <is>
          <t>Mitad de arriba entre el último larguero y la viga del eje 1</t>
        </is>
      </c>
      <c r="F57" s="7">
        <f>$C$9*D57</f>
        <v>2.42775</v>
      </c>
      <c r="G57" s="19">
        <f>F57*$C$24</f>
        <v>0.0242775</v>
      </c>
    </row>
    <row r="58">
      <c r="B58" s="2" t="inlineStr">
        <is>
          <t>Vigas de alero del claro 1-2 (VA-1 y VB-1)</t>
        </is>
      </c>
      <c r="C58" s="41" t="inlineStr">
        <is>
          <t>241 242 269 TO 280</t>
        </is>
      </c>
      <c r="D58" s="7">
        <f>(($C$12+$C$13)/2-$C$17)/2</f>
        <v>0.285315</v>
      </c>
      <c r="E58" s="34" t="inlineStr">
        <is>
          <t>Mitad de arriba, con la altura media del techo entre los ejes 1 y 2</t>
        </is>
      </c>
      <c r="F58" s="7">
        <f>$C$9*D58</f>
        <v>1.66909275</v>
      </c>
      <c r="G58" s="19">
        <f>F58*$C$24</f>
        <v>0.0166909275</v>
      </c>
    </row>
    <row r="59">
      <c r="B59" s="2" t="inlineStr">
        <is>
          <t>Vigas de alero del claro 2-3 (VA-2 y VB-2)</t>
        </is>
      </c>
      <c r="C59" s="41" t="inlineStr">
        <is>
          <t>243 TO 250</t>
        </is>
      </c>
      <c r="D59" s="7">
        <f>(($C$13+$C$14)/2-$C$17)/2</f>
        <v>0.07782</v>
      </c>
      <c r="E59" s="34" t="inlineStr">
        <is>
          <t>Mitad de arriba, con la altura media del techo entre los ejes 2 y 3</t>
        </is>
      </c>
      <c r="F59" s="7">
        <f>$C$9*D59</f>
        <v>0.455247</v>
      </c>
      <c r="G59" s="19">
        <f>F59*$C$24</f>
        <v>0.00455247</v>
      </c>
    </row>
    <row r="60">
      <c r="B60" s="2" t="inlineStr">
        <is>
          <t>Cortina en el dintel (miembro 234)</t>
        </is>
      </c>
      <c r="C60" s="41" t="inlineStr">
        <is>
          <t>234</t>
        </is>
      </c>
      <c r="D60" s="7"/>
      <c r="E60" s="34" t="inlineStr">
        <is>
          <t>Peso de la cortina ÷ largo del dintel</t>
        </is>
      </c>
      <c r="F60" s="7">
        <f>$C$22/$C$23*100</f>
        <v>78</v>
      </c>
      <c r="G60" s="19">
        <f>F60*$C$24</f>
        <v>0.78</v>
      </c>
    </row>
    <row r="62" ht="21" customHeight="1">
      <c r="B62" s="36" t="inlineStr">
        <is>
          <t>E. LÍNEAS PARA EL .STD — COPIA LA COLUMNA B DEBAJO DEL TÍTULO DE CADA CASO</t>
        </is>
      </c>
      <c r="C62" s="36"/>
      <c r="D62" s="36"/>
      <c r="E62" s="36"/>
      <c r="F62" s="36"/>
      <c r="G62" s="36"/>
    </row>
    <row r="63" ht="30" customHeight="1">
      <c r="B63" s="40" t="inlineStr">
        <is>
          <t>Caso 1: después de SELFWEIGHT Y -1. Caso 2: completo. Caso 4: ANTES del SPECTRUM y sus pares (hoja STAAD), porque STAAD toma como masa las cargas escritas antes del SPECTRUM; el SELFWEIGHT X 1 y Z 1 hace que el peso propio también sea masa.</t>
        </is>
      </c>
      <c r="C63" s="40"/>
      <c r="D63" s="40"/>
      <c r="E63" s="40"/>
      <c r="F63" s="40"/>
      <c r="G63" s="40"/>
    </row>
    <row r="65">
      <c r="B65" s="46" t="inlineStr">
        <is>
          <t>Caso 1 — carga muerta</t>
        </is>
      </c>
      <c r="C65" s="46" t="inlineStr">
        <is>
          <t>Revisión</t>
        </is>
      </c>
    </row>
    <row r="66">
      <c r="B66" s="29" t="inlineStr">
        <is>
          <t>MEMBER LOAD</t>
        </is>
      </c>
      <c r="C66" s="42" t="str">
        <f>IF(LEN($B66)&gt;79,"MÁS DE 79 CARACTERES","")</f>
        <v/>
      </c>
    </row>
    <row r="67">
      <c r="B67" s="29" t="str">
        <f>C30&amp;" UNI GY "&amp;TEXT(-G30,"0.0000")</f>
        <v>74 121 TO 124 285 TO 287 310 TO 326 352 TO 371 UNI GY -0.2898</v>
      </c>
      <c r="C67" s="42" t="str">
        <f>IF(LEN($B67)&gt;79,"MÁS DE 79 CARACTERES","")</f>
        <v/>
      </c>
    </row>
    <row r="68">
      <c r="B68" s="29" t="str">
        <f>C31&amp;" UNI GY "&amp;TEXT(-G31,"0.0000")</f>
        <v>327 372 TO 375 UNI GY -0.2415</v>
      </c>
      <c r="C68" s="42" t="str">
        <f>IF(LEN($B68)&gt;79,"MÁS DE 79 CARACTERES","")</f>
        <v/>
      </c>
    </row>
    <row r="69">
      <c r="B69" s="29" t="str">
        <f>C32&amp;" UNI GY "&amp;TEXT(-G32,"0.0000")</f>
        <v>11 48 TO 51 UNI GY -0.0966</v>
      </c>
      <c r="C69" s="42" t="str">
        <f>IF(LEN($B69)&gt;79,"MÁS DE 79 CARACTERES","")</f>
        <v/>
      </c>
    </row>
    <row r="70">
      <c r="B70" s="29" t="str">
        <f>C33&amp;" UNI GY "&amp;TEXT(-G33,"0.0000")</f>
        <v>12 52 TO 55 UNI GY -0.1449</v>
      </c>
      <c r="C70" s="42" t="str">
        <f>IF(LEN($B70)&gt;79,"MÁS DE 79 CARACTERES","")</f>
        <v/>
      </c>
    </row>
    <row r="71">
      <c r="B71" s="29" t="str">
        <f>C48&amp;" UNI GY "&amp;TEXT(-G48,"0.0000")</f>
        <v>16 17 20 21 24 25 28 29 32 33 36 37 40 41 199 TO 202 205 TO 214 UNI GY -0.0702</v>
      </c>
      <c r="C71" s="42" t="str">
        <f>IF(LEN($B71)&gt;79,"MÁS DE 79 CARACTERES","")</f>
        <v/>
      </c>
    </row>
    <row r="72">
      <c r="B72" s="29" t="str">
        <f>C49&amp;" UNI GY "&amp;TEXT(-G49,"0.0000")</f>
        <v>23 27 31 43 46 149 153 155 159 161 203 UNI GY -0.0702</v>
      </c>
      <c r="C72" s="42" t="str">
        <f>IF(LEN($B72)&gt;79,"MÁS DE 79 CARACTERES","")</f>
        <v/>
      </c>
    </row>
    <row r="73">
      <c r="B73" s="29" t="str">
        <f>C50&amp;" UNI GY "&amp;TEXT(-G50,"0.0000")</f>
        <v>44 45 UNI GY -0.0518</v>
      </c>
      <c r="C73" s="42" t="str">
        <f>IF(LEN($B73)&gt;79,"MÁS DE 79 CARACTERES","")</f>
        <v/>
      </c>
    </row>
    <row r="74">
      <c r="B74" s="29" t="str">
        <f>C51&amp;" UNI GY "&amp;TEXT(-G51,"0.0000")</f>
        <v>215 216 UNI GY -0.0397</v>
      </c>
      <c r="C74" s="42" t="str">
        <f>IF(LEN($B74)&gt;79,"MÁS DE 79 CARACTERES","")</f>
        <v/>
      </c>
    </row>
    <row r="75">
      <c r="B75" s="29" t="str">
        <f>C52&amp;" UNI GY "&amp;TEXT(-G52,"0.0000")</f>
        <v>68 204 233 UNI GY -0.0351</v>
      </c>
      <c r="C75" s="42" t="str">
        <f>IF(LEN($B75)&gt;79,"MÁS DE 79 CARACTERES","")</f>
        <v/>
      </c>
    </row>
    <row r="76">
      <c r="B76" s="29" t="str">
        <f>C53&amp;" UNI GY "&amp;TEXT(-G53,"0.0000")</f>
        <v>35 157 UNI GY -0.0497</v>
      </c>
      <c r="C76" s="42" t="str">
        <f>IF(LEN($B76)&gt;79,"MÁS DE 79 CARACTERES","")</f>
        <v/>
      </c>
    </row>
    <row r="77">
      <c r="B77" s="29" t="str">
        <f>C54&amp;" UNI GY "&amp;TEXT(-G54,"0.0000")</f>
        <v>234 UNI GY -0.0205</v>
      </c>
      <c r="C77" s="42" t="str">
        <f>IF(LEN($B77)&gt;79,"MÁS DE 79 CARACTERES","")</f>
        <v/>
      </c>
    </row>
    <row r="78">
      <c r="B78" s="29" t="str">
        <f>C55&amp;" UNI GY "&amp;TEXT(-G55,"0.0000")</f>
        <v>39 UNI GY -0.0556</v>
      </c>
      <c r="C78" s="42" t="str">
        <f>IF(LEN($B78)&gt;79,"MÁS DE 79 CARACTERES","")</f>
        <v/>
      </c>
    </row>
    <row r="79">
      <c r="B79" s="29" t="str">
        <f>C56&amp;" UNI GY "&amp;TEXT(-G56,"0.0000")</f>
        <v>47 UNI GY -0.0594</v>
      </c>
      <c r="C79" s="42" t="str">
        <f>IF(LEN($B79)&gt;79,"MÁS DE 79 CARACTERES","")</f>
        <v/>
      </c>
    </row>
    <row r="80">
      <c r="B80" s="29" t="str">
        <f>C57&amp;" UNI GY "&amp;TEXT(-G57,"0.0000")</f>
        <v>11 48 TO 51 UNI GY -0.0243</v>
      </c>
      <c r="C80" s="42" t="str">
        <f>IF(LEN($B80)&gt;79,"MÁS DE 79 CARACTERES","")</f>
        <v/>
      </c>
    </row>
    <row r="81">
      <c r="B81" s="29" t="str">
        <f>C58&amp;" UNI GY "&amp;TEXT(-G58,"0.0000")</f>
        <v>241 242 269 TO 280 UNI GY -0.0167</v>
      </c>
      <c r="C81" s="42" t="str">
        <f>IF(LEN($B81)&gt;79,"MÁS DE 79 CARACTERES","")</f>
        <v/>
      </c>
    </row>
    <row r="82">
      <c r="B82" s="29" t="str">
        <f>C59&amp;" UNI GY "&amp;TEXT(-G59,"0.0000")</f>
        <v>243 TO 250 UNI GY -0.0046</v>
      </c>
      <c r="C82" s="42" t="str">
        <f>IF(LEN($B82)&gt;79,"MÁS DE 79 CARACTERES","")</f>
        <v/>
      </c>
    </row>
    <row r="83">
      <c r="B83" s="29" t="str">
        <f>C60&amp;" UNI GY "&amp;TEXT(-G60,"0.0000")</f>
        <v>234 UNI GY -0.7800</v>
      </c>
      <c r="C83" s="42" t="str">
        <f>IF(LEN($B83)&gt;79,"MÁS DE 79 CARACTERES","")</f>
        <v/>
      </c>
    </row>
    <row r="85">
      <c r="B85" s="46" t="inlineStr">
        <is>
          <t>Caso 2 — carga viva</t>
        </is>
      </c>
      <c r="C85" s="46" t="inlineStr">
        <is>
          <t>Revisión</t>
        </is>
      </c>
    </row>
    <row r="86">
      <c r="B86" s="29" t="inlineStr">
        <is>
          <t>MEMBER LOAD</t>
        </is>
      </c>
      <c r="C86" s="42" t="str">
        <f>IF(LEN($B86)&gt;79,"MÁS DE 79 CARACTERES","")</f>
        <v/>
      </c>
    </row>
    <row r="87">
      <c r="B87" s="29" t="str">
        <f>C30&amp;" UNI GY "&amp;TEXT(-F30*$C$24,"0.0000")</f>
        <v>74 121 TO 124 285 TO 287 310 TO 326 352 TO 371 UNI GY -0.3000</v>
      </c>
      <c r="C87" s="42" t="str">
        <f>IF(LEN($B87)&gt;79,"MÁS DE 79 CARACTERES","")</f>
        <v/>
      </c>
    </row>
    <row r="88">
      <c r="B88" s="29" t="str">
        <f>C31&amp;" UNI GY "&amp;TEXT(-F31*$C$24,"0.0000")</f>
        <v>327 372 TO 375 UNI GY -0.2500</v>
      </c>
      <c r="C88" s="42" t="str">
        <f>IF(LEN($B88)&gt;79,"MÁS DE 79 CARACTERES","")</f>
        <v/>
      </c>
    </row>
    <row r="89">
      <c r="B89" s="29" t="str">
        <f>C32&amp;" UNI GY "&amp;TEXT(-F32*$C$24,"0.0000")</f>
        <v>11 48 TO 51 UNI GY -0.1000</v>
      </c>
      <c r="C89" s="42" t="str">
        <f>IF(LEN($B89)&gt;79,"MÁS DE 79 CARACTERES","")</f>
        <v/>
      </c>
    </row>
    <row r="90">
      <c r="B90" s="29" t="str">
        <f>C33&amp;" UNI GY "&amp;TEXT(-F33*$C$24,"0.0000")</f>
        <v>12 52 TO 55 UNI GY -0.1500</v>
      </c>
      <c r="C90" s="42" t="str">
        <f>IF(LEN($B90)&gt;79,"MÁS DE 79 CARACTERES","")</f>
        <v/>
      </c>
    </row>
    <row r="92">
      <c r="B92" s="46" t="inlineStr">
        <is>
          <t>Caso 4 — masa del sismo (antes del SPECTRUM)</t>
        </is>
      </c>
      <c r="C92" s="46" t="inlineStr">
        <is>
          <t>Revisión</t>
        </is>
      </c>
    </row>
    <row r="93">
      <c r="B93" s="29" t="inlineStr">
        <is>
          <t>JOINT LOAD</t>
        </is>
      </c>
      <c r="C93" s="42" t="str">
        <f>IF(LEN($B93)&gt;79,"MÁS DE 79 CARACTERES","")</f>
        <v/>
      </c>
    </row>
    <row r="94">
      <c r="B94" s="29" t="str">
        <f>C39&amp;" FX "&amp;TEXT(G39,"0.00")&amp;" FZ "&amp;TEXT(G39,"0.00")</f>
        <v>7 8 FX 486.86 FZ 486.86</v>
      </c>
      <c r="C94" s="42" t="str">
        <f>IF(LEN($B94)&gt;79,"MÁS DE 79 CARACTERES","")</f>
        <v/>
      </c>
    </row>
    <row r="95">
      <c r="B95" s="29" t="str">
        <f>C40&amp;" FX "&amp;TEXT(G40,"0.00")&amp;" FZ "&amp;TEXT(G40,"0.00")</f>
        <v>75 76 FX 778.98 FZ 778.98</v>
      </c>
      <c r="C95" s="42" t="str">
        <f>IF(LEN($B95)&gt;79,"MÁS DE 79 CARACTERES","")</f>
        <v/>
      </c>
    </row>
    <row r="96">
      <c r="B96" s="29" t="str">
        <f>C41&amp;" FX "&amp;TEXT(G41,"0.00")&amp;" FZ "&amp;TEXT(G41,"0.00")</f>
        <v>9 10 FX 292.12 FZ 292.12</v>
      </c>
      <c r="C96" s="42" t="str">
        <f>IF(LEN($B96)&gt;79,"MÁS DE 79 CARACTERES","")</f>
        <v/>
      </c>
    </row>
    <row r="97">
      <c r="B97" s="29" t="inlineStr">
        <is>
          <t>MEMBER LOAD</t>
        </is>
      </c>
      <c r="C97" s="42" t="str">
        <f>IF(LEN($B97)&gt;79,"MÁS DE 79 CARACTERES","")</f>
        <v/>
      </c>
    </row>
    <row r="98">
      <c r="B98" s="29" t="str">
        <f>C48&amp;" UNI GX "&amp;TEXT(G48,"0.0000")</f>
        <v>16 17 20 21 24 25 28 29 32 33 36 37 40 41 199 TO 202 205 TO 214 UNI GX 0.0702</v>
      </c>
      <c r="C98" s="42" t="str">
        <f>IF(LEN($B98)&gt;79,"MÁS DE 79 CARACTERES","")</f>
        <v/>
      </c>
    </row>
    <row r="99">
      <c r="B99" s="29" t="str">
        <f>C49&amp;" UNI GX "&amp;TEXT(G49,"0.0000")</f>
        <v>23 27 31 43 46 149 153 155 159 161 203 UNI GX 0.0702</v>
      </c>
      <c r="C99" s="42" t="str">
        <f>IF(LEN($B99)&gt;79,"MÁS DE 79 CARACTERES","")</f>
        <v/>
      </c>
    </row>
    <row r="100">
      <c r="B100" s="29" t="str">
        <f>C50&amp;" UNI GX "&amp;TEXT(G50,"0.0000")</f>
        <v>44 45 UNI GX 0.0518</v>
      </c>
      <c r="C100" s="42" t="str">
        <f>IF(LEN($B100)&gt;79,"MÁS DE 79 CARACTERES","")</f>
        <v/>
      </c>
    </row>
    <row r="101">
      <c r="B101" s="29" t="str">
        <f>C51&amp;" UNI GX "&amp;TEXT(G51,"0.0000")</f>
        <v>215 216 UNI GX 0.0397</v>
      </c>
      <c r="C101" s="42" t="str">
        <f>IF(LEN($B101)&gt;79,"MÁS DE 79 CARACTERES","")</f>
        <v/>
      </c>
    </row>
    <row r="102">
      <c r="B102" s="29" t="str">
        <f>C52&amp;" UNI GX "&amp;TEXT(G52,"0.0000")</f>
        <v>68 204 233 UNI GX 0.0351</v>
      </c>
      <c r="C102" s="42" t="str">
        <f>IF(LEN($B102)&gt;79,"MÁS DE 79 CARACTERES","")</f>
        <v/>
      </c>
    </row>
    <row r="103">
      <c r="B103" s="29" t="str">
        <f>C53&amp;" UNI GX "&amp;TEXT(G53,"0.0000")</f>
        <v>35 157 UNI GX 0.0497</v>
      </c>
      <c r="C103" s="42" t="str">
        <f>IF(LEN($B103)&gt;79,"MÁS DE 79 CARACTERES","")</f>
        <v/>
      </c>
    </row>
    <row r="104">
      <c r="B104" s="29" t="str">
        <f>C54&amp;" UNI GX "&amp;TEXT(G54,"0.0000")</f>
        <v>234 UNI GX 0.0205</v>
      </c>
      <c r="C104" s="42" t="str">
        <f>IF(LEN($B104)&gt;79,"MÁS DE 79 CARACTERES","")</f>
        <v/>
      </c>
    </row>
    <row r="105">
      <c r="B105" s="29" t="str">
        <f>C55&amp;" UNI GX "&amp;TEXT(G55,"0.0000")</f>
        <v>39 UNI GX 0.0556</v>
      </c>
      <c r="C105" s="42" t="str">
        <f>IF(LEN($B105)&gt;79,"MÁS DE 79 CARACTERES","")</f>
        <v/>
      </c>
    </row>
    <row r="106">
      <c r="B106" s="29" t="str">
        <f>C56&amp;" UNI GX "&amp;TEXT(G56,"0.0000")</f>
        <v>47 UNI GX 0.0594</v>
      </c>
      <c r="C106" s="42" t="str">
        <f>IF(LEN($B106)&gt;79,"MÁS DE 79 CARACTERES","")</f>
        <v/>
      </c>
    </row>
    <row r="107">
      <c r="B107" s="29" t="str">
        <f>C57&amp;" UNI GX "&amp;TEXT(G57,"0.0000")</f>
        <v>11 48 TO 51 UNI GX 0.0243</v>
      </c>
      <c r="C107" s="42" t="str">
        <f>IF(LEN($B107)&gt;79,"MÁS DE 79 CARACTERES","")</f>
        <v/>
      </c>
    </row>
    <row r="108">
      <c r="B108" s="29" t="str">
        <f>C58&amp;" UNI GX "&amp;TEXT(G58,"0.0000")</f>
        <v>241 242 269 TO 280 UNI GX 0.0167</v>
      </c>
      <c r="C108" s="42" t="str">
        <f>IF(LEN($B108)&gt;79,"MÁS DE 79 CARACTERES","")</f>
        <v/>
      </c>
    </row>
    <row r="109">
      <c r="B109" s="29" t="str">
        <f>C59&amp;" UNI GX "&amp;TEXT(G59,"0.0000")</f>
        <v>243 TO 250 UNI GX 0.0046</v>
      </c>
      <c r="C109" s="42" t="str">
        <f>IF(LEN($B109)&gt;79,"MÁS DE 79 CARACTERES","")</f>
        <v/>
      </c>
    </row>
    <row r="110">
      <c r="B110" s="29" t="str">
        <f>C60&amp;" UNI GX "&amp;TEXT(G60,"0.0000")</f>
        <v>234 UNI GX 0.7800</v>
      </c>
      <c r="C110" s="42" t="str">
        <f>IF(LEN($B110)&gt;79,"MÁS DE 79 CARACTERES","")</f>
        <v/>
      </c>
    </row>
    <row r="111">
      <c r="B111" s="29" t="str">
        <f>C48&amp;" UNI GZ "&amp;TEXT(G48,"0.0000")</f>
        <v>16 17 20 21 24 25 28 29 32 33 36 37 40 41 199 TO 202 205 TO 214 UNI GZ 0.0702</v>
      </c>
      <c r="C111" s="42" t="str">
        <f>IF(LEN($B111)&gt;79,"MÁS DE 79 CARACTERES","")</f>
        <v/>
      </c>
    </row>
    <row r="112">
      <c r="B112" s="29" t="str">
        <f>C49&amp;" UNI GZ "&amp;TEXT(G49,"0.0000")</f>
        <v>23 27 31 43 46 149 153 155 159 161 203 UNI GZ 0.0702</v>
      </c>
      <c r="C112" s="42" t="str">
        <f>IF(LEN($B112)&gt;79,"MÁS DE 79 CARACTERES","")</f>
        <v/>
      </c>
    </row>
    <row r="113">
      <c r="B113" s="29" t="str">
        <f>C50&amp;" UNI GZ "&amp;TEXT(G50,"0.0000")</f>
        <v>44 45 UNI GZ 0.0518</v>
      </c>
      <c r="C113" s="42" t="str">
        <f>IF(LEN($B113)&gt;79,"MÁS DE 79 CARACTERES","")</f>
        <v/>
      </c>
    </row>
    <row r="114">
      <c r="B114" s="29" t="str">
        <f>C51&amp;" UNI GZ "&amp;TEXT(G51,"0.0000")</f>
        <v>215 216 UNI GZ 0.0397</v>
      </c>
      <c r="C114" s="42" t="str">
        <f>IF(LEN($B114)&gt;79,"MÁS DE 79 CARACTERES","")</f>
        <v/>
      </c>
    </row>
    <row r="115">
      <c r="B115" s="29" t="str">
        <f>C52&amp;" UNI GZ "&amp;TEXT(G52,"0.0000")</f>
        <v>68 204 233 UNI GZ 0.0351</v>
      </c>
      <c r="C115" s="42" t="str">
        <f>IF(LEN($B115)&gt;79,"MÁS DE 79 CARACTERES","")</f>
        <v/>
      </c>
    </row>
    <row r="116">
      <c r="B116" s="29" t="str">
        <f>C53&amp;" UNI GZ "&amp;TEXT(G53,"0.0000")</f>
        <v>35 157 UNI GZ 0.0497</v>
      </c>
      <c r="C116" s="42" t="str">
        <f>IF(LEN($B116)&gt;79,"MÁS DE 79 CARACTERES","")</f>
        <v/>
      </c>
    </row>
    <row r="117">
      <c r="B117" s="29" t="str">
        <f>C54&amp;" UNI GZ "&amp;TEXT(G54,"0.0000")</f>
        <v>234 UNI GZ 0.0205</v>
      </c>
      <c r="C117" s="42" t="str">
        <f>IF(LEN($B117)&gt;79,"MÁS DE 79 CARACTERES","")</f>
        <v/>
      </c>
    </row>
    <row r="118">
      <c r="B118" s="29" t="str">
        <f>C55&amp;" UNI GZ "&amp;TEXT(G55,"0.0000")</f>
        <v>39 UNI GZ 0.0556</v>
      </c>
      <c r="C118" s="42" t="str">
        <f>IF(LEN($B118)&gt;79,"MÁS DE 79 CARACTERES","")</f>
        <v/>
      </c>
    </row>
    <row r="119">
      <c r="B119" s="29" t="str">
        <f>C56&amp;" UNI GZ "&amp;TEXT(G56,"0.0000")</f>
        <v>47 UNI GZ 0.0594</v>
      </c>
      <c r="C119" s="42" t="str">
        <f>IF(LEN($B119)&gt;79,"MÁS DE 79 CARACTERES","")</f>
        <v/>
      </c>
    </row>
    <row r="120">
      <c r="B120" s="29" t="str">
        <f>C57&amp;" UNI GZ "&amp;TEXT(G57,"0.0000")</f>
        <v>11 48 TO 51 UNI GZ 0.0243</v>
      </c>
      <c r="C120" s="42" t="str">
        <f>IF(LEN($B120)&gt;79,"MÁS DE 79 CARACTERES","")</f>
        <v/>
      </c>
    </row>
    <row r="121">
      <c r="B121" s="29" t="str">
        <f>C58&amp;" UNI GZ "&amp;TEXT(G58,"0.0000")</f>
        <v>241 242 269 TO 280 UNI GZ 0.0167</v>
      </c>
      <c r="C121" s="42" t="str">
        <f>IF(LEN($B121)&gt;79,"MÁS DE 79 CARACTERES","")</f>
        <v/>
      </c>
    </row>
    <row r="122">
      <c r="B122" s="29" t="str">
        <f>C59&amp;" UNI GZ "&amp;TEXT(G59,"0.0000")</f>
        <v>243 TO 250 UNI GZ 0.0046</v>
      </c>
      <c r="C122" s="42" t="str">
        <f>IF(LEN($B122)&gt;79,"MÁS DE 79 CARACTERES","")</f>
        <v/>
      </c>
    </row>
    <row r="123">
      <c r="B123" s="29" t="str">
        <f>C60&amp;" UNI GZ "&amp;TEXT(G60,"0.0000")</f>
        <v>234 UNI GZ 0.7800</v>
      </c>
      <c r="C123" s="42" t="str">
        <f>IF(LEN($B123)&gt;79,"MÁS DE 79 CARACTERES","")</f>
        <v/>
      </c>
    </row>
    <row r="124">
      <c r="B124" s="29" t="inlineStr">
        <is>
          <t>SELFWEIGHT X 1</t>
        </is>
      </c>
      <c r="C124" s="42" t="str">
        <f>IF(LEN($B124)&gt;79,"MÁS DE 79 CARACTERES","")</f>
        <v/>
      </c>
    </row>
    <row r="125">
      <c r="B125" s="29" t="inlineStr">
        <is>
          <t>SELFWEIGHT Z 1</t>
        </is>
      </c>
      <c r="C125" s="42" t="str">
        <f>IF(LEN($B125)&gt;79,"MÁS DE 79 CARACTERES","")</f>
        <v/>
      </c>
    </row>
  </sheetData>
  <mergeCells count="32">
    <mergeCell ref="B1:G1"/>
    <mergeCell ref="B2:G2"/>
    <mergeCell ref="B4:G4"/>
    <mergeCell ref="E5:G5"/>
    <mergeCell ref="E6:G6"/>
    <mergeCell ref="E7:G7"/>
    <mergeCell ref="E8:G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E23:G23"/>
    <mergeCell ref="E24:G24"/>
    <mergeCell ref="E25:G25"/>
    <mergeCell ref="B27:G27"/>
    <mergeCell ref="B28:G28"/>
    <mergeCell ref="B36:G36"/>
    <mergeCell ref="B37:G37"/>
    <mergeCell ref="B45:G45"/>
    <mergeCell ref="B46:G46"/>
    <mergeCell ref="B62:G62"/>
    <mergeCell ref="B63:G6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2026-09-29T16:09:41Z</dcterms:modified>
  <dc:language>en-US</dc:language>
</cp:coreProperties>
</file>