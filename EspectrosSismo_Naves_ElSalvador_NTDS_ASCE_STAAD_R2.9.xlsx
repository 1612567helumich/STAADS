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<sst xmlns="http://schemas.openxmlformats.org/spreadsheetml/2006/main" count="1385" uniqueCount="1014">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</sst>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FF0E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s">
        <v>163</v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s">
        <v>166</v>
      </c>
      <c r="F59" s="4" t="s">
        <v>164</v>
      </c>
    </row>
    <row r="60" spans="2:6" ht="57.6" customHeight="1" x14ac:dyDescent="0.3">
      <c r="B60" s="2" t="s">
        <v>167</v>
      </c>
      <c r="C60" s="15">
        <v>17.489999999999998</v>
      </c>
      <c r="D60" s="6" t="s">
        <v>168</v>
      </c>
      <c r="E60" s="3" t="s">
        <v>876</v>
      </c>
      <c r="F60" s="4" t="s">
        <v>169</v>
      </c>
    </row>
    <row r="61" spans="2:6" ht="64.2" customHeight="1" x14ac:dyDescent="0.3">
      <c r="B61" s="2" t="s">
        <v>170</v>
      </c>
      <c r="C61" s="15">
        <v>17.489999999999998</v>
      </c>
      <c r="D61" s="6" t="s">
        <v>168</v>
      </c>
      <c r="E61" s="3" t="s">
        <v>877</v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80"/>
  <sheetViews>
    <sheetView showGridLines="0" tabSelected="1" topLeftCell="A14" zoomScaleNormal="100" workbookViewId="0">
      <selection activeCell="D23" sqref="D23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2.91444057808651</v>
      </c>
      <c r="D24" s="21">
        <f>$D$23*DATOS!$C$60</f>
        <v>3.49389675932274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8.54045028571428</v>
      </c>
      <c r="D51" s="21">
        <f>$D$50*DATOS!$C$61</f>
        <v>8.54045028571428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4.16765002666371</v>
      </c>
      <c r="D60" s="13">
        <f>$D$24*DATOS!$C$12</f>
        <v>4.99627236583152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8.54045028571428</v>
      </c>
      <c r="D61" s="13">
        <f>$D$51</f>
        <v>8.54045028571428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CAPTURA. Del .anl: TOTAL SRSS SHEAR del caso 4 (X) y del caso 5 (Z), en kg ÷ 1000.</t>
        </is>
      </c>
      <c r="G73" s="48" t="inlineStr">
        <is>
          <t>Salida de STAAD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2.87835428571429</v>
      </c>
      <c r="D74" s="13">
        <f>$D$27*DATOS!$C$60</f>
        <v>3.14450708339047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42" customHeight="1">
      <c r="B76" s="8" t="inlineStr">
        <is>
          <t>Factor para fuerzas = V mínimo / V dinámico</t>
        </is>
      </c>
      <c r="C76" s="21">
        <f>IF($C$73&gt;0,MAX(1,$C$74/$C$73),1)</f>
        <v>1.65517785262466</v>
      </c>
      <c r="D76" s="21">
        <f>IF($D$73&gt;0,MAX(1,$D$74/$D$73),1)</f>
        <v>1.15310124070057</v>
      </c>
      <c r="E76" s="6" t="inlineStr">
        <is>
          <t>×</t>
        </is>
      </c>
      <c r="F76" s="44" t="inlineStr">
        <is>
          <t>CALCULADA. 1.000 si ya pasa. Sube en la misma proporción todo lo del sismo: fuerzas, momentos, reacciones y desplazamientos.</t>
        </is>
      </c>
      <c r="G76" s="48" t="inlineStr">
        <is>
          <t>NTDS-1994 · §5.4.1 (3), pág. 12</t>
        </is>
      </c>
    </row>
    <row r="77" ht="42" customHeight="1">
      <c r="B77" s="2" t="inlineStr">
        <is>
          <t>SCALE que traes en el .STD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CAPTURA. El SCALE de los SPECTRUM de tu .STD (981 con la lista de DISEÑO en g).</t>
        </is>
      </c>
      <c r="G77" s="48" t="inlineStr">
        <is>
          <t>Archivo .STD</t>
        </is>
      </c>
    </row>
    <row r="78" ht="30" customHeight="1">
      <c r="B78" s="8" t="inlineStr">
        <is>
          <t>SCALE nuevo = SCALE × factor</t>
        </is>
      </c>
      <c r="C78" s="21">
        <f>$C$77*$C$76</f>
        <v>1623.72947342479</v>
      </c>
      <c r="D78" s="21">
        <f>$D$77*$D$76</f>
        <v>1131.19231712726</v>
      </c>
      <c r="E78" s="6" t="inlineStr">
        <is>
          <t>—</t>
        </is>
      </c>
      <c r="F78" s="44" t="inlineStr">
        <is>
          <t>CALCULADA. X va en los casos 4 y 6; Z en los casos 5 y 7.</t>
        </is>
      </c>
      <c r="G78" s="48" t="inlineStr">
        <is>
          <t>Archivo .STD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2.62299652027786</v>
      </c>
      <c r="D79" s="13">
        <f>IF(DATOS!$C$57="SÍ",0.9,1)*$D$21*DATOS!$C$60</f>
        <v>3.14450708339047</v>
      </c>
      <c r="E79" s="6" t="inlineStr">
        <is>
          <t>t</t>
        </is>
      </c>
      <c r="F79" s="44" t="inlineStr">
        <is>
          <t>CALCULADA. Para la deriva se quita el 80% del Método A y vale el T del modelo (Método B).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1.5083361243691</v>
      </c>
      <c r="D80" s="21">
        <f>IF($D$73&gt;0,MAX(1,$D$79/$D$73),1)</f>
        <v>1.15310124070057</v>
      </c>
      <c r="E80" s="6" t="inlineStr">
        <is>
          <t>×</t>
        </is>
      </c>
      <c r="F80" s="44" t="inlineStr">
        <is>
          <t>CALCULADA. Deriva = δ del modelo sin escalar × C_d × este factor.</t>
        </is>
      </c>
      <c r="G80" s="48" t="inlineStr">
        <is>
          <t>NTDS-1994 · ec. 4.11 y §4.6.2, pág. 9</t>
        </is>
      </c>
    </row>
  </sheetData>
  <mergeCells count="12"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2.91444057808651</v>
      </c>
      <c r="D9" s="21">
        <f>COEFICIENTE!$D$24</f>
        <v>3.49389675932274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28.5808986950921</v>
      </c>
      <c r="D10" s="7">
        <f>COEFICIENTE!$D$24*9.80665</f>
        <v>34.2634226548123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0.167900921703564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2.87835428571429</v>
      </c>
      <c r="D12" s="13">
        <f>COEFICIENTE!$D$27*DATOS!$C$60</f>
        <v>3.14450708339047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8.54045028571428</v>
      </c>
      <c r="D14" s="13">
        <f>COEFICIENTE!$D$51</f>
        <v>8.54045028571428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8.54045028571428</v>
      </c>
      <c r="D15" s="13">
        <f>COEFICIENTE!$D$54*DATOS!$C$61*IF(DATOS!$C$9="SÍ",COEFICIENTE!$D$64,1)</f>
        <v>8.54045028571428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2.87835428571429</v>
      </c>
      <c r="P15" s="21">
        <f>IF(STAAD!$C$17="ASCE 7-16",STAAD!$D$15,STAAD!$D$12)</f>
        <v>3.14450708339047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