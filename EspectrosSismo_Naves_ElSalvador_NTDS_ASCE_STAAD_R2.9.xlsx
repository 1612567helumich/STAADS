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<sst xmlns="http://schemas.openxmlformats.org/spreadsheetml/2006/main" count="1385" uniqueCount="1014">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</sst>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0.82299999999999995</v>
      </c>
      <c r="D58" s="6" t="s">
        <v>79</v>
      </c>
      <c r="E58" s="3" t="s">
        <v>163</v>
      </c>
      <c r="F58" s="4" t="s">
        <v>164</v>
      </c>
    </row>
    <row r="59" spans="2:6" ht="30" customHeight="1" x14ac:dyDescent="0.3">
      <c r="B59" s="2" t="s">
        <v>165</v>
      </c>
      <c r="C59" s="16">
        <v>0.627</v>
      </c>
      <c r="D59" s="6" t="s">
        <v>79</v>
      </c>
      <c r="E59" s="3" t="s">
        <v>166</v>
      </c>
      <c r="F59" s="4" t="s">
        <v>164</v>
      </c>
    </row>
    <row r="60" spans="2:6" ht="57.6" customHeight="1" x14ac:dyDescent="0.3">
      <c r="B60" s="2" t="s">
        <v>167</v>
      </c>
      <c r="C60" s="15">
        <v>17.13</v>
      </c>
      <c r="D60" s="6" t="s">
        <v>168</v>
      </c>
      <c r="E60" s="3" t="inlineStr">
        <is>
          <t>CAPTURA. 17.13 t = peso sísmico que reporta STAAD (el mismo que usa ANALISIS_CARGAS_NAVE, 17,129 kg), para que el V mínimo y el V modal salgan de la misma masa. Antes: 17.49 t por áreas tributarias (acero 11.82 + CM techo 3.12 + CM muros 2.15 + cortina 0.40).</t>
        </is>
      </c>
      <c r="F60" s="4" t="s">
        <v>169</v>
      </c>
    </row>
    <row r="61" spans="2:6" ht="64.2" customHeight="1" x14ac:dyDescent="0.3">
      <c r="B61" s="2" t="s">
        <v>170</v>
      </c>
      <c r="C61" s="15">
        <v>17.13</v>
      </c>
      <c r="D61" s="6" t="s">
        <v>168</v>
      </c>
      <c r="E61" s="3" t="inlineStr">
        <is>
          <t>CAPTURA. Igual que la NTDS: 17.13 t (fuera del AMSS sólo es referencia).</t>
        </is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0.823</v>
      </c>
      <c r="D19" s="13">
        <f>IF(DATOS!$C$59&gt;0,DATOS!$C$59,$D$18)</f>
        <v>0.627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0.823</v>
      </c>
      <c r="D20" s="13">
        <f>MIN(MAX($D$19,DATOS!$C$23),6*DATOS!$C$23)</f>
        <v>0.627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0.166634681422899</v>
      </c>
      <c r="D21" s="19">
        <f>DATOS!$C$20*DATOS!$C$25*DATOS!$C$22/$D$12*(DATOS!$C$23/$D$20)^(2/3)</f>
        <v>0.199765395044182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0.166634681422899</v>
      </c>
      <c r="D23" s="20">
        <f>IF(DATOS!$C$59&gt;0,MAX($D$21,0.8*$D$22),$D$22)</f>
        <v>0.199765395044182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2.8544520927742667</v>
      </c>
      <c r="D24" s="21">
        <f>$D$23*DATOS!$C$60</f>
        <v>3.421981217106834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0.05761</v>
      </c>
      <c r="D25" s="13">
        <f>IF($D$19&lt;=0.7,0,MIN(0.07*$D$19,0.25))</f>
        <v>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0.164571428571429</v>
      </c>
      <c r="D27" s="19">
        <f>IF(DATOS!$C$57="SÍ",MAX(0.9*$D$23,0.8*$D$22),$D$23)</f>
        <v>0.179788855539764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0.238287594434746</v>
      </c>
      <c r="D28" s="19">
        <f>$D$23*DATOS!$C$12</f>
        <v>0.28566451491318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0.64030569535447</v>
      </c>
      <c r="D45" s="13">
        <f>MAX(0.01,IF(DATOS!$C$59&gt;0,MIN(DATOS!$C$59,$D$44*$D$43),$D$43))</f>
        <v>0.627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0.599416070470916</v>
      </c>
      <c r="D47" s="19">
        <f>IF($D$45&lt;=DATOS!$C$44,DATOS!$C$41/($D$45*$D$35/DATOS!$C$46),DATOS!$C$41*DATOS!$C$44/($D$45^2*$D$35/DATOS!$C$46))</f>
        <v>0.612136401610086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8.36466057142857</v>
      </c>
      <c r="D51" s="21">
        <f>$D$50*DATOS!$C$61</f>
        <v>8.36466057142857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1.07015284767723</v>
      </c>
      <c r="D52" s="7">
        <f>IF($D$45&lt;=0.5,1,IF($D$45&gt;=2.5,2,1+($D$45-0.5)/2))</f>
        <v>1.0635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</v>
      </c>
      <c r="D55" s="7">
        <f>$D$37/DATOS!$C$46</f>
        <v>3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4.081866492667201</v>
      </c>
      <c r="D60" s="13">
        <f>$D$24*DATOS!$C$12</f>
        <v>4.893433140462772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8.36466057142857</v>
      </c>
      <c r="D61" s="13">
        <f>$D$51</f>
        <v>8.36466057142857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2.04922443849036</v>
      </c>
      <c r="D62" s="7">
        <f>IF($D$60&gt;0,$D$61/$D$60,0)</f>
        <v>1.70936443419712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1.739</v>
      </c>
      <c r="D73" s="16">
        <v>2.727</v>
      </c>
      <c r="E73" s="6" t="inlineStr">
        <is>
          <t>t</t>
        </is>
      </c>
      <c r="F73" s="44" t="inlineStr">
        <is>
          <t>CAPTURA. Del .anl: TOTAL SRSS SHEAR del caso 4 (X) y del caso 5 (Z), en kg ÷ 1000.</t>
        </is>
      </c>
      <c r="G73" s="48" t="inlineStr">
        <is>
          <t>Salida de STAAD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2.8191085714285715</v>
      </c>
      <c r="D74" s="13">
        <f>$D$27*DATOS!$C$60</f>
        <v>3.0797830953961505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1.6211090117473095</v>
      </c>
      <c r="D76" s="50">
        <f>IF($D$73&gt;0,MAX(1,$D$74/$D$73),1)</f>
        <v>1.129366738319087</v>
      </c>
      <c r="E76" s="6" t="inlineStr">
        <is>
          <t>×</t>
        </is>
      </c>
      <c r="F76" s="52" t="inlineStr">
        <is>
          <t>◀ Factor que va en la dirección del SPECTRUM.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en STAAD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Fijo: g → cm/s².</t>
        </is>
      </c>
      <c r="G77" s="48" t="inlineStr">
        <is>
          <t>Archivo .STD</t>
        </is>
      </c>
    </row>
    <row r="78" ht="30" customHeight="1">
      <c r="B78" s="8" t="inlineStr">
        <is>
          <t>Factor de dirección en SPECTRUM</t>
        </is>
      </c>
      <c r="C78" s="21">
        <f>$C$76</f>
        <v>1.6211090117473095</v>
      </c>
      <c r="D78" s="21">
        <f>$D$76</f>
        <v>1.129366738319087</v>
      </c>
      <c r="E78" s="6" t="inlineStr">
        <is>
          <t>—</t>
        </is>
      </c>
      <c r="F78" s="44" t="inlineStr">
        <is>
          <t>X: caso 4 (+), caso 6 (−). Z: caso 5 (+), caso 7 (−).</t>
        </is>
      </c>
      <c r="G78" s="48" t="inlineStr">
        <is>
          <t>Archivo .STD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2.56900688349684</v>
      </c>
      <c r="D79" s="13">
        <f>IF(DATOS!$C$57="SÍ",0.9,1)*$D$21*DATOS!$C$60</f>
        <v>3.0797830953961505</v>
      </c>
      <c r="E79" s="6" t="inlineStr">
        <is>
          <t>t</t>
        </is>
      </c>
      <c r="F79" s="44" t="inlineStr">
        <is>
          <t>CALCULADA.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1.4772897547422885</v>
      </c>
      <c r="D80" s="21">
        <f>IF($D$73&gt;0,MAX(1,$D$79/$D$73),1)</f>
        <v>1.129366738319087</v>
      </c>
      <c r="E80" s="6" t="inlineStr">
        <is>
          <t>×</t>
        </is>
      </c>
      <c r="F80" s="44" t="inlineStr">
        <is>
          <t>Deriva = δ × C_d × factor.</t>
        </is>
      </c>
      <c r="G80" s="48" t="inlineStr">
        <is>
          <t>NTDS-1994 · ec. 4.11 y §4.6.2, pág. 9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Mismo método en las dos. Valores de él en azul.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Por qué difiere</t>
        </is>
      </c>
      <c r="G84" s="45" t="inlineStr">
        <is>
          <t>De dónde sale el valor de él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17.13</v>
      </c>
      <c r="D86" s="53">
        <v>17.12906</v>
      </c>
      <c r="E86" s="6" t="inlineStr">
        <is>
          <t>t</t>
        </is>
      </c>
      <c r="F86" s="44" t="inlineStr">
        <is>
          <t>Ya igualado (peso de STAAD).</t>
        </is>
      </c>
      <c r="G86" s="48" t="inlineStr">
        <is>
          <t>ANALISIS_CARGAS_NAVE.xlsx · CARGAS Y SISMO F1 · K197 / E165</t>
        </is>
      </c>
    </row>
    <row r="87" ht="30" customHeight="1">
      <c r="B87" s="2" t="inlineStr">
        <is>
          <t>T del modelo</t>
        </is>
      </c>
      <c r="C87" s="13">
        <f>DATOS!$C$58</f>
        <v>0.823</v>
      </c>
      <c r="D87" s="53">
        <v>0.81</v>
      </c>
      <c r="E87" s="6" t="inlineStr">
        <is>
          <t>s</t>
        </is>
      </c>
      <c r="F87" s="44" t="inlineStr">
        <is>
          <t>Él redondea a 2 decimales.</t>
        </is>
      </c>
      <c r="G87" s="48" t="inlineStr">
        <is>
          <t>ANALISIS_CARGAS_NAVE.xlsx · CARGAS Y SISMO F1 · D177 (0.807 → 0.81)</t>
        </is>
      </c>
    </row>
    <row r="88" ht="30" customHeight="1">
      <c r="B88" s="2" t="inlineStr">
        <is>
          <t>C_s con el T del modelo</t>
        </is>
      </c>
      <c r="C88" s="55">
        <f>$C$21</f>
        <v>0.16663468142289942</v>
      </c>
      <c r="D88" s="54">
        <v>0.1684128685092748</v>
      </c>
      <c r="E88" s="6" t="inlineStr">
        <is>
          <t>—</t>
        </is>
      </c>
      <c r="F88" s="44" t="inlineStr">
        <is>
          <t>Misma ec. 4.2.</t>
        </is>
      </c>
      <c r="G88" s="48" t="inlineStr">
        <is>
          <t>ANALISIS_CARGAS_NAVE.xlsx · CARGAS Y SISMO F1 · J177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Igual en las dos.</t>
        </is>
      </c>
      <c r="G89" s="48" t="inlineStr">
        <is>
          <t>ANALISIS_CARGAS_NAVE.xlsx · CARGAS Y SISMO F1 · F141</t>
        </is>
      </c>
    </row>
    <row r="90" ht="30" customHeight="1">
      <c r="B90" s="2" t="inlineStr">
        <is>
          <t>C_s mínimo para escalar</t>
        </is>
      </c>
      <c r="C90" s="55">
        <f>$C$27</f>
        <v>0.1645714285714286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Mayor de 90% C_s(T) y 80% Método A.</t>
        </is>
      </c>
      <c r="G90" s="48" t="inlineStr">
        <is>
          <t>ANALISIS_CARGAS_NAVE.xlsx · CARGAS Y SISMO F1 · K207 ÷ W</t>
        </is>
      </c>
    </row>
    <row r="91" ht="30" customHeight="1">
      <c r="B91" s="2" t="inlineStr">
        <is>
          <t>V mínimo</t>
        </is>
      </c>
      <c r="C91" s="13">
        <f>$C$74</f>
        <v>2.8191085714285715</v>
      </c>
      <c r="D91" s="13">
        <f>D90*D86</f>
        <v>2.8189538742857145</v>
      </c>
      <c r="E91" s="6" t="inlineStr">
        <is>
          <t>t</t>
        </is>
      </c>
      <c r="F91" s="44" t="inlineStr">
        <is>
          <t>C_s mínimo × W.</t>
        </is>
      </c>
      <c r="G91" s="48" t="inlineStr">
        <is>
          <t>ANALISIS_CARGAS_NAVE.xlsx · CARGAS Y SISMO F1 · K211</t>
        </is>
      </c>
    </row>
    <row r="92" ht="54" customHeight="1">
      <c r="B92" s="2" t="inlineStr">
        <is>
          <t>V modal (dinámico)</t>
        </is>
      </c>
      <c r="C92" s="13">
        <f>$C$73</f>
        <v>1.739</v>
      </c>
      <c r="D92" s="53">
        <v>1.82038061</v>
      </c>
      <c r="E92" s="6" t="inlineStr">
        <is>
          <t>t</t>
        </is>
      </c>
      <c r="F92" s="44" t="inlineStr">
        <is>
          <t>Tú: STAAD (.anl). Él: a mano. Vale el de STAAD.</t>
        </is>
      </c>
      <c r="G92" s="48" t="inlineStr">
        <is>
          <t>ANALISIS_CARGAS_NAVE.xlsx · CARGAS Y SISMO F1 · K212</t>
        </is>
      </c>
    </row>
    <row r="93" ht="30" customHeight="1">
      <c r="B93" s="8" t="inlineStr">
        <is>
          <t>Factor = V mínimo / V modal</t>
        </is>
      </c>
      <c r="C93" s="21">
        <f>$C$76</f>
        <v>1.6211090117473095</v>
      </c>
      <c r="D93" s="21">
        <f>MAX(1,D91/D92)</f>
        <v>1.5485519120563005</v>
      </c>
      <c r="E93" s="6" t="inlineStr">
        <is>
          <t>×</t>
        </is>
      </c>
      <c r="F93" s="44" t="inlineStr">
        <is>
          <t>Fila 76.</t>
        </is>
      </c>
      <c r="G93" s="48" t="inlineStr">
        <is>
          <t>ANALISIS_CARGAS_NAVE.xlsx · CARGAS Y SISMO F1 · K214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17.13</v>
      </c>
      <c r="D95" s="53">
        <v>17.12906</v>
      </c>
      <c r="E95" s="6" t="inlineStr">
        <is>
          <t>t</t>
        </is>
      </c>
      <c r="F95" s="44" t="inlineStr">
        <is>
          <t>Ya igualado (peso de STAAD).</t>
        </is>
      </c>
      <c r="G95" s="48" t="inlineStr">
        <is>
          <t>ANALISIS_CARGAS_NAVE.xlsx · CARGAS Y SISMO F1 · K197 / E165</t>
        </is>
      </c>
    </row>
    <row r="96" ht="30" customHeight="1">
      <c r="B96" s="2" t="inlineStr">
        <is>
          <t>T del modelo</t>
        </is>
      </c>
      <c r="C96" s="13">
        <f>DATOS!$C$59</f>
        <v>0.627</v>
      </c>
      <c r="D96" s="53">
        <v>0.63</v>
      </c>
      <c r="E96" s="6" t="inlineStr">
        <is>
          <t>s</t>
        </is>
      </c>
      <c r="F96" s="44" t="inlineStr">
        <is>
          <t>Él redondea a 2 decimales.</t>
        </is>
      </c>
      <c r="G96" s="48" t="inlineStr">
        <is>
          <t>ANALISIS_CARGAS_NAVE.xlsx · CARGAS Y SISMO F1 · D178 (0.628 → 0.63)</t>
        </is>
      </c>
    </row>
    <row r="97" ht="30" customHeight="1">
      <c r="B97" s="2" t="inlineStr">
        <is>
          <t>C_s con el T del modelo</t>
        </is>
      </c>
      <c r="C97" s="55">
        <f>$D$21</f>
        <v>0.1997653950441818</v>
      </c>
      <c r="D97" s="54">
        <v>0.1991307148045427</v>
      </c>
      <c r="E97" s="6" t="inlineStr">
        <is>
          <t>—</t>
        </is>
      </c>
      <c r="F97" s="44" t="inlineStr">
        <is>
          <t>Misma ec. 4.2.</t>
        </is>
      </c>
      <c r="G97" s="48" t="inlineStr">
        <is>
          <t>ANALISIS_CARGAS_NAVE.xlsx · CARGAS Y SISMO F1 · J178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Igual en las dos.</t>
        </is>
      </c>
      <c r="G98" s="48" t="inlineStr">
        <is>
          <t>ANALISIS_CARGAS_NAVE.xlsx · CARGAS Y SISMO F1 · F141</t>
        </is>
      </c>
    </row>
    <row r="99" ht="30" customHeight="1">
      <c r="B99" s="2" t="inlineStr">
        <is>
          <t>C_s mínimo para escalar</t>
        </is>
      </c>
      <c r="C99" s="55">
        <f>$D$27</f>
        <v>0.17978885553976362</v>
      </c>
      <c r="D99" s="55">
        <f>MAX(0.9*D97,D98)</f>
        <v>0.17921764332408843</v>
      </c>
      <c r="E99" s="6" t="inlineStr">
        <is>
          <t>—</t>
        </is>
      </c>
      <c r="F99" s="44" t="inlineStr">
        <is>
          <t>Mayor de 90% C_s(T) y 80% Método A.</t>
        </is>
      </c>
      <c r="G99" s="48" t="inlineStr">
        <is>
          <t>ANALISIS_CARGAS_NAVE.xlsx · CARGAS Y SISMO F1 · K207 ÷ W</t>
        </is>
      </c>
    </row>
    <row r="100" ht="30" customHeight="1">
      <c r="B100" s="2" t="inlineStr">
        <is>
          <t>V mínimo</t>
        </is>
      </c>
      <c r="C100" s="13">
        <f>$D$74</f>
        <v>3.0797830953961505</v>
      </c>
      <c r="D100" s="13">
        <f>D99*D95</f>
        <v>3.0698297655569102</v>
      </c>
      <c r="E100" s="6" t="inlineStr">
        <is>
          <t>t</t>
        </is>
      </c>
      <c r="F100" s="44" t="inlineStr">
        <is>
          <t>C_s mínimo × W.</t>
        </is>
      </c>
      <c r="G100" s="48" t="inlineStr">
        <is>
          <t>ANALISIS_CARGAS_NAVE.xlsx · CARGAS Y SISMO F1 · L211</t>
        </is>
      </c>
    </row>
    <row r="101" ht="54" customHeight="1">
      <c r="B101" s="2" t="inlineStr">
        <is>
          <t>V modal (dinámico)</t>
        </is>
      </c>
      <c r="C101" s="13">
        <f>$D$73</f>
        <v>2.727</v>
      </c>
      <c r="D101" s="53">
        <v>2.72429032</v>
      </c>
      <c r="E101" s="6" t="inlineStr">
        <is>
          <t>t</t>
        </is>
      </c>
      <c r="F101" s="44" t="inlineStr">
        <is>
          <t>Tú: STAAD (.anl). Él: a mano. Vale el de STAAD.</t>
        </is>
      </c>
      <c r="G101" s="48" t="inlineStr">
        <is>
          <t>ANALISIS_CARGAS_NAVE.xlsx · CARGAS Y SISMO F1 · L212</t>
        </is>
      </c>
    </row>
    <row r="102" ht="30" customHeight="1">
      <c r="B102" s="8" t="inlineStr">
        <is>
          <t>Factor = V mínimo / V modal</t>
        </is>
      </c>
      <c r="C102" s="21">
        <f>$D$76</f>
        <v>1.129366738319087</v>
      </c>
      <c r="D102" s="21">
        <f>MAX(1,D100/D101)</f>
        <v>1.1268364986727664</v>
      </c>
      <c r="E102" s="6" t="inlineStr">
        <is>
          <t>×</t>
        </is>
      </c>
      <c r="F102" s="44" t="inlineStr">
        <is>
          <t>Fila 76.</t>
        </is>
      </c>
      <c r="G102" s="48" t="inlineStr">
        <is>
          <t>ANALISIS_CARGAS_NAVE.xlsx · CARGAS Y SISMO F1 · L214</t>
        </is>
      </c>
    </row>
    <row r="103" ht="30" customHeight="1">
      <c r="B103" s="45" t="inlineStr">
        <is>
          <t>Cómo queda en STAAD (SCALE 981)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Cómo se calcula</t>
        </is>
      </c>
      <c r="G103" s="45" t="inlineStr">
        <is>
          <t>Referencia</t>
        </is>
      </c>
    </row>
    <row r="104" ht="42" customHeight="1">
      <c r="B104" s="2" t="inlineStr">
        <is>
          <t>Factor de dirección, casos 4 y 5</t>
        </is>
      </c>
      <c r="C104" s="13">
        <f>$C$76</f>
        <v>1.6211090117473095</v>
      </c>
      <c r="D104" s="13">
        <f>$D$76</f>
        <v>1.129366738319087</v>
      </c>
      <c r="E104" s="6" t="inlineStr">
        <is>
          <t>cm/s²</t>
        </is>
      </c>
      <c r="F104" s="44" t="inlineStr">
        <is>
          <t>Positivo.</t>
        </is>
      </c>
      <c r="G104" s="48" t="inlineStr">
        <is>
          <t>—</t>
        </is>
      </c>
    </row>
    <row r="105" ht="42" customHeight="1">
      <c r="B105" s="2" t="inlineStr">
        <is>
          <t>Factor de dirección, casos 6 y 7</t>
        </is>
      </c>
      <c r="C105" s="13">
        <f>-$C$76</f>
        <v>-1.6211090117473095</v>
      </c>
      <c r="D105" s="13">
        <f>-$D$76</f>
        <v>-1.129366738319087</v>
      </c>
      <c r="E105" s="6" t="inlineStr">
        <is>
          <t>cm/s²</t>
        </is>
      </c>
      <c r="F105" s="44" t="inlineStr">
        <is>
          <t>Negativo.</t>
        </is>
      </c>
      <c r="G105" s="48" t="inlineStr">
        <is>
          <t>—</t>
        </is>
      </c>
    </row>
    <row r="106" ht="30" customHeight="1">
      <c r="B106" s="2" t="inlineStr">
        <is>
          <t>Meseta que aplica STAAD ya escalada</t>
        </is>
      </c>
      <c r="C106" s="55">
        <f>DATOS!$C$26/$C$12*$C$76</f>
        <v>0.33348528241658937</v>
      </c>
      <c r="D106" s="55">
        <f>DATOS!$C$26/$D$12*$D$76</f>
        <v>0.23232687188278361</v>
      </c>
      <c r="E106" s="6" t="inlineStr">
        <is>
          <t>g</t>
        </is>
      </c>
      <c r="F106" s="44" t="inlineStr">
        <is>
          <t>0.2057 g × factor.</t>
        </is>
      </c>
      <c r="G106" s="48" t="inlineStr">
        <is>
          <t>NTDS §5.2 y §5.4.1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2.8544520927742667</v>
      </c>
      <c r="D9" s="21">
        <f>COEFICIENTE!$D$24</f>
        <v>3.421981217106834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27.99261261560476</v>
      </c>
      <c r="D10" s="7">
        <f>COEFICIENTE!$D$24*9.80665</f>
        <v>33.558172102740734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0.16444498506472552</v>
      </c>
      <c r="D11" s="13">
        <f>COEFICIENTE!$D$25*COEFICIENTE!$D$24</f>
        <v>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2.8191085714285715</v>
      </c>
      <c r="D12" s="13">
        <f>COEFICIENTE!$D$27*DATOS!$C$60</f>
        <v>3.0797830953961505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</v>
      </c>
      <c r="D13" s="12">
        <f>COEFICIENTE!$D$13</f>
        <v>6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8.36466057142857</v>
      </c>
      <c r="D14" s="13">
        <f>COEFICIENTE!$D$51</f>
        <v>8.36466057142857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8.36466057142857</v>
      </c>
      <c r="D15" s="13">
        <f>COEFICIENTE!$D$54*DATOS!$C$61*IF(DATOS!$C$9="SÍ",COEFICIENTE!$D$64,1)</f>
        <v>8.36466057142857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</v>
      </c>
      <c r="D16" s="7">
        <f>COEFICIENTE!$D$55</f>
        <v>3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0.885315</v>
      </c>
      <c r="E50" s="3" t="s">
        <v>975</v>
      </c>
      <c r="F50" s="7">
        <f t="shared" si="0"/>
        <v>5.17909275</v>
      </c>
      <c r="G50" s="19">
        <f t="shared" si="1"/>
        <v>0.0517909275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3.965247</v>
      </c>
      <c r="G51" s="19">
        <f t="shared" si="1"/>
        <v>0.03965247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4.9725</v>
      </c>
      <c r="G53" s="19">
        <f t="shared" si="1"/>
        <v>0.049725</v>
      </c>
    </row>
    <row r="54" spans="2:7" x14ac:dyDescent="0.3">
      <c r="B54" s="2" t="s">
        <v>985</v>
      </c>
      <c r="C54" s="32" t="s">
        <v>986</v>
      </c>
      <c r="D54" s="7">
        <f>($C$21-$C$19)/2</f>
        <v>0.35</v>
      </c>
      <c r="E54" s="3" t="s">
        <v>987</v>
      </c>
      <c r="F54" s="7">
        <f t="shared" si="0"/>
        <v>2.0475</v>
      </c>
      <c r="G54" s="19">
        <f t="shared" si="1"/>
        <v>0.020475</v>
      </c>
    </row>
    <row r="55" spans="2:7" x14ac:dyDescent="0.3">
      <c r="B55" s="2" t="s">
        <v>988</v>
      </c>
      <c r="C55" s="32" t="s">
        <v>989</v>
      </c>
      <c r="D55" s="7">
        <f>$C$16/2+($C$21-$C$19)/2</f>
        <v>0.95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</v>
      </c>
      <c r="E56" s="3" t="s">
        <v>993</v>
      </c>
      <c r="F56" s="7">
        <f t="shared" si="0"/>
        <v>5.93775</v>
      </c>
      <c r="G56" s="19">
        <f t="shared" si="1"/>
        <v>0.0593775</v>
      </c>
    </row>
    <row r="57" spans="2:7" x14ac:dyDescent="0.3">
      <c r="B57" s="2" t="s">
        <v>994</v>
      </c>
      <c r="C57" s="32" t="s">
        <v>942</v>
      </c>
      <c r="D57" s="7">
        <f>($C$12-$C$17)/2</f>
        <v>0.415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0.285315</v>
      </c>
      <c r="E58" s="3" t="s">
        <v>998</v>
      </c>
      <c r="F58" s="7">
        <f t="shared" si="0"/>
        <v>1.66909275</v>
      </c>
      <c r="G58" s="19">
        <f t="shared" si="1"/>
        <v>0.0166909275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0.455247</v>
      </c>
      <c r="G59" s="19">
        <f t="shared" si="1"/>
        <v>0.00455247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392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394</v>
      </c>
      <c r="O15" s="21">
        <f>IF(STAAD!$C$17="ASCE 7-16",STAAD!$C$15,STAAD!$C$12)</f>
        <v>2.8191085714285715</v>
      </c>
      <c r="P15" s="21">
        <f>IF(STAAD!$C$17="ASCE 7-16",STAAD!$D$15,STAAD!$D$12)</f>
        <v>3.0797830953961505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1210.6936016227182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401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1325.2201912459873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1299.1064114007158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1274.2421728804854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1250.5344788969583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1227.8995911925686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1179.507779256792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1128.4036368544316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1110.8404876598445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1093.9451650651185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1062.0022813934286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1046.8844898011257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1032.2934678880272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1018.2004488108361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1004.5787824649512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