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001_GMI\007_PROYECTOS\001.1_NOSE _DOCKS_H5_H6 -RECALCULO\004_EXCEL_SUPERESTRUCTURA\"/>
    </mc:Choice>
  </mc:AlternateContent>
  <xr:revisionPtr revIDLastSave="0" documentId="13_ncr:1_{34F4597F-56D6-46DB-8E49-1F0BF2F42BA4}" xr6:coauthVersionLast="47" xr6:coauthVersionMax="47" xr10:uidLastSave="{00000000-0000-0000-0000-000000000000}"/>
  <bookViews>
    <workbookView xWindow="-108" yWindow="-108" windowWidth="23256" windowHeight="13176" activeTab="2" xr2:uid="{00000000-000D-0000-FFFF-FFFF00000000}"/>
  </bookViews>
  <sheets>
    <sheet name="REGULARIDAD" sheetId="36" r:id="rId1"/>
    <sheet name="CARGAS Y SISMO F1" sheetId="14" r:id="rId2"/>
    <sheet name="VIENTO NTDV-97" sheetId="32" r:id="rId3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<sst xmlns="http://schemas.openxmlformats.org/spreadsheetml/2006/main" count="602" uniqueCount="345">
  <si>
    <t>IRREGULARIDADES ESTRUCTURALES VERTICALES</t>
  </si>
  <si>
    <t>A.</t>
  </si>
  <si>
    <t>No se presenta</t>
  </si>
  <si>
    <t>Se trata de una bodega de un solo nivel</t>
  </si>
  <si>
    <t>B.</t>
  </si>
  <si>
    <t>C.</t>
  </si>
  <si>
    <t>D.</t>
  </si>
  <si>
    <t>El sistema resistente es a base de columnas.</t>
  </si>
  <si>
    <t>Las cuales son continuas</t>
  </si>
  <si>
    <t>E.</t>
  </si>
  <si>
    <t>IRREGULARIDADES ESTRUCTURALES EN PLANTA</t>
  </si>
  <si>
    <t>No se tiene un diafragma rigido</t>
  </si>
  <si>
    <t>No se tienen esquinas entrantes</t>
  </si>
  <si>
    <t>No se tienen recortes ni aberturas</t>
  </si>
  <si>
    <t>Existen algunas columnas fuera del plano</t>
  </si>
  <si>
    <t>Los ejes de columnas son paralelos</t>
  </si>
  <si>
    <t>y simetricos a los ejes ortogonales</t>
  </si>
  <si>
    <t xml:space="preserve">ANALISIS DE CARGAS </t>
  </si>
  <si>
    <t>PROYECTO:</t>
  </si>
  <si>
    <t>NOSE DOCK H5-H6</t>
  </si>
  <si>
    <t>CARGA MUERTA</t>
  </si>
  <si>
    <t>CUBIERTA M3D</t>
  </si>
  <si>
    <t>VOLADO BAHIAS</t>
  </si>
  <si>
    <t>MUROS</t>
  </si>
  <si>
    <t>W/m2</t>
  </si>
  <si>
    <t>Concepto</t>
  </si>
  <si>
    <t>Carga Distribuida</t>
  </si>
  <si>
    <t>kg/m2</t>
  </si>
  <si>
    <t>CM en M3D</t>
  </si>
  <si>
    <t>Panel sándwich GLAMET (Metecno) — 
panel metálico aislado con poliuretano/poliisocianurato (PUR/PIR) 1.5 in espesor.</t>
  </si>
  <si>
    <t>CM en Volados</t>
  </si>
  <si>
    <t>Instalaciones generales (iluminación datos, etc.)</t>
  </si>
  <si>
    <t>Cargas de conectores</t>
  </si>
  <si>
    <t>Cubierta tipo SSR KR-18 Acanalado, cal.24.</t>
  </si>
  <si>
    <t>Peso de canalones</t>
  </si>
  <si>
    <t>Peso de equipos puntuales</t>
  </si>
  <si>
    <t>Peso de lamina y largueros en muros</t>
  </si>
  <si>
    <t>Peso Propio</t>
  </si>
  <si>
    <t>Acabado en techo</t>
  </si>
  <si>
    <t>Peso total de elementos no estructurales</t>
  </si>
  <si>
    <t>Acabado en piso</t>
  </si>
  <si>
    <t>-</t>
  </si>
  <si>
    <t>Instalaciones</t>
  </si>
  <si>
    <t>ANALISIS DINÁMICO SEGÚN LA NORMA TECNICA DE DISEÑO POR SISMO (EL SALVADOR)</t>
  </si>
  <si>
    <t>ZONAS SISMICAS</t>
  </si>
  <si>
    <t>Zona =</t>
  </si>
  <si>
    <t>A =</t>
  </si>
  <si>
    <t>CARACTERISTICAS DEL SUELO Y COEFICIENTES DE SITIO</t>
  </si>
  <si>
    <t>Tipo de Suelo =</t>
  </si>
  <si>
    <t>S3</t>
  </si>
  <si>
    <r>
      <t>C</t>
    </r>
    <r>
      <rPr>
        <sz val="12"/>
        <color theme="1"/>
        <rFont val="Calibri"/>
        <family val="2"/>
        <scheme val="minor"/>
      </rPr>
      <t>o</t>
    </r>
    <r>
      <rPr>
        <sz val="11"/>
        <color theme="1"/>
        <rFont val="Calibri"/>
        <family val="2"/>
        <scheme val="minor"/>
      </rPr>
      <t xml:space="preserve"> =</t>
    </r>
  </si>
  <si>
    <r>
      <t>T</t>
    </r>
    <r>
      <rPr>
        <sz val="12"/>
        <color theme="1"/>
        <rFont val="Calibri"/>
        <family val="2"/>
        <scheme val="minor"/>
      </rPr>
      <t>o</t>
    </r>
    <r>
      <rPr>
        <sz val="11"/>
        <color theme="1"/>
        <rFont val="Calibri"/>
        <family val="2"/>
        <scheme val="minor"/>
      </rPr>
      <t xml:space="preserve"> =</t>
    </r>
  </si>
  <si>
    <t>CATEGORIA Y FACTOR DE IMPORTANCIA</t>
  </si>
  <si>
    <t>Categoria =</t>
  </si>
  <si>
    <t>III</t>
  </si>
  <si>
    <t>Factor de Importancia  I =</t>
  </si>
  <si>
    <t>SISTEMA ESTRUCTURAL Y FACTORES DE MODIFICACION DE RESPUESTA</t>
  </si>
  <si>
    <r>
      <t>C</t>
    </r>
    <r>
      <rPr>
        <sz val="12"/>
        <color theme="1"/>
        <rFont val="Calibri"/>
        <family val="2"/>
        <scheme val="minor"/>
      </rPr>
      <t>d</t>
    </r>
    <r>
      <rPr>
        <sz val="11"/>
        <color theme="1"/>
        <rFont val="Calibri"/>
        <family val="2"/>
        <scheme val="minor"/>
      </rPr>
      <t xml:space="preserve"> =</t>
    </r>
  </si>
  <si>
    <t>R =</t>
  </si>
  <si>
    <t>COEFICIENTE SISMICO</t>
  </si>
  <si>
    <t>Tipo de sistema:</t>
  </si>
  <si>
    <t>Marco de Acero</t>
  </si>
  <si>
    <r>
      <t>C</t>
    </r>
    <r>
      <rPr>
        <sz val="12"/>
        <color theme="1"/>
        <rFont val="Calibri"/>
        <family val="2"/>
        <scheme val="minor"/>
      </rPr>
      <t>t</t>
    </r>
    <r>
      <rPr>
        <sz val="11"/>
        <color theme="1"/>
        <rFont val="Calibri"/>
        <family val="2"/>
        <scheme val="minor"/>
      </rPr>
      <t xml:space="preserve"> =</t>
    </r>
  </si>
  <si>
    <r>
      <t>Altura media de la estructura  h</t>
    </r>
    <r>
      <rPr>
        <sz val="12"/>
        <color theme="1"/>
        <rFont val="Calibri"/>
        <family val="2"/>
        <scheme val="minor"/>
      </rPr>
      <t xml:space="preserve">n </t>
    </r>
    <r>
      <rPr>
        <sz val="11"/>
        <color theme="1"/>
        <rFont val="Calibri"/>
        <family val="2"/>
        <scheme val="minor"/>
      </rPr>
      <t>=</t>
    </r>
  </si>
  <si>
    <t>m</t>
  </si>
  <si>
    <t>Periodo aproximado  T =</t>
  </si>
  <si>
    <t>s</t>
  </si>
  <si>
    <r>
      <t>Coeficiente sismico  C</t>
    </r>
    <r>
      <rPr>
        <b/>
        <sz val="12"/>
        <color theme="1"/>
        <rFont val="Calibri"/>
        <family val="2"/>
        <scheme val="minor"/>
      </rPr>
      <t>s</t>
    </r>
    <r>
      <rPr>
        <b/>
        <sz val="11"/>
        <color theme="1"/>
        <rFont val="Calibri"/>
        <family val="2"/>
        <scheme val="minor"/>
      </rPr>
      <t xml:space="preserve"> (T aproximado)=</t>
    </r>
  </si>
  <si>
    <t>Periodo fundamental de la estructura  T =</t>
  </si>
  <si>
    <r>
      <t>Coeficiente sismico  C</t>
    </r>
    <r>
      <rPr>
        <b/>
        <sz val="12"/>
        <color theme="1"/>
        <rFont val="Calibri"/>
        <family val="2"/>
        <scheme val="minor"/>
      </rPr>
      <t>s</t>
    </r>
    <r>
      <rPr>
        <b/>
        <sz val="11"/>
        <color theme="1"/>
        <rFont val="Calibri"/>
        <family val="2"/>
        <scheme val="minor"/>
      </rPr>
      <t xml:space="preserve"> (T fundamental)=</t>
    </r>
  </si>
  <si>
    <t>80% Cs (T reglamento) =</t>
  </si>
  <si>
    <t>Cs diseño =</t>
  </si>
  <si>
    <t>ANALISIS DINAMICO MODAL ESPECTRAL</t>
  </si>
  <si>
    <t>Comprobacion del peso de la estructura para analisis sismico:</t>
  </si>
  <si>
    <t>ELEMENTO</t>
  </si>
  <si>
    <t>AREA (M2)</t>
  </si>
  <si>
    <t>CM (KG/M2)</t>
  </si>
  <si>
    <t>CVR (KG/M2)</t>
  </si>
  <si>
    <t>PESO POR SISMO (KG)</t>
  </si>
  <si>
    <t>Cubierta M3D</t>
  </si>
  <si>
    <t>Volado</t>
  </si>
  <si>
    <t>Muros lamina</t>
  </si>
  <si>
    <t>Muros block</t>
  </si>
  <si>
    <t>Peso propio</t>
  </si>
  <si>
    <t>WT sismo (teorico) =</t>
  </si>
  <si>
    <t>kg   =</t>
  </si>
  <si>
    <t>ton</t>
  </si>
  <si>
    <t>WT sismo X (programa) =</t>
  </si>
  <si>
    <t>WT sismo Z (programa) =</t>
  </si>
  <si>
    <t>Coeficiente sismico estatico (Metodo A)=</t>
  </si>
  <si>
    <t>Cs estatico =</t>
  </si>
  <si>
    <t xml:space="preserve">Cortante basal estatico X (Metodo A) = </t>
  </si>
  <si>
    <t xml:space="preserve">Vb estatico = </t>
  </si>
  <si>
    <t xml:space="preserve">Cortante basal estatico Z (Metodo A) = </t>
  </si>
  <si>
    <t>Comprobacion de la Participacion modal y cortantes basales:</t>
  </si>
  <si>
    <t>Participación</t>
  </si>
  <si>
    <t>Cortante Basal</t>
  </si>
  <si>
    <t>Modo</t>
  </si>
  <si>
    <t>f</t>
  </si>
  <si>
    <t>Tm</t>
  </si>
  <si>
    <r>
      <t>G</t>
    </r>
    <r>
      <rPr>
        <b/>
        <sz val="11"/>
        <color theme="1"/>
        <rFont val="Calibri"/>
        <family val="2"/>
        <scheme val="minor"/>
      </rPr>
      <t>x</t>
    </r>
  </si>
  <si>
    <r>
      <t>G</t>
    </r>
    <r>
      <rPr>
        <b/>
        <sz val="11"/>
        <color theme="1"/>
        <rFont val="Calibri"/>
        <family val="2"/>
        <scheme val="minor"/>
      </rPr>
      <t>y</t>
    </r>
  </si>
  <si>
    <r>
      <t>G</t>
    </r>
    <r>
      <rPr>
        <b/>
        <sz val="11"/>
        <color theme="1"/>
        <rFont val="Calibri"/>
        <family val="2"/>
        <scheme val="minor"/>
      </rPr>
      <t>z</t>
    </r>
  </si>
  <si>
    <t>Tipo</t>
  </si>
  <si>
    <t>Csm(T)</t>
  </si>
  <si>
    <t>Vbx</t>
  </si>
  <si>
    <t>Vbz</t>
  </si>
  <si>
    <t>(Hz)</t>
  </si>
  <si>
    <t>(s)</t>
  </si>
  <si>
    <t>(%)</t>
  </si>
  <si>
    <t>(g)</t>
  </si>
  <si>
    <t>(kg)</t>
  </si>
  <si>
    <t>Cortante Basal por Resistencia:</t>
  </si>
  <si>
    <t>Elastic</t>
  </si>
  <si>
    <t>Vbx =</t>
  </si>
  <si>
    <t>Vbz =</t>
  </si>
  <si>
    <t>Cortante Basal por Desplazamientos:</t>
  </si>
  <si>
    <t xml:space="preserve"> </t>
  </si>
  <si>
    <t>Horizontal</t>
  </si>
  <si>
    <t>Vertical</t>
  </si>
  <si>
    <t>Moment</t>
  </si>
  <si>
    <t>Node</t>
  </si>
  <si>
    <t>L/C</t>
  </si>
  <si>
    <t>Fx Mton</t>
  </si>
  <si>
    <t>Fy Mton</t>
  </si>
  <si>
    <t>Fz Mton</t>
  </si>
  <si>
    <t>Mx MTon-m</t>
  </si>
  <si>
    <t>My MTon-m</t>
  </si>
  <si>
    <t>Mz MTon-m</t>
  </si>
  <si>
    <t>4 SISMO X</t>
  </si>
  <si>
    <r>
      <rPr>
        <sz val="11"/>
        <color theme="1"/>
        <rFont val="Symbol"/>
        <family val="1"/>
      </rPr>
      <t>S</t>
    </r>
    <r>
      <rPr>
        <sz val="11"/>
        <color theme="1"/>
        <rFont val="Calibri"/>
        <family val="2"/>
        <scheme val="minor"/>
      </rPr>
      <t xml:space="preserve">  =</t>
    </r>
  </si>
  <si>
    <t>Combinacion Vb =</t>
  </si>
  <si>
    <t>Peso total de estructura para analisis sismico en Dir X =</t>
  </si>
  <si>
    <r>
      <t>W</t>
    </r>
    <r>
      <rPr>
        <sz val="11"/>
        <color theme="1"/>
        <rFont val="Calibri"/>
        <family val="2"/>
        <scheme val="minor"/>
      </rPr>
      <t>TX</t>
    </r>
    <r>
      <rPr>
        <sz val="11"/>
        <color theme="1"/>
        <rFont val="Calibri"/>
        <family val="2"/>
        <scheme val="minor"/>
      </rPr>
      <t xml:space="preserve"> =</t>
    </r>
  </si>
  <si>
    <t>kg</t>
  </si>
  <si>
    <t>Peso total de estructura para analisis sismico en Dir Z =</t>
  </si>
  <si>
    <r>
      <t>W</t>
    </r>
    <r>
      <rPr>
        <sz val="11"/>
        <color theme="1"/>
        <rFont val="Calibri"/>
        <family val="2"/>
        <scheme val="minor"/>
      </rPr>
      <t>TZ</t>
    </r>
    <r>
      <rPr>
        <sz val="11"/>
        <color theme="1"/>
        <rFont val="Calibri"/>
        <family val="2"/>
        <scheme val="minor"/>
      </rPr>
      <t xml:space="preserve"> =</t>
    </r>
  </si>
  <si>
    <t xml:space="preserve">Cortante basal estatico con T fundamental = </t>
  </si>
  <si>
    <t xml:space="preserve">Vb est 1 (kg) = </t>
  </si>
  <si>
    <t xml:space="preserve">90% Vb est 1 (kg) = </t>
  </si>
  <si>
    <t xml:space="preserve">Cortante basal estatico con T aproximado (metodo A) = </t>
  </si>
  <si>
    <t xml:space="preserve">Vb est 2 (kg) = </t>
  </si>
  <si>
    <t xml:space="preserve">80% Vb est 2 (kg) = </t>
  </si>
  <si>
    <t>Cortante basal estatico =</t>
  </si>
  <si>
    <t>Vb min (kg) =</t>
  </si>
  <si>
    <t>COMPROBACIÓN</t>
  </si>
  <si>
    <t>Dir X</t>
  </si>
  <si>
    <t>Dir Z</t>
  </si>
  <si>
    <t xml:space="preserve">Cortante basal estatico   Vest (ton) =  </t>
  </si>
  <si>
    <t xml:space="preserve">Cortante basal de analisis modal   Vmod (ton) =  </t>
  </si>
  <si>
    <t xml:space="preserve">Conclusion =  </t>
  </si>
  <si>
    <t>Factor de Escaleo (Vest / Vmod) *0.9 =</t>
  </si>
  <si>
    <t>Factor de Amplificacion del Cortante Basal para Revision de Desplazamientos =</t>
  </si>
  <si>
    <t>ESPECTRO DE DISEÑO</t>
  </si>
  <si>
    <t>Resumen de parametros sismicos:</t>
  </si>
  <si>
    <t>Csm</t>
  </si>
  <si>
    <t>Co =</t>
  </si>
  <si>
    <t>To =</t>
  </si>
  <si>
    <t>I =</t>
  </si>
  <si>
    <t>Cd =</t>
  </si>
  <si>
    <t>ANALISIS DE VIENTO DE ACUERDO CON LA NORMA TECNICA PARA DISEÑO POR VIENTO DE EL SALVADOR 1997</t>
  </si>
  <si>
    <t xml:space="preserve">PROYECTO:  </t>
  </si>
  <si>
    <t>CLASIFICACION DE LA ESTRUCTURA</t>
  </si>
  <si>
    <t xml:space="preserve">Clasificacion: </t>
  </si>
  <si>
    <t>Tipo 1</t>
  </si>
  <si>
    <t>DETERMINACION DE LA PRESION BASICA DE DISEÑO</t>
  </si>
  <si>
    <t xml:space="preserve">Velocidad regional maxima del viento (Según TDR) </t>
  </si>
  <si>
    <t xml:space="preserve">Vmax = </t>
  </si>
  <si>
    <t>km/h</t>
  </si>
  <si>
    <t xml:space="preserve">Factor de rafaga = </t>
  </si>
  <si>
    <t xml:space="preserve">Velocidad basica = </t>
  </si>
  <si>
    <t xml:space="preserve">Presion basica de diseño = </t>
  </si>
  <si>
    <t>FACTORES DE CORRECCION POR EXPOSICION Y ALTURA</t>
  </si>
  <si>
    <t xml:space="preserve">Zona = </t>
  </si>
  <si>
    <t xml:space="preserve">K = </t>
  </si>
  <si>
    <t xml:space="preserve">a = </t>
  </si>
  <si>
    <t xml:space="preserve">Altura del edificio   z = </t>
  </si>
  <si>
    <t xml:space="preserve">Cz = </t>
  </si>
  <si>
    <t>PRESION ESTATICA DE DISEÑO</t>
  </si>
  <si>
    <t xml:space="preserve">P = </t>
  </si>
  <si>
    <t>* Cp</t>
  </si>
  <si>
    <t>PRESION SOBRE SUPERFICIES</t>
  </si>
  <si>
    <t>Superficie</t>
  </si>
  <si>
    <t>Cp</t>
  </si>
  <si>
    <t>P (kg/m2)</t>
  </si>
  <si>
    <t>P (kg/cm2)</t>
  </si>
  <si>
    <t>Pared de barlovento</t>
  </si>
  <si>
    <t>Pared de sotavento</t>
  </si>
  <si>
    <t>Paredes laterales</t>
  </si>
  <si>
    <r>
      <t>Techo inclinado (</t>
    </r>
    <r>
      <rPr>
        <sz val="11"/>
        <color theme="1"/>
        <rFont val="Symbol"/>
        <family val="1"/>
      </rPr>
      <t>q</t>
    </r>
    <r>
      <rPr>
        <sz val="11"/>
        <color theme="1"/>
        <rFont val="Calibri"/>
        <family val="2"/>
        <scheme val="minor"/>
      </rPr>
      <t>&lt;30°)</t>
    </r>
  </si>
  <si>
    <t>PRESIONES INTERNAS</t>
  </si>
  <si>
    <t xml:space="preserve">Area de aberturas en fachada de zona de muelles = </t>
  </si>
  <si>
    <t>m2</t>
  </si>
  <si>
    <t xml:space="preserve">Area total de fachada = </t>
  </si>
  <si>
    <t xml:space="preserve">Porcentaje de aberturas = </t>
  </si>
  <si>
    <t>FACTORES DE PRESION INTERIOR (NTDV-97, 4.4) — aberturas &gt; 30% de la superficie</t>
  </si>
  <si>
    <t>Aberturas principalmente en</t>
  </si>
  <si>
    <t>Cpi</t>
  </si>
  <si>
    <t>Caso</t>
  </si>
  <si>
    <t>Eje 3 abierto</t>
  </si>
  <si>
    <t>Pi (kg/m2)</t>
  </si>
  <si>
    <t>la cara de barlovento</t>
  </si>
  <si>
    <t>Viento X</t>
  </si>
  <si>
    <t>Paralela</t>
  </si>
  <si>
    <t>la cara de sotavento</t>
  </si>
  <si>
    <t>Viento -X</t>
  </si>
  <si>
    <t>las caras paralelas al viento</t>
  </si>
  <si>
    <t>Viento Z</t>
  </si>
  <si>
    <t>Sotavento</t>
  </si>
  <si>
    <t>las cuatro caras (uniformes)</t>
  </si>
  <si>
    <t>Viento -Z</t>
  </si>
  <si>
    <t>Barlovento</t>
  </si>
  <si>
    <t>B</t>
  </si>
  <si>
    <t>CARGAS DE VIENTO PARA STAAD — ONEWAY LOAD POR GRUPOS (UNIT CM KG → kg/cm²)</t>
  </si>
  <si>
    <t>Sustituye a las tablas elemento por elemento de la versión 3.1. Las presiones se meten por grupo, como en el H2-H3.</t>
  </si>
  <si>
    <t>1) CARAS DEL EDIFICIO, GRUPOS DE STAAD Y SIGNO</t>
  </si>
  <si>
    <t>Cara</t>
  </si>
  <si>
    <t>Grupo</t>
  </si>
  <si>
    <t>Ubicación</t>
  </si>
  <si>
    <t>¿Cerrada?</t>
  </si>
  <si>
    <t>Signo de empuje (+)</t>
  </si>
  <si>
    <t>Dir. STAAD</t>
  </si>
  <si>
    <t>Muro A (Eje A)</t>
  </si>
  <si>
    <t>_OESTE</t>
  </si>
  <si>
    <t>X = 0</t>
  </si>
  <si>
    <t>SI</t>
  </si>
  <si>
    <t>GX INCLINED</t>
  </si>
  <si>
    <t>Muro B (Eje B)</t>
  </si>
  <si>
    <t>_ESTE</t>
  </si>
  <si>
    <t>X = 1008</t>
  </si>
  <si>
    <t>Muro 1 (Eje 1)</t>
  </si>
  <si>
    <t>_NORTE</t>
  </si>
  <si>
    <t>Z = 0</t>
  </si>
  <si>
    <t>GZ</t>
  </si>
  <si>
    <t>Eje 3 (muelle)</t>
  </si>
  <si>
    <t>_SUR</t>
  </si>
  <si>
    <t>Z = 1600</t>
  </si>
  <si>
    <t>NO</t>
  </si>
  <si>
    <t>Cubierta</t>
  </si>
  <si>
    <t>_CUBIERTA</t>
  </si>
  <si>
    <t>Techo</t>
  </si>
  <si>
    <t>GY INCLINED</t>
  </si>
  <si>
    <t>Signo: + = empuje (hacia adentro del edificio), − = succión (hacia afuera). Valor STAAD = p × signo ÷ 10 000 (kg/m² → kg/cm²), redondeado hacia arriba a 0.0001.</t>
  </si>
  <si>
    <t>El Eje 3 no tiene cerramiento (100 % abierto, ver G90): no se carga y por eso siempre hay presión interior. Si una cara se cierra o se abre, cambia solo el SI/NO.</t>
  </si>
  <si>
    <t>2) PRESIÓN EXTERIOR (Cpe) — LOAD 8 A 11 (puertas cerradas)</t>
  </si>
  <si>
    <t>LOAD 8 LOADTYPE Wind  TITLE VIENTO X</t>
  </si>
  <si>
    <t>Condición</t>
  </si>
  <si>
    <t>Cpe</t>
  </si>
  <si>
    <t>p ext. (kg/m²)</t>
  </si>
  <si>
    <t>STAAD (kg/cm²)</t>
  </si>
  <si>
    <t>Dir.</t>
  </si>
  <si>
    <t>Línea para STAAD (bajo ONEWAY LOAD)</t>
  </si>
  <si>
    <t>Lateral</t>
  </si>
  <si>
    <t>LOAD 9 LOADTYPE Wind  TITLE VIENTO -X</t>
  </si>
  <si>
    <t>LOAD 10 LOADTYPE Wind  TITLE VIENTO Z</t>
  </si>
  <si>
    <t>LOAD 11 LOADTYPE Wind  TITLE VIENTO -Z</t>
  </si>
  <si>
    <t>3) PRESIÓN INTERIOR (Cpi) — LOAD 12 A 15 (puertas abiertas, PA)</t>
  </si>
  <si>
    <t>Va con el mismo valor en TODAS las caras cerradas (muros y cubierta), con el Cpi de la tabla de arriba (H95:H98). Cpi + empuja hacia afuera; Cpi − jala hacia adentro.</t>
  </si>
  <si>
    <t>Este caso solo trae la presión interior: en la combinación PA siempre va junto con su caso exterior (8+12, 9+13, 10+14, 11+15).</t>
  </si>
  <si>
    <t>LOAD 12 LOADTYPE Wind  TITLE VIENTO X PA</t>
  </si>
  <si>
    <t>p int. sobre la cara (kg/m²)</t>
  </si>
  <si>
    <t>Interior</t>
  </si>
  <si>
    <t>LOAD 13 LOADTYPE Wind  TITLE VIENTO -X PA</t>
  </si>
  <si>
    <t>LOAD 14 LOADTYPE Wind  TITLE VIENTO Z PA</t>
  </si>
  <si>
    <t>LOAD 15 LOADTYPE Wind  TITLE VIENTO -Z PA</t>
  </si>
  <si>
    <t>4) REVISIÓN: PRESIÓN NETA = EXTERIOR + INTERIOR = q·(Cpe − Cpi)  (lo que suma cada combinación PA)</t>
  </si>
  <si>
    <t>VIENTO X (8+12)</t>
  </si>
  <si>
    <t>VIENTO -X (9+13)</t>
  </si>
  <si>
    <t>VIENTO Z (10+14)</t>
  </si>
  <si>
    <t>VIENTO -Z (11+15)</t>
  </si>
  <si>
    <t>p neta (kg/m²)</t>
  </si>
  <si>
    <t>Si prefieres un solo caso por dirección, estos netos son los que meterías; con casos separados (exterior e interior) tienes las dos condiciones: cerradas y abiertas.</t>
  </si>
  <si>
    <t>5) COMBINACIONES QUE FALTAN — PUERTAS ABIERTAS (factores iguales a los de 24-27 y 50-57)</t>
  </si>
  <si>
    <t>El exterior y el interior llevan el MISMO factor. Números libres en el modelo H5-H6: 28-31 y 58-65.</t>
  </si>
  <si>
    <t>LOAD COMB</t>
  </si>
  <si>
    <t>Casos y factores</t>
  </si>
  <si>
    <t>LOAD COMB 28 CM+VX(PA)</t>
  </si>
  <si>
    <t>1 1.0 8 1.0 12 1.0</t>
  </si>
  <si>
    <t>LOAD COMB 29 CM-VX(PA)</t>
  </si>
  <si>
    <t>1 1.0 9 1.0 13 1.0</t>
  </si>
  <si>
    <t>LOAD COMB 30 CM+VZ(PA)</t>
  </si>
  <si>
    <t>1 1.0 10 1.0 14 1.0</t>
  </si>
  <si>
    <t>LOAD COMB 31 CM-VZ(PA)</t>
  </si>
  <si>
    <t>1 1.0 11 1.0 15 1.0</t>
  </si>
  <si>
    <t>LOAD COMB 58 1.05CM+1.2762VX(PA)+1.275CVR</t>
  </si>
  <si>
    <t>1 1.05 8 1.276 12 1.276 3 1.275</t>
  </si>
  <si>
    <t>LOAD COMB 59 0.9CM+1.3013VX(PA)</t>
  </si>
  <si>
    <t>1 0.9 8 1.3013 12 1.3013</t>
  </si>
  <si>
    <t>LOAD COMB 60 1.05CM+1.2762V-X(PA)+1.275CVR</t>
  </si>
  <si>
    <t>1 1.05 9 1.276 13 1.276 3 1.275</t>
  </si>
  <si>
    <t>LOAD COMB 61 0.9CM+1.3013V-X(PA)</t>
  </si>
  <si>
    <t>1 0.9 9 1.3013 13 1.3013</t>
  </si>
  <si>
    <t>LOAD COMB 62 1.05CM+1.2762VZ(PA)+1.275CVR</t>
  </si>
  <si>
    <t>1 1.05 10 1.276 14 1.276 3 1.275</t>
  </si>
  <si>
    <t>LOAD COMB 63 0.9CM+1.3013VZ(PA)</t>
  </si>
  <si>
    <t>1 0.9 10 1.3013 14 1.3013</t>
  </si>
  <si>
    <t>LOAD COMB 64 1.05CM+1.2762V-Z(PA)+1.275CVR</t>
  </si>
  <si>
    <t>1 1.05 11 1.276 15 1.276 3 1.275</t>
  </si>
  <si>
    <t>LOAD COMB 65 0.9CM+1.3013V-Z(PA)</t>
  </si>
  <si>
    <t>1 0.9 11 1.3013 15 1.3013</t>
  </si>
  <si>
    <t>Agregar 12 TO 15, 28 TO 31 y 58 TO 65 a los LOAD LIST de reportes y de diseño.</t>
  </si>
  <si>
    <t>3) PUERTAS ABIERTAS (PA) — LOAD 12 A 15 = Cpe + Cpi (presión neta)</t>
  </si>
  <si>
    <t>p neta = q·(Cpe − Cpi) en cada cara cerrada: Cpe de la sección 2 y Cpi de la tabla H95:H98 (NTDV-97, 4.4). Cpi + empuja hacia afuera; Cpi − jala hacia adentro.</t>
  </si>
  <si>
    <t>El caso PA ya trae exterior + interior, así que en su combinación va SOLO (12, 13, 14 o 15), sin sumarle su caso 8 a 11.</t>
  </si>
  <si>
    <t>p neta = q(Cpe − Cpi) (kg/m²)</t>
  </si>
  <si>
    <t>4) REVISIÓN: p neta calculada aparte = p ext. (sección 2) − q·Cpi → el valor STAAD debe salir igual que en la sección 3</t>
  </si>
  <si>
    <t>VIENTO X PA (12)</t>
  </si>
  <si>
    <t>VIENTO -X PA (13)</t>
  </si>
  <si>
    <t>VIENTO Z PA (14)</t>
  </si>
  <si>
    <t>VIENTO -Z PA (15)</t>
  </si>
  <si>
    <t>Si algún valor STAAD de esta tabla no coincide con el de la sección 3, revisa los Cpe y Cpi.</t>
  </si>
  <si>
    <t>5) COMBINACIONES — PUERTAS ABIERTAS (factores iguales a los de 24-27 y 50-57)</t>
  </si>
  <si>
    <t>El caso PA ya trae Cpe + Cpi: entra SOLO, sin su caso 8 a 11 (si no, el exterior se suma dos veces). Así quedaron en el modelo.</t>
  </si>
  <si>
    <t>1 1.0 12 1.0</t>
  </si>
  <si>
    <t>1 1.0 13 1.0</t>
  </si>
  <si>
    <t>1 1.0 14 1.0</t>
  </si>
  <si>
    <t>1 1.0 15 1.0</t>
  </si>
  <si>
    <t>1 1.05 12 1.276 3 1.275</t>
  </si>
  <si>
    <t>1 0.9 12 1.3013</t>
  </si>
  <si>
    <t>1 1.05 13 1.276 3 1.275</t>
  </si>
  <si>
    <t>1 0.9 13 1.3013</t>
  </si>
  <si>
    <t>1 1.05 14 1.276 3 1.275</t>
  </si>
  <si>
    <t>1 0.9 14 1.3013</t>
  </si>
  <si>
    <t>1 1.05 15 1.276 3 1.275</t>
  </si>
  <si>
    <t>1 0.9 15 1.3013</t>
  </si>
  <si>
    <t>12 TO 15, 28 TO 31 y 58 TO 65 ya entran en los LOAD LIST del modelo (1 3 TO 66 en reacciones y 33 TO 66 en diseño).</t>
  </si>
  <si>
    <t>6) REVISIÓN CONTRA STAAD — SUMA DE CARGAS DE VIENTO POR CASO</t>
  </si>
  <si>
    <t>Compárala con «TOTAL APPLIED LOAD ( KG CM ) SUMMARY» de cada caso en la salida de STAAD (.ANL); las reacciones salen con signo contrario.</t>
  </si>
  <si>
    <t>Áreas = tableros que STAAD arma con cada grupo (nodos del modelo): arrancan en el larguero de 0.60 m y no entran los huecos de la cortina ni de la puerta.</t>
  </si>
  <si>
    <t>Área (m²)</t>
  </si>
  <si>
    <t>16.00 × (altura prom. 10.025 − 0.60)</t>
  </si>
  <si>
    <t>Muro A − puerta 1.302 × (2.30 − 0.60)</t>
  </si>
  <si>
    <t>10.08 × (10.428 − 0.60) − cortina 5.10 × (6.60 − 0.60)</t>
  </si>
  <si>
    <t>10.08 × √(16.00² + 0.805²)  (largo inclinado)</t>
  </si>
  <si>
    <t>ΣFx (kg)</t>
  </si>
  <si>
    <t>ΣFy (kg)</t>
  </si>
  <si>
    <t>ΣFz (kg)</t>
  </si>
  <si>
    <t>LOAD 8 — VIENTO X</t>
  </si>
  <si>
    <t>LOAD 9 — VIENTO -X</t>
  </si>
  <si>
    <t>LOAD 10 — VIENTO Z</t>
  </si>
  <si>
    <t>LOAD 11 — VIENTO -Z</t>
  </si>
  <si>
    <t>LOAD 12 — VIENTO X PA</t>
  </si>
  <si>
    <t>LOAD 13 — VIENTO -X PA</t>
  </si>
  <si>
    <t>LOAD 14 — VIENTO Z PA</t>
  </si>
  <si>
    <t>LOAD 15 — VIENTO -Z 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</si>
</sst>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0.0"/>
    <numFmt numFmtId="165" formatCode="0.000"/>
    <numFmt numFmtId="166" formatCode="0.0000"/>
    <numFmt numFmtId="167" formatCode="0.0%"/>
    <numFmt numFmtId="168" formatCode="0.00000"/>
  </numFmts>
  <fonts count="20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</font>
    <font>
      <b/>
      <sz val="16"/>
      <color theme="1"/>
      <name val="Calibri"/>
    </font>
    <font>
      <sz val="11"/>
      <name val="Calibri"/>
    </font>
    <font>
      <sz val="11"/>
      <color theme="9" tint="-0.249977111117893"/>
      <name val="Calibri"/>
    </font>
    <font>
      <b/>
      <sz val="14"/>
      <color theme="1"/>
      <name val="Calibri"/>
    </font>
    <font>
      <sz val="11"/>
      <color theme="1"/>
      <name val="Calibri"/>
    </font>
    <font>
      <b/>
      <sz val="12"/>
      <color theme="1"/>
      <name val="Calibri"/>
    </font>
    <font>
      <sz val="11"/>
      <color theme="1"/>
      <name val="Calibri"/>
    </font>
    <font>
      <b/>
      <sz val="11"/>
      <color theme="1"/>
      <name val="Symbol"/>
    </font>
    <font>
      <sz val="11"/>
      <color theme="1"/>
      <name val="Calibri"/>
    </font>
    <font>
      <sz val="11"/>
      <color rgb="FFC00000"/>
      <name val="Calibri"/>
    </font>
    <font>
      <b/>
      <sz val="11"/>
      <color theme="3" tint="0.39997558519241921"/>
      <name val="Calibri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Symbol"/>
      <family val="1"/>
    </font>
    <font>
      <sz val="10"/>
      <color theme="1"/>
      <name val="Consolas"/>
      <family val="3"/>
    </font>
    <font>
      <i/>
      <sz val="10"/>
      <color rgb="FF595959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theme="6" tint="0.39997558519241921"/>
        <bgColor indexed="65"/>
      </patternFill>
    </fill>
    <fill>
      <patternFill patternType="solid">
        <fgColor theme="3" tint="0.79995117038483843"/>
        <bgColor indexed="65"/>
      </patternFill>
    </fill>
    <fill>
      <patternFill patternType="solid">
        <fgColor theme="6" tint="0.59996337778862885"/>
        <bgColor indexed="65"/>
      </patternFill>
    </fill>
    <fill>
      <patternFill patternType="solid">
        <fgColor rgb="FFFFFF99"/>
      </patternFill>
    </fill>
    <fill>
      <patternFill patternType="solid">
        <fgColor theme="4" tint="0.59996337778862885"/>
        <bgColor indexed="65"/>
      </patternFill>
    </fill>
    <fill>
      <patternFill patternType="solid">
        <fgColor theme="1" tint="0.49995422223578601"/>
        <bgColor indexed="65"/>
      </patternFill>
    </fill>
    <fill>
      <patternFill patternType="solid">
        <fgColor theme="0" tint="-0.14999847407452621"/>
        <bgColor indexed="65"/>
      </patternFill>
    </fill>
    <fill>
      <patternFill patternType="solid">
        <fgColor theme="9" tint="0.59996337778862885"/>
        <bgColor indexed="65"/>
      </patternFill>
    </fill>
    <fill>
      <patternFill patternType="solid">
        <fgColor rgb="FFFF0000"/>
      </patternFill>
    </fill>
  </fills>
  <borders count="4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</cellStyleXfs>
  <cellXfs count="151">
    <xf numFmtId="0" fontId="0" fillId="0" borderId="0" xfId="0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0" fontId="0" fillId="0" borderId="1" xfId="0" applyBorder="1"/>
    <xf numFmtId="0" fontId="0" fillId="0" borderId="2" xfId="0" applyBorder="1"/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/>
    <xf numFmtId="0" fontId="6" fillId="0" borderId="0" xfId="0" applyFont="1"/>
    <xf numFmtId="0" fontId="0" fillId="0" borderId="0" xfId="0" applyAlignment="1">
      <alignment horizontal="right"/>
    </xf>
    <xf numFmtId="0" fontId="0" fillId="0" borderId="4" xfId="0" applyBorder="1"/>
    <xf numFmtId="0" fontId="2" fillId="0" borderId="9" xfId="0" applyFont="1" applyBorder="1" applyAlignment="1">
      <alignment horizontal="center"/>
    </xf>
    <xf numFmtId="0" fontId="0" fillId="0" borderId="5" xfId="0" applyBorder="1"/>
    <xf numFmtId="0" fontId="0" fillId="0" borderId="3" xfId="0" applyBorder="1"/>
    <xf numFmtId="0" fontId="2" fillId="0" borderId="0" xfId="0" applyFont="1" applyAlignment="1">
      <alignment horizontal="right"/>
    </xf>
    <xf numFmtId="0" fontId="0" fillId="0" borderId="7" xfId="0" applyBorder="1"/>
    <xf numFmtId="0" fontId="0" fillId="0" borderId="17" xfId="0" applyBorder="1"/>
    <xf numFmtId="0" fontId="5" fillId="0" borderId="9" xfId="0" applyFont="1" applyBorder="1" applyAlignment="1">
      <alignment horizontal="center"/>
    </xf>
    <xf numFmtId="0" fontId="0" fillId="0" borderId="14" xfId="0" applyBorder="1"/>
    <xf numFmtId="0" fontId="5" fillId="0" borderId="1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17" xfId="0" applyFont="1" applyBorder="1" applyAlignment="1">
      <alignment horizontal="left"/>
    </xf>
    <xf numFmtId="0" fontId="2" fillId="0" borderId="0" xfId="0" applyFont="1" applyAlignment="1">
      <alignment horizontal="left"/>
    </xf>
    <xf numFmtId="2" fontId="0" fillId="0" borderId="0" xfId="0" applyNumberFormat="1"/>
    <xf numFmtId="0" fontId="2" fillId="0" borderId="7" xfId="0" applyFont="1" applyBorder="1" applyAlignment="1">
      <alignment horizontal="center" vertical="center"/>
    </xf>
    <xf numFmtId="2" fontId="5" fillId="0" borderId="16" xfId="0" applyNumberFormat="1" applyFont="1" applyBorder="1"/>
    <xf numFmtId="2" fontId="0" fillId="0" borderId="17" xfId="0" applyNumberFormat="1" applyBorder="1"/>
    <xf numFmtId="1" fontId="0" fillId="3" borderId="7" xfId="0" applyNumberFormat="1" applyFill="1" applyBorder="1"/>
    <xf numFmtId="165" fontId="0" fillId="0" borderId="17" xfId="0" applyNumberFormat="1" applyBorder="1"/>
    <xf numFmtId="1" fontId="0" fillId="0" borderId="16" xfId="0" applyNumberFormat="1" applyBorder="1"/>
    <xf numFmtId="0" fontId="5" fillId="0" borderId="19" xfId="0" applyFont="1" applyBorder="1"/>
    <xf numFmtId="1" fontId="0" fillId="0" borderId="18" xfId="0" applyNumberFormat="1" applyBorder="1"/>
    <xf numFmtId="0" fontId="0" fillId="5" borderId="7" xfId="0" applyFill="1" applyBorder="1" applyAlignment="1">
      <alignment horizontal="right"/>
    </xf>
    <xf numFmtId="0" fontId="0" fillId="5" borderId="7" xfId="0" applyFill="1" applyBorder="1"/>
    <xf numFmtId="165" fontId="4" fillId="3" borderId="7" xfId="0" applyNumberFormat="1" applyFont="1" applyFill="1" applyBorder="1"/>
    <xf numFmtId="0" fontId="11" fillId="0" borderId="0" xfId="0" applyFont="1"/>
    <xf numFmtId="0" fontId="0" fillId="7" borderId="0" xfId="0" applyFill="1"/>
    <xf numFmtId="0" fontId="0" fillId="3" borderId="7" xfId="0" applyFill="1" applyBorder="1"/>
    <xf numFmtId="0" fontId="0" fillId="0" borderId="11" xfId="0" applyBorder="1"/>
    <xf numFmtId="0" fontId="0" fillId="0" borderId="12" xfId="0" applyBorder="1"/>
    <xf numFmtId="0" fontId="0" fillId="5" borderId="7" xfId="0" applyFill="1" applyBorder="1" applyAlignment="1">
      <alignment horizontal="center"/>
    </xf>
    <xf numFmtId="1" fontId="0" fillId="6" borderId="7" xfId="2" applyNumberFormat="1" applyFont="1" applyFill="1" applyBorder="1"/>
    <xf numFmtId="0" fontId="3" fillId="0" borderId="10" xfId="0" applyFont="1" applyBorder="1"/>
    <xf numFmtId="0" fontId="8" fillId="0" borderId="0" xfId="0" applyFont="1"/>
    <xf numFmtId="2" fontId="0" fillId="0" borderId="7" xfId="0" applyNumberFormat="1" applyBorder="1"/>
    <xf numFmtId="0" fontId="2" fillId="0" borderId="25" xfId="0" applyFont="1" applyBorder="1" applyAlignment="1">
      <alignment horizontal="center"/>
    </xf>
    <xf numFmtId="0" fontId="0" fillId="0" borderId="32" xfId="0" applyBorder="1"/>
    <xf numFmtId="0" fontId="0" fillId="0" borderId="33" xfId="0" applyBorder="1"/>
    <xf numFmtId="2" fontId="2" fillId="3" borderId="7" xfId="0" applyNumberFormat="1" applyFont="1" applyFill="1" applyBorder="1"/>
    <xf numFmtId="165" fontId="2" fillId="9" borderId="7" xfId="0" applyNumberFormat="1" applyFont="1" applyFill="1" applyBorder="1"/>
    <xf numFmtId="165" fontId="0" fillId="0" borderId="0" xfId="0" applyNumberFormat="1"/>
    <xf numFmtId="165" fontId="2" fillId="10" borderId="7" xfId="0" applyNumberFormat="1" applyFont="1" applyFill="1" applyBorder="1"/>
    <xf numFmtId="164" fontId="2" fillId="0" borderId="0" xfId="0" applyNumberFormat="1" applyFont="1"/>
    <xf numFmtId="0" fontId="2" fillId="0" borderId="34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10" fillId="0" borderId="34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16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165" fontId="0" fillId="3" borderId="7" xfId="0" applyNumberFormat="1" applyFill="1" applyBorder="1"/>
    <xf numFmtId="0" fontId="2" fillId="0" borderId="0" xfId="0" applyFont="1" applyAlignment="1">
      <alignment horizontal="center" vertical="center" wrapText="1"/>
    </xf>
    <xf numFmtId="165" fontId="5" fillId="0" borderId="16" xfId="0" applyNumberFormat="1" applyFont="1" applyBorder="1"/>
    <xf numFmtId="165" fontId="2" fillId="0" borderId="0" xfId="0" applyNumberFormat="1" applyFont="1"/>
    <xf numFmtId="0" fontId="5" fillId="0" borderId="7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8" fillId="0" borderId="0" xfId="0" applyFont="1" applyAlignment="1">
      <alignment horizontal="right"/>
    </xf>
    <xf numFmtId="2" fontId="0" fillId="3" borderId="7" xfId="0" applyNumberFormat="1" applyFill="1" applyBorder="1"/>
    <xf numFmtId="2" fontId="2" fillId="4" borderId="7" xfId="0" applyNumberFormat="1" applyFont="1" applyFill="1" applyBorder="1"/>
    <xf numFmtId="0" fontId="2" fillId="0" borderId="3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0" fillId="0" borderId="7" xfId="0" applyBorder="1" applyAlignment="1">
      <alignment horizontal="right"/>
    </xf>
    <xf numFmtId="2" fontId="0" fillId="0" borderId="7" xfId="0" applyNumberFormat="1" applyBorder="1" applyAlignment="1">
      <alignment horizontal="right"/>
    </xf>
    <xf numFmtId="167" fontId="2" fillId="3" borderId="7" xfId="3" applyNumberFormat="1" applyFont="1" applyFill="1" applyBorder="1" applyAlignment="1">
      <alignment horizontal="right"/>
    </xf>
    <xf numFmtId="0" fontId="2" fillId="0" borderId="7" xfId="0" applyFont="1" applyBorder="1" applyAlignment="1">
      <alignment horizontal="center" vertical="center" wrapText="1"/>
    </xf>
    <xf numFmtId="0" fontId="13" fillId="0" borderId="0" xfId="0" applyFont="1"/>
    <xf numFmtId="166" fontId="0" fillId="0" borderId="7" xfId="0" applyNumberFormat="1" applyBorder="1" applyAlignment="1">
      <alignment horizontal="right"/>
    </xf>
    <xf numFmtId="0" fontId="2" fillId="8" borderId="1" xfId="0" applyFont="1" applyFill="1" applyBorder="1"/>
    <xf numFmtId="0" fontId="0" fillId="8" borderId="1" xfId="0" applyFill="1" applyBorder="1"/>
    <xf numFmtId="1" fontId="2" fillId="5" borderId="7" xfId="0" applyNumberFormat="1" applyFont="1" applyFill="1" applyBorder="1"/>
    <xf numFmtId="0" fontId="0" fillId="8" borderId="11" xfId="0" applyFill="1" applyBorder="1"/>
    <xf numFmtId="0" fontId="0" fillId="8" borderId="12" xfId="0" applyFill="1" applyBorder="1"/>
    <xf numFmtId="0" fontId="8" fillId="8" borderId="10" xfId="0" applyFont="1" applyFill="1" applyBorder="1" applyAlignment="1">
      <alignment vertical="center"/>
    </xf>
    <xf numFmtId="165" fontId="2" fillId="3" borderId="7" xfId="0" applyNumberFormat="1" applyFont="1" applyFill="1" applyBorder="1"/>
    <xf numFmtId="0" fontId="2" fillId="0" borderId="12" xfId="0" applyFont="1" applyBorder="1" applyAlignment="1">
      <alignment horizontal="center"/>
    </xf>
    <xf numFmtId="0" fontId="0" fillId="0" borderId="28" xfId="0" applyBorder="1"/>
    <xf numFmtId="0" fontId="0" fillId="0" borderId="24" xfId="0" applyBorder="1"/>
    <xf numFmtId="0" fontId="2" fillId="0" borderId="22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37" xfId="0" applyFont="1" applyBorder="1" applyAlignment="1">
      <alignment horizontal="center"/>
    </xf>
    <xf numFmtId="0" fontId="2" fillId="0" borderId="29" xfId="0" applyFont="1" applyBorder="1"/>
    <xf numFmtId="0" fontId="2" fillId="0" borderId="38" xfId="0" applyFont="1" applyBorder="1" applyAlignment="1">
      <alignment horizontal="center"/>
    </xf>
    <xf numFmtId="0" fontId="2" fillId="0" borderId="30" xfId="0" applyFont="1" applyBorder="1"/>
    <xf numFmtId="0" fontId="2" fillId="0" borderId="39" xfId="0" applyFont="1" applyBorder="1" applyAlignment="1">
      <alignment horizontal="center"/>
    </xf>
    <xf numFmtId="0" fontId="2" fillId="0" borderId="40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37" xfId="0" applyFont="1" applyBorder="1" applyAlignment="1">
      <alignment horizontal="center"/>
    </xf>
    <xf numFmtId="0" fontId="5" fillId="0" borderId="42" xfId="0" applyFont="1" applyBorder="1" applyAlignment="1">
      <alignment horizontal="center"/>
    </xf>
    <xf numFmtId="0" fontId="0" fillId="0" borderId="29" xfId="0" applyBorder="1"/>
    <xf numFmtId="0" fontId="5" fillId="0" borderId="38" xfId="0" applyFont="1" applyBorder="1" applyAlignment="1">
      <alignment horizontal="center"/>
    </xf>
    <xf numFmtId="0" fontId="0" fillId="0" borderId="43" xfId="0" applyBorder="1"/>
    <xf numFmtId="0" fontId="5" fillId="0" borderId="23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0" fontId="5" fillId="0" borderId="44" xfId="0" applyFont="1" applyBorder="1" applyAlignment="1">
      <alignment horizontal="center"/>
    </xf>
    <xf numFmtId="0" fontId="2" fillId="0" borderId="10" xfId="0" applyFont="1" applyBorder="1"/>
    <xf numFmtId="0" fontId="2" fillId="0" borderId="8" xfId="0" applyFont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0" fillId="0" borderId="10" xfId="0" applyBorder="1" applyAlignment="1">
      <alignment vertical="center"/>
    </xf>
    <xf numFmtId="0" fontId="0" fillId="0" borderId="11" xfId="0" applyBorder="1" applyAlignment="1">
      <alignment vertical="center"/>
    </xf>
    <xf numFmtId="0" fontId="0" fillId="0" borderId="12" xfId="0" applyBorder="1" applyAlignment="1">
      <alignment vertical="center"/>
    </xf>
    <xf numFmtId="0" fontId="9" fillId="0" borderId="20" xfId="0" applyFont="1" applyBorder="1" applyAlignment="1">
      <alignment horizontal="right" vertical="center"/>
    </xf>
    <xf numFmtId="0" fontId="0" fillId="0" borderId="8" xfId="0" applyBorder="1" applyAlignment="1">
      <alignment vertical="center"/>
    </xf>
    <xf numFmtId="2" fontId="2" fillId="3" borderId="8" xfId="0" applyNumberFormat="1" applyFont="1" applyFill="1" applyBorder="1" applyAlignment="1">
      <alignment vertical="center"/>
    </xf>
    <xf numFmtId="1" fontId="2" fillId="2" borderId="8" xfId="0" applyNumberFormat="1" applyFont="1" applyFill="1" applyBorder="1" applyAlignment="1">
      <alignment vertical="center"/>
    </xf>
    <xf numFmtId="0" fontId="0" fillId="0" borderId="0" xfId="0" applyAlignment="1">
      <alignment wrapText="1"/>
    </xf>
    <xf numFmtId="2" fontId="0" fillId="6" borderId="0" xfId="0" applyNumberFormat="1" applyFill="1"/>
    <xf numFmtId="0" fontId="2" fillId="0" borderId="1" xfId="0" applyFont="1" applyBorder="1" applyAlignment="1">
      <alignment horizontal="center" vertical="center"/>
    </xf>
    <xf numFmtId="166" fontId="2" fillId="3" borderId="7" xfId="0" applyNumberFormat="1" applyFont="1" applyFill="1" applyBorder="1" applyAlignment="1">
      <alignment horizontal="right"/>
    </xf>
    <xf numFmtId="0" fontId="0" fillId="0" borderId="7" xfId="0" applyBorder="1" applyAlignment="1">
      <alignment horizontal="center"/>
    </xf>
    <xf numFmtId="0" fontId="19" fillId="0" borderId="0" xfId="0" applyFont="1"/>
    <xf numFmtId="0" fontId="18" fillId="0" borderId="0" xfId="0" applyFont="1"/>
    <xf numFmtId="0" fontId="2" fillId="0" borderId="3" xfId="0" applyFont="1" applyBorder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0" fillId="0" borderId="3" xfId="0" applyBorder="1"/>
    <xf numFmtId="0" fontId="0" fillId="0" borderId="7" xfId="0" applyBorder="1" applyAlignment="1">
      <alignment horizontal="center"/>
    </xf>
    <xf numFmtId="0" fontId="18" fillId="3" borderId="7" xfId="0" applyFont="1" applyFill="1" applyBorder="1" applyAlignment="1">
      <alignment horizontal="left"/>
    </xf>
    <xf numFmtId="0" fontId="2" fillId="0" borderId="5" xfId="0" applyFont="1" applyBorder="1" applyAlignment="1">
      <alignment vertical="center"/>
    </xf>
    <xf numFmtId="0" fontId="2" fillId="0" borderId="13" xfId="0" applyFont="1" applyBorder="1" applyAlignment="1">
      <alignment horizontal="left"/>
    </xf>
    <xf numFmtId="0" fontId="2" fillId="0" borderId="6" xfId="0" applyFont="1" applyBorder="1" applyAlignment="1">
      <alignment horizontal="left"/>
    </xf>
    <xf numFmtId="0" fontId="2" fillId="0" borderId="17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2" fillId="0" borderId="7" xfId="0" applyFont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21" xfId="0" applyFont="1" applyBorder="1" applyAlignment="1">
      <alignment horizontal="right" vertical="center"/>
    </xf>
    <xf numFmtId="0" fontId="2" fillId="0" borderId="11" xfId="0" applyFont="1" applyBorder="1" applyAlignment="1">
      <alignment horizontal="right" vertical="center"/>
    </xf>
    <xf numFmtId="0" fontId="2" fillId="0" borderId="36" xfId="0" applyFont="1" applyBorder="1" applyAlignment="1">
      <alignment horizontal="right" vertical="center"/>
    </xf>
    <xf numFmtId="0" fontId="0" fillId="0" borderId="31" xfId="0" applyBorder="1" applyAlignment="1">
      <alignment horizontal="center" wrapText="1"/>
    </xf>
    <xf numFmtId="0" fontId="0" fillId="0" borderId="41" xfId="0" applyBorder="1" applyAlignment="1">
      <alignment horizontal="center"/>
    </xf>
    <xf numFmtId="0" fontId="0" fillId="0" borderId="26" xfId="0" applyBorder="1" applyAlignment="1">
      <alignment horizontal="center"/>
    </xf>
    <xf numFmtId="168" fontId="2" fillId="3" borderId="7" xfId="0" applyNumberFormat="1" applyFont="1" applyFill="1" applyBorder="1" applyAlignment="1">
      <alignment horizontal="right"/>
    </xf>
    <xf numFmtId="3" fontId="2" fillId="3" borderId="7" xfId="0" applyNumberFormat="1" applyFont="1" applyFill="1" applyBorder="1" applyAlignment="1">
      <alignment horizontal="right"/>
    </xf>
  </cellXfs>
  <cellStyles count="4">
    <cellStyle name="Millares" xfId="2" xr:uid="{00000000-0005-0000-0000-000000000000}"/>
    <cellStyle name="Normal" xfId="0" builtinId="0"/>
    <cellStyle name="Normal 3" xfId="1" xr:uid="{00000000-0005-0000-0000-000002000000}"/>
    <cellStyle name="Porcentaje" xfId="3" xr:uid="{00000000-0005-0000-0000-000003000000}"/>
  </cellStyles>
  <dxfs count="4"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FF7C8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s-MX" sz="1400" b="1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rPr>
              <a:t>Espectro de Diseño Sísmico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0.13718234305326749"/>
          <c:y val="0.13730137090627711"/>
          <c:w val="0.7856512063301424"/>
          <c:h val="0.68966538631698215"/>
        </c:manualLayout>
      </c:layout>
      <c:scatterChart>
        <c:scatterStyle val="smoothMarker"/>
        <c:varyColors val="1"/>
        <c:ser>
          <c:idx val="0"/>
          <c:order val="0"/>
          <c:tx>
            <c:v>Espectro de Diseño</c:v>
          </c:tx>
          <c:spPr>
            <a:ln w="19050">
              <a:solidFill>
                <a:schemeClr val="accent2">
                  <a:lumMod val="50000"/>
                </a:schemeClr>
              </a:solidFill>
            </a:ln>
          </c:spPr>
          <c:marker>
            <c:symbol val="none"/>
          </c:marker>
          <c:xVal>
            <c:numRef>
              <c:f>'CARGAS Y SISMO F1'!$H$252:$H$551</c:f>
              <c:numCache>
                <c:formatCode>General</c:formatCode>
                <c:ptCount val="300"/>
                <c:pt idx="0">
                  <c:v>0.01</c:v>
                </c:pt>
                <c:pt idx="1">
                  <c:v>0.02</c:v>
                </c:pt>
                <c:pt idx="2">
                  <c:v>0.03</c:v>
                </c:pt>
                <c:pt idx="3">
                  <c:v>0.04</c:v>
                </c:pt>
                <c:pt idx="4">
                  <c:v>0.05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0.08</c:v>
                </c:pt>
                <c:pt idx="8">
                  <c:v>0.09</c:v>
                </c:pt>
                <c:pt idx="9">
                  <c:v>0.1</c:v>
                </c:pt>
                <c:pt idx="10">
                  <c:v>0.11</c:v>
                </c:pt>
                <c:pt idx="11">
                  <c:v>0.12</c:v>
                </c:pt>
                <c:pt idx="12">
                  <c:v>0.13</c:v>
                </c:pt>
                <c:pt idx="13">
                  <c:v>0.14000000000000001</c:v>
                </c:pt>
                <c:pt idx="14">
                  <c:v>0.15</c:v>
                </c:pt>
                <c:pt idx="15">
                  <c:v>0.16</c:v>
                </c:pt>
                <c:pt idx="16">
                  <c:v>0.17</c:v>
                </c:pt>
                <c:pt idx="17">
                  <c:v>0.18</c:v>
                </c:pt>
                <c:pt idx="18">
                  <c:v>0.19</c:v>
                </c:pt>
                <c:pt idx="19">
                  <c:v>0.2</c:v>
                </c:pt>
                <c:pt idx="20">
                  <c:v>0.21</c:v>
                </c:pt>
                <c:pt idx="21">
                  <c:v>0.22</c:v>
                </c:pt>
                <c:pt idx="22">
                  <c:v>0.23</c:v>
                </c:pt>
                <c:pt idx="23">
                  <c:v>0.24</c:v>
                </c:pt>
                <c:pt idx="24">
                  <c:v>0.25</c:v>
                </c:pt>
                <c:pt idx="25">
                  <c:v>0.26</c:v>
                </c:pt>
                <c:pt idx="26">
                  <c:v>0.27</c:v>
                </c:pt>
                <c:pt idx="27">
                  <c:v>0.28000000000000003</c:v>
                </c:pt>
                <c:pt idx="28">
                  <c:v>0.28999999999999998</c:v>
                </c:pt>
                <c:pt idx="29">
                  <c:v>0.3</c:v>
                </c:pt>
                <c:pt idx="30">
                  <c:v>0.31</c:v>
                </c:pt>
                <c:pt idx="31">
                  <c:v>0.32</c:v>
                </c:pt>
                <c:pt idx="32">
                  <c:v>0.33</c:v>
                </c:pt>
                <c:pt idx="33">
                  <c:v>0.34</c:v>
                </c:pt>
                <c:pt idx="34">
                  <c:v>0.35</c:v>
                </c:pt>
                <c:pt idx="35">
                  <c:v>0.36</c:v>
                </c:pt>
                <c:pt idx="36">
                  <c:v>0.37</c:v>
                </c:pt>
                <c:pt idx="37">
                  <c:v>0.38</c:v>
                </c:pt>
                <c:pt idx="38">
                  <c:v>0.39</c:v>
                </c:pt>
                <c:pt idx="39">
                  <c:v>0.4</c:v>
                </c:pt>
                <c:pt idx="40">
                  <c:v>0.41</c:v>
                </c:pt>
                <c:pt idx="41">
                  <c:v>0.42</c:v>
                </c:pt>
                <c:pt idx="42">
                  <c:v>0.43</c:v>
                </c:pt>
                <c:pt idx="43">
                  <c:v>0.44</c:v>
                </c:pt>
                <c:pt idx="44">
                  <c:v>0.45</c:v>
                </c:pt>
                <c:pt idx="45">
                  <c:v>0.46</c:v>
                </c:pt>
                <c:pt idx="46">
                  <c:v>0.47</c:v>
                </c:pt>
                <c:pt idx="47">
                  <c:v>0.48</c:v>
                </c:pt>
                <c:pt idx="48">
                  <c:v>0.49</c:v>
                </c:pt>
                <c:pt idx="49">
                  <c:v>0.5</c:v>
                </c:pt>
                <c:pt idx="50">
                  <c:v>0.51</c:v>
                </c:pt>
                <c:pt idx="51">
                  <c:v>0.52</c:v>
                </c:pt>
                <c:pt idx="52">
                  <c:v>0.53</c:v>
                </c:pt>
                <c:pt idx="53">
                  <c:v>0.54</c:v>
                </c:pt>
                <c:pt idx="54">
                  <c:v>0.55000000000000004</c:v>
                </c:pt>
                <c:pt idx="55">
                  <c:v>0.56000000000000005</c:v>
                </c:pt>
                <c:pt idx="56">
                  <c:v>0.56999999999999995</c:v>
                </c:pt>
                <c:pt idx="57">
                  <c:v>0.57999999999999996</c:v>
                </c:pt>
                <c:pt idx="58">
                  <c:v>0.59</c:v>
                </c:pt>
                <c:pt idx="59">
                  <c:v>0.6</c:v>
                </c:pt>
                <c:pt idx="60">
                  <c:v>0.61</c:v>
                </c:pt>
                <c:pt idx="61">
                  <c:v>0.62</c:v>
                </c:pt>
                <c:pt idx="62">
                  <c:v>0.63</c:v>
                </c:pt>
                <c:pt idx="63">
                  <c:v>0.64</c:v>
                </c:pt>
                <c:pt idx="64">
                  <c:v>0.65</c:v>
                </c:pt>
                <c:pt idx="65">
                  <c:v>0.66</c:v>
                </c:pt>
                <c:pt idx="66">
                  <c:v>0.67</c:v>
                </c:pt>
                <c:pt idx="67">
                  <c:v>0.68</c:v>
                </c:pt>
                <c:pt idx="68">
                  <c:v>0.69</c:v>
                </c:pt>
                <c:pt idx="69">
                  <c:v>0.7</c:v>
                </c:pt>
                <c:pt idx="70">
                  <c:v>0.71</c:v>
                </c:pt>
                <c:pt idx="71">
                  <c:v>0.72</c:v>
                </c:pt>
                <c:pt idx="72">
                  <c:v>0.73</c:v>
                </c:pt>
                <c:pt idx="73">
                  <c:v>0.74</c:v>
                </c:pt>
                <c:pt idx="74">
                  <c:v>0.75</c:v>
                </c:pt>
                <c:pt idx="75">
                  <c:v>0.76</c:v>
                </c:pt>
                <c:pt idx="76">
                  <c:v>0.77</c:v>
                </c:pt>
                <c:pt idx="77">
                  <c:v>0.78</c:v>
                </c:pt>
                <c:pt idx="78">
                  <c:v>0.79</c:v>
                </c:pt>
                <c:pt idx="79">
                  <c:v>0.8</c:v>
                </c:pt>
                <c:pt idx="80">
                  <c:v>0.81</c:v>
                </c:pt>
                <c:pt idx="81">
                  <c:v>0.82</c:v>
                </c:pt>
                <c:pt idx="82">
                  <c:v>0.83</c:v>
                </c:pt>
                <c:pt idx="83">
                  <c:v>0.84</c:v>
                </c:pt>
                <c:pt idx="84">
                  <c:v>0.85</c:v>
                </c:pt>
                <c:pt idx="85">
                  <c:v>0.86</c:v>
                </c:pt>
                <c:pt idx="86">
                  <c:v>0.87</c:v>
                </c:pt>
                <c:pt idx="87">
                  <c:v>0.88</c:v>
                </c:pt>
                <c:pt idx="88">
                  <c:v>0.89</c:v>
                </c:pt>
                <c:pt idx="89">
                  <c:v>0.9</c:v>
                </c:pt>
                <c:pt idx="90">
                  <c:v>0.91</c:v>
                </c:pt>
                <c:pt idx="91">
                  <c:v>0.92</c:v>
                </c:pt>
                <c:pt idx="92">
                  <c:v>0.93</c:v>
                </c:pt>
                <c:pt idx="93">
                  <c:v>0.94</c:v>
                </c:pt>
                <c:pt idx="94">
                  <c:v>0.95</c:v>
                </c:pt>
                <c:pt idx="95">
                  <c:v>0.96</c:v>
                </c:pt>
                <c:pt idx="96">
                  <c:v>0.97</c:v>
                </c:pt>
                <c:pt idx="97">
                  <c:v>0.98</c:v>
                </c:pt>
                <c:pt idx="98">
                  <c:v>0.99</c:v>
                </c:pt>
                <c:pt idx="99">
                  <c:v>1</c:v>
                </c:pt>
                <c:pt idx="100">
                  <c:v>1.01</c:v>
                </c:pt>
                <c:pt idx="101">
                  <c:v>1.02</c:v>
                </c:pt>
                <c:pt idx="102">
                  <c:v>1.03</c:v>
                </c:pt>
                <c:pt idx="103">
                  <c:v>1.04</c:v>
                </c:pt>
                <c:pt idx="104">
                  <c:v>1.05</c:v>
                </c:pt>
                <c:pt idx="105">
                  <c:v>1.06</c:v>
                </c:pt>
                <c:pt idx="106">
                  <c:v>1.07</c:v>
                </c:pt>
                <c:pt idx="107">
                  <c:v>1.08</c:v>
                </c:pt>
                <c:pt idx="108">
                  <c:v>1.0900000000000001</c:v>
                </c:pt>
                <c:pt idx="109">
                  <c:v>1.1000000000000001</c:v>
                </c:pt>
                <c:pt idx="110">
                  <c:v>1.1100000000000001</c:v>
                </c:pt>
                <c:pt idx="111">
                  <c:v>1.1200000000000001</c:v>
                </c:pt>
                <c:pt idx="112">
                  <c:v>1.1299999999999999</c:v>
                </c:pt>
                <c:pt idx="113">
                  <c:v>1.1399999999999999</c:v>
                </c:pt>
                <c:pt idx="114">
                  <c:v>1.1499999999999999</c:v>
                </c:pt>
                <c:pt idx="115">
                  <c:v>1.1599999999999999</c:v>
                </c:pt>
                <c:pt idx="116">
                  <c:v>1.17</c:v>
                </c:pt>
                <c:pt idx="117">
                  <c:v>1.18</c:v>
                </c:pt>
                <c:pt idx="118">
                  <c:v>1.19</c:v>
                </c:pt>
                <c:pt idx="119">
                  <c:v>1.2</c:v>
                </c:pt>
                <c:pt idx="120">
                  <c:v>1.21</c:v>
                </c:pt>
                <c:pt idx="121">
                  <c:v>1.22</c:v>
                </c:pt>
                <c:pt idx="122">
                  <c:v>1.23</c:v>
                </c:pt>
                <c:pt idx="123">
                  <c:v>1.24</c:v>
                </c:pt>
                <c:pt idx="124">
                  <c:v>1.25</c:v>
                </c:pt>
                <c:pt idx="125">
                  <c:v>1.26</c:v>
                </c:pt>
                <c:pt idx="126">
                  <c:v>1.27</c:v>
                </c:pt>
                <c:pt idx="127">
                  <c:v>1.28</c:v>
                </c:pt>
                <c:pt idx="128">
                  <c:v>1.29</c:v>
                </c:pt>
                <c:pt idx="129">
                  <c:v>1.3</c:v>
                </c:pt>
                <c:pt idx="130">
                  <c:v>1.31</c:v>
                </c:pt>
                <c:pt idx="131">
                  <c:v>1.32</c:v>
                </c:pt>
                <c:pt idx="132">
                  <c:v>1.33</c:v>
                </c:pt>
                <c:pt idx="133">
                  <c:v>1.34</c:v>
                </c:pt>
                <c:pt idx="134">
                  <c:v>1.35</c:v>
                </c:pt>
                <c:pt idx="135">
                  <c:v>1.36</c:v>
                </c:pt>
                <c:pt idx="136">
                  <c:v>1.37</c:v>
                </c:pt>
                <c:pt idx="137">
                  <c:v>1.38</c:v>
                </c:pt>
                <c:pt idx="138">
                  <c:v>1.39</c:v>
                </c:pt>
                <c:pt idx="139">
                  <c:v>1.4</c:v>
                </c:pt>
                <c:pt idx="140">
                  <c:v>1.41</c:v>
                </c:pt>
                <c:pt idx="141">
                  <c:v>1.42</c:v>
                </c:pt>
                <c:pt idx="142">
                  <c:v>1.43</c:v>
                </c:pt>
                <c:pt idx="143">
                  <c:v>1.44</c:v>
                </c:pt>
                <c:pt idx="144">
                  <c:v>1.45</c:v>
                </c:pt>
                <c:pt idx="145">
                  <c:v>1.46</c:v>
                </c:pt>
                <c:pt idx="146">
                  <c:v>1.47</c:v>
                </c:pt>
                <c:pt idx="147">
                  <c:v>1.48</c:v>
                </c:pt>
                <c:pt idx="148">
                  <c:v>1.49</c:v>
                </c:pt>
                <c:pt idx="149">
                  <c:v>1.5</c:v>
                </c:pt>
                <c:pt idx="150">
                  <c:v>1.51</c:v>
                </c:pt>
                <c:pt idx="151">
                  <c:v>1.52</c:v>
                </c:pt>
                <c:pt idx="152">
                  <c:v>1.53</c:v>
                </c:pt>
                <c:pt idx="153">
                  <c:v>1.54</c:v>
                </c:pt>
                <c:pt idx="154">
                  <c:v>1.55</c:v>
                </c:pt>
                <c:pt idx="155">
                  <c:v>1.56</c:v>
                </c:pt>
                <c:pt idx="156">
                  <c:v>1.57</c:v>
                </c:pt>
                <c:pt idx="157">
                  <c:v>1.58</c:v>
                </c:pt>
                <c:pt idx="158">
                  <c:v>1.59</c:v>
                </c:pt>
                <c:pt idx="159">
                  <c:v>1.6</c:v>
                </c:pt>
                <c:pt idx="160">
                  <c:v>1.61</c:v>
                </c:pt>
                <c:pt idx="161">
                  <c:v>1.62</c:v>
                </c:pt>
                <c:pt idx="162">
                  <c:v>1.63</c:v>
                </c:pt>
                <c:pt idx="163">
                  <c:v>1.64</c:v>
                </c:pt>
                <c:pt idx="164">
                  <c:v>1.65</c:v>
                </c:pt>
                <c:pt idx="165">
                  <c:v>1.66</c:v>
                </c:pt>
                <c:pt idx="166">
                  <c:v>1.67</c:v>
                </c:pt>
                <c:pt idx="167">
                  <c:v>1.68</c:v>
                </c:pt>
                <c:pt idx="168">
                  <c:v>1.69</c:v>
                </c:pt>
                <c:pt idx="169">
                  <c:v>1.7</c:v>
                </c:pt>
                <c:pt idx="170">
                  <c:v>1.71</c:v>
                </c:pt>
                <c:pt idx="171">
                  <c:v>1.72</c:v>
                </c:pt>
                <c:pt idx="172">
                  <c:v>1.73</c:v>
                </c:pt>
                <c:pt idx="173">
                  <c:v>1.74</c:v>
                </c:pt>
                <c:pt idx="174">
                  <c:v>1.75</c:v>
                </c:pt>
                <c:pt idx="175">
                  <c:v>1.76</c:v>
                </c:pt>
                <c:pt idx="176">
                  <c:v>1.77</c:v>
                </c:pt>
                <c:pt idx="177">
                  <c:v>1.78</c:v>
                </c:pt>
                <c:pt idx="178">
                  <c:v>1.79</c:v>
                </c:pt>
                <c:pt idx="179">
                  <c:v>1.8</c:v>
                </c:pt>
                <c:pt idx="180">
                  <c:v>1.81</c:v>
                </c:pt>
                <c:pt idx="181">
                  <c:v>1.82</c:v>
                </c:pt>
                <c:pt idx="182">
                  <c:v>1.83</c:v>
                </c:pt>
                <c:pt idx="183">
                  <c:v>1.84</c:v>
                </c:pt>
                <c:pt idx="184">
                  <c:v>1.85</c:v>
                </c:pt>
                <c:pt idx="185">
                  <c:v>1.86</c:v>
                </c:pt>
                <c:pt idx="186">
                  <c:v>1.87</c:v>
                </c:pt>
                <c:pt idx="187">
                  <c:v>1.88</c:v>
                </c:pt>
                <c:pt idx="188">
                  <c:v>1.89</c:v>
                </c:pt>
                <c:pt idx="189">
                  <c:v>1.9</c:v>
                </c:pt>
                <c:pt idx="190">
                  <c:v>1.91</c:v>
                </c:pt>
                <c:pt idx="191">
                  <c:v>1.92</c:v>
                </c:pt>
                <c:pt idx="192">
                  <c:v>1.93</c:v>
                </c:pt>
                <c:pt idx="193">
                  <c:v>1.94</c:v>
                </c:pt>
                <c:pt idx="194">
                  <c:v>1.95</c:v>
                </c:pt>
                <c:pt idx="195">
                  <c:v>1.96</c:v>
                </c:pt>
                <c:pt idx="196">
                  <c:v>1.97</c:v>
                </c:pt>
                <c:pt idx="197">
                  <c:v>1.98</c:v>
                </c:pt>
                <c:pt idx="198">
                  <c:v>1.99</c:v>
                </c:pt>
                <c:pt idx="199">
                  <c:v>2</c:v>
                </c:pt>
                <c:pt idx="200">
                  <c:v>2.0099999999999998</c:v>
                </c:pt>
                <c:pt idx="201">
                  <c:v>2.02</c:v>
                </c:pt>
                <c:pt idx="202">
                  <c:v>2.0299999999999998</c:v>
                </c:pt>
                <c:pt idx="203">
                  <c:v>2.04</c:v>
                </c:pt>
                <c:pt idx="204">
                  <c:v>2.0499999999999998</c:v>
                </c:pt>
                <c:pt idx="205">
                  <c:v>2.06</c:v>
                </c:pt>
                <c:pt idx="206">
                  <c:v>2.0699999999999998</c:v>
                </c:pt>
                <c:pt idx="207">
                  <c:v>2.08</c:v>
                </c:pt>
                <c:pt idx="208">
                  <c:v>2.09</c:v>
                </c:pt>
                <c:pt idx="209">
                  <c:v>2.1</c:v>
                </c:pt>
                <c:pt idx="210">
                  <c:v>2.11</c:v>
                </c:pt>
                <c:pt idx="211">
                  <c:v>2.12</c:v>
                </c:pt>
                <c:pt idx="212">
                  <c:v>2.13</c:v>
                </c:pt>
                <c:pt idx="213">
                  <c:v>2.14</c:v>
                </c:pt>
                <c:pt idx="214">
                  <c:v>2.15</c:v>
                </c:pt>
                <c:pt idx="215">
                  <c:v>2.16</c:v>
                </c:pt>
                <c:pt idx="216">
                  <c:v>2.17</c:v>
                </c:pt>
                <c:pt idx="217">
                  <c:v>2.1800000000000002</c:v>
                </c:pt>
                <c:pt idx="218">
                  <c:v>2.19</c:v>
                </c:pt>
                <c:pt idx="219">
                  <c:v>2.2000000000000002</c:v>
                </c:pt>
                <c:pt idx="220">
                  <c:v>2.21</c:v>
                </c:pt>
                <c:pt idx="221">
                  <c:v>2.2200000000000002</c:v>
                </c:pt>
                <c:pt idx="222">
                  <c:v>2.23</c:v>
                </c:pt>
                <c:pt idx="223">
                  <c:v>2.2400000000000002</c:v>
                </c:pt>
                <c:pt idx="224">
                  <c:v>2.25</c:v>
                </c:pt>
                <c:pt idx="225">
                  <c:v>2.2599999999999998</c:v>
                </c:pt>
                <c:pt idx="226">
                  <c:v>2.27</c:v>
                </c:pt>
                <c:pt idx="227">
                  <c:v>2.2799999999999998</c:v>
                </c:pt>
                <c:pt idx="228">
                  <c:v>2.29</c:v>
                </c:pt>
                <c:pt idx="229">
                  <c:v>2.2999999999999998</c:v>
                </c:pt>
                <c:pt idx="230">
                  <c:v>2.31</c:v>
                </c:pt>
                <c:pt idx="231">
                  <c:v>2.3199999999999998</c:v>
                </c:pt>
                <c:pt idx="232">
                  <c:v>2.33</c:v>
                </c:pt>
                <c:pt idx="233">
                  <c:v>2.34</c:v>
                </c:pt>
                <c:pt idx="234">
                  <c:v>2.35</c:v>
                </c:pt>
                <c:pt idx="235">
                  <c:v>2.36</c:v>
                </c:pt>
                <c:pt idx="236">
                  <c:v>2.37</c:v>
                </c:pt>
                <c:pt idx="237">
                  <c:v>2.38</c:v>
                </c:pt>
                <c:pt idx="238">
                  <c:v>2.39</c:v>
                </c:pt>
                <c:pt idx="239">
                  <c:v>2.4</c:v>
                </c:pt>
                <c:pt idx="240">
                  <c:v>2.41</c:v>
                </c:pt>
                <c:pt idx="241">
                  <c:v>2.42</c:v>
                </c:pt>
                <c:pt idx="242">
                  <c:v>2.4300000000000002</c:v>
                </c:pt>
                <c:pt idx="243">
                  <c:v>2.44</c:v>
                </c:pt>
                <c:pt idx="244">
                  <c:v>2.4500000000000002</c:v>
                </c:pt>
                <c:pt idx="245">
                  <c:v>2.46</c:v>
                </c:pt>
                <c:pt idx="246">
                  <c:v>2.4700000000000002</c:v>
                </c:pt>
                <c:pt idx="247">
                  <c:v>2.48</c:v>
                </c:pt>
                <c:pt idx="248">
                  <c:v>2.4900000000000002</c:v>
                </c:pt>
                <c:pt idx="249">
                  <c:v>2.5</c:v>
                </c:pt>
                <c:pt idx="250">
                  <c:v>2.5099999999999998</c:v>
                </c:pt>
                <c:pt idx="251">
                  <c:v>2.52</c:v>
                </c:pt>
                <c:pt idx="252">
                  <c:v>2.5299999999999998</c:v>
                </c:pt>
                <c:pt idx="253">
                  <c:v>2.54</c:v>
                </c:pt>
                <c:pt idx="254">
                  <c:v>2.5499999999999998</c:v>
                </c:pt>
                <c:pt idx="255">
                  <c:v>2.56</c:v>
                </c:pt>
                <c:pt idx="256">
                  <c:v>2.57</c:v>
                </c:pt>
                <c:pt idx="257">
                  <c:v>2.58</c:v>
                </c:pt>
                <c:pt idx="258">
                  <c:v>2.59</c:v>
                </c:pt>
                <c:pt idx="259">
                  <c:v>2.6</c:v>
                </c:pt>
                <c:pt idx="260">
                  <c:v>2.61</c:v>
                </c:pt>
                <c:pt idx="261">
                  <c:v>2.62</c:v>
                </c:pt>
                <c:pt idx="262">
                  <c:v>2.63</c:v>
                </c:pt>
                <c:pt idx="263">
                  <c:v>2.64</c:v>
                </c:pt>
                <c:pt idx="264">
                  <c:v>2.65</c:v>
                </c:pt>
                <c:pt idx="265">
                  <c:v>2.66</c:v>
                </c:pt>
                <c:pt idx="266">
                  <c:v>2.67</c:v>
                </c:pt>
                <c:pt idx="267">
                  <c:v>2.68</c:v>
                </c:pt>
                <c:pt idx="268">
                  <c:v>2.69</c:v>
                </c:pt>
                <c:pt idx="269">
                  <c:v>2.7</c:v>
                </c:pt>
                <c:pt idx="270">
                  <c:v>2.71</c:v>
                </c:pt>
                <c:pt idx="271">
                  <c:v>2.72</c:v>
                </c:pt>
                <c:pt idx="272">
                  <c:v>2.73</c:v>
                </c:pt>
                <c:pt idx="273">
                  <c:v>2.74</c:v>
                </c:pt>
                <c:pt idx="274">
                  <c:v>2.75</c:v>
                </c:pt>
                <c:pt idx="275">
                  <c:v>2.76</c:v>
                </c:pt>
                <c:pt idx="276">
                  <c:v>2.77</c:v>
                </c:pt>
                <c:pt idx="277">
                  <c:v>2.78</c:v>
                </c:pt>
                <c:pt idx="278">
                  <c:v>2.79</c:v>
                </c:pt>
                <c:pt idx="279">
                  <c:v>2.8</c:v>
                </c:pt>
                <c:pt idx="280">
                  <c:v>2.81</c:v>
                </c:pt>
                <c:pt idx="281">
                  <c:v>2.82</c:v>
                </c:pt>
                <c:pt idx="282">
                  <c:v>2.83</c:v>
                </c:pt>
                <c:pt idx="283">
                  <c:v>2.84</c:v>
                </c:pt>
                <c:pt idx="284">
                  <c:v>2.85</c:v>
                </c:pt>
                <c:pt idx="285">
                  <c:v>2.86</c:v>
                </c:pt>
                <c:pt idx="286">
                  <c:v>2.87</c:v>
                </c:pt>
                <c:pt idx="287">
                  <c:v>2.88</c:v>
                </c:pt>
                <c:pt idx="288">
                  <c:v>2.89</c:v>
                </c:pt>
                <c:pt idx="289">
                  <c:v>2.9</c:v>
                </c:pt>
                <c:pt idx="290">
                  <c:v>2.91</c:v>
                </c:pt>
                <c:pt idx="291">
                  <c:v>2.92</c:v>
                </c:pt>
                <c:pt idx="292">
                  <c:v>2.93</c:v>
                </c:pt>
                <c:pt idx="293">
                  <c:v>2.94</c:v>
                </c:pt>
                <c:pt idx="294">
                  <c:v>2.95</c:v>
                </c:pt>
                <c:pt idx="295">
                  <c:v>2.96</c:v>
                </c:pt>
                <c:pt idx="296">
                  <c:v>2.97</c:v>
                </c:pt>
                <c:pt idx="297">
                  <c:v>2.98</c:v>
                </c:pt>
                <c:pt idx="298">
                  <c:v>2.99</c:v>
                </c:pt>
                <c:pt idx="299">
                  <c:v>3</c:v>
                </c:pt>
              </c:numCache>
            </c:numRef>
          </c:xVal>
          <c:yVal>
            <c:numRef>
              <c:f>'CARGAS Y SISMO F1'!$I$252:$I$551</c:f>
              <c:numCache>
                <c:formatCode>0.000</c:formatCode>
                <c:ptCount val="300"/>
                <c:pt idx="0">
                  <c:v>6.2857142857142861E-2</c:v>
                </c:pt>
                <c:pt idx="1">
                  <c:v>6.8571428571428575E-2</c:v>
                </c:pt>
                <c:pt idx="2">
                  <c:v>7.4285714285714288E-2</c:v>
                </c:pt>
                <c:pt idx="3">
                  <c:v>0.08</c:v>
                </c:pt>
                <c:pt idx="4">
                  <c:v>8.5714285714285715E-2</c:v>
                </c:pt>
                <c:pt idx="5">
                  <c:v>9.1428571428571442E-2</c:v>
                </c:pt>
                <c:pt idx="6">
                  <c:v>9.7142857142857156E-2</c:v>
                </c:pt>
                <c:pt idx="7">
                  <c:v>0.10285714285714287</c:v>
                </c:pt>
                <c:pt idx="8">
                  <c:v>0.10857142857142858</c:v>
                </c:pt>
                <c:pt idx="9">
                  <c:v>0.1142857142857143</c:v>
                </c:pt>
                <c:pt idx="10">
                  <c:v>0.12000000000000001</c:v>
                </c:pt>
                <c:pt idx="11">
                  <c:v>0.12571428571428572</c:v>
                </c:pt>
                <c:pt idx="12">
                  <c:v>0.13142857142857142</c:v>
                </c:pt>
                <c:pt idx="13">
                  <c:v>0.13714285714285718</c:v>
                </c:pt>
                <c:pt idx="14">
                  <c:v>0.14285714285714288</c:v>
                </c:pt>
                <c:pt idx="15">
                  <c:v>0.14857142857142858</c:v>
                </c:pt>
                <c:pt idx="16">
                  <c:v>0.1542857142857143</c:v>
                </c:pt>
                <c:pt idx="17">
                  <c:v>0.16000000000000003</c:v>
                </c:pt>
                <c:pt idx="18">
                  <c:v>0.16571428571428576</c:v>
                </c:pt>
                <c:pt idx="19">
                  <c:v>0.17142857142857146</c:v>
                </c:pt>
                <c:pt idx="20">
                  <c:v>0.17142857142857146</c:v>
                </c:pt>
                <c:pt idx="21">
                  <c:v>0.17142857142857146</c:v>
                </c:pt>
                <c:pt idx="22">
                  <c:v>0.17142857142857146</c:v>
                </c:pt>
                <c:pt idx="23">
                  <c:v>0.17142857142857146</c:v>
                </c:pt>
                <c:pt idx="24">
                  <c:v>0.17142857142857146</c:v>
                </c:pt>
                <c:pt idx="25">
                  <c:v>0.17142857142857146</c:v>
                </c:pt>
                <c:pt idx="26">
                  <c:v>0.17142857142857146</c:v>
                </c:pt>
                <c:pt idx="27">
                  <c:v>0.17142857142857146</c:v>
                </c:pt>
                <c:pt idx="28">
                  <c:v>0.17142857142857146</c:v>
                </c:pt>
                <c:pt idx="29">
                  <c:v>0.17142857142857146</c:v>
                </c:pt>
                <c:pt idx="30">
                  <c:v>0.17142857142857146</c:v>
                </c:pt>
                <c:pt idx="31">
                  <c:v>0.17142857142857146</c:v>
                </c:pt>
                <c:pt idx="32">
                  <c:v>0.17142857142857146</c:v>
                </c:pt>
                <c:pt idx="33">
                  <c:v>0.17142857142857146</c:v>
                </c:pt>
                <c:pt idx="34">
                  <c:v>0.17142857142857146</c:v>
                </c:pt>
                <c:pt idx="35">
                  <c:v>0.17142857142857146</c:v>
                </c:pt>
                <c:pt idx="36">
                  <c:v>0.17142857142857146</c:v>
                </c:pt>
                <c:pt idx="37">
                  <c:v>0.17142857142857146</c:v>
                </c:pt>
                <c:pt idx="38">
                  <c:v>0.17142857142857146</c:v>
                </c:pt>
                <c:pt idx="39">
                  <c:v>0.17142857142857146</c:v>
                </c:pt>
                <c:pt idx="40">
                  <c:v>0.17142857142857146</c:v>
                </c:pt>
                <c:pt idx="41">
                  <c:v>0.17142857142857146</c:v>
                </c:pt>
                <c:pt idx="42">
                  <c:v>0.17142857142857146</c:v>
                </c:pt>
                <c:pt idx="43">
                  <c:v>0.17142857142857146</c:v>
                </c:pt>
                <c:pt idx="44">
                  <c:v>0.17142857142857146</c:v>
                </c:pt>
                <c:pt idx="45">
                  <c:v>0.17142857142857146</c:v>
                </c:pt>
                <c:pt idx="46">
                  <c:v>0.17142857142857146</c:v>
                </c:pt>
                <c:pt idx="47">
                  <c:v>0.17142857142857146</c:v>
                </c:pt>
                <c:pt idx="48">
                  <c:v>0.17142857142857146</c:v>
                </c:pt>
                <c:pt idx="49">
                  <c:v>0.17142857142857146</c:v>
                </c:pt>
                <c:pt idx="50">
                  <c:v>0.17142857142857146</c:v>
                </c:pt>
                <c:pt idx="51">
                  <c:v>0.17142857142857146</c:v>
                </c:pt>
                <c:pt idx="52">
                  <c:v>0.17142857142857146</c:v>
                </c:pt>
                <c:pt idx="53">
                  <c:v>0.17142857142857146</c:v>
                </c:pt>
                <c:pt idx="54">
                  <c:v>0.17142857142857146</c:v>
                </c:pt>
                <c:pt idx="55">
                  <c:v>0.17142857142857146</c:v>
                </c:pt>
                <c:pt idx="56">
                  <c:v>0.17142857142857146</c:v>
                </c:pt>
                <c:pt idx="57">
                  <c:v>0.17142857142857146</c:v>
                </c:pt>
                <c:pt idx="58">
                  <c:v>0.17142857142857146</c:v>
                </c:pt>
                <c:pt idx="59">
                  <c:v>0.17142857142857146</c:v>
                </c:pt>
                <c:pt idx="60">
                  <c:v>0.16954987852001016</c:v>
                </c:pt>
                <c:pt idx="61">
                  <c:v>0.1677218252289068</c:v>
                </c:pt>
                <c:pt idx="62">
                  <c:v>0.16594226233711895</c:v>
                </c:pt>
                <c:pt idx="63">
                  <c:v>0.16420916408433284</c:v>
                </c:pt>
                <c:pt idx="64">
                  <c:v>0.16252061928129335</c:v>
                </c:pt>
                <c:pt idx="65">
                  <c:v>0.16087482318800531</c:v>
                </c:pt>
                <c:pt idx="66">
                  <c:v>0.15927007008059582</c:v>
                </c:pt>
                <c:pt idx="67">
                  <c:v>0.15770474643915294</c:v>
                </c:pt>
                <c:pt idx="68">
                  <c:v>0.15617732469639467</c:v>
                </c:pt>
                <c:pt idx="69">
                  <c:v>0.15468635749362564</c:v>
                </c:pt>
                <c:pt idx="70">
                  <c:v>0.15323047239623552</c:v>
                </c:pt>
                <c:pt idx="71">
                  <c:v>0.15180836702608733</c:v>
                </c:pt>
                <c:pt idx="72">
                  <c:v>0.15041880457263548</c:v>
                </c:pt>
                <c:pt idx="73">
                  <c:v>0.14906060964857532</c:v>
                </c:pt>
                <c:pt idx="74">
                  <c:v>0.1477326644593292</c:v>
                </c:pt>
                <c:pt idx="75">
                  <c:v>0.14643390525877864</c:v>
                </c:pt>
                <c:pt idx="76">
                  <c:v>0.14516331906640431</c:v>
                </c:pt>
                <c:pt idx="77">
                  <c:v>0.14391994062344254</c:v>
                </c:pt>
                <c:pt idx="78">
                  <c:v>0.1427028495678451</c:v>
                </c:pt>
                <c:pt idx="79">
                  <c:v>0.14151116780976972</c:v>
                </c:pt>
                <c:pt idx="80">
                  <c:v>0.14034405709106237</c:v>
                </c:pt>
                <c:pt idx="81">
                  <c:v>0.13920071671374129</c:v>
                </c:pt>
                <c:pt idx="82">
                  <c:v>0.13808038142388113</c:v>
                </c:pt>
                <c:pt idx="83">
                  <c:v>0.13698231943853842</c:v>
                </c:pt>
                <c:pt idx="84">
                  <c:v>0.13590583060447733</c:v>
                </c:pt>
                <c:pt idx="85">
                  <c:v>0.13485024467845858</c:v>
                </c:pt>
                <c:pt idx="86">
                  <c:v>0.13381491971975773</c:v>
                </c:pt>
                <c:pt idx="87">
                  <c:v>0.13279924058639495</c:v>
                </c:pt>
                <c:pt idx="88">
                  <c:v>0.131802617527292</c:v>
                </c:pt>
                <c:pt idx="89">
                  <c:v>0.13082448486323794</c:v>
                </c:pt>
                <c:pt idx="90">
                  <c:v>0.12986429975014538</c:v>
                </c:pt>
                <c:pt idx="91">
                  <c:v>0.1289215410186223</c:v>
                </c:pt>
                <c:pt idx="92">
                  <c:v>0.12799570808438024</c:v>
                </c:pt>
                <c:pt idx="93">
                  <c:v>0.12708631992444461</c:v>
                </c:pt>
                <c:pt idx="94">
                  <c:v>0.126192914114542</c:v>
                </c:pt>
                <c:pt idx="95">
                  <c:v>0.12531504592340856</c:v>
                </c:pt>
                <c:pt idx="96">
                  <c:v>0.12445228746010001</c:v>
                </c:pt>
                <c:pt idx="97">
                  <c:v>0.123604226870692</c:v>
                </c:pt>
                <c:pt idx="98">
                  <c:v>0.12277046758103911</c:v>
                </c:pt>
                <c:pt idx="99">
                  <c:v>0.12195062758251644</c:v>
                </c:pt>
                <c:pt idx="100">
                  <c:v>0.12114433875790227</c:v>
                </c:pt>
                <c:pt idx="101">
                  <c:v>0.1203512462447735</c:v>
                </c:pt>
                <c:pt idx="102">
                  <c:v>0.11957100783398215</c:v>
                </c:pt>
                <c:pt idx="103">
                  <c:v>0.11880329340096042</c:v>
                </c:pt>
                <c:pt idx="104">
                  <c:v>0.11804778436776639</c:v>
                </c:pt>
                <c:pt idx="105">
                  <c:v>0.11730417319393414</c:v>
                </c:pt>
                <c:pt idx="106">
                  <c:v>0.11657216289433078</c:v>
                </c:pt>
                <c:pt idx="107">
                  <c:v>0.1158514665823505</c:v>
                </c:pt>
                <c:pt idx="108">
                  <c:v>0.11514180703689374</c:v>
                </c:pt>
                <c:pt idx="109">
                  <c:v>0.11444291629168775</c:v>
                </c:pt>
                <c:pt idx="110">
                  <c:v>0.1137545352456045</c:v>
                </c:pt>
                <c:pt idx="111">
                  <c:v>0.11307641329272453</c:v>
                </c:pt>
                <c:pt idx="112">
                  <c:v>0.11240830797097949</c:v>
                </c:pt>
                <c:pt idx="113">
                  <c:v>0.11174998462828611</c:v>
                </c:pt>
                <c:pt idx="114">
                  <c:v>0.11110121610515532</c:v>
                </c:pt>
                <c:pt idx="115">
                  <c:v>0.11046178243282875</c:v>
                </c:pt>
                <c:pt idx="116">
                  <c:v>0.10983147054605637</c:v>
                </c:pt>
                <c:pt idx="117">
                  <c:v>0.10921007400968709</c:v>
                </c:pt>
                <c:pt idx="118">
                  <c:v>0.10859739275829733</c:v>
                </c:pt>
                <c:pt idx="119">
                  <c:v>0.107993232848132</c:v>
                </c:pt>
                <c:pt idx="120">
                  <c:v>0.10739740622067891</c:v>
                </c:pt>
                <c:pt idx="121">
                  <c:v>0.10680973047723971</c:v>
                </c:pt>
                <c:pt idx="122">
                  <c:v>0.10623002866390084</c:v>
                </c:pt>
                <c:pt idx="123">
                  <c:v>0.10565812906634435</c:v>
                </c:pt>
                <c:pt idx="124">
                  <c:v>0.10509386501397301</c:v>
                </c:pt>
                <c:pt idx="125">
                  <c:v>0.1045370746928567</c:v>
                </c:pt>
                <c:pt idx="126">
                  <c:v>0.10398760096703577</c:v>
                </c:pt>
                <c:pt idx="127">
                  <c:v>0.10344529120774607</c:v>
                </c:pt>
                <c:pt idx="128">
                  <c:v>0.10290999713015545</c:v>
                </c:pt>
                <c:pt idx="129">
                  <c:v>0.10238157463722605</c:v>
                </c:pt>
                <c:pt idx="130">
                  <c:v>0.10185988367033932</c:v>
                </c:pt>
                <c:pt idx="131">
                  <c:v>0.10134478806634185</c:v>
                </c:pt>
                <c:pt idx="132">
                  <c:v>0.10083615542068967</c:v>
                </c:pt>
                <c:pt idx="133">
                  <c:v>0.10033385695638715</c:v>
                </c:pt>
                <c:pt idx="134">
                  <c:v>9.9837767398434168E-2</c:v>
                </c:pt>
                <c:pt idx="135">
                  <c:v>9.934776485351117E-2</c:v>
                </c:pt>
                <c:pt idx="136">
                  <c:v>9.8863730694646768E-2</c:v>
                </c:pt>
                <c:pt idx="137">
                  <c:v>9.8385549450627038E-2</c:v>
                </c:pt>
                <c:pt idx="138">
                  <c:v>9.7913108699918719E-2</c:v>
                </c:pt>
                <c:pt idx="139">
                  <c:v>9.7446298968891246E-2</c:v>
                </c:pt>
                <c:pt idx="140">
                  <c:v>9.6985013634134004E-2</c:v>
                </c:pt>
                <c:pt idx="141">
                  <c:v>9.6529148828676206E-2</c:v>
                </c:pt>
                <c:pt idx="142">
                  <c:v>9.6078603351927624E-2</c:v>
                </c:pt>
                <c:pt idx="143">
                  <c:v>9.56332785831671E-2</c:v>
                </c:pt>
                <c:pt idx="144">
                  <c:v>9.5193078398416328E-2</c:v>
                </c:pt>
                <c:pt idx="145">
                  <c:v>9.4757909090543324E-2</c:v>
                </c:pt>
                <c:pt idx="146">
                  <c:v>9.432767929244959E-2</c:v>
                </c:pt>
                <c:pt idx="147">
                  <c:v>9.3902299903201439E-2</c:v>
                </c:pt>
                <c:pt idx="148">
                  <c:v>9.3481684016974015E-2</c:v>
                </c:pt>
                <c:pt idx="149">
                  <c:v>9.3065746854682524E-2</c:v>
                </c:pt>
                <c:pt idx="150">
                  <c:v>9.2654405698182091E-2</c:v>
                </c:pt>
                <c:pt idx="151">
                  <c:v>9.2247579826923401E-2</c:v>
                </c:pt>
                <c:pt idx="152">
                  <c:v>9.1845190456956952E-2</c:v>
                </c:pt>
                <c:pt idx="153">
                  <c:v>9.1447160682184309E-2</c:v>
                </c:pt>
                <c:pt idx="154">
                  <c:v>9.105341541775934E-2</c:v>
                </c:pt>
                <c:pt idx="155">
                  <c:v>9.0663881345547773E-2</c:v>
                </c:pt>
                <c:pt idx="156">
                  <c:v>9.0278486861557219E-2</c:v>
                </c:pt>
                <c:pt idx="157">
                  <c:v>8.9897162025254787E-2</c:v>
                </c:pt>
                <c:pt idx="158">
                  <c:v>8.9519838510692798E-2</c:v>
                </c:pt>
                <c:pt idx="159">
                  <c:v>8.9146449559367333E-2</c:v>
                </c:pt>
                <c:pt idx="160">
                  <c:v>8.8776929934737764E-2</c:v>
                </c:pt>
                <c:pt idx="161">
                  <c:v>8.8411215878338653E-2</c:v>
                </c:pt>
                <c:pt idx="162">
                  <c:v>8.8049245067419249E-2</c:v>
                </c:pt>
                <c:pt idx="163">
                  <c:v>8.7690956574047879E-2</c:v>
                </c:pt>
                <c:pt idx="164">
                  <c:v>8.7336290825622484E-2</c:v>
                </c:pt>
                <c:pt idx="165">
                  <c:v>8.6985189566730431E-2</c:v>
                </c:pt>
                <c:pt idx="166">
                  <c:v>8.6637595822303889E-2</c:v>
                </c:pt>
                <c:pt idx="167">
                  <c:v>8.6293453862019115E-2</c:v>
                </c:pt>
                <c:pt idx="168">
                  <c:v>8.5952709165890706E-2</c:v>
                </c:pt>
                <c:pt idx="169">
                  <c:v>8.5615308391013945E-2</c:v>
                </c:pt>
                <c:pt idx="170">
                  <c:v>8.5281199339410016E-2</c:v>
                </c:pt>
                <c:pt idx="171">
                  <c:v>8.4950330926932036E-2</c:v>
                </c:pt>
                <c:pt idx="172">
                  <c:v>8.462265315319023E-2</c:v>
                </c:pt>
                <c:pt idx="173">
                  <c:v>8.4298117072457671E-2</c:v>
                </c:pt>
                <c:pt idx="174">
                  <c:v>8.3976674765518997E-2</c:v>
                </c:pt>
                <c:pt idx="175">
                  <c:v>8.3658279312426295E-2</c:v>
                </c:pt>
                <c:pt idx="176">
                  <c:v>8.3342884766128181E-2</c:v>
                </c:pt>
                <c:pt idx="177">
                  <c:v>8.3030446126939078E-2</c:v>
                </c:pt>
                <c:pt idx="178">
                  <c:v>8.2720919317817471E-2</c:v>
                </c:pt>
                <c:pt idx="179">
                  <c:v>8.2414261160423344E-2</c:v>
                </c:pt>
                <c:pt idx="180">
                  <c:v>8.2110429351925696E-2</c:v>
                </c:pt>
                <c:pt idx="181">
                  <c:v>8.180938244253283E-2</c:v>
                </c:pt>
                <c:pt idx="182">
                  <c:v>8.1511079813719314E-2</c:v>
                </c:pt>
                <c:pt idx="183">
                  <c:v>8.1215481657123792E-2</c:v>
                </c:pt>
                <c:pt idx="184">
                  <c:v>8.0922548954093912E-2</c:v>
                </c:pt>
                <c:pt idx="185">
                  <c:v>8.063224345585504E-2</c:v>
                </c:pt>
                <c:pt idx="186">
                  <c:v>8.0344527664280296E-2</c:v>
                </c:pt>
                <c:pt idx="187">
                  <c:v>8.0059364813240996E-2</c:v>
                </c:pt>
                <c:pt idx="188">
                  <c:v>7.9776718850516348E-2</c:v>
                </c:pt>
                <c:pt idx="189">
                  <c:v>7.9496554420243656E-2</c:v>
                </c:pt>
                <c:pt idx="190">
                  <c:v>7.9218836845889234E-2</c:v>
                </c:pt>
                <c:pt idx="191">
                  <c:v>7.8943532113722584E-2</c:v>
                </c:pt>
                <c:pt idx="192">
                  <c:v>7.8670606856776112E-2</c:v>
                </c:pt>
                <c:pt idx="193">
                  <c:v>7.8400028339273883E-2</c:v>
                </c:pt>
                <c:pt idx="194">
                  <c:v>7.8131764441513082E-2</c:v>
                </c:pt>
                <c:pt idx="195">
                  <c:v>7.7865783645183179E-2</c:v>
                </c:pt>
                <c:pt idx="196">
                  <c:v>7.7602055019107566E-2</c:v>
                </c:pt>
                <c:pt idx="197">
                  <c:v>7.7340548205393655E-2</c:v>
                </c:pt>
                <c:pt idx="198">
                  <c:v>7.708123340597775E-2</c:v>
                </c:pt>
                <c:pt idx="199">
                  <c:v>7.6824081369551406E-2</c:v>
                </c:pt>
                <c:pt idx="200">
                  <c:v>7.6569063378856717E-2</c:v>
                </c:pt>
                <c:pt idx="201">
                  <c:v>7.6316151238338195E-2</c:v>
                </c:pt>
                <c:pt idx="202">
                  <c:v>7.6065317262139873E-2</c:v>
                </c:pt>
                <c:pt idx="203">
                  <c:v>7.5816534262435717E-2</c:v>
                </c:pt>
                <c:pt idx="204">
                  <c:v>7.5569775538083292E-2</c:v>
                </c:pt>
                <c:pt idx="205">
                  <c:v>7.532501486358946E-2</c:v>
                </c:pt>
                <c:pt idx="206">
                  <c:v>7.5082226478378589E-2</c:v>
                </c:pt>
                <c:pt idx="207">
                  <c:v>7.4841385076353351E-2</c:v>
                </c:pt>
                <c:pt idx="208">
                  <c:v>7.4602465795738634E-2</c:v>
                </c:pt>
                <c:pt idx="209">
                  <c:v>7.436544420919991E-2</c:v>
                </c:pt>
                <c:pt idx="210">
                  <c:v>7.4130296314227115E-2</c:v>
                </c:pt>
                <c:pt idx="211">
                  <c:v>7.3896998523775778E-2</c:v>
                </c:pt>
                <c:pt idx="212">
                  <c:v>7.3665527657157295E-2</c:v>
                </c:pt>
                <c:pt idx="213">
                  <c:v>7.3435860931170702E-2</c:v>
                </c:pt>
                <c:pt idx="214">
                  <c:v>7.3207975951468302E-2</c:v>
                </c:pt>
                <c:pt idx="215">
                  <c:v>7.2981850704147921E-2</c:v>
                </c:pt>
                <c:pt idx="216">
                  <c:v>7.2757463547565099E-2</c:v>
                </c:pt>
                <c:pt idx="217">
                  <c:v>7.2534793204358031E-2</c:v>
                </c:pt>
                <c:pt idx="218">
                  <c:v>7.231381875367919E-2</c:v>
                </c:pt>
                <c:pt idx="219">
                  <c:v>7.2094519623627146E-2</c:v>
                </c:pt>
                <c:pt idx="220">
                  <c:v>7.1876875583872596E-2</c:v>
                </c:pt>
                <c:pt idx="221">
                  <c:v>7.1660866738472703E-2</c:v>
                </c:pt>
                <c:pt idx="222">
                  <c:v>7.1446473518868236E-2</c:v>
                </c:pt>
                <c:pt idx="223">
                  <c:v>7.123367667705803E-2</c:v>
                </c:pt>
                <c:pt idx="224">
                  <c:v>7.1022457278945364E-2</c:v>
                </c:pt>
                <c:pt idx="225">
                  <c:v>7.0812796697851343E-2</c:v>
                </c:pt>
                <c:pt idx="226">
                  <c:v>7.0604676608190434E-2</c:v>
                </c:pt>
                <c:pt idx="227">
                  <c:v>7.0398078979303086E-2</c:v>
                </c:pt>
                <c:pt idx="228">
                  <c:v>7.0192986069441285E-2</c:v>
                </c:pt>
                <c:pt idx="229">
                  <c:v>6.9989380419902256E-2</c:v>
                </c:pt>
                <c:pt idx="230">
                  <c:v>6.9787244849306276E-2</c:v>
                </c:pt>
                <c:pt idx="231">
                  <c:v>6.9586562448014339E-2</c:v>
                </c:pt>
                <c:pt idx="232">
                  <c:v>6.9387316572681504E-2</c:v>
                </c:pt>
                <c:pt idx="233">
                  <c:v>6.91894908409426E-2</c:v>
                </c:pt>
                <c:pt idx="234">
                  <c:v>6.8993069126225728E-2</c:v>
                </c:pt>
                <c:pt idx="235">
                  <c:v>6.8798035552690887E-2</c:v>
                </c:pt>
                <c:pt idx="236">
                  <c:v>6.8604374490289111E-2</c:v>
                </c:pt>
                <c:pt idx="237">
                  <c:v>6.8412070549939946E-2</c:v>
                </c:pt>
                <c:pt idx="238">
                  <c:v>6.8221108578822798E-2</c:v>
                </c:pt>
                <c:pt idx="239">
                  <c:v>6.8031473655779995E-2</c:v>
                </c:pt>
                <c:pt idx="240">
                  <c:v>6.7843151086827647E-2</c:v>
                </c:pt>
                <c:pt idx="241">
                  <c:v>6.7656126400771982E-2</c:v>
                </c:pt>
                <c:pt idx="242">
                  <c:v>6.7470385344927691E-2</c:v>
                </c:pt>
                <c:pt idx="243">
                  <c:v>6.7285913880936132E-2</c:v>
                </c:pt>
                <c:pt idx="244">
                  <c:v>6.7102698180679973E-2</c:v>
                </c:pt>
                <c:pt idx="245">
                  <c:v>6.6920724622292219E-2</c:v>
                </c:pt>
                <c:pt idx="246">
                  <c:v>6.6739979786256801E-2</c:v>
                </c:pt>
                <c:pt idx="247">
                  <c:v>6.6560450451598294E-2</c:v>
                </c:pt>
                <c:pt idx="248">
                  <c:v>6.6382123592158546E-2</c:v>
                </c:pt>
                <c:pt idx="249">
                  <c:v>6.6204986372957478E-2</c:v>
                </c:pt>
                <c:pt idx="250">
                  <c:v>6.6029026146636471E-2</c:v>
                </c:pt>
                <c:pt idx="251">
                  <c:v>6.5854230449981385E-2</c:v>
                </c:pt>
                <c:pt idx="252">
                  <c:v>6.5680587000523913E-2</c:v>
                </c:pt>
                <c:pt idx="253">
                  <c:v>6.5508083693218408E-2</c:v>
                </c:pt>
                <c:pt idx="254">
                  <c:v>6.5336708597192955E-2</c:v>
                </c:pt>
                <c:pt idx="255">
                  <c:v>6.5166449952572161E-2</c:v>
                </c:pt>
                <c:pt idx="256">
                  <c:v>6.4997296167370169E-2</c:v>
                </c:pt>
                <c:pt idx="257">
                  <c:v>6.4829235814451935E-2</c:v>
                </c:pt>
                <c:pt idx="258">
                  <c:v>6.4662257628560982E-2</c:v>
                </c:pt>
                <c:pt idx="259">
                  <c:v>6.449635050341207E-2</c:v>
                </c:pt>
                <c:pt idx="260">
                  <c:v>6.4331503488846975E-2</c:v>
                </c:pt>
                <c:pt idx="261">
                  <c:v>6.4167705788051782E-2</c:v>
                </c:pt>
                <c:pt idx="262">
                  <c:v>6.4004946754834202E-2</c:v>
                </c:pt>
                <c:pt idx="263">
                  <c:v>6.3843215890959426E-2</c:v>
                </c:pt>
                <c:pt idx="264">
                  <c:v>6.3682502843542974E-2</c:v>
                </c:pt>
                <c:pt idx="265">
                  <c:v>6.3522797402498971E-2</c:v>
                </c:pt>
                <c:pt idx="266">
                  <c:v>6.3364089498042855E-2</c:v>
                </c:pt>
                <c:pt idx="267">
                  <c:v>6.3206369198246654E-2</c:v>
                </c:pt>
                <c:pt idx="268">
                  <c:v>6.30496267066461E-2</c:v>
                </c:pt>
                <c:pt idx="269">
                  <c:v>6.2893852359897653E-2</c:v>
                </c:pt>
                <c:pt idx="270">
                  <c:v>6.2739036625484884E-2</c:v>
                </c:pt>
                <c:pt idx="271">
                  <c:v>6.2585170099472384E-2</c:v>
                </c:pt>
                <c:pt idx="272">
                  <c:v>6.2432243504306546E-2</c:v>
                </c:pt>
                <c:pt idx="273">
                  <c:v>6.2280247686661676E-2</c:v>
                </c:pt>
                <c:pt idx="274">
                  <c:v>6.2129173615330699E-2</c:v>
                </c:pt>
                <c:pt idx="275">
                  <c:v>6.1979012379158996E-2</c:v>
                </c:pt>
                <c:pt idx="276">
                  <c:v>6.18297551850207E-2</c:v>
                </c:pt>
                <c:pt idx="277">
                  <c:v>6.1681393355836216E-2</c:v>
                </c:pt>
                <c:pt idx="278">
                  <c:v>6.153391832862997E-2</c:v>
                </c:pt>
                <c:pt idx="279">
                  <c:v>6.1387321652627579E-2</c:v>
                </c:pt>
                <c:pt idx="280">
                  <c:v>6.1241594987391366E-2</c:v>
                </c:pt>
                <c:pt idx="281">
                  <c:v>6.1096730100993361E-2</c:v>
                </c:pt>
                <c:pt idx="282">
                  <c:v>6.0952718868224912E-2</c:v>
                </c:pt>
                <c:pt idx="283">
                  <c:v>6.0809553268842097E-2</c:v>
                </c:pt>
                <c:pt idx="284">
                  <c:v>6.0667225385845965E-2</c:v>
                </c:pt>
                <c:pt idx="285">
                  <c:v>6.0525727403796865E-2</c:v>
                </c:pt>
                <c:pt idx="286">
                  <c:v>6.0385051607162142E-2</c:v>
                </c:pt>
                <c:pt idx="287">
                  <c:v>6.0245190378696391E-2</c:v>
                </c:pt>
                <c:pt idx="288">
                  <c:v>6.0106136197853308E-2</c:v>
                </c:pt>
                <c:pt idx="289">
                  <c:v>5.9967881639228844E-2</c:v>
                </c:pt>
                <c:pt idx="290">
                  <c:v>5.9830419371034442E-2</c:v>
                </c:pt>
                <c:pt idx="291">
                  <c:v>5.9693742153600148E-2</c:v>
                </c:pt>
                <c:pt idx="292">
                  <c:v>5.9557842837906549E-2</c:v>
                </c:pt>
                <c:pt idx="293">
                  <c:v>5.9422714364145E-2</c:v>
                </c:pt>
                <c:pt idx="294">
                  <c:v>5.9288349760305649E-2</c:v>
                </c:pt>
                <c:pt idx="295">
                  <c:v>5.9154742140792402E-2</c:v>
                </c:pt>
                <c:pt idx="296">
                  <c:v>5.9021884705064413E-2</c:v>
                </c:pt>
                <c:pt idx="297">
                  <c:v>5.8889770736303346E-2</c:v>
                </c:pt>
                <c:pt idx="298">
                  <c:v>5.8758393600105874E-2</c:v>
                </c:pt>
                <c:pt idx="299">
                  <c:v>5.8627746743201051E-2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56F-42BE-BE16-E6903EFFB4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9115183"/>
        <c:axId val="2032986895"/>
      </c:scatterChart>
      <c:valAx>
        <c:axId val="2032986895"/>
        <c:scaling>
          <c:orientation val="minMax"/>
        </c:scaling>
        <c:delete val="0"/>
        <c:axPos val="l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r>
                  <a:rPr lang="es-MX" sz="1050" b="1" i="0" u="non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lt"/>
                    <a:cs typeface="+mn-lt"/>
                  </a:rPr>
                  <a:t>Csm (g)</a:t>
                </a:r>
              </a:p>
            </c:rich>
          </c:tx>
          <c:layout>
            <c:manualLayout>
              <c:xMode val="edge"/>
              <c:yMode val="edge"/>
              <c:x val="1.4863385590552348E-2"/>
              <c:y val="0.41789666892381783"/>
            </c:manualLayout>
          </c:layout>
          <c:overlay val="1"/>
        </c:title>
        <c:numFmt formatCode="0.000" sourceLinked="1"/>
        <c:majorTickMark val="none"/>
        <c:minorTickMark val="none"/>
        <c:tickLblPos val="nextTo"/>
        <c:spPr>
          <a:ln w="9525" cmpd="sng">
            <a:solidFill>
              <a:schemeClr val="tx1">
                <a:lumMod val="25000"/>
                <a:lumOff val="75000"/>
              </a:schemeClr>
            </a:solidFill>
          </a:ln>
        </c:spPr>
        <c:txPr>
          <a:bodyPr rot="-60000000" vert="horz" anchor="ctr" anchorCtr="1"/>
          <a:lstStyle/>
          <a:p>
            <a:pPr>
              <a:defRPr sz="1000" b="1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s-MX"/>
          </a:p>
        </c:txPr>
        <c:crossAx val="2029115183"/>
        <c:crosses val="autoZero"/>
        <c:crossBetween val="midCat"/>
      </c:valAx>
      <c:valAx>
        <c:axId val="2029115183"/>
        <c:scaling>
          <c:orientation val="minMax"/>
          <c:max val="3"/>
        </c:scaling>
        <c:delete val="0"/>
        <c:axPos val="b"/>
        <c:majorGridlines>
          <c:spPr>
            <a:ln w="9525" cmpd="sng">
              <a:solidFill>
                <a:schemeClr val="tx1">
                  <a:lumMod val="15000"/>
                  <a:lumOff val="85000"/>
                </a:schemeClr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r>
                  <a:rPr lang="es-MX" sz="1050" b="1" i="0" u="non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lt"/>
                    <a:cs typeface="+mn-lt"/>
                  </a:rPr>
                  <a:t>Tm (s)</a:t>
                </a:r>
              </a:p>
            </c:rich>
          </c:tx>
          <c:overlay val="1"/>
        </c:title>
        <c:numFmt formatCode="#,##0.00" sourceLinked="0"/>
        <c:majorTickMark val="none"/>
        <c:minorTickMark val="none"/>
        <c:tickLblPos val="nextTo"/>
        <c:spPr>
          <a:ln w="9525" cmpd="sng">
            <a:solidFill>
              <a:schemeClr val="tx1">
                <a:lumMod val="25000"/>
                <a:lumOff val="75000"/>
              </a:schemeClr>
            </a:solidFill>
          </a:ln>
        </c:spPr>
        <c:txPr>
          <a:bodyPr rot="-60000000" vert="horz" anchor="ctr" anchorCtr="1"/>
          <a:lstStyle/>
          <a:p>
            <a:pPr>
              <a:defRPr sz="1000" b="1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s-MX"/>
          </a:p>
        </c:txPr>
        <c:crossAx val="2032986895"/>
        <c:crosses val="autoZero"/>
        <c:crossBetween val="midCat"/>
      </c:valAx>
      <c:spPr>
        <a:noFill/>
        <a:ln>
          <a:solidFill>
            <a:schemeClr val="tx1">
              <a:lumMod val="15000"/>
              <a:lumOff val="85000"/>
            </a:schemeClr>
          </a:solidFill>
        </a:ln>
      </c:spPr>
    </c:plotArea>
    <c:legend>
      <c:legendPos val="r"/>
      <c:layout>
        <c:manualLayout>
          <c:xMode val="edge"/>
          <c:yMode val="edge"/>
          <c:x val="0.49651304810441482"/>
          <c:y val="0.16607086901191381"/>
          <c:w val="0.42645109471913667"/>
          <c:h val="0.22519349131999652"/>
        </c:manualLayout>
      </c:layout>
      <c:overlay val="0"/>
      <c:spPr>
        <a:noFill/>
      </c:spPr>
      <c:txPr>
        <a:bodyPr rot="0" vert="horz" anchor="ctr" anchorCtr="1"/>
        <a:lstStyle/>
        <a:p>
          <a:pPr>
            <a:defRPr sz="10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  <a:endParaRPr lang="es-MX"/>
        </a:p>
      </c:txPr>
    </c:legend>
    <c:plotVisOnly val="1"/>
    <c:dispBlanksAs val="zero"/>
    <c:showDLblsOverMax val="1"/>
  </c:chart>
  <c:spPr>
    <a:noFill/>
    <a:ln w="9525" cmpd="sng">
      <a:solidFill>
        <a:schemeClr val="tx1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1" Type="http://schemas.openxmlformats.org/officeDocument/2006/relationships/chart" Target="../charts/chart1.xml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.png"/><Relationship Id="rId7" Type="http://schemas.openxmlformats.org/officeDocument/2006/relationships/image" Target="../media/image25.png"/><Relationship Id="rId2" Type="http://schemas.openxmlformats.org/officeDocument/2006/relationships/image" Target="../media/image20.png"/><Relationship Id="rId1" Type="http://schemas.openxmlformats.org/officeDocument/2006/relationships/image" Target="../media/image19.png"/><Relationship Id="rId6" Type="http://schemas.openxmlformats.org/officeDocument/2006/relationships/image" Target="../media/image24.png"/><Relationship Id="rId5" Type="http://schemas.openxmlformats.org/officeDocument/2006/relationships/image" Target="../media/image23.png"/><Relationship Id="rId4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56029</xdr:colOff>
      <xdr:row>2</xdr:row>
      <xdr:rowOff>11206</xdr:rowOff>
    </xdr:from>
    <xdr:to>
      <xdr:col>10</xdr:col>
      <xdr:colOff>723829</xdr:colOff>
      <xdr:row>45</xdr:row>
      <xdr:rowOff>172617</xdr:rowOff>
    </xdr:to>
    <xdr:pic>
      <xdr:nvPicPr>
        <xdr:cNvPr id="2" name="/xl/media/image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143435</xdr:colOff>
      <xdr:row>252</xdr:row>
      <xdr:rowOff>123265</xdr:rowOff>
    </xdr:from>
    <xdr:to>
      <xdr:col>18</xdr:col>
      <xdr:colOff>179294</xdr:colOff>
      <xdr:row>270</xdr:row>
      <xdr:rowOff>134471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11206</xdr:colOff>
      <xdr:row>23</xdr:row>
      <xdr:rowOff>123264</xdr:rowOff>
    </xdr:from>
    <xdr:to>
      <xdr:col>9</xdr:col>
      <xdr:colOff>96473</xdr:colOff>
      <xdr:row>44</xdr:row>
      <xdr:rowOff>111338</xdr:rowOff>
    </xdr:to>
    <xdr:pic>
      <xdr:nvPicPr>
        <xdr:cNvPr id="3" name="/xl/media/image2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13</xdr:col>
      <xdr:colOff>369793</xdr:colOff>
      <xdr:row>25</xdr:row>
      <xdr:rowOff>11205</xdr:rowOff>
    </xdr:from>
    <xdr:to>
      <xdr:col>17</xdr:col>
      <xdr:colOff>153232</xdr:colOff>
      <xdr:row>30</xdr:row>
      <xdr:rowOff>1292</xdr:rowOff>
    </xdr:to>
    <xdr:pic>
      <xdr:nvPicPr>
        <xdr:cNvPr id="4" name="/xl/media/image3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2</xdr:col>
      <xdr:colOff>437028</xdr:colOff>
      <xdr:row>48</xdr:row>
      <xdr:rowOff>22412</xdr:rowOff>
    </xdr:from>
    <xdr:to>
      <xdr:col>9</xdr:col>
      <xdr:colOff>11820</xdr:colOff>
      <xdr:row>67</xdr:row>
      <xdr:rowOff>151371</xdr:rowOff>
    </xdr:to>
    <xdr:pic>
      <xdr:nvPicPr>
        <xdr:cNvPr id="5" name="/xl/media/image4.png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</xdr:col>
      <xdr:colOff>235324</xdr:colOff>
      <xdr:row>72</xdr:row>
      <xdr:rowOff>11204</xdr:rowOff>
    </xdr:from>
    <xdr:to>
      <xdr:col>9</xdr:col>
      <xdr:colOff>173210</xdr:colOff>
      <xdr:row>89</xdr:row>
      <xdr:rowOff>147750</xdr:rowOff>
    </xdr:to>
    <xdr:pic>
      <xdr:nvPicPr>
        <xdr:cNvPr id="6" name="/xl/media/image5.png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13</xdr:col>
      <xdr:colOff>78441</xdr:colOff>
      <xdr:row>75</xdr:row>
      <xdr:rowOff>112059</xdr:rowOff>
    </xdr:from>
    <xdr:to>
      <xdr:col>19</xdr:col>
      <xdr:colOff>461169</xdr:colOff>
      <xdr:row>80</xdr:row>
      <xdr:rowOff>150035</xdr:rowOff>
    </xdr:to>
    <xdr:pic>
      <xdr:nvPicPr>
        <xdr:cNvPr id="7" name="/xl/media/image6.png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14</xdr:col>
      <xdr:colOff>168089</xdr:colOff>
      <xdr:row>72</xdr:row>
      <xdr:rowOff>179295</xdr:rowOff>
    </xdr:from>
    <xdr:to>
      <xdr:col>17</xdr:col>
      <xdr:colOff>606518</xdr:colOff>
      <xdr:row>75</xdr:row>
      <xdr:rowOff>36366</xdr:rowOff>
    </xdr:to>
    <xdr:pic>
      <xdr:nvPicPr>
        <xdr:cNvPr id="8" name="/xl/media/image7.png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7</xdr:col>
      <xdr:colOff>773204</xdr:colOff>
      <xdr:row>131</xdr:row>
      <xdr:rowOff>33619</xdr:rowOff>
    </xdr:from>
    <xdr:to>
      <xdr:col>9</xdr:col>
      <xdr:colOff>574430</xdr:colOff>
      <xdr:row>135</xdr:row>
      <xdr:rowOff>110612</xdr:rowOff>
    </xdr:to>
    <xdr:pic>
      <xdr:nvPicPr>
        <xdr:cNvPr id="9" name="/xl/media/image8.png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7</xdr:col>
      <xdr:colOff>997323</xdr:colOff>
      <xdr:row>126</xdr:row>
      <xdr:rowOff>156883</xdr:rowOff>
    </xdr:from>
    <xdr:to>
      <xdr:col>9</xdr:col>
      <xdr:colOff>186561</xdr:colOff>
      <xdr:row>128</xdr:row>
      <xdr:rowOff>156834</xdr:rowOff>
    </xdr:to>
    <xdr:pic>
      <xdr:nvPicPr>
        <xdr:cNvPr id="10" name="/xl/media/image9.png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14</xdr:col>
      <xdr:colOff>448236</xdr:colOff>
      <xdr:row>125</xdr:row>
      <xdr:rowOff>11205</xdr:rowOff>
    </xdr:from>
    <xdr:to>
      <xdr:col>19</xdr:col>
      <xdr:colOff>605933</xdr:colOff>
      <xdr:row>131</xdr:row>
      <xdr:rowOff>33618</xdr:rowOff>
    </xdr:to>
    <xdr:pic>
      <xdr:nvPicPr>
        <xdr:cNvPr id="11" name="/xl/media/image10.png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14</xdr:col>
      <xdr:colOff>493057</xdr:colOff>
      <xdr:row>132</xdr:row>
      <xdr:rowOff>33618</xdr:rowOff>
    </xdr:from>
    <xdr:to>
      <xdr:col>19</xdr:col>
      <xdr:colOff>605119</xdr:colOff>
      <xdr:row>140</xdr:row>
      <xdr:rowOff>156931</xdr:rowOff>
    </xdr:to>
    <xdr:pic>
      <xdr:nvPicPr>
        <xdr:cNvPr id="12" name="/xl/media/image11.png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10</xdr:col>
      <xdr:colOff>437030</xdr:colOff>
      <xdr:row>125</xdr:row>
      <xdr:rowOff>112059</xdr:rowOff>
    </xdr:from>
    <xdr:to>
      <xdr:col>14</xdr:col>
      <xdr:colOff>377842</xdr:colOff>
      <xdr:row>128</xdr:row>
      <xdr:rowOff>187139</xdr:rowOff>
    </xdr:to>
    <xdr:pic>
      <xdr:nvPicPr>
        <xdr:cNvPr id="13" name="/xl/media/image12.png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</xdr:col>
      <xdr:colOff>459440</xdr:colOff>
      <xdr:row>256</xdr:row>
      <xdr:rowOff>179295</xdr:rowOff>
    </xdr:from>
    <xdr:to>
      <xdr:col>4</xdr:col>
      <xdr:colOff>377985</xdr:colOff>
      <xdr:row>280</xdr:row>
      <xdr:rowOff>73236</xdr:rowOff>
    </xdr:to>
    <xdr:pic>
      <xdr:nvPicPr>
        <xdr:cNvPr id="14" name="/xl/media/image13.png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2</xdr:col>
      <xdr:colOff>156883</xdr:colOff>
      <xdr:row>93</xdr:row>
      <xdr:rowOff>67236</xdr:rowOff>
    </xdr:from>
    <xdr:to>
      <xdr:col>7</xdr:col>
      <xdr:colOff>736534</xdr:colOff>
      <xdr:row>112</xdr:row>
      <xdr:rowOff>34349</xdr:rowOff>
    </xdr:to>
    <xdr:pic>
      <xdr:nvPicPr>
        <xdr:cNvPr id="15" name="/xl/media/image14.png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19</xdr:col>
      <xdr:colOff>11206</xdr:colOff>
      <xdr:row>154</xdr:row>
      <xdr:rowOff>212912</xdr:rowOff>
    </xdr:from>
    <xdr:to>
      <xdr:col>24</xdr:col>
      <xdr:colOff>339940</xdr:colOff>
      <xdr:row>162</xdr:row>
      <xdr:rowOff>34279</xdr:rowOff>
    </xdr:to>
    <xdr:pic>
      <xdr:nvPicPr>
        <xdr:cNvPr id="16" name="/xl/media/image15.png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19</xdr:col>
      <xdr:colOff>22412</xdr:colOff>
      <xdr:row>162</xdr:row>
      <xdr:rowOff>78441</xdr:rowOff>
    </xdr:from>
    <xdr:to>
      <xdr:col>24</xdr:col>
      <xdr:colOff>385442</xdr:colOff>
      <xdr:row>176</xdr:row>
      <xdr:rowOff>79971</xdr:rowOff>
    </xdr:to>
    <xdr:pic>
      <xdr:nvPicPr>
        <xdr:cNvPr id="17" name="/xl/media/image16.png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8</xdr:row>
      <xdr:rowOff>0</xdr:rowOff>
    </xdr:from>
    <xdr:to>
      <xdr:col>22</xdr:col>
      <xdr:colOff>376580</xdr:colOff>
      <xdr:row>9</xdr:row>
      <xdr:rowOff>730828</xdr:rowOff>
    </xdr:to>
    <xdr:pic>
      <xdr:nvPicPr>
        <xdr:cNvPr id="18" name="/xl/media/image17.png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7</xdr:col>
      <xdr:colOff>772886</xdr:colOff>
      <xdr:row>91</xdr:row>
      <xdr:rowOff>163284</xdr:rowOff>
    </xdr:from>
    <xdr:to>
      <xdr:col>14</xdr:col>
      <xdr:colOff>258191</xdr:colOff>
      <xdr:row>117</xdr:row>
      <xdr:rowOff>108295</xdr:rowOff>
    </xdr:to>
    <xdr:pic>
      <xdr:nvPicPr>
        <xdr:cNvPr id="19" name="/xl/media/image18.png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152400</xdr:colOff>
      <xdr:row>16</xdr:row>
      <xdr:rowOff>133350</xdr:rowOff>
    </xdr:from>
    <xdr:to>
      <xdr:col>12</xdr:col>
      <xdr:colOff>606316</xdr:colOff>
      <xdr:row>38</xdr:row>
      <xdr:rowOff>34860</xdr:rowOff>
    </xdr:to>
    <xdr:pic>
      <xdr:nvPicPr>
        <xdr:cNvPr id="2" name="/xl/media/image35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8</xdr:col>
      <xdr:colOff>133350</xdr:colOff>
      <xdr:row>40</xdr:row>
      <xdr:rowOff>28575</xdr:rowOff>
    </xdr:from>
    <xdr:to>
      <xdr:col>12</xdr:col>
      <xdr:colOff>533920</xdr:colOff>
      <xdr:row>50</xdr:row>
      <xdr:rowOff>114578</xdr:rowOff>
    </xdr:to>
    <xdr:pic>
      <xdr:nvPicPr>
        <xdr:cNvPr id="3" name="/xl/media/image36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13</xdr:col>
      <xdr:colOff>561975</xdr:colOff>
      <xdr:row>40</xdr:row>
      <xdr:rowOff>152400</xdr:rowOff>
    </xdr:from>
    <xdr:to>
      <xdr:col>18</xdr:col>
      <xdr:colOff>267872</xdr:colOff>
      <xdr:row>48</xdr:row>
      <xdr:rowOff>42108</xdr:rowOff>
    </xdr:to>
    <xdr:pic>
      <xdr:nvPicPr>
        <xdr:cNvPr id="4" name="/xl/media/image37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8</xdr:col>
      <xdr:colOff>200025</xdr:colOff>
      <xdr:row>51</xdr:row>
      <xdr:rowOff>38100</xdr:rowOff>
    </xdr:from>
    <xdr:to>
      <xdr:col>12</xdr:col>
      <xdr:colOff>568203</xdr:colOff>
      <xdr:row>58</xdr:row>
      <xdr:rowOff>110684</xdr:rowOff>
    </xdr:to>
    <xdr:pic>
      <xdr:nvPicPr>
        <xdr:cNvPr id="5" name="/xl/media/image38.png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8</xdr:col>
      <xdr:colOff>76200</xdr:colOff>
      <xdr:row>61</xdr:row>
      <xdr:rowOff>57150</xdr:rowOff>
    </xdr:from>
    <xdr:to>
      <xdr:col>12</xdr:col>
      <xdr:colOff>530116</xdr:colOff>
      <xdr:row>64</xdr:row>
      <xdr:rowOff>179167</xdr:rowOff>
    </xdr:to>
    <xdr:pic>
      <xdr:nvPicPr>
        <xdr:cNvPr id="6" name="/xl/media/image39.png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8</xdr:col>
      <xdr:colOff>266700</xdr:colOff>
      <xdr:row>67</xdr:row>
      <xdr:rowOff>47625</xdr:rowOff>
    </xdr:from>
    <xdr:to>
      <xdr:col>12</xdr:col>
      <xdr:colOff>72825</xdr:colOff>
      <xdr:row>81</xdr:row>
      <xdr:rowOff>150</xdr:rowOff>
    </xdr:to>
    <xdr:pic>
      <xdr:nvPicPr>
        <xdr:cNvPr id="7" name="/xl/media/image40.png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prstGeom prst="rect">
          <a:avLst/>
        </a:prstGeom>
      </xdr:spPr>
    </xdr:pic>
    <xdr:clientData/>
  </xdr:twoCellAnchor>
  <xdr:twoCellAnchor editAs="oneCell">
    <xdr:from>
      <xdr:col>12</xdr:col>
      <xdr:colOff>651164</xdr:colOff>
      <xdr:row>0</xdr:row>
      <xdr:rowOff>0</xdr:rowOff>
    </xdr:from>
    <xdr:to>
      <xdr:col>17</xdr:col>
      <xdr:colOff>114784</xdr:colOff>
      <xdr:row>32</xdr:row>
      <xdr:rowOff>54508</xdr:rowOff>
    </xdr:to>
    <xdr:pic>
      <xdr:nvPicPr>
        <xdr:cNvPr id="8" name="/xl/media/image41.png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M6:O45"/>
  <sheetViews>
    <sheetView showGridLines="0" zoomScale="70" zoomScaleNormal="70" workbookViewId="0"/>
  </sheetViews>
  <sheetFormatPr baseColWidth="10" defaultRowHeight="14.4" x14ac:dyDescent="0.3"/>
  <cols>
    <col min="12" max="12" width="3.5546875" customWidth="1"/>
    <col min="13" max="13" width="4.88671875" customWidth="1"/>
    <col min="14" max="14" width="15" customWidth="1"/>
    <col min="15" max="15" width="42.5546875" customWidth="1"/>
  </cols>
  <sheetData>
    <row r="6" spans="13:15" x14ac:dyDescent="0.3">
      <c r="M6" s="1" t="s">
        <v>0</v>
      </c>
    </row>
    <row r="8" spans="13:15" x14ac:dyDescent="0.3">
      <c r="M8" s="1" t="s">
        <v>1</v>
      </c>
      <c r="N8" s="18" t="s">
        <v>2</v>
      </c>
      <c r="O8" t="s">
        <v>3</v>
      </c>
    </row>
    <row r="9" spans="13:15" x14ac:dyDescent="0.3">
      <c r="M9" s="1"/>
    </row>
    <row r="10" spans="13:15" x14ac:dyDescent="0.3">
      <c r="M10" s="1"/>
    </row>
    <row r="11" spans="13:15" x14ac:dyDescent="0.3">
      <c r="M11" s="1"/>
    </row>
    <row r="12" spans="13:15" x14ac:dyDescent="0.3">
      <c r="M12" s="1" t="s">
        <v>4</v>
      </c>
      <c r="N12" s="18" t="s">
        <v>2</v>
      </c>
      <c r="O12" t="s">
        <v>3</v>
      </c>
    </row>
    <row r="13" spans="13:15" x14ac:dyDescent="0.3">
      <c r="M13" s="1"/>
    </row>
    <row r="14" spans="13:15" x14ac:dyDescent="0.3">
      <c r="M14" s="1"/>
    </row>
    <row r="15" spans="13:15" x14ac:dyDescent="0.3">
      <c r="M15" s="1"/>
    </row>
    <row r="16" spans="13:15" x14ac:dyDescent="0.3">
      <c r="M16" s="1" t="s">
        <v>5</v>
      </c>
      <c r="N16" s="18" t="s">
        <v>2</v>
      </c>
      <c r="O16" t="s">
        <v>3</v>
      </c>
    </row>
    <row r="17" spans="13:15" x14ac:dyDescent="0.3">
      <c r="M17" s="1"/>
    </row>
    <row r="18" spans="13:15" x14ac:dyDescent="0.3">
      <c r="M18" s="1"/>
    </row>
    <row r="19" spans="13:15" x14ac:dyDescent="0.3">
      <c r="M19" s="1" t="s">
        <v>6</v>
      </c>
      <c r="N19" s="18" t="s">
        <v>2</v>
      </c>
      <c r="O19" t="s">
        <v>7</v>
      </c>
    </row>
    <row r="20" spans="13:15" x14ac:dyDescent="0.3">
      <c r="M20" s="1"/>
      <c r="O20" t="s">
        <v>8</v>
      </c>
    </row>
    <row r="21" spans="13:15" x14ac:dyDescent="0.3">
      <c r="M21" s="1"/>
    </row>
    <row r="22" spans="13:15" x14ac:dyDescent="0.3">
      <c r="M22" s="1" t="s">
        <v>9</v>
      </c>
      <c r="N22" s="18" t="s">
        <v>2</v>
      </c>
      <c r="O22" t="s">
        <v>3</v>
      </c>
    </row>
    <row r="30" spans="13:15" x14ac:dyDescent="0.3">
      <c r="M30" s="1" t="s">
        <v>10</v>
      </c>
    </row>
    <row r="31" spans="13:15" x14ac:dyDescent="0.3">
      <c r="M31" s="1"/>
    </row>
    <row r="32" spans="13:15" x14ac:dyDescent="0.3">
      <c r="M32" s="1" t="s">
        <v>1</v>
      </c>
      <c r="N32" s="18" t="s">
        <v>2</v>
      </c>
      <c r="O32" t="s">
        <v>11</v>
      </c>
    </row>
    <row r="33" spans="13:15" x14ac:dyDescent="0.3">
      <c r="M33" s="1"/>
    </row>
    <row r="35" spans="13:15" x14ac:dyDescent="0.3">
      <c r="M35" s="1"/>
    </row>
    <row r="36" spans="13:15" x14ac:dyDescent="0.3">
      <c r="M36" s="1" t="s">
        <v>4</v>
      </c>
      <c r="N36" s="18" t="s">
        <v>2</v>
      </c>
      <c r="O36" t="s">
        <v>12</v>
      </c>
    </row>
    <row r="37" spans="13:15" x14ac:dyDescent="0.3">
      <c r="M37" s="1"/>
    </row>
    <row r="39" spans="13:15" x14ac:dyDescent="0.3">
      <c r="M39" s="1"/>
    </row>
    <row r="40" spans="13:15" x14ac:dyDescent="0.3">
      <c r="M40" s="1" t="s">
        <v>5</v>
      </c>
      <c r="N40" s="18" t="s">
        <v>2</v>
      </c>
      <c r="O40" t="s">
        <v>13</v>
      </c>
    </row>
    <row r="42" spans="13:15" x14ac:dyDescent="0.3">
      <c r="M42" s="1" t="s">
        <v>6</v>
      </c>
      <c r="N42" s="18" t="s">
        <v>2</v>
      </c>
      <c r="O42" t="s">
        <v>14</v>
      </c>
    </row>
    <row r="43" spans="13:15" x14ac:dyDescent="0.3">
      <c r="M43" s="1"/>
    </row>
    <row r="44" spans="13:15" ht="15.75" customHeight="1" x14ac:dyDescent="0.3">
      <c r="M44" s="1" t="s">
        <v>9</v>
      </c>
      <c r="N44" s="18" t="s">
        <v>2</v>
      </c>
      <c r="O44" s="118" t="s">
        <v>15</v>
      </c>
    </row>
    <row r="45" spans="13:15" x14ac:dyDescent="0.3">
      <c r="O45" t="s">
        <v>16</v>
      </c>
    </row>
  </sheetData>
  <conditionalFormatting sqref="N8 N12 N16 N19 N22 N32 N36 N40 N42 N44">
    <cfRule type="beginsWith" dxfId="3" priority="1" operator="beginsWith" text="No se presenta">
      <formula>LEFT(N8,LEN("No se presenta"))="No se presenta"</formula>
    </cfRule>
    <cfRule type="beginsWith" dxfId="2" priority="2" operator="beginsWith" text="Se presenta">
      <formula>LEFT(N8,LEN("Se presenta"))="Se presenta"</formula>
    </cfRule>
  </conditionalFormatting>
  <conditionalFormatting sqref="N9:N11 N13:N15 N17:N18 N20:N21 N31 N33 N35 N37 N39 N43">
    <cfRule type="containsText" dxfId="1" priority="5" operator="containsText" text="Se presenta">
      <formula>NOT(ISERROR(SEARCH("Se presenta",N9)))</formula>
    </cfRule>
    <cfRule type="containsText" dxfId="0" priority="7" operator="containsText" text="No se presenta">
      <formula>NOT(ISERROR(SEARCH("No se presenta",N9)))</formula>
    </cfRule>
  </conditionalFormatting>
  <dataValidations count="1">
    <dataValidation type="list" allowBlank="1" showInputMessage="1" showErrorMessage="1" sqref="N8 N12 N16 N19 N22 N32 N36 N40 N42 N44" xr:uid="{00000000-0002-0000-0000-000000000000}">
      <formula1>"No se presenta,Se presenta"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M551"/>
  <sheetViews>
    <sheetView showGridLines="0" topLeftCell="A193" zoomScale="55" zoomScaleNormal="55" workbookViewId="0">
      <selection activeCell="I163" sqref="I163"/>
    </sheetView>
  </sheetViews>
  <sheetFormatPr baseColWidth="10" defaultColWidth="9.109375" defaultRowHeight="14.4" x14ac:dyDescent="0.3"/>
  <cols>
    <col min="1" max="1" width="3.109375" customWidth="1"/>
    <col min="2" max="2" width="10.44140625" customWidth="1"/>
    <col min="3" max="4" width="14.109375" customWidth="1"/>
    <col min="5" max="5" width="16.6640625" customWidth="1"/>
    <col min="6" max="8" width="15.44140625" customWidth="1"/>
    <col min="9" max="10" width="12.109375" customWidth="1"/>
    <col min="11" max="12" width="13.6640625" customWidth="1"/>
    <col min="13" max="14" width="10.33203125" customWidth="1"/>
    <col min="15" max="15" width="8.33203125" customWidth="1"/>
    <col min="16" max="16" width="9.6640625" customWidth="1"/>
    <col min="17" max="17" width="9.5546875" customWidth="1"/>
    <col min="18" max="18" width="9.33203125" customWidth="1"/>
    <col min="19" max="19" width="8.88671875" customWidth="1"/>
    <col min="20" max="25" width="10.109375" customWidth="1"/>
    <col min="26" max="31" width="7.88671875" customWidth="1"/>
    <col min="38" max="39" width="10.6640625" customWidth="1"/>
  </cols>
  <sheetData>
    <row r="2" spans="2:39" ht="21" x14ac:dyDescent="0.4">
      <c r="B2" s="2" t="s">
        <v>17</v>
      </c>
    </row>
    <row r="3" spans="2:39" ht="21" x14ac:dyDescent="0.4">
      <c r="B3" s="2" t="s">
        <v>18</v>
      </c>
      <c r="D3" s="2" t="s">
        <v>19</v>
      </c>
    </row>
    <row r="5" spans="2:39" x14ac:dyDescent="0.3">
      <c r="B5" s="3" t="s">
        <v>20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</row>
    <row r="6" spans="2:39" x14ac:dyDescent="0.3">
      <c r="B6" s="1"/>
    </row>
    <row r="7" spans="2:39" x14ac:dyDescent="0.3">
      <c r="C7" s="88"/>
      <c r="D7" s="89"/>
      <c r="E7" s="89"/>
      <c r="F7" s="90" t="s">
        <v>21</v>
      </c>
      <c r="G7" s="91" t="s">
        <v>22</v>
      </c>
      <c r="H7" s="92" t="s">
        <v>23</v>
      </c>
      <c r="V7" s="9"/>
    </row>
    <row r="8" spans="2:39" x14ac:dyDescent="0.3">
      <c r="C8" s="93"/>
      <c r="D8" s="1"/>
      <c r="E8" s="1"/>
      <c r="F8" s="60" t="s">
        <v>24</v>
      </c>
      <c r="G8" s="14" t="s">
        <v>24</v>
      </c>
      <c r="H8" s="94" t="s">
        <v>24</v>
      </c>
      <c r="Q8" s="1"/>
      <c r="R8" s="1"/>
      <c r="S8" s="1"/>
      <c r="T8" s="1"/>
      <c r="U8" s="1"/>
      <c r="V8" s="6"/>
      <c r="AG8" s="131" t="s">
        <v>25</v>
      </c>
      <c r="AH8" s="132"/>
      <c r="AI8" s="132"/>
      <c r="AJ8" s="132"/>
      <c r="AK8" s="132"/>
      <c r="AL8" s="135" t="s">
        <v>26</v>
      </c>
      <c r="AM8" s="135"/>
    </row>
    <row r="9" spans="2:39" ht="33.6" customHeight="1" x14ac:dyDescent="0.3">
      <c r="C9" s="95"/>
      <c r="D9" s="120" t="s">
        <v>25</v>
      </c>
      <c r="E9" s="3"/>
      <c r="F9" s="96" t="s">
        <v>27</v>
      </c>
      <c r="G9" s="48" t="s">
        <v>27</v>
      </c>
      <c r="H9" s="97" t="s">
        <v>27</v>
      </c>
      <c r="L9" s="1" t="s">
        <v>28</v>
      </c>
      <c r="Q9" s="1"/>
      <c r="R9" s="1"/>
      <c r="S9" s="1"/>
      <c r="T9" s="1"/>
      <c r="V9" s="6"/>
      <c r="AG9" s="133"/>
      <c r="AH9" s="134"/>
      <c r="AI9" s="134"/>
      <c r="AJ9" s="134"/>
      <c r="AK9" s="134"/>
      <c r="AL9" s="135" t="s">
        <v>27</v>
      </c>
      <c r="AM9" s="135"/>
    </row>
    <row r="10" spans="2:39" ht="70.2" customHeight="1" x14ac:dyDescent="0.3">
      <c r="C10" s="146" t="s">
        <v>29</v>
      </c>
      <c r="D10" s="147"/>
      <c r="E10" s="148"/>
      <c r="F10" s="98">
        <v>9.32</v>
      </c>
      <c r="G10" s="99"/>
      <c r="H10" s="100"/>
      <c r="L10" s="1" t="s">
        <v>30</v>
      </c>
      <c r="V10" s="7"/>
      <c r="AG10" s="24"/>
      <c r="AH10" s="25"/>
      <c r="AI10" s="25"/>
      <c r="AJ10" s="25"/>
      <c r="AK10" s="25"/>
      <c r="AL10" s="6"/>
      <c r="AM10" s="14"/>
    </row>
    <row r="11" spans="2:39" x14ac:dyDescent="0.3">
      <c r="C11" s="49" t="s">
        <v>31</v>
      </c>
      <c r="D11" s="13"/>
      <c r="E11" s="13"/>
      <c r="F11" s="66">
        <v>10</v>
      </c>
      <c r="G11" s="67"/>
      <c r="H11" s="101"/>
      <c r="L11" s="1" t="s">
        <v>32</v>
      </c>
      <c r="V11" s="7"/>
      <c r="AG11" s="24"/>
      <c r="AH11" s="25"/>
      <c r="AI11" s="25"/>
      <c r="AJ11" s="25"/>
      <c r="AK11" s="25"/>
      <c r="AL11" s="6"/>
      <c r="AM11" s="14"/>
    </row>
    <row r="12" spans="2:39" x14ac:dyDescent="0.3">
      <c r="C12" s="49" t="s">
        <v>33</v>
      </c>
      <c r="D12" s="13"/>
      <c r="E12" s="13"/>
      <c r="F12" s="66"/>
      <c r="G12" s="67"/>
      <c r="H12" s="101">
        <v>5.85</v>
      </c>
      <c r="L12" s="1" t="s">
        <v>34</v>
      </c>
      <c r="V12" s="7"/>
      <c r="AG12" s="24"/>
      <c r="AH12" s="25"/>
      <c r="AI12" s="25"/>
      <c r="AJ12" s="25"/>
      <c r="AK12" s="25"/>
      <c r="AL12" s="6"/>
      <c r="AM12" s="14"/>
    </row>
    <row r="13" spans="2:39" x14ac:dyDescent="0.3">
      <c r="C13" s="102"/>
      <c r="F13" s="61"/>
      <c r="G13" s="20"/>
      <c r="H13" s="103"/>
      <c r="L13" s="1" t="s">
        <v>35</v>
      </c>
      <c r="V13" s="7"/>
      <c r="AG13" s="19"/>
      <c r="AL13" s="7"/>
      <c r="AM13" s="20"/>
    </row>
    <row r="14" spans="2:39" x14ac:dyDescent="0.3">
      <c r="C14" s="49"/>
      <c r="D14" s="13"/>
      <c r="E14" s="13"/>
      <c r="F14" s="66"/>
      <c r="G14" s="67"/>
      <c r="H14" s="101"/>
      <c r="L14" s="1" t="s">
        <v>36</v>
      </c>
      <c r="V14" s="7"/>
      <c r="AG14" s="19"/>
      <c r="AL14" s="7"/>
      <c r="AM14" s="20"/>
    </row>
    <row r="15" spans="2:39" x14ac:dyDescent="0.3">
      <c r="C15" s="50"/>
      <c r="D15" s="104"/>
      <c r="E15" s="104"/>
      <c r="F15" s="105"/>
      <c r="G15" s="106"/>
      <c r="H15" s="107"/>
      <c r="L15" s="1" t="s">
        <v>37</v>
      </c>
      <c r="V15" s="7"/>
      <c r="AG15" s="19" t="s">
        <v>38</v>
      </c>
      <c r="AL15" s="7">
        <v>15</v>
      </c>
      <c r="AM15" s="20">
        <v>15</v>
      </c>
    </row>
    <row r="16" spans="2:39" x14ac:dyDescent="0.3">
      <c r="C16" s="108" t="s">
        <v>39</v>
      </c>
      <c r="D16" s="41"/>
      <c r="E16" s="41"/>
      <c r="F16" s="109">
        <f>SUM(F10:F15)</f>
        <v>19.32</v>
      </c>
      <c r="G16" s="110">
        <f>SUM(G10:G15)</f>
        <v>0</v>
      </c>
      <c r="H16" s="87">
        <f>SUM(H10:H15)</f>
        <v>5.85</v>
      </c>
      <c r="V16" s="6"/>
      <c r="AG16" s="19" t="s">
        <v>40</v>
      </c>
      <c r="AL16" s="7">
        <v>30</v>
      </c>
      <c r="AM16" s="20" t="s">
        <v>41</v>
      </c>
    </row>
    <row r="17" spans="2:39" x14ac:dyDescent="0.3">
      <c r="H17" s="6"/>
      <c r="AG17" s="21" t="s">
        <v>42</v>
      </c>
      <c r="AH17" s="5"/>
      <c r="AI17" s="5"/>
      <c r="AJ17" s="5"/>
      <c r="AK17" s="5"/>
      <c r="AL17" s="8">
        <v>5</v>
      </c>
      <c r="AM17" s="22">
        <v>5</v>
      </c>
    </row>
    <row r="21" spans="2:39" ht="21" x14ac:dyDescent="0.4">
      <c r="B21" s="45" t="s">
        <v>43</v>
      </c>
      <c r="C21" s="41"/>
      <c r="D21" s="41"/>
      <c r="E21" s="41"/>
      <c r="F21" s="41"/>
      <c r="G21" s="41"/>
      <c r="H21" s="41"/>
      <c r="I21" s="41"/>
      <c r="J21" s="41"/>
      <c r="K21" s="41"/>
      <c r="L21" s="41"/>
      <c r="M21" s="41"/>
      <c r="N21" s="41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  <c r="AA21" s="42"/>
    </row>
    <row r="22" spans="2:39" x14ac:dyDescent="0.3">
      <c r="B22" s="1"/>
    </row>
    <row r="23" spans="2:39" x14ac:dyDescent="0.3">
      <c r="B23" s="3" t="s">
        <v>44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</row>
    <row r="32" spans="2:39" x14ac:dyDescent="0.3">
      <c r="O32" s="12" t="s">
        <v>45</v>
      </c>
      <c r="P32" s="36">
        <v>1</v>
      </c>
    </row>
    <row r="33" spans="2:20" x14ac:dyDescent="0.3">
      <c r="O33" s="12" t="s">
        <v>46</v>
      </c>
      <c r="P33" s="40">
        <f>IF(P32=1,0.4,0.3)</f>
        <v>0.4</v>
      </c>
    </row>
    <row r="47" spans="2:20" x14ac:dyDescent="0.3">
      <c r="B47" s="3" t="s">
        <v>47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</row>
    <row r="53" spans="15:16" x14ac:dyDescent="0.3">
      <c r="O53" s="12" t="s">
        <v>48</v>
      </c>
      <c r="P53" s="43" t="s">
        <v>49</v>
      </c>
    </row>
    <row r="54" spans="15:16" x14ac:dyDescent="0.3">
      <c r="O54" s="12"/>
    </row>
    <row r="55" spans="15:16" ht="15.6" x14ac:dyDescent="0.3">
      <c r="O55" s="12" t="s">
        <v>50</v>
      </c>
      <c r="P55" s="40">
        <f>IF(P53="S1",2.5,IF(P53="S2",2.75,IF(P53="S3",3,3)))</f>
        <v>3</v>
      </c>
    </row>
    <row r="56" spans="15:16" x14ac:dyDescent="0.3">
      <c r="O56" s="12"/>
    </row>
    <row r="57" spans="15:16" ht="15.6" x14ac:dyDescent="0.3">
      <c r="O57" s="12" t="s">
        <v>51</v>
      </c>
      <c r="P57" s="40">
        <f>IF(P53="S1",0.3,IF(P53="S2",0.5,IF(P53="S3",0.6,0.9)))</f>
        <v>0.6</v>
      </c>
    </row>
    <row r="71" spans="2:20" x14ac:dyDescent="0.3">
      <c r="B71" s="3" t="s">
        <v>52</v>
      </c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</row>
    <row r="83" spans="2:20" x14ac:dyDescent="0.3">
      <c r="P83" s="12" t="s">
        <v>53</v>
      </c>
      <c r="Q83" s="43" t="s">
        <v>54</v>
      </c>
    </row>
    <row r="85" spans="2:20" x14ac:dyDescent="0.3">
      <c r="P85" s="12" t="s">
        <v>55</v>
      </c>
      <c r="Q85" s="40">
        <f>IF(Q83="I",1.5,IF(Q83="II",1.2,1))</f>
        <v>1</v>
      </c>
    </row>
    <row r="92" spans="2:20" x14ac:dyDescent="0.3">
      <c r="B92" s="3" t="s">
        <v>56</v>
      </c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</row>
    <row r="97" spans="15:16" ht="15.6" x14ac:dyDescent="0.3">
      <c r="O97" s="12" t="s">
        <v>57</v>
      </c>
      <c r="P97" s="36">
        <v>6</v>
      </c>
    </row>
    <row r="98" spans="15:16" x14ac:dyDescent="0.3">
      <c r="O98" s="12"/>
    </row>
    <row r="99" spans="15:16" x14ac:dyDescent="0.3">
      <c r="O99" s="12" t="s">
        <v>58</v>
      </c>
      <c r="P99" s="36">
        <v>7</v>
      </c>
    </row>
    <row r="124" spans="2:20" x14ac:dyDescent="0.3">
      <c r="B124" s="3" t="s">
        <v>59</v>
      </c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</row>
    <row r="127" spans="2:20" x14ac:dyDescent="0.3">
      <c r="E127" s="12" t="s">
        <v>60</v>
      </c>
      <c r="F127" s="136" t="s">
        <v>61</v>
      </c>
      <c r="G127" s="136"/>
    </row>
    <row r="129" spans="4:7" ht="15.6" x14ac:dyDescent="0.3">
      <c r="E129" s="12" t="s">
        <v>62</v>
      </c>
      <c r="F129" s="40">
        <f>IF(F127="Marco de Acero",0.085,IF(F127="Marco de Concreto",0.073,0.049))</f>
        <v>0.085</v>
      </c>
    </row>
    <row r="131" spans="4:7" ht="15.6" x14ac:dyDescent="0.3">
      <c r="E131" s="12" t="s">
        <v>63</v>
      </c>
      <c r="F131" s="36">
        <f>(10.43+9.6)/2</f>
        <v>10.015</v>
      </c>
      <c r="G131" t="s">
        <v>64</v>
      </c>
    </row>
    <row r="133" spans="4:7" x14ac:dyDescent="0.3">
      <c r="E133" s="12" t="s">
        <v>65</v>
      </c>
      <c r="F133" s="62">
        <f>IF(F129*F131^(3/4)&lt;=P57,P57,IF(F129*F131^(3/4)&lt;=6*P57,F129*F131^(3/4),6*P57))</f>
        <v>0.6</v>
      </c>
      <c r="G133" t="s">
        <v>66</v>
      </c>
    </row>
    <row r="135" spans="4:7" ht="15.6" x14ac:dyDescent="0.3">
      <c r="D135" s="1"/>
      <c r="E135" s="17" t="s">
        <v>67</v>
      </c>
      <c r="F135" s="52">
        <f>P33*Q85*P55/P99*(P57/F133)^(2/3)</f>
        <v>0.171428571428571</v>
      </c>
    </row>
    <row r="136" spans="4:7" x14ac:dyDescent="0.3">
      <c r="D136" s="1"/>
      <c r="E136" s="17"/>
    </row>
    <row r="137" spans="4:7" x14ac:dyDescent="0.3">
      <c r="E137" s="12" t="s">
        <v>68</v>
      </c>
      <c r="F137" s="36">
        <v>0.6231</v>
      </c>
      <c r="G137" t="s">
        <v>66</v>
      </c>
    </row>
    <row r="139" spans="4:7" ht="15.6" x14ac:dyDescent="0.3">
      <c r="E139" s="17" t="s">
        <v>69</v>
      </c>
      <c r="F139" s="52">
        <f>P33*Q85*P55/P99*(P57/MAX(P57,MIN(F137,6*P57)))^(2/3)</f>
        <v>0.167165071641971</v>
      </c>
    </row>
    <row r="140" spans="4:7" ht="16.5" customHeight="1" x14ac:dyDescent="0.3"/>
    <row r="141" spans="4:7" x14ac:dyDescent="0.3">
      <c r="E141" s="12" t="s">
        <v>70</v>
      </c>
      <c r="F141" s="37">
        <f>0.8*F135</f>
        <v>0.137142857142857</v>
      </c>
    </row>
    <row r="143" spans="4:7" x14ac:dyDescent="0.3">
      <c r="E143" s="17" t="s">
        <v>71</v>
      </c>
      <c r="F143" s="54">
        <f>MAX(F141,F139)</f>
        <v>0.167165071641971</v>
      </c>
    </row>
    <row r="148" spans="2:25" s="39" customFormat="1" x14ac:dyDescent="0.3"/>
    <row r="151" spans="2:25" ht="21" customHeight="1" x14ac:dyDescent="0.3">
      <c r="B151" s="85" t="s">
        <v>72</v>
      </c>
      <c r="C151" s="83"/>
      <c r="D151" s="83"/>
      <c r="E151" s="83"/>
      <c r="F151" s="83"/>
      <c r="G151" s="83"/>
      <c r="H151" s="83"/>
      <c r="I151" s="83"/>
      <c r="J151" s="83"/>
      <c r="K151" s="83"/>
      <c r="L151" s="83"/>
      <c r="M151" s="83"/>
      <c r="N151" s="83"/>
      <c r="O151" s="83"/>
      <c r="P151" s="83"/>
      <c r="Q151" s="83"/>
      <c r="R151" s="83"/>
      <c r="S151" s="83"/>
      <c r="T151" s="83"/>
      <c r="U151" s="83"/>
      <c r="V151" s="83"/>
      <c r="W151" s="83"/>
      <c r="X151" s="83"/>
      <c r="Y151" s="84"/>
    </row>
    <row r="153" spans="2:25" ht="15.6" x14ac:dyDescent="0.3">
      <c r="B153" s="46" t="s">
        <v>73</v>
      </c>
    </row>
    <row r="154" spans="2:25" x14ac:dyDescent="0.3">
      <c r="B154" s="1"/>
    </row>
    <row r="155" spans="2:25" ht="30.75" customHeight="1" x14ac:dyDescent="0.3">
      <c r="B155" s="1"/>
      <c r="C155" s="63" t="s">
        <v>74</v>
      </c>
      <c r="D155" s="63" t="s">
        <v>75</v>
      </c>
      <c r="E155" s="63" t="s">
        <v>76</v>
      </c>
      <c r="F155" s="63" t="s">
        <v>77</v>
      </c>
      <c r="G155" s="63" t="s">
        <v>78</v>
      </c>
    </row>
    <row r="156" spans="2:25" x14ac:dyDescent="0.3">
      <c r="B156" s="1"/>
      <c r="C156" t="s">
        <v>79</v>
      </c>
    </row>
    <row r="157" spans="2:25" x14ac:dyDescent="0.3">
      <c r="B157" s="1"/>
      <c r="C157" t="s">
        <v>80</v>
      </c>
    </row>
    <row r="158" spans="2:25" x14ac:dyDescent="0.3">
      <c r="B158" s="1"/>
      <c r="C158" t="s">
        <v>81</v>
      </c>
    </row>
    <row r="159" spans="2:25" x14ac:dyDescent="0.3">
      <c r="B159" s="1"/>
      <c r="C159" t="s">
        <v>82</v>
      </c>
    </row>
    <row r="160" spans="2:25" x14ac:dyDescent="0.3">
      <c r="B160" s="1"/>
      <c r="C160" t="s">
        <v>83</v>
      </c>
    </row>
    <row r="161" spans="2:14" x14ac:dyDescent="0.3">
      <c r="B161" s="1"/>
    </row>
    <row r="163" spans="2:14" x14ac:dyDescent="0.3">
      <c r="C163" s="1"/>
      <c r="D163" s="17" t="s">
        <v>84</v>
      </c>
      <c r="E163" s="1">
        <f>SUM(G156:G160)</f>
        <v>0</v>
      </c>
      <c r="F163" s="1" t="s">
        <v>85</v>
      </c>
      <c r="G163" s="55">
        <f>E163/1000</f>
        <v>0</v>
      </c>
      <c r="H163" s="1" t="s">
        <v>86</v>
      </c>
    </row>
    <row r="164" spans="2:14" x14ac:dyDescent="0.3">
      <c r="C164" s="1"/>
      <c r="D164" s="17"/>
      <c r="E164" s="1"/>
      <c r="F164" s="1"/>
      <c r="G164" s="55"/>
      <c r="H164" s="1"/>
    </row>
    <row r="165" spans="2:14" x14ac:dyDescent="0.3">
      <c r="D165" s="17" t="s">
        <v>87</v>
      </c>
      <c r="E165" s="82">
        <v>12887.12</v>
      </c>
      <c r="F165" s="1" t="s">
        <v>85</v>
      </c>
      <c r="G165" s="55">
        <f>E165/1000</f>
        <v>12.88712</v>
      </c>
      <c r="H165" s="1" t="s">
        <v>86</v>
      </c>
    </row>
    <row r="166" spans="2:14" x14ac:dyDescent="0.3">
      <c r="D166" s="17" t="s">
        <v>88</v>
      </c>
      <c r="E166" s="82">
        <v>12887.12</v>
      </c>
      <c r="F166" s="1" t="s">
        <v>85</v>
      </c>
      <c r="G166" s="55">
        <f>E166/1000</f>
        <v>12.88712</v>
      </c>
      <c r="H166" s="1" t="s">
        <v>86</v>
      </c>
    </row>
    <row r="168" spans="2:14" x14ac:dyDescent="0.3">
      <c r="D168" s="17" t="s">
        <v>89</v>
      </c>
      <c r="E168" s="1"/>
      <c r="F168" s="1" t="s">
        <v>90</v>
      </c>
      <c r="G168" s="86">
        <f>F135</f>
        <v>0.171428571428571</v>
      </c>
    </row>
    <row r="169" spans="2:14" x14ac:dyDescent="0.3">
      <c r="C169" s="1"/>
      <c r="D169" s="1"/>
      <c r="E169" s="1"/>
      <c r="F169" s="1"/>
      <c r="G169" s="65"/>
    </row>
    <row r="170" spans="2:14" x14ac:dyDescent="0.3">
      <c r="C170" s="1"/>
      <c r="D170" s="17" t="s">
        <v>91</v>
      </c>
      <c r="E170" s="1"/>
      <c r="F170" s="1" t="s">
        <v>92</v>
      </c>
      <c r="G170" s="51">
        <f>G168*G165</f>
        <v>2.20922057142857</v>
      </c>
      <c r="H170" s="1" t="s">
        <v>86</v>
      </c>
    </row>
    <row r="171" spans="2:14" x14ac:dyDescent="0.3">
      <c r="C171" s="1"/>
      <c r="D171" s="17" t="s">
        <v>93</v>
      </c>
      <c r="E171" s="1"/>
      <c r="F171" s="1" t="s">
        <v>92</v>
      </c>
      <c r="G171" s="51">
        <f>G168*G166</f>
        <v>2.20922057142857</v>
      </c>
      <c r="H171" s="1" t="s">
        <v>86</v>
      </c>
    </row>
    <row r="173" spans="2:14" ht="26.25" customHeight="1" x14ac:dyDescent="0.3">
      <c r="B173" s="139" t="s">
        <v>94</v>
      </c>
      <c r="C173" s="139"/>
      <c r="D173" s="139"/>
      <c r="E173" s="139"/>
      <c r="F173" s="139"/>
      <c r="G173" s="139"/>
      <c r="H173" s="139"/>
      <c r="I173" s="139"/>
      <c r="J173" s="139"/>
      <c r="K173" s="139"/>
      <c r="L173" s="139"/>
    </row>
    <row r="174" spans="2:14" ht="19.5" customHeight="1" x14ac:dyDescent="0.3">
      <c r="B174" s="111"/>
      <c r="C174" s="112"/>
      <c r="D174" s="113"/>
      <c r="E174" s="140" t="s">
        <v>95</v>
      </c>
      <c r="F174" s="140"/>
      <c r="G174" s="140"/>
      <c r="H174" s="111"/>
      <c r="I174" s="112"/>
      <c r="J174" s="112"/>
      <c r="K174" s="141" t="s">
        <v>96</v>
      </c>
      <c r="L174" s="142"/>
    </row>
    <row r="175" spans="2:14" ht="16.5" customHeight="1" x14ac:dyDescent="0.3">
      <c r="B175" s="56" t="s">
        <v>97</v>
      </c>
      <c r="C175" s="56" t="s">
        <v>98</v>
      </c>
      <c r="D175" s="56" t="s">
        <v>99</v>
      </c>
      <c r="E175" s="58" t="s">
        <v>100</v>
      </c>
      <c r="F175" s="58" t="s">
        <v>101</v>
      </c>
      <c r="G175" s="58" t="s">
        <v>102</v>
      </c>
      <c r="H175" s="56" t="s">
        <v>103</v>
      </c>
      <c r="I175" s="56" t="s">
        <v>99</v>
      </c>
      <c r="J175" s="56" t="s">
        <v>104</v>
      </c>
      <c r="K175" s="56" t="s">
        <v>105</v>
      </c>
      <c r="L175" s="56" t="s">
        <v>106</v>
      </c>
    </row>
    <row r="176" spans="2:14" ht="16.5" customHeight="1" x14ac:dyDescent="0.3">
      <c r="B176" s="57"/>
      <c r="C176" s="57" t="s">
        <v>107</v>
      </c>
      <c r="D176" s="57" t="s">
        <v>108</v>
      </c>
      <c r="E176" s="57" t="s">
        <v>109</v>
      </c>
      <c r="F176" s="57" t="s">
        <v>109</v>
      </c>
      <c r="G176" s="57" t="s">
        <v>109</v>
      </c>
      <c r="H176" s="57"/>
      <c r="I176" s="57" t="s">
        <v>108</v>
      </c>
      <c r="J176" s="57" t="s">
        <v>110</v>
      </c>
      <c r="K176" s="57" t="s">
        <v>111</v>
      </c>
      <c r="L176" s="57" t="s">
        <v>111</v>
      </c>
      <c r="N176" s="59" t="s">
        <v>112</v>
      </c>
    </row>
    <row r="177" spans="2:27" x14ac:dyDescent="0.3">
      <c r="B177" s="33">
        <v>1</v>
      </c>
      <c r="C177" s="28">
        <v>1.605</v>
      </c>
      <c r="D177" s="64">
        <v>0.6231</v>
      </c>
      <c r="E177" s="28">
        <v>81.87</v>
      </c>
      <c r="F177" s="28">
        <v>0.0</v>
      </c>
      <c r="G177" s="28">
        <v>0.0</v>
      </c>
      <c r="H177" s="28" t="s">
        <v>113</v>
      </c>
      <c r="I177" s="29">
        <f>ROUND(D177,2)</f>
        <v>0.62</v>
      </c>
      <c r="J177" s="31">
        <f>VLOOKUP(I177,$H$252:$I$551,2,0)</f>
        <v>0.167721825228907</v>
      </c>
      <c r="K177" s="32">
        <f>J177*$K$222*E177/100</f>
        <v>1769.58016976719</v>
      </c>
      <c r="L177" s="34">
        <f>J177*$K$223*G177/100</f>
        <v>0</v>
      </c>
      <c r="N177" s="10" t="s">
        <v>114</v>
      </c>
      <c r="O177" s="26">
        <f>SUM(W177:W234)</f>
        <v>8.019</v>
      </c>
      <c r="P177" t="s">
        <v>86</v>
      </c>
    </row>
    <row r="178" spans="2:27" x14ac:dyDescent="0.3">
      <c r="B178" s="33">
        <v>2</v>
      </c>
      <c r="C178" s="28">
        <v>2.372</v>
      </c>
      <c r="D178" s="64">
        <v>0.42159</v>
      </c>
      <c r="E178" s="28">
        <v>4.86</v>
      </c>
      <c r="F178" s="28">
        <v>0.0</v>
      </c>
      <c r="G178" s="28">
        <v>0.14</v>
      </c>
      <c r="H178" s="28" t="s">
        <v>113</v>
      </c>
      <c r="I178" s="29">
        <f t="shared" ref="I178" si="0">ROUND(D178,2)</f>
        <v>0.42</v>
      </c>
      <c r="J178" s="31">
        <f>VLOOKUP(I178,$H$252:$I$551,2,0)</f>
        <v>0.171428571428571</v>
      </c>
      <c r="K178" s="32">
        <f>J178*$K$222*E178/100</f>
        <v>107.368119771429</v>
      </c>
      <c r="L178" s="34">
        <f>J178*$K$223*G178/100</f>
        <v>3.0929088</v>
      </c>
      <c r="N178" s="10" t="s">
        <v>115</v>
      </c>
      <c r="O178" s="26">
        <f>SUM(AI177:AI234)</f>
        <v>0</v>
      </c>
      <c r="P178" t="s">
        <v>86</v>
      </c>
    </row>
    <row r="179" spans="2:27" x14ac:dyDescent="0.3">
      <c r="B179" s="33">
        <v>3</v>
      </c>
      <c r="C179" s="28">
        <v>2.542</v>
      </c>
      <c r="D179" s="64">
        <v>0.39343</v>
      </c>
      <c r="E179" s="28">
        <v>0.0</v>
      </c>
      <c r="F179" s="28">
        <v>0.0</v>
      </c>
      <c r="G179" s="28">
        <v>89.87</v>
      </c>
      <c r="H179" s="28" t="s">
        <v>113</v>
      </c>
      <c r="I179" s="29">
        <f t="shared" ref="I179" si="1">ROUND(D179,2)</f>
        <v>0.39</v>
      </c>
      <c r="J179" s="31">
        <f t="shared" ref="J179" si="2">VLOOKUP(I179,$H$252:$I$551,2,0)</f>
        <v>0.171428571428571</v>
      </c>
      <c r="K179" s="32">
        <f t="shared" ref="K179" si="3">J179*$K$222*E179/100</f>
        <v>0</v>
      </c>
      <c r="L179" s="34">
        <f t="shared" ref="L179" si="4">J179*$K$223*G179/100</f>
        <v>1985.42652754286</v>
      </c>
      <c r="N179" s="10"/>
      <c r="O179" s="26"/>
    </row>
    <row r="180" spans="2:27" x14ac:dyDescent="0.3">
      <c r="B180" s="33">
        <v>4</v>
      </c>
      <c r="C180" s="28">
        <v>3.53</v>
      </c>
      <c r="D180" s="64">
        <v>0.2833</v>
      </c>
      <c r="E180" s="28">
        <v>0.02</v>
      </c>
      <c r="F180" s="28">
        <v>0.0</v>
      </c>
      <c r="G180" s="28">
        <v>0.0</v>
      </c>
      <c r="H180" s="28" t="s">
        <v>113</v>
      </c>
      <c r="I180" s="29">
        <f t="shared" ref="I180:I219" si="5">ROUND(D180,2)</f>
        <v>0.28</v>
      </c>
      <c r="J180" s="31">
        <f t="shared" ref="J180:J219" si="6">VLOOKUP(I180,$H$252:$I$551,2,0)</f>
        <v>0.171428571428571</v>
      </c>
      <c r="K180" s="32">
        <f t="shared" ref="K180:K219" si="7">J180*$K$222*E180/100</f>
        <v>0.441844114285714</v>
      </c>
      <c r="L180" s="34">
        <f t="shared" ref="L180:L219" si="8">J180*$K$223*G180/100</f>
        <v>0</v>
      </c>
      <c r="N180" s="10"/>
      <c r="O180" s="26"/>
    </row>
    <row r="181" spans="2:27" x14ac:dyDescent="0.3">
      <c r="B181" s="33">
        <v>5</v>
      </c>
      <c r="C181" s="28">
        <v>4.147</v>
      </c>
      <c r="D181" s="64">
        <v>0.24115</v>
      </c>
      <c r="E181" s="28">
        <v>0.01</v>
      </c>
      <c r="F181" s="28">
        <v>0.0</v>
      </c>
      <c r="G181" s="28">
        <v>1.02</v>
      </c>
      <c r="H181" s="28" t="s">
        <v>113</v>
      </c>
      <c r="I181" s="29">
        <f t="shared" si="5"/>
        <v>0.24</v>
      </c>
      <c r="J181" s="31">
        <f t="shared" si="6"/>
        <v>0.171428571428571</v>
      </c>
      <c r="K181" s="32">
        <f t="shared" si="7"/>
        <v>0.220922057142857</v>
      </c>
      <c r="L181" s="34">
        <f t="shared" si="8"/>
        <v>22.5340498285714</v>
      </c>
      <c r="N181" s="10"/>
      <c r="O181" s="26"/>
    </row>
    <row r="182" spans="2:27" x14ac:dyDescent="0.3">
      <c r="B182" s="33">
        <v>6</v>
      </c>
      <c r="C182" s="28">
        <v>4.427</v>
      </c>
      <c r="D182" s="64">
        <v>0.22586</v>
      </c>
      <c r="E182" s="28">
        <v>0.02</v>
      </c>
      <c r="F182" s="28">
        <v>0.0</v>
      </c>
      <c r="G182" s="28">
        <v>0.33</v>
      </c>
      <c r="H182" s="28" t="s">
        <v>113</v>
      </c>
      <c r="I182" s="29">
        <f t="shared" si="5"/>
        <v>0.23</v>
      </c>
      <c r="J182" s="31">
        <f t="shared" si="6"/>
        <v>0.171428571428571</v>
      </c>
      <c r="K182" s="32">
        <f t="shared" si="7"/>
        <v>0.441844114285714</v>
      </c>
      <c r="L182" s="34">
        <f t="shared" si="8"/>
        <v>7.29042788571429</v>
      </c>
      <c r="N182" s="10"/>
      <c r="O182" s="26"/>
    </row>
    <row r="183" spans="2:27" x14ac:dyDescent="0.3">
      <c r="B183" s="33">
        <v>7</v>
      </c>
      <c r="C183" s="28">
        <v>5.077</v>
      </c>
      <c r="D183" s="64">
        <v>0.19695</v>
      </c>
      <c r="E183" s="28">
        <v>0.03</v>
      </c>
      <c r="F183" s="28">
        <v>0.0</v>
      </c>
      <c r="G183" s="28">
        <v>1.75</v>
      </c>
      <c r="H183" s="28" t="s">
        <v>113</v>
      </c>
      <c r="I183" s="29">
        <f t="shared" si="5"/>
        <v>0.2</v>
      </c>
      <c r="J183" s="31">
        <f t="shared" si="6"/>
        <v>0.171428571428571</v>
      </c>
      <c r="K183" s="32">
        <f t="shared" si="7"/>
        <v>0.662766171428572</v>
      </c>
      <c r="L183" s="34">
        <f t="shared" si="8"/>
        <v>38.66136</v>
      </c>
      <c r="N183" s="10"/>
      <c r="O183" s="26"/>
    </row>
    <row r="184" spans="2:27" x14ac:dyDescent="0.3">
      <c r="B184" s="33">
        <v>8</v>
      </c>
      <c r="C184" s="28">
        <v>5.392</v>
      </c>
      <c r="D184" s="64">
        <v>0.18546</v>
      </c>
      <c r="E184" s="28">
        <v>0.35</v>
      </c>
      <c r="F184" s="28">
        <v>0.0</v>
      </c>
      <c r="G184" s="28">
        <v>0.01</v>
      </c>
      <c r="H184" s="28" t="s">
        <v>113</v>
      </c>
      <c r="I184" s="29">
        <f t="shared" si="5"/>
        <v>0.19</v>
      </c>
      <c r="J184" s="31">
        <f t="shared" si="6"/>
        <v>0.165714285714286</v>
      </c>
      <c r="K184" s="32">
        <f t="shared" si="7"/>
        <v>7.4745296</v>
      </c>
      <c r="L184" s="34">
        <f t="shared" si="8"/>
        <v>0.213557988571429</v>
      </c>
      <c r="N184" s="10"/>
      <c r="O184" s="26"/>
    </row>
    <row r="185" spans="2:27" x14ac:dyDescent="0.3">
      <c r="B185" s="33">
        <v>9</v>
      </c>
      <c r="C185" s="28">
        <v>5.923</v>
      </c>
      <c r="D185" s="64">
        <v>0.16884</v>
      </c>
      <c r="E185" s="28">
        <v>0.0</v>
      </c>
      <c r="F185" s="28">
        <v>0.0</v>
      </c>
      <c r="G185" s="28">
        <v>0.36</v>
      </c>
      <c r="H185" s="28" t="s">
        <v>113</v>
      </c>
      <c r="I185" s="29">
        <f t="shared" si="5"/>
        <v>0.17</v>
      </c>
      <c r="J185" s="31">
        <f t="shared" si="6"/>
        <v>0.154285714285714</v>
      </c>
      <c r="K185" s="32">
        <f t="shared" si="7"/>
        <v>0</v>
      </c>
      <c r="L185" s="34">
        <f t="shared" si="8"/>
        <v>7.15787465142857</v>
      </c>
      <c r="N185" s="10"/>
    </row>
    <row r="186" spans="2:27" x14ac:dyDescent="0.3">
      <c r="B186" s="33">
        <v>10</v>
      </c>
      <c r="C186" s="28">
        <v>7.071</v>
      </c>
      <c r="D186" s="64">
        <v>0.14142</v>
      </c>
      <c r="E186" s="28">
        <v>0.0</v>
      </c>
      <c r="F186" s="28">
        <v>0.0</v>
      </c>
      <c r="G186" s="28">
        <v>0.14</v>
      </c>
      <c r="H186" s="28" t="s">
        <v>113</v>
      </c>
      <c r="I186" s="29">
        <f t="shared" si="5"/>
        <v>0.14</v>
      </c>
      <c r="J186" s="31">
        <f t="shared" si="6"/>
        <v>0.137142857142857</v>
      </c>
      <c r="K186" s="32">
        <f t="shared" si="7"/>
        <v>0</v>
      </c>
      <c r="L186" s="34">
        <f t="shared" si="8"/>
        <v>2.47432704</v>
      </c>
      <c r="N186" s="10"/>
    </row>
    <row r="187" spans="2:27" x14ac:dyDescent="0.3">
      <c r="B187" s="33">
        <v>11</v>
      </c>
      <c r="C187" s="28">
        <v>7.258</v>
      </c>
      <c r="D187" s="64">
        <v>0.13778</v>
      </c>
      <c r="E187" s="28">
        <v>0.0</v>
      </c>
      <c r="F187" s="28">
        <v>0.0</v>
      </c>
      <c r="G187" s="28">
        <v>0.03</v>
      </c>
      <c r="H187" s="28" t="s">
        <v>113</v>
      </c>
      <c r="I187" s="29">
        <f t="shared" si="5"/>
        <v>0.14</v>
      </c>
      <c r="J187" s="31">
        <f t="shared" si="6"/>
        <v>0.137142857142857</v>
      </c>
      <c r="K187" s="32">
        <f t="shared" si="7"/>
        <v>0</v>
      </c>
      <c r="L187" s="34">
        <f t="shared" si="8"/>
        <v>0.530212937142857</v>
      </c>
      <c r="N187" s="59" t="s">
        <v>116</v>
      </c>
    </row>
    <row r="188" spans="2:27" x14ac:dyDescent="0.3">
      <c r="B188" s="33">
        <v>12</v>
      </c>
      <c r="C188" s="28">
        <v>7.514</v>
      </c>
      <c r="D188" s="64">
        <v>0.13309</v>
      </c>
      <c r="E188" s="28">
        <v>0.0</v>
      </c>
      <c r="F188" s="28">
        <v>0.0</v>
      </c>
      <c r="G188" s="28">
        <v>0.05</v>
      </c>
      <c r="H188" s="28" t="s">
        <v>113</v>
      </c>
      <c r="I188" s="29">
        <f t="shared" si="5"/>
        <v>0.13</v>
      </c>
      <c r="J188" s="31">
        <f t="shared" si="6"/>
        <v>0.131428571428571</v>
      </c>
      <c r="K188" s="32">
        <f t="shared" si="7"/>
        <v>0</v>
      </c>
      <c r="L188" s="34">
        <f t="shared" si="8"/>
        <v>0.846867885714286</v>
      </c>
      <c r="N188" s="10" t="s">
        <v>114</v>
      </c>
      <c r="O188" s="26">
        <f>SUM(AP177:AP262)/1000</f>
        <v>0</v>
      </c>
      <c r="P188" t="s">
        <v>86</v>
      </c>
      <c r="T188" t="s">
        <v>117</v>
      </c>
      <c r="V188" t="s">
        <v>118</v>
      </c>
      <c r="W188" t="s">
        <v>119</v>
      </c>
      <c r="X188" t="s">
        <v>118</v>
      </c>
      <c r="Y188" t="s">
        <v>120</v>
      </c>
    </row>
    <row r="189" spans="2:27" x14ac:dyDescent="0.3">
      <c r="B189" s="33">
        <v>13</v>
      </c>
      <c r="C189" s="28">
        <v>7.779</v>
      </c>
      <c r="D189" s="64">
        <v>0.12855</v>
      </c>
      <c r="E189" s="28">
        <v>0.01</v>
      </c>
      <c r="F189" s="28">
        <v>0.0</v>
      </c>
      <c r="G189" s="28">
        <v>0.09</v>
      </c>
      <c r="H189" s="28" t="s">
        <v>113</v>
      </c>
      <c r="I189" s="29">
        <f t="shared" si="5"/>
        <v>0.13</v>
      </c>
      <c r="J189" s="31">
        <f t="shared" si="6"/>
        <v>0.131428571428571</v>
      </c>
      <c r="K189" s="32">
        <f t="shared" si="7"/>
        <v>0.169373577142857</v>
      </c>
      <c r="L189" s="34">
        <f t="shared" si="8"/>
        <v>1.52436219428571</v>
      </c>
      <c r="N189" s="10" t="s">
        <v>115</v>
      </c>
      <c r="O189" s="26">
        <f>SUM(BA177:BA262)/1000</f>
        <v>0</v>
      </c>
      <c r="P189" t="s">
        <v>86</v>
      </c>
      <c r="T189" t="s">
        <v>121</v>
      </c>
      <c r="U189" t="s">
        <v>122</v>
      </c>
      <c r="V189" t="s">
        <v>123</v>
      </c>
      <c r="W189" t="s">
        <v>124</v>
      </c>
      <c r="X189" t="s">
        <v>125</v>
      </c>
      <c r="Y189" t="s">
        <v>126</v>
      </c>
      <c r="Z189" t="s">
        <v>127</v>
      </c>
      <c r="AA189" t="s">
        <v>128</v>
      </c>
    </row>
    <row r="190" spans="2:27" ht="14.25" customHeight="1" x14ac:dyDescent="0.3">
      <c r="B190" s="33">
        <v>14</v>
      </c>
      <c r="C190" s="28">
        <v>8.656</v>
      </c>
      <c r="D190" s="64">
        <v>0.11552</v>
      </c>
      <c r="E190" s="28">
        <v>0.01</v>
      </c>
      <c r="F190" s="28">
        <v>0.0</v>
      </c>
      <c r="G190" s="28">
        <v>0.21</v>
      </c>
      <c r="H190" s="28" t="s">
        <v>113</v>
      </c>
      <c r="I190" s="29">
        <f t="shared" si="5"/>
        <v>0.12</v>
      </c>
      <c r="J190" s="31">
        <f t="shared" si="6"/>
        <v>0.125714285714286</v>
      </c>
      <c r="K190" s="32">
        <f t="shared" si="7"/>
        <v>0.162009508571429</v>
      </c>
      <c r="L190" s="34">
        <f t="shared" si="8"/>
        <v>3.40219968</v>
      </c>
      <c r="N190" s="10"/>
      <c r="T190">
        <v>1</v>
      </c>
      <c r="U190" t="s">
        <v>129</v>
      </c>
      <c r="V190">
        <v>-16.126000000000001</v>
      </c>
      <c r="W190">
        <v>-9.5329999999999995</v>
      </c>
      <c r="X190">
        <v>2.4279999999999999</v>
      </c>
      <c r="Y190">
        <v>-8.359</v>
      </c>
      <c r="Z190">
        <v>3.2189999999999999</v>
      </c>
      <c r="AA190">
        <v>82.447999999999993</v>
      </c>
    </row>
    <row r="191" spans="2:27" ht="15.75" customHeight="1" x14ac:dyDescent="0.3">
      <c r="B191" s="33">
        <v>15</v>
      </c>
      <c r="C191" s="28">
        <v>9.279</v>
      </c>
      <c r="D191" s="64">
        <v>0.10777</v>
      </c>
      <c r="E191" s="28">
        <v>0.03</v>
      </c>
      <c r="F191" s="28">
        <v>0.0</v>
      </c>
      <c r="G191" s="28">
        <v>0.0</v>
      </c>
      <c r="H191" s="28" t="s">
        <v>113</v>
      </c>
      <c r="I191" s="29">
        <f t="shared" si="5"/>
        <v>0.11</v>
      </c>
      <c r="J191" s="31">
        <f t="shared" si="6"/>
        <v>0.12</v>
      </c>
      <c r="K191" s="32">
        <f t="shared" si="7"/>
        <v>0.46393632</v>
      </c>
      <c r="L191" s="34">
        <f t="shared" si="8"/>
        <v>0</v>
      </c>
      <c r="N191" s="10"/>
      <c r="T191">
        <v>2</v>
      </c>
      <c r="U191" t="s">
        <v>129</v>
      </c>
      <c r="V191">
        <v>-1.151</v>
      </c>
      <c r="W191">
        <v>4.484</v>
      </c>
      <c r="X191">
        <v>-0.16800000000000001</v>
      </c>
      <c r="Y191">
        <v>-1.115</v>
      </c>
      <c r="Z191">
        <v>0.25900000000000001</v>
      </c>
      <c r="AA191">
        <v>5.3310000000000004</v>
      </c>
    </row>
    <row r="192" spans="2:27" ht="15.75" customHeight="1" x14ac:dyDescent="0.3">
      <c r="B192" s="33">
        <v>16</v>
      </c>
      <c r="C192" s="28">
        <v>9.587</v>
      </c>
      <c r="D192" s="64">
        <v>0.10431</v>
      </c>
      <c r="E192" s="28">
        <v>0.01</v>
      </c>
      <c r="F192" s="28">
        <v>0.0</v>
      </c>
      <c r="G192" s="28">
        <v>0.51</v>
      </c>
      <c r="H192" s="28" t="s">
        <v>113</v>
      </c>
      <c r="I192" s="29">
        <f t="shared" si="5"/>
        <v>0.1</v>
      </c>
      <c r="J192" s="31">
        <f t="shared" si="6"/>
        <v>0.114285714285714</v>
      </c>
      <c r="K192" s="32">
        <f t="shared" si="7"/>
        <v>0.147281371428571</v>
      </c>
      <c r="L192" s="34">
        <f t="shared" si="8"/>
        <v>7.51134994285714</v>
      </c>
      <c r="N192" s="10"/>
      <c r="T192">
        <v>3</v>
      </c>
      <c r="U192" t="s">
        <v>129</v>
      </c>
      <c r="V192">
        <v>-1.0089999999999999</v>
      </c>
      <c r="W192">
        <v>7.0270000000000001</v>
      </c>
      <c r="X192">
        <v>-0.255</v>
      </c>
      <c r="Y192">
        <v>-1.5580000000000001</v>
      </c>
      <c r="Z192">
        <v>0.10100000000000001</v>
      </c>
      <c r="AA192">
        <v>4.9189999999999996</v>
      </c>
    </row>
    <row r="193" spans="2:27" ht="15.6" customHeight="1" x14ac:dyDescent="0.3">
      <c r="B193" s="33">
        <v>17</v>
      </c>
      <c r="C193" s="28">
        <v>9.696</v>
      </c>
      <c r="D193" s="64">
        <v>0.10313</v>
      </c>
      <c r="E193" s="28">
        <v>3.83</v>
      </c>
      <c r="F193" s="28">
        <v>0.0</v>
      </c>
      <c r="G193" s="28">
        <v>0.0</v>
      </c>
      <c r="H193" s="28" t="s">
        <v>113</v>
      </c>
      <c r="I193" s="29">
        <f t="shared" si="5"/>
        <v>0.1</v>
      </c>
      <c r="J193" s="31">
        <f t="shared" si="6"/>
        <v>0.114285714285714</v>
      </c>
      <c r="K193" s="32">
        <f t="shared" si="7"/>
        <v>56.4087652571429</v>
      </c>
      <c r="L193" s="34">
        <f t="shared" si="8"/>
        <v>0</v>
      </c>
      <c r="T193">
        <v>4</v>
      </c>
      <c r="U193" t="s">
        <v>129</v>
      </c>
      <c r="V193">
        <v>-0.79700000000000004</v>
      </c>
      <c r="W193">
        <v>0.59299999999999997</v>
      </c>
      <c r="X193">
        <v>-0.495</v>
      </c>
      <c r="Y193">
        <v>-2.1120000000000001</v>
      </c>
      <c r="Z193">
        <v>-3.4000000000000002E-2</v>
      </c>
      <c r="AA193">
        <v>4.1509999999999998</v>
      </c>
    </row>
    <row r="194" spans="2:27" ht="15.9" customHeight="1" x14ac:dyDescent="0.3">
      <c r="B194" s="33">
        <v>18</v>
      </c>
      <c r="C194" s="28">
        <v>9.98</v>
      </c>
      <c r="D194" s="64">
        <v>0.1002</v>
      </c>
      <c r="E194" s="28">
        <v>0.01</v>
      </c>
      <c r="F194" s="28">
        <v>0.0</v>
      </c>
      <c r="G194" s="28">
        <v>0.7</v>
      </c>
      <c r="H194" s="28" t="s">
        <v>113</v>
      </c>
      <c r="I194" s="29">
        <f t="shared" si="5"/>
        <v>0.1</v>
      </c>
      <c r="J194" s="31">
        <f t="shared" si="6"/>
        <v>0.114285714285714</v>
      </c>
      <c r="K194" s="32">
        <f t="shared" si="7"/>
        <v>0.147281371428571</v>
      </c>
      <c r="L194" s="34">
        <f t="shared" si="8"/>
        <v>10.309696</v>
      </c>
      <c r="T194">
        <v>5</v>
      </c>
      <c r="U194" t="s">
        <v>129</v>
      </c>
      <c r="V194">
        <v>-0.82299999999999995</v>
      </c>
      <c r="W194">
        <v>-0.90500000000000003</v>
      </c>
      <c r="X194">
        <v>-0.51500000000000001</v>
      </c>
      <c r="Y194">
        <v>-2.3239999999999998</v>
      </c>
      <c r="Z194">
        <v>-0.13600000000000001</v>
      </c>
      <c r="AA194">
        <v>4.1280000000000001</v>
      </c>
    </row>
    <row r="195" spans="2:27" ht="15.6" customHeight="1" x14ac:dyDescent="0.3">
      <c r="B195" s="33">
        <v>19</v>
      </c>
      <c r="C195" s="28">
        <v>10.194</v>
      </c>
      <c r="D195" s="64">
        <v>0.09809</v>
      </c>
      <c r="E195" s="28">
        <v>0.0</v>
      </c>
      <c r="F195" s="28">
        <v>0.0</v>
      </c>
      <c r="G195" s="28">
        <v>0.01</v>
      </c>
      <c r="H195" s="28" t="s">
        <v>113</v>
      </c>
      <c r="I195" s="29">
        <f t="shared" si="5"/>
        <v>0.1</v>
      </c>
      <c r="J195" s="31">
        <f t="shared" si="6"/>
        <v>0.114285714285714</v>
      </c>
      <c r="K195" s="32">
        <f t="shared" si="7"/>
        <v>0</v>
      </c>
      <c r="L195" s="34">
        <f t="shared" si="8"/>
        <v>0.147281371428571</v>
      </c>
      <c r="T195">
        <v>6</v>
      </c>
      <c r="U195" t="s">
        <v>129</v>
      </c>
      <c r="V195">
        <v>-0.82799999999999996</v>
      </c>
      <c r="W195">
        <v>-20.657</v>
      </c>
      <c r="X195">
        <v>-0.64600000000000002</v>
      </c>
      <c r="Y195">
        <v>-2.6890000000000001</v>
      </c>
      <c r="Z195">
        <v>0.27</v>
      </c>
      <c r="AA195">
        <v>4.335</v>
      </c>
    </row>
    <row r="196" spans="2:27" ht="15.6" customHeight="1" x14ac:dyDescent="0.3">
      <c r="B196" s="33">
        <v>20</v>
      </c>
      <c r="C196" s="28">
        <v>10.482</v>
      </c>
      <c r="D196" s="64">
        <v>0.0954</v>
      </c>
      <c r="E196" s="28">
        <v>0.0</v>
      </c>
      <c r="F196" s="28">
        <v>0.0</v>
      </c>
      <c r="G196" s="28">
        <v>0.0</v>
      </c>
      <c r="H196" s="28" t="s">
        <v>113</v>
      </c>
      <c r="I196" s="29">
        <f t="shared" si="5"/>
        <v>0.1</v>
      </c>
      <c r="J196" s="31">
        <f t="shared" si="6"/>
        <v>0.114285714285714</v>
      </c>
      <c r="K196" s="32">
        <f t="shared" si="7"/>
        <v>0</v>
      </c>
      <c r="L196" s="34">
        <f t="shared" si="8"/>
        <v>0</v>
      </c>
      <c r="T196">
        <v>7</v>
      </c>
      <c r="U196" t="s">
        <v>129</v>
      </c>
      <c r="V196">
        <v>-18.55</v>
      </c>
      <c r="W196">
        <v>21.863</v>
      </c>
      <c r="X196">
        <v>-2.94</v>
      </c>
      <c r="Y196">
        <v>-33.993000000000002</v>
      </c>
      <c r="Z196">
        <v>-1.887</v>
      </c>
      <c r="AA196">
        <v>97.242000000000004</v>
      </c>
    </row>
    <row r="197" spans="2:27" ht="15.6" customHeight="1" x14ac:dyDescent="0.3">
      <c r="B197" s="33">
        <v>21</v>
      </c>
      <c r="C197" s="28">
        <v>10.748</v>
      </c>
      <c r="D197" s="64">
        <v>0.09304</v>
      </c>
      <c r="E197" s="28">
        <v>0.02</v>
      </c>
      <c r="F197" s="28">
        <v>0.0</v>
      </c>
      <c r="G197" s="28">
        <v>0.0</v>
      </c>
      <c r="H197" s="28" t="s">
        <v>113</v>
      </c>
      <c r="I197" s="29">
        <f t="shared" si="5"/>
        <v>0.09</v>
      </c>
      <c r="J197" s="31">
        <f t="shared" si="6"/>
        <v>0.108571428571429</v>
      </c>
      <c r="K197" s="32">
        <f t="shared" si="7"/>
        <v>0.279834605714286</v>
      </c>
      <c r="L197" s="34">
        <f t="shared" si="8"/>
        <v>0</v>
      </c>
      <c r="T197">
        <v>8</v>
      </c>
      <c r="U197" t="s">
        <v>129</v>
      </c>
      <c r="V197">
        <v>-0.57399999999999995</v>
      </c>
      <c r="W197">
        <v>2.8359999999999999</v>
      </c>
      <c r="X197">
        <v>0.158</v>
      </c>
      <c r="Y197">
        <v>-0.17</v>
      </c>
      <c r="Z197">
        <v>0.30299999999999999</v>
      </c>
      <c r="AA197">
        <v>2.7170000000000001</v>
      </c>
    </row>
    <row r="198" spans="2:27" ht="15.6" customHeight="1" x14ac:dyDescent="0.3">
      <c r="B198" s="33">
        <v>22</v>
      </c>
      <c r="C198" s="28">
        <v>10.835</v>
      </c>
      <c r="D198" s="64">
        <v>0.0923</v>
      </c>
      <c r="E198" s="28">
        <v>0.03</v>
      </c>
      <c r="F198" s="28">
        <v>0.0</v>
      </c>
      <c r="G198" s="28">
        <v>0.0</v>
      </c>
      <c r="H198" s="28" t="s">
        <v>113</v>
      </c>
      <c r="I198" s="29">
        <f t="shared" si="5"/>
        <v>0.09</v>
      </c>
      <c r="J198" s="31">
        <f t="shared" si="6"/>
        <v>0.108571428571429</v>
      </c>
      <c r="K198" s="32">
        <f t="shared" si="7"/>
        <v>0.419751908571429</v>
      </c>
      <c r="L198" s="34">
        <f t="shared" si="8"/>
        <v>0</v>
      </c>
      <c r="T198">
        <v>10</v>
      </c>
      <c r="U198" t="s">
        <v>129</v>
      </c>
      <c r="V198">
        <v>-0.58399999999999996</v>
      </c>
      <c r="W198">
        <v>-3.2909999999999999</v>
      </c>
      <c r="X198">
        <v>0.214</v>
      </c>
      <c r="Y198">
        <v>6.6000000000000003E-2</v>
      </c>
      <c r="Z198">
        <v>0.311</v>
      </c>
      <c r="AA198">
        <v>2.9089999999999998</v>
      </c>
    </row>
    <row r="199" spans="2:27" ht="15.6" customHeight="1" x14ac:dyDescent="0.3">
      <c r="B199" s="33">
        <v>23</v>
      </c>
      <c r="C199" s="28">
        <v>10.885</v>
      </c>
      <c r="D199" s="64">
        <v>0.09187</v>
      </c>
      <c r="E199" s="28">
        <v>0.16</v>
      </c>
      <c r="F199" s="28">
        <v>0.0</v>
      </c>
      <c r="G199" s="28">
        <v>0.0</v>
      </c>
      <c r="H199" s="28" t="s">
        <v>113</v>
      </c>
      <c r="I199" s="29">
        <f t="shared" si="5"/>
        <v>0.09</v>
      </c>
      <c r="J199" s="31">
        <f t="shared" si="6"/>
        <v>0.108571428571429</v>
      </c>
      <c r="K199" s="32">
        <f t="shared" si="7"/>
        <v>2.23867684571429</v>
      </c>
      <c r="L199" s="34">
        <f t="shared" si="8"/>
        <v>0</v>
      </c>
      <c r="T199">
        <v>12</v>
      </c>
      <c r="U199" t="s">
        <v>129</v>
      </c>
      <c r="V199">
        <v>-0.52500000000000002</v>
      </c>
      <c r="W199">
        <v>1.724</v>
      </c>
      <c r="X199">
        <v>0.13500000000000001</v>
      </c>
      <c r="Y199">
        <v>6.2E-2</v>
      </c>
      <c r="Z199">
        <v>8.5999999999999993E-2</v>
      </c>
      <c r="AA199">
        <v>2.827</v>
      </c>
    </row>
    <row r="200" spans="2:27" ht="15.6" customHeight="1" x14ac:dyDescent="0.3">
      <c r="B200" s="33">
        <v>24</v>
      </c>
      <c r="C200" s="28">
        <v>10.935</v>
      </c>
      <c r="D200" s="64">
        <v>0.09145</v>
      </c>
      <c r="E200" s="28">
        <v>0.44</v>
      </c>
      <c r="F200" s="28">
        <v>0.0</v>
      </c>
      <c r="G200" s="28">
        <v>0.0</v>
      </c>
      <c r="H200" s="28" t="s">
        <v>113</v>
      </c>
      <c r="I200" s="29">
        <f t="shared" si="5"/>
        <v>0.09</v>
      </c>
      <c r="J200" s="31">
        <f t="shared" si="6"/>
        <v>0.108571428571429</v>
      </c>
      <c r="K200" s="32">
        <f t="shared" si="7"/>
        <v>6.15636132571429</v>
      </c>
      <c r="L200" s="34">
        <f t="shared" si="8"/>
        <v>0</v>
      </c>
      <c r="T200">
        <v>13</v>
      </c>
      <c r="U200" t="s">
        <v>129</v>
      </c>
      <c r="V200">
        <v>-0.51400000000000001</v>
      </c>
      <c r="W200">
        <v>1.6060000000000001</v>
      </c>
      <c r="X200">
        <v>0.156</v>
      </c>
      <c r="Y200">
        <v>0.11</v>
      </c>
      <c r="Z200">
        <v>7.2999999999999995E-2</v>
      </c>
      <c r="AA200">
        <v>2.802</v>
      </c>
    </row>
    <row r="201" spans="2:27" ht="15.6" customHeight="1" x14ac:dyDescent="0.3">
      <c r="B201" s="33">
        <v>25</v>
      </c>
      <c r="C201" s="28">
        <v>10.983</v>
      </c>
      <c r="D201" s="64">
        <v>0.09105</v>
      </c>
      <c r="E201" s="28">
        <v>0.0</v>
      </c>
      <c r="F201" s="28">
        <v>0.0</v>
      </c>
      <c r="G201" s="28">
        <v>0.0</v>
      </c>
      <c r="H201" s="28" t="s">
        <v>113</v>
      </c>
      <c r="I201" s="29">
        <f t="shared" si="5"/>
        <v>0.09</v>
      </c>
      <c r="J201" s="31">
        <f t="shared" si="6"/>
        <v>0.108571428571429</v>
      </c>
      <c r="K201" s="32">
        <f t="shared" si="7"/>
        <v>0</v>
      </c>
      <c r="L201" s="34">
        <f t="shared" si="8"/>
        <v>0</v>
      </c>
      <c r="T201">
        <v>15</v>
      </c>
      <c r="U201" t="s">
        <v>129</v>
      </c>
      <c r="V201">
        <v>-0.48599999999999999</v>
      </c>
      <c r="W201">
        <v>1.1719999999999999</v>
      </c>
      <c r="X201">
        <v>0.18</v>
      </c>
      <c r="Y201">
        <v>0.13</v>
      </c>
      <c r="Z201">
        <v>6.5000000000000002E-2</v>
      </c>
      <c r="AA201">
        <v>2.6619999999999999</v>
      </c>
    </row>
    <row r="202" spans="2:27" ht="15.6" customHeight="1" x14ac:dyDescent="0.3">
      <c r="B202" s="33">
        <v>26</v>
      </c>
      <c r="C202" s="28">
        <v>10.992</v>
      </c>
      <c r="D202" s="64">
        <v>0.09098</v>
      </c>
      <c r="E202" s="28">
        <v>0.11</v>
      </c>
      <c r="F202" s="28">
        <v>0.0</v>
      </c>
      <c r="G202" s="28">
        <v>0.0</v>
      </c>
      <c r="H202" s="28" t="s">
        <v>113</v>
      </c>
      <c r="I202" s="29">
        <f t="shared" si="5"/>
        <v>0.09</v>
      </c>
      <c r="J202" s="31">
        <f t="shared" si="6"/>
        <v>0.108571428571429</v>
      </c>
      <c r="K202" s="32">
        <f t="shared" si="7"/>
        <v>1.53909033142857</v>
      </c>
      <c r="L202" s="34">
        <f t="shared" si="8"/>
        <v>0</v>
      </c>
      <c r="T202">
        <v>17</v>
      </c>
      <c r="U202" t="s">
        <v>129</v>
      </c>
      <c r="V202">
        <v>-0.44500000000000001</v>
      </c>
      <c r="W202">
        <v>1.792</v>
      </c>
      <c r="X202">
        <v>0.214</v>
      </c>
      <c r="Y202">
        <v>0.121</v>
      </c>
      <c r="Z202">
        <v>7.0000000000000007E-2</v>
      </c>
      <c r="AA202">
        <v>2.4529999999999998</v>
      </c>
    </row>
    <row r="203" spans="2:27" ht="15.6" customHeight="1" x14ac:dyDescent="0.3">
      <c r="B203" s="33">
        <v>27</v>
      </c>
      <c r="C203" s="28">
        <v>11.0</v>
      </c>
      <c r="D203" s="64">
        <v>0.09091</v>
      </c>
      <c r="E203" s="28">
        <v>0.0</v>
      </c>
      <c r="F203" s="28">
        <v>0.0</v>
      </c>
      <c r="G203" s="28">
        <v>0.0</v>
      </c>
      <c r="H203" s="28" t="s">
        <v>113</v>
      </c>
      <c r="I203" s="29">
        <f t="shared" si="5"/>
        <v>0.09</v>
      </c>
      <c r="J203" s="31">
        <f t="shared" si="6"/>
        <v>0.108571428571429</v>
      </c>
      <c r="K203" s="32">
        <f t="shared" si="7"/>
        <v>0</v>
      </c>
      <c r="L203" s="34">
        <f t="shared" si="8"/>
        <v>0</v>
      </c>
      <c r="T203">
        <v>18</v>
      </c>
      <c r="U203" t="s">
        <v>129</v>
      </c>
      <c r="V203">
        <v>-0.64</v>
      </c>
      <c r="W203">
        <v>0.80200000000000005</v>
      </c>
      <c r="X203">
        <v>-0.26200000000000001</v>
      </c>
      <c r="Y203">
        <v>-2.081</v>
      </c>
      <c r="Z203">
        <v>-5.7000000000000002E-2</v>
      </c>
      <c r="AA203">
        <v>5.1280000000000001</v>
      </c>
    </row>
    <row r="204" spans="2:27" ht="15.6" customHeight="1" x14ac:dyDescent="0.3">
      <c r="B204" s="33">
        <v>28</v>
      </c>
      <c r="C204" s="28">
        <v>11.003</v>
      </c>
      <c r="D204" s="64">
        <v>0.09088</v>
      </c>
      <c r="E204" s="28">
        <v>0.04</v>
      </c>
      <c r="F204" s="28">
        <v>0.0</v>
      </c>
      <c r="G204" s="28">
        <v>0.0</v>
      </c>
      <c r="H204" s="28" t="s">
        <v>113</v>
      </c>
      <c r="I204" s="29">
        <f t="shared" si="5"/>
        <v>0.09</v>
      </c>
      <c r="J204" s="31">
        <f t="shared" si="6"/>
        <v>0.108571428571429</v>
      </c>
      <c r="K204" s="32">
        <f t="shared" si="7"/>
        <v>0.559669211428572</v>
      </c>
      <c r="L204" s="34">
        <f t="shared" si="8"/>
        <v>0</v>
      </c>
      <c r="P204" s="38"/>
      <c r="T204">
        <v>19</v>
      </c>
      <c r="U204" t="s">
        <v>129</v>
      </c>
      <c r="V204">
        <v>-0.67500000000000004</v>
      </c>
      <c r="W204">
        <v>-1.3520000000000001</v>
      </c>
      <c r="X204">
        <v>-0.28899999999999998</v>
      </c>
      <c r="Y204">
        <v>-2.327</v>
      </c>
      <c r="Z204">
        <v>-6.6000000000000003E-2</v>
      </c>
      <c r="AA204">
        <v>5.3179999999999996</v>
      </c>
    </row>
    <row r="205" spans="2:27" ht="15.6" customHeight="1" x14ac:dyDescent="0.3">
      <c r="B205" s="33">
        <v>29</v>
      </c>
      <c r="C205" s="28">
        <v>11.005</v>
      </c>
      <c r="D205" s="64">
        <v>0.09087</v>
      </c>
      <c r="E205" s="28">
        <v>0.0</v>
      </c>
      <c r="F205" s="28">
        <v>0.0</v>
      </c>
      <c r="G205" s="28">
        <v>0.0</v>
      </c>
      <c r="H205" s="28" t="s">
        <v>113</v>
      </c>
      <c r="I205" s="29">
        <f t="shared" si="5"/>
        <v>0.09</v>
      </c>
      <c r="J205" s="31">
        <f t="shared" si="6"/>
        <v>0.108571428571429</v>
      </c>
      <c r="K205" s="32">
        <f t="shared" si="7"/>
        <v>0</v>
      </c>
      <c r="L205" s="34">
        <f t="shared" si="8"/>
        <v>0</v>
      </c>
      <c r="T205">
        <v>20</v>
      </c>
      <c r="U205" t="s">
        <v>129</v>
      </c>
      <c r="V205">
        <v>-3.883</v>
      </c>
      <c r="W205">
        <v>2.5870000000000002</v>
      </c>
      <c r="X205">
        <v>-2.3929999999999998</v>
      </c>
      <c r="Y205">
        <v>-26.413</v>
      </c>
      <c r="Z205">
        <v>-0.83899999999999997</v>
      </c>
      <c r="AA205">
        <v>42.207999999999998</v>
      </c>
    </row>
    <row r="206" spans="2:27" ht="15.6" customHeight="1" x14ac:dyDescent="0.3">
      <c r="B206" s="33">
        <v>30</v>
      </c>
      <c r="C206" s="28">
        <v>11.006</v>
      </c>
      <c r="D206" s="64">
        <v>0.09086</v>
      </c>
      <c r="E206" s="28">
        <v>0.0</v>
      </c>
      <c r="F206" s="28">
        <v>0.0</v>
      </c>
      <c r="G206" s="28">
        <v>0.0</v>
      </c>
      <c r="H206" s="28" t="s">
        <v>113</v>
      </c>
      <c r="I206" s="29">
        <f t="shared" si="5"/>
        <v>0.09</v>
      </c>
      <c r="J206" s="31">
        <f t="shared" si="6"/>
        <v>0.108571428571429</v>
      </c>
      <c r="K206" s="32">
        <f t="shared" si="7"/>
        <v>0</v>
      </c>
      <c r="L206" s="34">
        <f t="shared" si="8"/>
        <v>0</v>
      </c>
      <c r="T206">
        <v>21</v>
      </c>
      <c r="U206" t="s">
        <v>129</v>
      </c>
      <c r="V206">
        <v>-0.46300000000000002</v>
      </c>
      <c r="W206">
        <v>7.0590000000000002</v>
      </c>
      <c r="X206">
        <v>0.47499999999999998</v>
      </c>
      <c r="Y206">
        <v>0.27200000000000002</v>
      </c>
      <c r="Z206">
        <v>0.42099999999999999</v>
      </c>
      <c r="AA206">
        <v>2.4009999999999998</v>
      </c>
    </row>
    <row r="207" spans="2:27" ht="15.6" customHeight="1" x14ac:dyDescent="0.3">
      <c r="B207" s="33">
        <v>31</v>
      </c>
      <c r="C207" s="28">
        <v>11.006</v>
      </c>
      <c r="D207" s="64">
        <v>0.09086</v>
      </c>
      <c r="E207" s="28">
        <v>0.0</v>
      </c>
      <c r="F207" s="28">
        <v>0.0</v>
      </c>
      <c r="G207" s="28">
        <v>0.0</v>
      </c>
      <c r="H207" s="28" t="s">
        <v>113</v>
      </c>
      <c r="I207" s="29">
        <f t="shared" si="5"/>
        <v>0.09</v>
      </c>
      <c r="J207" s="31">
        <f t="shared" si="6"/>
        <v>0.108571428571429</v>
      </c>
      <c r="K207" s="32">
        <f t="shared" si="7"/>
        <v>0</v>
      </c>
      <c r="L207" s="34">
        <f t="shared" si="8"/>
        <v>0</v>
      </c>
      <c r="T207">
        <v>22</v>
      </c>
      <c r="U207" t="s">
        <v>129</v>
      </c>
      <c r="V207">
        <v>-0.42499999999999999</v>
      </c>
      <c r="W207">
        <v>5.4690000000000003</v>
      </c>
      <c r="X207">
        <v>0.35399999999999998</v>
      </c>
      <c r="Y207">
        <v>-0.121</v>
      </c>
      <c r="Z207">
        <v>0.43099999999999999</v>
      </c>
      <c r="AA207">
        <v>2.1120000000000001</v>
      </c>
    </row>
    <row r="208" spans="2:27" ht="15.6" customHeight="1" x14ac:dyDescent="0.3">
      <c r="B208" s="33">
        <v>32</v>
      </c>
      <c r="C208" s="28">
        <v>11.009</v>
      </c>
      <c r="D208" s="64">
        <v>0.09084</v>
      </c>
      <c r="E208" s="28">
        <v>0.0</v>
      </c>
      <c r="F208" s="28">
        <v>0.0</v>
      </c>
      <c r="G208" s="28">
        <v>0.0</v>
      </c>
      <c r="H208" s="28" t="s">
        <v>113</v>
      </c>
      <c r="I208" s="29">
        <f t="shared" si="5"/>
        <v>0.09</v>
      </c>
      <c r="J208" s="31">
        <f t="shared" si="6"/>
        <v>0.108571428571429</v>
      </c>
      <c r="K208" s="32">
        <f t="shared" si="7"/>
        <v>0</v>
      </c>
      <c r="L208" s="34">
        <f t="shared" si="8"/>
        <v>0</v>
      </c>
      <c r="T208">
        <v>23</v>
      </c>
      <c r="U208" t="s">
        <v>129</v>
      </c>
      <c r="V208">
        <v>6.5359999999999996</v>
      </c>
      <c r="W208">
        <v>-25.221</v>
      </c>
      <c r="X208">
        <v>5.2270000000000003</v>
      </c>
      <c r="Y208">
        <v>-14.304</v>
      </c>
      <c r="Z208">
        <v>-3.0209999999999999</v>
      </c>
      <c r="AA208">
        <v>20.277000000000001</v>
      </c>
    </row>
    <row r="209" spans="2:27" ht="15.6" customHeight="1" x14ac:dyDescent="0.3">
      <c r="B209" s="33">
        <v>33</v>
      </c>
      <c r="C209" s="28">
        <v>11.06</v>
      </c>
      <c r="D209" s="64">
        <v>0.09042</v>
      </c>
      <c r="E209" s="28">
        <v>0.07</v>
      </c>
      <c r="F209" s="28">
        <v>0.0</v>
      </c>
      <c r="G209" s="28">
        <v>0.0</v>
      </c>
      <c r="H209" s="28" t="s">
        <v>113</v>
      </c>
      <c r="I209" s="29">
        <f t="shared" si="5"/>
        <v>0.09</v>
      </c>
      <c r="J209" s="31">
        <f t="shared" si="6"/>
        <v>0.108571428571429</v>
      </c>
      <c r="K209" s="32">
        <f t="shared" si="7"/>
        <v>0.97942112</v>
      </c>
      <c r="L209" s="34">
        <f t="shared" si="8"/>
        <v>0</v>
      </c>
      <c r="T209">
        <v>24</v>
      </c>
      <c r="U209" t="s">
        <v>129</v>
      </c>
      <c r="V209">
        <v>0.42199999999999999</v>
      </c>
      <c r="W209">
        <v>4.657</v>
      </c>
      <c r="X209">
        <v>-0.121</v>
      </c>
      <c r="Y209">
        <v>-0.72099999999999997</v>
      </c>
      <c r="Z209">
        <v>-0.79800000000000004</v>
      </c>
      <c r="AA209">
        <v>0.27400000000000002</v>
      </c>
    </row>
    <row r="210" spans="2:27" ht="15.6" customHeight="1" x14ac:dyDescent="0.3">
      <c r="B210" s="33">
        <v>34</v>
      </c>
      <c r="C210" s="28">
        <v>11.093</v>
      </c>
      <c r="D210" s="64">
        <v>0.09015</v>
      </c>
      <c r="E210" s="28">
        <v>0.05</v>
      </c>
      <c r="F210" s="28">
        <v>0.0</v>
      </c>
      <c r="G210" s="28">
        <v>0.0</v>
      </c>
      <c r="H210" s="28" t="s">
        <v>113</v>
      </c>
      <c r="I210" s="29">
        <f t="shared" si="5"/>
        <v>0.09</v>
      </c>
      <c r="J210" s="31">
        <f t="shared" si="6"/>
        <v>0.108571428571429</v>
      </c>
      <c r="K210" s="32">
        <f t="shared" si="7"/>
        <v>0.699586514285714</v>
      </c>
      <c r="L210" s="34">
        <f t="shared" si="8"/>
        <v>0</v>
      </c>
      <c r="T210">
        <v>25</v>
      </c>
      <c r="U210" t="s">
        <v>129</v>
      </c>
      <c r="V210">
        <v>0.61699999999999999</v>
      </c>
      <c r="W210">
        <v>8.9849999999999994</v>
      </c>
      <c r="X210">
        <v>-0.214</v>
      </c>
      <c r="Y210">
        <v>-1.171</v>
      </c>
      <c r="Z210">
        <v>-0.59099999999999997</v>
      </c>
      <c r="AA210">
        <v>-0.308</v>
      </c>
    </row>
    <row r="211" spans="2:27" ht="15.6" customHeight="1" x14ac:dyDescent="0.3">
      <c r="B211" s="33">
        <v>35</v>
      </c>
      <c r="C211" s="28">
        <v>11.115</v>
      </c>
      <c r="D211" s="64">
        <v>0.08997</v>
      </c>
      <c r="E211" s="28">
        <v>0.06</v>
      </c>
      <c r="F211" s="28">
        <v>0.0</v>
      </c>
      <c r="G211" s="28">
        <v>0.0</v>
      </c>
      <c r="H211" s="28" t="s">
        <v>113</v>
      </c>
      <c r="I211" s="29">
        <f t="shared" si="5"/>
        <v>0.09</v>
      </c>
      <c r="J211" s="31">
        <f t="shared" si="6"/>
        <v>0.108571428571429</v>
      </c>
      <c r="K211" s="32">
        <f t="shared" si="7"/>
        <v>0.839503817142857</v>
      </c>
      <c r="L211" s="34">
        <f t="shared" si="8"/>
        <v>0</v>
      </c>
      <c r="T211">
        <v>26</v>
      </c>
      <c r="U211" t="s">
        <v>129</v>
      </c>
      <c r="V211">
        <v>0.313</v>
      </c>
      <c r="W211">
        <v>0.95199999999999996</v>
      </c>
      <c r="X211">
        <v>-0.23100000000000001</v>
      </c>
      <c r="Y211">
        <v>-1.2310000000000001</v>
      </c>
      <c r="Z211">
        <v>-0.122</v>
      </c>
      <c r="AA211">
        <v>-0.14399999999999999</v>
      </c>
    </row>
    <row r="212" spans="2:27" ht="15.6" customHeight="1" x14ac:dyDescent="0.3">
      <c r="B212" s="33">
        <v>36</v>
      </c>
      <c r="C212" s="28">
        <v>11.127</v>
      </c>
      <c r="D212" s="64">
        <v>0.08987</v>
      </c>
      <c r="E212" s="28">
        <v>0.04</v>
      </c>
      <c r="F212" s="28">
        <v>0.0</v>
      </c>
      <c r="G212" s="28">
        <v>0.0</v>
      </c>
      <c r="H212" s="28" t="s">
        <v>113</v>
      </c>
      <c r="I212" s="29">
        <f t="shared" si="5"/>
        <v>0.09</v>
      </c>
      <c r="J212" s="31">
        <f t="shared" si="6"/>
        <v>0.108571428571429</v>
      </c>
      <c r="K212" s="32">
        <f t="shared" si="7"/>
        <v>0.559669211428572</v>
      </c>
      <c r="L212" s="34">
        <f t="shared" si="8"/>
        <v>0</v>
      </c>
      <c r="T212">
        <v>27</v>
      </c>
      <c r="U212" t="s">
        <v>129</v>
      </c>
      <c r="V212">
        <v>0.23400000000000001</v>
      </c>
      <c r="W212">
        <v>-0.751</v>
      </c>
      <c r="X212">
        <v>-0.26200000000000001</v>
      </c>
      <c r="Y212">
        <v>-1.345</v>
      </c>
      <c r="Z212">
        <v>-0.13400000000000001</v>
      </c>
      <c r="AA212">
        <v>1.7999999999999999E-2</v>
      </c>
    </row>
    <row r="213" spans="2:27" ht="15.6" customHeight="1" x14ac:dyDescent="0.3">
      <c r="B213" s="33">
        <v>37</v>
      </c>
      <c r="C213" s="28">
        <v>11.128</v>
      </c>
      <c r="D213" s="64">
        <v>0.08986</v>
      </c>
      <c r="E213" s="28">
        <v>0.04</v>
      </c>
      <c r="F213" s="28">
        <v>0.0</v>
      </c>
      <c r="G213" s="28">
        <v>0.0</v>
      </c>
      <c r="H213" s="28" t="s">
        <v>113</v>
      </c>
      <c r="I213" s="29">
        <f t="shared" si="5"/>
        <v>0.09</v>
      </c>
      <c r="J213" s="31">
        <f t="shared" si="6"/>
        <v>0.108571428571429</v>
      </c>
      <c r="K213" s="32">
        <f t="shared" si="7"/>
        <v>0.559669211428572</v>
      </c>
      <c r="L213" s="34">
        <f t="shared" si="8"/>
        <v>0</v>
      </c>
      <c r="T213">
        <v>28</v>
      </c>
      <c r="U213" t="s">
        <v>129</v>
      </c>
      <c r="V213">
        <v>0.32100000000000001</v>
      </c>
      <c r="W213">
        <v>-17.114000000000001</v>
      </c>
      <c r="X213">
        <v>-0.27700000000000002</v>
      </c>
      <c r="Y213">
        <v>-1.246</v>
      </c>
      <c r="Z213">
        <v>-0.43</v>
      </c>
      <c r="AA213">
        <v>0.21299999999999999</v>
      </c>
    </row>
    <row r="214" spans="2:27" ht="15.6" customHeight="1" x14ac:dyDescent="0.3">
      <c r="B214" s="33">
        <v>38</v>
      </c>
      <c r="C214" s="28">
        <v>11.13</v>
      </c>
      <c r="D214" s="64">
        <v>0.08985</v>
      </c>
      <c r="E214" s="28">
        <v>0.3</v>
      </c>
      <c r="F214" s="28">
        <v>0.0</v>
      </c>
      <c r="G214" s="28">
        <v>0.0</v>
      </c>
      <c r="H214" s="28" t="s">
        <v>113</v>
      </c>
      <c r="I214" s="29">
        <f t="shared" si="5"/>
        <v>0.09</v>
      </c>
      <c r="J214" s="31">
        <f t="shared" si="6"/>
        <v>0.108571428571429</v>
      </c>
      <c r="K214" s="32">
        <f t="shared" si="7"/>
        <v>4.19751908571429</v>
      </c>
      <c r="L214" s="34">
        <f t="shared" si="8"/>
        <v>0</v>
      </c>
      <c r="T214">
        <v>29</v>
      </c>
      <c r="U214" t="s">
        <v>129</v>
      </c>
      <c r="V214">
        <v>4.2859999999999996</v>
      </c>
      <c r="W214">
        <v>21.788</v>
      </c>
      <c r="X214">
        <v>-1.9350000000000001</v>
      </c>
      <c r="Y214">
        <v>-23.631</v>
      </c>
      <c r="Z214">
        <v>-9.1829999999999998</v>
      </c>
      <c r="AA214">
        <v>25.082999999999998</v>
      </c>
    </row>
    <row r="215" spans="2:27" ht="15.6" customHeight="1" x14ac:dyDescent="0.3">
      <c r="B215" s="33">
        <v>39</v>
      </c>
      <c r="C215" s="28">
        <v>11.13</v>
      </c>
      <c r="D215" s="64">
        <v>0.08985</v>
      </c>
      <c r="E215" s="28">
        <v>0.18</v>
      </c>
      <c r="F215" s="28">
        <v>0.0</v>
      </c>
      <c r="G215" s="28">
        <v>0.0</v>
      </c>
      <c r="H215" s="28" t="s">
        <v>113</v>
      </c>
      <c r="I215" s="29">
        <f t="shared" si="5"/>
        <v>0.09</v>
      </c>
      <c r="J215" s="31">
        <f t="shared" si="6"/>
        <v>0.108571428571429</v>
      </c>
      <c r="K215" s="32">
        <f t="shared" si="7"/>
        <v>2.51851145142857</v>
      </c>
      <c r="L215" s="34">
        <f t="shared" si="8"/>
        <v>0</v>
      </c>
      <c r="T215">
        <v>30</v>
      </c>
      <c r="U215" t="s">
        <v>129</v>
      </c>
      <c r="V215">
        <v>-0.73499999999999999</v>
      </c>
      <c r="W215">
        <v>0.59599999999999997</v>
      </c>
      <c r="X215">
        <v>-0.25800000000000001</v>
      </c>
      <c r="Y215">
        <v>-2.048</v>
      </c>
      <c r="Z215">
        <v>4.9000000000000002E-2</v>
      </c>
      <c r="AA215">
        <v>5.8109999999999999</v>
      </c>
    </row>
    <row r="216" spans="2:27" ht="15.6" customHeight="1" x14ac:dyDescent="0.3">
      <c r="B216" s="33">
        <v>40</v>
      </c>
      <c r="C216" s="28">
        <v>11.132</v>
      </c>
      <c r="D216" s="64">
        <v>0.08983</v>
      </c>
      <c r="E216" s="28">
        <v>0.0</v>
      </c>
      <c r="F216" s="28">
        <v>0.0</v>
      </c>
      <c r="G216" s="28">
        <v>0.0</v>
      </c>
      <c r="H216" s="28" t="s">
        <v>113</v>
      </c>
      <c r="I216" s="29">
        <f t="shared" si="5"/>
        <v>0.09</v>
      </c>
      <c r="J216" s="31">
        <f t="shared" si="6"/>
        <v>0.108571428571429</v>
      </c>
      <c r="K216" s="32">
        <f t="shared" si="7"/>
        <v>0</v>
      </c>
      <c r="L216" s="34">
        <f t="shared" si="8"/>
        <v>0</v>
      </c>
      <c r="T216">
        <v>31</v>
      </c>
      <c r="U216" t="s">
        <v>129</v>
      </c>
      <c r="V216">
        <v>-0.76800000000000002</v>
      </c>
      <c r="W216">
        <v>-2.02</v>
      </c>
      <c r="X216">
        <v>-0.313</v>
      </c>
      <c r="Y216">
        <v>-2.4649999999999999</v>
      </c>
      <c r="Z216">
        <v>2.7E-2</v>
      </c>
      <c r="AA216">
        <v>5.9809999999999999</v>
      </c>
    </row>
    <row r="217" spans="2:27" ht="15.6" customHeight="1" x14ac:dyDescent="0.3">
      <c r="B217" s="33">
        <v>41</v>
      </c>
      <c r="C217" s="28">
        <v>11.133</v>
      </c>
      <c r="D217" s="64">
        <v>0.08983</v>
      </c>
      <c r="E217" s="28">
        <v>0.0</v>
      </c>
      <c r="F217" s="28">
        <v>0.0</v>
      </c>
      <c r="G217" s="28">
        <v>0.0</v>
      </c>
      <c r="H217" s="28" t="s">
        <v>113</v>
      </c>
      <c r="I217" s="29">
        <f t="shared" si="5"/>
        <v>0.09</v>
      </c>
      <c r="J217" s="31">
        <f t="shared" si="6"/>
        <v>0.108571428571429</v>
      </c>
      <c r="K217" s="32">
        <f t="shared" si="7"/>
        <v>0</v>
      </c>
      <c r="L217" s="34">
        <f t="shared" si="8"/>
        <v>0</v>
      </c>
      <c r="T217">
        <v>32</v>
      </c>
      <c r="U217" t="s">
        <v>129</v>
      </c>
      <c r="V217">
        <v>-4.4340000000000002</v>
      </c>
      <c r="W217">
        <v>2.7130000000000001</v>
      </c>
      <c r="X217">
        <v>-2.952</v>
      </c>
      <c r="Y217">
        <v>-31.574999999999999</v>
      </c>
      <c r="Z217">
        <v>-0.60699999999999998</v>
      </c>
      <c r="AA217">
        <v>47.466000000000001</v>
      </c>
    </row>
    <row r="218" spans="2:27" ht="15.6" customHeight="1" x14ac:dyDescent="0.3">
      <c r="B218" s="33">
        <v>42</v>
      </c>
      <c r="C218" s="28">
        <v>11.133</v>
      </c>
      <c r="D218" s="64">
        <v>0.08982</v>
      </c>
      <c r="E218" s="28">
        <v>0.0</v>
      </c>
      <c r="F218" s="28">
        <v>0.0</v>
      </c>
      <c r="G218" s="28">
        <v>0.0</v>
      </c>
      <c r="H218" s="28" t="s">
        <v>113</v>
      </c>
      <c r="I218" s="29">
        <f t="shared" si="5"/>
        <v>0.09</v>
      </c>
      <c r="J218" s="31">
        <f t="shared" si="6"/>
        <v>0.108571428571429</v>
      </c>
      <c r="K218" s="32">
        <f t="shared" si="7"/>
        <v>0</v>
      </c>
      <c r="L218" s="34">
        <f t="shared" si="8"/>
        <v>0</v>
      </c>
      <c r="T218">
        <v>50</v>
      </c>
      <c r="U218" t="s">
        <v>129</v>
      </c>
      <c r="V218">
        <v>1.2999999999999999E-2</v>
      </c>
      <c r="W218">
        <v>-3.8079999999999998</v>
      </c>
      <c r="X218">
        <v>-2.3679999999999999</v>
      </c>
      <c r="Y218">
        <v>0</v>
      </c>
      <c r="Z218">
        <v>0</v>
      </c>
      <c r="AA218">
        <v>0</v>
      </c>
    </row>
    <row r="219" spans="2:27" ht="15.6" customHeight="1" x14ac:dyDescent="0.3">
      <c r="B219" s="33">
        <v>43</v>
      </c>
      <c r="C219" s="28">
        <v>11.305</v>
      </c>
      <c r="D219" s="64">
        <v>0.08846</v>
      </c>
      <c r="E219" s="28">
        <v>0.29</v>
      </c>
      <c r="F219" s="28">
        <v>0.0</v>
      </c>
      <c r="G219" s="28">
        <v>0.0</v>
      </c>
      <c r="H219" s="28" t="s">
        <v>113</v>
      </c>
      <c r="I219" s="29">
        <f t="shared" si="5"/>
        <v>0.09</v>
      </c>
      <c r="J219" s="31">
        <f t="shared" si="6"/>
        <v>0.108571428571429</v>
      </c>
      <c r="K219" s="32">
        <f t="shared" si="7"/>
        <v>4.05760178285714</v>
      </c>
      <c r="L219" s="34">
        <f t="shared" si="8"/>
        <v>0</v>
      </c>
      <c r="T219">
        <v>51</v>
      </c>
      <c r="U219" t="s">
        <v>129</v>
      </c>
      <c r="V219">
        <v>1.7000000000000001E-2</v>
      </c>
      <c r="W219">
        <v>0.41299999999999998</v>
      </c>
      <c r="X219">
        <v>-2.5299999999999998</v>
      </c>
      <c r="Y219">
        <v>0</v>
      </c>
      <c r="Z219">
        <v>0</v>
      </c>
      <c r="AA219">
        <v>0</v>
      </c>
    </row>
    <row r="220" spans="2:27" ht="19.5" customHeight="1" x14ac:dyDescent="0.3">
      <c r="B220" s="114" t="s">
        <v>130</v>
      </c>
      <c r="C220" s="115"/>
      <c r="D220" s="115"/>
      <c r="E220" s="116">
        <f>SUM(E177:E219)</f>
        <v>92.89</v>
      </c>
      <c r="F220" s="116">
        <f t="shared" ref="F220" si="9">SUM(F177:F219)</f>
        <v>0</v>
      </c>
      <c r="G220" s="116">
        <f>SUM(G177:G219)</f>
        <v>95.22</v>
      </c>
      <c r="H220" s="143" t="s">
        <v>131</v>
      </c>
      <c r="I220" s="144"/>
      <c r="J220" s="145"/>
      <c r="K220" s="117">
        <f>SQRT(SUMSQ(K177:K219))</f>
        <v>1773.77280251396</v>
      </c>
      <c r="L220" s="117">
        <f>SQRT(SUMSQ(L177:L219))</f>
        <v>1986.0057222423</v>
      </c>
      <c r="T220">
        <v>52</v>
      </c>
      <c r="U220" t="s">
        <v>129</v>
      </c>
      <c r="V220">
        <v>2.1000000000000001E-2</v>
      </c>
      <c r="W220">
        <v>-0.50800000000000001</v>
      </c>
      <c r="X220">
        <v>-1.147</v>
      </c>
      <c r="Y220">
        <v>0</v>
      </c>
      <c r="Z220">
        <v>0</v>
      </c>
      <c r="AA220">
        <v>0</v>
      </c>
    </row>
    <row r="221" spans="2:27" x14ac:dyDescent="0.3">
      <c r="T221">
        <v>53</v>
      </c>
      <c r="U221" t="s">
        <v>129</v>
      </c>
      <c r="V221">
        <v>2.3E-2</v>
      </c>
      <c r="W221">
        <v>-0.66200000000000003</v>
      </c>
      <c r="X221">
        <v>-0.53600000000000003</v>
      </c>
      <c r="Y221">
        <v>0</v>
      </c>
      <c r="Z221">
        <v>0</v>
      </c>
      <c r="AA221">
        <v>0</v>
      </c>
    </row>
    <row r="222" spans="2:27" x14ac:dyDescent="0.3">
      <c r="H222" s="12" t="s">
        <v>132</v>
      </c>
      <c r="J222" s="12" t="s">
        <v>133</v>
      </c>
      <c r="K222" s="30">
        <f>E165</f>
        <v>12887.12</v>
      </c>
      <c r="L222" t="s">
        <v>134</v>
      </c>
      <c r="T222">
        <v>54</v>
      </c>
      <c r="U222" t="s">
        <v>129</v>
      </c>
      <c r="V222">
        <v>2.5000000000000001E-2</v>
      </c>
      <c r="W222">
        <v>-0.82199999999999995</v>
      </c>
      <c r="X222">
        <v>-0.28000000000000003</v>
      </c>
      <c r="Y222">
        <v>0</v>
      </c>
      <c r="Z222">
        <v>0</v>
      </c>
      <c r="AA222">
        <v>0</v>
      </c>
    </row>
    <row r="223" spans="2:27" x14ac:dyDescent="0.3">
      <c r="H223" s="12" t="s">
        <v>135</v>
      </c>
      <c r="J223" s="12" t="s">
        <v>136</v>
      </c>
      <c r="K223" s="30">
        <f>E166</f>
        <v>12887.12</v>
      </c>
      <c r="L223" t="s">
        <v>134</v>
      </c>
      <c r="T223">
        <v>55</v>
      </c>
      <c r="U223" t="s">
        <v>129</v>
      </c>
      <c r="V223">
        <v>2.5999999999999999E-2</v>
      </c>
      <c r="W223">
        <v>-0.89700000000000002</v>
      </c>
      <c r="X223">
        <v>-0.22800000000000001</v>
      </c>
      <c r="Y223">
        <v>0</v>
      </c>
      <c r="Z223">
        <v>0</v>
      </c>
      <c r="AA223">
        <v>0</v>
      </c>
    </row>
    <row r="224" spans="2:27" x14ac:dyDescent="0.3">
      <c r="K224" s="53"/>
      <c r="L224" s="53"/>
      <c r="T224">
        <v>56</v>
      </c>
      <c r="U224" t="s">
        <v>129</v>
      </c>
      <c r="V224">
        <v>2.7E-2</v>
      </c>
      <c r="W224">
        <v>-0.94</v>
      </c>
      <c r="X224">
        <v>-0.34599999999999997</v>
      </c>
      <c r="Y224">
        <v>0</v>
      </c>
      <c r="Z224">
        <v>0</v>
      </c>
      <c r="AA224">
        <v>0</v>
      </c>
    </row>
    <row r="225" spans="8:27" x14ac:dyDescent="0.3">
      <c r="H225" s="12" t="s">
        <v>137</v>
      </c>
      <c r="J225" s="12" t="s">
        <v>138</v>
      </c>
      <c r="K225" s="30">
        <f>K222*VLOOKUP(MAX(E177:E219),E177:J219,6,0)</f>
        <v>2161.45128834395</v>
      </c>
      <c r="L225" s="30">
        <f>K222*VLOOKUP(MAX(G177:G219),G177:J219,4,0)</f>
        <v>2209.22057142857</v>
      </c>
      <c r="T225">
        <v>57</v>
      </c>
      <c r="U225" t="s">
        <v>129</v>
      </c>
      <c r="V225">
        <v>2.5999999999999999E-2</v>
      </c>
      <c r="W225">
        <v>-1.161</v>
      </c>
      <c r="X225">
        <v>-0.72</v>
      </c>
      <c r="Y225">
        <v>0</v>
      </c>
      <c r="Z225">
        <v>0</v>
      </c>
      <c r="AA225">
        <v>0</v>
      </c>
    </row>
    <row r="226" spans="8:27" x14ac:dyDescent="0.3">
      <c r="J226" s="12" t="s">
        <v>139</v>
      </c>
      <c r="K226" s="30">
        <f>0.9*K225</f>
        <v>1945.30615950955</v>
      </c>
      <c r="L226" s="30">
        <f>0.9*L225</f>
        <v>1988.29851428571</v>
      </c>
      <c r="T226">
        <v>58</v>
      </c>
      <c r="U226" t="s">
        <v>129</v>
      </c>
      <c r="V226">
        <v>2.8000000000000001E-2</v>
      </c>
      <c r="W226">
        <v>-1.196</v>
      </c>
      <c r="X226">
        <v>-1.4870000000000001</v>
      </c>
      <c r="Y226">
        <v>0</v>
      </c>
      <c r="Z226">
        <v>0</v>
      </c>
      <c r="AA226">
        <v>0</v>
      </c>
    </row>
    <row r="227" spans="8:27" x14ac:dyDescent="0.3">
      <c r="J227" s="12"/>
      <c r="K227" s="53"/>
      <c r="L227" s="53"/>
      <c r="T227">
        <v>59</v>
      </c>
      <c r="U227" t="s">
        <v>129</v>
      </c>
      <c r="V227">
        <v>1.2999999999999999E-2</v>
      </c>
      <c r="W227">
        <v>-1.84</v>
      </c>
      <c r="X227">
        <v>-1.3460000000000001</v>
      </c>
      <c r="Y227">
        <v>0</v>
      </c>
      <c r="Z227">
        <v>0</v>
      </c>
      <c r="AA227">
        <v>0</v>
      </c>
    </row>
    <row r="228" spans="8:27" x14ac:dyDescent="0.3">
      <c r="H228" s="12" t="s">
        <v>140</v>
      </c>
      <c r="J228" s="12" t="s">
        <v>141</v>
      </c>
      <c r="K228" s="30">
        <f>K222*G168</f>
        <v>2209.22057142857</v>
      </c>
      <c r="L228" s="30">
        <f>K222*G168</f>
        <v>2209.22057142857</v>
      </c>
      <c r="T228">
        <v>60</v>
      </c>
      <c r="U228" t="s">
        <v>129</v>
      </c>
      <c r="V228">
        <v>3.0000000000000001E-3</v>
      </c>
      <c r="W228">
        <v>0.61099999999999999</v>
      </c>
      <c r="X228">
        <v>-3.2080000000000002</v>
      </c>
      <c r="Y228">
        <v>0</v>
      </c>
      <c r="Z228">
        <v>0</v>
      </c>
      <c r="AA228">
        <v>0</v>
      </c>
    </row>
    <row r="229" spans="8:27" x14ac:dyDescent="0.3">
      <c r="J229" s="12" t="s">
        <v>142</v>
      </c>
      <c r="K229" s="30">
        <f>0.8*K228</f>
        <v>1767.37645714286</v>
      </c>
      <c r="L229" s="30">
        <f>0.8*L228</f>
        <v>1767.37645714286</v>
      </c>
      <c r="T229">
        <v>61</v>
      </c>
      <c r="U229" t="s">
        <v>129</v>
      </c>
      <c r="V229">
        <v>1.4E-2</v>
      </c>
      <c r="W229">
        <v>0.63300000000000001</v>
      </c>
      <c r="X229">
        <v>-3.11</v>
      </c>
      <c r="Y229">
        <v>0</v>
      </c>
      <c r="Z229">
        <v>0</v>
      </c>
      <c r="AA229">
        <v>0</v>
      </c>
    </row>
    <row r="230" spans="8:27" x14ac:dyDescent="0.3">
      <c r="J230" s="12"/>
      <c r="T230">
        <v>62</v>
      </c>
      <c r="U230" t="s">
        <v>129</v>
      </c>
      <c r="V230">
        <v>1.2E-2</v>
      </c>
      <c r="W230">
        <v>0.37</v>
      </c>
      <c r="X230">
        <v>-1.9770000000000001</v>
      </c>
      <c r="Y230">
        <v>0</v>
      </c>
      <c r="Z230">
        <v>0</v>
      </c>
      <c r="AA230">
        <v>0</v>
      </c>
    </row>
    <row r="231" spans="8:27" x14ac:dyDescent="0.3">
      <c r="T231">
        <v>63</v>
      </c>
      <c r="U231" t="s">
        <v>129</v>
      </c>
      <c r="V231">
        <v>3.0000000000000001E-3</v>
      </c>
      <c r="W231">
        <v>0.35399999999999998</v>
      </c>
      <c r="X231">
        <v>-1.7669999999999999</v>
      </c>
      <c r="Y231">
        <v>0</v>
      </c>
      <c r="Z231">
        <v>0</v>
      </c>
      <c r="AA231">
        <v>0</v>
      </c>
    </row>
    <row r="232" spans="8:27" x14ac:dyDescent="0.3">
      <c r="H232" s="12" t="s">
        <v>143</v>
      </c>
      <c r="J232" s="12" t="s">
        <v>144</v>
      </c>
      <c r="K232" s="44">
        <f>MAX(K229,K226)</f>
        <v>1945.30615950955</v>
      </c>
      <c r="L232" s="44">
        <f>MAX(L229,L226)</f>
        <v>1988.29851428571</v>
      </c>
      <c r="T232">
        <v>64</v>
      </c>
      <c r="U232" t="s">
        <v>129</v>
      </c>
      <c r="V232">
        <v>1.4999999999999999E-2</v>
      </c>
      <c r="W232">
        <v>-0.24399999999999999</v>
      </c>
      <c r="X232">
        <v>-1.6519999999999999</v>
      </c>
      <c r="Y232">
        <v>0</v>
      </c>
      <c r="Z232">
        <v>0</v>
      </c>
      <c r="AA232">
        <v>0</v>
      </c>
    </row>
    <row r="233" spans="8:27" x14ac:dyDescent="0.3">
      <c r="H233" s="12"/>
      <c r="T233">
        <v>65</v>
      </c>
      <c r="U233" t="s">
        <v>129</v>
      </c>
      <c r="V233">
        <v>1.4999999999999999E-2</v>
      </c>
      <c r="W233">
        <v>-0.26400000000000001</v>
      </c>
      <c r="X233">
        <v>-0.72699999999999998</v>
      </c>
      <c r="Y233">
        <v>0</v>
      </c>
      <c r="Z233">
        <v>0</v>
      </c>
      <c r="AA233">
        <v>0</v>
      </c>
    </row>
    <row r="234" spans="8:27" x14ac:dyDescent="0.3">
      <c r="K234" s="137" t="s">
        <v>145</v>
      </c>
      <c r="L234" s="138"/>
      <c r="T234">
        <v>66</v>
      </c>
      <c r="U234" t="s">
        <v>129</v>
      </c>
      <c r="V234">
        <v>2E-3</v>
      </c>
      <c r="W234">
        <v>0.11899999999999999</v>
      </c>
      <c r="X234">
        <v>-0.78900000000000003</v>
      </c>
      <c r="Y234">
        <v>0</v>
      </c>
      <c r="Z234">
        <v>0</v>
      </c>
      <c r="AA234">
        <v>0</v>
      </c>
    </row>
    <row r="235" spans="8:27" x14ac:dyDescent="0.3">
      <c r="K235" s="23" t="s">
        <v>146</v>
      </c>
      <c r="L235" s="23" t="s">
        <v>147</v>
      </c>
      <c r="T235">
        <v>67</v>
      </c>
      <c r="U235" t="s">
        <v>129</v>
      </c>
      <c r="V235">
        <v>1.6E-2</v>
      </c>
      <c r="W235">
        <v>-0.31900000000000001</v>
      </c>
      <c r="X235">
        <v>-0.91600000000000004</v>
      </c>
      <c r="Y235">
        <v>0</v>
      </c>
      <c r="Z235">
        <v>0</v>
      </c>
      <c r="AA235">
        <v>0</v>
      </c>
    </row>
    <row r="236" spans="8:27" x14ac:dyDescent="0.3">
      <c r="J236" s="12" t="s">
        <v>148</v>
      </c>
      <c r="K236" s="47">
        <f>K232/1000</f>
        <v>1.94530615950955</v>
      </c>
      <c r="L236" s="47">
        <f>L232/1000</f>
        <v>1.98829851428571</v>
      </c>
      <c r="T236">
        <v>68</v>
      </c>
      <c r="U236" t="s">
        <v>129</v>
      </c>
      <c r="V236">
        <v>1.6E-2</v>
      </c>
      <c r="W236">
        <v>-0.378</v>
      </c>
      <c r="X236">
        <v>-0.24299999999999999</v>
      </c>
      <c r="Y236">
        <v>0</v>
      </c>
      <c r="Z236">
        <v>0</v>
      </c>
      <c r="AA236">
        <v>0</v>
      </c>
    </row>
    <row r="237" spans="8:27" x14ac:dyDescent="0.3">
      <c r="J237" s="12" t="s">
        <v>149</v>
      </c>
      <c r="K237" s="47">
        <f>K220/1000</f>
        <v>1.77377280251396</v>
      </c>
      <c r="L237" s="47">
        <f>L220/1000</f>
        <v>1.9860057222423</v>
      </c>
      <c r="T237">
        <v>69</v>
      </c>
      <c r="U237" t="s">
        <v>129</v>
      </c>
      <c r="V237">
        <v>2E-3</v>
      </c>
      <c r="W237">
        <v>-0.13100000000000001</v>
      </c>
      <c r="X237">
        <v>-0.38200000000000001</v>
      </c>
      <c r="Y237">
        <v>0</v>
      </c>
      <c r="Z237">
        <v>0</v>
      </c>
      <c r="AA237">
        <v>0</v>
      </c>
    </row>
    <row r="238" spans="8:27" x14ac:dyDescent="0.3">
      <c r="J238" s="12" t="s">
        <v>150</v>
      </c>
      <c r="K238" s="68" t="str">
        <f>IF(K220&gt;=K232,"Se Cumple","No se Cumple")</f>
        <v>No se Cumple</v>
      </c>
      <c r="L238" s="68" t="str">
        <f>IF(L220&gt;=K232,"Se Cumple","No se Cumple")</f>
        <v>Se Cumple</v>
      </c>
      <c r="T238">
        <v>70</v>
      </c>
      <c r="U238" t="s">
        <v>129</v>
      </c>
      <c r="V238">
        <v>1.7999999999999999E-2</v>
      </c>
      <c r="W238">
        <v>-0.46400000000000002</v>
      </c>
      <c r="X238">
        <v>-0.61199999999999999</v>
      </c>
      <c r="Y238">
        <v>0</v>
      </c>
      <c r="Z238">
        <v>0</v>
      </c>
      <c r="AA238">
        <v>0</v>
      </c>
    </row>
    <row r="239" spans="8:27" x14ac:dyDescent="0.3">
      <c r="J239" s="17" t="s">
        <v>151</v>
      </c>
      <c r="K239" s="86">
        <f>MAX(K236/K237,1)</f>
        <v>1.09670537103314</v>
      </c>
      <c r="L239" s="86">
        <f>MAX(L236/L237,1)</f>
        <v>1.00115447403687</v>
      </c>
      <c r="T239">
        <v>71</v>
      </c>
      <c r="U239" t="s">
        <v>129</v>
      </c>
      <c r="V239">
        <v>1.7000000000000001E-2</v>
      </c>
      <c r="W239">
        <v>-0.49099999999999999</v>
      </c>
      <c r="X239">
        <v>0.19700000000000001</v>
      </c>
      <c r="Y239">
        <v>0</v>
      </c>
      <c r="Z239">
        <v>0</v>
      </c>
      <c r="AA239">
        <v>0</v>
      </c>
    </row>
    <row r="240" spans="8:27" x14ac:dyDescent="0.3">
      <c r="T240">
        <v>72</v>
      </c>
      <c r="U240" t="s">
        <v>129</v>
      </c>
      <c r="V240">
        <v>3.0000000000000001E-3</v>
      </c>
      <c r="W240">
        <v>-0.19700000000000001</v>
      </c>
      <c r="X240">
        <v>-0.23699999999999999</v>
      </c>
      <c r="Y240">
        <v>0</v>
      </c>
      <c r="Z240">
        <v>0</v>
      </c>
      <c r="AA240">
        <v>0</v>
      </c>
    </row>
    <row r="241" spans="2:27" x14ac:dyDescent="0.3">
      <c r="J241" s="17" t="s">
        <v>152</v>
      </c>
      <c r="K241" s="86">
        <f>IF(K226/K220&lt;1,"N/A",K226/K220)</f>
        <v>1.09670537103314</v>
      </c>
      <c r="L241" s="86">
        <f>IF(L226/L220&lt;1,"N/A",L226/L220)</f>
        <v>1.00115447403687</v>
      </c>
      <c r="T241">
        <v>73</v>
      </c>
      <c r="U241" t="s">
        <v>129</v>
      </c>
      <c r="V241">
        <v>1.7999999999999999E-2</v>
      </c>
      <c r="W241">
        <v>-0.53100000000000003</v>
      </c>
      <c r="X241">
        <v>-0.51600000000000001</v>
      </c>
      <c r="Y241">
        <v>0</v>
      </c>
      <c r="Z241">
        <v>0</v>
      </c>
      <c r="AA241">
        <v>0</v>
      </c>
    </row>
    <row r="242" spans="2:27" x14ac:dyDescent="0.3">
      <c r="T242">
        <v>74</v>
      </c>
      <c r="U242" t="s">
        <v>129</v>
      </c>
      <c r="V242">
        <v>1.7999999999999999E-2</v>
      </c>
      <c r="W242">
        <v>-0.54900000000000004</v>
      </c>
      <c r="X242">
        <v>0.26700000000000002</v>
      </c>
      <c r="Y242">
        <v>0</v>
      </c>
      <c r="Z242">
        <v>0</v>
      </c>
      <c r="AA242">
        <v>0</v>
      </c>
    </row>
    <row r="243" spans="2:27" x14ac:dyDescent="0.3">
      <c r="K243" s="53">
        <f>K225/K220</f>
        <v>1.21856152337015</v>
      </c>
      <c r="L243" s="53">
        <f>L225/L220</f>
        <v>1.11239386004097</v>
      </c>
      <c r="T243">
        <v>75</v>
      </c>
      <c r="U243" t="s">
        <v>129</v>
      </c>
      <c r="V243">
        <v>3.0000000000000001E-3</v>
      </c>
      <c r="W243">
        <v>-0.24</v>
      </c>
      <c r="X243">
        <v>-0.26400000000000001</v>
      </c>
      <c r="Y243">
        <v>0</v>
      </c>
      <c r="Z243">
        <v>0</v>
      </c>
      <c r="AA243">
        <v>0</v>
      </c>
    </row>
    <row r="244" spans="2:27" x14ac:dyDescent="0.3">
      <c r="T244">
        <v>76</v>
      </c>
      <c r="U244" t="s">
        <v>129</v>
      </c>
      <c r="V244">
        <v>1.9E-2</v>
      </c>
      <c r="W244">
        <v>-0.57099999999999995</v>
      </c>
      <c r="X244">
        <v>-0.55000000000000004</v>
      </c>
      <c r="Y244">
        <v>0</v>
      </c>
      <c r="Z244">
        <v>0</v>
      </c>
      <c r="AA244">
        <v>0</v>
      </c>
    </row>
    <row r="245" spans="2:27" x14ac:dyDescent="0.3">
      <c r="T245">
        <v>77</v>
      </c>
      <c r="U245" t="s">
        <v>129</v>
      </c>
      <c r="V245">
        <v>1.9E-2</v>
      </c>
      <c r="W245">
        <v>-0.6</v>
      </c>
      <c r="X245">
        <v>0.39400000000000002</v>
      </c>
      <c r="Y245">
        <v>0</v>
      </c>
      <c r="Z245">
        <v>0</v>
      </c>
      <c r="AA245">
        <v>0</v>
      </c>
    </row>
    <row r="246" spans="2:27" x14ac:dyDescent="0.3">
      <c r="B246" s="3" t="s">
        <v>153</v>
      </c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T246">
        <v>78</v>
      </c>
      <c r="U246" t="s">
        <v>129</v>
      </c>
      <c r="V246">
        <v>3.0000000000000001E-3</v>
      </c>
      <c r="W246">
        <v>-0.33800000000000002</v>
      </c>
      <c r="X246">
        <v>-0.50800000000000001</v>
      </c>
      <c r="Y246">
        <v>0</v>
      </c>
      <c r="Z246">
        <v>0</v>
      </c>
      <c r="AA246">
        <v>0</v>
      </c>
    </row>
    <row r="247" spans="2:27" x14ac:dyDescent="0.3">
      <c r="T247">
        <v>79</v>
      </c>
      <c r="U247" t="s">
        <v>129</v>
      </c>
      <c r="V247">
        <v>1.7999999999999999E-2</v>
      </c>
      <c r="W247">
        <v>-0.73699999999999999</v>
      </c>
      <c r="X247">
        <v>-0.83699999999999997</v>
      </c>
      <c r="Y247">
        <v>0</v>
      </c>
      <c r="Z247">
        <v>0</v>
      </c>
      <c r="AA247">
        <v>0</v>
      </c>
    </row>
    <row r="248" spans="2:27" x14ac:dyDescent="0.3">
      <c r="B248" t="s">
        <v>154</v>
      </c>
      <c r="T248">
        <v>80</v>
      </c>
      <c r="U248" t="s">
        <v>129</v>
      </c>
      <c r="V248">
        <v>1.9E-2</v>
      </c>
      <c r="W248">
        <v>-0.79600000000000004</v>
      </c>
      <c r="X248">
        <v>-0.79900000000000004</v>
      </c>
      <c r="Y248">
        <v>0</v>
      </c>
      <c r="Z248">
        <v>0</v>
      </c>
      <c r="AA248">
        <v>0</v>
      </c>
    </row>
    <row r="249" spans="2:27" x14ac:dyDescent="0.3">
      <c r="T249">
        <v>81</v>
      </c>
      <c r="U249" t="s">
        <v>129</v>
      </c>
      <c r="V249">
        <v>2E-3</v>
      </c>
      <c r="W249">
        <v>-0.50600000000000001</v>
      </c>
      <c r="X249">
        <v>-1.109</v>
      </c>
      <c r="Y249">
        <v>0</v>
      </c>
      <c r="Z249">
        <v>0</v>
      </c>
      <c r="AA249">
        <v>0</v>
      </c>
    </row>
    <row r="250" spans="2:27" x14ac:dyDescent="0.3">
      <c r="B250" s="12" t="s">
        <v>46</v>
      </c>
      <c r="C250" s="40">
        <f>P33</f>
        <v>0.4</v>
      </c>
      <c r="H250" t="s">
        <v>99</v>
      </c>
      <c r="I250" t="s">
        <v>155</v>
      </c>
      <c r="T250">
        <v>82</v>
      </c>
      <c r="U250" t="s">
        <v>129</v>
      </c>
      <c r="V250">
        <v>1.9E-2</v>
      </c>
      <c r="W250">
        <v>-0.83599999999999997</v>
      </c>
      <c r="X250">
        <v>-1.57</v>
      </c>
      <c r="Y250">
        <v>0</v>
      </c>
      <c r="Z250">
        <v>0</v>
      </c>
      <c r="AA250">
        <v>0</v>
      </c>
    </row>
    <row r="251" spans="2:27" x14ac:dyDescent="0.3">
      <c r="B251" s="12" t="s">
        <v>156</v>
      </c>
      <c r="C251" s="40">
        <f>P55</f>
        <v>3</v>
      </c>
      <c r="H251" t="s">
        <v>108</v>
      </c>
      <c r="I251" t="s">
        <v>110</v>
      </c>
      <c r="T251">
        <v>83</v>
      </c>
      <c r="U251" t="s">
        <v>129</v>
      </c>
      <c r="V251">
        <v>2.8000000000000001E-2</v>
      </c>
      <c r="W251">
        <v>-1.24</v>
      </c>
      <c r="X251">
        <v>-1.492</v>
      </c>
      <c r="Y251">
        <v>0</v>
      </c>
      <c r="Z251">
        <v>0</v>
      </c>
      <c r="AA251">
        <v>0</v>
      </c>
    </row>
    <row r="252" spans="2:27" x14ac:dyDescent="0.3">
      <c r="B252" s="12" t="s">
        <v>157</v>
      </c>
      <c r="C252" s="40">
        <f>P57</f>
        <v>0.6</v>
      </c>
      <c r="H252">
        <v>0.01</v>
      </c>
      <c r="I252" s="53">
        <v>6.2857142857142861E-2</v>
      </c>
      <c r="T252">
        <v>84</v>
      </c>
      <c r="U252" t="s">
        <v>129</v>
      </c>
      <c r="V252">
        <v>1.7000000000000001E-2</v>
      </c>
      <c r="W252">
        <v>-1.847</v>
      </c>
      <c r="X252">
        <v>-1.571</v>
      </c>
      <c r="Y252">
        <v>0</v>
      </c>
      <c r="Z252">
        <v>0</v>
      </c>
      <c r="AA252">
        <v>0</v>
      </c>
    </row>
    <row r="253" spans="2:27" x14ac:dyDescent="0.3">
      <c r="B253" s="12" t="s">
        <v>158</v>
      </c>
      <c r="C253" s="40">
        <f>Q85</f>
        <v>1</v>
      </c>
      <c r="H253">
        <v>0.02</v>
      </c>
      <c r="I253" s="53">
        <f>IF(H253&lt;$C$252/3,   ($C$253*$C$250/$C$254)*(1+(3*($C$251-1)*H253/$C$252)),   IF(H253&lt;=$C$252,   $C$253*$C$250*$C$251/$C$254,   $C$253*$C$250*$C$251/$C$254*($C$252/H253)^(2/3)   ))</f>
        <v>0.0685714285714286</v>
      </c>
      <c r="T253">
        <v>85</v>
      </c>
      <c r="U253" t="s">
        <v>129</v>
      </c>
      <c r="V253">
        <v>7.0000000000000001E-3</v>
      </c>
      <c r="W253">
        <v>-1.621</v>
      </c>
      <c r="X253">
        <v>-0.97299999999999998</v>
      </c>
      <c r="Y253">
        <v>0</v>
      </c>
      <c r="Z253">
        <v>0</v>
      </c>
      <c r="AA253">
        <v>0</v>
      </c>
    </row>
    <row r="254" spans="2:27" x14ac:dyDescent="0.3">
      <c r="B254" s="12" t="s">
        <v>58</v>
      </c>
      <c r="C254" s="40">
        <f>P99</f>
        <v>7</v>
      </c>
      <c r="H254">
        <v>0.03</v>
      </c>
      <c r="I254" s="53">
        <f t="shared" ref="I254:I316" si="10">IF(H254&lt;$C$252/3,   ($C$253*$C$250/$C$254)*(1+(3*($C$251-1)*H254/$C$252)),   IF(H254&lt;=$C$252,   $C$253*$C$250*$C$251/$C$254,   $C$253*$C$250*$C$251/$C$254*($C$252/H254)^(2/3)   ))</f>
        <v>0.0742857142857143</v>
      </c>
      <c r="T254">
        <v>88</v>
      </c>
      <c r="U254" t="s">
        <v>129</v>
      </c>
      <c r="V254">
        <v>-3.0379999999999998</v>
      </c>
      <c r="W254">
        <v>-4.657</v>
      </c>
      <c r="X254">
        <v>8.0000000000000002E-3</v>
      </c>
      <c r="Y254">
        <v>0</v>
      </c>
      <c r="Z254">
        <v>0</v>
      </c>
      <c r="AA254">
        <v>0</v>
      </c>
    </row>
    <row r="255" spans="2:27" x14ac:dyDescent="0.3">
      <c r="B255" s="12" t="s">
        <v>159</v>
      </c>
      <c r="C255" s="40">
        <f>P97</f>
        <v>6</v>
      </c>
      <c r="H255">
        <v>0.04</v>
      </c>
      <c r="I255" s="53">
        <f t="shared" si="10"/>
        <v>0.08</v>
      </c>
      <c r="T255">
        <v>90</v>
      </c>
      <c r="U255" t="s">
        <v>129</v>
      </c>
      <c r="V255">
        <v>-2.149</v>
      </c>
      <c r="W255">
        <v>-1.8620000000000001</v>
      </c>
      <c r="X255">
        <v>1.2E-2</v>
      </c>
      <c r="Y255">
        <v>0</v>
      </c>
      <c r="Z255">
        <v>0</v>
      </c>
      <c r="AA255">
        <v>0</v>
      </c>
    </row>
    <row r="256" spans="2:27" x14ac:dyDescent="0.3">
      <c r="H256">
        <v>0.05</v>
      </c>
      <c r="I256" s="53">
        <f>IF(H256&lt;$C$252/3,   ($C$253*$C$250/$C$254)*(1+(3*($C$251-1)*H256/$C$252)),   IF(H256&lt;=$C$252,   $C$253*$C$250*$C$251/$C$254,   $C$253*$C$250*$C$251/$C$254*($C$252/H256)^(2/3)   ))</f>
        <v>0.0857142857142857</v>
      </c>
      <c r="T256">
        <v>92</v>
      </c>
      <c r="U256" t="s">
        <v>129</v>
      </c>
      <c r="V256">
        <v>-4.29</v>
      </c>
      <c r="W256">
        <v>0.99299999999999999</v>
      </c>
      <c r="X256">
        <v>2E-3</v>
      </c>
      <c r="Y256">
        <v>0</v>
      </c>
      <c r="Z256">
        <v>0</v>
      </c>
      <c r="AA256">
        <v>0</v>
      </c>
    </row>
    <row r="257" spans="8:27" x14ac:dyDescent="0.3">
      <c r="H257">
        <v>0.06</v>
      </c>
      <c r="I257" s="53">
        <f t="shared" si="10"/>
        <v>0.0914285714285714</v>
      </c>
      <c r="T257">
        <v>94</v>
      </c>
      <c r="U257" t="s">
        <v>129</v>
      </c>
      <c r="V257">
        <v>-3.952</v>
      </c>
      <c r="W257">
        <v>1.1240000000000001</v>
      </c>
      <c r="X257">
        <v>7.0000000000000001E-3</v>
      </c>
      <c r="Y257">
        <v>0</v>
      </c>
      <c r="Z257">
        <v>0</v>
      </c>
      <c r="AA257">
        <v>0</v>
      </c>
    </row>
    <row r="258" spans="8:27" x14ac:dyDescent="0.3">
      <c r="H258">
        <v>7.0000000000000007E-2</v>
      </c>
      <c r="I258" s="53">
        <f t="shared" si="10"/>
        <v>0.0971428571428572</v>
      </c>
      <c r="T258">
        <v>97</v>
      </c>
      <c r="U258" t="s">
        <v>129</v>
      </c>
      <c r="V258">
        <v>-3.2480000000000002</v>
      </c>
      <c r="W258">
        <v>0.83499999999999996</v>
      </c>
      <c r="X258">
        <v>7.0000000000000001E-3</v>
      </c>
      <c r="Y258">
        <v>0</v>
      </c>
      <c r="Z258">
        <v>0</v>
      </c>
      <c r="AA258">
        <v>0</v>
      </c>
    </row>
    <row r="259" spans="8:27" x14ac:dyDescent="0.3">
      <c r="H259">
        <v>0.08</v>
      </c>
      <c r="I259" s="53">
        <f t="shared" si="10"/>
        <v>0.102857142857143</v>
      </c>
      <c r="T259">
        <v>101</v>
      </c>
      <c r="U259" t="s">
        <v>129</v>
      </c>
      <c r="V259">
        <v>-2.6339999999999999</v>
      </c>
      <c r="W259">
        <v>0.66200000000000003</v>
      </c>
      <c r="X259">
        <v>5.0000000000000001E-3</v>
      </c>
      <c r="Y259">
        <v>0</v>
      </c>
      <c r="Z259">
        <v>0</v>
      </c>
      <c r="AA259">
        <v>0</v>
      </c>
    </row>
    <row r="260" spans="8:27" x14ac:dyDescent="0.3">
      <c r="H260">
        <v>0.09</v>
      </c>
      <c r="I260" s="53">
        <f t="shared" si="10"/>
        <v>0.108571428571429</v>
      </c>
      <c r="T260">
        <v>104</v>
      </c>
      <c r="U260" t="s">
        <v>129</v>
      </c>
      <c r="V260">
        <v>-2.2410000000000001</v>
      </c>
      <c r="W260">
        <v>0.56100000000000005</v>
      </c>
      <c r="X260">
        <v>2E-3</v>
      </c>
      <c r="Y260">
        <v>0</v>
      </c>
      <c r="Z260">
        <v>0</v>
      </c>
      <c r="AA260">
        <v>0</v>
      </c>
    </row>
    <row r="261" spans="8:27" x14ac:dyDescent="0.3">
      <c r="H261">
        <v>0.1</v>
      </c>
      <c r="I261" s="53">
        <f t="shared" si="10"/>
        <v>0.114285714285714</v>
      </c>
      <c r="T261">
        <v>107</v>
      </c>
      <c r="U261" t="s">
        <v>129</v>
      </c>
      <c r="V261">
        <v>-1.9279999999999999</v>
      </c>
      <c r="W261">
        <v>0.443</v>
      </c>
      <c r="X261">
        <v>7.0000000000000001E-3</v>
      </c>
      <c r="Y261">
        <v>0</v>
      </c>
      <c r="Z261">
        <v>0</v>
      </c>
      <c r="AA261">
        <v>0</v>
      </c>
    </row>
    <row r="262" spans="8:27" x14ac:dyDescent="0.3">
      <c r="H262">
        <v>0.11</v>
      </c>
      <c r="I262" s="53">
        <f t="shared" si="10"/>
        <v>0.12</v>
      </c>
      <c r="T262">
        <v>111</v>
      </c>
      <c r="U262" t="s">
        <v>129</v>
      </c>
      <c r="V262">
        <v>-1.6220000000000001</v>
      </c>
      <c r="W262">
        <v>0.38900000000000001</v>
      </c>
      <c r="X262">
        <v>0.01</v>
      </c>
      <c r="Y262">
        <v>0</v>
      </c>
      <c r="Z262">
        <v>0</v>
      </c>
      <c r="AA262">
        <v>0</v>
      </c>
    </row>
    <row r="263" spans="8:27" x14ac:dyDescent="0.3">
      <c r="H263">
        <v>0.12</v>
      </c>
      <c r="I263" s="53">
        <f t="shared" si="10"/>
        <v>0.125714285714286</v>
      </c>
      <c r="T263">
        <v>115</v>
      </c>
      <c r="U263" t="s">
        <v>129</v>
      </c>
      <c r="V263">
        <v>-1.383</v>
      </c>
      <c r="W263">
        <v>0.33100000000000002</v>
      </c>
      <c r="X263">
        <v>7.0000000000000001E-3</v>
      </c>
      <c r="Y263">
        <v>0</v>
      </c>
      <c r="Z263">
        <v>0</v>
      </c>
      <c r="AA263">
        <v>0</v>
      </c>
    </row>
    <row r="264" spans="8:27" x14ac:dyDescent="0.3">
      <c r="H264">
        <v>0.13</v>
      </c>
      <c r="I264" s="53">
        <f t="shared" si="10"/>
        <v>0.131428571428571</v>
      </c>
      <c r="T264">
        <v>116</v>
      </c>
      <c r="U264" t="s">
        <v>129</v>
      </c>
      <c r="V264">
        <v>-0.06</v>
      </c>
      <c r="W264">
        <v>-0.06</v>
      </c>
      <c r="X264">
        <v>-0.371</v>
      </c>
      <c r="Y264">
        <v>-1.704</v>
      </c>
      <c r="Z264">
        <v>0</v>
      </c>
      <c r="AA264">
        <v>0.27600000000000002</v>
      </c>
    </row>
    <row r="265" spans="8:27" x14ac:dyDescent="0.3">
      <c r="H265">
        <v>0.14000000000000001</v>
      </c>
      <c r="I265" s="53">
        <f t="shared" si="10"/>
        <v>0.137142857142857</v>
      </c>
      <c r="T265">
        <v>120</v>
      </c>
      <c r="U265" t="s">
        <v>129</v>
      </c>
      <c r="V265">
        <v>-1.2230000000000001</v>
      </c>
      <c r="W265">
        <v>0.28699999999999998</v>
      </c>
      <c r="X265">
        <v>0</v>
      </c>
      <c r="Y265">
        <v>0</v>
      </c>
      <c r="Z265">
        <v>0</v>
      </c>
      <c r="AA265">
        <v>0</v>
      </c>
    </row>
    <row r="266" spans="8:27" x14ac:dyDescent="0.3">
      <c r="H266">
        <v>0.15</v>
      </c>
      <c r="I266" s="53">
        <f t="shared" si="10"/>
        <v>0.142857142857143</v>
      </c>
      <c r="T266">
        <v>121</v>
      </c>
      <c r="U266" t="s">
        <v>129</v>
      </c>
      <c r="V266">
        <v>-1.123</v>
      </c>
      <c r="W266">
        <v>0.18099999999999999</v>
      </c>
      <c r="X266">
        <v>0</v>
      </c>
      <c r="Y266">
        <v>0</v>
      </c>
      <c r="Z266">
        <v>0</v>
      </c>
      <c r="AA266">
        <v>0</v>
      </c>
    </row>
    <row r="267" spans="8:27" x14ac:dyDescent="0.3">
      <c r="H267">
        <v>0.16</v>
      </c>
      <c r="I267" s="53">
        <f t="shared" si="10"/>
        <v>0.148571428571429</v>
      </c>
      <c r="T267">
        <v>122</v>
      </c>
      <c r="U267" t="s">
        <v>129</v>
      </c>
      <c r="V267">
        <v>-1.0820000000000001</v>
      </c>
      <c r="W267">
        <v>-0.16600000000000001</v>
      </c>
      <c r="X267">
        <v>8.0000000000000002E-3</v>
      </c>
      <c r="Y267">
        <v>0</v>
      </c>
      <c r="Z267">
        <v>0</v>
      </c>
      <c r="AA267">
        <v>0</v>
      </c>
    </row>
    <row r="268" spans="8:27" x14ac:dyDescent="0.3">
      <c r="H268">
        <v>0.17</v>
      </c>
      <c r="I268" s="53">
        <f t="shared" si="10"/>
        <v>0.154285714285714</v>
      </c>
      <c r="T268">
        <v>124</v>
      </c>
      <c r="U268" t="s">
        <v>129</v>
      </c>
      <c r="V268">
        <v>-0.92200000000000004</v>
      </c>
      <c r="W268">
        <v>-0.33700000000000002</v>
      </c>
      <c r="X268">
        <v>1.2E-2</v>
      </c>
      <c r="Y268">
        <v>0</v>
      </c>
      <c r="Z268">
        <v>0</v>
      </c>
      <c r="AA268">
        <v>0</v>
      </c>
    </row>
    <row r="269" spans="8:27" x14ac:dyDescent="0.3">
      <c r="H269">
        <v>0.18</v>
      </c>
      <c r="I269" s="53">
        <f t="shared" si="10"/>
        <v>0.16</v>
      </c>
      <c r="T269">
        <v>125</v>
      </c>
      <c r="U269" t="s">
        <v>129</v>
      </c>
      <c r="V269">
        <v>-0.81899999999999995</v>
      </c>
      <c r="W269">
        <v>-0.23100000000000001</v>
      </c>
      <c r="X269">
        <v>8.0000000000000002E-3</v>
      </c>
      <c r="Y269">
        <v>0</v>
      </c>
      <c r="Z269">
        <v>0</v>
      </c>
      <c r="AA269">
        <v>0</v>
      </c>
    </row>
    <row r="270" spans="8:27" x14ac:dyDescent="0.3">
      <c r="H270">
        <v>0.19</v>
      </c>
      <c r="I270" s="53">
        <f t="shared" si="10"/>
        <v>0.165714285714286</v>
      </c>
      <c r="T270">
        <v>126</v>
      </c>
      <c r="U270" t="s">
        <v>129</v>
      </c>
      <c r="V270">
        <v>-0.90400000000000003</v>
      </c>
      <c r="W270">
        <v>-9.8000000000000004E-2</v>
      </c>
      <c r="X270">
        <v>0</v>
      </c>
      <c r="Y270">
        <v>0</v>
      </c>
      <c r="Z270">
        <v>0</v>
      </c>
      <c r="AA270">
        <v>0</v>
      </c>
    </row>
    <row r="271" spans="8:27" x14ac:dyDescent="0.3">
      <c r="H271">
        <v>0.2</v>
      </c>
      <c r="I271" s="53">
        <f t="shared" si="10"/>
        <v>0.171428571428571</v>
      </c>
      <c r="T271">
        <v>127</v>
      </c>
      <c r="U271" t="s">
        <v>129</v>
      </c>
      <c r="V271">
        <v>-1.0409999999999999</v>
      </c>
      <c r="W271">
        <v>-0.17</v>
      </c>
      <c r="X271">
        <v>0</v>
      </c>
      <c r="Y271">
        <v>0</v>
      </c>
      <c r="Z271">
        <v>0</v>
      </c>
      <c r="AA271">
        <v>0</v>
      </c>
    </row>
    <row r="272" spans="8:27" x14ac:dyDescent="0.3">
      <c r="H272">
        <v>0.21</v>
      </c>
      <c r="I272" s="53">
        <f t="shared" si="10"/>
        <v>0.171428571428571</v>
      </c>
      <c r="T272">
        <v>128</v>
      </c>
      <c r="U272" t="s">
        <v>129</v>
      </c>
      <c r="V272">
        <v>-1.222</v>
      </c>
      <c r="W272">
        <v>-0.42699999999999999</v>
      </c>
      <c r="X272">
        <v>8.9999999999999993E-3</v>
      </c>
      <c r="Y272">
        <v>0</v>
      </c>
      <c r="Z272">
        <v>0</v>
      </c>
      <c r="AA272">
        <v>0</v>
      </c>
    </row>
    <row r="273" spans="8:27" x14ac:dyDescent="0.3">
      <c r="H273">
        <v>0.22</v>
      </c>
      <c r="I273" s="53">
        <f t="shared" si="10"/>
        <v>0.171428571428571</v>
      </c>
      <c r="T273">
        <v>130</v>
      </c>
      <c r="U273" t="s">
        <v>129</v>
      </c>
      <c r="V273">
        <v>-1.3320000000000001</v>
      </c>
      <c r="W273">
        <v>-0.66300000000000003</v>
      </c>
      <c r="X273">
        <v>1.2999999999999999E-2</v>
      </c>
      <c r="Y273">
        <v>0</v>
      </c>
      <c r="Z273">
        <v>0</v>
      </c>
      <c r="AA273">
        <v>0</v>
      </c>
    </row>
    <row r="274" spans="8:27" x14ac:dyDescent="0.3">
      <c r="H274">
        <v>0.23</v>
      </c>
      <c r="I274" s="53">
        <f t="shared" si="10"/>
        <v>0.171428571428571</v>
      </c>
      <c r="T274">
        <v>131</v>
      </c>
      <c r="U274" t="s">
        <v>129</v>
      </c>
      <c r="V274">
        <v>-1.5349999999999999</v>
      </c>
      <c r="W274">
        <v>-0.64200000000000002</v>
      </c>
      <c r="X274">
        <v>8.9999999999999993E-3</v>
      </c>
      <c r="Y274">
        <v>0</v>
      </c>
      <c r="Z274">
        <v>0</v>
      </c>
      <c r="AA274">
        <v>0</v>
      </c>
    </row>
    <row r="275" spans="8:27" x14ac:dyDescent="0.3">
      <c r="H275">
        <v>0.24</v>
      </c>
      <c r="I275" s="53">
        <f t="shared" si="10"/>
        <v>0.171428571428571</v>
      </c>
      <c r="K275">
        <v>0.5</v>
      </c>
      <c r="L275">
        <v>0</v>
      </c>
      <c r="T275">
        <v>132</v>
      </c>
      <c r="U275" t="s">
        <v>129</v>
      </c>
      <c r="V275">
        <v>-2.069</v>
      </c>
      <c r="W275">
        <v>-0.751</v>
      </c>
      <c r="X275">
        <v>1E-3</v>
      </c>
      <c r="Y275">
        <v>0</v>
      </c>
      <c r="Z275">
        <v>0</v>
      </c>
      <c r="AA275">
        <v>0</v>
      </c>
    </row>
    <row r="276" spans="8:27" x14ac:dyDescent="0.3">
      <c r="H276">
        <v>0.25</v>
      </c>
      <c r="I276" s="53">
        <f t="shared" si="10"/>
        <v>0.171428571428571</v>
      </c>
      <c r="K276">
        <v>0.5</v>
      </c>
      <c r="L276">
        <v>0.33</v>
      </c>
      <c r="T276">
        <v>133</v>
      </c>
      <c r="U276" t="s">
        <v>129</v>
      </c>
      <c r="V276">
        <v>-2.7650000000000001</v>
      </c>
      <c r="W276">
        <v>-1.23</v>
      </c>
      <c r="X276">
        <v>8.0000000000000002E-3</v>
      </c>
      <c r="Y276">
        <v>0</v>
      </c>
      <c r="Z276">
        <v>0</v>
      </c>
      <c r="AA276">
        <v>0</v>
      </c>
    </row>
    <row r="277" spans="8:27" x14ac:dyDescent="0.3">
      <c r="H277">
        <v>0.26</v>
      </c>
      <c r="I277" s="53">
        <f t="shared" si="10"/>
        <v>0.171428571428571</v>
      </c>
      <c r="T277">
        <v>135</v>
      </c>
      <c r="U277" t="s">
        <v>129</v>
      </c>
      <c r="V277">
        <v>-2.7410000000000001</v>
      </c>
      <c r="W277">
        <v>-1.5840000000000001</v>
      </c>
      <c r="X277">
        <v>1.0999999999999999E-2</v>
      </c>
      <c r="Y277">
        <v>0</v>
      </c>
      <c r="Z277">
        <v>0</v>
      </c>
      <c r="AA277">
        <v>0</v>
      </c>
    </row>
    <row r="278" spans="8:27" x14ac:dyDescent="0.3">
      <c r="H278">
        <v>0.27</v>
      </c>
      <c r="I278" s="53">
        <f t="shared" si="10"/>
        <v>0.171428571428571</v>
      </c>
      <c r="K278">
        <v>0.71</v>
      </c>
      <c r="L278">
        <v>0</v>
      </c>
      <c r="T278">
        <v>136</v>
      </c>
      <c r="U278" t="s">
        <v>129</v>
      </c>
      <c r="V278">
        <v>-2.851</v>
      </c>
      <c r="W278">
        <v>-1.452</v>
      </c>
      <c r="X278">
        <v>7.0000000000000001E-3</v>
      </c>
      <c r="Y278">
        <v>0</v>
      </c>
      <c r="Z278">
        <v>0</v>
      </c>
      <c r="AA278">
        <v>0</v>
      </c>
    </row>
    <row r="279" spans="8:27" x14ac:dyDescent="0.3">
      <c r="H279">
        <v>0.28000000000000003</v>
      </c>
      <c r="I279" s="53">
        <f t="shared" si="10"/>
        <v>0.171428571428571</v>
      </c>
      <c r="K279">
        <v>0.71</v>
      </c>
      <c r="L279">
        <v>0.26</v>
      </c>
      <c r="T279">
        <v>137</v>
      </c>
      <c r="U279" t="s">
        <v>129</v>
      </c>
      <c r="V279">
        <v>-3.181</v>
      </c>
      <c r="W279">
        <v>-0.95899999999999996</v>
      </c>
      <c r="X279">
        <v>3.0000000000000001E-3</v>
      </c>
      <c r="Y279">
        <v>0</v>
      </c>
      <c r="Z279">
        <v>0</v>
      </c>
      <c r="AA279">
        <v>0</v>
      </c>
    </row>
    <row r="280" spans="8:27" x14ac:dyDescent="0.3">
      <c r="H280">
        <v>0.28999999999999998</v>
      </c>
      <c r="I280" s="53">
        <f t="shared" si="10"/>
        <v>0.171428571428571</v>
      </c>
      <c r="T280">
        <v>138</v>
      </c>
      <c r="U280" t="s">
        <v>129</v>
      </c>
      <c r="V280">
        <v>-1.9530000000000001</v>
      </c>
      <c r="W280">
        <v>1.2609999999999999</v>
      </c>
      <c r="X280">
        <v>-5.0000000000000001E-3</v>
      </c>
      <c r="Y280">
        <v>0</v>
      </c>
      <c r="Z280">
        <v>0</v>
      </c>
      <c r="AA280">
        <v>0</v>
      </c>
    </row>
    <row r="281" spans="8:27" x14ac:dyDescent="0.3">
      <c r="H281">
        <v>0.3</v>
      </c>
      <c r="I281" s="53">
        <f t="shared" si="10"/>
        <v>0.171428571428571</v>
      </c>
      <c r="K281">
        <v>0.94</v>
      </c>
      <c r="L281">
        <v>0</v>
      </c>
      <c r="T281">
        <v>140</v>
      </c>
      <c r="U281" t="s">
        <v>129</v>
      </c>
      <c r="V281">
        <v>-2.2210000000000001</v>
      </c>
      <c r="W281">
        <v>3.423</v>
      </c>
      <c r="X281">
        <v>4.0000000000000001E-3</v>
      </c>
      <c r="Y281">
        <v>0</v>
      </c>
      <c r="Z281">
        <v>0</v>
      </c>
      <c r="AA281">
        <v>0</v>
      </c>
    </row>
    <row r="282" spans="8:27" x14ac:dyDescent="0.3">
      <c r="H282">
        <v>0.31</v>
      </c>
      <c r="I282" s="53">
        <f t="shared" si="10"/>
        <v>0.171428571428571</v>
      </c>
      <c r="K282">
        <v>0.94</v>
      </c>
      <c r="L282">
        <v>0.217</v>
      </c>
    </row>
    <row r="283" spans="8:27" x14ac:dyDescent="0.3">
      <c r="H283">
        <v>0.32</v>
      </c>
      <c r="I283" s="53">
        <f t="shared" si="10"/>
        <v>0.171428571428571</v>
      </c>
      <c r="V283">
        <f>SUM(V190:V281)</f>
        <v>-96.69</v>
      </c>
    </row>
    <row r="284" spans="8:27" x14ac:dyDescent="0.3">
      <c r="H284">
        <v>0.33</v>
      </c>
      <c r="I284" s="53">
        <f t="shared" si="10"/>
        <v>0.171428571428571</v>
      </c>
    </row>
    <row r="285" spans="8:27" x14ac:dyDescent="0.3">
      <c r="H285">
        <v>0.34</v>
      </c>
      <c r="I285" s="53">
        <f t="shared" si="10"/>
        <v>0.171428571428571</v>
      </c>
    </row>
    <row r="286" spans="8:27" x14ac:dyDescent="0.3">
      <c r="H286">
        <v>0.35</v>
      </c>
      <c r="I286" s="53">
        <f t="shared" si="10"/>
        <v>0.171428571428571</v>
      </c>
    </row>
    <row r="287" spans="8:27" x14ac:dyDescent="0.3">
      <c r="H287">
        <v>0.36</v>
      </c>
      <c r="I287" s="53">
        <f t="shared" si="10"/>
        <v>0.171428571428571</v>
      </c>
    </row>
    <row r="288" spans="8:27" x14ac:dyDescent="0.3">
      <c r="H288">
        <v>0.37</v>
      </c>
      <c r="I288" s="53">
        <f t="shared" si="10"/>
        <v>0.171428571428571</v>
      </c>
    </row>
    <row r="289" spans="8:9" x14ac:dyDescent="0.3">
      <c r="H289">
        <v>0.38</v>
      </c>
      <c r="I289" s="53">
        <f t="shared" si="10"/>
        <v>0.171428571428571</v>
      </c>
    </row>
    <row r="290" spans="8:9" x14ac:dyDescent="0.3">
      <c r="H290">
        <v>0.39</v>
      </c>
      <c r="I290" s="53">
        <f t="shared" si="10"/>
        <v>0.171428571428571</v>
      </c>
    </row>
    <row r="291" spans="8:9" x14ac:dyDescent="0.3">
      <c r="H291">
        <v>0.4</v>
      </c>
      <c r="I291" s="53">
        <f t="shared" si="10"/>
        <v>0.171428571428571</v>
      </c>
    </row>
    <row r="292" spans="8:9" x14ac:dyDescent="0.3">
      <c r="H292">
        <v>0.41</v>
      </c>
      <c r="I292" s="53">
        <f t="shared" si="10"/>
        <v>0.171428571428571</v>
      </c>
    </row>
    <row r="293" spans="8:9" x14ac:dyDescent="0.3">
      <c r="H293">
        <v>0.42</v>
      </c>
      <c r="I293" s="53">
        <f t="shared" si="10"/>
        <v>0.171428571428571</v>
      </c>
    </row>
    <row r="294" spans="8:9" x14ac:dyDescent="0.3">
      <c r="H294">
        <v>0.43</v>
      </c>
      <c r="I294" s="53">
        <f t="shared" si="10"/>
        <v>0.171428571428571</v>
      </c>
    </row>
    <row r="295" spans="8:9" x14ac:dyDescent="0.3">
      <c r="H295">
        <v>0.44</v>
      </c>
      <c r="I295" s="53">
        <f t="shared" si="10"/>
        <v>0.171428571428571</v>
      </c>
    </row>
    <row r="296" spans="8:9" x14ac:dyDescent="0.3">
      <c r="H296">
        <v>0.45</v>
      </c>
      <c r="I296" s="53">
        <f t="shared" si="10"/>
        <v>0.171428571428571</v>
      </c>
    </row>
    <row r="297" spans="8:9" x14ac:dyDescent="0.3">
      <c r="H297">
        <v>0.46</v>
      </c>
      <c r="I297" s="53">
        <f t="shared" si="10"/>
        <v>0.171428571428571</v>
      </c>
    </row>
    <row r="298" spans="8:9" x14ac:dyDescent="0.3">
      <c r="H298">
        <v>0.47</v>
      </c>
      <c r="I298" s="53">
        <f t="shared" si="10"/>
        <v>0.171428571428571</v>
      </c>
    </row>
    <row r="299" spans="8:9" x14ac:dyDescent="0.3">
      <c r="H299">
        <v>0.48</v>
      </c>
      <c r="I299" s="53">
        <f t="shared" si="10"/>
        <v>0.171428571428571</v>
      </c>
    </row>
    <row r="300" spans="8:9" x14ac:dyDescent="0.3">
      <c r="H300">
        <v>0.49</v>
      </c>
      <c r="I300" s="53">
        <f t="shared" si="10"/>
        <v>0.171428571428571</v>
      </c>
    </row>
    <row r="301" spans="8:9" x14ac:dyDescent="0.3">
      <c r="H301">
        <v>0.5</v>
      </c>
      <c r="I301" s="53">
        <f t="shared" si="10"/>
        <v>0.171428571428571</v>
      </c>
    </row>
    <row r="302" spans="8:9" x14ac:dyDescent="0.3">
      <c r="H302">
        <v>0.51</v>
      </c>
      <c r="I302" s="53">
        <f t="shared" si="10"/>
        <v>0.171428571428571</v>
      </c>
    </row>
    <row r="303" spans="8:9" x14ac:dyDescent="0.3">
      <c r="H303">
        <v>0.52</v>
      </c>
      <c r="I303" s="53">
        <f t="shared" si="10"/>
        <v>0.171428571428571</v>
      </c>
    </row>
    <row r="304" spans="8:9" x14ac:dyDescent="0.3">
      <c r="H304">
        <v>0.53</v>
      </c>
      <c r="I304" s="53">
        <f t="shared" si="10"/>
        <v>0.171428571428571</v>
      </c>
    </row>
    <row r="305" spans="8:9" x14ac:dyDescent="0.3">
      <c r="H305">
        <v>0.54</v>
      </c>
      <c r="I305" s="53">
        <f t="shared" si="10"/>
        <v>0.171428571428571</v>
      </c>
    </row>
    <row r="306" spans="8:9" x14ac:dyDescent="0.3">
      <c r="H306">
        <v>0.55000000000000004</v>
      </c>
      <c r="I306" s="53">
        <f t="shared" si="10"/>
        <v>0.171428571428571</v>
      </c>
    </row>
    <row r="307" spans="8:9" x14ac:dyDescent="0.3">
      <c r="H307">
        <v>0.56000000000000005</v>
      </c>
      <c r="I307" s="53">
        <f t="shared" si="10"/>
        <v>0.171428571428571</v>
      </c>
    </row>
    <row r="308" spans="8:9" x14ac:dyDescent="0.3">
      <c r="H308">
        <v>0.56999999999999995</v>
      </c>
      <c r="I308" s="53">
        <f t="shared" si="10"/>
        <v>0.171428571428571</v>
      </c>
    </row>
    <row r="309" spans="8:9" x14ac:dyDescent="0.3">
      <c r="H309">
        <v>0.57999999999999996</v>
      </c>
      <c r="I309" s="53">
        <f t="shared" si="10"/>
        <v>0.171428571428571</v>
      </c>
    </row>
    <row r="310" spans="8:9" x14ac:dyDescent="0.3">
      <c r="H310">
        <v>0.59</v>
      </c>
      <c r="I310" s="53">
        <f t="shared" si="10"/>
        <v>0.171428571428571</v>
      </c>
    </row>
    <row r="311" spans="8:9" x14ac:dyDescent="0.3">
      <c r="H311">
        <v>0.6</v>
      </c>
      <c r="I311" s="53">
        <f t="shared" si="10"/>
        <v>0.171428571428571</v>
      </c>
    </row>
    <row r="312" spans="8:9" x14ac:dyDescent="0.3">
      <c r="H312">
        <v>0.61</v>
      </c>
      <c r="I312" s="53">
        <f t="shared" si="10"/>
        <v>0.16954987852001</v>
      </c>
    </row>
    <row r="313" spans="8:9" x14ac:dyDescent="0.3">
      <c r="H313">
        <v>0.62</v>
      </c>
      <c r="I313" s="53">
        <f t="shared" si="10"/>
        <v>0.167721825228907</v>
      </c>
    </row>
    <row r="314" spans="8:9" x14ac:dyDescent="0.3">
      <c r="H314">
        <v>0.63</v>
      </c>
      <c r="I314" s="53">
        <f t="shared" si="10"/>
        <v>0.165942262337119</v>
      </c>
    </row>
    <row r="315" spans="8:9" x14ac:dyDescent="0.3">
      <c r="H315">
        <v>0.64</v>
      </c>
      <c r="I315" s="53">
        <f t="shared" si="10"/>
        <v>0.164209164084333</v>
      </c>
    </row>
    <row r="316" spans="8:9" x14ac:dyDescent="0.3">
      <c r="H316">
        <v>0.65</v>
      </c>
      <c r="I316" s="53">
        <f t="shared" si="10"/>
        <v>0.162520619281293</v>
      </c>
    </row>
    <row r="317" spans="8:9" x14ac:dyDescent="0.3">
      <c r="H317">
        <v>0.66</v>
      </c>
      <c r="I317" s="53">
        <f t="shared" ref="I317:I380" si="11">IF(H317&lt;$C$252/3,   ($C$253*$C$250/$C$254)*(1+(3*($C$251-1)*H317/$C$252)),   IF(H317&lt;=$C$252,   $C$253*$C$250*$C$251/$C$254,   $C$253*$C$250*$C$251/$C$254*($C$252/H317)^(2/3)   ))</f>
        <v>0.160874823188005</v>
      </c>
    </row>
    <row r="318" spans="8:9" x14ac:dyDescent="0.3">
      <c r="H318">
        <v>0.67</v>
      </c>
      <c r="I318" s="53">
        <f t="shared" si="11"/>
        <v>0.159270070080596</v>
      </c>
    </row>
    <row r="319" spans="8:9" x14ac:dyDescent="0.3">
      <c r="H319">
        <v>0.68</v>
      </c>
      <c r="I319" s="53">
        <f t="shared" si="11"/>
        <v>0.157704746439153</v>
      </c>
    </row>
    <row r="320" spans="8:9" x14ac:dyDescent="0.3">
      <c r="H320">
        <v>0.69</v>
      </c>
      <c r="I320" s="53">
        <f t="shared" si="11"/>
        <v>0.156177324696395</v>
      </c>
    </row>
    <row r="321" spans="8:9" x14ac:dyDescent="0.3">
      <c r="H321">
        <v>0.7</v>
      </c>
      <c r="I321" s="53">
        <f t="shared" si="11"/>
        <v>0.154686357493626</v>
      </c>
    </row>
    <row r="322" spans="8:9" x14ac:dyDescent="0.3">
      <c r="H322">
        <v>0.71</v>
      </c>
      <c r="I322" s="53">
        <f t="shared" si="11"/>
        <v>0.153230472396236</v>
      </c>
    </row>
    <row r="323" spans="8:9" x14ac:dyDescent="0.3">
      <c r="H323">
        <v>0.72</v>
      </c>
      <c r="I323" s="53">
        <f t="shared" si="11"/>
        <v>0.151808367026087</v>
      </c>
    </row>
    <row r="324" spans="8:9" x14ac:dyDescent="0.3">
      <c r="H324">
        <v>0.73</v>
      </c>
      <c r="I324" s="53">
        <f t="shared" si="11"/>
        <v>0.150418804572635</v>
      </c>
    </row>
    <row r="325" spans="8:9" x14ac:dyDescent="0.3">
      <c r="H325">
        <v>0.74</v>
      </c>
      <c r="I325" s="53">
        <f t="shared" si="11"/>
        <v>0.149060609648575</v>
      </c>
    </row>
    <row r="326" spans="8:9" x14ac:dyDescent="0.3">
      <c r="H326">
        <v>0.75</v>
      </c>
      <c r="I326" s="53">
        <f t="shared" si="11"/>
        <v>0.147732664459329</v>
      </c>
    </row>
    <row r="327" spans="8:9" x14ac:dyDescent="0.3">
      <c r="H327">
        <v>0.76</v>
      </c>
      <c r="I327" s="53">
        <f t="shared" si="11"/>
        <v>0.146433905258779</v>
      </c>
    </row>
    <row r="328" spans="8:9" x14ac:dyDescent="0.3">
      <c r="H328">
        <v>0.77</v>
      </c>
      <c r="I328" s="53">
        <f t="shared" si="11"/>
        <v>0.145163319066404</v>
      </c>
    </row>
    <row r="329" spans="8:9" x14ac:dyDescent="0.3">
      <c r="H329">
        <v>0.78</v>
      </c>
      <c r="I329" s="53">
        <f t="shared" si="11"/>
        <v>0.143919940623443</v>
      </c>
    </row>
    <row r="330" spans="8:9" x14ac:dyDescent="0.3">
      <c r="H330">
        <v>0.79</v>
      </c>
      <c r="I330" s="53">
        <f t="shared" si="11"/>
        <v>0.142702849567845</v>
      </c>
    </row>
    <row r="331" spans="8:9" x14ac:dyDescent="0.3">
      <c r="H331">
        <v>0.8</v>
      </c>
      <c r="I331" s="53">
        <f t="shared" si="11"/>
        <v>0.14151116780977</v>
      </c>
    </row>
    <row r="332" spans="8:9" x14ac:dyDescent="0.3">
      <c r="H332">
        <v>0.81</v>
      </c>
      <c r="I332" s="53">
        <f t="shared" si="11"/>
        <v>0.140344057091062</v>
      </c>
    </row>
    <row r="333" spans="8:9" x14ac:dyDescent="0.3">
      <c r="H333">
        <v>0.82</v>
      </c>
      <c r="I333" s="53">
        <f t="shared" si="11"/>
        <v>0.139200716713741</v>
      </c>
    </row>
    <row r="334" spans="8:9" x14ac:dyDescent="0.3">
      <c r="H334">
        <v>0.83</v>
      </c>
      <c r="I334" s="53">
        <f t="shared" si="11"/>
        <v>0.138080381423881</v>
      </c>
    </row>
    <row r="335" spans="8:9" x14ac:dyDescent="0.3">
      <c r="H335">
        <v>0.84</v>
      </c>
      <c r="I335" s="53">
        <f t="shared" si="11"/>
        <v>0.136982319438538</v>
      </c>
    </row>
    <row r="336" spans="8:9" x14ac:dyDescent="0.3">
      <c r="H336">
        <v>0.85</v>
      </c>
      <c r="I336" s="53">
        <f t="shared" si="11"/>
        <v>0.135905830604477</v>
      </c>
    </row>
    <row r="337" spans="8:9" x14ac:dyDescent="0.3">
      <c r="H337">
        <v>0.86</v>
      </c>
      <c r="I337" s="53">
        <f t="shared" si="11"/>
        <v>0.134850244678459</v>
      </c>
    </row>
    <row r="338" spans="8:9" x14ac:dyDescent="0.3">
      <c r="H338">
        <v>0.87</v>
      </c>
      <c r="I338" s="53">
        <f t="shared" si="11"/>
        <v>0.133814919719758</v>
      </c>
    </row>
    <row r="339" spans="8:9" x14ac:dyDescent="0.3">
      <c r="H339">
        <v>0.88</v>
      </c>
      <c r="I339" s="53">
        <f t="shared" si="11"/>
        <v>0.132799240586395</v>
      </c>
    </row>
    <row r="340" spans="8:9" x14ac:dyDescent="0.3">
      <c r="H340">
        <v>0.89</v>
      </c>
      <c r="I340" s="53">
        <f t="shared" si="11"/>
        <v>0.131802617527292</v>
      </c>
    </row>
    <row r="341" spans="8:9" x14ac:dyDescent="0.3">
      <c r="H341">
        <v>0.9</v>
      </c>
      <c r="I341" s="53">
        <f t="shared" si="11"/>
        <v>0.130824484863238</v>
      </c>
    </row>
    <row r="342" spans="8:9" x14ac:dyDescent="0.3">
      <c r="H342">
        <v>0.91</v>
      </c>
      <c r="I342" s="53">
        <f t="shared" si="11"/>
        <v>0.129864299750145</v>
      </c>
    </row>
    <row r="343" spans="8:9" x14ac:dyDescent="0.3">
      <c r="H343">
        <v>0.92</v>
      </c>
      <c r="I343" s="53">
        <f t="shared" si="11"/>
        <v>0.128921541018622</v>
      </c>
    </row>
    <row r="344" spans="8:9" x14ac:dyDescent="0.3">
      <c r="H344">
        <v>0.93</v>
      </c>
      <c r="I344" s="53">
        <f t="shared" si="11"/>
        <v>0.12799570808438</v>
      </c>
    </row>
    <row r="345" spans="8:9" x14ac:dyDescent="0.3">
      <c r="H345">
        <v>0.94</v>
      </c>
      <c r="I345" s="53">
        <f t="shared" si="11"/>
        <v>0.127086319924445</v>
      </c>
    </row>
    <row r="346" spans="8:9" x14ac:dyDescent="0.3">
      <c r="H346">
        <v>0.95</v>
      </c>
      <c r="I346" s="53">
        <f t="shared" si="11"/>
        <v>0.126192914114542</v>
      </c>
    </row>
    <row r="347" spans="8:9" x14ac:dyDescent="0.3">
      <c r="H347">
        <v>0.96</v>
      </c>
      <c r="I347" s="53">
        <f t="shared" si="11"/>
        <v>0.125315045923409</v>
      </c>
    </row>
    <row r="348" spans="8:9" x14ac:dyDescent="0.3">
      <c r="H348">
        <v>0.97</v>
      </c>
      <c r="I348" s="53">
        <f t="shared" si="11"/>
        <v>0.1244522874601</v>
      </c>
    </row>
    <row r="349" spans="8:9" x14ac:dyDescent="0.3">
      <c r="H349">
        <v>0.98</v>
      </c>
      <c r="I349" s="53">
        <f t="shared" si="11"/>
        <v>0.123604226870692</v>
      </c>
    </row>
    <row r="350" spans="8:9" x14ac:dyDescent="0.3">
      <c r="H350">
        <v>0.99</v>
      </c>
      <c r="I350" s="53">
        <f t="shared" si="11"/>
        <v>0.122770467581039</v>
      </c>
    </row>
    <row r="351" spans="8:9" x14ac:dyDescent="0.3">
      <c r="H351">
        <v>1</v>
      </c>
      <c r="I351" s="53">
        <f t="shared" si="11"/>
        <v>0.121950627582516</v>
      </c>
    </row>
    <row r="352" spans="8:9" x14ac:dyDescent="0.3">
      <c r="H352">
        <v>1.01</v>
      </c>
      <c r="I352" s="53">
        <f t="shared" si="11"/>
        <v>0.121144338757902</v>
      </c>
    </row>
    <row r="353" spans="8:9" x14ac:dyDescent="0.3">
      <c r="H353">
        <v>1.02</v>
      </c>
      <c r="I353" s="53">
        <f t="shared" si="11"/>
        <v>0.120351246244774</v>
      </c>
    </row>
    <row r="354" spans="8:9" x14ac:dyDescent="0.3">
      <c r="H354">
        <v>1.03</v>
      </c>
      <c r="I354" s="53">
        <f t="shared" si="11"/>
        <v>0.119571007833982</v>
      </c>
    </row>
    <row r="355" spans="8:9" x14ac:dyDescent="0.3">
      <c r="H355">
        <v>1.04</v>
      </c>
      <c r="I355" s="53">
        <f t="shared" si="11"/>
        <v>0.11880329340096</v>
      </c>
    </row>
    <row r="356" spans="8:9" x14ac:dyDescent="0.3">
      <c r="H356">
        <v>1.05</v>
      </c>
      <c r="I356" s="53">
        <f t="shared" si="11"/>
        <v>0.118047784367766</v>
      </c>
    </row>
    <row r="357" spans="8:9" x14ac:dyDescent="0.3">
      <c r="H357">
        <v>1.06</v>
      </c>
      <c r="I357" s="53">
        <f t="shared" si="11"/>
        <v>0.117304173193934</v>
      </c>
    </row>
    <row r="358" spans="8:9" x14ac:dyDescent="0.3">
      <c r="H358">
        <v>1.07</v>
      </c>
      <c r="I358" s="53">
        <f t="shared" si="11"/>
        <v>0.116572162894331</v>
      </c>
    </row>
    <row r="359" spans="8:9" x14ac:dyDescent="0.3">
      <c r="H359">
        <v>1.08</v>
      </c>
      <c r="I359" s="53">
        <f t="shared" si="11"/>
        <v>0.115851466582351</v>
      </c>
    </row>
    <row r="360" spans="8:9" x14ac:dyDescent="0.3">
      <c r="H360">
        <v>1.0900000000000001</v>
      </c>
      <c r="I360" s="53">
        <f t="shared" si="11"/>
        <v>0.115141807036894</v>
      </c>
    </row>
    <row r="361" spans="8:9" x14ac:dyDescent="0.3">
      <c r="H361">
        <v>1.1000000000000001</v>
      </c>
      <c r="I361" s="53">
        <f t="shared" si="11"/>
        <v>0.114442916291688</v>
      </c>
    </row>
    <row r="362" spans="8:9" x14ac:dyDescent="0.3">
      <c r="H362">
        <v>1.1100000000000001</v>
      </c>
      <c r="I362" s="53">
        <f t="shared" si="11"/>
        <v>0.113754535245605</v>
      </c>
    </row>
    <row r="363" spans="8:9" x14ac:dyDescent="0.3">
      <c r="H363">
        <v>1.1200000000000001</v>
      </c>
      <c r="I363" s="53">
        <f t="shared" si="11"/>
        <v>0.113076413292725</v>
      </c>
    </row>
    <row r="364" spans="8:9" x14ac:dyDescent="0.3">
      <c r="H364">
        <v>1.1299999999999999</v>
      </c>
      <c r="I364" s="53">
        <f t="shared" si="11"/>
        <v>0.112408307970979</v>
      </c>
    </row>
    <row r="365" spans="8:9" x14ac:dyDescent="0.3">
      <c r="H365">
        <v>1.1399999999999999</v>
      </c>
      <c r="I365" s="53">
        <f t="shared" si="11"/>
        <v>0.111749984628286</v>
      </c>
    </row>
    <row r="366" spans="8:9" x14ac:dyDescent="0.3">
      <c r="H366">
        <v>1.1499999999999999</v>
      </c>
      <c r="I366" s="53">
        <f t="shared" si="11"/>
        <v>0.111101216105155</v>
      </c>
    </row>
    <row r="367" spans="8:9" x14ac:dyDescent="0.3">
      <c r="H367">
        <v>1.1599999999999999</v>
      </c>
      <c r="I367" s="53">
        <f t="shared" si="11"/>
        <v>0.110461782432829</v>
      </c>
    </row>
    <row r="368" spans="8:9" x14ac:dyDescent="0.3">
      <c r="H368">
        <v>1.17</v>
      </c>
      <c r="I368" s="53">
        <f t="shared" si="11"/>
        <v>0.109831470546056</v>
      </c>
    </row>
    <row r="369" spans="8:9" x14ac:dyDescent="0.3">
      <c r="H369">
        <v>1.18</v>
      </c>
      <c r="I369" s="53">
        <f t="shared" si="11"/>
        <v>0.109210074009687</v>
      </c>
    </row>
    <row r="370" spans="8:9" x14ac:dyDescent="0.3">
      <c r="H370">
        <v>1.19</v>
      </c>
      <c r="I370" s="53">
        <f t="shared" si="11"/>
        <v>0.108597392758297</v>
      </c>
    </row>
    <row r="371" spans="8:9" x14ac:dyDescent="0.3">
      <c r="H371">
        <v>1.2</v>
      </c>
      <c r="I371" s="53">
        <f t="shared" si="11"/>
        <v>0.107993232848132</v>
      </c>
    </row>
    <row r="372" spans="8:9" x14ac:dyDescent="0.3">
      <c r="H372">
        <v>1.21</v>
      </c>
      <c r="I372" s="53">
        <f t="shared" si="11"/>
        <v>0.107397406220679</v>
      </c>
    </row>
    <row r="373" spans="8:9" x14ac:dyDescent="0.3">
      <c r="H373">
        <v>1.22</v>
      </c>
      <c r="I373" s="53">
        <f t="shared" si="11"/>
        <v>0.10680973047724</v>
      </c>
    </row>
    <row r="374" spans="8:9" x14ac:dyDescent="0.3">
      <c r="H374">
        <v>1.23</v>
      </c>
      <c r="I374" s="53">
        <f t="shared" si="11"/>
        <v>0.106230028663901</v>
      </c>
    </row>
    <row r="375" spans="8:9" x14ac:dyDescent="0.3">
      <c r="H375">
        <v>1.24</v>
      </c>
      <c r="I375" s="53">
        <f t="shared" si="11"/>
        <v>0.105658129066344</v>
      </c>
    </row>
    <row r="376" spans="8:9" x14ac:dyDescent="0.3">
      <c r="H376">
        <v>1.25</v>
      </c>
      <c r="I376" s="53">
        <f t="shared" si="11"/>
        <v>0.105093865013973</v>
      </c>
    </row>
    <row r="377" spans="8:9" x14ac:dyDescent="0.3">
      <c r="H377">
        <v>1.26</v>
      </c>
      <c r="I377" s="53">
        <f t="shared" si="11"/>
        <v>0.104537074692857</v>
      </c>
    </row>
    <row r="378" spans="8:9" x14ac:dyDescent="0.3">
      <c r="H378">
        <v>1.27</v>
      </c>
      <c r="I378" s="53">
        <f t="shared" si="11"/>
        <v>0.103987600967036</v>
      </c>
    </row>
    <row r="379" spans="8:9" x14ac:dyDescent="0.3">
      <c r="H379">
        <v>1.28</v>
      </c>
      <c r="I379" s="53">
        <f t="shared" si="11"/>
        <v>0.103445291207746</v>
      </c>
    </row>
    <row r="380" spans="8:9" x14ac:dyDescent="0.3">
      <c r="H380">
        <v>1.29</v>
      </c>
      <c r="I380" s="53">
        <f t="shared" si="11"/>
        <v>0.102909997130155</v>
      </c>
    </row>
    <row r="381" spans="8:9" x14ac:dyDescent="0.3">
      <c r="H381">
        <v>1.3</v>
      </c>
      <c r="I381" s="53">
        <f t="shared" ref="I381:I444" si="12">IF(H381&lt;$C$252/3,   ($C$253*$C$250/$C$254)*(1+(3*($C$251-1)*H381/$C$252)),   IF(H381&lt;=$C$252,   $C$253*$C$250*$C$251/$C$254,   $C$253*$C$250*$C$251/$C$254*($C$252/H381)^(2/3)   ))</f>
        <v>0.102381574637226</v>
      </c>
    </row>
    <row r="382" spans="8:9" x14ac:dyDescent="0.3">
      <c r="H382">
        <v>1.31</v>
      </c>
      <c r="I382" s="53">
        <f t="shared" si="12"/>
        <v>0.101859883670339</v>
      </c>
    </row>
    <row r="383" spans="8:9" x14ac:dyDescent="0.3">
      <c r="H383">
        <v>1.32</v>
      </c>
      <c r="I383" s="53">
        <f t="shared" si="12"/>
        <v>0.101344788066342</v>
      </c>
    </row>
    <row r="384" spans="8:9" x14ac:dyDescent="0.3">
      <c r="H384">
        <v>1.33</v>
      </c>
      <c r="I384" s="53">
        <f t="shared" si="12"/>
        <v>0.10083615542069</v>
      </c>
    </row>
    <row r="385" spans="8:9" x14ac:dyDescent="0.3">
      <c r="H385">
        <v>1.34</v>
      </c>
      <c r="I385" s="53">
        <f t="shared" si="12"/>
        <v>0.100333856956387</v>
      </c>
    </row>
    <row r="386" spans="8:9" x14ac:dyDescent="0.3">
      <c r="H386">
        <v>1.35</v>
      </c>
      <c r="I386" s="53">
        <f t="shared" si="12"/>
        <v>0.0998377673984342</v>
      </c>
    </row>
    <row r="387" spans="8:9" x14ac:dyDescent="0.3">
      <c r="H387">
        <v>1.36</v>
      </c>
      <c r="I387" s="53">
        <f t="shared" si="12"/>
        <v>0.0993477648535112</v>
      </c>
    </row>
    <row r="388" spans="8:9" x14ac:dyDescent="0.3">
      <c r="H388">
        <v>1.37</v>
      </c>
      <c r="I388" s="53">
        <f t="shared" si="12"/>
        <v>0.0988637306946468</v>
      </c>
    </row>
    <row r="389" spans="8:9" x14ac:dyDescent="0.3">
      <c r="H389">
        <v>1.38</v>
      </c>
      <c r="I389" s="53">
        <f t="shared" si="12"/>
        <v>0.098385549450627</v>
      </c>
    </row>
    <row r="390" spans="8:9" x14ac:dyDescent="0.3">
      <c r="H390">
        <v>1.39</v>
      </c>
      <c r="I390" s="53">
        <f t="shared" si="12"/>
        <v>0.0979131086999187</v>
      </c>
    </row>
    <row r="391" spans="8:9" x14ac:dyDescent="0.3">
      <c r="H391">
        <v>1.4</v>
      </c>
      <c r="I391" s="53">
        <f t="shared" si="12"/>
        <v>0.0974462989688913</v>
      </c>
    </row>
    <row r="392" spans="8:9" x14ac:dyDescent="0.3">
      <c r="H392">
        <v>1.41</v>
      </c>
      <c r="I392" s="53">
        <f t="shared" si="12"/>
        <v>0.096985013634134</v>
      </c>
    </row>
    <row r="393" spans="8:9" x14ac:dyDescent="0.3">
      <c r="H393">
        <v>1.42</v>
      </c>
      <c r="I393" s="53">
        <f t="shared" si="12"/>
        <v>0.0965291488286762</v>
      </c>
    </row>
    <row r="394" spans="8:9" x14ac:dyDescent="0.3">
      <c r="H394">
        <v>1.43</v>
      </c>
      <c r="I394" s="53">
        <f t="shared" si="12"/>
        <v>0.0960786033519276</v>
      </c>
    </row>
    <row r="395" spans="8:9" x14ac:dyDescent="0.3">
      <c r="H395">
        <v>1.44</v>
      </c>
      <c r="I395" s="53">
        <f t="shared" si="12"/>
        <v>0.0956332785831671</v>
      </c>
    </row>
    <row r="396" spans="8:9" x14ac:dyDescent="0.3">
      <c r="H396">
        <v>1.45</v>
      </c>
      <c r="I396" s="53">
        <f t="shared" si="12"/>
        <v>0.0951930783984163</v>
      </c>
    </row>
    <row r="397" spans="8:9" x14ac:dyDescent="0.3">
      <c r="H397">
        <v>1.46</v>
      </c>
      <c r="I397" s="53">
        <f t="shared" si="12"/>
        <v>0.0947579090905433</v>
      </c>
    </row>
    <row r="398" spans="8:9" x14ac:dyDescent="0.3">
      <c r="H398">
        <v>1.47</v>
      </c>
      <c r="I398" s="53">
        <f t="shared" si="12"/>
        <v>0.0943276792924496</v>
      </c>
    </row>
    <row r="399" spans="8:9" x14ac:dyDescent="0.3">
      <c r="H399">
        <v>1.48</v>
      </c>
      <c r="I399" s="53">
        <f t="shared" si="12"/>
        <v>0.0939022999032014</v>
      </c>
    </row>
    <row r="400" spans="8:9" x14ac:dyDescent="0.3">
      <c r="H400">
        <v>1.49</v>
      </c>
      <c r="I400" s="53">
        <f t="shared" si="12"/>
        <v>0.093481684016974</v>
      </c>
    </row>
    <row r="401" spans="8:9" x14ac:dyDescent="0.3">
      <c r="H401">
        <v>1.5</v>
      </c>
      <c r="I401" s="53">
        <f t="shared" si="12"/>
        <v>0.0930657468546825</v>
      </c>
    </row>
    <row r="402" spans="8:9" x14ac:dyDescent="0.3">
      <c r="H402">
        <v>1.51</v>
      </c>
      <c r="I402" s="53">
        <f t="shared" si="12"/>
        <v>0.0926544056981821</v>
      </c>
    </row>
    <row r="403" spans="8:9" x14ac:dyDescent="0.3">
      <c r="H403">
        <v>1.52</v>
      </c>
      <c r="I403" s="53">
        <f t="shared" si="12"/>
        <v>0.0922475798269234</v>
      </c>
    </row>
    <row r="404" spans="8:9" x14ac:dyDescent="0.3">
      <c r="H404">
        <v>1.53</v>
      </c>
      <c r="I404" s="53">
        <f t="shared" si="12"/>
        <v>0.091845190456957</v>
      </c>
    </row>
    <row r="405" spans="8:9" x14ac:dyDescent="0.3">
      <c r="H405">
        <v>1.54</v>
      </c>
      <c r="I405" s="53">
        <f t="shared" si="12"/>
        <v>0.0914471606821843</v>
      </c>
    </row>
    <row r="406" spans="8:9" x14ac:dyDescent="0.3">
      <c r="H406">
        <v>1.55</v>
      </c>
      <c r="I406" s="53">
        <f t="shared" si="12"/>
        <v>0.0910534154177593</v>
      </c>
    </row>
    <row r="407" spans="8:9" x14ac:dyDescent="0.3">
      <c r="H407">
        <v>1.56</v>
      </c>
      <c r="I407" s="53">
        <f t="shared" si="12"/>
        <v>0.0906638813455478</v>
      </c>
    </row>
    <row r="408" spans="8:9" x14ac:dyDescent="0.3">
      <c r="H408">
        <v>1.57</v>
      </c>
      <c r="I408" s="53">
        <f t="shared" si="12"/>
        <v>0.0902784868615572</v>
      </c>
    </row>
    <row r="409" spans="8:9" x14ac:dyDescent="0.3">
      <c r="H409">
        <v>1.58</v>
      </c>
      <c r="I409" s="53">
        <f t="shared" si="12"/>
        <v>0.0898971620252548</v>
      </c>
    </row>
    <row r="410" spans="8:9" x14ac:dyDescent="0.3">
      <c r="H410">
        <v>1.59</v>
      </c>
      <c r="I410" s="53">
        <f t="shared" si="12"/>
        <v>0.0895198385106928</v>
      </c>
    </row>
    <row r="411" spans="8:9" x14ac:dyDescent="0.3">
      <c r="H411">
        <v>1.6</v>
      </c>
      <c r="I411" s="53">
        <f t="shared" si="12"/>
        <v>0.0891464495593673</v>
      </c>
    </row>
    <row r="412" spans="8:9" x14ac:dyDescent="0.3">
      <c r="H412">
        <v>1.61</v>
      </c>
      <c r="I412" s="53">
        <f t="shared" si="12"/>
        <v>0.0887769299347378</v>
      </c>
    </row>
    <row r="413" spans="8:9" x14ac:dyDescent="0.3">
      <c r="H413">
        <v>1.62</v>
      </c>
      <c r="I413" s="53">
        <f t="shared" si="12"/>
        <v>0.0884112158783387</v>
      </c>
    </row>
    <row r="414" spans="8:9" x14ac:dyDescent="0.3">
      <c r="H414">
        <v>1.63</v>
      </c>
      <c r="I414" s="53">
        <f t="shared" si="12"/>
        <v>0.0880492450674193</v>
      </c>
    </row>
    <row r="415" spans="8:9" x14ac:dyDescent="0.3">
      <c r="H415">
        <v>1.64</v>
      </c>
      <c r="I415" s="53">
        <f t="shared" si="12"/>
        <v>0.0876909565740479</v>
      </c>
    </row>
    <row r="416" spans="8:9" x14ac:dyDescent="0.3">
      <c r="H416">
        <v>1.65</v>
      </c>
      <c r="I416" s="53">
        <f t="shared" si="12"/>
        <v>0.0873362908256225</v>
      </c>
    </row>
    <row r="417" spans="8:9" x14ac:dyDescent="0.3">
      <c r="H417">
        <v>1.66</v>
      </c>
      <c r="I417" s="53">
        <f t="shared" si="12"/>
        <v>0.0869851895667304</v>
      </c>
    </row>
    <row r="418" spans="8:9" x14ac:dyDescent="0.3">
      <c r="H418">
        <v>1.67</v>
      </c>
      <c r="I418" s="53">
        <f t="shared" si="12"/>
        <v>0.0866375958223039</v>
      </c>
    </row>
    <row r="419" spans="8:9" x14ac:dyDescent="0.3">
      <c r="H419">
        <v>1.68</v>
      </c>
      <c r="I419" s="53">
        <f t="shared" si="12"/>
        <v>0.0862934538620191</v>
      </c>
    </row>
    <row r="420" spans="8:9" x14ac:dyDescent="0.3">
      <c r="H420">
        <v>1.69</v>
      </c>
      <c r="I420" s="53">
        <f t="shared" si="12"/>
        <v>0.0859527091658907</v>
      </c>
    </row>
    <row r="421" spans="8:9" x14ac:dyDescent="0.3">
      <c r="H421">
        <v>1.7</v>
      </c>
      <c r="I421" s="53">
        <f t="shared" si="12"/>
        <v>0.0856153083910139</v>
      </c>
    </row>
    <row r="422" spans="8:9" x14ac:dyDescent="0.3">
      <c r="H422">
        <v>1.71</v>
      </c>
      <c r="I422" s="53">
        <f t="shared" si="12"/>
        <v>0.08528119933941</v>
      </c>
    </row>
    <row r="423" spans="8:9" x14ac:dyDescent="0.3">
      <c r="H423">
        <v>1.72</v>
      </c>
      <c r="I423" s="53">
        <f t="shared" si="12"/>
        <v>0.084950330926932</v>
      </c>
    </row>
    <row r="424" spans="8:9" x14ac:dyDescent="0.3">
      <c r="H424">
        <v>1.73</v>
      </c>
      <c r="I424" s="53">
        <f t="shared" si="12"/>
        <v>0.0846226531531902</v>
      </c>
    </row>
    <row r="425" spans="8:9" x14ac:dyDescent="0.3">
      <c r="H425">
        <v>1.74</v>
      </c>
      <c r="I425" s="53">
        <f t="shared" si="12"/>
        <v>0.0842981170724577</v>
      </c>
    </row>
    <row r="426" spans="8:9" x14ac:dyDescent="0.3">
      <c r="H426">
        <v>1.75</v>
      </c>
      <c r="I426" s="53">
        <f t="shared" si="12"/>
        <v>0.083976674765519</v>
      </c>
    </row>
    <row r="427" spans="8:9" x14ac:dyDescent="0.3">
      <c r="H427">
        <v>1.76</v>
      </c>
      <c r="I427" s="53">
        <f t="shared" si="12"/>
        <v>0.0836582793124263</v>
      </c>
    </row>
    <row r="428" spans="8:9" x14ac:dyDescent="0.3">
      <c r="H428">
        <v>1.77</v>
      </c>
      <c r="I428" s="53">
        <f t="shared" si="12"/>
        <v>0.0833428847661282</v>
      </c>
    </row>
    <row r="429" spans="8:9" x14ac:dyDescent="0.3">
      <c r="H429">
        <v>1.78</v>
      </c>
      <c r="I429" s="53">
        <f t="shared" si="12"/>
        <v>0.0830304461269391</v>
      </c>
    </row>
    <row r="430" spans="8:9" x14ac:dyDescent="0.3">
      <c r="H430">
        <v>1.79</v>
      </c>
      <c r="I430" s="53">
        <f t="shared" si="12"/>
        <v>0.0827209193178175</v>
      </c>
    </row>
    <row r="431" spans="8:9" x14ac:dyDescent="0.3">
      <c r="H431">
        <v>1.8</v>
      </c>
      <c r="I431" s="53">
        <f t="shared" si="12"/>
        <v>0.0824142611604233</v>
      </c>
    </row>
    <row r="432" spans="8:9" x14ac:dyDescent="0.3">
      <c r="H432">
        <v>1.81</v>
      </c>
      <c r="I432" s="53">
        <f t="shared" si="12"/>
        <v>0.0821104293519257</v>
      </c>
    </row>
    <row r="433" spans="8:9" x14ac:dyDescent="0.3">
      <c r="H433">
        <v>1.82</v>
      </c>
      <c r="I433" s="53">
        <f t="shared" si="12"/>
        <v>0.0818093824425328</v>
      </c>
    </row>
    <row r="434" spans="8:9" x14ac:dyDescent="0.3">
      <c r="H434">
        <v>1.83</v>
      </c>
      <c r="I434" s="53">
        <f t="shared" si="12"/>
        <v>0.0815110798137193</v>
      </c>
    </row>
    <row r="435" spans="8:9" x14ac:dyDescent="0.3">
      <c r="H435">
        <v>1.84</v>
      </c>
      <c r="I435" s="53">
        <f t="shared" si="12"/>
        <v>0.0812154816571238</v>
      </c>
    </row>
    <row r="436" spans="8:9" x14ac:dyDescent="0.3">
      <c r="H436">
        <v>1.85</v>
      </c>
      <c r="I436" s="53">
        <f t="shared" si="12"/>
        <v>0.0809225489540939</v>
      </c>
    </row>
    <row r="437" spans="8:9" x14ac:dyDescent="0.3">
      <c r="H437">
        <v>1.86</v>
      </c>
      <c r="I437" s="53">
        <f t="shared" si="12"/>
        <v>0.080632243455855</v>
      </c>
    </row>
    <row r="438" spans="8:9" x14ac:dyDescent="0.3">
      <c r="H438">
        <v>1.87</v>
      </c>
      <c r="I438" s="53">
        <f t="shared" si="12"/>
        <v>0.0803445276642803</v>
      </c>
    </row>
    <row r="439" spans="8:9" x14ac:dyDescent="0.3">
      <c r="H439">
        <v>1.88</v>
      </c>
      <c r="I439" s="53">
        <f t="shared" si="12"/>
        <v>0.080059364813241</v>
      </c>
    </row>
    <row r="440" spans="8:9" x14ac:dyDescent="0.3">
      <c r="H440">
        <v>1.89</v>
      </c>
      <c r="I440" s="53">
        <f t="shared" si="12"/>
        <v>0.0797767188505164</v>
      </c>
    </row>
    <row r="441" spans="8:9" x14ac:dyDescent="0.3">
      <c r="H441">
        <v>1.9</v>
      </c>
      <c r="I441" s="53">
        <f t="shared" si="12"/>
        <v>0.0794965544202437</v>
      </c>
    </row>
    <row r="442" spans="8:9" x14ac:dyDescent="0.3">
      <c r="H442">
        <v>1.91</v>
      </c>
      <c r="I442" s="53">
        <f t="shared" si="12"/>
        <v>0.0792188368458893</v>
      </c>
    </row>
    <row r="443" spans="8:9" x14ac:dyDescent="0.3">
      <c r="H443">
        <v>1.92</v>
      </c>
      <c r="I443" s="53">
        <f t="shared" si="12"/>
        <v>0.0789435321137226</v>
      </c>
    </row>
    <row r="444" spans="8:9" x14ac:dyDescent="0.3">
      <c r="H444">
        <v>1.93</v>
      </c>
      <c r="I444" s="53">
        <f t="shared" si="12"/>
        <v>0.0786706068567761</v>
      </c>
    </row>
    <row r="445" spans="8:9" x14ac:dyDescent="0.3">
      <c r="H445">
        <v>1.94</v>
      </c>
      <c r="I445" s="53">
        <f t="shared" ref="I445:I508" si="13">IF(H445&lt;$C$252/3,   ($C$253*$C$250/$C$254)*(1+(3*($C$251-1)*H445/$C$252)),   IF(H445&lt;=$C$252,   $C$253*$C$250*$C$251/$C$254,   $C$253*$C$250*$C$251/$C$254*($C$252/H445)^(2/3)   ))</f>
        <v>0.0784000283392739</v>
      </c>
    </row>
    <row r="446" spans="8:9" x14ac:dyDescent="0.3">
      <c r="H446">
        <v>1.95</v>
      </c>
      <c r="I446" s="53">
        <f t="shared" si="13"/>
        <v>0.0781317644415131</v>
      </c>
    </row>
    <row r="447" spans="8:9" x14ac:dyDescent="0.3">
      <c r="H447">
        <v>1.96</v>
      </c>
      <c r="I447" s="53">
        <f t="shared" si="13"/>
        <v>0.0778657836451832</v>
      </c>
    </row>
    <row r="448" spans="8:9" x14ac:dyDescent="0.3">
      <c r="H448">
        <v>1.97</v>
      </c>
      <c r="I448" s="53">
        <f t="shared" si="13"/>
        <v>0.0776020550191076</v>
      </c>
    </row>
    <row r="449" spans="8:9" x14ac:dyDescent="0.3">
      <c r="H449">
        <v>1.98</v>
      </c>
      <c r="I449" s="53">
        <f t="shared" si="13"/>
        <v>0.0773405482053937</v>
      </c>
    </row>
    <row r="450" spans="8:9" x14ac:dyDescent="0.3">
      <c r="H450">
        <v>1.99</v>
      </c>
      <c r="I450" s="53">
        <f t="shared" si="13"/>
        <v>0.0770812334059778</v>
      </c>
    </row>
    <row r="451" spans="8:9" x14ac:dyDescent="0.3">
      <c r="H451">
        <v>2</v>
      </c>
      <c r="I451" s="53">
        <f t="shared" si="13"/>
        <v>0.0768240813695514</v>
      </c>
    </row>
    <row r="452" spans="8:9" x14ac:dyDescent="0.3">
      <c r="H452">
        <v>2.0099999999999998</v>
      </c>
      <c r="I452" s="53">
        <f t="shared" si="13"/>
        <v>0.0765690633788567</v>
      </c>
    </row>
    <row r="453" spans="8:9" x14ac:dyDescent="0.3">
      <c r="H453">
        <v>2.02</v>
      </c>
      <c r="I453" s="53">
        <f t="shared" si="13"/>
        <v>0.0763161512383382</v>
      </c>
    </row>
    <row r="454" spans="8:9" x14ac:dyDescent="0.3">
      <c r="H454">
        <v>2.0299999999999998</v>
      </c>
      <c r="I454" s="53">
        <f t="shared" si="13"/>
        <v>0.0760653172621399</v>
      </c>
    </row>
    <row r="455" spans="8:9" x14ac:dyDescent="0.3">
      <c r="H455">
        <v>2.04</v>
      </c>
      <c r="I455" s="53">
        <f t="shared" si="13"/>
        <v>0.0758165342624357</v>
      </c>
    </row>
    <row r="456" spans="8:9" x14ac:dyDescent="0.3">
      <c r="H456">
        <v>2.0499999999999998</v>
      </c>
      <c r="I456" s="53">
        <f t="shared" si="13"/>
        <v>0.0755697755380833</v>
      </c>
    </row>
    <row r="457" spans="8:9" x14ac:dyDescent="0.3">
      <c r="H457">
        <v>2.06</v>
      </c>
      <c r="I457" s="53">
        <f t="shared" si="13"/>
        <v>0.0753250148635895</v>
      </c>
    </row>
    <row r="458" spans="8:9" x14ac:dyDescent="0.3">
      <c r="H458">
        <v>2.0699999999999998</v>
      </c>
      <c r="I458" s="53">
        <f t="shared" si="13"/>
        <v>0.0750822264783786</v>
      </c>
    </row>
    <row r="459" spans="8:9" x14ac:dyDescent="0.3">
      <c r="H459">
        <v>2.08</v>
      </c>
      <c r="I459" s="53">
        <f t="shared" si="13"/>
        <v>0.0748413850763534</v>
      </c>
    </row>
    <row r="460" spans="8:9" x14ac:dyDescent="0.3">
      <c r="H460">
        <v>2.09</v>
      </c>
      <c r="I460" s="53">
        <f t="shared" si="13"/>
        <v>0.0746024657957386</v>
      </c>
    </row>
    <row r="461" spans="8:9" x14ac:dyDescent="0.3">
      <c r="H461">
        <v>2.1</v>
      </c>
      <c r="I461" s="53">
        <f t="shared" si="13"/>
        <v>0.0743654442091999</v>
      </c>
    </row>
    <row r="462" spans="8:9" x14ac:dyDescent="0.3">
      <c r="H462">
        <v>2.11</v>
      </c>
      <c r="I462" s="53">
        <f t="shared" si="13"/>
        <v>0.0741302963142271</v>
      </c>
    </row>
    <row r="463" spans="8:9" x14ac:dyDescent="0.3">
      <c r="H463">
        <v>2.12</v>
      </c>
      <c r="I463" s="53">
        <f t="shared" si="13"/>
        <v>0.0738969985237758</v>
      </c>
    </row>
    <row r="464" spans="8:9" x14ac:dyDescent="0.3">
      <c r="H464">
        <v>2.13</v>
      </c>
      <c r="I464" s="53">
        <f t="shared" si="13"/>
        <v>0.0736655276571573</v>
      </c>
    </row>
    <row r="465" spans="8:9" x14ac:dyDescent="0.3">
      <c r="H465">
        <v>2.14</v>
      </c>
      <c r="I465" s="53">
        <f t="shared" si="13"/>
        <v>0.0734358609311707</v>
      </c>
    </row>
    <row r="466" spans="8:9" x14ac:dyDescent="0.3">
      <c r="H466">
        <v>2.15</v>
      </c>
      <c r="I466" s="53">
        <f t="shared" si="13"/>
        <v>0.0732079759514683</v>
      </c>
    </row>
    <row r="467" spans="8:9" x14ac:dyDescent="0.3">
      <c r="H467">
        <v>2.16</v>
      </c>
      <c r="I467" s="53">
        <f t="shared" si="13"/>
        <v>0.0729818507041479</v>
      </c>
    </row>
    <row r="468" spans="8:9" x14ac:dyDescent="0.3">
      <c r="H468">
        <v>2.17</v>
      </c>
      <c r="I468" s="53">
        <f t="shared" si="13"/>
        <v>0.0727574635475651</v>
      </c>
    </row>
    <row r="469" spans="8:9" x14ac:dyDescent="0.3">
      <c r="H469">
        <v>2.1800000000000002</v>
      </c>
      <c r="I469" s="53">
        <f t="shared" si="13"/>
        <v>0.072534793204358</v>
      </c>
    </row>
    <row r="470" spans="8:9" x14ac:dyDescent="0.3">
      <c r="H470">
        <v>2.19</v>
      </c>
      <c r="I470" s="53">
        <f t="shared" si="13"/>
        <v>0.0723138187536792</v>
      </c>
    </row>
    <row r="471" spans="8:9" x14ac:dyDescent="0.3">
      <c r="H471">
        <v>2.2000000000000002</v>
      </c>
      <c r="I471" s="53">
        <f t="shared" si="13"/>
        <v>0.0720945196236272</v>
      </c>
    </row>
    <row r="472" spans="8:9" x14ac:dyDescent="0.3">
      <c r="H472">
        <v>2.21</v>
      </c>
      <c r="I472" s="53">
        <f t="shared" si="13"/>
        <v>0.0718768755838726</v>
      </c>
    </row>
    <row r="473" spans="8:9" x14ac:dyDescent="0.3">
      <c r="H473">
        <v>2.2200000000000002</v>
      </c>
      <c r="I473" s="53">
        <f t="shared" si="13"/>
        <v>0.0716608667384727</v>
      </c>
    </row>
    <row r="474" spans="8:9" x14ac:dyDescent="0.3">
      <c r="H474">
        <v>2.23</v>
      </c>
      <c r="I474" s="53">
        <f t="shared" si="13"/>
        <v>0.0714464735188682</v>
      </c>
    </row>
    <row r="475" spans="8:9" x14ac:dyDescent="0.3">
      <c r="H475">
        <v>2.2400000000000002</v>
      </c>
      <c r="I475" s="53">
        <f t="shared" si="13"/>
        <v>0.071233676677058</v>
      </c>
    </row>
    <row r="476" spans="8:9" x14ac:dyDescent="0.3">
      <c r="H476">
        <v>2.25</v>
      </c>
      <c r="I476" s="53">
        <f t="shared" si="13"/>
        <v>0.0710224572789454</v>
      </c>
    </row>
    <row r="477" spans="8:9" x14ac:dyDescent="0.3">
      <c r="H477">
        <v>2.2599999999999998</v>
      </c>
      <c r="I477" s="53">
        <f t="shared" si="13"/>
        <v>0.0708127966978514</v>
      </c>
    </row>
    <row r="478" spans="8:9" x14ac:dyDescent="0.3">
      <c r="H478">
        <v>2.27</v>
      </c>
      <c r="I478" s="53">
        <f t="shared" si="13"/>
        <v>0.0706046766081904</v>
      </c>
    </row>
    <row r="479" spans="8:9" x14ac:dyDescent="0.3">
      <c r="H479">
        <v>2.2799999999999998</v>
      </c>
      <c r="I479" s="53">
        <f t="shared" si="13"/>
        <v>0.0703980789793031</v>
      </c>
    </row>
    <row r="480" spans="8:9" x14ac:dyDescent="0.3">
      <c r="H480">
        <v>2.29</v>
      </c>
      <c r="I480" s="53">
        <f t="shared" si="13"/>
        <v>0.0701929860694413</v>
      </c>
    </row>
    <row r="481" spans="8:9" x14ac:dyDescent="0.3">
      <c r="H481">
        <v>2.2999999999999998</v>
      </c>
      <c r="I481" s="53">
        <f t="shared" si="13"/>
        <v>0.0699893804199023</v>
      </c>
    </row>
    <row r="482" spans="8:9" x14ac:dyDescent="0.3">
      <c r="H482">
        <v>2.31</v>
      </c>
      <c r="I482" s="53">
        <f t="shared" si="13"/>
        <v>0.0697872448493063</v>
      </c>
    </row>
    <row r="483" spans="8:9" x14ac:dyDescent="0.3">
      <c r="H483">
        <v>2.3199999999999998</v>
      </c>
      <c r="I483" s="53">
        <f t="shared" si="13"/>
        <v>0.0695865624480143</v>
      </c>
    </row>
    <row r="484" spans="8:9" x14ac:dyDescent="0.3">
      <c r="H484">
        <v>2.33</v>
      </c>
      <c r="I484" s="53">
        <f t="shared" si="13"/>
        <v>0.0693873165726815</v>
      </c>
    </row>
    <row r="485" spans="8:9" x14ac:dyDescent="0.3">
      <c r="H485">
        <v>2.34</v>
      </c>
      <c r="I485" s="53">
        <f t="shared" si="13"/>
        <v>0.0691894908409426</v>
      </c>
    </row>
    <row r="486" spans="8:9" x14ac:dyDescent="0.3">
      <c r="H486">
        <v>2.35</v>
      </c>
      <c r="I486" s="53">
        <f t="shared" si="13"/>
        <v>0.0689930691262257</v>
      </c>
    </row>
    <row r="487" spans="8:9" x14ac:dyDescent="0.3">
      <c r="H487">
        <v>2.36</v>
      </c>
      <c r="I487" s="53">
        <f t="shared" si="13"/>
        <v>0.0687980355526909</v>
      </c>
    </row>
    <row r="488" spans="8:9" x14ac:dyDescent="0.3">
      <c r="H488">
        <v>2.37</v>
      </c>
      <c r="I488" s="53">
        <f t="shared" si="13"/>
        <v>0.0686043744902891</v>
      </c>
    </row>
    <row r="489" spans="8:9" x14ac:dyDescent="0.3">
      <c r="H489">
        <v>2.38</v>
      </c>
      <c r="I489" s="53">
        <f t="shared" si="13"/>
        <v>0.0684120705499399</v>
      </c>
    </row>
    <row r="490" spans="8:9" x14ac:dyDescent="0.3">
      <c r="H490">
        <v>2.39</v>
      </c>
      <c r="I490" s="53">
        <f t="shared" si="13"/>
        <v>0.0682211085788228</v>
      </c>
    </row>
    <row r="491" spans="8:9" x14ac:dyDescent="0.3">
      <c r="H491">
        <v>2.4</v>
      </c>
      <c r="I491" s="53">
        <f t="shared" si="13"/>
        <v>0.06803147365578</v>
      </c>
    </row>
    <row r="492" spans="8:9" x14ac:dyDescent="0.3">
      <c r="H492">
        <v>2.41</v>
      </c>
      <c r="I492" s="53">
        <f t="shared" si="13"/>
        <v>0.0678431510868277</v>
      </c>
    </row>
    <row r="493" spans="8:9" x14ac:dyDescent="0.3">
      <c r="H493">
        <v>2.42</v>
      </c>
      <c r="I493" s="53">
        <f t="shared" si="13"/>
        <v>0.067656126400772</v>
      </c>
    </row>
    <row r="494" spans="8:9" x14ac:dyDescent="0.3">
      <c r="H494">
        <v>2.4300000000000002</v>
      </c>
      <c r="I494" s="53">
        <f t="shared" si="13"/>
        <v>0.0674703853449277</v>
      </c>
    </row>
    <row r="495" spans="8:9" x14ac:dyDescent="0.3">
      <c r="H495">
        <v>2.44</v>
      </c>
      <c r="I495" s="53">
        <f t="shared" si="13"/>
        <v>0.0672859138809362</v>
      </c>
    </row>
    <row r="496" spans="8:9" x14ac:dyDescent="0.3">
      <c r="H496">
        <v>2.4500000000000002</v>
      </c>
      <c r="I496" s="53">
        <f t="shared" si="13"/>
        <v>0.06710269818068</v>
      </c>
    </row>
    <row r="497" spans="8:9" x14ac:dyDescent="0.3">
      <c r="H497">
        <v>2.46</v>
      </c>
      <c r="I497" s="53">
        <f t="shared" si="13"/>
        <v>0.0669207246222922</v>
      </c>
    </row>
    <row r="498" spans="8:9" x14ac:dyDescent="0.3">
      <c r="H498">
        <v>2.4700000000000002</v>
      </c>
      <c r="I498" s="53">
        <f t="shared" si="13"/>
        <v>0.0667399797862568</v>
      </c>
    </row>
    <row r="499" spans="8:9" x14ac:dyDescent="0.3">
      <c r="H499">
        <v>2.48</v>
      </c>
      <c r="I499" s="53">
        <f t="shared" si="13"/>
        <v>0.0665604504515983</v>
      </c>
    </row>
    <row r="500" spans="8:9" x14ac:dyDescent="0.3">
      <c r="H500">
        <v>2.4900000000000002</v>
      </c>
      <c r="I500" s="53">
        <f t="shared" si="13"/>
        <v>0.0663821235921585</v>
      </c>
    </row>
    <row r="501" spans="8:9" x14ac:dyDescent="0.3">
      <c r="H501">
        <v>2.5</v>
      </c>
      <c r="I501" s="53">
        <f t="shared" si="13"/>
        <v>0.0662049863729575</v>
      </c>
    </row>
    <row r="502" spans="8:9" x14ac:dyDescent="0.3">
      <c r="H502">
        <v>2.5099999999999998</v>
      </c>
      <c r="I502" s="53">
        <f t="shared" si="13"/>
        <v>0.0660290261466365</v>
      </c>
    </row>
    <row r="503" spans="8:9" x14ac:dyDescent="0.3">
      <c r="H503">
        <v>2.52</v>
      </c>
      <c r="I503" s="53">
        <f t="shared" si="13"/>
        <v>0.0658542304499814</v>
      </c>
    </row>
    <row r="504" spans="8:9" x14ac:dyDescent="0.3">
      <c r="H504">
        <v>2.5299999999999998</v>
      </c>
      <c r="I504" s="53">
        <f t="shared" si="13"/>
        <v>0.0656805870005239</v>
      </c>
    </row>
    <row r="505" spans="8:9" x14ac:dyDescent="0.3">
      <c r="H505">
        <v>2.54</v>
      </c>
      <c r="I505" s="53">
        <f t="shared" si="13"/>
        <v>0.0655080836932184</v>
      </c>
    </row>
    <row r="506" spans="8:9" x14ac:dyDescent="0.3">
      <c r="H506">
        <v>2.5499999999999998</v>
      </c>
      <c r="I506" s="53">
        <f t="shared" si="13"/>
        <v>0.065336708597193</v>
      </c>
    </row>
    <row r="507" spans="8:9" x14ac:dyDescent="0.3">
      <c r="H507">
        <v>2.56</v>
      </c>
      <c r="I507" s="53">
        <f t="shared" si="13"/>
        <v>0.0651664499525722</v>
      </c>
    </row>
    <row r="508" spans="8:9" x14ac:dyDescent="0.3">
      <c r="H508">
        <v>2.57</v>
      </c>
      <c r="I508" s="53">
        <f t="shared" si="13"/>
        <v>0.0649972961673702</v>
      </c>
    </row>
    <row r="509" spans="8:9" x14ac:dyDescent="0.3">
      <c r="H509">
        <v>2.58</v>
      </c>
      <c r="I509" s="53">
        <f t="shared" ref="I509:I551" si="14">IF(H509&lt;$C$252/3,   ($C$253*$C$250/$C$254)*(1+(3*($C$251-1)*H509/$C$252)),   IF(H509&lt;=$C$252,   $C$253*$C$250*$C$251/$C$254,   $C$253*$C$250*$C$251/$C$254*($C$252/H509)^(2/3)   ))</f>
        <v>0.0648292358144519</v>
      </c>
    </row>
    <row r="510" spans="8:9" x14ac:dyDescent="0.3">
      <c r="H510">
        <v>2.59</v>
      </c>
      <c r="I510" s="53">
        <f t="shared" si="14"/>
        <v>0.064662257628561</v>
      </c>
    </row>
    <row r="511" spans="8:9" x14ac:dyDescent="0.3">
      <c r="H511">
        <v>2.6</v>
      </c>
      <c r="I511" s="53">
        <f t="shared" si="14"/>
        <v>0.0644963505034121</v>
      </c>
    </row>
    <row r="512" spans="8:9" x14ac:dyDescent="0.3">
      <c r="H512">
        <v>2.61</v>
      </c>
      <c r="I512" s="53">
        <f t="shared" si="14"/>
        <v>0.064331503488847</v>
      </c>
    </row>
    <row r="513" spans="8:9" x14ac:dyDescent="0.3">
      <c r="H513">
        <v>2.62</v>
      </c>
      <c r="I513" s="53">
        <f t="shared" si="14"/>
        <v>0.0641677057880518</v>
      </c>
    </row>
    <row r="514" spans="8:9" x14ac:dyDescent="0.3">
      <c r="H514">
        <v>2.63</v>
      </c>
      <c r="I514" s="53">
        <f t="shared" si="14"/>
        <v>0.0640049467548342</v>
      </c>
    </row>
    <row r="515" spans="8:9" x14ac:dyDescent="0.3">
      <c r="H515">
        <v>2.64</v>
      </c>
      <c r="I515" s="53">
        <f t="shared" si="14"/>
        <v>0.0638432158909594</v>
      </c>
    </row>
    <row r="516" spans="8:9" x14ac:dyDescent="0.3">
      <c r="H516">
        <v>2.65</v>
      </c>
      <c r="I516" s="53">
        <f t="shared" si="14"/>
        <v>0.063682502843543</v>
      </c>
    </row>
    <row r="517" spans="8:9" x14ac:dyDescent="0.3">
      <c r="H517">
        <v>2.66</v>
      </c>
      <c r="I517" s="53">
        <f t="shared" si="14"/>
        <v>0.063522797402499</v>
      </c>
    </row>
    <row r="518" spans="8:9" x14ac:dyDescent="0.3">
      <c r="H518">
        <v>2.67</v>
      </c>
      <c r="I518" s="53">
        <f t="shared" si="14"/>
        <v>0.0633640894980429</v>
      </c>
    </row>
    <row r="519" spans="8:9" x14ac:dyDescent="0.3">
      <c r="H519">
        <v>2.68</v>
      </c>
      <c r="I519" s="53">
        <f t="shared" si="14"/>
        <v>0.0632063691982467</v>
      </c>
    </row>
    <row r="520" spans="8:9" x14ac:dyDescent="0.3">
      <c r="H520">
        <v>2.69</v>
      </c>
      <c r="I520" s="53">
        <f t="shared" si="14"/>
        <v>0.0630496267066461</v>
      </c>
    </row>
    <row r="521" spans="8:9" x14ac:dyDescent="0.3">
      <c r="H521">
        <v>2.7</v>
      </c>
      <c r="I521" s="53">
        <f t="shared" si="14"/>
        <v>0.0628938523598977</v>
      </c>
    </row>
    <row r="522" spans="8:9" x14ac:dyDescent="0.3">
      <c r="H522">
        <v>2.71</v>
      </c>
      <c r="I522" s="53">
        <f t="shared" si="14"/>
        <v>0.0627390366254849</v>
      </c>
    </row>
    <row r="523" spans="8:9" x14ac:dyDescent="0.3">
      <c r="H523">
        <v>2.72</v>
      </c>
      <c r="I523" s="53">
        <f t="shared" si="14"/>
        <v>0.0625851700994724</v>
      </c>
    </row>
    <row r="524" spans="8:9" x14ac:dyDescent="0.3">
      <c r="H524">
        <v>2.73</v>
      </c>
      <c r="I524" s="53">
        <f t="shared" si="14"/>
        <v>0.0624322435043065</v>
      </c>
    </row>
    <row r="525" spans="8:9" x14ac:dyDescent="0.3">
      <c r="H525">
        <v>2.74</v>
      </c>
      <c r="I525" s="53">
        <f t="shared" si="14"/>
        <v>0.0622802476866617</v>
      </c>
    </row>
    <row r="526" spans="8:9" x14ac:dyDescent="0.3">
      <c r="H526">
        <v>2.75</v>
      </c>
      <c r="I526" s="53">
        <f t="shared" si="14"/>
        <v>0.0621291736153307</v>
      </c>
    </row>
    <row r="527" spans="8:9" x14ac:dyDescent="0.3">
      <c r="H527">
        <v>2.76</v>
      </c>
      <c r="I527" s="53">
        <f t="shared" si="14"/>
        <v>0.061979012379159</v>
      </c>
    </row>
    <row r="528" spans="8:9" x14ac:dyDescent="0.3">
      <c r="H528">
        <v>2.77</v>
      </c>
      <c r="I528" s="53">
        <f t="shared" si="14"/>
        <v>0.0618297551850207</v>
      </c>
    </row>
    <row r="529" spans="8:9" x14ac:dyDescent="0.3">
      <c r="H529">
        <v>2.78</v>
      </c>
      <c r="I529" s="53">
        <f t="shared" si="14"/>
        <v>0.0616813933558362</v>
      </c>
    </row>
    <row r="530" spans="8:9" x14ac:dyDescent="0.3">
      <c r="H530">
        <v>2.79</v>
      </c>
      <c r="I530" s="53">
        <f t="shared" si="14"/>
        <v>0.06153391832863</v>
      </c>
    </row>
    <row r="531" spans="8:9" x14ac:dyDescent="0.3">
      <c r="H531">
        <v>2.8</v>
      </c>
      <c r="I531" s="53">
        <f t="shared" si="14"/>
        <v>0.0613873216526276</v>
      </c>
    </row>
    <row r="532" spans="8:9" x14ac:dyDescent="0.3">
      <c r="H532">
        <v>2.81</v>
      </c>
      <c r="I532" s="53">
        <f t="shared" si="14"/>
        <v>0.0612415949873914</v>
      </c>
    </row>
    <row r="533" spans="8:9" x14ac:dyDescent="0.3">
      <c r="H533">
        <v>2.82</v>
      </c>
      <c r="I533" s="53">
        <f t="shared" si="14"/>
        <v>0.0610967301009934</v>
      </c>
    </row>
    <row r="534" spans="8:9" x14ac:dyDescent="0.3">
      <c r="H534">
        <v>2.83</v>
      </c>
      <c r="I534" s="53">
        <f t="shared" si="14"/>
        <v>0.0609527188682249</v>
      </c>
    </row>
    <row r="535" spans="8:9" x14ac:dyDescent="0.3">
      <c r="H535">
        <v>2.84</v>
      </c>
      <c r="I535" s="53">
        <f t="shared" si="14"/>
        <v>0.0608095532688421</v>
      </c>
    </row>
    <row r="536" spans="8:9" x14ac:dyDescent="0.3">
      <c r="H536">
        <v>2.85</v>
      </c>
      <c r="I536" s="53">
        <f t="shared" si="14"/>
        <v>0.060667225385846</v>
      </c>
    </row>
    <row r="537" spans="8:9" x14ac:dyDescent="0.3">
      <c r="H537">
        <v>2.86</v>
      </c>
      <c r="I537" s="53">
        <f t="shared" si="14"/>
        <v>0.0605257274037969</v>
      </c>
    </row>
    <row r="538" spans="8:9" x14ac:dyDescent="0.3">
      <c r="H538">
        <v>2.87</v>
      </c>
      <c r="I538" s="53">
        <f t="shared" si="14"/>
        <v>0.0603850516071621</v>
      </c>
    </row>
    <row r="539" spans="8:9" x14ac:dyDescent="0.3">
      <c r="H539">
        <v>2.88</v>
      </c>
      <c r="I539" s="53">
        <f t="shared" si="14"/>
        <v>0.0602451903786964</v>
      </c>
    </row>
    <row r="540" spans="8:9" x14ac:dyDescent="0.3">
      <c r="H540">
        <v>2.89</v>
      </c>
      <c r="I540" s="53">
        <f t="shared" si="14"/>
        <v>0.0601061361978533</v>
      </c>
    </row>
    <row r="541" spans="8:9" x14ac:dyDescent="0.3">
      <c r="H541">
        <v>2.9</v>
      </c>
      <c r="I541" s="53">
        <f t="shared" si="14"/>
        <v>0.0599678816392288</v>
      </c>
    </row>
    <row r="542" spans="8:9" x14ac:dyDescent="0.3">
      <c r="H542">
        <v>2.91</v>
      </c>
      <c r="I542" s="53">
        <f t="shared" si="14"/>
        <v>0.0598304193710344</v>
      </c>
    </row>
    <row r="543" spans="8:9" x14ac:dyDescent="0.3">
      <c r="H543">
        <v>2.92</v>
      </c>
      <c r="I543" s="53">
        <f t="shared" si="14"/>
        <v>0.0596937421536002</v>
      </c>
    </row>
    <row r="544" spans="8:9" x14ac:dyDescent="0.3">
      <c r="H544">
        <v>2.93</v>
      </c>
      <c r="I544" s="53">
        <f t="shared" si="14"/>
        <v>0.0595578428379065</v>
      </c>
    </row>
    <row r="545" spans="8:9" x14ac:dyDescent="0.3">
      <c r="H545">
        <v>2.94</v>
      </c>
      <c r="I545" s="53">
        <f t="shared" si="14"/>
        <v>0.059422714364145</v>
      </c>
    </row>
    <row r="546" spans="8:9" x14ac:dyDescent="0.3">
      <c r="H546">
        <v>2.95</v>
      </c>
      <c r="I546" s="53">
        <f t="shared" si="14"/>
        <v>0.0592883497603056</v>
      </c>
    </row>
    <row r="547" spans="8:9" x14ac:dyDescent="0.3">
      <c r="H547">
        <v>2.96</v>
      </c>
      <c r="I547" s="53">
        <f t="shared" si="14"/>
        <v>0.0591547421407924</v>
      </c>
    </row>
    <row r="548" spans="8:9" x14ac:dyDescent="0.3">
      <c r="H548">
        <v>2.97</v>
      </c>
      <c r="I548" s="53">
        <f t="shared" si="14"/>
        <v>0.0590218847050644</v>
      </c>
    </row>
    <row r="549" spans="8:9" x14ac:dyDescent="0.3">
      <c r="H549">
        <v>2.98</v>
      </c>
      <c r="I549" s="53">
        <f t="shared" si="14"/>
        <v>0.0588897707363033</v>
      </c>
    </row>
    <row r="550" spans="8:9" x14ac:dyDescent="0.3">
      <c r="H550">
        <v>2.99</v>
      </c>
      <c r="I550" s="53">
        <f t="shared" si="14"/>
        <v>0.0587583936001059</v>
      </c>
    </row>
    <row r="551" spans="8:9" x14ac:dyDescent="0.3">
      <c r="H551">
        <v>3</v>
      </c>
      <c r="I551" s="53">
        <f t="shared" si="14"/>
        <v>0.0586277467432011</v>
      </c>
    </row>
  </sheetData>
  <mergeCells count="10">
    <mergeCell ref="AG8:AK9"/>
    <mergeCell ref="AL8:AM8"/>
    <mergeCell ref="AL9:AM9"/>
    <mergeCell ref="F127:G127"/>
    <mergeCell ref="K234:L234"/>
    <mergeCell ref="B173:L173"/>
    <mergeCell ref="E174:G174"/>
    <mergeCell ref="K174:L174"/>
    <mergeCell ref="H220:J220"/>
    <mergeCell ref="C10:E10"/>
  </mergeCells>
  <dataValidations count="4">
    <dataValidation type="list" allowBlank="1" showInputMessage="1" showErrorMessage="1" sqref="F127:G127" xr:uid="{00000000-0002-0000-0100-000000000000}">
      <formula1>"Marco de Acero,Marco de Concreto,Resto de Sistemas"</formula1>
    </dataValidation>
    <dataValidation type="list" allowBlank="1" showInputMessage="1" showErrorMessage="1" sqref="Q83" xr:uid="{00000000-0002-0000-0100-000001000000}">
      <formula1>"I,II,III"</formula1>
    </dataValidation>
    <dataValidation type="list" allowBlank="1" showInputMessage="1" showErrorMessage="1" sqref="P53" xr:uid="{00000000-0002-0000-0100-000002000000}">
      <formula1>"S1,S2,S3,S4"</formula1>
    </dataValidation>
    <dataValidation type="list" allowBlank="1" showInputMessage="1" showErrorMessage="1" sqref="P32" xr:uid="{00000000-0002-0000-0100-000003000000}">
      <formula1>"1,2"</formula1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Q225"/>
  <sheetViews>
    <sheetView tabSelected="1" topLeftCell="A160" zoomScale="70" zoomScaleNormal="70" workbookViewId="0">
      <selection activeCell="L188" sqref="L188"/>
    </sheetView>
  </sheetViews>
  <sheetFormatPr baseColWidth="10" defaultRowHeight="14.4" x14ac:dyDescent="0.3"/>
  <cols>
    <col min="1" max="1" width="8" customWidth="1"/>
    <col min="3" max="3" width="17" customWidth="1"/>
    <col min="5" max="5" width="11.6640625" customWidth="1"/>
    <col min="7" max="7" width="16" customWidth="1"/>
    <col min="9" max="9" width="11" customWidth="1"/>
    <col min="11" max="11" width="16" customWidth="1"/>
    <col min="15" max="15" width="12" customWidth="1"/>
    <col min="17" max="17" width="12" customWidth="1"/>
    <col min="19" max="19" width="16" customWidth="1"/>
    <col min="24" max="24" width="17" customWidth="1"/>
    <col min="26" max="26" width="11.6640625" customWidth="1"/>
    <col min="28" max="28" width="16" customWidth="1"/>
    <col min="30" max="30" width="11" customWidth="1"/>
    <col min="32" max="32" width="16" customWidth="1"/>
    <col min="36" max="36" width="12" customWidth="1"/>
    <col min="38" max="38" width="12" customWidth="1"/>
    <col min="40" max="40" width="16" customWidth="1"/>
    <col min="45" max="45" width="17" customWidth="1"/>
    <col min="47" max="47" width="11.6640625" customWidth="1"/>
    <col min="49" max="49" width="16" customWidth="1"/>
    <col min="51" max="51" width="11" customWidth="1"/>
    <col min="53" max="53" width="16" customWidth="1"/>
    <col min="57" max="57" width="12" customWidth="1"/>
    <col min="59" max="59" width="12" customWidth="1"/>
    <col min="61" max="61" width="16" customWidth="1"/>
  </cols>
  <sheetData>
    <row r="2" spans="2:5" ht="18" x14ac:dyDescent="0.35">
      <c r="B2" s="11" t="s">
        <v>160</v>
      </c>
    </row>
    <row r="4" spans="2:5" ht="15.6" x14ac:dyDescent="0.3">
      <c r="C4" s="69" t="s">
        <v>161</v>
      </c>
      <c r="D4" s="46" t="s">
        <v>19</v>
      </c>
    </row>
    <row r="6" spans="2:5" x14ac:dyDescent="0.3">
      <c r="B6" s="1" t="s">
        <v>162</v>
      </c>
    </row>
    <row r="8" spans="2:5" x14ac:dyDescent="0.3">
      <c r="C8" t="s">
        <v>163</v>
      </c>
      <c r="E8" s="35" t="s">
        <v>164</v>
      </c>
    </row>
    <row r="18" spans="2:5" x14ac:dyDescent="0.3">
      <c r="B18" s="1" t="s">
        <v>165</v>
      </c>
    </row>
    <row r="20" spans="2:5" x14ac:dyDescent="0.3">
      <c r="C20" t="s">
        <v>166</v>
      </c>
    </row>
    <row r="22" spans="2:5" x14ac:dyDescent="0.3">
      <c r="C22" s="12" t="s">
        <v>167</v>
      </c>
      <c r="D22" s="36">
        <v>120</v>
      </c>
      <c r="E22" t="s">
        <v>168</v>
      </c>
    </row>
    <row r="24" spans="2:5" x14ac:dyDescent="0.3">
      <c r="C24" s="12" t="s">
        <v>169</v>
      </c>
      <c r="D24" s="36">
        <v>1.3</v>
      </c>
    </row>
    <row r="26" spans="2:5" x14ac:dyDescent="0.3">
      <c r="C26" s="12" t="s">
        <v>170</v>
      </c>
      <c r="D26" s="70">
        <f>D22/D24</f>
        <v>92.307692307692307</v>
      </c>
      <c r="E26" t="s">
        <v>168</v>
      </c>
    </row>
    <row r="28" spans="2:5" x14ac:dyDescent="0.3">
      <c r="C28" s="17" t="s">
        <v>171</v>
      </c>
      <c r="D28" s="51">
        <f>0.0048*D26^2</f>
        <v>40.899408284023664</v>
      </c>
      <c r="E28" s="1" t="s">
        <v>27</v>
      </c>
    </row>
    <row r="40" spans="2:4" x14ac:dyDescent="0.3">
      <c r="B40" s="1" t="s">
        <v>172</v>
      </c>
    </row>
    <row r="42" spans="2:4" x14ac:dyDescent="0.3">
      <c r="C42" s="12" t="s">
        <v>173</v>
      </c>
      <c r="D42" s="35" t="s">
        <v>212</v>
      </c>
    </row>
    <row r="44" spans="2:4" x14ac:dyDescent="0.3">
      <c r="C44" s="12" t="s">
        <v>174</v>
      </c>
      <c r="D44" s="40">
        <f>IF(D42="A",0.65,IF(D42="B",1,1.6))</f>
        <v>1</v>
      </c>
    </row>
    <row r="45" spans="2:4" x14ac:dyDescent="0.3">
      <c r="C45" s="12"/>
    </row>
    <row r="46" spans="2:4" x14ac:dyDescent="0.3">
      <c r="C46" s="12" t="s">
        <v>175</v>
      </c>
      <c r="D46" s="40">
        <f>IF(D42="A",3.6,IF(D42="B",4.5,7))</f>
        <v>4.5</v>
      </c>
    </row>
    <row r="49" spans="2:7" x14ac:dyDescent="0.3">
      <c r="C49" s="12" t="s">
        <v>176</v>
      </c>
      <c r="D49" s="36">
        <v>10.015000000000001</v>
      </c>
      <c r="E49" t="s">
        <v>64</v>
      </c>
    </row>
    <row r="51" spans="2:7" x14ac:dyDescent="0.3">
      <c r="C51" s="12" t="s">
        <v>177</v>
      </c>
      <c r="D51" s="70">
        <f>IF(D49&lt;10,1,(D49/10)^(2/D46))</f>
        <v>1.0006663891047314</v>
      </c>
    </row>
    <row r="61" spans="2:7" x14ac:dyDescent="0.3">
      <c r="B61" s="1" t="s">
        <v>178</v>
      </c>
    </row>
    <row r="63" spans="2:7" x14ac:dyDescent="0.3">
      <c r="D63" s="17" t="s">
        <v>179</v>
      </c>
      <c r="E63" s="71">
        <f>D51*D44*D28</f>
        <v>40.926663204094098</v>
      </c>
      <c r="F63" s="1" t="s">
        <v>180</v>
      </c>
      <c r="G63" s="1" t="s">
        <v>27</v>
      </c>
    </row>
    <row r="68" spans="2:17" x14ac:dyDescent="0.3">
      <c r="B68" s="1" t="s">
        <v>181</v>
      </c>
    </row>
    <row r="70" spans="2:17" ht="20.25" customHeight="1" x14ac:dyDescent="0.3">
      <c r="B70" s="72" t="s">
        <v>182</v>
      </c>
      <c r="C70" s="73"/>
      <c r="D70" s="27" t="s">
        <v>183</v>
      </c>
      <c r="E70" s="27" t="s">
        <v>184</v>
      </c>
      <c r="G70" s="27" t="s">
        <v>185</v>
      </c>
    </row>
    <row r="71" spans="2:17" x14ac:dyDescent="0.3">
      <c r="B71" s="16" t="s">
        <v>186</v>
      </c>
      <c r="C71" s="15"/>
      <c r="D71" s="74">
        <v>0.8</v>
      </c>
      <c r="E71" s="75">
        <f>$E$63*D71</f>
        <v>32.741330563275277</v>
      </c>
      <c r="G71" s="79">
        <f>E71/10000</f>
        <v>3.2741330563275275E-3</v>
      </c>
      <c r="O71">
        <v>1.7</v>
      </c>
      <c r="Q71">
        <v>0.8</v>
      </c>
    </row>
    <row r="72" spans="2:17" x14ac:dyDescent="0.3">
      <c r="B72" s="16" t="s">
        <v>187</v>
      </c>
      <c r="C72" s="15"/>
      <c r="D72" s="74">
        <v>-0.5</v>
      </c>
      <c r="E72" s="75">
        <f t="shared" ref="E72:E73" si="0">$E$63*D72</f>
        <v>-20.463331602047049</v>
      </c>
      <c r="G72" s="79">
        <f t="shared" ref="G72:G74" si="1">E72/10000</f>
        <v>-2.046333160204705E-3</v>
      </c>
      <c r="O72">
        <v>1.1100000000000001</v>
      </c>
      <c r="Q72">
        <v>1.1100000000000001</v>
      </c>
    </row>
    <row r="73" spans="2:17" x14ac:dyDescent="0.3">
      <c r="B73" s="16" t="s">
        <v>188</v>
      </c>
      <c r="C73" s="15"/>
      <c r="D73" s="74">
        <v>-0.7</v>
      </c>
      <c r="E73" s="75">
        <f t="shared" si="0"/>
        <v>-28.648664242865866</v>
      </c>
      <c r="G73" s="79">
        <f t="shared" si="1"/>
        <v>-2.8648664242865865E-3</v>
      </c>
      <c r="O73" s="119">
        <f>E63*O71*O72/100</f>
        <v>0.77228613466125562</v>
      </c>
      <c r="Q73" s="119">
        <f>E63*Q71*Q72/100</f>
        <v>0.36342876925235557</v>
      </c>
    </row>
    <row r="74" spans="2:17" x14ac:dyDescent="0.3">
      <c r="B74" s="16" t="s">
        <v>189</v>
      </c>
      <c r="C74" s="15"/>
      <c r="D74" s="74">
        <v>-0.7</v>
      </c>
      <c r="E74" s="75">
        <f>$E$63*D74</f>
        <v>-28.648664242865866</v>
      </c>
      <c r="G74" s="79">
        <f t="shared" si="1"/>
        <v>-2.8648664242865865E-3</v>
      </c>
    </row>
    <row r="84" spans="2:9" x14ac:dyDescent="0.3">
      <c r="B84" s="1" t="s">
        <v>190</v>
      </c>
    </row>
    <row r="86" spans="2:9" x14ac:dyDescent="0.3">
      <c r="F86" s="12" t="s">
        <v>191</v>
      </c>
      <c r="G86" s="36">
        <f>10.08*9.6</f>
        <v>96.768000000000001</v>
      </c>
      <c r="H86" t="s">
        <v>192</v>
      </c>
    </row>
    <row r="88" spans="2:9" x14ac:dyDescent="0.3">
      <c r="F88" s="12" t="s">
        <v>193</v>
      </c>
      <c r="G88" s="36">
        <v>96.768000000000001</v>
      </c>
      <c r="H88" t="s">
        <v>192</v>
      </c>
    </row>
    <row r="90" spans="2:9" x14ac:dyDescent="0.3">
      <c r="F90" s="12" t="s">
        <v>194</v>
      </c>
      <c r="G90" s="76">
        <f>G86/G88</f>
        <v>1</v>
      </c>
      <c r="H90" s="1" t="str">
        <f>IF(G90&lt;0.3,"   &lt; 30%   No hay presiones internas","   &gt; 30%   Hay presiones internas")</f>
        <v xml:space="preserve">   &gt; 30%   Hay presiones internas</v>
      </c>
    </row>
    <row r="92" spans="2:9" x14ac:dyDescent="0.3">
      <c r="B92" s="1" t="s">
        <v>195</v>
      </c>
    </row>
    <row r="94" spans="2:9" x14ac:dyDescent="0.3">
      <c r="B94" s="125" t="s">
        <v>196</v>
      </c>
      <c r="C94" s="126"/>
      <c r="D94" s="27" t="s">
        <v>197</v>
      </c>
      <c r="F94" s="72" t="s">
        <v>198</v>
      </c>
      <c r="G94" s="77" t="s">
        <v>199</v>
      </c>
      <c r="H94" s="27" t="s">
        <v>197</v>
      </c>
      <c r="I94" s="27" t="s">
        <v>200</v>
      </c>
    </row>
    <row r="95" spans="2:9" x14ac:dyDescent="0.3">
      <c r="B95" s="127" t="s">
        <v>201</v>
      </c>
      <c r="C95" s="127"/>
      <c r="D95" s="74">
        <v>0.75</v>
      </c>
      <c r="F95" s="16" t="s">
        <v>202</v>
      </c>
      <c r="G95" s="74" t="s">
        <v>203</v>
      </c>
      <c r="H95" s="36">
        <f>D97</f>
        <v>-0.5</v>
      </c>
      <c r="I95" s="75">
        <f>$E$63*H95</f>
        <v>-20.463331602047049</v>
      </c>
    </row>
    <row r="96" spans="2:9" x14ac:dyDescent="0.3">
      <c r="B96" s="127" t="s">
        <v>204</v>
      </c>
      <c r="C96" s="127"/>
      <c r="D96" s="74">
        <v>-0.6</v>
      </c>
      <c r="F96" s="16" t="s">
        <v>205</v>
      </c>
      <c r="G96" s="74" t="s">
        <v>203</v>
      </c>
      <c r="H96" s="36">
        <f>D97</f>
        <v>-0.5</v>
      </c>
      <c r="I96" s="75">
        <f>$E$63*H96</f>
        <v>-20.463331602047049</v>
      </c>
    </row>
    <row r="97" spans="2:14" x14ac:dyDescent="0.3">
      <c r="B97" s="127" t="s">
        <v>206</v>
      </c>
      <c r="C97" s="127"/>
      <c r="D97" s="74">
        <v>-0.5</v>
      </c>
      <c r="F97" s="16" t="s">
        <v>207</v>
      </c>
      <c r="G97" s="74" t="s">
        <v>208</v>
      </c>
      <c r="H97" s="36">
        <f>D96</f>
        <v>-0.6</v>
      </c>
      <c r="I97" s="75">
        <f>$E$63*H97</f>
        <v>-24.555997922456459</v>
      </c>
    </row>
    <row r="98" spans="2:14" x14ac:dyDescent="0.3">
      <c r="B98" s="127" t="s">
        <v>209</v>
      </c>
      <c r="C98" s="127"/>
      <c r="D98" s="74">
        <v>-0.3</v>
      </c>
      <c r="F98" s="16" t="s">
        <v>210</v>
      </c>
      <c r="G98" s="74" t="s">
        <v>211</v>
      </c>
      <c r="H98" s="36">
        <f>D95</f>
        <v>0.75</v>
      </c>
      <c r="I98" s="75">
        <f>$E$63*H98</f>
        <v>30.694997403070573</v>
      </c>
    </row>
    <row r="101" spans="2:14" ht="24" customHeight="1" x14ac:dyDescent="0.3">
      <c r="B101" s="80" t="s">
        <v>213</v>
      </c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</row>
    <row r="102" spans="2:14" x14ac:dyDescent="0.3">
      <c r="B102" s="123" t="s">
        <v>214</v>
      </c>
    </row>
    <row r="103" spans="2:14" x14ac:dyDescent="0.3">
      <c r="B103" s="1" t="s">
        <v>215</v>
      </c>
    </row>
    <row r="104" spans="2:14" ht="30" customHeight="1" x14ac:dyDescent="0.3">
      <c r="B104" s="72" t="s">
        <v>216</v>
      </c>
      <c r="C104" s="73"/>
      <c r="D104" s="27" t="s">
        <v>217</v>
      </c>
      <c r="E104" s="27" t="s">
        <v>218</v>
      </c>
      <c r="F104" s="27" t="s">
        <v>219</v>
      </c>
      <c r="G104" s="77" t="s">
        <v>220</v>
      </c>
      <c r="H104" s="126" t="s">
        <v>221</v>
      </c>
      <c r="I104" s="126"/>
    </row>
    <row r="105" spans="2:14" x14ac:dyDescent="0.3">
      <c r="B105" s="16" t="s">
        <v>222</v>
      </c>
      <c r="C105" s="15"/>
      <c r="D105" s="122" t="s">
        <v>223</v>
      </c>
      <c r="E105" s="122" t="s">
        <v>224</v>
      </c>
      <c r="F105" s="43" t="s">
        <v>225</v>
      </c>
      <c r="G105" s="122">
        <v>1</v>
      </c>
      <c r="H105" s="128" t="s">
        <v>226</v>
      </c>
      <c r="I105" s="128"/>
    </row>
    <row r="106" spans="2:14" x14ac:dyDescent="0.3">
      <c r="B106" s="16" t="s">
        <v>227</v>
      </c>
      <c r="C106" s="15"/>
      <c r="D106" s="122" t="s">
        <v>228</v>
      </c>
      <c r="E106" s="122" t="s">
        <v>229</v>
      </c>
      <c r="F106" s="43" t="s">
        <v>225</v>
      </c>
      <c r="G106" s="122">
        <v>-1</v>
      </c>
      <c r="H106" s="128" t="s">
        <v>226</v>
      </c>
      <c r="I106" s="128"/>
    </row>
    <row r="107" spans="2:14" x14ac:dyDescent="0.3">
      <c r="B107" s="16" t="s">
        <v>230</v>
      </c>
      <c r="C107" s="15"/>
      <c r="D107" s="122" t="s">
        <v>231</v>
      </c>
      <c r="E107" s="122" t="s">
        <v>232</v>
      </c>
      <c r="F107" s="43" t="s">
        <v>225</v>
      </c>
      <c r="G107" s="122">
        <v>1</v>
      </c>
      <c r="H107" s="128" t="s">
        <v>233</v>
      </c>
      <c r="I107" s="128"/>
    </row>
    <row r="108" spans="2:14" x14ac:dyDescent="0.3">
      <c r="B108" s="16" t="s">
        <v>234</v>
      </c>
      <c r="C108" s="15"/>
      <c r="D108" s="122" t="s">
        <v>235</v>
      </c>
      <c r="E108" s="122" t="s">
        <v>236</v>
      </c>
      <c r="F108" s="43" t="s">
        <v>237</v>
      </c>
      <c r="G108" s="122">
        <v>-1</v>
      </c>
      <c r="H108" s="128" t="s">
        <v>233</v>
      </c>
      <c r="I108" s="128"/>
    </row>
    <row r="109" spans="2:14" x14ac:dyDescent="0.3">
      <c r="B109" s="16" t="s">
        <v>238</v>
      </c>
      <c r="C109" s="15"/>
      <c r="D109" s="122" t="s">
        <v>239</v>
      </c>
      <c r="E109" s="122" t="s">
        <v>240</v>
      </c>
      <c r="F109" s="43" t="s">
        <v>225</v>
      </c>
      <c r="G109" s="122">
        <v>-1</v>
      </c>
      <c r="H109" s="128" t="s">
        <v>241</v>
      </c>
      <c r="I109" s="128"/>
    </row>
    <row r="110" spans="2:14" x14ac:dyDescent="0.3">
      <c r="B110" s="123" t="s">
        <v>242</v>
      </c>
    </row>
    <row r="111" spans="2:14" x14ac:dyDescent="0.3">
      <c r="B111" s="123" t="s">
        <v>243</v>
      </c>
    </row>
    <row r="113" spans="2:12" x14ac:dyDescent="0.3">
      <c r="B113" s="1" t="s">
        <v>244</v>
      </c>
    </row>
    <row r="114" spans="2:12" x14ac:dyDescent="0.3">
      <c r="B114" s="78" t="s">
        <v>245</v>
      </c>
    </row>
    <row r="115" spans="2:12" ht="30" customHeight="1" x14ac:dyDescent="0.3">
      <c r="B115" s="72" t="s">
        <v>216</v>
      </c>
      <c r="C115" s="73"/>
      <c r="D115" s="27" t="s">
        <v>217</v>
      </c>
      <c r="E115" s="27" t="s">
        <v>246</v>
      </c>
      <c r="F115" s="27" t="s">
        <v>247</v>
      </c>
      <c r="G115" s="77" t="s">
        <v>248</v>
      </c>
      <c r="H115" s="77" t="s">
        <v>249</v>
      </c>
      <c r="I115" s="27" t="s">
        <v>250</v>
      </c>
      <c r="J115" s="126" t="s">
        <v>251</v>
      </c>
      <c r="K115" s="126"/>
      <c r="L115" s="126"/>
    </row>
    <row r="116" spans="2:12" x14ac:dyDescent="0.3">
      <c r="B116" s="16" t="str">
        <f>B105</f>
        <v>Muro A (Eje A)</v>
      </c>
      <c r="C116" s="15"/>
      <c r="D116" s="122" t="str">
        <f>D105</f>
        <v>_OESTE</v>
      </c>
      <c r="E116" s="122" t="s">
        <v>211</v>
      </c>
      <c r="F116" s="74">
        <f>$D$71</f>
        <v>0.8</v>
      </c>
      <c r="G116" s="75">
        <f>$E$63*F116</f>
        <v>32.741330563275277</v>
      </c>
      <c r="H116" s="121">
        <f>IF($F$105="SI",ROUNDUP(ROUND($G$105*G116/10000,6),4),0)</f>
        <v>3.3E-3</v>
      </c>
      <c r="I116" s="122" t="str">
        <f>H105</f>
        <v>GX INCLINED</v>
      </c>
      <c r="J116" s="129" t="str">
        <f>IF(H116=0,"— no se carga (abierta)",D116&amp;" ONE "&amp;TEXT(H116,"0.0000")&amp;" "&amp;I116)</f>
        <v>_OESTE ONE 0.0033 GX INCLINED</v>
      </c>
      <c r="K116" s="129"/>
      <c r="L116" s="129"/>
    </row>
    <row r="117" spans="2:12" x14ac:dyDescent="0.3">
      <c r="B117" s="16" t="str">
        <f>B106</f>
        <v>Muro B (Eje B)</v>
      </c>
      <c r="C117" s="15"/>
      <c r="D117" s="122" t="str">
        <f>D106</f>
        <v>_ESTE</v>
      </c>
      <c r="E117" s="122" t="s">
        <v>208</v>
      </c>
      <c r="F117" s="74">
        <f>$D$72</f>
        <v>-0.5</v>
      </c>
      <c r="G117" s="75">
        <f>$E$63*F117</f>
        <v>-20.463331602047049</v>
      </c>
      <c r="H117" s="121">
        <f>IF($F$106="SI",ROUNDUP(ROUND($G$106*G117/10000,6),4),0)</f>
        <v>2.0999999999999999E-3</v>
      </c>
      <c r="I117" s="122" t="str">
        <f>H106</f>
        <v>GX INCLINED</v>
      </c>
      <c r="J117" s="129" t="str">
        <f>IF(H117=0,"— no se carga (abierta)",D117&amp;" ONE "&amp;TEXT(H117,"0.0000")&amp;" "&amp;I117)</f>
        <v>_ESTE ONE 0.0021 GX INCLINED</v>
      </c>
      <c r="K117" s="129"/>
      <c r="L117" s="129"/>
    </row>
    <row r="118" spans="2:12" x14ac:dyDescent="0.3">
      <c r="B118" s="16" t="str">
        <f>B107</f>
        <v>Muro 1 (Eje 1)</v>
      </c>
      <c r="C118" s="15"/>
      <c r="D118" s="122" t="str">
        <f>D107</f>
        <v>_NORTE</v>
      </c>
      <c r="E118" s="122" t="s">
        <v>252</v>
      </c>
      <c r="F118" s="74">
        <f>$D$73</f>
        <v>-0.7</v>
      </c>
      <c r="G118" s="75">
        <f>$E$63*F118</f>
        <v>-28.648664242865866</v>
      </c>
      <c r="H118" s="121">
        <f>IF($F$107="SI",ROUNDUP(ROUND($G$107*G118/10000,6),4),0)</f>
        <v>-2.8999999999999998E-3</v>
      </c>
      <c r="I118" s="122" t="str">
        <f>H107</f>
        <v>GZ</v>
      </c>
      <c r="J118" s="129" t="str">
        <f>IF(H118=0,"— no se carga (abierta)",D118&amp;" ONE "&amp;TEXT(H118,"0.0000")&amp;" "&amp;I118)</f>
        <v>_NORTE ONE -0.0029 GZ</v>
      </c>
      <c r="K118" s="129"/>
      <c r="L118" s="129"/>
    </row>
    <row r="119" spans="2:12" x14ac:dyDescent="0.3">
      <c r="B119" s="16" t="str">
        <f>B108</f>
        <v>Eje 3 (muelle)</v>
      </c>
      <c r="C119" s="15"/>
      <c r="D119" s="122" t="str">
        <f>D108</f>
        <v>_SUR</v>
      </c>
      <c r="E119" s="122" t="s">
        <v>252</v>
      </c>
      <c r="F119" s="74">
        <f>$D$73</f>
        <v>-0.7</v>
      </c>
      <c r="G119" s="75">
        <f>$E$63*F119</f>
        <v>-28.648664242865866</v>
      </c>
      <c r="H119" s="121">
        <f>IF($F$108="SI",ROUNDUP(ROUND($G$108*G119/10000,6),4),0)</f>
        <v>0</v>
      </c>
      <c r="I119" s="122" t="str">
        <f>H108</f>
        <v>GZ</v>
      </c>
      <c r="J119" s="129" t="str">
        <f>IF(H119=0,"— no se carga (abierta)",D119&amp;" ONE "&amp;TEXT(H119,"0.0000")&amp;" "&amp;I119)</f>
        <v>— no se carga (abierta)</v>
      </c>
      <c r="K119" s="129"/>
      <c r="L119" s="129"/>
    </row>
    <row r="120" spans="2:12" x14ac:dyDescent="0.3">
      <c r="B120" s="16" t="str">
        <f>B109</f>
        <v>Cubierta</v>
      </c>
      <c r="C120" s="15"/>
      <c r="D120" s="122" t="str">
        <f>D109</f>
        <v>_CUBIERTA</v>
      </c>
      <c r="E120" s="122" t="s">
        <v>240</v>
      </c>
      <c r="F120" s="74">
        <f>$D$74</f>
        <v>-0.7</v>
      </c>
      <c r="G120" s="75">
        <f>$E$63*F120</f>
        <v>-28.648664242865866</v>
      </c>
      <c r="H120" s="121">
        <f>IF($F$109="SI",ROUNDUP(ROUND($G$109*G120/10000,6),4),0)</f>
        <v>2.8999999999999998E-3</v>
      </c>
      <c r="I120" s="122" t="str">
        <f>H109</f>
        <v>GY INCLINED</v>
      </c>
      <c r="J120" s="129" t="str">
        <f>IF(H120=0,"— no se carga (abierta)",D120&amp;" ONE "&amp;TEXT(H120,"0.0000")&amp;" "&amp;I120)</f>
        <v>_CUBIERTA ONE 0.0029 GY INCLINED</v>
      </c>
      <c r="K120" s="129"/>
      <c r="L120" s="129"/>
    </row>
    <row r="122" spans="2:12" x14ac:dyDescent="0.3">
      <c r="B122" s="78" t="s">
        <v>253</v>
      </c>
    </row>
    <row r="123" spans="2:12" ht="30" customHeight="1" x14ac:dyDescent="0.3">
      <c r="B123" s="72" t="s">
        <v>216</v>
      </c>
      <c r="C123" s="73"/>
      <c r="D123" s="27" t="s">
        <v>217</v>
      </c>
      <c r="E123" s="27" t="s">
        <v>246</v>
      </c>
      <c r="F123" s="27" t="s">
        <v>247</v>
      </c>
      <c r="G123" s="77" t="s">
        <v>248</v>
      </c>
      <c r="H123" s="77" t="s">
        <v>249</v>
      </c>
      <c r="I123" s="27" t="s">
        <v>250</v>
      </c>
      <c r="J123" s="126" t="s">
        <v>251</v>
      </c>
      <c r="K123" s="126"/>
      <c r="L123" s="126"/>
    </row>
    <row r="124" spans="2:12" x14ac:dyDescent="0.3">
      <c r="B124" s="16" t="str">
        <f>B105</f>
        <v>Muro A (Eje A)</v>
      </c>
      <c r="C124" s="15"/>
      <c r="D124" s="122" t="str">
        <f>D105</f>
        <v>_OESTE</v>
      </c>
      <c r="E124" s="122" t="s">
        <v>208</v>
      </c>
      <c r="F124" s="74">
        <f>$D$72</f>
        <v>-0.5</v>
      </c>
      <c r="G124" s="75">
        <f>$E$63*F124</f>
        <v>-20.463331602047049</v>
      </c>
      <c r="H124" s="121">
        <f>IF($F$105="SI",ROUNDUP(ROUND($G$105*G124/10000,6),4),0)</f>
        <v>-2.0999999999999999E-3</v>
      </c>
      <c r="I124" s="122" t="str">
        <f>H105</f>
        <v>GX INCLINED</v>
      </c>
      <c r="J124" s="129" t="str">
        <f>IF(H124=0,"— no se carga (abierta)",D124&amp;" ONE "&amp;TEXT(H124,"0.0000")&amp;" "&amp;I124)</f>
        <v>_OESTE ONE -0.0021 GX INCLINED</v>
      </c>
      <c r="K124" s="129"/>
      <c r="L124" s="129"/>
    </row>
    <row r="125" spans="2:12" x14ac:dyDescent="0.3">
      <c r="B125" s="16" t="str">
        <f>B106</f>
        <v>Muro B (Eje B)</v>
      </c>
      <c r="C125" s="15"/>
      <c r="D125" s="122" t="str">
        <f>D106</f>
        <v>_ESTE</v>
      </c>
      <c r="E125" s="122" t="s">
        <v>211</v>
      </c>
      <c r="F125" s="74">
        <f>$D$71</f>
        <v>0.8</v>
      </c>
      <c r="G125" s="75">
        <f>$E$63*F125</f>
        <v>32.741330563275277</v>
      </c>
      <c r="H125" s="121">
        <f>IF($F$106="SI",ROUNDUP(ROUND($G$106*G125/10000,6),4),0)</f>
        <v>-3.3E-3</v>
      </c>
      <c r="I125" s="122" t="str">
        <f>H106</f>
        <v>GX INCLINED</v>
      </c>
      <c r="J125" s="129" t="str">
        <f>IF(H125=0,"— no se carga (abierta)",D125&amp;" ONE "&amp;TEXT(H125,"0.0000")&amp;" "&amp;I125)</f>
        <v>_ESTE ONE -0.0033 GX INCLINED</v>
      </c>
      <c r="K125" s="129"/>
      <c r="L125" s="129"/>
    </row>
    <row r="126" spans="2:12" x14ac:dyDescent="0.3">
      <c r="B126" s="16" t="str">
        <f>B107</f>
        <v>Muro 1 (Eje 1)</v>
      </c>
      <c r="C126" s="15"/>
      <c r="D126" s="122" t="str">
        <f>D107</f>
        <v>_NORTE</v>
      </c>
      <c r="E126" s="122" t="s">
        <v>252</v>
      </c>
      <c r="F126" s="74">
        <f>$D$73</f>
        <v>-0.7</v>
      </c>
      <c r="G126" s="75">
        <f>$E$63*F126</f>
        <v>-28.648664242865866</v>
      </c>
      <c r="H126" s="121">
        <f>IF($F$107="SI",ROUNDUP(ROUND($G$107*G126/10000,6),4),0)</f>
        <v>-2.8999999999999998E-3</v>
      </c>
      <c r="I126" s="122" t="str">
        <f>H107</f>
        <v>GZ</v>
      </c>
      <c r="J126" s="129" t="str">
        <f>IF(H126=0,"— no se carga (abierta)",D126&amp;" ONE "&amp;TEXT(H126,"0.0000")&amp;" "&amp;I126)</f>
        <v>_NORTE ONE -0.0029 GZ</v>
      </c>
      <c r="K126" s="129"/>
      <c r="L126" s="129"/>
    </row>
    <row r="127" spans="2:12" x14ac:dyDescent="0.3">
      <c r="B127" s="16" t="str">
        <f>B108</f>
        <v>Eje 3 (muelle)</v>
      </c>
      <c r="C127" s="15"/>
      <c r="D127" s="122" t="str">
        <f>D108</f>
        <v>_SUR</v>
      </c>
      <c r="E127" s="122" t="s">
        <v>252</v>
      </c>
      <c r="F127" s="74">
        <f>$D$73</f>
        <v>-0.7</v>
      </c>
      <c r="G127" s="75">
        <f>$E$63*F127</f>
        <v>-28.648664242865866</v>
      </c>
      <c r="H127" s="121">
        <f>IF($F$108="SI",ROUNDUP(ROUND($G$108*G127/10000,6),4),0)</f>
        <v>0</v>
      </c>
      <c r="I127" s="122" t="str">
        <f>H108</f>
        <v>GZ</v>
      </c>
      <c r="J127" s="129" t="str">
        <f>IF(H127=0,"— no se carga (abierta)",D127&amp;" ONE "&amp;TEXT(H127,"0.0000")&amp;" "&amp;I127)</f>
        <v>— no se carga (abierta)</v>
      </c>
      <c r="K127" s="129"/>
      <c r="L127" s="129"/>
    </row>
    <row r="128" spans="2:12" x14ac:dyDescent="0.3">
      <c r="B128" s="16" t="str">
        <f>B109</f>
        <v>Cubierta</v>
      </c>
      <c r="C128" s="15"/>
      <c r="D128" s="122" t="str">
        <f>D109</f>
        <v>_CUBIERTA</v>
      </c>
      <c r="E128" s="122" t="s">
        <v>240</v>
      </c>
      <c r="F128" s="74">
        <f>$D$74</f>
        <v>-0.7</v>
      </c>
      <c r="G128" s="75">
        <f>$E$63*F128</f>
        <v>-28.648664242865866</v>
      </c>
      <c r="H128" s="121">
        <f>IF($F$109="SI",ROUNDUP(ROUND($G$109*G128/10000,6),4),0)</f>
        <v>2.8999999999999998E-3</v>
      </c>
      <c r="I128" s="122" t="str">
        <f>H109</f>
        <v>GY INCLINED</v>
      </c>
      <c r="J128" s="129" t="str">
        <f>IF(H128=0,"— no se carga (abierta)",D128&amp;" ONE "&amp;TEXT(H128,"0.0000")&amp;" "&amp;I128)</f>
        <v>_CUBIERTA ONE 0.0029 GY INCLINED</v>
      </c>
      <c r="K128" s="129"/>
      <c r="L128" s="129"/>
    </row>
    <row r="130" spans="2:12" x14ac:dyDescent="0.3">
      <c r="B130" s="78" t="s">
        <v>254</v>
      </c>
    </row>
    <row r="131" spans="2:12" ht="30" customHeight="1" x14ac:dyDescent="0.3">
      <c r="B131" s="72" t="s">
        <v>216</v>
      </c>
      <c r="C131" s="73"/>
      <c r="D131" s="27" t="s">
        <v>217</v>
      </c>
      <c r="E131" s="27" t="s">
        <v>246</v>
      </c>
      <c r="F131" s="27" t="s">
        <v>247</v>
      </c>
      <c r="G131" s="77" t="s">
        <v>248</v>
      </c>
      <c r="H131" s="77" t="s">
        <v>249</v>
      </c>
      <c r="I131" s="27" t="s">
        <v>250</v>
      </c>
      <c r="J131" s="126" t="s">
        <v>251</v>
      </c>
      <c r="K131" s="126"/>
      <c r="L131" s="126"/>
    </row>
    <row r="132" spans="2:12" x14ac:dyDescent="0.3">
      <c r="B132" s="16" t="str">
        <f>B105</f>
        <v>Muro A (Eje A)</v>
      </c>
      <c r="C132" s="15"/>
      <c r="D132" s="122" t="str">
        <f>D105</f>
        <v>_OESTE</v>
      </c>
      <c r="E132" s="122" t="s">
        <v>252</v>
      </c>
      <c r="F132" s="74">
        <f>$D$73</f>
        <v>-0.7</v>
      </c>
      <c r="G132" s="75">
        <f>$E$63*F132</f>
        <v>-28.648664242865866</v>
      </c>
      <c r="H132" s="121">
        <f>IF($F$105="SI",ROUNDUP(ROUND($G$105*G132/10000,6),4),0)</f>
        <v>-2.8999999999999998E-3</v>
      </c>
      <c r="I132" s="122" t="str">
        <f>H105</f>
        <v>GX INCLINED</v>
      </c>
      <c r="J132" s="129" t="str">
        <f>IF(H132=0,"— no se carga (abierta)",D132&amp;" ONE "&amp;TEXT(H132,"0.0000")&amp;" "&amp;I132)</f>
        <v>_OESTE ONE -0.0029 GX INCLINED</v>
      </c>
      <c r="K132" s="129"/>
      <c r="L132" s="129"/>
    </row>
    <row r="133" spans="2:12" x14ac:dyDescent="0.3">
      <c r="B133" s="16" t="str">
        <f>B106</f>
        <v>Muro B (Eje B)</v>
      </c>
      <c r="C133" s="15"/>
      <c r="D133" s="122" t="str">
        <f>D106</f>
        <v>_ESTE</v>
      </c>
      <c r="E133" s="122" t="s">
        <v>252</v>
      </c>
      <c r="F133" s="74">
        <f>$D$73</f>
        <v>-0.7</v>
      </c>
      <c r="G133" s="75">
        <f>$E$63*F133</f>
        <v>-28.648664242865866</v>
      </c>
      <c r="H133" s="121">
        <f>IF($F$106="SI",ROUNDUP(ROUND($G$106*G133/10000,6),4),0)</f>
        <v>2.8999999999999998E-3</v>
      </c>
      <c r="I133" s="122" t="str">
        <f>H106</f>
        <v>GX INCLINED</v>
      </c>
      <c r="J133" s="129" t="str">
        <f>IF(H133=0,"— no se carga (abierta)",D133&amp;" ONE "&amp;TEXT(H133,"0.0000")&amp;" "&amp;I133)</f>
        <v>_ESTE ONE 0.0029 GX INCLINED</v>
      </c>
      <c r="K133" s="129"/>
      <c r="L133" s="129"/>
    </row>
    <row r="134" spans="2:12" x14ac:dyDescent="0.3">
      <c r="B134" s="16" t="str">
        <f>B107</f>
        <v>Muro 1 (Eje 1)</v>
      </c>
      <c r="C134" s="15"/>
      <c r="D134" s="122" t="str">
        <f>D107</f>
        <v>_NORTE</v>
      </c>
      <c r="E134" s="122" t="s">
        <v>211</v>
      </c>
      <c r="F134" s="74">
        <f>$D$71</f>
        <v>0.8</v>
      </c>
      <c r="G134" s="75">
        <f>$E$63*F134</f>
        <v>32.741330563275277</v>
      </c>
      <c r="H134" s="121">
        <f>IF($F$107="SI",ROUNDUP(ROUND($G$107*G134/10000,6),4),0)</f>
        <v>3.3E-3</v>
      </c>
      <c r="I134" s="122" t="str">
        <f>H107</f>
        <v>GZ</v>
      </c>
      <c r="J134" s="129" t="str">
        <f>IF(H134=0,"— no se carga (abierta)",D134&amp;" ONE "&amp;TEXT(H134,"0.0000")&amp;" "&amp;I134)</f>
        <v>_NORTE ONE 0.0033 GZ</v>
      </c>
      <c r="K134" s="129"/>
      <c r="L134" s="129"/>
    </row>
    <row r="135" spans="2:12" x14ac:dyDescent="0.3">
      <c r="B135" s="16" t="str">
        <f>B108</f>
        <v>Eje 3 (muelle)</v>
      </c>
      <c r="C135" s="15"/>
      <c r="D135" s="122" t="str">
        <f>D108</f>
        <v>_SUR</v>
      </c>
      <c r="E135" s="122" t="s">
        <v>208</v>
      </c>
      <c r="F135" s="74">
        <f>$D$72</f>
        <v>-0.5</v>
      </c>
      <c r="G135" s="75">
        <f>$E$63*F135</f>
        <v>-20.463331602047049</v>
      </c>
      <c r="H135" s="121">
        <f>IF($F$108="SI",ROUNDUP(ROUND($G$108*G135/10000,6),4),0)</f>
        <v>0</v>
      </c>
      <c r="I135" s="122" t="str">
        <f>H108</f>
        <v>GZ</v>
      </c>
      <c r="J135" s="129" t="str">
        <f>IF(H135=0,"— no se carga (abierta)",D135&amp;" ONE "&amp;TEXT(H135,"0.0000")&amp;" "&amp;I135)</f>
        <v>— no se carga (abierta)</v>
      </c>
      <c r="K135" s="129"/>
      <c r="L135" s="129"/>
    </row>
    <row r="136" spans="2:12" x14ac:dyDescent="0.3">
      <c r="B136" s="16" t="str">
        <f>B109</f>
        <v>Cubierta</v>
      </c>
      <c r="C136" s="15"/>
      <c r="D136" s="122" t="str">
        <f>D109</f>
        <v>_CUBIERTA</v>
      </c>
      <c r="E136" s="122" t="s">
        <v>240</v>
      </c>
      <c r="F136" s="74">
        <f>$D$74</f>
        <v>-0.7</v>
      </c>
      <c r="G136" s="75">
        <f>$E$63*F136</f>
        <v>-28.648664242865866</v>
      </c>
      <c r="H136" s="121">
        <f>IF($F$109="SI",ROUNDUP(ROUND($G$109*G136/10000,6),4),0)</f>
        <v>2.8999999999999998E-3</v>
      </c>
      <c r="I136" s="122" t="str">
        <f>H109</f>
        <v>GY INCLINED</v>
      </c>
      <c r="J136" s="129" t="str">
        <f>IF(H136=0,"— no se carga (abierta)",D136&amp;" ONE "&amp;TEXT(H136,"0.0000")&amp;" "&amp;I136)</f>
        <v>_CUBIERTA ONE 0.0029 GY INCLINED</v>
      </c>
      <c r="K136" s="129"/>
      <c r="L136" s="129"/>
    </row>
    <row r="138" spans="2:12" x14ac:dyDescent="0.3">
      <c r="B138" s="78" t="s">
        <v>255</v>
      </c>
    </row>
    <row r="139" spans="2:12" ht="30" customHeight="1" x14ac:dyDescent="0.3">
      <c r="B139" s="72" t="s">
        <v>216</v>
      </c>
      <c r="C139" s="73"/>
      <c r="D139" s="27" t="s">
        <v>217</v>
      </c>
      <c r="E139" s="27" t="s">
        <v>246</v>
      </c>
      <c r="F139" s="27" t="s">
        <v>247</v>
      </c>
      <c r="G139" s="77" t="s">
        <v>248</v>
      </c>
      <c r="H139" s="77" t="s">
        <v>249</v>
      </c>
      <c r="I139" s="27" t="s">
        <v>250</v>
      </c>
      <c r="J139" s="126" t="s">
        <v>251</v>
      </c>
      <c r="K139" s="126"/>
      <c r="L139" s="126"/>
    </row>
    <row r="140" spans="2:12" x14ac:dyDescent="0.3">
      <c r="B140" s="16" t="str">
        <f>B105</f>
        <v>Muro A (Eje A)</v>
      </c>
      <c r="C140" s="15"/>
      <c r="D140" s="122" t="str">
        <f>D105</f>
        <v>_OESTE</v>
      </c>
      <c r="E140" s="122" t="s">
        <v>252</v>
      </c>
      <c r="F140" s="74">
        <f>$D$73</f>
        <v>-0.7</v>
      </c>
      <c r="G140" s="75">
        <f>$E$63*F140</f>
        <v>-28.648664242865866</v>
      </c>
      <c r="H140" s="121">
        <f>IF($F$105="SI",ROUNDUP(ROUND($G$105*G140/10000,6),4),0)</f>
        <v>-2.8999999999999998E-3</v>
      </c>
      <c r="I140" s="122" t="str">
        <f>H105</f>
        <v>GX INCLINED</v>
      </c>
      <c r="J140" s="129" t="str">
        <f>IF(H140=0,"— no se carga (abierta)",D140&amp;" ONE "&amp;TEXT(H140,"0.0000")&amp;" "&amp;I140)</f>
        <v>_OESTE ONE -0.0029 GX INCLINED</v>
      </c>
      <c r="K140" s="129"/>
      <c r="L140" s="129"/>
    </row>
    <row r="141" spans="2:12" x14ac:dyDescent="0.3">
      <c r="B141" s="16" t="str">
        <f>B106</f>
        <v>Muro B (Eje B)</v>
      </c>
      <c r="C141" s="15"/>
      <c r="D141" s="122" t="str">
        <f>D106</f>
        <v>_ESTE</v>
      </c>
      <c r="E141" s="122" t="s">
        <v>252</v>
      </c>
      <c r="F141" s="74">
        <f>$D$73</f>
        <v>-0.7</v>
      </c>
      <c r="G141" s="75">
        <f>$E$63*F141</f>
        <v>-28.648664242865866</v>
      </c>
      <c r="H141" s="121">
        <f>IF($F$106="SI",ROUNDUP(ROUND($G$106*G141/10000,6),4),0)</f>
        <v>2.8999999999999998E-3</v>
      </c>
      <c r="I141" s="122" t="str">
        <f>H106</f>
        <v>GX INCLINED</v>
      </c>
      <c r="J141" s="129" t="str">
        <f>IF(H141=0,"— no se carga (abierta)",D141&amp;" ONE "&amp;TEXT(H141,"0.0000")&amp;" "&amp;I141)</f>
        <v>_ESTE ONE 0.0029 GX INCLINED</v>
      </c>
      <c r="K141" s="129"/>
      <c r="L141" s="129"/>
    </row>
    <row r="142" spans="2:12" x14ac:dyDescent="0.3">
      <c r="B142" s="16" t="str">
        <f>B107</f>
        <v>Muro 1 (Eje 1)</v>
      </c>
      <c r="C142" s="15"/>
      <c r="D142" s="122" t="str">
        <f>D107</f>
        <v>_NORTE</v>
      </c>
      <c r="E142" s="122" t="s">
        <v>208</v>
      </c>
      <c r="F142" s="74">
        <f>$D$72</f>
        <v>-0.5</v>
      </c>
      <c r="G142" s="75">
        <f>$E$63*F142</f>
        <v>-20.463331602047049</v>
      </c>
      <c r="H142" s="121">
        <f>IF($F$107="SI",ROUNDUP(ROUND($G$107*G142/10000,6),4),0)</f>
        <v>-2.0999999999999999E-3</v>
      </c>
      <c r="I142" s="122" t="str">
        <f>H107</f>
        <v>GZ</v>
      </c>
      <c r="J142" s="129" t="str">
        <f>IF(H142=0,"— no se carga (abierta)",D142&amp;" ONE "&amp;TEXT(H142,"0.0000")&amp;" "&amp;I142)</f>
        <v>_NORTE ONE -0.0021 GZ</v>
      </c>
      <c r="K142" s="129"/>
      <c r="L142" s="129"/>
    </row>
    <row r="143" spans="2:12" x14ac:dyDescent="0.3">
      <c r="B143" s="16" t="str">
        <f>B108</f>
        <v>Eje 3 (muelle)</v>
      </c>
      <c r="C143" s="15"/>
      <c r="D143" s="122" t="str">
        <f>D108</f>
        <v>_SUR</v>
      </c>
      <c r="E143" s="122" t="s">
        <v>211</v>
      </c>
      <c r="F143" s="74">
        <f>$D$71</f>
        <v>0.8</v>
      </c>
      <c r="G143" s="75">
        <f>$E$63*F143</f>
        <v>32.741330563275277</v>
      </c>
      <c r="H143" s="149">
        <f>IF($F$108="SI",ROUNDUP(ROUND($G$108*G143/10000,6),4),0)</f>
        <v>0</v>
      </c>
      <c r="I143" s="122" t="str">
        <f>H108</f>
        <v>GZ</v>
      </c>
      <c r="J143" s="129" t="str">
        <f>IF(H143=0,"— no se carga (abierta)",D143&amp;" ONE "&amp;TEXT(H143,"0.0000")&amp;" "&amp;I143)</f>
        <v>— no se carga (abierta)</v>
      </c>
      <c r="K143" s="129"/>
      <c r="L143" s="129"/>
    </row>
    <row r="144" spans="2:12" x14ac:dyDescent="0.3">
      <c r="B144" s="16" t="str">
        <f>B109</f>
        <v>Cubierta</v>
      </c>
      <c r="C144" s="15"/>
      <c r="D144" s="122" t="str">
        <f>D109</f>
        <v>_CUBIERTA</v>
      </c>
      <c r="E144" s="122" t="s">
        <v>240</v>
      </c>
      <c r="F144" s="74">
        <f>$D$74</f>
        <v>-0.7</v>
      </c>
      <c r="G144" s="75">
        <f>$E$63*F144</f>
        <v>-28.648664242865866</v>
      </c>
      <c r="H144" s="121">
        <f>IF($F$109="SI",ROUNDUP(ROUND($G$109*G144/10000,6),4),0)</f>
        <v>2.8999999999999998E-3</v>
      </c>
      <c r="I144" s="122" t="str">
        <f>H109</f>
        <v>GY INCLINED</v>
      </c>
      <c r="J144" s="129" t="str">
        <f>IF(H144=0,"— no se carga (abierta)",D144&amp;" ONE "&amp;TEXT(H144,"0.0000")&amp;" "&amp;I144)</f>
        <v>_CUBIERTA ONE 0.0029 GY INCLINED</v>
      </c>
      <c r="K144" s="129"/>
      <c r="L144" s="129"/>
    </row>
    <row r="146" spans="2:12" x14ac:dyDescent="0.3">
      <c r="B146" s="1" t="s">
        <v>301</v>
      </c>
    </row>
    <row r="147" spans="2:12" x14ac:dyDescent="0.3">
      <c r="B147" s="123" t="s">
        <v>302</v>
      </c>
    </row>
    <row r="148" spans="2:12" x14ac:dyDescent="0.3">
      <c r="B148" s="123" t="s">
        <v>303</v>
      </c>
    </row>
    <row r="149" spans="2:12" x14ac:dyDescent="0.3">
      <c r="B149" s="78" t="s">
        <v>259</v>
      </c>
    </row>
    <row r="150" spans="2:12" ht="30" customHeight="1" x14ac:dyDescent="0.3">
      <c r="B150" s="72" t="s">
        <v>216</v>
      </c>
      <c r="C150" s="73"/>
      <c r="D150" s="27" t="s">
        <v>217</v>
      </c>
      <c r="E150" s="27" t="s">
        <v>247</v>
      </c>
      <c r="F150" s="27" t="s">
        <v>197</v>
      </c>
      <c r="G150" s="77" t="s">
        <v>304</v>
      </c>
      <c r="H150" s="77" t="s">
        <v>249</v>
      </c>
      <c r="I150" s="27" t="s">
        <v>250</v>
      </c>
      <c r="J150" s="126" t="s">
        <v>251</v>
      </c>
      <c r="K150" s="126"/>
      <c r="L150" s="126"/>
    </row>
    <row r="151" spans="2:12" x14ac:dyDescent="0.3">
      <c r="B151" s="16" t="str">
        <f>B105</f>
        <v>Muro A (Eje A)</v>
      </c>
      <c r="C151" s="15"/>
      <c r="D151" s="122" t="str">
        <f>D105</f>
        <v>_OESTE</v>
      </c>
      <c r="E151" s="74">
        <f>F116</f>
        <v>0.8</v>
      </c>
      <c r="F151" s="74">
        <f>$H$95</f>
        <v>-0.5</v>
      </c>
      <c r="G151" s="75">
        <f>$E$63*(E151-F151)</f>
        <v>53.204662165322326</v>
      </c>
      <c r="H151" s="121">
        <f>IF($F$105="SI",ROUNDUP(ROUND($G$105*G151/10000,6),4),0)</f>
        <v>0.0054</v>
      </c>
      <c r="I151" s="122" t="str">
        <f>H105</f>
        <v>GX INCLINED</v>
      </c>
      <c r="J151" s="129" t="str">
        <f>IF(H151=0,IF($F$105="SI","— p neta = 0, no se carga","— no se carga (abierta)"),D151&amp;" ONE "&amp;TEXT(H151,"0.0000")&amp;" "&amp;I151)</f>
        <v>_OESTE ONE 0.0054 GX INCLINED</v>
      </c>
      <c r="K151" s="129"/>
      <c r="L151" s="129"/>
    </row>
    <row r="152" spans="2:12" x14ac:dyDescent="0.3">
      <c r="B152" s="16" t="str">
        <f>B106</f>
        <v>Muro B (Eje B)</v>
      </c>
      <c r="C152" s="15"/>
      <c r="D152" s="122" t="str">
        <f>D106</f>
        <v>_ESTE</v>
      </c>
      <c r="E152" s="74">
        <f>F117</f>
        <v>-0.5</v>
      </c>
      <c r="F152" s="74">
        <f>$H$95</f>
        <v>-0.5</v>
      </c>
      <c r="G152" s="75">
        <f>$E$63*(E152-F152)</f>
        <v>0.0</v>
      </c>
      <c r="H152" s="121">
        <f>IF($F$106="SI",ROUNDUP(ROUND($G$106*G152/10000,6),4),0)</f>
        <v>0.0</v>
      </c>
      <c r="I152" s="122" t="str">
        <f>H106</f>
        <v>GX INCLINED</v>
      </c>
      <c r="J152" s="129" t="str">
        <f>IF(H152=0,IF($F$106="SI","— p neta = 0, no se carga","— no se carga (abierta)"),D152&amp;" ONE "&amp;TEXT(H152,"0.0000")&amp;" "&amp;I152)</f>
        <v>— p neta = 0, no se carga</v>
      </c>
      <c r="K152" s="129"/>
      <c r="L152" s="129"/>
    </row>
    <row r="153" spans="2:12" x14ac:dyDescent="0.3">
      <c r="B153" s="16" t="str">
        <f>B107</f>
        <v>Muro 1 (Eje 1)</v>
      </c>
      <c r="C153" s="15"/>
      <c r="D153" s="122" t="str">
        <f>D107</f>
        <v>_NORTE</v>
      </c>
      <c r="E153" s="74">
        <f>F118</f>
        <v>-0.7</v>
      </c>
      <c r="F153" s="74">
        <f>$H$95</f>
        <v>-0.5</v>
      </c>
      <c r="G153" s="75">
        <f>$E$63*(E153-F153)</f>
        <v>-8.185332640818817</v>
      </c>
      <c r="H153" s="121">
        <f>IF($F$107="SI",ROUNDUP(ROUND($G$107*G153/10000,6),4),0)</f>
        <v>-0.0009</v>
      </c>
      <c r="I153" s="122" t="str">
        <f>H107</f>
        <v>GZ</v>
      </c>
      <c r="J153" s="129" t="str">
        <f>IF(H153=0,IF($F$107="SI","— p neta = 0, no se carga","— no se carga (abierta)"),D153&amp;" ONE "&amp;TEXT(H153,"0.0000")&amp;" "&amp;I153)</f>
        <v>_NORTE ONE -0.0009 GZ</v>
      </c>
      <c r="K153" s="129"/>
      <c r="L153" s="129"/>
    </row>
    <row r="154" spans="2:12" x14ac:dyDescent="0.3">
      <c r="B154" s="16" t="str">
        <f>B108</f>
        <v>Eje 3 (muelle)</v>
      </c>
      <c r="C154" s="15"/>
      <c r="D154" s="122" t="str">
        <f>D108</f>
        <v>_SUR</v>
      </c>
      <c r="E154" s="74">
        <f>F119</f>
        <v>-0.7</v>
      </c>
      <c r="F154" s="74">
        <f>$H$95</f>
        <v>-0.5</v>
      </c>
      <c r="G154" s="75">
        <f>$E$63*(E154-F154)</f>
        <v>-8.185332640818817</v>
      </c>
      <c r="H154" s="121">
        <f>IF($F$108="SI",ROUNDUP(ROUND($G$108*G154/10000,6),4),0)</f>
        <v>0.0</v>
      </c>
      <c r="I154" s="122" t="str">
        <f>H108</f>
        <v>GZ</v>
      </c>
      <c r="J154" s="129" t="str">
        <f>IF(H154=0,IF($F$108="SI","— p neta = 0, no se carga","— no se carga (abierta)"),D154&amp;" ONE "&amp;TEXT(H154,"0.0000")&amp;" "&amp;I154)</f>
        <v>— no se carga (abierta)</v>
      </c>
      <c r="K154" s="129"/>
      <c r="L154" s="129"/>
    </row>
    <row r="155" spans="2:12" x14ac:dyDescent="0.3">
      <c r="B155" s="16" t="str">
        <f>B109</f>
        <v>Cubierta</v>
      </c>
      <c r="C155" s="15"/>
      <c r="D155" s="122" t="str">
        <f>D109</f>
        <v>_CUBIERTA</v>
      </c>
      <c r="E155" s="74">
        <f>F120</f>
        <v>-0.7</v>
      </c>
      <c r="F155" s="74">
        <f>$H$95</f>
        <v>-0.5</v>
      </c>
      <c r="G155" s="75">
        <f>$E$63*(E155-F155)</f>
        <v>-8.185332640818817</v>
      </c>
      <c r="H155" s="121">
        <f>IF($F$109="SI",ROUNDUP(ROUND($G$109*G155/10000,6),4),0)</f>
        <v>0.0009</v>
      </c>
      <c r="I155" s="122" t="str">
        <f>H109</f>
        <v>GY INCLINED</v>
      </c>
      <c r="J155" s="129" t="str">
        <f>IF(H155=0,IF($F$109="SI","— p neta = 0, no se carga","— no se carga (abierta)"),D155&amp;" ONE "&amp;TEXT(H155,"0.0000")&amp;" "&amp;I155)</f>
        <v>_CUBIERTA ONE 0.0009 GY INCLINED</v>
      </c>
      <c r="K155" s="129"/>
      <c r="L155" s="129"/>
    </row>
    <row r="157" spans="2:12" x14ac:dyDescent="0.3">
      <c r="B157" s="78" t="s">
        <v>262</v>
      </c>
    </row>
    <row r="158" spans="2:12" ht="30" customHeight="1" x14ac:dyDescent="0.3">
      <c r="B158" s="72" t="s">
        <v>216</v>
      </c>
      <c r="C158" s="73"/>
      <c r="D158" s="27" t="s">
        <v>217</v>
      </c>
      <c r="E158" s="27" t="s">
        <v>247</v>
      </c>
      <c r="F158" s="27" t="s">
        <v>197</v>
      </c>
      <c r="G158" s="77" t="s">
        <v>304</v>
      </c>
      <c r="H158" s="77" t="s">
        <v>249</v>
      </c>
      <c r="I158" s="27" t="s">
        <v>250</v>
      </c>
      <c r="J158" s="126" t="s">
        <v>251</v>
      </c>
      <c r="K158" s="126"/>
      <c r="L158" s="126"/>
    </row>
    <row r="159" spans="2:12" x14ac:dyDescent="0.3">
      <c r="B159" s="16" t="str">
        <f>B105</f>
        <v>Muro A (Eje A)</v>
      </c>
      <c r="C159" s="15"/>
      <c r="D159" s="122" t="str">
        <f>D105</f>
        <v>_OESTE</v>
      </c>
      <c r="E159" s="74">
        <f>F124</f>
        <v>-0.5</v>
      </c>
      <c r="F159" s="74">
        <f>$H$96</f>
        <v>-0.5</v>
      </c>
      <c r="G159" s="75">
        <f>$E$63*(E159-F159)</f>
        <v>0.0</v>
      </c>
      <c r="H159" s="121">
        <f>IF($F$105="SI",ROUNDUP(ROUND($G$105*G159/10000,6),4),0)</f>
        <v>0.0</v>
      </c>
      <c r="I159" s="122" t="str">
        <f>H105</f>
        <v>GX INCLINED</v>
      </c>
      <c r="J159" s="129" t="str">
        <f>IF(H159=0,IF($F$105="SI","— p neta = 0, no se carga","— no se carga (abierta)"),D159&amp;" ONE "&amp;TEXT(H159,"0.0000")&amp;" "&amp;I159)</f>
        <v>— p neta = 0, no se carga</v>
      </c>
      <c r="K159" s="129"/>
      <c r="L159" s="129"/>
    </row>
    <row r="160" spans="2:12" x14ac:dyDescent="0.3">
      <c r="B160" s="16" t="str">
        <f>B106</f>
        <v>Muro B (Eje B)</v>
      </c>
      <c r="C160" s="15"/>
      <c r="D160" s="122" t="str">
        <f>D106</f>
        <v>_ESTE</v>
      </c>
      <c r="E160" s="74">
        <f>F125</f>
        <v>0.8</v>
      </c>
      <c r="F160" s="74">
        <f>$H$96</f>
        <v>-0.5</v>
      </c>
      <c r="G160" s="75">
        <f>$E$63*(E160-F160)</f>
        <v>53.204662165322326</v>
      </c>
      <c r="H160" s="121">
        <f>IF($F$106="SI",ROUNDUP(ROUND($G$106*G160/10000,6),4),0)</f>
        <v>-0.0054</v>
      </c>
      <c r="I160" s="122" t="str">
        <f>H106</f>
        <v>GX INCLINED</v>
      </c>
      <c r="J160" s="129" t="str">
        <f>IF(H160=0,IF($F$106="SI","— p neta = 0, no se carga","— no se carga (abierta)"),D160&amp;" ONE "&amp;TEXT(H160,"0.0000")&amp;" "&amp;I160)</f>
        <v>_ESTE ONE -0.0054 GX INCLINED</v>
      </c>
      <c r="K160" s="129"/>
      <c r="L160" s="129"/>
    </row>
    <row r="161" spans="2:12" x14ac:dyDescent="0.3">
      <c r="B161" s="16" t="str">
        <f>B107</f>
        <v>Muro 1 (Eje 1)</v>
      </c>
      <c r="C161" s="15"/>
      <c r="D161" s="122" t="str">
        <f>D107</f>
        <v>_NORTE</v>
      </c>
      <c r="E161" s="74">
        <f>F126</f>
        <v>-0.7</v>
      </c>
      <c r="F161" s="74">
        <f>$H$96</f>
        <v>-0.5</v>
      </c>
      <c r="G161" s="75">
        <f>$E$63*(E161-F161)</f>
        <v>-8.185332640818817</v>
      </c>
      <c r="H161" s="121">
        <f>IF($F$107="SI",ROUNDUP(ROUND($G$107*G161/10000,6),4),0)</f>
        <v>-0.0009</v>
      </c>
      <c r="I161" s="122" t="str">
        <f>H107</f>
        <v>GZ</v>
      </c>
      <c r="J161" s="129" t="str">
        <f>IF(H161=0,IF($F$107="SI","— p neta = 0, no se carga","— no se carga (abierta)"),D161&amp;" ONE "&amp;TEXT(H161,"0.0000")&amp;" "&amp;I161)</f>
        <v>_NORTE ONE -0.0009 GZ</v>
      </c>
      <c r="K161" s="129"/>
      <c r="L161" s="129"/>
    </row>
    <row r="162" spans="2:12" x14ac:dyDescent="0.3">
      <c r="B162" s="16" t="str">
        <f>B108</f>
        <v>Eje 3 (muelle)</v>
      </c>
      <c r="C162" s="15"/>
      <c r="D162" s="122" t="str">
        <f>D108</f>
        <v>_SUR</v>
      </c>
      <c r="E162" s="74">
        <f>F127</f>
        <v>-0.7</v>
      </c>
      <c r="F162" s="74">
        <f>$H$96</f>
        <v>-0.5</v>
      </c>
      <c r="G162" s="75">
        <f>$E$63*(E162-F162)</f>
        <v>-8.185332640818817</v>
      </c>
      <c r="H162" s="121">
        <f>IF($F$108="SI",ROUNDUP(ROUND($G$108*G162/10000,6),4),0)</f>
        <v>0.0</v>
      </c>
      <c r="I162" s="122" t="str">
        <f>H108</f>
        <v>GZ</v>
      </c>
      <c r="J162" s="129" t="str">
        <f>IF(H162=0,IF($F$108="SI","— p neta = 0, no se carga","— no se carga (abierta)"),D162&amp;" ONE "&amp;TEXT(H162,"0.0000")&amp;" "&amp;I162)</f>
        <v>— no se carga (abierta)</v>
      </c>
      <c r="K162" s="129"/>
      <c r="L162" s="129"/>
    </row>
    <row r="163" spans="2:12" x14ac:dyDescent="0.3">
      <c r="B163" s="16" t="str">
        <f>B109</f>
        <v>Cubierta</v>
      </c>
      <c r="C163" s="15"/>
      <c r="D163" s="122" t="str">
        <f>D109</f>
        <v>_CUBIERTA</v>
      </c>
      <c r="E163" s="74">
        <f>F128</f>
        <v>-0.7</v>
      </c>
      <c r="F163" s="74">
        <f>$H$96</f>
        <v>-0.5</v>
      </c>
      <c r="G163" s="75">
        <f>$E$63*(E163-F163)</f>
        <v>-8.185332640818817</v>
      </c>
      <c r="H163" s="121">
        <f>IF($F$109="SI",ROUNDUP(ROUND($G$109*G163/10000,6),4),0)</f>
        <v>0.0009</v>
      </c>
      <c r="I163" s="122" t="str">
        <f>H109</f>
        <v>GY INCLINED</v>
      </c>
      <c r="J163" s="129" t="str">
        <f>IF(H163=0,IF($F$109="SI","— p neta = 0, no se carga","— no se carga (abierta)"),D163&amp;" ONE "&amp;TEXT(H163,"0.0000")&amp;" "&amp;I163)</f>
        <v>_CUBIERTA ONE 0.0009 GY INCLINED</v>
      </c>
      <c r="K163" s="129"/>
      <c r="L163" s="129"/>
    </row>
    <row r="165" spans="2:12" x14ac:dyDescent="0.3">
      <c r="B165" s="78" t="s">
        <v>263</v>
      </c>
    </row>
    <row r="166" spans="2:12" ht="30" customHeight="1" x14ac:dyDescent="0.3">
      <c r="B166" s="72" t="s">
        <v>216</v>
      </c>
      <c r="C166" s="73"/>
      <c r="D166" s="27" t="s">
        <v>217</v>
      </c>
      <c r="E166" s="27" t="s">
        <v>247</v>
      </c>
      <c r="F166" s="27" t="s">
        <v>197</v>
      </c>
      <c r="G166" s="77" t="s">
        <v>304</v>
      </c>
      <c r="H166" s="77" t="s">
        <v>249</v>
      </c>
      <c r="I166" s="27" t="s">
        <v>250</v>
      </c>
      <c r="J166" s="126" t="s">
        <v>251</v>
      </c>
      <c r="K166" s="126"/>
      <c r="L166" s="126"/>
    </row>
    <row r="167" spans="2:12" x14ac:dyDescent="0.3">
      <c r="B167" s="16" t="str">
        <f>B105</f>
        <v>Muro A (Eje A)</v>
      </c>
      <c r="C167" s="15"/>
      <c r="D167" s="122" t="str">
        <f>D105</f>
        <v>_OESTE</v>
      </c>
      <c r="E167" s="74">
        <f>F132</f>
        <v>-0.7</v>
      </c>
      <c r="F167" s="74">
        <f>$H$97</f>
        <v>-0.6</v>
      </c>
      <c r="G167" s="75">
        <f>$E$63*(E167-F167)</f>
        <v>-4.092666320409409</v>
      </c>
      <c r="H167" s="121">
        <f>IF($F$105="SI",ROUNDUP(ROUND($G$105*G167/10000,6),4),0)</f>
        <v>-0.0005</v>
      </c>
      <c r="I167" s="122" t="str">
        <f>H105</f>
        <v>GX INCLINED</v>
      </c>
      <c r="J167" s="129" t="str">
        <f>IF(H167=0,IF($F$105="SI","— p neta = 0, no se carga","— no se carga (abierta)"),D167&amp;" ONE "&amp;TEXT(H167,"0.0000")&amp;" "&amp;I167)</f>
        <v>_OESTE ONE -0.0005 GX INCLINED</v>
      </c>
      <c r="K167" s="129"/>
      <c r="L167" s="129"/>
    </row>
    <row r="168" spans="2:12" x14ac:dyDescent="0.3">
      <c r="B168" s="16" t="str">
        <f>B106</f>
        <v>Muro B (Eje B)</v>
      </c>
      <c r="C168" s="15"/>
      <c r="D168" s="122" t="str">
        <f>D106</f>
        <v>_ESTE</v>
      </c>
      <c r="E168" s="74">
        <f>F133</f>
        <v>-0.7</v>
      </c>
      <c r="F168" s="74">
        <f>$H$97</f>
        <v>-0.6</v>
      </c>
      <c r="G168" s="75">
        <f>$E$63*(E168-F168)</f>
        <v>-4.092666320409409</v>
      </c>
      <c r="H168" s="121">
        <f>IF($F$106="SI",ROUNDUP(ROUND($G$106*G168/10000,6),4),0)</f>
        <v>0.0005</v>
      </c>
      <c r="I168" s="122" t="str">
        <f>H106</f>
        <v>GX INCLINED</v>
      </c>
      <c r="J168" s="129" t="str">
        <f>IF(H168=0,IF($F$106="SI","— p neta = 0, no se carga","— no se carga (abierta)"),D168&amp;" ONE "&amp;TEXT(H168,"0.0000")&amp;" "&amp;I168)</f>
        <v>_ESTE ONE 0.0005 GX INCLINED</v>
      </c>
      <c r="K168" s="129"/>
      <c r="L168" s="129"/>
    </row>
    <row r="169" spans="2:12" x14ac:dyDescent="0.3">
      <c r="B169" s="16" t="str">
        <f>B107</f>
        <v>Muro 1 (Eje 1)</v>
      </c>
      <c r="C169" s="15"/>
      <c r="D169" s="122" t="str">
        <f>D107</f>
        <v>_NORTE</v>
      </c>
      <c r="E169" s="74">
        <f>F134</f>
        <v>0.8</v>
      </c>
      <c r="F169" s="74">
        <f>$H$97</f>
        <v>-0.6</v>
      </c>
      <c r="G169" s="75">
        <f>$E$63*(E169-F169)</f>
        <v>57.29732848573173</v>
      </c>
      <c r="H169" s="121">
        <f>IF($F$107="SI",ROUNDUP(ROUND($G$107*G169/10000,6),4),0)</f>
        <v>0.0058</v>
      </c>
      <c r="I169" s="122" t="str">
        <f>H107</f>
        <v>GZ</v>
      </c>
      <c r="J169" s="129" t="str">
        <f>IF(H169=0,IF($F$107="SI","— p neta = 0, no se carga","— no se carga (abierta)"),D169&amp;" ONE "&amp;TEXT(H169,"0.0000")&amp;" "&amp;I169)</f>
        <v>_NORTE ONE 0.0058 GZ</v>
      </c>
      <c r="K169" s="129"/>
      <c r="L169" s="129"/>
    </row>
    <row r="170" spans="2:12" x14ac:dyDescent="0.3">
      <c r="B170" s="16" t="str">
        <f>B108</f>
        <v>Eje 3 (muelle)</v>
      </c>
      <c r="C170" s="15"/>
      <c r="D170" s="122" t="str">
        <f>D108</f>
        <v>_SUR</v>
      </c>
      <c r="E170" s="74">
        <f>F135</f>
        <v>-0.5</v>
      </c>
      <c r="F170" s="74">
        <f>$H$97</f>
        <v>-0.6</v>
      </c>
      <c r="G170" s="75">
        <f>$E$63*(E170-F170)</f>
        <v>4.092666320409409</v>
      </c>
      <c r="H170" s="121">
        <f>IF($F$108="SI",ROUNDUP(ROUND($G$108*G170/10000,6),4),0)</f>
        <v>0.0</v>
      </c>
      <c r="I170" s="122" t="str">
        <f>H108</f>
        <v>GZ</v>
      </c>
      <c r="J170" s="129" t="str">
        <f>IF(H170=0,IF($F$108="SI","— p neta = 0, no se carga","— no se carga (abierta)"),D170&amp;" ONE "&amp;TEXT(H170,"0.0000")&amp;" "&amp;I170)</f>
        <v>— no se carga (abierta)</v>
      </c>
      <c r="K170" s="129"/>
      <c r="L170" s="129"/>
    </row>
    <row r="171" spans="2:12" x14ac:dyDescent="0.3">
      <c r="B171" s="16" t="str">
        <f>B109</f>
        <v>Cubierta</v>
      </c>
      <c r="C171" s="15"/>
      <c r="D171" s="122" t="str">
        <f>D109</f>
        <v>_CUBIERTA</v>
      </c>
      <c r="E171" s="74">
        <f>F136</f>
        <v>-0.7</v>
      </c>
      <c r="F171" s="74">
        <f>$H$97</f>
        <v>-0.6</v>
      </c>
      <c r="G171" s="75">
        <f>$E$63*(E171-F171)</f>
        <v>-4.092666320409409</v>
      </c>
      <c r="H171" s="121">
        <f>IF($F$109="SI",ROUNDUP(ROUND($G$109*G171/10000,6),4),0)</f>
        <v>0.0005</v>
      </c>
      <c r="I171" s="122" t="str">
        <f>H109</f>
        <v>GY INCLINED</v>
      </c>
      <c r="J171" s="129" t="str">
        <f>IF(H171=0,IF($F$109="SI","— p neta = 0, no se carga","— no se carga (abierta)"),D171&amp;" ONE "&amp;TEXT(H171,"0.0000")&amp;" "&amp;I171)</f>
        <v>_CUBIERTA ONE 0.0005 GY INCLINED</v>
      </c>
      <c r="K171" s="129"/>
      <c r="L171" s="129"/>
    </row>
    <row r="173" spans="2:12" x14ac:dyDescent="0.3">
      <c r="B173" s="78" t="s">
        <v>264</v>
      </c>
    </row>
    <row r="174" spans="2:12" ht="30" customHeight="1" x14ac:dyDescent="0.3">
      <c r="B174" s="72" t="s">
        <v>216</v>
      </c>
      <c r="C174" s="73"/>
      <c r="D174" s="27" t="s">
        <v>217</v>
      </c>
      <c r="E174" s="27" t="s">
        <v>247</v>
      </c>
      <c r="F174" s="27" t="s">
        <v>197</v>
      </c>
      <c r="G174" s="77" t="s">
        <v>304</v>
      </c>
      <c r="H174" s="77" t="s">
        <v>249</v>
      </c>
      <c r="I174" s="27" t="s">
        <v>250</v>
      </c>
      <c r="J174" s="126" t="s">
        <v>251</v>
      </c>
      <c r="K174" s="126"/>
      <c r="L174" s="126"/>
    </row>
    <row r="175" spans="2:12" x14ac:dyDescent="0.3">
      <c r="B175" s="16" t="str">
        <f>B105</f>
        <v>Muro A (Eje A)</v>
      </c>
      <c r="C175" s="15"/>
      <c r="D175" s="122" t="str">
        <f>D105</f>
        <v>_OESTE</v>
      </c>
      <c r="E175" s="74">
        <f>F140</f>
        <v>-0.7</v>
      </c>
      <c r="F175" s="74">
        <f>$H$98</f>
        <v>0.75</v>
      </c>
      <c r="G175" s="75">
        <f>$E$63*(E175-F175)</f>
        <v>-59.34366164593644</v>
      </c>
      <c r="H175" s="121">
        <f>IF($F$105="SI",ROUNDUP(ROUND($G$105*G175/10000,6),4),0)</f>
        <v>-0.006</v>
      </c>
      <c r="I175" s="122" t="str">
        <f>H105</f>
        <v>GX INCLINED</v>
      </c>
      <c r="J175" s="129" t="str">
        <f>IF(H175=0,IF($F$105="SI","— p neta = 0, no se carga","— no se carga (abierta)"),D175&amp;" ONE "&amp;TEXT(H175,"0.0000")&amp;" "&amp;I175)</f>
        <v>_OESTE ONE -0.0060 GX INCLINED</v>
      </c>
      <c r="K175" s="129"/>
      <c r="L175" s="129"/>
    </row>
    <row r="176" spans="2:12" x14ac:dyDescent="0.3">
      <c r="B176" s="16" t="str">
        <f>B106</f>
        <v>Muro B (Eje B)</v>
      </c>
      <c r="C176" s="15"/>
      <c r="D176" s="122" t="str">
        <f>D106</f>
        <v>_ESTE</v>
      </c>
      <c r="E176" s="74">
        <f>F141</f>
        <v>-0.7</v>
      </c>
      <c r="F176" s="74">
        <f>$H$98</f>
        <v>0.75</v>
      </c>
      <c r="G176" s="75">
        <f>$E$63*(E176-F176)</f>
        <v>-59.34366164593644</v>
      </c>
      <c r="H176" s="121">
        <f>IF($F$106="SI",ROUNDUP(ROUND($G$106*G176/10000,6),4),0)</f>
        <v>0.006</v>
      </c>
      <c r="I176" s="122" t="str">
        <f>H106</f>
        <v>GX INCLINED</v>
      </c>
      <c r="J176" s="129" t="str">
        <f>IF(H176=0,IF($F$106="SI","— p neta = 0, no se carga","— no se carga (abierta)"),D176&amp;" ONE "&amp;TEXT(H176,"0.0000")&amp;" "&amp;I176)</f>
        <v>_ESTE ONE 0.0060 GX INCLINED</v>
      </c>
      <c r="K176" s="129"/>
      <c r="L176" s="129"/>
    </row>
    <row r="177" spans="2:12" x14ac:dyDescent="0.3">
      <c r="B177" s="16" t="str">
        <f>B107</f>
        <v>Muro 1 (Eje 1)</v>
      </c>
      <c r="C177" s="15"/>
      <c r="D177" s="122" t="str">
        <f>D107</f>
        <v>_NORTE</v>
      </c>
      <c r="E177" s="74">
        <f>F142</f>
        <v>-0.5</v>
      </c>
      <c r="F177" s="74">
        <f>$H$98</f>
        <v>0.75</v>
      </c>
      <c r="G177" s="75">
        <f>$E$63*(E177-F177)</f>
        <v>-51.15832900511762</v>
      </c>
      <c r="H177" s="121">
        <f>IF($F$107="SI",ROUNDUP(ROUND($G$107*G177/10000,6),4),0)</f>
        <v>-0.0052</v>
      </c>
      <c r="I177" s="122" t="str">
        <f>H107</f>
        <v>GZ</v>
      </c>
      <c r="J177" s="129" t="str">
        <f>IF(H177=0,IF($F$107="SI","— p neta = 0, no se carga","— no se carga (abierta)"),D177&amp;" ONE "&amp;TEXT(H177,"0.0000")&amp;" "&amp;I177)</f>
        <v>_NORTE ONE -0.0052 GZ</v>
      </c>
      <c r="K177" s="129"/>
      <c r="L177" s="129"/>
    </row>
    <row r="178" spans="2:12" x14ac:dyDescent="0.3">
      <c r="B178" s="16" t="str">
        <f>B108</f>
        <v>Eje 3 (muelle)</v>
      </c>
      <c r="C178" s="15"/>
      <c r="D178" s="122" t="str">
        <f>D108</f>
        <v>_SUR</v>
      </c>
      <c r="E178" s="74">
        <f>F143</f>
        <v>0.8</v>
      </c>
      <c r="F178" s="74">
        <f>$H$98</f>
        <v>0.75</v>
      </c>
      <c r="G178" s="75">
        <f>$E$63*(E178-F178)</f>
        <v>2.0463331602047066</v>
      </c>
      <c r="H178" s="121">
        <f>IF($F$108="SI",ROUNDUP(ROUND($G$108*G178/10000,6),4),0)</f>
        <v>0.0</v>
      </c>
      <c r="I178" s="122" t="str">
        <f>H108</f>
        <v>GZ</v>
      </c>
      <c r="J178" s="129" t="str">
        <f>IF(H178=0,IF($F$108="SI","— p neta = 0, no se carga","— no se carga (abierta)"),D178&amp;" ONE "&amp;TEXT(H178,"0.0000")&amp;" "&amp;I178)</f>
        <v>— no se carga (abierta)</v>
      </c>
      <c r="K178" s="129"/>
      <c r="L178" s="129"/>
    </row>
    <row r="179" spans="2:12" x14ac:dyDescent="0.3">
      <c r="B179" s="16" t="str">
        <f>B109</f>
        <v>Cubierta</v>
      </c>
      <c r="C179" s="15"/>
      <c r="D179" s="122" t="str">
        <f>D109</f>
        <v>_CUBIERTA</v>
      </c>
      <c r="E179" s="74">
        <f>F144</f>
        <v>-0.7</v>
      </c>
      <c r="F179" s="74">
        <f>$H$98</f>
        <v>0.75</v>
      </c>
      <c r="G179" s="75">
        <f>$E$63*(E179-F179)</f>
        <v>-59.34366164593644</v>
      </c>
      <c r="H179" s="121">
        <f>IF($F$109="SI",ROUNDUP(ROUND($G$109*G179/10000,6),4),0)</f>
        <v>0.006</v>
      </c>
      <c r="I179" s="122" t="str">
        <f>H109</f>
        <v>GY INCLINED</v>
      </c>
      <c r="J179" s="129" t="str">
        <f>IF(H179=0,IF($F$109="SI","— p neta = 0, no se carga","— no se carga (abierta)"),D179&amp;" ONE "&amp;TEXT(H179,"0.0000")&amp;" "&amp;I179)</f>
        <v>_CUBIERTA ONE 0.0060 GY INCLINED</v>
      </c>
      <c r="K179" s="129"/>
      <c r="L179" s="129"/>
    </row>
    <row r="181" spans="2:12" x14ac:dyDescent="0.3">
      <c r="B181" s="1" t="s">
        <v>305</v>
      </c>
    </row>
    <row r="182" spans="2:12" x14ac:dyDescent="0.3">
      <c r="B182" s="125" t="s">
        <v>216</v>
      </c>
      <c r="C182" s="130"/>
      <c r="D182" s="126" t="s">
        <v>217</v>
      </c>
      <c r="E182" s="126" t="s">
        <v>306</v>
      </c>
      <c r="F182" s="126"/>
      <c r="G182" s="126" t="s">
        <v>307</v>
      </c>
      <c r="H182" s="126"/>
      <c r="I182" s="126" t="s">
        <v>308</v>
      </c>
      <c r="J182" s="126"/>
      <c r="K182" s="126" t="s">
        <v>309</v>
      </c>
      <c r="L182" s="126"/>
    </row>
    <row r="183" spans="2:12" ht="30" customHeight="1" x14ac:dyDescent="0.3">
      <c r="B183" s="125"/>
      <c r="C183" s="130"/>
      <c r="D183" s="126"/>
      <c r="E183" s="77" t="s">
        <v>270</v>
      </c>
      <c r="F183" s="77" t="s">
        <v>249</v>
      </c>
      <c r="G183" s="77" t="s">
        <v>270</v>
      </c>
      <c r="H183" s="77" t="s">
        <v>249</v>
      </c>
      <c r="I183" s="77" t="s">
        <v>270</v>
      </c>
      <c r="J183" s="77" t="s">
        <v>249</v>
      </c>
      <c r="K183" s="77" t="s">
        <v>270</v>
      </c>
      <c r="L183" s="77" t="s">
        <v>249</v>
      </c>
    </row>
    <row r="184" spans="2:12" x14ac:dyDescent="0.3">
      <c r="B184" s="16" t="str">
        <f>B105</f>
        <v>Muro A (Eje A)</v>
      </c>
      <c r="C184" s="15"/>
      <c r="D184" s="122" t="str">
        <f>D105</f>
        <v>_OESTE</v>
      </c>
      <c r="E184" s="75">
        <f>G116-$E$63*$H$95</f>
        <v>53.204662165322326</v>
      </c>
      <c r="F184" s="121">
        <f>IF($F$105="SI",ROUNDUP(ROUND($G$105*E184/10000,6),4),0)</f>
        <v>0.0054</v>
      </c>
      <c r="G184" s="75">
        <f>G124-$E$63*$H$96</f>
        <v>0.0</v>
      </c>
      <c r="H184" s="121">
        <f>IF($F$105="SI",ROUNDUP(ROUND($G$105*G184/10000,6),4),0)</f>
        <v>0.0</v>
      </c>
      <c r="I184" s="75">
        <f>G132-$E$63*$H$97</f>
        <v>-4.092666320409407</v>
      </c>
      <c r="J184" s="121">
        <f>IF($F$105="SI",ROUNDUP(ROUND($G$105*I184/10000,6),4),0)</f>
        <v>-0.0005</v>
      </c>
      <c r="K184" s="75">
        <f>G140-$E$63*$H$98</f>
        <v>-59.343661645936436</v>
      </c>
      <c r="L184" s="121">
        <f>IF($F$105="SI",ROUNDUP(ROUND($G$105*K184/10000,6),4),0)</f>
        <v>-0.006</v>
      </c>
    </row>
    <row r="185" spans="2:12" x14ac:dyDescent="0.3">
      <c r="B185" s="16" t="str">
        <f>B106</f>
        <v>Muro B (Eje B)</v>
      </c>
      <c r="C185" s="15"/>
      <c r="D185" s="122" t="str">
        <f>D106</f>
        <v>_ESTE</v>
      </c>
      <c r="E185" s="75">
        <f>G117-$E$63*$H$95</f>
        <v>0.0</v>
      </c>
      <c r="F185" s="121">
        <f>IF($F$106="SI",ROUNDUP(ROUND($G$106*E185/10000,6),4),0)</f>
        <v>0.0</v>
      </c>
      <c r="G185" s="75">
        <f>G125-$E$63*$H$96</f>
        <v>53.204662165322326</v>
      </c>
      <c r="H185" s="121">
        <f>IF($F$106="SI",ROUNDUP(ROUND($G$106*G185/10000,6),4),0)</f>
        <v>-0.0054</v>
      </c>
      <c r="I185" s="75">
        <f>G133-$E$63*$H$97</f>
        <v>-4.092666320409407</v>
      </c>
      <c r="J185" s="121">
        <f>IF($F$106="SI",ROUNDUP(ROUND($G$106*I185/10000,6),4),0)</f>
        <v>0.0005</v>
      </c>
      <c r="K185" s="75">
        <f>G141-$E$63*$H$98</f>
        <v>-59.343661645936436</v>
      </c>
      <c r="L185" s="121">
        <f>IF($F$106="SI",ROUNDUP(ROUND($G$106*K185/10000,6),4),0)</f>
        <v>0.006</v>
      </c>
    </row>
    <row r="186" spans="2:12" x14ac:dyDescent="0.3">
      <c r="B186" s="16" t="str">
        <f>B107</f>
        <v>Muro 1 (Eje 1)</v>
      </c>
      <c r="C186" s="15"/>
      <c r="D186" s="122" t="str">
        <f>D107</f>
        <v>_NORTE</v>
      </c>
      <c r="E186" s="75">
        <f>G118-$E$63*$H$95</f>
        <v>-8.185332640818817</v>
      </c>
      <c r="F186" s="121">
        <f>IF($F$107="SI",ROUNDUP(ROUND($G$107*E186/10000,6),4),0)</f>
        <v>-0.0009</v>
      </c>
      <c r="G186" s="75">
        <f>G126-$E$63*$H$96</f>
        <v>-8.185332640818817</v>
      </c>
      <c r="H186" s="121">
        <f>IF($F$107="SI",ROUNDUP(ROUND($G$107*G186/10000,6),4),0)</f>
        <v>-0.0009</v>
      </c>
      <c r="I186" s="75">
        <f>G134-$E$63*$H$97</f>
        <v>57.29732848573174</v>
      </c>
      <c r="J186" s="121">
        <f>IF($F$107="SI",ROUNDUP(ROUND($G$107*I186/10000,6),4),0)</f>
        <v>0.0058</v>
      </c>
      <c r="K186" s="75">
        <f>G142-$E$63*$H$98</f>
        <v>-51.15832900511762</v>
      </c>
      <c r="L186" s="121">
        <f>IF($F$107="SI",ROUNDUP(ROUND($G$107*K186/10000,6),4),0)</f>
        <v>-0.0052</v>
      </c>
    </row>
    <row r="187" spans="2:12" x14ac:dyDescent="0.3">
      <c r="B187" s="16" t="str">
        <f>B108</f>
        <v>Eje 3 (muelle)</v>
      </c>
      <c r="C187" s="15"/>
      <c r="D187" s="122" t="str">
        <f>D108</f>
        <v>_SUR</v>
      </c>
      <c r="E187" s="75">
        <f>G119-$E$63*$H$95</f>
        <v>-8.185332640818817</v>
      </c>
      <c r="F187" s="121">
        <f>IF($F$108="SI",ROUNDUP(ROUND($G$108*E187/10000,6),4),0)</f>
        <v>0.0</v>
      </c>
      <c r="G187" s="75">
        <f>G127-$E$63*$H$96</f>
        <v>-8.185332640818817</v>
      </c>
      <c r="H187" s="121">
        <f>IF($F$108="SI",ROUNDUP(ROUND($G$108*G187/10000,6),4),0)</f>
        <v>0.0</v>
      </c>
      <c r="I187" s="75">
        <f>G135-$E$63*$H$97</f>
        <v>4.0926663204094105</v>
      </c>
      <c r="J187" s="121">
        <f>IF($F$108="SI",ROUNDUP(ROUND($G$108*I187/10000,6),4),0)</f>
        <v>0.0</v>
      </c>
      <c r="K187" s="75">
        <f>G143-$E$63*$H$98</f>
        <v>2.0463331602047035</v>
      </c>
      <c r="L187" s="121">
        <f>IF($F$108="SI",ROUNDUP(ROUND($G$108*K187/10000,6),4),0)</f>
        <v>0.0</v>
      </c>
    </row>
    <row r="188" spans="2:12" x14ac:dyDescent="0.3">
      <c r="B188" s="16" t="str">
        <f>B109</f>
        <v>Cubierta</v>
      </c>
      <c r="C188" s="15"/>
      <c r="D188" s="122" t="str">
        <f>D109</f>
        <v>_CUBIERTA</v>
      </c>
      <c r="E188" s="75">
        <f>G120-$E$63*$H$95</f>
        <v>-8.185332640818817</v>
      </c>
      <c r="F188" s="121">
        <f>IF($F$109="SI",ROUNDUP(ROUND($G$109*E188/10000,6),4),0)</f>
        <v>0.0009</v>
      </c>
      <c r="G188" s="75">
        <f>G128-$E$63*$H$96</f>
        <v>-8.185332640818817</v>
      </c>
      <c r="H188" s="121">
        <f>IF($F$109="SI",ROUNDUP(ROUND($G$109*G188/10000,6),4),0)</f>
        <v>0.0009</v>
      </c>
      <c r="I188" s="75">
        <f>G136-$E$63*$H$97</f>
        <v>-4.092666320409407</v>
      </c>
      <c r="J188" s="121">
        <f>IF($F$109="SI",ROUNDUP(ROUND($G$109*I188/10000,6),4),0)</f>
        <v>0.0005</v>
      </c>
      <c r="K188" s="75">
        <f>G144-$E$63*$H$98</f>
        <v>-59.343661645936436</v>
      </c>
      <c r="L188" s="121">
        <f>IF($F$109="SI",ROUNDUP(ROUND($G$109*K188/10000,6),4),0)</f>
        <v>0.006</v>
      </c>
    </row>
    <row r="189" spans="2:12" x14ac:dyDescent="0.3">
      <c r="B189" s="123" t="s">
        <v>310</v>
      </c>
    </row>
    <row r="191" spans="2:12" x14ac:dyDescent="0.3">
      <c r="B191" s="1" t="s">
        <v>311</v>
      </c>
    </row>
    <row r="192" spans="2:12" x14ac:dyDescent="0.3">
      <c r="B192" s="123" t="s">
        <v>312</v>
      </c>
    </row>
    <row r="193" spans="2:11" x14ac:dyDescent="0.3">
      <c r="B193" s="125" t="s">
        <v>274</v>
      </c>
      <c r="C193" s="130"/>
      <c r="D193" s="126"/>
      <c r="E193" s="126"/>
      <c r="F193" s="126"/>
      <c r="G193" s="126" t="s">
        <v>275</v>
      </c>
      <c r="H193" s="126"/>
      <c r="I193" s="126"/>
      <c r="J193" s="126"/>
      <c r="K193" s="126"/>
    </row>
    <row r="194" spans="2:11" x14ac:dyDescent="0.3">
      <c r="B194" s="124" t="s">
        <v>276</v>
      </c>
      <c r="G194" s="124" t="s">
        <v>313</v>
      </c>
    </row>
    <row r="195" spans="2:11" x14ac:dyDescent="0.3">
      <c r="B195" s="124" t="s">
        <v>278</v>
      </c>
      <c r="G195" s="124" t="s">
        <v>314</v>
      </c>
    </row>
    <row r="196" spans="2:11" x14ac:dyDescent="0.3">
      <c r="B196" s="124" t="s">
        <v>280</v>
      </c>
      <c r="G196" s="124" t="s">
        <v>315</v>
      </c>
    </row>
    <row r="197" spans="2:11" x14ac:dyDescent="0.3">
      <c r="B197" s="124" t="s">
        <v>282</v>
      </c>
      <c r="G197" s="124" t="s">
        <v>316</v>
      </c>
    </row>
    <row r="198" spans="2:11" x14ac:dyDescent="0.3">
      <c r="B198" s="124" t="s">
        <v>284</v>
      </c>
      <c r="G198" s="124" t="s">
        <v>317</v>
      </c>
    </row>
    <row r="199" spans="2:11" x14ac:dyDescent="0.3">
      <c r="B199" s="124" t="s">
        <v>286</v>
      </c>
      <c r="G199" s="124" t="s">
        <v>318</v>
      </c>
    </row>
    <row r="200" spans="2:11" x14ac:dyDescent="0.3">
      <c r="B200" s="124" t="s">
        <v>288</v>
      </c>
      <c r="G200" s="124" t="s">
        <v>319</v>
      </c>
    </row>
    <row r="201" spans="2:11" x14ac:dyDescent="0.3">
      <c r="B201" s="124" t="s">
        <v>290</v>
      </c>
      <c r="G201" s="124" t="s">
        <v>320</v>
      </c>
    </row>
    <row r="202" spans="2:11" x14ac:dyDescent="0.3">
      <c r="B202" s="124" t="s">
        <v>292</v>
      </c>
      <c r="G202" s="124" t="s">
        <v>321</v>
      </c>
    </row>
    <row r="203" spans="2:11" x14ac:dyDescent="0.3">
      <c r="B203" s="124" t="s">
        <v>294</v>
      </c>
      <c r="G203" s="124" t="s">
        <v>322</v>
      </c>
    </row>
    <row r="204" spans="2:11" x14ac:dyDescent="0.3">
      <c r="B204" s="124" t="s">
        <v>296</v>
      </c>
      <c r="G204" s="124" t="s">
        <v>323</v>
      </c>
    </row>
    <row r="205" spans="2:11" x14ac:dyDescent="0.3">
      <c r="B205" s="124" t="s">
        <v>298</v>
      </c>
      <c r="G205" s="124" t="s">
        <v>324</v>
      </c>
    </row>
    <row r="206" spans="2:11" x14ac:dyDescent="0.3">
      <c r="B206" s="123" t="s">
        <v>325</v>
      </c>
    </row>
    <row r="208" spans="2:12" x14ac:dyDescent="0.3">
      <c r="B208" t="s" s="1">
        <v>326</v>
      </c>
    </row>
    <row r="209" spans="2:12" x14ac:dyDescent="0.3">
      <c r="B209" t="s" s="123">
        <v>327</v>
      </c>
    </row>
    <row r="210" spans="2:12" x14ac:dyDescent="0.3">
      <c r="B210" t="s" s="123">
        <v>328</v>
      </c>
    </row>
    <row r="211" spans="2:12" x14ac:dyDescent="0.3">
      <c r="B211" t="s" s="72">
        <v>216</v>
      </c>
      <c r="C211" s="73"/>
      <c r="D211" t="s" s="27">
        <v>217</v>
      </c>
      <c r="E211" t="s" s="77">
        <v>329</v>
      </c>
    </row>
    <row r="212" spans="2:12" x14ac:dyDescent="0.3">
      <c r="B212" t="str" s="16">
        <f>B105</f>
        <v>Muro A (Eje A)</v>
      </c>
      <c r="C212" s="15"/>
      <c r="D212" t="str" s="122">
        <f>D105</f>
        <v>_OESTE</v>
      </c>
      <c r="E212" s="75">
        <f>16*((10.4277+9.6223)/2-0.6)</f>
        <v>150.79999999999998</v>
      </c>
      <c r="F212" t="s" s="123">
        <v>330</v>
      </c>
    </row>
    <row r="213" spans="2:12" x14ac:dyDescent="0.3">
      <c r="B213" t="str" s="16">
        <f>B106</f>
        <v>Muro B (Eje B)</v>
      </c>
      <c r="C213" s="15"/>
      <c r="D213" t="str" s="122">
        <f>D106</f>
        <v>_ESTE</v>
      </c>
      <c r="E213" s="75">
        <f>E212-1.302*(2.3-0.6)</f>
        <v>148.58659999999998</v>
      </c>
      <c r="F213" t="s" s="123">
        <v>331</v>
      </c>
    </row>
    <row r="214" spans="2:12" x14ac:dyDescent="0.3">
      <c r="B214" t="str" s="16">
        <f>B107</f>
        <v>Muro 1 (Eje 1)</v>
      </c>
      <c r="C214" s="15"/>
      <c r="D214" t="str" s="122">
        <f>D107</f>
        <v>_NORTE</v>
      </c>
      <c r="E214" s="75">
        <f>10.08*(10.4277-0.6)-5.1*(6.6-0.6)</f>
        <v>68.463216</v>
      </c>
      <c r="F214" t="s" s="123">
        <v>332</v>
      </c>
    </row>
    <row r="215" spans="2:12" x14ac:dyDescent="0.3">
      <c r="B215" t="str" s="16">
        <f>B109</f>
        <v>Cubierta</v>
      </c>
      <c r="C215" s="15"/>
      <c r="D215" t="str" s="122">
        <f>D109</f>
        <v>_CUBIERTA</v>
      </c>
      <c r="E215" s="75">
        <f>10.08*SQRT(16^2+(10.4277-9.6223)^2)</f>
        <v>161.48420151252762</v>
      </c>
      <c r="F215" t="s" s="123">
        <v>333</v>
      </c>
    </row>
    <row r="217" spans="2:12" x14ac:dyDescent="0.3">
      <c r="B217" t="s" s="72">
        <v>198</v>
      </c>
      <c r="C217" s="73"/>
      <c r="D217" t="s" s="77">
        <v>334</v>
      </c>
      <c r="E217" t="s" s="77">
        <v>335</v>
      </c>
      <c r="F217" t="s" s="77">
        <v>336</v>
      </c>
    </row>
    <row r="218" spans="2:12" x14ac:dyDescent="0.3">
      <c r="B218" t="s" s="16">
        <v>337</v>
      </c>
      <c r="C218" s="15"/>
      <c r="D218" s="150">
        <f>(H116*$E$212+H117*$E$213)*10000</f>
        <v>8096.718599999999</v>
      </c>
      <c r="E218" s="150">
        <f>H120*$E$215*10000</f>
        <v>4683.0418438633005</v>
      </c>
      <c r="F218" s="150">
        <f>H118*$E$214*10000</f>
        <v>-1985.433264</v>
      </c>
    </row>
    <row r="219" spans="2:12" x14ac:dyDescent="0.3">
      <c r="B219" t="s" s="16">
        <v>338</v>
      </c>
      <c r="C219" s="15"/>
      <c r="D219" s="150">
        <f>(H124*$E$212+H125*$E$213)*10000</f>
        <v>-8070.1578</v>
      </c>
      <c r="E219" s="150">
        <f>H128*$E$215*10000</f>
        <v>4683.0418438633005</v>
      </c>
      <c r="F219" s="150">
        <f>H126*$E$214*10000</f>
        <v>-1985.433264</v>
      </c>
    </row>
    <row r="220" spans="2:12" x14ac:dyDescent="0.3">
      <c r="B220" t="s" s="16">
        <v>339</v>
      </c>
      <c r="C220" s="15"/>
      <c r="D220" s="150">
        <f>(H132*$E$212+H133*$E$213)*10000</f>
        <v>-64.18860000000026</v>
      </c>
      <c r="E220" s="150">
        <f>H136*$E$215*10000</f>
        <v>4683.0418438633005</v>
      </c>
      <c r="F220" s="150">
        <f>H134*$E$214*10000</f>
        <v>2259.286128</v>
      </c>
    </row>
    <row r="221" spans="2:12" x14ac:dyDescent="0.3">
      <c r="B221" t="s" s="16">
        <v>340</v>
      </c>
      <c r="C221" s="15"/>
      <c r="D221" s="150">
        <f>(H140*$E$212+H141*$E$213)*10000</f>
        <v>-64.18860000000026</v>
      </c>
      <c r="E221" s="150">
        <f>H144*$E$215*10000</f>
        <v>4683.0418438633005</v>
      </c>
      <c r="F221" s="150">
        <f>H142*$E$214*10000</f>
        <v>-1437.7275359999999</v>
      </c>
    </row>
    <row r="222" spans="2:12" x14ac:dyDescent="0.3">
      <c r="B222" t="s" s="16">
        <v>341</v>
      </c>
      <c r="C222" s="15"/>
      <c r="D222" s="150">
        <f>(H151*$E$212+H152*$E$213)*10000</f>
        <v>8143.199999999999</v>
      </c>
      <c r="E222" s="150">
        <f>H155*$E$215*10000</f>
        <v>1453.3578136127485</v>
      </c>
      <c r="F222" s="150">
        <f>H153*$E$214*10000</f>
        <v>-616.168944</v>
      </c>
    </row>
    <row r="223" spans="2:12" x14ac:dyDescent="0.3">
      <c r="B223" t="s" s="16">
        <v>342</v>
      </c>
      <c r="C223" s="15"/>
      <c r="D223" s="150">
        <f>(H159*$E$212+H160*$E$213)*10000</f>
        <v>-8023.676399999999</v>
      </c>
      <c r="E223" s="150">
        <f>H163*$E$215*10000</f>
        <v>1453.3578136127485</v>
      </c>
      <c r="F223" s="150">
        <f>H161*$E$214*10000</f>
        <v>-616.168944</v>
      </c>
    </row>
    <row r="224" spans="2:12" x14ac:dyDescent="0.3">
      <c r="B224" t="s" s="16">
        <v>343</v>
      </c>
      <c r="C224" s="15"/>
      <c r="D224" s="150">
        <f>(H167*$E$212+H168*$E$213)*10000</f>
        <v>-11.067000000000021</v>
      </c>
      <c r="E224" s="150">
        <f>H171*$E$215*10000</f>
        <v>807.4210075626381</v>
      </c>
      <c r="F224" s="150">
        <f>H169*$E$214*10000</f>
        <v>3970.866528</v>
      </c>
    </row>
    <row r="225" spans="2:12" x14ac:dyDescent="0.3">
      <c r="B225" t="s" s="16">
        <v>344</v>
      </c>
      <c r="C225" s="15"/>
      <c r="D225" s="150">
        <f>(H175*$E$212+H176*$E$213)*10000</f>
        <v>-132.8040000000008</v>
      </c>
      <c r="E225" s="150">
        <f>H179*$E$215*10000</f>
        <v>9689.052090751658</v>
      </c>
      <c r="F225" s="150">
        <f>H177*$E$214*10000</f>
        <v>-3560.087232</v>
      </c>
    </row>
  </sheetData>
  <mergeCells count="67">
    <mergeCell ref="B182:C183"/>
    <mergeCell ref="D182:D183"/>
    <mergeCell ref="B193:F193"/>
    <mergeCell ref="G193:K193"/>
    <mergeCell ref="J176:L176"/>
    <mergeCell ref="J177:L177"/>
    <mergeCell ref="J178:L178"/>
    <mergeCell ref="J179:L179"/>
    <mergeCell ref="E182:F182"/>
    <mergeCell ref="G182:H182"/>
    <mergeCell ref="I182:J182"/>
    <mergeCell ref="K182:L182"/>
    <mergeCell ref="J169:L169"/>
    <mergeCell ref="J170:L170"/>
    <mergeCell ref="J171:L171"/>
    <mergeCell ref="J174:L174"/>
    <mergeCell ref="J175:L175"/>
    <mergeCell ref="J162:L162"/>
    <mergeCell ref="J163:L163"/>
    <mergeCell ref="J166:L166"/>
    <mergeCell ref="J167:L167"/>
    <mergeCell ref="J168:L168"/>
    <mergeCell ref="J155:L155"/>
    <mergeCell ref="J158:L158"/>
    <mergeCell ref="J159:L159"/>
    <mergeCell ref="J160:L160"/>
    <mergeCell ref="J161:L161"/>
    <mergeCell ref="J150:L150"/>
    <mergeCell ref="J151:L151"/>
    <mergeCell ref="J152:L152"/>
    <mergeCell ref="J153:L153"/>
    <mergeCell ref="J154:L154"/>
    <mergeCell ref="J140:L140"/>
    <mergeCell ref="J141:L141"/>
    <mergeCell ref="J142:L142"/>
    <mergeCell ref="J143:L143"/>
    <mergeCell ref="J144:L144"/>
    <mergeCell ref="J133:L133"/>
    <mergeCell ref="J134:L134"/>
    <mergeCell ref="J135:L135"/>
    <mergeCell ref="J136:L136"/>
    <mergeCell ref="J139:L139"/>
    <mergeCell ref="J126:L126"/>
    <mergeCell ref="J127:L127"/>
    <mergeCell ref="J128:L128"/>
    <mergeCell ref="J131:L131"/>
    <mergeCell ref="J132:L132"/>
    <mergeCell ref="J119:L119"/>
    <mergeCell ref="J120:L120"/>
    <mergeCell ref="J123:L123"/>
    <mergeCell ref="J124:L124"/>
    <mergeCell ref="J125:L125"/>
    <mergeCell ref="H109:I109"/>
    <mergeCell ref="J115:L115"/>
    <mergeCell ref="J116:L116"/>
    <mergeCell ref="J117:L117"/>
    <mergeCell ref="J118:L118"/>
    <mergeCell ref="H104:I104"/>
    <mergeCell ref="H105:I105"/>
    <mergeCell ref="H106:I106"/>
    <mergeCell ref="H107:I107"/>
    <mergeCell ref="H108:I108"/>
    <mergeCell ref="B94:C94"/>
    <mergeCell ref="B95:C95"/>
    <mergeCell ref="B96:C96"/>
    <mergeCell ref="B97:C97"/>
    <mergeCell ref="B98:C98"/>
  </mergeCells>
  <dataValidations count="2">
    <dataValidation type="list" allowBlank="1" showInputMessage="1" showErrorMessage="1" sqref="E8" xr:uid="{00000000-0002-0000-0200-000000000000}">
      <formula1>"Tipo 1,Tipo 2,Tipo 3"</formula1>
    </dataValidation>
    <dataValidation type="list" allowBlank="1" showInputMessage="1" showErrorMessage="1" sqref="D42" xr:uid="{00000000-0002-0000-0200-000001000000}">
      <formula1>"A,B,C"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REGULARIDAD</vt:lpstr>
      <vt:lpstr>CARGAS Y SISMO F1</vt:lpstr>
      <vt:lpstr>VIENTO NTDV-97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Espinosa Ramos</dc:creator>
  <cp:lastModifiedBy>Diego Espinosa Ramos</cp:lastModifiedBy>
  <dcterms:created xsi:type="dcterms:W3CDTF">2026-10-06T18:17:53Z</dcterms:created>
  <dcterms:modified xsi:type="dcterms:W3CDTF">2026-10-21T14:36:55Z</dcterms:modified>
</cp:coreProperties>
</file>