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.1_NOSE _DOCKS_H5_H6 -RECALCULO\004_EXCEL_SUPERESTRUCTURA\"/>
    </mc:Choice>
  </mc:AlternateContent>
  <xr:revisionPtr revIDLastSave="0" documentId="13_ncr:1_{34F4597F-56D6-46DB-8E49-1F0BF2F42BA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<sst xmlns="http://schemas.openxmlformats.org/spreadsheetml/2006/main" count="602" uniqueCount="345">
  <si>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</si>
  <si>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</si>
  <si>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</si>
  <si>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</si>
  <si>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</si>
  <si>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</si>
  <si>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</si>
  <si>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</si>
  <si>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</si>
  <si>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</si>
  <si>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</si>
  <si>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</si>
  <si>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</si>
  <si>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</si>
  <si>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</si>
  <si>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</si>
  <si>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</si>
  <si>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</si>
  <si>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</si>
  <si>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</si>
  <si>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</si>
  <si>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</si>
  <si>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</si>
  <si>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</si>
  <si>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</si>
  <si>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</si>
  <si>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</si>
  <si>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</si>
  <si>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</si>
  <si>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</si>
  <si>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</si>
  <si>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</si>
  <si>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</si>
  <si>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</si>
  <si>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</si>
  <si>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</si>
  <si>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</si>
  <si>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</si>
  <si>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</si>
  <si>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</si>
  <si>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</si>
  <si>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</si>
  <si>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</si>
  <si>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</si>
  <si>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</si>
  <si>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</si>
  <si>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</si>
  <si>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</si>
  <si>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</si>
  <si>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</si>
  <si>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</si>
  <si>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</si>
  <si>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</si>
  <si>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</si>
  <si>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</si>
  <si>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</si>
  <si>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</si>
  <si>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</si>
  <si>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</si>
  <si>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</si>
  <si>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</si>
  <si>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</si>
  <si>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</si>
  <si>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</si>
  <si>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</si>
  <si>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</si>
  <si>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</si>
  <si>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</si>
  <si>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</si>
  <si>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</si>
  <si>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</si>
  <si>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</si>
  <si>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</si>
  <si>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</si>
  <si>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</si>
  <si>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</si>
  <si>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</si>
  <si>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</si>
  <si>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</si>
  <si>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</si>
  <si>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</si>
  <si>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</si>
  <si>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</si>
  <si>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</si>
  <si>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</si>
  <si>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</si>
  <si>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</si>
  <si>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</si>
  <si>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</si>
  <si>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</si>
  <si>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</si>
  <si>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</si>
  <si>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</si>
  <si>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</si>
  <si>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</si>
  <si>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</si>
  <si>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</si>
  <si>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</si>
  <si>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</si>
  <si>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</si>
  <si>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</si>
  <si>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</si>
  <si>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</si>
  <si>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</si>
  <si>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</si>
  <si>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</si>
  <si>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</si>
  <si>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</si>
  <si>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</si>
  <si>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</si>
  <si>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</si>
  <si>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</si>
  <si>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</si>
  <si>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</si>
  <si>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</si>
  <si>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</si>
  <si>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</si>
  <si>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</si>
  <si>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</si>
  <si>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</si>
  <si>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</si>
  <si>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</si>
  <si>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</si>
  <si>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</si>
  <si>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</si>
  <si>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</si>
  <si>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</si>
  <si>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</si>
  <si>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</si>
  <si>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</si>
  <si>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</si>
  <si>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</si>
  <si>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</si>
  <si>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</si>
  <si>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</si>
  <si>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</si>
  <si>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</si>
  <si>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</si>
  <si>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</si>
  <si>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</si>
  <si>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</si>
  <si>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</si>
  <si>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</si>
  <si>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</si>
  <si>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</si>
  <si>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</si>
  <si>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</si>
  <si>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</si>
  <si>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</si>
  <si>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</si>
  <si>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</si>
  <si>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</si>
  <si>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</si>
  <si>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</si>
  <si>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</si>
  <si>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</si>
  <si>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</si>
  <si>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</si>
  <si>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</si>
  <si>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</si>
  <si>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</si>
  <si>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</si>
  <si>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</si>
  <si>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</si>
  <si>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</si>
  <si>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</si>
  <si>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</si>
  <si>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</si>
  <si>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</si>
  <si>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</si>
  <si>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</si>
  <si>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</si>
  <si>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>FACTORES DE CORRECCION POR EXPOSICION Y ALTURA</t>
  </si>
  <si>
    <t xml:space="preserve">Zona = 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</si>
  <si>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</si>
  <si>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</si>
  <si>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</si>
  <si>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</si>
  <si>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</si>
  <si>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</si>
  <si>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</si>
  <si>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</si>
  <si>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</si>
  <si>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</si>
  <si>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</si>
  <si>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</si>
  <si>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</si>
  <si>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</si>
  <si>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</si>
  <si>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</si>
  <si>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</si>
  <si>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</si>
  <si>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</si>
  <si>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</si>
  <si>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</si>
  <si>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</si>
  <si>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</si>
  <si>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</si>
  <si>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</si>
  <si>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</si>
  <si>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</si>
  <si>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</si>
  <si>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</si>
  <si>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</si>
  <si>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</si>
  <si>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</si>
  <si>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</si>
  <si>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</si>
  <si>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</si>
  <si>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</si>
  <si>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</si>
  <si>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</si>
  <si>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B</t>
  </si>
  <si>
    <t>CARGAS DE VIENTO PARA STAAD — ONEWAY LOAD POR GRUPOS (UNIT CM KG → kg/cm²)</t>
  </si>
  <si>
    <t>Sustituye a las tablas elemento por elemento de la versión 3.1. Las presiones se meten por grupo, como en el H2-H3.</t>
  </si>
  <si>
    <t>1) CARAS DEL EDIFICIO, GRUPOS DE STAAD Y SIGNO</t>
  </si>
  <si>
    <t>Cara</t>
  </si>
  <si>
    <t>Grupo</t>
  </si>
  <si>
    <t>Ubicación</t>
  </si>
  <si>
    <t>¿Cerrada?</t>
  </si>
  <si>
    <t>Signo de empuje (+)</t>
  </si>
  <si>
    <t>Dir. STAAD</t>
  </si>
  <si>
    <t>Muro A (Eje A)</t>
  </si>
  <si>
    <t>_OESTE</t>
  </si>
  <si>
    <t>X = 0</t>
  </si>
  <si>
    <t>SI</t>
  </si>
  <si>
    <t>GX INCLINED</t>
  </si>
  <si>
    <t>Muro B (Eje B)</t>
  </si>
  <si>
    <t>_ESTE</t>
  </si>
  <si>
    <t>X = 1008</t>
  </si>
  <si>
    <t>Muro 1 (Eje 1)</t>
  </si>
  <si>
    <t>_NORTE</t>
  </si>
  <si>
    <t>Z = 0</t>
  </si>
  <si>
    <t>GZ</t>
  </si>
  <si>
    <t>Eje 3 (muelle)</t>
  </si>
  <si>
    <t>_SUR</t>
  </si>
  <si>
    <t>Z = 1600</t>
  </si>
  <si>
    <t>NO</t>
  </si>
  <si>
    <t>Cubierta</t>
  </si>
  <si>
    <t>_CUBIERTA</t>
  </si>
  <si>
    <t>Techo</t>
  </si>
  <si>
    <t>GY INCLINED</t>
  </si>
  <si>
    <t>Signo: + = empuje (hacia adentro del edificio), − = succión (hacia afuera). Valor STAAD = p × signo ÷ 10 000 (kg/m² → kg/cm²), redondeado hacia arriba a 0.0001.</t>
  </si>
  <si>
    <t>El Eje 3 no tiene cerramiento (100 % abierto, ver G90): no se carga y por eso siempre hay presión interior. Si una cara se cierra o se abre, cambia solo el SI/NO.</t>
  </si>
  <si>
    <t>2) PRESIÓN EXTERIOR (Cpe) — LOAD 8 A 11 (puertas cerradas)</t>
  </si>
  <si>
    <t>LOAD 8 LOADTYPE Wind  TITLE VIENTO X</t>
  </si>
  <si>
    <t>Condición</t>
  </si>
  <si>
    <t>Cpe</t>
  </si>
  <si>
    <t>p ext. (kg/m²)</t>
  </si>
  <si>
    <t>STAAD (kg/cm²)</t>
  </si>
  <si>
    <t>Dir.</t>
  </si>
  <si>
    <t>Línea para STAAD (bajo ONEWAY LOAD)</t>
  </si>
  <si>
    <t>Lateral</t>
  </si>
  <si>
    <t>LOAD 9 LOADTYPE Wind  TITLE VIENTO -X</t>
  </si>
  <si>
    <t>LOAD 10 LOADTYPE Wind  TITLE VIENTO Z</t>
  </si>
  <si>
    <t>LOAD 11 LOADTYPE Wind  TITLE VIENTO -Z</t>
  </si>
  <si>
    <t>3) PRESIÓN INTERIOR (Cpi) — LOAD 12 A 15 (puertas abiertas, PA)</t>
  </si>
  <si>
    <t>Va con el mismo valor en TODAS las caras cerradas (muros y cubierta), con el Cpi de la tabla de arriba (H95:H98). Cpi + empuja hacia afuera; Cpi − jala hacia adentro.</t>
  </si>
  <si>
    <t>Este caso solo trae la presión interior: en la combinación PA siempre va junto con su caso exterior (8+12, 9+13, 10+14, 11+15).</t>
  </si>
  <si>
    <t>LOAD 12 LOADTYPE Wind  TITLE VIENTO X PA</t>
  </si>
  <si>
    <t>p int. sobre la cara (kg/m²)</t>
  </si>
  <si>
    <t>Interior</t>
  </si>
  <si>
    <t>LOAD 13 LOADTYPE Wind  TITLE VIENTO -X PA</t>
  </si>
  <si>
    <t>LOAD 14 LOADTYPE Wind  TITLE VIENTO Z PA</t>
  </si>
  <si>
    <t>LOAD 15 LOADTYPE Wind  TITLE VIENTO -Z PA</t>
  </si>
  <si>
    <t>4) REVISIÓN: PRESIÓN NETA = EXTERIOR + INTERIOR = q·(Cpe − Cpi)  (lo que suma cada combinación PA)</t>
  </si>
  <si>
    <t>VIENTO X (8+12)</t>
  </si>
  <si>
    <t>VIENTO -X (9+13)</t>
  </si>
  <si>
    <t>VIENTO Z (10+14)</t>
  </si>
  <si>
    <t>VIENTO -Z (11+15)</t>
  </si>
  <si>
    <t>p neta (kg/m²)</t>
  </si>
  <si>
    <t>Si prefieres un solo caso por dirección, estos netos son los que meterías; con casos separados (exterior e interior) tienes las dos condiciones: cerradas y abiertas.</t>
  </si>
  <si>
    <t>5) COMBINACIONES QUE FALTAN — PUERTAS ABIERTAS (factores iguales a los de 24-27 y 50-57)</t>
  </si>
  <si>
    <t>El exterior y el interior llevan el MISMO factor. Números libres en el modelo H5-H6: 28-31 y 58-65.</t>
  </si>
  <si>
    <t>LOAD COMB</t>
  </si>
  <si>
    <t>Casos y factores</t>
  </si>
  <si>
    <t>LOAD COMB 28 CM+VX(PA)</t>
  </si>
  <si>
    <t>1 1.0 8 1.0 12 1.0</t>
  </si>
  <si>
    <t>LOAD COMB 29 CM-VX(PA)</t>
  </si>
  <si>
    <t>1 1.0 9 1.0 13 1.0</t>
  </si>
  <si>
    <t>LOAD COMB 30 CM+VZ(PA)</t>
  </si>
  <si>
    <t>1 1.0 10 1.0 14 1.0</t>
  </si>
  <si>
    <t>LOAD COMB 31 CM-VZ(PA)</t>
  </si>
  <si>
    <t>1 1.0 11 1.0 15 1.0</t>
  </si>
  <si>
    <t>LOAD COMB 58 1.05CM+1.2762VX(PA)+1.275CVR</t>
  </si>
  <si>
    <t>1 1.05 8 1.276 12 1.276 3 1.275</t>
  </si>
  <si>
    <t>LOAD COMB 59 0.9CM+1.3013VX(PA)</t>
  </si>
  <si>
    <t>1 0.9 8 1.3013 12 1.3013</t>
  </si>
  <si>
    <t>LOAD COMB 60 1.05CM+1.2762V-X(PA)+1.275CVR</t>
  </si>
  <si>
    <t>1 1.05 9 1.276 13 1.276 3 1.275</t>
  </si>
  <si>
    <t>LOAD COMB 61 0.9CM+1.3013V-X(PA)</t>
  </si>
  <si>
    <t>1 0.9 9 1.3013 13 1.3013</t>
  </si>
  <si>
    <t>LOAD COMB 62 1.05CM+1.2762VZ(PA)+1.275CVR</t>
  </si>
  <si>
    <t>1 1.05 10 1.276 14 1.276 3 1.275</t>
  </si>
  <si>
    <t>LOAD COMB 63 0.9CM+1.3013VZ(PA)</t>
  </si>
  <si>
    <t>1 0.9 10 1.3013 14 1.3013</t>
  </si>
  <si>
    <t>LOAD COMB 64 1.05CM+1.2762V-Z(PA)+1.275CVR</t>
  </si>
  <si>
    <t>1 1.05 11 1.276 15 1.276 3 1.275</t>
  </si>
  <si>
    <t>LOAD COMB 65 0.9CM+1.3013V-Z(PA)</t>
  </si>
  <si>
    <t>1 0.9 11 1.3013 15 1.3013</t>
  </si>
  <si>
    <t>Agregar 12 TO 15, 28 TO 31 y 58 TO 65 a los LOAD LIST de reportes y de diseño.</t>
  </si>
  <si>
    <t>3) PUERTAS ABIERTAS (PA) — LOAD 12 A 15 = Cpe + Cpi (presión neta)</t>
  </si>
  <si>
    <t>p neta = q·(Cpe − Cpi) en cada cara cerrada: Cpe de la sección 2 y Cpi de la tabla H95:H98 (NTDV-97, 4.4). Cpi + empuja hacia afuera; Cpi − jala hacia adentro.</t>
  </si>
  <si>
    <t>El caso PA ya trae exterior + interior, así que en su combinación va SOLO (12, 13, 14 o 15), sin sumarle su caso 8 a 11.</t>
  </si>
  <si>
    <t>p neta = q(Cpe − Cpi) (kg/m²)</t>
  </si>
  <si>
    <t>4) REVISIÓN: p neta calculada aparte = p ext. (sección 2) − q·Cpi → el valor STAAD debe salir igual que en la sección 3</t>
  </si>
  <si>
    <t>VIENTO X PA (12)</t>
  </si>
  <si>
    <t>VIENTO -X PA (13)</t>
  </si>
  <si>
    <t>VIENTO Z PA (14)</t>
  </si>
  <si>
    <t>VIENTO -Z PA (15)</t>
  </si>
  <si>
    <t>Si algún valor STAAD de esta tabla no coincide con el de la sección 3, revisa los Cpe y Cpi.</t>
  </si>
  <si>
    <t>5) COMBINACIONES — PUERTAS ABIERTAS (factores iguales a los de 24-27 y 50-57)</t>
  </si>
  <si>
    <t>El caso PA ya trae Cpe + Cpi: entra SOLO, sin su caso 8 a 11 (si no, el exterior se suma dos veces). Así quedaron en el modelo.</t>
  </si>
  <si>
    <t>1 1.0 12 1.0</t>
  </si>
  <si>
    <t>1 1.0 13 1.0</t>
  </si>
  <si>
    <t>1 1.0 14 1.0</t>
  </si>
  <si>
    <t>1 1.0 15 1.0</t>
  </si>
  <si>
    <t>1 1.05 12 1.276 3 1.275</t>
  </si>
  <si>
    <t>1 0.9 12 1.3013</t>
  </si>
  <si>
    <t>1 1.05 13 1.276 3 1.275</t>
  </si>
  <si>
    <t>1 0.9 13 1.3013</t>
  </si>
  <si>
    <t>1 1.05 14 1.276 3 1.275</t>
  </si>
  <si>
    <t>1 0.9 14 1.3013</t>
  </si>
  <si>
    <t>1 1.05 15 1.276 3 1.275</t>
  </si>
  <si>
    <t>1 0.9 15 1.3013</t>
  </si>
  <si>
    <t>12 TO 15, 28 TO 31 y 58 TO 65 ya entran en los LOAD LIST del modelo (1 3 TO 66 en reacciones y 33 TO 66 en diseño).</t>
  </si>
  <si>
    <t>6) REVISIÓN CONTRA STAAD — SUMA DE CARGAS DE VIENTO POR CASO</t>
  </si>
  <si>
    <t>Compárala con «TOTAL APPLIED LOAD ( KG CM ) SUMMARY» de cada caso en la salida de STAAD (.ANL); las reacciones salen con signo contrario.</t>
  </si>
  <si>
    <t>Áreas = tableros que STAAD arma con cada grupo (nodos del modelo): arrancan en el larguero de 0.60 m y no entran los huecos de la cortina ni de la puerta.</t>
  </si>
  <si>
    <t>Área (m²)</t>
  </si>
  <si>
    <t>16.00 × (altura prom. 10.025 − 0.60)</t>
  </si>
  <si>
    <t>Muro A − puerta 1.302 × (2.30 − 0.60)</t>
  </si>
  <si>
    <t>10.08 × (10.428 − 0.60) − cortina 5.10 × (6.60 − 0.60)</t>
  </si>
  <si>
    <t>10.08 × √(16.00² + 0.805²)  (largo inclinado)</t>
  </si>
  <si>
    <t>ΣFx (kg)</t>
  </si>
  <si>
    <t>ΣFy (kg)</t>
  </si>
  <si>
    <t>ΣFz (kg)</t>
  </si>
  <si>
    <t>LOAD 8 — VIENTO X</t>
  </si>
  <si>
    <t>LOAD 9 — VIENTO -X</t>
  </si>
  <si>
    <t>LOAD 10 — VIENTO Z</t>
  </si>
  <si>
    <t>LOAD 11 — VIENTO -Z</t>
  </si>
  <si>
    <t>LOAD 12 — VIENTO X PA</t>
  </si>
  <si>
    <t>LOAD 13 — VIENTO -X PA</t>
  </si>
  <si>
    <t>LOAD 14 — VIENTO Z PA</t>
  </si>
  <si>
    <t>LOAD 15 — VIENTO -Z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</si>
</sst>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  <numFmt numFmtId="168" formatCode="0.00000"/>
  </numFmts>
  <fonts count="2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  <font>
      <sz val="10"/>
      <color theme="1"/>
      <name val="Consolas"/>
      <family val="3"/>
    </font>
    <font>
      <i/>
      <sz val="10"/>
      <color rgb="FF59595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166" fontId="2" fillId="3" borderId="7" xfId="0" applyNumberFormat="1" applyFont="1" applyFill="1" applyBorder="1" applyAlignment="1">
      <alignment horizontal="right"/>
    </xf>
    <xf numFmtId="0" fontId="0" fillId="0" borderId="7" xfId="0" applyBorder="1" applyAlignment="1">
      <alignment horizontal="center"/>
    </xf>
    <xf numFmtId="0" fontId="19" fillId="0" borderId="0" xfId="0" applyFont="1"/>
    <xf numFmtId="0" fontId="18" fillId="0" borderId="0" xfId="0" applyFont="1"/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18" fillId="3" borderId="7" xfId="0" applyFont="1" applyFill="1" applyBorder="1" applyAlignment="1">
      <alignment horizontal="left"/>
    </xf>
    <xf numFmtId="0" fontId="2" fillId="0" borderId="5" xfId="0" applyFont="1" applyBorder="1" applyAlignment="1">
      <alignment vertical="center"/>
    </xf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  <xf numFmtId="168" fontId="2" fillId="3" borderId="7" xfId="0" applyNumberFormat="1" applyFont="1" applyFill="1" applyBorder="1" applyAlignment="1">
      <alignment horizontal="right"/>
    </xf>
    <xf numFmtId="3" fontId="2" fillId="3" borderId="7" xfId="0" applyNumberFormat="1" applyFont="1" applyFill="1" applyBorder="1" applyAlignment="1">
      <alignment horizontal="right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F1'!$H$252:$H$551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F1'!$I$252:$I$551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252</xdr:row>
      <xdr:rowOff>123265</xdr:rowOff>
    </xdr:from>
    <xdr:to>
      <xdr:col>18</xdr:col>
      <xdr:colOff>179294</xdr:colOff>
      <xdr:row>270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256</xdr:row>
      <xdr:rowOff>179295</xdr:rowOff>
    </xdr:from>
    <xdr:to>
      <xdr:col>4</xdr:col>
      <xdr:colOff>377985</xdr:colOff>
      <xdr:row>280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1"/>
  <sheetViews>
    <sheetView showGridLines="0" topLeftCell="A193" zoomScale="55" zoomScaleNormal="55" workbookViewId="0">
      <selection activeCell="I163" sqref="I163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31" t="s">
        <v>25</v>
      </c>
      <c r="AH8" s="132"/>
      <c r="AI8" s="132"/>
      <c r="AJ8" s="132"/>
      <c r="AK8" s="132"/>
      <c r="AL8" s="135" t="s">
        <v>26</v>
      </c>
      <c r="AM8" s="135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3"/>
      <c r="AH9" s="134"/>
      <c r="AI9" s="134"/>
      <c r="AJ9" s="134"/>
      <c r="AK9" s="134"/>
      <c r="AL9" s="135" t="s">
        <v>27</v>
      </c>
      <c r="AM9" s="135"/>
    </row>
    <row r="10" spans="2:39" ht="70.2" customHeight="1" x14ac:dyDescent="0.3">
      <c r="C10" s="146" t="s">
        <v>29</v>
      </c>
      <c r="D10" s="147"/>
      <c r="E10" s="148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6" t="s">
        <v>61</v>
      </c>
      <c r="G127" s="136"/>
    </row>
    <row r="129" spans="4:7" ht="15.6" x14ac:dyDescent="0.3">
      <c r="E129" s="12" t="s">
        <v>62</v>
      </c>
      <c r="F129" s="40">
        <f>IF(F127="Marco de Acero",0.085,IF(F127="Marco de Concreto",0.073,0.049))</f>
        <v>0.085</v>
      </c>
    </row>
    <row r="131" spans="4:7" ht="15.6" x14ac:dyDescent="0.3">
      <c r="E131" s="12" t="s">
        <v>63</v>
      </c>
      <c r="F131" s="36">
        <f>(10.43+9.6)/2</f>
        <v>10.015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0.90019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0.130806075766931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</v>
      </c>
    </row>
    <row r="143" spans="4:7" x14ac:dyDescent="0.3">
      <c r="E143" s="17" t="s">
        <v>71</v>
      </c>
      <c r="F143" s="54">
        <f>MAX(F141,F139)</f>
        <v>0.137142857142857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12780.46</v>
      </c>
      <c r="F165" s="1" t="s">
        <v>85</v>
      </c>
      <c r="G165" s="55">
        <f>E165/1000</f>
        <v>12.78046</v>
      </c>
      <c r="H165" s="1" t="s">
        <v>86</v>
      </c>
    </row>
    <row r="166" spans="2:14" x14ac:dyDescent="0.3">
      <c r="D166" s="17" t="s">
        <v>88</v>
      </c>
      <c r="E166" s="82">
        <v>12780.46</v>
      </c>
      <c r="F166" s="1" t="s">
        <v>85</v>
      </c>
      <c r="G166" s="55">
        <f>E166/1000</f>
        <v>12.78046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2.190936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2.190936</v>
      </c>
      <c r="H171" s="1" t="s">
        <v>86</v>
      </c>
    </row>
    <row r="173" spans="2:14" ht="26.25" customHeight="1" x14ac:dyDescent="0.3">
      <c r="B173" s="139" t="s">
        <v>94</v>
      </c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</row>
    <row r="174" spans="2:14" ht="19.5" customHeight="1" x14ac:dyDescent="0.3">
      <c r="B174" s="111"/>
      <c r="C174" s="112"/>
      <c r="D174" s="113"/>
      <c r="E174" s="140" t="s">
        <v>95</v>
      </c>
      <c r="F174" s="140"/>
      <c r="G174" s="140"/>
      <c r="H174" s="111"/>
      <c r="I174" s="112"/>
      <c r="J174" s="112"/>
      <c r="K174" s="141" t="s">
        <v>96</v>
      </c>
      <c r="L174" s="142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1.111</v>
      </c>
      <c r="D177" s="64">
        <v>0.90019</v>
      </c>
      <c r="E177" s="28">
        <v>60.29</v>
      </c>
      <c r="F177" s="28">
        <v>0.0</v>
      </c>
      <c r="G177" s="28">
        <v>0.0</v>
      </c>
      <c r="H177" s="28" t="s">
        <v>113</v>
      </c>
      <c r="I177" s="29">
        <f>ROUND(D177,2)</f>
        <v>0.9</v>
      </c>
      <c r="J177" s="31">
        <f>VLOOKUP(I177,$H$252:$I$551,2,0)</f>
        <v>0.130824484863238</v>
      </c>
      <c r="K177" s="32">
        <f>J177*$K$222*E177/100</f>
        <v>1008.04704906699</v>
      </c>
      <c r="L177" s="34">
        <f>J177*$K$223*G177/100</f>
        <v>0</v>
      </c>
      <c r="N177" s="10" t="s">
        <v>114</v>
      </c>
      <c r="O177" s="26">
        <f>SUM(W177:W234)</f>
        <v>8.019</v>
      </c>
      <c r="P177" t="s">
        <v>86</v>
      </c>
    </row>
    <row r="178" spans="2:27" x14ac:dyDescent="0.3">
      <c r="B178" s="33">
        <v>2</v>
      </c>
      <c r="C178" s="28">
        <v>1.468</v>
      </c>
      <c r="D178" s="64">
        <v>0.68123</v>
      </c>
      <c r="E178" s="28">
        <v>5.4</v>
      </c>
      <c r="F178" s="28">
        <v>0.0</v>
      </c>
      <c r="G178" s="28">
        <v>0.0</v>
      </c>
      <c r="H178" s="28" t="s">
        <v>113</v>
      </c>
      <c r="I178" s="29">
        <f t="shared" ref="I178" si="0">ROUND(D178,2)</f>
        <v>0.68</v>
      </c>
      <c r="J178" s="31">
        <f>VLOOKUP(I178,$H$252:$I$551,2,0)</f>
        <v>0.157704746439153</v>
      </c>
      <c r="K178" s="32">
        <f>J178*$K$222*E178/100</f>
        <v>108.83911699849</v>
      </c>
      <c r="L178" s="34">
        <f>J178*$K$223*G178/100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1.724</v>
      </c>
      <c r="D179" s="64">
        <v>0.5802</v>
      </c>
      <c r="E179" s="28">
        <v>0.0</v>
      </c>
      <c r="F179" s="28">
        <v>0.0</v>
      </c>
      <c r="G179" s="28">
        <v>50.47</v>
      </c>
      <c r="H179" s="28" t="s">
        <v>113</v>
      </c>
      <c r="I179" s="29">
        <f t="shared" ref="I179" si="1">ROUND(D179,2)</f>
        <v>0.58</v>
      </c>
      <c r="J179" s="31">
        <f t="shared" ref="J179" si="2">VLOOKUP(I179,$H$252:$I$551,2,0)</f>
        <v>0.171428571428571</v>
      </c>
      <c r="K179" s="32">
        <f t="shared" ref="K179" si="3">J179*$K$222*E179/100</f>
        <v>0</v>
      </c>
      <c r="L179" s="34">
        <f t="shared" ref="L179" si="4">J179*$K$223*G179/100</f>
        <v>1105.7653992</v>
      </c>
      <c r="N179" s="10"/>
      <c r="O179" s="26"/>
    </row>
    <row r="180" spans="2:27" x14ac:dyDescent="0.3">
      <c r="B180" s="33">
        <v>4</v>
      </c>
      <c r="C180" s="28">
        <v>1.95</v>
      </c>
      <c r="D180" s="64">
        <v>0.51273</v>
      </c>
      <c r="E180" s="28">
        <v>7.69</v>
      </c>
      <c r="F180" s="28">
        <v>0.0</v>
      </c>
      <c r="G180" s="28">
        <v>0.0</v>
      </c>
      <c r="H180" s="28" t="s">
        <v>113</v>
      </c>
      <c r="I180" s="29">
        <f t="shared" ref="I180:I219" si="5">ROUND(D180,2)</f>
        <v>0.51</v>
      </c>
      <c r="J180" s="31">
        <f t="shared" ref="J180:J219" si="6">VLOOKUP(I180,$H$252:$I$551,2,0)</f>
        <v>0.171428571428571</v>
      </c>
      <c r="K180" s="32">
        <f t="shared" ref="K180:K219" si="7">J180*$K$222*E180/100</f>
        <v>168.4829784</v>
      </c>
      <c r="L180" s="34">
        <f t="shared" ref="L180:L219" si="8">J180*$K$223*G180/100</f>
        <v>0</v>
      </c>
      <c r="N180" s="10"/>
      <c r="O180" s="26"/>
    </row>
    <row r="181" spans="2:27" x14ac:dyDescent="0.3">
      <c r="B181" s="33">
        <v>5</v>
      </c>
      <c r="C181" s="28">
        <v>2.367</v>
      </c>
      <c r="D181" s="64">
        <v>0.42248</v>
      </c>
      <c r="E181" s="28">
        <v>0.0</v>
      </c>
      <c r="F181" s="28">
        <v>0.0</v>
      </c>
      <c r="G181" s="28">
        <v>26.93</v>
      </c>
      <c r="H181" s="28" t="s">
        <v>113</v>
      </c>
      <c r="I181" s="29">
        <f t="shared" si="5"/>
        <v>0.42</v>
      </c>
      <c r="J181" s="31">
        <f t="shared" si="6"/>
        <v>0.171428571428571</v>
      </c>
      <c r="K181" s="32">
        <f t="shared" si="7"/>
        <v>0</v>
      </c>
      <c r="L181" s="34">
        <f t="shared" si="8"/>
        <v>590.0190648</v>
      </c>
      <c r="N181" s="10"/>
      <c r="O181" s="26"/>
    </row>
    <row r="182" spans="2:27" x14ac:dyDescent="0.3">
      <c r="B182" s="33">
        <v>6</v>
      </c>
      <c r="C182" s="28">
        <v>2.641</v>
      </c>
      <c r="D182" s="64">
        <v>0.37867</v>
      </c>
      <c r="E182" s="28">
        <v>0.0</v>
      </c>
      <c r="F182" s="28">
        <v>0.0</v>
      </c>
      <c r="G182" s="28">
        <v>0.31</v>
      </c>
      <c r="H182" s="28" t="s">
        <v>113</v>
      </c>
      <c r="I182" s="29">
        <f t="shared" si="5"/>
        <v>0.38</v>
      </c>
      <c r="J182" s="31">
        <f t="shared" si="6"/>
        <v>0.171428571428571</v>
      </c>
      <c r="K182" s="32">
        <f t="shared" si="7"/>
        <v>0</v>
      </c>
      <c r="L182" s="34">
        <f t="shared" si="8"/>
        <v>6.7919016</v>
      </c>
      <c r="N182" s="10"/>
      <c r="O182" s="26"/>
    </row>
    <row r="183" spans="2:27" x14ac:dyDescent="0.3">
      <c r="B183" s="33">
        <v>7</v>
      </c>
      <c r="C183" s="28">
        <v>2.732</v>
      </c>
      <c r="D183" s="64">
        <v>0.36606</v>
      </c>
      <c r="E183" s="28">
        <v>0.12</v>
      </c>
      <c r="F183" s="28">
        <v>0.0</v>
      </c>
      <c r="G183" s="28">
        <v>0.0</v>
      </c>
      <c r="H183" s="28" t="s">
        <v>113</v>
      </c>
      <c r="I183" s="29">
        <f t="shared" si="5"/>
        <v>0.37</v>
      </c>
      <c r="J183" s="31">
        <f t="shared" si="6"/>
        <v>0.171428571428571</v>
      </c>
      <c r="K183" s="32">
        <f t="shared" si="7"/>
        <v>2.6291232</v>
      </c>
      <c r="L183" s="34">
        <f t="shared" si="8"/>
        <v>0</v>
      </c>
      <c r="N183" s="10"/>
      <c r="O183" s="26"/>
    </row>
    <row r="184" spans="2:27" x14ac:dyDescent="0.3">
      <c r="B184" s="33">
        <v>8</v>
      </c>
      <c r="C184" s="28">
        <v>3.604</v>
      </c>
      <c r="D184" s="64">
        <v>0.27745</v>
      </c>
      <c r="E184" s="28">
        <v>0.0</v>
      </c>
      <c r="F184" s="28">
        <v>0.0</v>
      </c>
      <c r="G184" s="28">
        <v>5.31</v>
      </c>
      <c r="H184" s="28" t="s">
        <v>113</v>
      </c>
      <c r="I184" s="29">
        <f t="shared" si="5"/>
        <v>0.28</v>
      </c>
      <c r="J184" s="31">
        <f t="shared" si="6"/>
        <v>0.171428571428571</v>
      </c>
      <c r="K184" s="32">
        <f t="shared" si="7"/>
        <v>0</v>
      </c>
      <c r="L184" s="34">
        <f t="shared" si="8"/>
        <v>116.3387016</v>
      </c>
      <c r="N184" s="10"/>
      <c r="O184" s="26"/>
    </row>
    <row r="185" spans="2:27" x14ac:dyDescent="0.3">
      <c r="B185" s="33">
        <v>9</v>
      </c>
      <c r="C185" s="28">
        <v>3.824</v>
      </c>
      <c r="D185" s="64">
        <v>0.2615</v>
      </c>
      <c r="E185" s="28">
        <v>4.58</v>
      </c>
      <c r="F185" s="28">
        <v>0.0</v>
      </c>
      <c r="G185" s="28">
        <v>0.0</v>
      </c>
      <c r="H185" s="28" t="s">
        <v>113</v>
      </c>
      <c r="I185" s="29">
        <f t="shared" si="5"/>
        <v>0.26</v>
      </c>
      <c r="J185" s="31">
        <f t="shared" si="6"/>
        <v>0.171428571428571</v>
      </c>
      <c r="K185" s="32">
        <f t="shared" si="7"/>
        <v>100.3448688</v>
      </c>
      <c r="L185" s="34">
        <f t="shared" si="8"/>
        <v>0</v>
      </c>
      <c r="N185" s="10"/>
    </row>
    <row r="186" spans="2:27" x14ac:dyDescent="0.3">
      <c r="B186" s="33">
        <v>10</v>
      </c>
      <c r="C186" s="28">
        <v>4.235</v>
      </c>
      <c r="D186" s="64">
        <v>0.23613</v>
      </c>
      <c r="E186" s="28">
        <v>0.04</v>
      </c>
      <c r="F186" s="28">
        <v>0.0</v>
      </c>
      <c r="G186" s="28">
        <v>0.03</v>
      </c>
      <c r="H186" s="28" t="s">
        <v>113</v>
      </c>
      <c r="I186" s="29">
        <f t="shared" si="5"/>
        <v>0.24</v>
      </c>
      <c r="J186" s="31">
        <f t="shared" si="6"/>
        <v>0.171428571428571</v>
      </c>
      <c r="K186" s="32">
        <f t="shared" si="7"/>
        <v>0.8763744</v>
      </c>
      <c r="L186" s="34">
        <f t="shared" si="8"/>
        <v>0.6572808</v>
      </c>
      <c r="N186" s="10"/>
    </row>
    <row r="187" spans="2:27" x14ac:dyDescent="0.3">
      <c r="B187" s="33">
        <v>11</v>
      </c>
      <c r="C187" s="28">
        <v>4.767</v>
      </c>
      <c r="D187" s="64">
        <v>0.20976</v>
      </c>
      <c r="E187" s="28">
        <v>0.0</v>
      </c>
      <c r="F187" s="28">
        <v>0.0</v>
      </c>
      <c r="G187" s="28">
        <v>1.89</v>
      </c>
      <c r="H187" s="28" t="s">
        <v>113</v>
      </c>
      <c r="I187" s="29">
        <f t="shared" si="5"/>
        <v>0.21</v>
      </c>
      <c r="J187" s="31">
        <f t="shared" si="6"/>
        <v>0.171428571428571</v>
      </c>
      <c r="K187" s="32">
        <f t="shared" si="7"/>
        <v>0</v>
      </c>
      <c r="L187" s="34">
        <f t="shared" si="8"/>
        <v>41.4086904</v>
      </c>
      <c r="N187" s="59" t="s">
        <v>116</v>
      </c>
    </row>
    <row r="188" spans="2:27" x14ac:dyDescent="0.3">
      <c r="B188" s="33">
        <v>12</v>
      </c>
      <c r="C188" s="28">
        <v>5.243</v>
      </c>
      <c r="D188" s="64">
        <v>0.19073</v>
      </c>
      <c r="E188" s="28">
        <v>0.0</v>
      </c>
      <c r="F188" s="28">
        <v>0.0</v>
      </c>
      <c r="G188" s="28">
        <v>1.46</v>
      </c>
      <c r="H188" s="28" t="s">
        <v>113</v>
      </c>
      <c r="I188" s="29">
        <f t="shared" si="5"/>
        <v>0.19</v>
      </c>
      <c r="J188" s="31">
        <f t="shared" si="6"/>
        <v>0.165714285714286</v>
      </c>
      <c r="K188" s="32">
        <f t="shared" si="7"/>
        <v>0</v>
      </c>
      <c r="L188" s="34">
        <f t="shared" si="8"/>
        <v>30.92141008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5.801</v>
      </c>
      <c r="D189" s="64">
        <v>0.17239</v>
      </c>
      <c r="E189" s="28">
        <v>0.0</v>
      </c>
      <c r="F189" s="28">
        <v>0.0</v>
      </c>
      <c r="G189" s="28">
        <v>0.78</v>
      </c>
      <c r="H189" s="28" t="s">
        <v>113</v>
      </c>
      <c r="I189" s="29">
        <f t="shared" si="5"/>
        <v>0.17</v>
      </c>
      <c r="J189" s="31">
        <f t="shared" si="6"/>
        <v>0.154285714285714</v>
      </c>
      <c r="K189" s="32">
        <f t="shared" si="7"/>
        <v>0</v>
      </c>
      <c r="L189" s="34">
        <f t="shared" si="8"/>
        <v>15.38037072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5.999</v>
      </c>
      <c r="D190" s="64">
        <v>0.16669</v>
      </c>
      <c r="E190" s="28">
        <v>0.06</v>
      </c>
      <c r="F190" s="28">
        <v>0.0</v>
      </c>
      <c r="G190" s="28">
        <v>0.04</v>
      </c>
      <c r="H190" s="28" t="s">
        <v>113</v>
      </c>
      <c r="I190" s="29">
        <f t="shared" si="5"/>
        <v>0.17</v>
      </c>
      <c r="J190" s="31">
        <f t="shared" si="6"/>
        <v>0.154285714285714</v>
      </c>
      <c r="K190" s="32">
        <f t="shared" si="7"/>
        <v>1.18310544</v>
      </c>
      <c r="L190" s="34">
        <f t="shared" si="8"/>
        <v>0.78873696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6.299</v>
      </c>
      <c r="D191" s="64">
        <v>0.15876</v>
      </c>
      <c r="E191" s="28">
        <v>3.72</v>
      </c>
      <c r="F191" s="28">
        <v>0.0</v>
      </c>
      <c r="G191" s="28">
        <v>0.0</v>
      </c>
      <c r="H191" s="28" t="s">
        <v>113</v>
      </c>
      <c r="I191" s="29">
        <f t="shared" si="5"/>
        <v>0.16</v>
      </c>
      <c r="J191" s="31">
        <f t="shared" si="6"/>
        <v>0.148571428571429</v>
      </c>
      <c r="K191" s="32">
        <f t="shared" si="7"/>
        <v>70.63577664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6.766</v>
      </c>
      <c r="D192" s="64">
        <v>0.14781</v>
      </c>
      <c r="E192" s="28">
        <v>0.0</v>
      </c>
      <c r="F192" s="28">
        <v>0.0</v>
      </c>
      <c r="G192" s="28">
        <v>0.0</v>
      </c>
      <c r="H192" s="28" t="s">
        <v>113</v>
      </c>
      <c r="I192" s="29">
        <f t="shared" si="5"/>
        <v>0.15</v>
      </c>
      <c r="J192" s="31">
        <f t="shared" si="6"/>
        <v>0.142857142857143</v>
      </c>
      <c r="K192" s="32">
        <f t="shared" si="7"/>
        <v>0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6.813</v>
      </c>
      <c r="D193" s="64">
        <v>0.14678</v>
      </c>
      <c r="E193" s="28">
        <v>0.43</v>
      </c>
      <c r="F193" s="28">
        <v>0.0</v>
      </c>
      <c r="G193" s="28">
        <v>0.0</v>
      </c>
      <c r="H193" s="28" t="s">
        <v>113</v>
      </c>
      <c r="I193" s="29">
        <f t="shared" si="5"/>
        <v>0.15</v>
      </c>
      <c r="J193" s="31">
        <f t="shared" si="6"/>
        <v>0.142857142857143</v>
      </c>
      <c r="K193" s="32">
        <f t="shared" si="7"/>
        <v>7.850854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6.971</v>
      </c>
      <c r="D194" s="64">
        <v>0.14344</v>
      </c>
      <c r="E194" s="28">
        <v>0.16</v>
      </c>
      <c r="F194" s="28">
        <v>0.0</v>
      </c>
      <c r="G194" s="28">
        <v>0.08</v>
      </c>
      <c r="H194" s="28" t="s">
        <v>113</v>
      </c>
      <c r="I194" s="29">
        <f t="shared" si="5"/>
        <v>0.14</v>
      </c>
      <c r="J194" s="31">
        <f t="shared" si="6"/>
        <v>0.137142857142857</v>
      </c>
      <c r="K194" s="32">
        <f t="shared" si="7"/>
        <v>2.80439808</v>
      </c>
      <c r="L194" s="34">
        <f t="shared" si="8"/>
        <v>1.40219904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7.268</v>
      </c>
      <c r="D195" s="64">
        <v>0.13759</v>
      </c>
      <c r="E195" s="28">
        <v>4.41</v>
      </c>
      <c r="F195" s="28">
        <v>0.0</v>
      </c>
      <c r="G195" s="28">
        <v>0.0</v>
      </c>
      <c r="H195" s="28" t="s">
        <v>113</v>
      </c>
      <c r="I195" s="29">
        <f t="shared" si="5"/>
        <v>0.14</v>
      </c>
      <c r="J195" s="31">
        <f t="shared" si="6"/>
        <v>0.137142857142857</v>
      </c>
      <c r="K195" s="32">
        <f t="shared" si="7"/>
        <v>77.29622208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7.67</v>
      </c>
      <c r="D196" s="64">
        <v>0.13038</v>
      </c>
      <c r="E196" s="28">
        <v>0.16</v>
      </c>
      <c r="F196" s="28">
        <v>0.0</v>
      </c>
      <c r="G196" s="28">
        <v>0.01</v>
      </c>
      <c r="H196" s="28" t="s">
        <v>113</v>
      </c>
      <c r="I196" s="29">
        <f t="shared" si="5"/>
        <v>0.13</v>
      </c>
      <c r="J196" s="31">
        <f t="shared" si="6"/>
        <v>0.131428571428571</v>
      </c>
      <c r="K196" s="32">
        <f t="shared" si="7"/>
        <v>2.68754816</v>
      </c>
      <c r="L196" s="34">
        <f t="shared" si="8"/>
        <v>0.16797176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7.716</v>
      </c>
      <c r="D197" s="64">
        <v>0.1296</v>
      </c>
      <c r="E197" s="28">
        <v>0.02</v>
      </c>
      <c r="F197" s="28">
        <v>0.0</v>
      </c>
      <c r="G197" s="28">
        <v>0.0</v>
      </c>
      <c r="H197" s="28" t="s">
        <v>113</v>
      </c>
      <c r="I197" s="29">
        <f t="shared" si="5"/>
        <v>0.13</v>
      </c>
      <c r="J197" s="31">
        <f t="shared" si="6"/>
        <v>0.131428571428571</v>
      </c>
      <c r="K197" s="32">
        <f t="shared" si="7"/>
        <v>0.33594352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7.74</v>
      </c>
      <c r="D198" s="64">
        <v>0.1292</v>
      </c>
      <c r="E198" s="28">
        <v>0.06</v>
      </c>
      <c r="F198" s="28">
        <v>0.0</v>
      </c>
      <c r="G198" s="28">
        <v>0.0</v>
      </c>
      <c r="H198" s="28" t="s">
        <v>113</v>
      </c>
      <c r="I198" s="29">
        <f t="shared" si="5"/>
        <v>0.13</v>
      </c>
      <c r="J198" s="31">
        <f t="shared" si="6"/>
        <v>0.131428571428571</v>
      </c>
      <c r="K198" s="32">
        <f t="shared" si="7"/>
        <v>1.00783056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7.784</v>
      </c>
      <c r="D199" s="64">
        <v>0.12847</v>
      </c>
      <c r="E199" s="28">
        <v>0.57</v>
      </c>
      <c r="F199" s="28">
        <v>0.0</v>
      </c>
      <c r="G199" s="28">
        <v>0.0</v>
      </c>
      <c r="H199" s="28" t="s">
        <v>113</v>
      </c>
      <c r="I199" s="29">
        <f t="shared" si="5"/>
        <v>0.13</v>
      </c>
      <c r="J199" s="31">
        <f t="shared" si="6"/>
        <v>0.131428571428571</v>
      </c>
      <c r="K199" s="32">
        <f t="shared" si="7"/>
        <v>9.57439032</v>
      </c>
      <c r="L199" s="34">
        <f t="shared" si="8"/>
        <v>0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7.794</v>
      </c>
      <c r="D200" s="64">
        <v>0.1283</v>
      </c>
      <c r="E200" s="28">
        <v>0.0</v>
      </c>
      <c r="F200" s="28">
        <v>0.0</v>
      </c>
      <c r="G200" s="28">
        <v>0.0</v>
      </c>
      <c r="H200" s="28" t="s">
        <v>113</v>
      </c>
      <c r="I200" s="29">
        <f t="shared" si="5"/>
        <v>0.13</v>
      </c>
      <c r="J200" s="31">
        <f t="shared" si="6"/>
        <v>0.131428571428571</v>
      </c>
      <c r="K200" s="32">
        <f t="shared" si="7"/>
        <v>0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7.804</v>
      </c>
      <c r="D201" s="64">
        <v>0.12814</v>
      </c>
      <c r="E201" s="28">
        <v>0.13</v>
      </c>
      <c r="F201" s="28">
        <v>0.0</v>
      </c>
      <c r="G201" s="28">
        <v>0.0</v>
      </c>
      <c r="H201" s="28" t="s">
        <v>113</v>
      </c>
      <c r="I201" s="29">
        <f t="shared" si="5"/>
        <v>0.13</v>
      </c>
      <c r="J201" s="31">
        <f t="shared" si="6"/>
        <v>0.131428571428571</v>
      </c>
      <c r="K201" s="32">
        <f t="shared" si="7"/>
        <v>2.18363288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7.805</v>
      </c>
      <c r="D202" s="64">
        <v>0.12811</v>
      </c>
      <c r="E202" s="28">
        <v>0.0</v>
      </c>
      <c r="F202" s="28">
        <v>0.0</v>
      </c>
      <c r="G202" s="28">
        <v>0.0</v>
      </c>
      <c r="H202" s="28" t="s">
        <v>113</v>
      </c>
      <c r="I202" s="29">
        <f t="shared" si="5"/>
        <v>0.13</v>
      </c>
      <c r="J202" s="31">
        <f t="shared" si="6"/>
        <v>0.131428571428571</v>
      </c>
      <c r="K202" s="32">
        <f t="shared" si="7"/>
        <v>0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7.808</v>
      </c>
      <c r="D203" s="64">
        <v>0.12807</v>
      </c>
      <c r="E203" s="28">
        <v>0.04</v>
      </c>
      <c r="F203" s="28">
        <v>0.0</v>
      </c>
      <c r="G203" s="28">
        <v>0.0</v>
      </c>
      <c r="H203" s="28" t="s">
        <v>113</v>
      </c>
      <c r="I203" s="29">
        <f t="shared" si="5"/>
        <v>0.13</v>
      </c>
      <c r="J203" s="31">
        <f t="shared" si="6"/>
        <v>0.131428571428571</v>
      </c>
      <c r="K203" s="32">
        <f t="shared" si="7"/>
        <v>0.67188704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7.809</v>
      </c>
      <c r="D204" s="64">
        <v>0.12806</v>
      </c>
      <c r="E204" s="28">
        <v>0.0</v>
      </c>
      <c r="F204" s="28">
        <v>0.0</v>
      </c>
      <c r="G204" s="28">
        <v>0.0</v>
      </c>
      <c r="H204" s="28" t="s">
        <v>113</v>
      </c>
      <c r="I204" s="29">
        <f t="shared" si="5"/>
        <v>0.13</v>
      </c>
      <c r="J204" s="31">
        <f t="shared" si="6"/>
        <v>0.131428571428571</v>
      </c>
      <c r="K204" s="32">
        <f t="shared" si="7"/>
        <v>0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7.81</v>
      </c>
      <c r="D205" s="64">
        <v>0.12805</v>
      </c>
      <c r="E205" s="28">
        <v>0.01</v>
      </c>
      <c r="F205" s="28">
        <v>0.0</v>
      </c>
      <c r="G205" s="28">
        <v>0.0</v>
      </c>
      <c r="H205" s="28" t="s">
        <v>113</v>
      </c>
      <c r="I205" s="29">
        <f t="shared" si="5"/>
        <v>0.13</v>
      </c>
      <c r="J205" s="31">
        <f t="shared" si="6"/>
        <v>0.131428571428571</v>
      </c>
      <c r="K205" s="32">
        <f t="shared" si="7"/>
        <v>0.16797176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7.81</v>
      </c>
      <c r="D206" s="64">
        <v>0.12804</v>
      </c>
      <c r="E206" s="28">
        <v>0.0</v>
      </c>
      <c r="F206" s="28">
        <v>0.0</v>
      </c>
      <c r="G206" s="28">
        <v>0.0</v>
      </c>
      <c r="H206" s="28" t="s">
        <v>113</v>
      </c>
      <c r="I206" s="29">
        <f t="shared" si="5"/>
        <v>0.13</v>
      </c>
      <c r="J206" s="31">
        <f t="shared" si="6"/>
        <v>0.131428571428571</v>
      </c>
      <c r="K206" s="32">
        <f t="shared" si="7"/>
        <v>0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7.914</v>
      </c>
      <c r="D207" s="64">
        <v>0.12636</v>
      </c>
      <c r="E207" s="28">
        <v>0.17</v>
      </c>
      <c r="F207" s="28">
        <v>0.0</v>
      </c>
      <c r="G207" s="28">
        <v>0.0</v>
      </c>
      <c r="H207" s="28" t="s">
        <v>113</v>
      </c>
      <c r="I207" s="29">
        <f t="shared" si="5"/>
        <v>0.13</v>
      </c>
      <c r="J207" s="31">
        <f t="shared" si="6"/>
        <v>0.131428571428571</v>
      </c>
      <c r="K207" s="32">
        <f t="shared" si="7"/>
        <v>2.85551992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7.945</v>
      </c>
      <c r="D208" s="64">
        <v>0.12587</v>
      </c>
      <c r="E208" s="28">
        <v>0.15</v>
      </c>
      <c r="F208" s="28">
        <v>0.0</v>
      </c>
      <c r="G208" s="28">
        <v>0.0</v>
      </c>
      <c r="H208" s="28" t="s">
        <v>113</v>
      </c>
      <c r="I208" s="29">
        <f t="shared" si="5"/>
        <v>0.13</v>
      </c>
      <c r="J208" s="31">
        <f t="shared" si="6"/>
        <v>0.131428571428571</v>
      </c>
      <c r="K208" s="32">
        <f t="shared" si="7"/>
        <v>2.5195764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7.96</v>
      </c>
      <c r="D209" s="64">
        <v>0.12563</v>
      </c>
      <c r="E209" s="28">
        <v>0.05</v>
      </c>
      <c r="F209" s="28">
        <v>0.0</v>
      </c>
      <c r="G209" s="28">
        <v>0.0</v>
      </c>
      <c r="H209" s="28" t="s">
        <v>113</v>
      </c>
      <c r="I209" s="29">
        <f t="shared" si="5"/>
        <v>0.13</v>
      </c>
      <c r="J209" s="31">
        <f t="shared" si="6"/>
        <v>0.131428571428571</v>
      </c>
      <c r="K209" s="32">
        <f t="shared" si="7"/>
        <v>0.8398588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7.966</v>
      </c>
      <c r="D210" s="64">
        <v>0.12554</v>
      </c>
      <c r="E210" s="28">
        <v>0.04</v>
      </c>
      <c r="F210" s="28">
        <v>0.0</v>
      </c>
      <c r="G210" s="28">
        <v>0.0</v>
      </c>
      <c r="H210" s="28" t="s">
        <v>113</v>
      </c>
      <c r="I210" s="29">
        <f t="shared" si="5"/>
        <v>0.13</v>
      </c>
      <c r="J210" s="31">
        <f t="shared" si="6"/>
        <v>0.131428571428571</v>
      </c>
      <c r="K210" s="32">
        <f t="shared" si="7"/>
        <v>0.67188704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7.968</v>
      </c>
      <c r="D211" s="64">
        <v>0.12549</v>
      </c>
      <c r="E211" s="28">
        <v>0.01</v>
      </c>
      <c r="F211" s="28">
        <v>0.0</v>
      </c>
      <c r="G211" s="28">
        <v>0.0</v>
      </c>
      <c r="H211" s="28" t="s">
        <v>113</v>
      </c>
      <c r="I211" s="29">
        <f t="shared" si="5"/>
        <v>0.13</v>
      </c>
      <c r="J211" s="31">
        <f t="shared" si="6"/>
        <v>0.131428571428571</v>
      </c>
      <c r="K211" s="32">
        <f t="shared" si="7"/>
        <v>0.16797176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7.969</v>
      </c>
      <c r="D212" s="64">
        <v>0.12548</v>
      </c>
      <c r="E212" s="28">
        <v>0.0</v>
      </c>
      <c r="F212" s="28">
        <v>0.0</v>
      </c>
      <c r="G212" s="28">
        <v>0.0</v>
      </c>
      <c r="H212" s="28" t="s">
        <v>113</v>
      </c>
      <c r="I212" s="29">
        <f t="shared" si="5"/>
        <v>0.13</v>
      </c>
      <c r="J212" s="31">
        <f t="shared" si="6"/>
        <v>0.131428571428571</v>
      </c>
      <c r="K212" s="32">
        <f t="shared" si="7"/>
        <v>0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7.97</v>
      </c>
      <c r="D213" s="64">
        <v>0.12547</v>
      </c>
      <c r="E213" s="28">
        <v>0.0</v>
      </c>
      <c r="F213" s="28">
        <v>0.0</v>
      </c>
      <c r="G213" s="28">
        <v>0.0</v>
      </c>
      <c r="H213" s="28" t="s">
        <v>113</v>
      </c>
      <c r="I213" s="29">
        <f t="shared" si="5"/>
        <v>0.13</v>
      </c>
      <c r="J213" s="31">
        <f t="shared" si="6"/>
        <v>0.131428571428571</v>
      </c>
      <c r="K213" s="32">
        <f t="shared" si="7"/>
        <v>0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7.986</v>
      </c>
      <c r="D214" s="64">
        <v>0.12522</v>
      </c>
      <c r="E214" s="28">
        <v>0.0</v>
      </c>
      <c r="F214" s="28">
        <v>0.0</v>
      </c>
      <c r="G214" s="28">
        <v>0.0</v>
      </c>
      <c r="H214" s="28" t="s">
        <v>113</v>
      </c>
      <c r="I214" s="29">
        <f t="shared" si="5"/>
        <v>0.13</v>
      </c>
      <c r="J214" s="31">
        <f t="shared" si="6"/>
        <v>0.131428571428571</v>
      </c>
      <c r="K214" s="32">
        <f t="shared" si="7"/>
        <v>0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8.034</v>
      </c>
      <c r="D215" s="64">
        <v>0.12447</v>
      </c>
      <c r="E215" s="28">
        <v>0.01</v>
      </c>
      <c r="F215" s="28">
        <v>0.0</v>
      </c>
      <c r="G215" s="28">
        <v>0.09</v>
      </c>
      <c r="H215" s="28" t="s">
        <v>113</v>
      </c>
      <c r="I215" s="29">
        <f t="shared" si="5"/>
        <v>0.12</v>
      </c>
      <c r="J215" s="31">
        <f t="shared" si="6"/>
        <v>0.125714285714286</v>
      </c>
      <c r="K215" s="32">
        <f t="shared" si="7"/>
        <v>0.16066864</v>
      </c>
      <c r="L215" s="34">
        <f t="shared" si="8"/>
        <v>1.44601776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8.253</v>
      </c>
      <c r="D216" s="64">
        <v>0.12117</v>
      </c>
      <c r="E216" s="28">
        <v>0.04</v>
      </c>
      <c r="F216" s="28">
        <v>0.0</v>
      </c>
      <c r="G216" s="28">
        <v>4.28</v>
      </c>
      <c r="H216" s="28" t="s">
        <v>113</v>
      </c>
      <c r="I216" s="29">
        <f t="shared" si="5"/>
        <v>0.12</v>
      </c>
      <c r="J216" s="31">
        <f t="shared" si="6"/>
        <v>0.125714285714286</v>
      </c>
      <c r="K216" s="32">
        <f t="shared" si="7"/>
        <v>0.64267456</v>
      </c>
      <c r="L216" s="34">
        <f t="shared" si="8"/>
        <v>68.76617792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8.5</v>
      </c>
      <c r="D217" s="64">
        <v>0.11764</v>
      </c>
      <c r="E217" s="28">
        <v>0.11</v>
      </c>
      <c r="F217" s="28">
        <v>0.0</v>
      </c>
      <c r="G217" s="28">
        <v>0.74</v>
      </c>
      <c r="H217" s="28" t="s">
        <v>113</v>
      </c>
      <c r="I217" s="29">
        <f t="shared" si="5"/>
        <v>0.12</v>
      </c>
      <c r="J217" s="31">
        <f t="shared" si="6"/>
        <v>0.125714285714286</v>
      </c>
      <c r="K217" s="32">
        <f t="shared" si="7"/>
        <v>1.76735504</v>
      </c>
      <c r="L217" s="34">
        <f t="shared" si="8"/>
        <v>11.88947936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8.659</v>
      </c>
      <c r="D218" s="64">
        <v>0.11548</v>
      </c>
      <c r="E218" s="28">
        <v>0.0</v>
      </c>
      <c r="F218" s="28">
        <v>0.0</v>
      </c>
      <c r="G218" s="28">
        <v>0.0</v>
      </c>
      <c r="H218" s="28" t="s">
        <v>113</v>
      </c>
      <c r="I218" s="29">
        <f t="shared" si="5"/>
        <v>0.12</v>
      </c>
      <c r="J218" s="31">
        <f t="shared" si="6"/>
        <v>0.125714285714286</v>
      </c>
      <c r="K218" s="32">
        <f t="shared" si="7"/>
        <v>0</v>
      </c>
      <c r="L218" s="34">
        <f t="shared" si="8"/>
        <v>0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8.799</v>
      </c>
      <c r="D219" s="64">
        <v>0.11365</v>
      </c>
      <c r="E219" s="28">
        <v>0.0</v>
      </c>
      <c r="F219" s="28">
        <v>0.0</v>
      </c>
      <c r="G219" s="28">
        <v>0.03</v>
      </c>
      <c r="H219" s="28" t="s">
        <v>113</v>
      </c>
      <c r="I219" s="29">
        <f t="shared" si="5"/>
        <v>0.11</v>
      </c>
      <c r="J219" s="31">
        <f t="shared" si="6"/>
        <v>0.12</v>
      </c>
      <c r="K219" s="32">
        <f t="shared" si="7"/>
        <v>0</v>
      </c>
      <c r="L219" s="34">
        <f t="shared" si="8"/>
        <v>0.46009656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9.5" customHeight="1" x14ac:dyDescent="0.3">
      <c r="B220" s="114" t="s">
        <v>130</v>
      </c>
      <c r="C220" s="115"/>
      <c r="D220" s="115"/>
      <c r="E220" s="116">
        <f>SUM(E177:E219)</f>
        <v>88.47</v>
      </c>
      <c r="F220" s="116">
        <f t="shared" ref="F220" si="9">SUM(F177:F219)</f>
        <v>0</v>
      </c>
      <c r="G220" s="116">
        <f>SUM(G177:G219)</f>
        <v>92.45</v>
      </c>
      <c r="H220" s="143" t="s">
        <v>131</v>
      </c>
      <c r="I220" s="144"/>
      <c r="J220" s="145"/>
      <c r="K220" s="117">
        <f>SQRT(SUMSQ(K177:K219))</f>
        <v>1038.08845034276</v>
      </c>
      <c r="L220" s="117">
        <f>SQRT(SUMSQ(L177:L219))</f>
        <v>1261.82538627984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x14ac:dyDescent="0.3"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x14ac:dyDescent="0.3">
      <c r="H222" s="12" t="s">
        <v>132</v>
      </c>
      <c r="J222" s="12" t="s">
        <v>133</v>
      </c>
      <c r="K222" s="30">
        <f>E165</f>
        <v>12780.46</v>
      </c>
      <c r="L222" t="s">
        <v>134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H223" s="12" t="s">
        <v>135</v>
      </c>
      <c r="J223" s="12" t="s">
        <v>136</v>
      </c>
      <c r="K223" s="30">
        <f>E166</f>
        <v>12780.46</v>
      </c>
      <c r="L223" t="s">
        <v>134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K224" s="53"/>
      <c r="L224" s="53"/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8:27" x14ac:dyDescent="0.3">
      <c r="H225" s="12" t="s">
        <v>137</v>
      </c>
      <c r="J225" s="12" t="s">
        <v>138</v>
      </c>
      <c r="K225" s="30">
        <f>K222*VLOOKUP(MAX(E177:E219),E177:J219,6,0)</f>
        <v>1671.99709581522</v>
      </c>
      <c r="L225" s="30">
        <f>K222*VLOOKUP(MAX(G177:G219),G177:J219,4,0)</f>
        <v>2190.936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8:27" x14ac:dyDescent="0.3">
      <c r="J226" s="12" t="s">
        <v>139</v>
      </c>
      <c r="K226" s="30">
        <f>0.9*K225</f>
        <v>1504.7973862337</v>
      </c>
      <c r="L226" s="30">
        <f>0.9*L225</f>
        <v>1971.8424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8:27" x14ac:dyDescent="0.3">
      <c r="J227" s="12"/>
      <c r="K227" s="53"/>
      <c r="L227" s="53"/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8:27" x14ac:dyDescent="0.3">
      <c r="H228" s="12" t="s">
        <v>140</v>
      </c>
      <c r="J228" s="12" t="s">
        <v>141</v>
      </c>
      <c r="K228" s="30">
        <f>K222*G168</f>
        <v>2190.936</v>
      </c>
      <c r="L228" s="30">
        <f>K222*G168</f>
        <v>2190.936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8:27" x14ac:dyDescent="0.3">
      <c r="J229" s="12" t="s">
        <v>142</v>
      </c>
      <c r="K229" s="30">
        <f>0.8*K228</f>
        <v>1752.7488</v>
      </c>
      <c r="L229" s="30">
        <f>0.8*L228</f>
        <v>1752.7488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8:27" x14ac:dyDescent="0.3">
      <c r="J230" s="12"/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8:27" x14ac:dyDescent="0.3"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8:27" x14ac:dyDescent="0.3">
      <c r="H232" s="12" t="s">
        <v>143</v>
      </c>
      <c r="J232" s="12" t="s">
        <v>144</v>
      </c>
      <c r="K232" s="44">
        <f>MAX(K229,K226)</f>
        <v>1752.7488</v>
      </c>
      <c r="L232" s="44">
        <f>MAX(L229,L226)</f>
        <v>1971.8424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8:27" x14ac:dyDescent="0.3">
      <c r="H233" s="12"/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8:27" x14ac:dyDescent="0.3">
      <c r="K234" s="137" t="s">
        <v>145</v>
      </c>
      <c r="L234" s="138"/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8:27" x14ac:dyDescent="0.3">
      <c r="K235" s="23" t="s">
        <v>146</v>
      </c>
      <c r="L235" s="23" t="s">
        <v>147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8:27" x14ac:dyDescent="0.3">
      <c r="J236" s="12" t="s">
        <v>148</v>
      </c>
      <c r="K236" s="47">
        <f>K232/1000</f>
        <v>1.7527488</v>
      </c>
      <c r="L236" s="47">
        <f>L232/1000</f>
        <v>1.9718424</v>
      </c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8:27" x14ac:dyDescent="0.3">
      <c r="J237" s="12" t="s">
        <v>149</v>
      </c>
      <c r="K237" s="47">
        <f>K220/1000</f>
        <v>1.03808845034276</v>
      </c>
      <c r="L237" s="47">
        <f>L220/1000</f>
        <v>1.26182538627984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8:27" x14ac:dyDescent="0.3">
      <c r="J238" s="12" t="s">
        <v>150</v>
      </c>
      <c r="K238" s="68" t="str">
        <f>IF(K220&gt;=K232,"Se Cumple","No se Cumple")</f>
        <v>No se Cumple</v>
      </c>
      <c r="L238" s="68" t="str">
        <f>IF(L220&gt;=K232,"Se Cumple","No se Cumple")</f>
        <v>No se Cumple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8:27" x14ac:dyDescent="0.3">
      <c r="J239" s="17" t="s">
        <v>151</v>
      </c>
      <c r="K239" s="86">
        <f>MAX(K236/K237,1)</f>
        <v>1.68843878324748</v>
      </c>
      <c r="L239" s="86">
        <f>MAX(L236/L237,1)</f>
        <v>1.56269038603943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8:27" x14ac:dyDescent="0.3"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7" t="s">
        <v>152</v>
      </c>
      <c r="K241" s="86">
        <f>IF(K226/K220&lt;1,"N/A",K226/K220)</f>
        <v>1.44958494214711</v>
      </c>
      <c r="L241" s="86">
        <f>IF(L226/L220&lt;1,"N/A",L226/L220)</f>
        <v>1.56269038603943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K243" s="53">
        <f>K225/K220</f>
        <v>1.61064993571901</v>
      </c>
      <c r="L243" s="53">
        <f>L225/L220</f>
        <v>1.73632265115493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B246" s="3" t="s">
        <v>153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B248" t="s">
        <v>154</v>
      </c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B250" s="12" t="s">
        <v>46</v>
      </c>
      <c r="C250" s="40">
        <f>P33</f>
        <v>0.4</v>
      </c>
      <c r="H250" t="s">
        <v>99</v>
      </c>
      <c r="I250" t="s">
        <v>155</v>
      </c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s="12" t="s">
        <v>156</v>
      </c>
      <c r="C251" s="40">
        <f>P55</f>
        <v>3</v>
      </c>
      <c r="H251" t="s">
        <v>108</v>
      </c>
      <c r="I251" t="s">
        <v>110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B252" s="12" t="s">
        <v>157</v>
      </c>
      <c r="C252" s="40">
        <f>P57</f>
        <v>0.6</v>
      </c>
      <c r="H252">
        <v>0.01</v>
      </c>
      <c r="I252" s="53">
        <v>6.2857142857142861E-2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158</v>
      </c>
      <c r="C253" s="40">
        <f>Q85</f>
        <v>1</v>
      </c>
      <c r="H253">
        <v>0.02</v>
      </c>
      <c r="I253" s="53">
        <f>IF(H253&lt;$C$252/3,   ($C$253*$C$250/$C$254)*(1+(3*($C$251-1)*H253/$C$252)),   IF(H253&lt;=$C$252,   $C$253*$C$250*$C$251/$C$254,   $C$253*$C$250*$C$251/$C$254*($C$252/H253)^(2/3)   ))</f>
        <v>0.0685714285714286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58</v>
      </c>
      <c r="C254" s="40">
        <f>P99</f>
        <v>7</v>
      </c>
      <c r="H254">
        <v>0.03</v>
      </c>
      <c r="I254" s="53">
        <f t="shared" ref="I254:I316" si="10">IF(H254&lt;$C$252/3,   ($C$253*$C$250/$C$254)*(1+(3*($C$251-1)*H254/$C$252)),   IF(H254&lt;=$C$252,   $C$253*$C$250*$C$251/$C$254,   $C$253*$C$250*$C$251/$C$254*($C$252/H254)^(2/3)   ))</f>
        <v>0.0742857142857143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159</v>
      </c>
      <c r="C255" s="40">
        <f>P97</f>
        <v>6</v>
      </c>
      <c r="H255">
        <v>0.04</v>
      </c>
      <c r="I255" s="53">
        <f t="shared" si="10"/>
        <v>0.08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H256">
        <v>0.05</v>
      </c>
      <c r="I256" s="53">
        <f>IF(H256&lt;$C$252/3,   ($C$253*$C$250/$C$254)*(1+(3*($C$251-1)*H256/$C$252)),   IF(H256&lt;=$C$252,   $C$253*$C$250*$C$251/$C$254,   $C$253*$C$250*$C$251/$C$254*($C$252/H256)^(2/3)   ))</f>
        <v>0.0857142857142857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8:27" x14ac:dyDescent="0.3">
      <c r="H257">
        <v>0.06</v>
      </c>
      <c r="I257" s="53">
        <f t="shared" si="10"/>
        <v>0.0914285714285714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8:27" x14ac:dyDescent="0.3">
      <c r="H258">
        <v>7.0000000000000007E-2</v>
      </c>
      <c r="I258" s="53">
        <f t="shared" si="10"/>
        <v>0.0971428571428572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8:27" x14ac:dyDescent="0.3">
      <c r="H259">
        <v>0.08</v>
      </c>
      <c r="I259" s="53">
        <f t="shared" si="10"/>
        <v>0.102857142857143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8:27" x14ac:dyDescent="0.3">
      <c r="H260">
        <v>0.09</v>
      </c>
      <c r="I260" s="53">
        <f t="shared" si="10"/>
        <v>0.108571428571429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8:27" x14ac:dyDescent="0.3">
      <c r="H261">
        <v>0.1</v>
      </c>
      <c r="I261" s="53">
        <f t="shared" si="10"/>
        <v>0.114285714285714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8:27" x14ac:dyDescent="0.3">
      <c r="H262">
        <v>0.11</v>
      </c>
      <c r="I262" s="53">
        <f t="shared" si="10"/>
        <v>0.12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8:27" x14ac:dyDescent="0.3">
      <c r="H263">
        <v>0.12</v>
      </c>
      <c r="I263" s="53">
        <f t="shared" si="10"/>
        <v>0.125714285714286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8:27" x14ac:dyDescent="0.3">
      <c r="H264">
        <v>0.13</v>
      </c>
      <c r="I264" s="53">
        <f t="shared" si="10"/>
        <v>0.131428571428571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8:27" x14ac:dyDescent="0.3">
      <c r="H265">
        <v>0.14000000000000001</v>
      </c>
      <c r="I265" s="53">
        <f t="shared" si="10"/>
        <v>0.137142857142857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8:27" x14ac:dyDescent="0.3">
      <c r="H266">
        <v>0.15</v>
      </c>
      <c r="I266" s="53">
        <f t="shared" si="10"/>
        <v>0.142857142857143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 x14ac:dyDescent="0.3">
      <c r="H267">
        <v>0.16</v>
      </c>
      <c r="I267" s="53">
        <f t="shared" si="10"/>
        <v>0.148571428571429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0.17</v>
      </c>
      <c r="I268" s="53">
        <f t="shared" si="10"/>
        <v>0.154285714285714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0.18</v>
      </c>
      <c r="I269" s="53">
        <f t="shared" si="10"/>
        <v>0.16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0.19</v>
      </c>
      <c r="I270" s="53">
        <f t="shared" si="10"/>
        <v>0.165714285714286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0.2</v>
      </c>
      <c r="I271" s="53">
        <f t="shared" si="10"/>
        <v>0.171428571428571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0.21</v>
      </c>
      <c r="I272" s="53">
        <f t="shared" si="10"/>
        <v>0.171428571428571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0.22</v>
      </c>
      <c r="I273" s="53">
        <f t="shared" si="10"/>
        <v>0.171428571428571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0.23</v>
      </c>
      <c r="I274" s="53">
        <f t="shared" si="10"/>
        <v>0.171428571428571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0.24</v>
      </c>
      <c r="I275" s="53">
        <f t="shared" si="10"/>
        <v>0.171428571428571</v>
      </c>
      <c r="K275">
        <v>0.5</v>
      </c>
      <c r="L275">
        <v>0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0.25</v>
      </c>
      <c r="I276" s="53">
        <f t="shared" si="10"/>
        <v>0.171428571428571</v>
      </c>
      <c r="K276">
        <v>0.5</v>
      </c>
      <c r="L276">
        <v>0.33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0.26</v>
      </c>
      <c r="I277" s="53">
        <f t="shared" si="10"/>
        <v>0.171428571428571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0.27</v>
      </c>
      <c r="I278" s="53">
        <f t="shared" si="10"/>
        <v>0.171428571428571</v>
      </c>
      <c r="K278">
        <v>0.71</v>
      </c>
      <c r="L278">
        <v>0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0.28000000000000003</v>
      </c>
      <c r="I279" s="53">
        <f t="shared" si="10"/>
        <v>0.171428571428571</v>
      </c>
      <c r="K279">
        <v>0.71</v>
      </c>
      <c r="L279">
        <v>0.26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0.28999999999999998</v>
      </c>
      <c r="I280" s="53">
        <f t="shared" si="10"/>
        <v>0.171428571428571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0.3</v>
      </c>
      <c r="I281" s="53">
        <f t="shared" si="10"/>
        <v>0.171428571428571</v>
      </c>
      <c r="K281">
        <v>0.94</v>
      </c>
      <c r="L281">
        <v>0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0.31</v>
      </c>
      <c r="I282" s="53">
        <f t="shared" si="10"/>
        <v>0.171428571428571</v>
      </c>
      <c r="K282">
        <v>0.94</v>
      </c>
      <c r="L282">
        <v>0.217</v>
      </c>
    </row>
    <row r="283" spans="8:27" x14ac:dyDescent="0.3">
      <c r="H283">
        <v>0.32</v>
      </c>
      <c r="I283" s="53">
        <f t="shared" si="10"/>
        <v>0.171428571428571</v>
      </c>
      <c r="V283">
        <f>SUM(V190:V281)</f>
        <v>-96.69</v>
      </c>
    </row>
    <row r="284" spans="8:27" x14ac:dyDescent="0.3">
      <c r="H284">
        <v>0.33</v>
      </c>
      <c r="I284" s="53">
        <f t="shared" si="10"/>
        <v>0.171428571428571</v>
      </c>
    </row>
    <row r="285" spans="8:27" x14ac:dyDescent="0.3">
      <c r="H285">
        <v>0.34</v>
      </c>
      <c r="I285" s="53">
        <f t="shared" si="10"/>
        <v>0.171428571428571</v>
      </c>
    </row>
    <row r="286" spans="8:27" x14ac:dyDescent="0.3">
      <c r="H286">
        <v>0.35</v>
      </c>
      <c r="I286" s="53">
        <f t="shared" si="10"/>
        <v>0.171428571428571</v>
      </c>
    </row>
    <row r="287" spans="8:27" x14ac:dyDescent="0.3">
      <c r="H287">
        <v>0.36</v>
      </c>
      <c r="I287" s="53">
        <f t="shared" si="10"/>
        <v>0.171428571428571</v>
      </c>
    </row>
    <row r="288" spans="8:27" x14ac:dyDescent="0.3">
      <c r="H288">
        <v>0.37</v>
      </c>
      <c r="I288" s="53">
        <f t="shared" si="10"/>
        <v>0.171428571428571</v>
      </c>
    </row>
    <row r="289" spans="8:9" x14ac:dyDescent="0.3">
      <c r="H289">
        <v>0.38</v>
      </c>
      <c r="I289" s="53">
        <f t="shared" si="10"/>
        <v>0.171428571428571</v>
      </c>
    </row>
    <row r="290" spans="8:9" x14ac:dyDescent="0.3">
      <c r="H290">
        <v>0.39</v>
      </c>
      <c r="I290" s="53">
        <f t="shared" si="10"/>
        <v>0.171428571428571</v>
      </c>
    </row>
    <row r="291" spans="8:9" x14ac:dyDescent="0.3">
      <c r="H291">
        <v>0.4</v>
      </c>
      <c r="I291" s="53">
        <f t="shared" si="10"/>
        <v>0.171428571428571</v>
      </c>
    </row>
    <row r="292" spans="8:9" x14ac:dyDescent="0.3">
      <c r="H292">
        <v>0.41</v>
      </c>
      <c r="I292" s="53">
        <f t="shared" si="10"/>
        <v>0.171428571428571</v>
      </c>
    </row>
    <row r="293" spans="8:9" x14ac:dyDescent="0.3">
      <c r="H293">
        <v>0.42</v>
      </c>
      <c r="I293" s="53">
        <f t="shared" si="10"/>
        <v>0.171428571428571</v>
      </c>
    </row>
    <row r="294" spans="8:9" x14ac:dyDescent="0.3">
      <c r="H294">
        <v>0.43</v>
      </c>
      <c r="I294" s="53">
        <f t="shared" si="10"/>
        <v>0.171428571428571</v>
      </c>
    </row>
    <row r="295" spans="8:9" x14ac:dyDescent="0.3">
      <c r="H295">
        <v>0.44</v>
      </c>
      <c r="I295" s="53">
        <f t="shared" si="10"/>
        <v>0.171428571428571</v>
      </c>
    </row>
    <row r="296" spans="8:9" x14ac:dyDescent="0.3">
      <c r="H296">
        <v>0.45</v>
      </c>
      <c r="I296" s="53">
        <f t="shared" si="10"/>
        <v>0.171428571428571</v>
      </c>
    </row>
    <row r="297" spans="8:9" x14ac:dyDescent="0.3">
      <c r="H297">
        <v>0.46</v>
      </c>
      <c r="I297" s="53">
        <f t="shared" si="10"/>
        <v>0.171428571428571</v>
      </c>
    </row>
    <row r="298" spans="8:9" x14ac:dyDescent="0.3">
      <c r="H298">
        <v>0.47</v>
      </c>
      <c r="I298" s="53">
        <f t="shared" si="10"/>
        <v>0.171428571428571</v>
      </c>
    </row>
    <row r="299" spans="8:9" x14ac:dyDescent="0.3">
      <c r="H299">
        <v>0.48</v>
      </c>
      <c r="I299" s="53">
        <f t="shared" si="10"/>
        <v>0.171428571428571</v>
      </c>
    </row>
    <row r="300" spans="8:9" x14ac:dyDescent="0.3">
      <c r="H300">
        <v>0.49</v>
      </c>
      <c r="I300" s="53">
        <f t="shared" si="10"/>
        <v>0.171428571428571</v>
      </c>
    </row>
    <row r="301" spans="8:9" x14ac:dyDescent="0.3">
      <c r="H301">
        <v>0.5</v>
      </c>
      <c r="I301" s="53">
        <f t="shared" si="10"/>
        <v>0.171428571428571</v>
      </c>
    </row>
    <row r="302" spans="8:9" x14ac:dyDescent="0.3">
      <c r="H302">
        <v>0.51</v>
      </c>
      <c r="I302" s="53">
        <f t="shared" si="10"/>
        <v>0.171428571428571</v>
      </c>
    </row>
    <row r="303" spans="8:9" x14ac:dyDescent="0.3">
      <c r="H303">
        <v>0.52</v>
      </c>
      <c r="I303" s="53">
        <f t="shared" si="10"/>
        <v>0.171428571428571</v>
      </c>
    </row>
    <row r="304" spans="8:9" x14ac:dyDescent="0.3">
      <c r="H304">
        <v>0.53</v>
      </c>
      <c r="I304" s="53">
        <f t="shared" si="10"/>
        <v>0.171428571428571</v>
      </c>
    </row>
    <row r="305" spans="8:9" x14ac:dyDescent="0.3">
      <c r="H305">
        <v>0.54</v>
      </c>
      <c r="I305" s="53">
        <f t="shared" si="10"/>
        <v>0.171428571428571</v>
      </c>
    </row>
    <row r="306" spans="8:9" x14ac:dyDescent="0.3">
      <c r="H306">
        <v>0.55000000000000004</v>
      </c>
      <c r="I306" s="53">
        <f t="shared" si="10"/>
        <v>0.171428571428571</v>
      </c>
    </row>
    <row r="307" spans="8:9" x14ac:dyDescent="0.3">
      <c r="H307">
        <v>0.56000000000000005</v>
      </c>
      <c r="I307" s="53">
        <f t="shared" si="10"/>
        <v>0.171428571428571</v>
      </c>
    </row>
    <row r="308" spans="8:9" x14ac:dyDescent="0.3">
      <c r="H308">
        <v>0.56999999999999995</v>
      </c>
      <c r="I308" s="53">
        <f t="shared" si="10"/>
        <v>0.171428571428571</v>
      </c>
    </row>
    <row r="309" spans="8:9" x14ac:dyDescent="0.3">
      <c r="H309">
        <v>0.57999999999999996</v>
      </c>
      <c r="I309" s="53">
        <f t="shared" si="10"/>
        <v>0.171428571428571</v>
      </c>
    </row>
    <row r="310" spans="8:9" x14ac:dyDescent="0.3">
      <c r="H310">
        <v>0.59</v>
      </c>
      <c r="I310" s="53">
        <f t="shared" si="10"/>
        <v>0.171428571428571</v>
      </c>
    </row>
    <row r="311" spans="8:9" x14ac:dyDescent="0.3">
      <c r="H311">
        <v>0.6</v>
      </c>
      <c r="I311" s="53">
        <f t="shared" si="10"/>
        <v>0.171428571428571</v>
      </c>
    </row>
    <row r="312" spans="8:9" x14ac:dyDescent="0.3">
      <c r="H312">
        <v>0.61</v>
      </c>
      <c r="I312" s="53">
        <f t="shared" si="10"/>
        <v>0.16954987852001</v>
      </c>
    </row>
    <row r="313" spans="8:9" x14ac:dyDescent="0.3">
      <c r="H313">
        <v>0.62</v>
      </c>
      <c r="I313" s="53">
        <f t="shared" si="10"/>
        <v>0.167721825228907</v>
      </c>
    </row>
    <row r="314" spans="8:9" x14ac:dyDescent="0.3">
      <c r="H314">
        <v>0.63</v>
      </c>
      <c r="I314" s="53">
        <f t="shared" si="10"/>
        <v>0.165942262337119</v>
      </c>
    </row>
    <row r="315" spans="8:9" x14ac:dyDescent="0.3">
      <c r="H315">
        <v>0.64</v>
      </c>
      <c r="I315" s="53">
        <f t="shared" si="10"/>
        <v>0.164209164084333</v>
      </c>
    </row>
    <row r="316" spans="8:9" x14ac:dyDescent="0.3">
      <c r="H316">
        <v>0.65</v>
      </c>
      <c r="I316" s="53">
        <f t="shared" si="10"/>
        <v>0.162520619281293</v>
      </c>
    </row>
    <row r="317" spans="8:9" x14ac:dyDescent="0.3">
      <c r="H317">
        <v>0.66</v>
      </c>
      <c r="I317" s="53">
        <f t="shared" ref="I317:I380" si="11">IF(H317&lt;$C$252/3,   ($C$253*$C$250/$C$254)*(1+(3*($C$251-1)*H317/$C$252)),   IF(H317&lt;=$C$252,   $C$253*$C$250*$C$251/$C$254,   $C$253*$C$250*$C$251/$C$254*($C$252/H317)^(2/3)   ))</f>
        <v>0.160874823188005</v>
      </c>
    </row>
    <row r="318" spans="8:9" x14ac:dyDescent="0.3">
      <c r="H318">
        <v>0.67</v>
      </c>
      <c r="I318" s="53">
        <f t="shared" si="11"/>
        <v>0.159270070080596</v>
      </c>
    </row>
    <row r="319" spans="8:9" x14ac:dyDescent="0.3">
      <c r="H319">
        <v>0.68</v>
      </c>
      <c r="I319" s="53">
        <f t="shared" si="11"/>
        <v>0.157704746439153</v>
      </c>
    </row>
    <row r="320" spans="8:9" x14ac:dyDescent="0.3">
      <c r="H320">
        <v>0.69</v>
      </c>
      <c r="I320" s="53">
        <f t="shared" si="11"/>
        <v>0.156177324696395</v>
      </c>
    </row>
    <row r="321" spans="8:9" x14ac:dyDescent="0.3">
      <c r="H321">
        <v>0.7</v>
      </c>
      <c r="I321" s="53">
        <f t="shared" si="11"/>
        <v>0.154686357493626</v>
      </c>
    </row>
    <row r="322" spans="8:9" x14ac:dyDescent="0.3">
      <c r="H322">
        <v>0.71</v>
      </c>
      <c r="I322" s="53">
        <f t="shared" si="11"/>
        <v>0.153230472396236</v>
      </c>
    </row>
    <row r="323" spans="8:9" x14ac:dyDescent="0.3">
      <c r="H323">
        <v>0.72</v>
      </c>
      <c r="I323" s="53">
        <f t="shared" si="11"/>
        <v>0.151808367026087</v>
      </c>
    </row>
    <row r="324" spans="8:9" x14ac:dyDescent="0.3">
      <c r="H324">
        <v>0.73</v>
      </c>
      <c r="I324" s="53">
        <f t="shared" si="11"/>
        <v>0.150418804572635</v>
      </c>
    </row>
    <row r="325" spans="8:9" x14ac:dyDescent="0.3">
      <c r="H325">
        <v>0.74</v>
      </c>
      <c r="I325" s="53">
        <f t="shared" si="11"/>
        <v>0.149060609648575</v>
      </c>
    </row>
    <row r="326" spans="8:9" x14ac:dyDescent="0.3">
      <c r="H326">
        <v>0.75</v>
      </c>
      <c r="I326" s="53">
        <f t="shared" si="11"/>
        <v>0.147732664459329</v>
      </c>
    </row>
    <row r="327" spans="8:9" x14ac:dyDescent="0.3">
      <c r="H327">
        <v>0.76</v>
      </c>
      <c r="I327" s="53">
        <f t="shared" si="11"/>
        <v>0.146433905258779</v>
      </c>
    </row>
    <row r="328" spans="8:9" x14ac:dyDescent="0.3">
      <c r="H328">
        <v>0.77</v>
      </c>
      <c r="I328" s="53">
        <f t="shared" si="11"/>
        <v>0.145163319066404</v>
      </c>
    </row>
    <row r="329" spans="8:9" x14ac:dyDescent="0.3">
      <c r="H329">
        <v>0.78</v>
      </c>
      <c r="I329" s="53">
        <f t="shared" si="11"/>
        <v>0.143919940623443</v>
      </c>
    </row>
    <row r="330" spans="8:9" x14ac:dyDescent="0.3">
      <c r="H330">
        <v>0.79</v>
      </c>
      <c r="I330" s="53">
        <f t="shared" si="11"/>
        <v>0.142702849567845</v>
      </c>
    </row>
    <row r="331" spans="8:9" x14ac:dyDescent="0.3">
      <c r="H331">
        <v>0.8</v>
      </c>
      <c r="I331" s="53">
        <f t="shared" si="11"/>
        <v>0.14151116780977</v>
      </c>
    </row>
    <row r="332" spans="8:9" x14ac:dyDescent="0.3">
      <c r="H332">
        <v>0.81</v>
      </c>
      <c r="I332" s="53">
        <f t="shared" si="11"/>
        <v>0.140344057091062</v>
      </c>
    </row>
    <row r="333" spans="8:9" x14ac:dyDescent="0.3">
      <c r="H333">
        <v>0.82</v>
      </c>
      <c r="I333" s="53">
        <f t="shared" si="11"/>
        <v>0.139200716713741</v>
      </c>
    </row>
    <row r="334" spans="8:9" x14ac:dyDescent="0.3">
      <c r="H334">
        <v>0.83</v>
      </c>
      <c r="I334" s="53">
        <f t="shared" si="11"/>
        <v>0.138080381423881</v>
      </c>
    </row>
    <row r="335" spans="8:9" x14ac:dyDescent="0.3">
      <c r="H335">
        <v>0.84</v>
      </c>
      <c r="I335" s="53">
        <f t="shared" si="11"/>
        <v>0.136982319438538</v>
      </c>
    </row>
    <row r="336" spans="8:9" x14ac:dyDescent="0.3">
      <c r="H336">
        <v>0.85</v>
      </c>
      <c r="I336" s="53">
        <f t="shared" si="11"/>
        <v>0.135905830604477</v>
      </c>
    </row>
    <row r="337" spans="8:9" x14ac:dyDescent="0.3">
      <c r="H337">
        <v>0.86</v>
      </c>
      <c r="I337" s="53">
        <f t="shared" si="11"/>
        <v>0.134850244678459</v>
      </c>
    </row>
    <row r="338" spans="8:9" x14ac:dyDescent="0.3">
      <c r="H338">
        <v>0.87</v>
      </c>
      <c r="I338" s="53">
        <f t="shared" si="11"/>
        <v>0.133814919719758</v>
      </c>
    </row>
    <row r="339" spans="8:9" x14ac:dyDescent="0.3">
      <c r="H339">
        <v>0.88</v>
      </c>
      <c r="I339" s="53">
        <f t="shared" si="11"/>
        <v>0.132799240586395</v>
      </c>
    </row>
    <row r="340" spans="8:9" x14ac:dyDescent="0.3">
      <c r="H340">
        <v>0.89</v>
      </c>
      <c r="I340" s="53">
        <f t="shared" si="11"/>
        <v>0.131802617527292</v>
      </c>
    </row>
    <row r="341" spans="8:9" x14ac:dyDescent="0.3">
      <c r="H341">
        <v>0.9</v>
      </c>
      <c r="I341" s="53">
        <f t="shared" si="11"/>
        <v>0.130824484863238</v>
      </c>
    </row>
    <row r="342" spans="8:9" x14ac:dyDescent="0.3">
      <c r="H342">
        <v>0.91</v>
      </c>
      <c r="I342" s="53">
        <f t="shared" si="11"/>
        <v>0.129864299750145</v>
      </c>
    </row>
    <row r="343" spans="8:9" x14ac:dyDescent="0.3">
      <c r="H343">
        <v>0.92</v>
      </c>
      <c r="I343" s="53">
        <f t="shared" si="11"/>
        <v>0.128921541018622</v>
      </c>
    </row>
    <row r="344" spans="8:9" x14ac:dyDescent="0.3">
      <c r="H344">
        <v>0.93</v>
      </c>
      <c r="I344" s="53">
        <f t="shared" si="11"/>
        <v>0.12799570808438</v>
      </c>
    </row>
    <row r="345" spans="8:9" x14ac:dyDescent="0.3">
      <c r="H345">
        <v>0.94</v>
      </c>
      <c r="I345" s="53">
        <f t="shared" si="11"/>
        <v>0.127086319924445</v>
      </c>
    </row>
    <row r="346" spans="8:9" x14ac:dyDescent="0.3">
      <c r="H346">
        <v>0.95</v>
      </c>
      <c r="I346" s="53">
        <f t="shared" si="11"/>
        <v>0.126192914114542</v>
      </c>
    </row>
    <row r="347" spans="8:9" x14ac:dyDescent="0.3">
      <c r="H347">
        <v>0.96</v>
      </c>
      <c r="I347" s="53">
        <f t="shared" si="11"/>
        <v>0.125315045923409</v>
      </c>
    </row>
    <row r="348" spans="8:9" x14ac:dyDescent="0.3">
      <c r="H348">
        <v>0.97</v>
      </c>
      <c r="I348" s="53">
        <f t="shared" si="11"/>
        <v>0.1244522874601</v>
      </c>
    </row>
    <row r="349" spans="8:9" x14ac:dyDescent="0.3">
      <c r="H349">
        <v>0.98</v>
      </c>
      <c r="I349" s="53">
        <f t="shared" si="11"/>
        <v>0.123604226870692</v>
      </c>
    </row>
    <row r="350" spans="8:9" x14ac:dyDescent="0.3">
      <c r="H350">
        <v>0.99</v>
      </c>
      <c r="I350" s="53">
        <f t="shared" si="11"/>
        <v>0.122770467581039</v>
      </c>
    </row>
    <row r="351" spans="8:9" x14ac:dyDescent="0.3">
      <c r="H351">
        <v>1</v>
      </c>
      <c r="I351" s="53">
        <f t="shared" si="11"/>
        <v>0.121950627582516</v>
      </c>
    </row>
    <row r="352" spans="8:9" x14ac:dyDescent="0.3">
      <c r="H352">
        <v>1.01</v>
      </c>
      <c r="I352" s="53">
        <f t="shared" si="11"/>
        <v>0.121144338757902</v>
      </c>
    </row>
    <row r="353" spans="8:9" x14ac:dyDescent="0.3">
      <c r="H353">
        <v>1.02</v>
      </c>
      <c r="I353" s="53">
        <f t="shared" si="11"/>
        <v>0.120351246244774</v>
      </c>
    </row>
    <row r="354" spans="8:9" x14ac:dyDescent="0.3">
      <c r="H354">
        <v>1.03</v>
      </c>
      <c r="I354" s="53">
        <f t="shared" si="11"/>
        <v>0.119571007833982</v>
      </c>
    </row>
    <row r="355" spans="8:9" x14ac:dyDescent="0.3">
      <c r="H355">
        <v>1.04</v>
      </c>
      <c r="I355" s="53">
        <f t="shared" si="11"/>
        <v>0.11880329340096</v>
      </c>
    </row>
    <row r="356" spans="8:9" x14ac:dyDescent="0.3">
      <c r="H356">
        <v>1.05</v>
      </c>
      <c r="I356" s="53">
        <f t="shared" si="11"/>
        <v>0.118047784367766</v>
      </c>
    </row>
    <row r="357" spans="8:9" x14ac:dyDescent="0.3">
      <c r="H357">
        <v>1.06</v>
      </c>
      <c r="I357" s="53">
        <f t="shared" si="11"/>
        <v>0.117304173193934</v>
      </c>
    </row>
    <row r="358" spans="8:9" x14ac:dyDescent="0.3">
      <c r="H358">
        <v>1.07</v>
      </c>
      <c r="I358" s="53">
        <f t="shared" si="11"/>
        <v>0.116572162894331</v>
      </c>
    </row>
    <row r="359" spans="8:9" x14ac:dyDescent="0.3">
      <c r="H359">
        <v>1.08</v>
      </c>
      <c r="I359" s="53">
        <f t="shared" si="11"/>
        <v>0.115851466582351</v>
      </c>
    </row>
    <row r="360" spans="8:9" x14ac:dyDescent="0.3">
      <c r="H360">
        <v>1.0900000000000001</v>
      </c>
      <c r="I360" s="53">
        <f t="shared" si="11"/>
        <v>0.115141807036894</v>
      </c>
    </row>
    <row r="361" spans="8:9" x14ac:dyDescent="0.3">
      <c r="H361">
        <v>1.1000000000000001</v>
      </c>
      <c r="I361" s="53">
        <f t="shared" si="11"/>
        <v>0.114442916291688</v>
      </c>
    </row>
    <row r="362" spans="8:9" x14ac:dyDescent="0.3">
      <c r="H362">
        <v>1.1100000000000001</v>
      </c>
      <c r="I362" s="53">
        <f t="shared" si="11"/>
        <v>0.113754535245605</v>
      </c>
    </row>
    <row r="363" spans="8:9" x14ac:dyDescent="0.3">
      <c r="H363">
        <v>1.1200000000000001</v>
      </c>
      <c r="I363" s="53">
        <f t="shared" si="11"/>
        <v>0.113076413292725</v>
      </c>
    </row>
    <row r="364" spans="8:9" x14ac:dyDescent="0.3">
      <c r="H364">
        <v>1.1299999999999999</v>
      </c>
      <c r="I364" s="53">
        <f t="shared" si="11"/>
        <v>0.112408307970979</v>
      </c>
    </row>
    <row r="365" spans="8:9" x14ac:dyDescent="0.3">
      <c r="H365">
        <v>1.1399999999999999</v>
      </c>
      <c r="I365" s="53">
        <f t="shared" si="11"/>
        <v>0.111749984628286</v>
      </c>
    </row>
    <row r="366" spans="8:9" x14ac:dyDescent="0.3">
      <c r="H366">
        <v>1.1499999999999999</v>
      </c>
      <c r="I366" s="53">
        <f t="shared" si="11"/>
        <v>0.111101216105155</v>
      </c>
    </row>
    <row r="367" spans="8:9" x14ac:dyDescent="0.3">
      <c r="H367">
        <v>1.1599999999999999</v>
      </c>
      <c r="I367" s="53">
        <f t="shared" si="11"/>
        <v>0.110461782432829</v>
      </c>
    </row>
    <row r="368" spans="8:9" x14ac:dyDescent="0.3">
      <c r="H368">
        <v>1.17</v>
      </c>
      <c r="I368" s="53">
        <f t="shared" si="11"/>
        <v>0.109831470546056</v>
      </c>
    </row>
    <row r="369" spans="8:9" x14ac:dyDescent="0.3">
      <c r="H369">
        <v>1.18</v>
      </c>
      <c r="I369" s="53">
        <f t="shared" si="11"/>
        <v>0.109210074009687</v>
      </c>
    </row>
    <row r="370" spans="8:9" x14ac:dyDescent="0.3">
      <c r="H370">
        <v>1.19</v>
      </c>
      <c r="I370" s="53">
        <f t="shared" si="11"/>
        <v>0.108597392758297</v>
      </c>
    </row>
    <row r="371" spans="8:9" x14ac:dyDescent="0.3">
      <c r="H371">
        <v>1.2</v>
      </c>
      <c r="I371" s="53">
        <f t="shared" si="11"/>
        <v>0.107993232848132</v>
      </c>
    </row>
    <row r="372" spans="8:9" x14ac:dyDescent="0.3">
      <c r="H372">
        <v>1.21</v>
      </c>
      <c r="I372" s="53">
        <f t="shared" si="11"/>
        <v>0.107397406220679</v>
      </c>
    </row>
    <row r="373" spans="8:9" x14ac:dyDescent="0.3">
      <c r="H373">
        <v>1.22</v>
      </c>
      <c r="I373" s="53">
        <f t="shared" si="11"/>
        <v>0.10680973047724</v>
      </c>
    </row>
    <row r="374" spans="8:9" x14ac:dyDescent="0.3">
      <c r="H374">
        <v>1.23</v>
      </c>
      <c r="I374" s="53">
        <f t="shared" si="11"/>
        <v>0.106230028663901</v>
      </c>
    </row>
    <row r="375" spans="8:9" x14ac:dyDescent="0.3">
      <c r="H375">
        <v>1.24</v>
      </c>
      <c r="I375" s="53">
        <f t="shared" si="11"/>
        <v>0.105658129066344</v>
      </c>
    </row>
    <row r="376" spans="8:9" x14ac:dyDescent="0.3">
      <c r="H376">
        <v>1.25</v>
      </c>
      <c r="I376" s="53">
        <f t="shared" si="11"/>
        <v>0.105093865013973</v>
      </c>
    </row>
    <row r="377" spans="8:9" x14ac:dyDescent="0.3">
      <c r="H377">
        <v>1.26</v>
      </c>
      <c r="I377" s="53">
        <f t="shared" si="11"/>
        <v>0.104537074692857</v>
      </c>
    </row>
    <row r="378" spans="8:9" x14ac:dyDescent="0.3">
      <c r="H378">
        <v>1.27</v>
      </c>
      <c r="I378" s="53">
        <f t="shared" si="11"/>
        <v>0.103987600967036</v>
      </c>
    </row>
    <row r="379" spans="8:9" x14ac:dyDescent="0.3">
      <c r="H379">
        <v>1.28</v>
      </c>
      <c r="I379" s="53">
        <f t="shared" si="11"/>
        <v>0.103445291207746</v>
      </c>
    </row>
    <row r="380" spans="8:9" x14ac:dyDescent="0.3">
      <c r="H380">
        <v>1.29</v>
      </c>
      <c r="I380" s="53">
        <f t="shared" si="11"/>
        <v>0.102909997130155</v>
      </c>
    </row>
    <row r="381" spans="8:9" x14ac:dyDescent="0.3">
      <c r="H381">
        <v>1.3</v>
      </c>
      <c r="I381" s="53">
        <f t="shared" ref="I381:I444" si="12">IF(H381&lt;$C$252/3,   ($C$253*$C$250/$C$254)*(1+(3*($C$251-1)*H381/$C$252)),   IF(H381&lt;=$C$252,   $C$253*$C$250*$C$251/$C$254,   $C$253*$C$250*$C$251/$C$254*($C$252/H381)^(2/3)   ))</f>
        <v>0.102381574637226</v>
      </c>
    </row>
    <row r="382" spans="8:9" x14ac:dyDescent="0.3">
      <c r="H382">
        <v>1.31</v>
      </c>
      <c r="I382" s="53">
        <f t="shared" si="12"/>
        <v>0.101859883670339</v>
      </c>
    </row>
    <row r="383" spans="8:9" x14ac:dyDescent="0.3">
      <c r="H383">
        <v>1.32</v>
      </c>
      <c r="I383" s="53">
        <f t="shared" si="12"/>
        <v>0.101344788066342</v>
      </c>
    </row>
    <row r="384" spans="8:9" x14ac:dyDescent="0.3">
      <c r="H384">
        <v>1.33</v>
      </c>
      <c r="I384" s="53">
        <f t="shared" si="12"/>
        <v>0.10083615542069</v>
      </c>
    </row>
    <row r="385" spans="8:9" x14ac:dyDescent="0.3">
      <c r="H385">
        <v>1.34</v>
      </c>
      <c r="I385" s="53">
        <f t="shared" si="12"/>
        <v>0.100333856956387</v>
      </c>
    </row>
    <row r="386" spans="8:9" x14ac:dyDescent="0.3">
      <c r="H386">
        <v>1.35</v>
      </c>
      <c r="I386" s="53">
        <f t="shared" si="12"/>
        <v>0.0998377673984342</v>
      </c>
    </row>
    <row r="387" spans="8:9" x14ac:dyDescent="0.3">
      <c r="H387">
        <v>1.36</v>
      </c>
      <c r="I387" s="53">
        <f t="shared" si="12"/>
        <v>0.0993477648535112</v>
      </c>
    </row>
    <row r="388" spans="8:9" x14ac:dyDescent="0.3">
      <c r="H388">
        <v>1.37</v>
      </c>
      <c r="I388" s="53">
        <f t="shared" si="12"/>
        <v>0.0988637306946468</v>
      </c>
    </row>
    <row r="389" spans="8:9" x14ac:dyDescent="0.3">
      <c r="H389">
        <v>1.38</v>
      </c>
      <c r="I389" s="53">
        <f t="shared" si="12"/>
        <v>0.098385549450627</v>
      </c>
    </row>
    <row r="390" spans="8:9" x14ac:dyDescent="0.3">
      <c r="H390">
        <v>1.39</v>
      </c>
      <c r="I390" s="53">
        <f t="shared" si="12"/>
        <v>0.0979131086999187</v>
      </c>
    </row>
    <row r="391" spans="8:9" x14ac:dyDescent="0.3">
      <c r="H391">
        <v>1.4</v>
      </c>
      <c r="I391" s="53">
        <f t="shared" si="12"/>
        <v>0.0974462989688913</v>
      </c>
    </row>
    <row r="392" spans="8:9" x14ac:dyDescent="0.3">
      <c r="H392">
        <v>1.41</v>
      </c>
      <c r="I392" s="53">
        <f t="shared" si="12"/>
        <v>0.096985013634134</v>
      </c>
    </row>
    <row r="393" spans="8:9" x14ac:dyDescent="0.3">
      <c r="H393">
        <v>1.42</v>
      </c>
      <c r="I393" s="53">
        <f t="shared" si="12"/>
        <v>0.0965291488286762</v>
      </c>
    </row>
    <row r="394" spans="8:9" x14ac:dyDescent="0.3">
      <c r="H394">
        <v>1.43</v>
      </c>
      <c r="I394" s="53">
        <f t="shared" si="12"/>
        <v>0.0960786033519276</v>
      </c>
    </row>
    <row r="395" spans="8:9" x14ac:dyDescent="0.3">
      <c r="H395">
        <v>1.44</v>
      </c>
      <c r="I395" s="53">
        <f t="shared" si="12"/>
        <v>0.0956332785831671</v>
      </c>
    </row>
    <row r="396" spans="8:9" x14ac:dyDescent="0.3">
      <c r="H396">
        <v>1.45</v>
      </c>
      <c r="I396" s="53">
        <f t="shared" si="12"/>
        <v>0.0951930783984163</v>
      </c>
    </row>
    <row r="397" spans="8:9" x14ac:dyDescent="0.3">
      <c r="H397">
        <v>1.46</v>
      </c>
      <c r="I397" s="53">
        <f t="shared" si="12"/>
        <v>0.0947579090905433</v>
      </c>
    </row>
    <row r="398" spans="8:9" x14ac:dyDescent="0.3">
      <c r="H398">
        <v>1.47</v>
      </c>
      <c r="I398" s="53">
        <f t="shared" si="12"/>
        <v>0.0943276792924496</v>
      </c>
    </row>
    <row r="399" spans="8:9" x14ac:dyDescent="0.3">
      <c r="H399">
        <v>1.48</v>
      </c>
      <c r="I399" s="53">
        <f t="shared" si="12"/>
        <v>0.0939022999032014</v>
      </c>
    </row>
    <row r="400" spans="8:9" x14ac:dyDescent="0.3">
      <c r="H400">
        <v>1.49</v>
      </c>
      <c r="I400" s="53">
        <f t="shared" si="12"/>
        <v>0.093481684016974</v>
      </c>
    </row>
    <row r="401" spans="8:9" x14ac:dyDescent="0.3">
      <c r="H401">
        <v>1.5</v>
      </c>
      <c r="I401" s="53">
        <f t="shared" si="12"/>
        <v>0.0930657468546825</v>
      </c>
    </row>
    <row r="402" spans="8:9" x14ac:dyDescent="0.3">
      <c r="H402">
        <v>1.51</v>
      </c>
      <c r="I402" s="53">
        <f t="shared" si="12"/>
        <v>0.0926544056981821</v>
      </c>
    </row>
    <row r="403" spans="8:9" x14ac:dyDescent="0.3">
      <c r="H403">
        <v>1.52</v>
      </c>
      <c r="I403" s="53">
        <f t="shared" si="12"/>
        <v>0.0922475798269234</v>
      </c>
    </row>
    <row r="404" spans="8:9" x14ac:dyDescent="0.3">
      <c r="H404">
        <v>1.53</v>
      </c>
      <c r="I404" s="53">
        <f t="shared" si="12"/>
        <v>0.091845190456957</v>
      </c>
    </row>
    <row r="405" spans="8:9" x14ac:dyDescent="0.3">
      <c r="H405">
        <v>1.54</v>
      </c>
      <c r="I405" s="53">
        <f t="shared" si="12"/>
        <v>0.0914471606821843</v>
      </c>
    </row>
    <row r="406" spans="8:9" x14ac:dyDescent="0.3">
      <c r="H406">
        <v>1.55</v>
      </c>
      <c r="I406" s="53">
        <f t="shared" si="12"/>
        <v>0.0910534154177593</v>
      </c>
    </row>
    <row r="407" spans="8:9" x14ac:dyDescent="0.3">
      <c r="H407">
        <v>1.56</v>
      </c>
      <c r="I407" s="53">
        <f t="shared" si="12"/>
        <v>0.0906638813455478</v>
      </c>
    </row>
    <row r="408" spans="8:9" x14ac:dyDescent="0.3">
      <c r="H408">
        <v>1.57</v>
      </c>
      <c r="I408" s="53">
        <f t="shared" si="12"/>
        <v>0.0902784868615572</v>
      </c>
    </row>
    <row r="409" spans="8:9" x14ac:dyDescent="0.3">
      <c r="H409">
        <v>1.58</v>
      </c>
      <c r="I409" s="53">
        <f t="shared" si="12"/>
        <v>0.0898971620252548</v>
      </c>
    </row>
    <row r="410" spans="8:9" x14ac:dyDescent="0.3">
      <c r="H410">
        <v>1.59</v>
      </c>
      <c r="I410" s="53">
        <f t="shared" si="12"/>
        <v>0.0895198385106928</v>
      </c>
    </row>
    <row r="411" spans="8:9" x14ac:dyDescent="0.3">
      <c r="H411">
        <v>1.6</v>
      </c>
      <c r="I411" s="53">
        <f t="shared" si="12"/>
        <v>0.0891464495593673</v>
      </c>
    </row>
    <row r="412" spans="8:9" x14ac:dyDescent="0.3">
      <c r="H412">
        <v>1.61</v>
      </c>
      <c r="I412" s="53">
        <f t="shared" si="12"/>
        <v>0.0887769299347378</v>
      </c>
    </row>
    <row r="413" spans="8:9" x14ac:dyDescent="0.3">
      <c r="H413">
        <v>1.62</v>
      </c>
      <c r="I413" s="53">
        <f t="shared" si="12"/>
        <v>0.0884112158783387</v>
      </c>
    </row>
    <row r="414" spans="8:9" x14ac:dyDescent="0.3">
      <c r="H414">
        <v>1.63</v>
      </c>
      <c r="I414" s="53">
        <f t="shared" si="12"/>
        <v>0.0880492450674193</v>
      </c>
    </row>
    <row r="415" spans="8:9" x14ac:dyDescent="0.3">
      <c r="H415">
        <v>1.64</v>
      </c>
      <c r="I415" s="53">
        <f t="shared" si="12"/>
        <v>0.0876909565740479</v>
      </c>
    </row>
    <row r="416" spans="8:9" x14ac:dyDescent="0.3">
      <c r="H416">
        <v>1.65</v>
      </c>
      <c r="I416" s="53">
        <f t="shared" si="12"/>
        <v>0.0873362908256225</v>
      </c>
    </row>
    <row r="417" spans="8:9" x14ac:dyDescent="0.3">
      <c r="H417">
        <v>1.66</v>
      </c>
      <c r="I417" s="53">
        <f t="shared" si="12"/>
        <v>0.0869851895667304</v>
      </c>
    </row>
    <row r="418" spans="8:9" x14ac:dyDescent="0.3">
      <c r="H418">
        <v>1.67</v>
      </c>
      <c r="I418" s="53">
        <f t="shared" si="12"/>
        <v>0.0866375958223039</v>
      </c>
    </row>
    <row r="419" spans="8:9" x14ac:dyDescent="0.3">
      <c r="H419">
        <v>1.68</v>
      </c>
      <c r="I419" s="53">
        <f t="shared" si="12"/>
        <v>0.0862934538620191</v>
      </c>
    </row>
    <row r="420" spans="8:9" x14ac:dyDescent="0.3">
      <c r="H420">
        <v>1.69</v>
      </c>
      <c r="I420" s="53">
        <f t="shared" si="12"/>
        <v>0.0859527091658907</v>
      </c>
    </row>
    <row r="421" spans="8:9" x14ac:dyDescent="0.3">
      <c r="H421">
        <v>1.7</v>
      </c>
      <c r="I421" s="53">
        <f t="shared" si="12"/>
        <v>0.0856153083910139</v>
      </c>
    </row>
    <row r="422" spans="8:9" x14ac:dyDescent="0.3">
      <c r="H422">
        <v>1.71</v>
      </c>
      <c r="I422" s="53">
        <f t="shared" si="12"/>
        <v>0.08528119933941</v>
      </c>
    </row>
    <row r="423" spans="8:9" x14ac:dyDescent="0.3">
      <c r="H423">
        <v>1.72</v>
      </c>
      <c r="I423" s="53">
        <f t="shared" si="12"/>
        <v>0.084950330926932</v>
      </c>
    </row>
    <row r="424" spans="8:9" x14ac:dyDescent="0.3">
      <c r="H424">
        <v>1.73</v>
      </c>
      <c r="I424" s="53">
        <f t="shared" si="12"/>
        <v>0.0846226531531902</v>
      </c>
    </row>
    <row r="425" spans="8:9" x14ac:dyDescent="0.3">
      <c r="H425">
        <v>1.74</v>
      </c>
      <c r="I425" s="53">
        <f t="shared" si="12"/>
        <v>0.0842981170724577</v>
      </c>
    </row>
    <row r="426" spans="8:9" x14ac:dyDescent="0.3">
      <c r="H426">
        <v>1.75</v>
      </c>
      <c r="I426" s="53">
        <f t="shared" si="12"/>
        <v>0.083976674765519</v>
      </c>
    </row>
    <row r="427" spans="8:9" x14ac:dyDescent="0.3">
      <c r="H427">
        <v>1.76</v>
      </c>
      <c r="I427" s="53">
        <f t="shared" si="12"/>
        <v>0.0836582793124263</v>
      </c>
    </row>
    <row r="428" spans="8:9" x14ac:dyDescent="0.3">
      <c r="H428">
        <v>1.77</v>
      </c>
      <c r="I428" s="53">
        <f t="shared" si="12"/>
        <v>0.0833428847661282</v>
      </c>
    </row>
    <row r="429" spans="8:9" x14ac:dyDescent="0.3">
      <c r="H429">
        <v>1.78</v>
      </c>
      <c r="I429" s="53">
        <f t="shared" si="12"/>
        <v>0.0830304461269391</v>
      </c>
    </row>
    <row r="430" spans="8:9" x14ac:dyDescent="0.3">
      <c r="H430">
        <v>1.79</v>
      </c>
      <c r="I430" s="53">
        <f t="shared" si="12"/>
        <v>0.0827209193178175</v>
      </c>
    </row>
    <row r="431" spans="8:9" x14ac:dyDescent="0.3">
      <c r="H431">
        <v>1.8</v>
      </c>
      <c r="I431" s="53">
        <f t="shared" si="12"/>
        <v>0.0824142611604233</v>
      </c>
    </row>
    <row r="432" spans="8:9" x14ac:dyDescent="0.3">
      <c r="H432">
        <v>1.81</v>
      </c>
      <c r="I432" s="53">
        <f t="shared" si="12"/>
        <v>0.0821104293519257</v>
      </c>
    </row>
    <row r="433" spans="8:9" x14ac:dyDescent="0.3">
      <c r="H433">
        <v>1.82</v>
      </c>
      <c r="I433" s="53">
        <f t="shared" si="12"/>
        <v>0.0818093824425328</v>
      </c>
    </row>
    <row r="434" spans="8:9" x14ac:dyDescent="0.3">
      <c r="H434">
        <v>1.83</v>
      </c>
      <c r="I434" s="53">
        <f t="shared" si="12"/>
        <v>0.0815110798137193</v>
      </c>
    </row>
    <row r="435" spans="8:9" x14ac:dyDescent="0.3">
      <c r="H435">
        <v>1.84</v>
      </c>
      <c r="I435" s="53">
        <f t="shared" si="12"/>
        <v>0.0812154816571238</v>
      </c>
    </row>
    <row r="436" spans="8:9" x14ac:dyDescent="0.3">
      <c r="H436">
        <v>1.85</v>
      </c>
      <c r="I436" s="53">
        <f t="shared" si="12"/>
        <v>0.0809225489540939</v>
      </c>
    </row>
    <row r="437" spans="8:9" x14ac:dyDescent="0.3">
      <c r="H437">
        <v>1.86</v>
      </c>
      <c r="I437" s="53">
        <f t="shared" si="12"/>
        <v>0.080632243455855</v>
      </c>
    </row>
    <row r="438" spans="8:9" x14ac:dyDescent="0.3">
      <c r="H438">
        <v>1.87</v>
      </c>
      <c r="I438" s="53">
        <f t="shared" si="12"/>
        <v>0.0803445276642803</v>
      </c>
    </row>
    <row r="439" spans="8:9" x14ac:dyDescent="0.3">
      <c r="H439">
        <v>1.88</v>
      </c>
      <c r="I439" s="53">
        <f t="shared" si="12"/>
        <v>0.080059364813241</v>
      </c>
    </row>
    <row r="440" spans="8:9" x14ac:dyDescent="0.3">
      <c r="H440">
        <v>1.89</v>
      </c>
      <c r="I440" s="53">
        <f t="shared" si="12"/>
        <v>0.0797767188505164</v>
      </c>
    </row>
    <row r="441" spans="8:9" x14ac:dyDescent="0.3">
      <c r="H441">
        <v>1.9</v>
      </c>
      <c r="I441" s="53">
        <f t="shared" si="12"/>
        <v>0.0794965544202437</v>
      </c>
    </row>
    <row r="442" spans="8:9" x14ac:dyDescent="0.3">
      <c r="H442">
        <v>1.91</v>
      </c>
      <c r="I442" s="53">
        <f t="shared" si="12"/>
        <v>0.0792188368458893</v>
      </c>
    </row>
    <row r="443" spans="8:9" x14ac:dyDescent="0.3">
      <c r="H443">
        <v>1.92</v>
      </c>
      <c r="I443" s="53">
        <f t="shared" si="12"/>
        <v>0.0789435321137226</v>
      </c>
    </row>
    <row r="444" spans="8:9" x14ac:dyDescent="0.3">
      <c r="H444">
        <v>1.93</v>
      </c>
      <c r="I444" s="53">
        <f t="shared" si="12"/>
        <v>0.0786706068567761</v>
      </c>
    </row>
    <row r="445" spans="8:9" x14ac:dyDescent="0.3">
      <c r="H445">
        <v>1.94</v>
      </c>
      <c r="I445" s="53">
        <f t="shared" ref="I445:I508" si="13">IF(H445&lt;$C$252/3,   ($C$253*$C$250/$C$254)*(1+(3*($C$251-1)*H445/$C$252)),   IF(H445&lt;=$C$252,   $C$253*$C$250*$C$251/$C$254,   $C$253*$C$250*$C$251/$C$254*($C$252/H445)^(2/3)   ))</f>
        <v>0.0784000283392739</v>
      </c>
    </row>
    <row r="446" spans="8:9" x14ac:dyDescent="0.3">
      <c r="H446">
        <v>1.95</v>
      </c>
      <c r="I446" s="53">
        <f t="shared" si="13"/>
        <v>0.0781317644415131</v>
      </c>
    </row>
    <row r="447" spans="8:9" x14ac:dyDescent="0.3">
      <c r="H447">
        <v>1.96</v>
      </c>
      <c r="I447" s="53">
        <f t="shared" si="13"/>
        <v>0.0778657836451832</v>
      </c>
    </row>
    <row r="448" spans="8:9" x14ac:dyDescent="0.3">
      <c r="H448">
        <v>1.97</v>
      </c>
      <c r="I448" s="53">
        <f t="shared" si="13"/>
        <v>0.0776020550191076</v>
      </c>
    </row>
    <row r="449" spans="8:9" x14ac:dyDescent="0.3">
      <c r="H449">
        <v>1.98</v>
      </c>
      <c r="I449" s="53">
        <f t="shared" si="13"/>
        <v>0.0773405482053937</v>
      </c>
    </row>
    <row r="450" spans="8:9" x14ac:dyDescent="0.3">
      <c r="H450">
        <v>1.99</v>
      </c>
      <c r="I450" s="53">
        <f t="shared" si="13"/>
        <v>0.0770812334059778</v>
      </c>
    </row>
    <row r="451" spans="8:9" x14ac:dyDescent="0.3">
      <c r="H451">
        <v>2</v>
      </c>
      <c r="I451" s="53">
        <f t="shared" si="13"/>
        <v>0.0768240813695514</v>
      </c>
    </row>
    <row r="452" spans="8:9" x14ac:dyDescent="0.3">
      <c r="H452">
        <v>2.0099999999999998</v>
      </c>
      <c r="I452" s="53">
        <f t="shared" si="13"/>
        <v>0.0765690633788567</v>
      </c>
    </row>
    <row r="453" spans="8:9" x14ac:dyDescent="0.3">
      <c r="H453">
        <v>2.02</v>
      </c>
      <c r="I453" s="53">
        <f t="shared" si="13"/>
        <v>0.0763161512383382</v>
      </c>
    </row>
    <row r="454" spans="8:9" x14ac:dyDescent="0.3">
      <c r="H454">
        <v>2.0299999999999998</v>
      </c>
      <c r="I454" s="53">
        <f t="shared" si="13"/>
        <v>0.0760653172621399</v>
      </c>
    </row>
    <row r="455" spans="8:9" x14ac:dyDescent="0.3">
      <c r="H455">
        <v>2.04</v>
      </c>
      <c r="I455" s="53">
        <f t="shared" si="13"/>
        <v>0.0758165342624357</v>
      </c>
    </row>
    <row r="456" spans="8:9" x14ac:dyDescent="0.3">
      <c r="H456">
        <v>2.0499999999999998</v>
      </c>
      <c r="I456" s="53">
        <f t="shared" si="13"/>
        <v>0.0755697755380833</v>
      </c>
    </row>
    <row r="457" spans="8:9" x14ac:dyDescent="0.3">
      <c r="H457">
        <v>2.06</v>
      </c>
      <c r="I457" s="53">
        <f t="shared" si="13"/>
        <v>0.0753250148635895</v>
      </c>
    </row>
    <row r="458" spans="8:9" x14ac:dyDescent="0.3">
      <c r="H458">
        <v>2.0699999999999998</v>
      </c>
      <c r="I458" s="53">
        <f t="shared" si="13"/>
        <v>0.0750822264783786</v>
      </c>
    </row>
    <row r="459" spans="8:9" x14ac:dyDescent="0.3">
      <c r="H459">
        <v>2.08</v>
      </c>
      <c r="I459" s="53">
        <f t="shared" si="13"/>
        <v>0.0748413850763534</v>
      </c>
    </row>
    <row r="460" spans="8:9" x14ac:dyDescent="0.3">
      <c r="H460">
        <v>2.09</v>
      </c>
      <c r="I460" s="53">
        <f t="shared" si="13"/>
        <v>0.0746024657957386</v>
      </c>
    </row>
    <row r="461" spans="8:9" x14ac:dyDescent="0.3">
      <c r="H461">
        <v>2.1</v>
      </c>
      <c r="I461" s="53">
        <f t="shared" si="13"/>
        <v>0.0743654442091999</v>
      </c>
    </row>
    <row r="462" spans="8:9" x14ac:dyDescent="0.3">
      <c r="H462">
        <v>2.11</v>
      </c>
      <c r="I462" s="53">
        <f t="shared" si="13"/>
        <v>0.0741302963142271</v>
      </c>
    </row>
    <row r="463" spans="8:9" x14ac:dyDescent="0.3">
      <c r="H463">
        <v>2.12</v>
      </c>
      <c r="I463" s="53">
        <f t="shared" si="13"/>
        <v>0.0738969985237758</v>
      </c>
    </row>
    <row r="464" spans="8:9" x14ac:dyDescent="0.3">
      <c r="H464">
        <v>2.13</v>
      </c>
      <c r="I464" s="53">
        <f t="shared" si="13"/>
        <v>0.0736655276571573</v>
      </c>
    </row>
    <row r="465" spans="8:9" x14ac:dyDescent="0.3">
      <c r="H465">
        <v>2.14</v>
      </c>
      <c r="I465" s="53">
        <f t="shared" si="13"/>
        <v>0.0734358609311707</v>
      </c>
    </row>
    <row r="466" spans="8:9" x14ac:dyDescent="0.3">
      <c r="H466">
        <v>2.15</v>
      </c>
      <c r="I466" s="53">
        <f t="shared" si="13"/>
        <v>0.0732079759514683</v>
      </c>
    </row>
    <row r="467" spans="8:9" x14ac:dyDescent="0.3">
      <c r="H467">
        <v>2.16</v>
      </c>
      <c r="I467" s="53">
        <f t="shared" si="13"/>
        <v>0.0729818507041479</v>
      </c>
    </row>
    <row r="468" spans="8:9" x14ac:dyDescent="0.3">
      <c r="H468">
        <v>2.17</v>
      </c>
      <c r="I468" s="53">
        <f t="shared" si="13"/>
        <v>0.0727574635475651</v>
      </c>
    </row>
    <row r="469" spans="8:9" x14ac:dyDescent="0.3">
      <c r="H469">
        <v>2.1800000000000002</v>
      </c>
      <c r="I469" s="53">
        <f t="shared" si="13"/>
        <v>0.072534793204358</v>
      </c>
    </row>
    <row r="470" spans="8:9" x14ac:dyDescent="0.3">
      <c r="H470">
        <v>2.19</v>
      </c>
      <c r="I470" s="53">
        <f t="shared" si="13"/>
        <v>0.0723138187536792</v>
      </c>
    </row>
    <row r="471" spans="8:9" x14ac:dyDescent="0.3">
      <c r="H471">
        <v>2.2000000000000002</v>
      </c>
      <c r="I471" s="53">
        <f t="shared" si="13"/>
        <v>0.0720945196236272</v>
      </c>
    </row>
    <row r="472" spans="8:9" x14ac:dyDescent="0.3">
      <c r="H472">
        <v>2.21</v>
      </c>
      <c r="I472" s="53">
        <f t="shared" si="13"/>
        <v>0.0718768755838726</v>
      </c>
    </row>
    <row r="473" spans="8:9" x14ac:dyDescent="0.3">
      <c r="H473">
        <v>2.2200000000000002</v>
      </c>
      <c r="I473" s="53">
        <f t="shared" si="13"/>
        <v>0.0716608667384727</v>
      </c>
    </row>
    <row r="474" spans="8:9" x14ac:dyDescent="0.3">
      <c r="H474">
        <v>2.23</v>
      </c>
      <c r="I474" s="53">
        <f t="shared" si="13"/>
        <v>0.0714464735188682</v>
      </c>
    </row>
    <row r="475" spans="8:9" x14ac:dyDescent="0.3">
      <c r="H475">
        <v>2.2400000000000002</v>
      </c>
      <c r="I475" s="53">
        <f t="shared" si="13"/>
        <v>0.071233676677058</v>
      </c>
    </row>
    <row r="476" spans="8:9" x14ac:dyDescent="0.3">
      <c r="H476">
        <v>2.25</v>
      </c>
      <c r="I476" s="53">
        <f t="shared" si="13"/>
        <v>0.0710224572789454</v>
      </c>
    </row>
    <row r="477" spans="8:9" x14ac:dyDescent="0.3">
      <c r="H477">
        <v>2.2599999999999998</v>
      </c>
      <c r="I477" s="53">
        <f t="shared" si="13"/>
        <v>0.0708127966978514</v>
      </c>
    </row>
    <row r="478" spans="8:9" x14ac:dyDescent="0.3">
      <c r="H478">
        <v>2.27</v>
      </c>
      <c r="I478" s="53">
        <f t="shared" si="13"/>
        <v>0.0706046766081904</v>
      </c>
    </row>
    <row r="479" spans="8:9" x14ac:dyDescent="0.3">
      <c r="H479">
        <v>2.2799999999999998</v>
      </c>
      <c r="I479" s="53">
        <f t="shared" si="13"/>
        <v>0.0703980789793031</v>
      </c>
    </row>
    <row r="480" spans="8:9" x14ac:dyDescent="0.3">
      <c r="H480">
        <v>2.29</v>
      </c>
      <c r="I480" s="53">
        <f t="shared" si="13"/>
        <v>0.0701929860694413</v>
      </c>
    </row>
    <row r="481" spans="8:9" x14ac:dyDescent="0.3">
      <c r="H481">
        <v>2.2999999999999998</v>
      </c>
      <c r="I481" s="53">
        <f t="shared" si="13"/>
        <v>0.0699893804199023</v>
      </c>
    </row>
    <row r="482" spans="8:9" x14ac:dyDescent="0.3">
      <c r="H482">
        <v>2.31</v>
      </c>
      <c r="I482" s="53">
        <f t="shared" si="13"/>
        <v>0.0697872448493063</v>
      </c>
    </row>
    <row r="483" spans="8:9" x14ac:dyDescent="0.3">
      <c r="H483">
        <v>2.3199999999999998</v>
      </c>
      <c r="I483" s="53">
        <f t="shared" si="13"/>
        <v>0.0695865624480143</v>
      </c>
    </row>
    <row r="484" spans="8:9" x14ac:dyDescent="0.3">
      <c r="H484">
        <v>2.33</v>
      </c>
      <c r="I484" s="53">
        <f t="shared" si="13"/>
        <v>0.0693873165726815</v>
      </c>
    </row>
    <row r="485" spans="8:9" x14ac:dyDescent="0.3">
      <c r="H485">
        <v>2.34</v>
      </c>
      <c r="I485" s="53">
        <f t="shared" si="13"/>
        <v>0.0691894908409426</v>
      </c>
    </row>
    <row r="486" spans="8:9" x14ac:dyDescent="0.3">
      <c r="H486">
        <v>2.35</v>
      </c>
      <c r="I486" s="53">
        <f t="shared" si="13"/>
        <v>0.0689930691262257</v>
      </c>
    </row>
    <row r="487" spans="8:9" x14ac:dyDescent="0.3">
      <c r="H487">
        <v>2.36</v>
      </c>
      <c r="I487" s="53">
        <f t="shared" si="13"/>
        <v>0.0687980355526909</v>
      </c>
    </row>
    <row r="488" spans="8:9" x14ac:dyDescent="0.3">
      <c r="H488">
        <v>2.37</v>
      </c>
      <c r="I488" s="53">
        <f t="shared" si="13"/>
        <v>0.0686043744902891</v>
      </c>
    </row>
    <row r="489" spans="8:9" x14ac:dyDescent="0.3">
      <c r="H489">
        <v>2.38</v>
      </c>
      <c r="I489" s="53">
        <f t="shared" si="13"/>
        <v>0.0684120705499399</v>
      </c>
    </row>
    <row r="490" spans="8:9" x14ac:dyDescent="0.3">
      <c r="H490">
        <v>2.39</v>
      </c>
      <c r="I490" s="53">
        <f t="shared" si="13"/>
        <v>0.0682211085788228</v>
      </c>
    </row>
    <row r="491" spans="8:9" x14ac:dyDescent="0.3">
      <c r="H491">
        <v>2.4</v>
      </c>
      <c r="I491" s="53">
        <f t="shared" si="13"/>
        <v>0.06803147365578</v>
      </c>
    </row>
    <row r="492" spans="8:9" x14ac:dyDescent="0.3">
      <c r="H492">
        <v>2.41</v>
      </c>
      <c r="I492" s="53">
        <f t="shared" si="13"/>
        <v>0.0678431510868277</v>
      </c>
    </row>
    <row r="493" spans="8:9" x14ac:dyDescent="0.3">
      <c r="H493">
        <v>2.42</v>
      </c>
      <c r="I493" s="53">
        <f t="shared" si="13"/>
        <v>0.067656126400772</v>
      </c>
    </row>
    <row r="494" spans="8:9" x14ac:dyDescent="0.3">
      <c r="H494">
        <v>2.4300000000000002</v>
      </c>
      <c r="I494" s="53">
        <f t="shared" si="13"/>
        <v>0.0674703853449277</v>
      </c>
    </row>
    <row r="495" spans="8:9" x14ac:dyDescent="0.3">
      <c r="H495">
        <v>2.44</v>
      </c>
      <c r="I495" s="53">
        <f t="shared" si="13"/>
        <v>0.0672859138809362</v>
      </c>
    </row>
    <row r="496" spans="8:9" x14ac:dyDescent="0.3">
      <c r="H496">
        <v>2.4500000000000002</v>
      </c>
      <c r="I496" s="53">
        <f t="shared" si="13"/>
        <v>0.06710269818068</v>
      </c>
    </row>
    <row r="497" spans="8:9" x14ac:dyDescent="0.3">
      <c r="H497">
        <v>2.46</v>
      </c>
      <c r="I497" s="53">
        <f t="shared" si="13"/>
        <v>0.0669207246222922</v>
      </c>
    </row>
    <row r="498" spans="8:9" x14ac:dyDescent="0.3">
      <c r="H498">
        <v>2.4700000000000002</v>
      </c>
      <c r="I498" s="53">
        <f t="shared" si="13"/>
        <v>0.0667399797862568</v>
      </c>
    </row>
    <row r="499" spans="8:9" x14ac:dyDescent="0.3">
      <c r="H499">
        <v>2.48</v>
      </c>
      <c r="I499" s="53">
        <f t="shared" si="13"/>
        <v>0.0665604504515983</v>
      </c>
    </row>
    <row r="500" spans="8:9" x14ac:dyDescent="0.3">
      <c r="H500">
        <v>2.4900000000000002</v>
      </c>
      <c r="I500" s="53">
        <f t="shared" si="13"/>
        <v>0.0663821235921585</v>
      </c>
    </row>
    <row r="501" spans="8:9" x14ac:dyDescent="0.3">
      <c r="H501">
        <v>2.5</v>
      </c>
      <c r="I501" s="53">
        <f t="shared" si="13"/>
        <v>0.0662049863729575</v>
      </c>
    </row>
    <row r="502" spans="8:9" x14ac:dyDescent="0.3">
      <c r="H502">
        <v>2.5099999999999998</v>
      </c>
      <c r="I502" s="53">
        <f t="shared" si="13"/>
        <v>0.0660290261466365</v>
      </c>
    </row>
    <row r="503" spans="8:9" x14ac:dyDescent="0.3">
      <c r="H503">
        <v>2.52</v>
      </c>
      <c r="I503" s="53">
        <f t="shared" si="13"/>
        <v>0.0658542304499814</v>
      </c>
    </row>
    <row r="504" spans="8:9" x14ac:dyDescent="0.3">
      <c r="H504">
        <v>2.5299999999999998</v>
      </c>
      <c r="I504" s="53">
        <f t="shared" si="13"/>
        <v>0.0656805870005239</v>
      </c>
    </row>
    <row r="505" spans="8:9" x14ac:dyDescent="0.3">
      <c r="H505">
        <v>2.54</v>
      </c>
      <c r="I505" s="53">
        <f t="shared" si="13"/>
        <v>0.0655080836932184</v>
      </c>
    </row>
    <row r="506" spans="8:9" x14ac:dyDescent="0.3">
      <c r="H506">
        <v>2.5499999999999998</v>
      </c>
      <c r="I506" s="53">
        <f t="shared" si="13"/>
        <v>0.065336708597193</v>
      </c>
    </row>
    <row r="507" spans="8:9" x14ac:dyDescent="0.3">
      <c r="H507">
        <v>2.56</v>
      </c>
      <c r="I507" s="53">
        <f t="shared" si="13"/>
        <v>0.0651664499525722</v>
      </c>
    </row>
    <row r="508" spans="8:9" x14ac:dyDescent="0.3">
      <c r="H508">
        <v>2.57</v>
      </c>
      <c r="I508" s="53">
        <f t="shared" si="13"/>
        <v>0.0649972961673702</v>
      </c>
    </row>
    <row r="509" spans="8:9" x14ac:dyDescent="0.3">
      <c r="H509">
        <v>2.58</v>
      </c>
      <c r="I509" s="53">
        <f t="shared" ref="I509:I551" si="14">IF(H509&lt;$C$252/3,   ($C$253*$C$250/$C$254)*(1+(3*($C$251-1)*H509/$C$252)),   IF(H509&lt;=$C$252,   $C$253*$C$250*$C$251/$C$254,   $C$253*$C$250*$C$251/$C$254*($C$252/H509)^(2/3)   ))</f>
        <v>0.0648292358144519</v>
      </c>
    </row>
    <row r="510" spans="8:9" x14ac:dyDescent="0.3">
      <c r="H510">
        <v>2.59</v>
      </c>
      <c r="I510" s="53">
        <f t="shared" si="14"/>
        <v>0.064662257628561</v>
      </c>
    </row>
    <row r="511" spans="8:9" x14ac:dyDescent="0.3">
      <c r="H511">
        <v>2.6</v>
      </c>
      <c r="I511" s="53">
        <f t="shared" si="14"/>
        <v>0.0644963505034121</v>
      </c>
    </row>
    <row r="512" spans="8:9" x14ac:dyDescent="0.3">
      <c r="H512">
        <v>2.61</v>
      </c>
      <c r="I512" s="53">
        <f t="shared" si="14"/>
        <v>0.064331503488847</v>
      </c>
    </row>
    <row r="513" spans="8:9" x14ac:dyDescent="0.3">
      <c r="H513">
        <v>2.62</v>
      </c>
      <c r="I513" s="53">
        <f t="shared" si="14"/>
        <v>0.0641677057880518</v>
      </c>
    </row>
    <row r="514" spans="8:9" x14ac:dyDescent="0.3">
      <c r="H514">
        <v>2.63</v>
      </c>
      <c r="I514" s="53">
        <f t="shared" si="14"/>
        <v>0.0640049467548342</v>
      </c>
    </row>
    <row r="515" spans="8:9" x14ac:dyDescent="0.3">
      <c r="H515">
        <v>2.64</v>
      </c>
      <c r="I515" s="53">
        <f t="shared" si="14"/>
        <v>0.0638432158909594</v>
      </c>
    </row>
    <row r="516" spans="8:9" x14ac:dyDescent="0.3">
      <c r="H516">
        <v>2.65</v>
      </c>
      <c r="I516" s="53">
        <f t="shared" si="14"/>
        <v>0.063682502843543</v>
      </c>
    </row>
    <row r="517" spans="8:9" x14ac:dyDescent="0.3">
      <c r="H517">
        <v>2.66</v>
      </c>
      <c r="I517" s="53">
        <f t="shared" si="14"/>
        <v>0.063522797402499</v>
      </c>
    </row>
    <row r="518" spans="8:9" x14ac:dyDescent="0.3">
      <c r="H518">
        <v>2.67</v>
      </c>
      <c r="I518" s="53">
        <f t="shared" si="14"/>
        <v>0.0633640894980429</v>
      </c>
    </row>
    <row r="519" spans="8:9" x14ac:dyDescent="0.3">
      <c r="H519">
        <v>2.68</v>
      </c>
      <c r="I519" s="53">
        <f t="shared" si="14"/>
        <v>0.0632063691982467</v>
      </c>
    </row>
    <row r="520" spans="8:9" x14ac:dyDescent="0.3">
      <c r="H520">
        <v>2.69</v>
      </c>
      <c r="I520" s="53">
        <f t="shared" si="14"/>
        <v>0.0630496267066461</v>
      </c>
    </row>
    <row r="521" spans="8:9" x14ac:dyDescent="0.3">
      <c r="H521">
        <v>2.7</v>
      </c>
      <c r="I521" s="53">
        <f t="shared" si="14"/>
        <v>0.0628938523598977</v>
      </c>
    </row>
    <row r="522" spans="8:9" x14ac:dyDescent="0.3">
      <c r="H522">
        <v>2.71</v>
      </c>
      <c r="I522" s="53">
        <f t="shared" si="14"/>
        <v>0.0627390366254849</v>
      </c>
    </row>
    <row r="523" spans="8:9" x14ac:dyDescent="0.3">
      <c r="H523">
        <v>2.72</v>
      </c>
      <c r="I523" s="53">
        <f t="shared" si="14"/>
        <v>0.0625851700994724</v>
      </c>
    </row>
    <row r="524" spans="8:9" x14ac:dyDescent="0.3">
      <c r="H524">
        <v>2.73</v>
      </c>
      <c r="I524" s="53">
        <f t="shared" si="14"/>
        <v>0.0624322435043065</v>
      </c>
    </row>
    <row r="525" spans="8:9" x14ac:dyDescent="0.3">
      <c r="H525">
        <v>2.74</v>
      </c>
      <c r="I525" s="53">
        <f t="shared" si="14"/>
        <v>0.0622802476866617</v>
      </c>
    </row>
    <row r="526" spans="8:9" x14ac:dyDescent="0.3">
      <c r="H526">
        <v>2.75</v>
      </c>
      <c r="I526" s="53">
        <f t="shared" si="14"/>
        <v>0.0621291736153307</v>
      </c>
    </row>
    <row r="527" spans="8:9" x14ac:dyDescent="0.3">
      <c r="H527">
        <v>2.76</v>
      </c>
      <c r="I527" s="53">
        <f t="shared" si="14"/>
        <v>0.061979012379159</v>
      </c>
    </row>
    <row r="528" spans="8:9" x14ac:dyDescent="0.3">
      <c r="H528">
        <v>2.77</v>
      </c>
      <c r="I528" s="53">
        <f t="shared" si="14"/>
        <v>0.0618297551850207</v>
      </c>
    </row>
    <row r="529" spans="8:9" x14ac:dyDescent="0.3">
      <c r="H529">
        <v>2.78</v>
      </c>
      <c r="I529" s="53">
        <f t="shared" si="14"/>
        <v>0.0616813933558362</v>
      </c>
    </row>
    <row r="530" spans="8:9" x14ac:dyDescent="0.3">
      <c r="H530">
        <v>2.79</v>
      </c>
      <c r="I530" s="53">
        <f t="shared" si="14"/>
        <v>0.06153391832863</v>
      </c>
    </row>
    <row r="531" spans="8:9" x14ac:dyDescent="0.3">
      <c r="H531">
        <v>2.8</v>
      </c>
      <c r="I531" s="53">
        <f t="shared" si="14"/>
        <v>0.0613873216526276</v>
      </c>
    </row>
    <row r="532" spans="8:9" x14ac:dyDescent="0.3">
      <c r="H532">
        <v>2.81</v>
      </c>
      <c r="I532" s="53">
        <f t="shared" si="14"/>
        <v>0.0612415949873914</v>
      </c>
    </row>
    <row r="533" spans="8:9" x14ac:dyDescent="0.3">
      <c r="H533">
        <v>2.82</v>
      </c>
      <c r="I533" s="53">
        <f t="shared" si="14"/>
        <v>0.0610967301009934</v>
      </c>
    </row>
    <row r="534" spans="8:9" x14ac:dyDescent="0.3">
      <c r="H534">
        <v>2.83</v>
      </c>
      <c r="I534" s="53">
        <f t="shared" si="14"/>
        <v>0.0609527188682249</v>
      </c>
    </row>
    <row r="535" spans="8:9" x14ac:dyDescent="0.3">
      <c r="H535">
        <v>2.84</v>
      </c>
      <c r="I535" s="53">
        <f t="shared" si="14"/>
        <v>0.0608095532688421</v>
      </c>
    </row>
    <row r="536" spans="8:9" x14ac:dyDescent="0.3">
      <c r="H536">
        <v>2.85</v>
      </c>
      <c r="I536" s="53">
        <f t="shared" si="14"/>
        <v>0.060667225385846</v>
      </c>
    </row>
    <row r="537" spans="8:9" x14ac:dyDescent="0.3">
      <c r="H537">
        <v>2.86</v>
      </c>
      <c r="I537" s="53">
        <f t="shared" si="14"/>
        <v>0.0605257274037969</v>
      </c>
    </row>
    <row r="538" spans="8:9" x14ac:dyDescent="0.3">
      <c r="H538">
        <v>2.87</v>
      </c>
      <c r="I538" s="53">
        <f t="shared" si="14"/>
        <v>0.0603850516071621</v>
      </c>
    </row>
    <row r="539" spans="8:9" x14ac:dyDescent="0.3">
      <c r="H539">
        <v>2.88</v>
      </c>
      <c r="I539" s="53">
        <f t="shared" si="14"/>
        <v>0.0602451903786964</v>
      </c>
    </row>
    <row r="540" spans="8:9" x14ac:dyDescent="0.3">
      <c r="H540">
        <v>2.89</v>
      </c>
      <c r="I540" s="53">
        <f t="shared" si="14"/>
        <v>0.0601061361978533</v>
      </c>
    </row>
    <row r="541" spans="8:9" x14ac:dyDescent="0.3">
      <c r="H541">
        <v>2.9</v>
      </c>
      <c r="I541" s="53">
        <f t="shared" si="14"/>
        <v>0.0599678816392288</v>
      </c>
    </row>
    <row r="542" spans="8:9" x14ac:dyDescent="0.3">
      <c r="H542">
        <v>2.91</v>
      </c>
      <c r="I542" s="53">
        <f t="shared" si="14"/>
        <v>0.0598304193710344</v>
      </c>
    </row>
    <row r="543" spans="8:9" x14ac:dyDescent="0.3">
      <c r="H543">
        <v>2.92</v>
      </c>
      <c r="I543" s="53">
        <f t="shared" si="14"/>
        <v>0.0596937421536002</v>
      </c>
    </row>
    <row r="544" spans="8:9" x14ac:dyDescent="0.3">
      <c r="H544">
        <v>2.93</v>
      </c>
      <c r="I544" s="53">
        <f t="shared" si="14"/>
        <v>0.0595578428379065</v>
      </c>
    </row>
    <row r="545" spans="8:9" x14ac:dyDescent="0.3">
      <c r="H545">
        <v>2.94</v>
      </c>
      <c r="I545" s="53">
        <f t="shared" si="14"/>
        <v>0.059422714364145</v>
      </c>
    </row>
    <row r="546" spans="8:9" x14ac:dyDescent="0.3">
      <c r="H546">
        <v>2.95</v>
      </c>
      <c r="I546" s="53">
        <f t="shared" si="14"/>
        <v>0.0592883497603056</v>
      </c>
    </row>
    <row r="547" spans="8:9" x14ac:dyDescent="0.3">
      <c r="H547">
        <v>2.96</v>
      </c>
      <c r="I547" s="53">
        <f t="shared" si="14"/>
        <v>0.0591547421407924</v>
      </c>
    </row>
    <row r="548" spans="8:9" x14ac:dyDescent="0.3">
      <c r="H548">
        <v>2.97</v>
      </c>
      <c r="I548" s="53">
        <f t="shared" si="14"/>
        <v>0.0590218847050644</v>
      </c>
    </row>
    <row r="549" spans="8:9" x14ac:dyDescent="0.3">
      <c r="H549">
        <v>2.98</v>
      </c>
      <c r="I549" s="53">
        <f t="shared" si="14"/>
        <v>0.0588897707363033</v>
      </c>
    </row>
    <row r="550" spans="8:9" x14ac:dyDescent="0.3">
      <c r="H550">
        <v>2.99</v>
      </c>
      <c r="I550" s="53">
        <f t="shared" si="14"/>
        <v>0.0587583936001059</v>
      </c>
    </row>
    <row r="551" spans="8:9" x14ac:dyDescent="0.3">
      <c r="H551">
        <v>3</v>
      </c>
      <c r="I551" s="53">
        <f t="shared" si="14"/>
        <v>0.0586277467432011</v>
      </c>
    </row>
  </sheetData>
  <mergeCells count="10">
    <mergeCell ref="AG8:AK9"/>
    <mergeCell ref="AL8:AM8"/>
    <mergeCell ref="AL9:AM9"/>
    <mergeCell ref="F127:G127"/>
    <mergeCell ref="K234:L234"/>
    <mergeCell ref="B173:L173"/>
    <mergeCell ref="E174:G174"/>
    <mergeCell ref="K174:L174"/>
    <mergeCell ref="H220:J220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225"/>
  <sheetViews>
    <sheetView tabSelected="1" topLeftCell="A160" zoomScale="70" zoomScaleNormal="70" workbookViewId="0">
      <selection activeCell="L188" sqref="L188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120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92.307692307692307</v>
      </c>
      <c r="E26" t="s">
        <v>168</v>
      </c>
    </row>
    <row r="28" spans="2:5" x14ac:dyDescent="0.3">
      <c r="C28" s="17" t="s">
        <v>171</v>
      </c>
      <c r="D28" s="51">
        <f>0.0048*D26^2</f>
        <v>40.899408284023664</v>
      </c>
      <c r="E28" s="1" t="s">
        <v>27</v>
      </c>
    </row>
    <row r="40" spans="2:4" x14ac:dyDescent="0.3">
      <c r="B40" s="1" t="s">
        <v>172</v>
      </c>
    </row>
    <row r="42" spans="2:4" x14ac:dyDescent="0.3">
      <c r="C42" s="12" t="s">
        <v>173</v>
      </c>
      <c r="D42" s="35" t="s">
        <v>212</v>
      </c>
    </row>
    <row r="44" spans="2:4" x14ac:dyDescent="0.3">
      <c r="C44" s="12" t="s">
        <v>174</v>
      </c>
      <c r="D44" s="40">
        <f>IF(D42="A",0.65,IF(D42="B",1,1.6))</f>
        <v>1</v>
      </c>
    </row>
    <row r="45" spans="2:4" x14ac:dyDescent="0.3">
      <c r="C45" s="12"/>
    </row>
    <row r="46" spans="2:4" x14ac:dyDescent="0.3">
      <c r="C46" s="12" t="s">
        <v>175</v>
      </c>
      <c r="D46" s="40">
        <f>IF(D42="A",3.6,IF(D42="B",4.5,7))</f>
        <v>4.5</v>
      </c>
    </row>
    <row r="49" spans="2:7" x14ac:dyDescent="0.3">
      <c r="C49" s="12" t="s">
        <v>176</v>
      </c>
      <c r="D49" s="36">
        <v>10.015000000000001</v>
      </c>
      <c r="E49" t="s">
        <v>64</v>
      </c>
    </row>
    <row r="51" spans="2:7" x14ac:dyDescent="0.3">
      <c r="C51" s="12" t="s">
        <v>177</v>
      </c>
      <c r="D51" s="70">
        <f>IF(D49&lt;10,1,(D49/10)^(2/D46))</f>
        <v>1.0006663891047314</v>
      </c>
    </row>
    <row r="61" spans="2:7" x14ac:dyDescent="0.3">
      <c r="B61" s="1" t="s">
        <v>178</v>
      </c>
    </row>
    <row r="63" spans="2:7" x14ac:dyDescent="0.3">
      <c r="D63" s="17" t="s">
        <v>179</v>
      </c>
      <c r="E63" s="71">
        <f>D51*D44*D28</f>
        <v>40.926663204094098</v>
      </c>
      <c r="F63" s="1" t="s">
        <v>180</v>
      </c>
      <c r="G63" s="1" t="s">
        <v>27</v>
      </c>
    </row>
    <row r="68" spans="2:17" x14ac:dyDescent="0.3">
      <c r="B68" s="1" t="s">
        <v>181</v>
      </c>
    </row>
    <row r="70" spans="2:17" ht="20.25" customHeight="1" x14ac:dyDescent="0.3">
      <c r="B70" s="72" t="s">
        <v>182</v>
      </c>
      <c r="C70" s="73"/>
      <c r="D70" s="27" t="s">
        <v>183</v>
      </c>
      <c r="E70" s="27" t="s">
        <v>184</v>
      </c>
      <c r="G70" s="27" t="s">
        <v>185</v>
      </c>
    </row>
    <row r="71" spans="2:17" x14ac:dyDescent="0.3">
      <c r="B71" s="16" t="s">
        <v>186</v>
      </c>
      <c r="C71" s="15"/>
      <c r="D71" s="74">
        <v>0.8</v>
      </c>
      <c r="E71" s="75">
        <f>$E$63*D71</f>
        <v>32.741330563275277</v>
      </c>
      <c r="G71" s="79">
        <f>E71/10000</f>
        <v>3.2741330563275275E-3</v>
      </c>
      <c r="O71">
        <v>1.7</v>
      </c>
      <c r="Q71">
        <v>0.8</v>
      </c>
    </row>
    <row r="72" spans="2:17" x14ac:dyDescent="0.3">
      <c r="B72" s="16" t="s">
        <v>187</v>
      </c>
      <c r="C72" s="15"/>
      <c r="D72" s="74">
        <v>-0.5</v>
      </c>
      <c r="E72" s="75">
        <f t="shared" ref="E72:E73" si="0">$E$63*D72</f>
        <v>-20.463331602047049</v>
      </c>
      <c r="G72" s="79">
        <f t="shared" ref="G72:G74" si="1">E72/10000</f>
        <v>-2.046333160204705E-3</v>
      </c>
      <c r="O72">
        <v>1.1100000000000001</v>
      </c>
      <c r="Q72">
        <v>1.1100000000000001</v>
      </c>
    </row>
    <row r="73" spans="2:17" x14ac:dyDescent="0.3">
      <c r="B73" s="16" t="s">
        <v>188</v>
      </c>
      <c r="C73" s="15"/>
      <c r="D73" s="74">
        <v>-0.7</v>
      </c>
      <c r="E73" s="75">
        <f t="shared" si="0"/>
        <v>-28.648664242865866</v>
      </c>
      <c r="G73" s="79">
        <f t="shared" si="1"/>
        <v>-2.8648664242865865E-3</v>
      </c>
      <c r="O73" s="119">
        <f>E63*O71*O72/100</f>
        <v>0.77228613466125562</v>
      </c>
      <c r="Q73" s="119">
        <f>E63*Q71*Q72/100</f>
        <v>0.36342876925235557</v>
      </c>
    </row>
    <row r="74" spans="2:17" x14ac:dyDescent="0.3">
      <c r="B74" s="16" t="s">
        <v>189</v>
      </c>
      <c r="C74" s="15"/>
      <c r="D74" s="74">
        <v>-0.7</v>
      </c>
      <c r="E74" s="75">
        <f>$E$63*D74</f>
        <v>-28.648664242865866</v>
      </c>
      <c r="G74" s="79">
        <f t="shared" si="1"/>
        <v>-2.8648664242865865E-3</v>
      </c>
    </row>
    <row r="84" spans="2:9" x14ac:dyDescent="0.3">
      <c r="B84" s="1" t="s">
        <v>190</v>
      </c>
    </row>
    <row r="86" spans="2:9" x14ac:dyDescent="0.3">
      <c r="F86" s="12" t="s">
        <v>191</v>
      </c>
      <c r="G86" s="36">
        <f>10.08*9.6</f>
        <v>96.768000000000001</v>
      </c>
      <c r="H86" t="s">
        <v>192</v>
      </c>
    </row>
    <row r="88" spans="2:9" x14ac:dyDescent="0.3">
      <c r="F88" s="12" t="s">
        <v>193</v>
      </c>
      <c r="G88" s="36">
        <v>96.768000000000001</v>
      </c>
      <c r="H88" t="s">
        <v>192</v>
      </c>
    </row>
    <row r="90" spans="2:9" x14ac:dyDescent="0.3">
      <c r="F90" s="12" t="s">
        <v>194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195</v>
      </c>
    </row>
    <row r="94" spans="2:9" x14ac:dyDescent="0.3">
      <c r="B94" s="125" t="s">
        <v>196</v>
      </c>
      <c r="C94" s="126"/>
      <c r="D94" s="27" t="s">
        <v>197</v>
      </c>
      <c r="F94" s="72" t="s">
        <v>198</v>
      </c>
      <c r="G94" s="77" t="s">
        <v>199</v>
      </c>
      <c r="H94" s="27" t="s">
        <v>197</v>
      </c>
      <c r="I94" s="27" t="s">
        <v>200</v>
      </c>
    </row>
    <row r="95" spans="2:9" x14ac:dyDescent="0.3">
      <c r="B95" s="127" t="s">
        <v>201</v>
      </c>
      <c r="C95" s="127"/>
      <c r="D95" s="74">
        <v>0.75</v>
      </c>
      <c r="F95" s="16" t="s">
        <v>202</v>
      </c>
      <c r="G95" s="74" t="s">
        <v>203</v>
      </c>
      <c r="H95" s="36">
        <f>D97</f>
        <v>-0.5</v>
      </c>
      <c r="I95" s="75">
        <f>$E$63*H95</f>
        <v>-20.463331602047049</v>
      </c>
    </row>
    <row r="96" spans="2:9" x14ac:dyDescent="0.3">
      <c r="B96" s="127" t="s">
        <v>204</v>
      </c>
      <c r="C96" s="127"/>
      <c r="D96" s="74">
        <v>-0.6</v>
      </c>
      <c r="F96" s="16" t="s">
        <v>205</v>
      </c>
      <c r="G96" s="74" t="s">
        <v>203</v>
      </c>
      <c r="H96" s="36">
        <f>D97</f>
        <v>-0.5</v>
      </c>
      <c r="I96" s="75">
        <f>$E$63*H96</f>
        <v>-20.463331602047049</v>
      </c>
    </row>
    <row r="97" spans="2:14" x14ac:dyDescent="0.3">
      <c r="B97" s="127" t="s">
        <v>206</v>
      </c>
      <c r="C97" s="127"/>
      <c r="D97" s="74">
        <v>-0.5</v>
      </c>
      <c r="F97" s="16" t="s">
        <v>207</v>
      </c>
      <c r="G97" s="74" t="s">
        <v>208</v>
      </c>
      <c r="H97" s="36">
        <f>D96</f>
        <v>-0.6</v>
      </c>
      <c r="I97" s="75">
        <f>$E$63*H97</f>
        <v>-24.555997922456459</v>
      </c>
    </row>
    <row r="98" spans="2:14" x14ac:dyDescent="0.3">
      <c r="B98" s="127" t="s">
        <v>209</v>
      </c>
      <c r="C98" s="127"/>
      <c r="D98" s="74">
        <v>-0.3</v>
      </c>
      <c r="F98" s="16" t="s">
        <v>210</v>
      </c>
      <c r="G98" s="74" t="s">
        <v>211</v>
      </c>
      <c r="H98" s="36">
        <f>D95</f>
        <v>0.75</v>
      </c>
      <c r="I98" s="75">
        <f>$E$63*H98</f>
        <v>30.694997403070573</v>
      </c>
    </row>
    <row r="101" spans="2:14" ht="24" customHeight="1" x14ac:dyDescent="0.3">
      <c r="B101" s="80" t="s">
        <v>213</v>
      </c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</row>
    <row r="102" spans="2:14" x14ac:dyDescent="0.3">
      <c r="B102" s="123" t="s">
        <v>214</v>
      </c>
    </row>
    <row r="103" spans="2:14" x14ac:dyDescent="0.3">
      <c r="B103" s="1" t="s">
        <v>215</v>
      </c>
    </row>
    <row r="104" spans="2:14" ht="30" customHeight="1" x14ac:dyDescent="0.3">
      <c r="B104" s="72" t="s">
        <v>216</v>
      </c>
      <c r="C104" s="73"/>
      <c r="D104" s="27" t="s">
        <v>217</v>
      </c>
      <c r="E104" s="27" t="s">
        <v>218</v>
      </c>
      <c r="F104" s="27" t="s">
        <v>219</v>
      </c>
      <c r="G104" s="77" t="s">
        <v>220</v>
      </c>
      <c r="H104" s="126" t="s">
        <v>221</v>
      </c>
      <c r="I104" s="126"/>
    </row>
    <row r="105" spans="2:14" x14ac:dyDescent="0.3">
      <c r="B105" s="16" t="s">
        <v>222</v>
      </c>
      <c r="C105" s="15"/>
      <c r="D105" s="122" t="s">
        <v>223</v>
      </c>
      <c r="E105" s="122" t="s">
        <v>224</v>
      </c>
      <c r="F105" s="43" t="s">
        <v>225</v>
      </c>
      <c r="G105" s="122">
        <v>1</v>
      </c>
      <c r="H105" s="128" t="s">
        <v>226</v>
      </c>
      <c r="I105" s="128"/>
    </row>
    <row r="106" spans="2:14" x14ac:dyDescent="0.3">
      <c r="B106" s="16" t="s">
        <v>227</v>
      </c>
      <c r="C106" s="15"/>
      <c r="D106" s="122" t="s">
        <v>228</v>
      </c>
      <c r="E106" s="122" t="s">
        <v>229</v>
      </c>
      <c r="F106" s="43" t="s">
        <v>225</v>
      </c>
      <c r="G106" s="122">
        <v>-1</v>
      </c>
      <c r="H106" s="128" t="s">
        <v>226</v>
      </c>
      <c r="I106" s="128"/>
    </row>
    <row r="107" spans="2:14" x14ac:dyDescent="0.3">
      <c r="B107" s="16" t="s">
        <v>230</v>
      </c>
      <c r="C107" s="15"/>
      <c r="D107" s="122" t="s">
        <v>231</v>
      </c>
      <c r="E107" s="122" t="s">
        <v>232</v>
      </c>
      <c r="F107" s="43" t="s">
        <v>225</v>
      </c>
      <c r="G107" s="122">
        <v>1</v>
      </c>
      <c r="H107" s="128" t="s">
        <v>233</v>
      </c>
      <c r="I107" s="128"/>
    </row>
    <row r="108" spans="2:14" x14ac:dyDescent="0.3">
      <c r="B108" s="16" t="s">
        <v>234</v>
      </c>
      <c r="C108" s="15"/>
      <c r="D108" s="122" t="s">
        <v>235</v>
      </c>
      <c r="E108" s="122" t="s">
        <v>236</v>
      </c>
      <c r="F108" s="43" t="s">
        <v>237</v>
      </c>
      <c r="G108" s="122">
        <v>-1</v>
      </c>
      <c r="H108" s="128" t="s">
        <v>233</v>
      </c>
      <c r="I108" s="128"/>
    </row>
    <row r="109" spans="2:14" x14ac:dyDescent="0.3">
      <c r="B109" s="16" t="s">
        <v>238</v>
      </c>
      <c r="C109" s="15"/>
      <c r="D109" s="122" t="s">
        <v>239</v>
      </c>
      <c r="E109" s="122" t="s">
        <v>240</v>
      </c>
      <c r="F109" s="43" t="s">
        <v>225</v>
      </c>
      <c r="G109" s="122">
        <v>-1</v>
      </c>
      <c r="H109" s="128" t="s">
        <v>241</v>
      </c>
      <c r="I109" s="128"/>
    </row>
    <row r="110" spans="2:14" x14ac:dyDescent="0.3">
      <c r="B110" s="123" t="s">
        <v>242</v>
      </c>
    </row>
    <row r="111" spans="2:14" x14ac:dyDescent="0.3">
      <c r="B111" s="123" t="s">
        <v>243</v>
      </c>
    </row>
    <row r="113" spans="2:12" x14ac:dyDescent="0.3">
      <c r="B113" s="1" t="s">
        <v>244</v>
      </c>
    </row>
    <row r="114" spans="2:12" x14ac:dyDescent="0.3">
      <c r="B114" s="78" t="s">
        <v>245</v>
      </c>
    </row>
    <row r="115" spans="2:12" ht="30" customHeight="1" x14ac:dyDescent="0.3">
      <c r="B115" s="72" t="s">
        <v>216</v>
      </c>
      <c r="C115" s="73"/>
      <c r="D115" s="27" t="s">
        <v>217</v>
      </c>
      <c r="E115" s="27" t="s">
        <v>246</v>
      </c>
      <c r="F115" s="27" t="s">
        <v>247</v>
      </c>
      <c r="G115" s="77" t="s">
        <v>248</v>
      </c>
      <c r="H115" s="77" t="s">
        <v>249</v>
      </c>
      <c r="I115" s="27" t="s">
        <v>250</v>
      </c>
      <c r="J115" s="126" t="s">
        <v>251</v>
      </c>
      <c r="K115" s="126"/>
      <c r="L115" s="126"/>
    </row>
    <row r="116" spans="2:12" x14ac:dyDescent="0.3">
      <c r="B116" s="16" t="str">
        <f>B105</f>
        <v>Muro A (Eje A)</v>
      </c>
      <c r="C116" s="15"/>
      <c r="D116" s="122" t="str">
        <f>D105</f>
        <v>_OESTE</v>
      </c>
      <c r="E116" s="122" t="s">
        <v>211</v>
      </c>
      <c r="F116" s="74">
        <f>$D$71</f>
        <v>0.8</v>
      </c>
      <c r="G116" s="75">
        <f>$E$63*F116</f>
        <v>32.741330563275277</v>
      </c>
      <c r="H116" s="121">
        <f>IF($F$105="SI",ROUNDUP(ROUND($G$105*G116/10000,6),4),0)</f>
        <v>3.3E-3</v>
      </c>
      <c r="I116" s="122" t="str">
        <f>H105</f>
        <v>GX INCLINED</v>
      </c>
      <c r="J116" s="129" t="str">
        <f>IF(H116=0,"— no se carga (abierta)",D116&amp;" ONE "&amp;TEXT(H116,"0.0000")&amp;" "&amp;I116)</f>
        <v>_OESTE ONE 0.0033 GX INCLINED</v>
      </c>
      <c r="K116" s="129"/>
      <c r="L116" s="129"/>
    </row>
    <row r="117" spans="2:12" x14ac:dyDescent="0.3">
      <c r="B117" s="16" t="str">
        <f>B106</f>
        <v>Muro B (Eje B)</v>
      </c>
      <c r="C117" s="15"/>
      <c r="D117" s="122" t="str">
        <f>D106</f>
        <v>_ESTE</v>
      </c>
      <c r="E117" s="122" t="s">
        <v>208</v>
      </c>
      <c r="F117" s="74">
        <f>$D$72</f>
        <v>-0.5</v>
      </c>
      <c r="G117" s="75">
        <f>$E$63*F117</f>
        <v>-20.463331602047049</v>
      </c>
      <c r="H117" s="121">
        <f>IF($F$106="SI",ROUNDUP(ROUND($G$106*G117/10000,6),4),0)</f>
        <v>2.0999999999999999E-3</v>
      </c>
      <c r="I117" s="122" t="str">
        <f>H106</f>
        <v>GX INCLINED</v>
      </c>
      <c r="J117" s="129" t="str">
        <f>IF(H117=0,"— no se carga (abierta)",D117&amp;" ONE "&amp;TEXT(H117,"0.0000")&amp;" "&amp;I117)</f>
        <v>_ESTE ONE 0.0021 GX INCLINED</v>
      </c>
      <c r="K117" s="129"/>
      <c r="L117" s="129"/>
    </row>
    <row r="118" spans="2:12" x14ac:dyDescent="0.3">
      <c r="B118" s="16" t="str">
        <f>B107</f>
        <v>Muro 1 (Eje 1)</v>
      </c>
      <c r="C118" s="15"/>
      <c r="D118" s="122" t="str">
        <f>D107</f>
        <v>_NORTE</v>
      </c>
      <c r="E118" s="122" t="s">
        <v>252</v>
      </c>
      <c r="F118" s="74">
        <f>$D$73</f>
        <v>-0.7</v>
      </c>
      <c r="G118" s="75">
        <f>$E$63*F118</f>
        <v>-28.648664242865866</v>
      </c>
      <c r="H118" s="121">
        <f>IF($F$107="SI",ROUNDUP(ROUND($G$107*G118/10000,6),4),0)</f>
        <v>-2.8999999999999998E-3</v>
      </c>
      <c r="I118" s="122" t="str">
        <f>H107</f>
        <v>GZ</v>
      </c>
      <c r="J118" s="129" t="str">
        <f>IF(H118=0,"— no se carga (abierta)",D118&amp;" ONE "&amp;TEXT(H118,"0.0000")&amp;" "&amp;I118)</f>
        <v>_NORTE ONE -0.0029 GZ</v>
      </c>
      <c r="K118" s="129"/>
      <c r="L118" s="129"/>
    </row>
    <row r="119" spans="2:12" x14ac:dyDescent="0.3">
      <c r="B119" s="16" t="str">
        <f>B108</f>
        <v>Eje 3 (muelle)</v>
      </c>
      <c r="C119" s="15"/>
      <c r="D119" s="122" t="str">
        <f>D108</f>
        <v>_SUR</v>
      </c>
      <c r="E119" s="122" t="s">
        <v>252</v>
      </c>
      <c r="F119" s="74">
        <f>$D$73</f>
        <v>-0.7</v>
      </c>
      <c r="G119" s="75">
        <f>$E$63*F119</f>
        <v>-28.648664242865866</v>
      </c>
      <c r="H119" s="121">
        <f>IF($F$108="SI",ROUNDUP(ROUND($G$108*G119/10000,6),4),0)</f>
        <v>0</v>
      </c>
      <c r="I119" s="122" t="str">
        <f>H108</f>
        <v>GZ</v>
      </c>
      <c r="J119" s="129" t="str">
        <f>IF(H119=0,"— no se carga (abierta)",D119&amp;" ONE "&amp;TEXT(H119,"0.0000")&amp;" "&amp;I119)</f>
        <v>— no se carga (abierta)</v>
      </c>
      <c r="K119" s="129"/>
      <c r="L119" s="129"/>
    </row>
    <row r="120" spans="2:12" x14ac:dyDescent="0.3">
      <c r="B120" s="16" t="str">
        <f>B109</f>
        <v>Cubierta</v>
      </c>
      <c r="C120" s="15"/>
      <c r="D120" s="122" t="str">
        <f>D109</f>
        <v>_CUBIERTA</v>
      </c>
      <c r="E120" s="122" t="s">
        <v>240</v>
      </c>
      <c r="F120" s="74">
        <f>$D$74</f>
        <v>-0.7</v>
      </c>
      <c r="G120" s="75">
        <f>$E$63*F120</f>
        <v>-28.648664242865866</v>
      </c>
      <c r="H120" s="121">
        <f>IF($F$109="SI",ROUNDUP(ROUND($G$109*G120/10000,6),4),0)</f>
        <v>2.8999999999999998E-3</v>
      </c>
      <c r="I120" s="122" t="str">
        <f>H109</f>
        <v>GY INCLINED</v>
      </c>
      <c r="J120" s="129" t="str">
        <f>IF(H120=0,"— no se carga (abierta)",D120&amp;" ONE "&amp;TEXT(H120,"0.0000")&amp;" "&amp;I120)</f>
        <v>_CUBIERTA ONE 0.0029 GY INCLINED</v>
      </c>
      <c r="K120" s="129"/>
      <c r="L120" s="129"/>
    </row>
    <row r="122" spans="2:12" x14ac:dyDescent="0.3">
      <c r="B122" s="78" t="s">
        <v>253</v>
      </c>
    </row>
    <row r="123" spans="2:12" ht="30" customHeight="1" x14ac:dyDescent="0.3">
      <c r="B123" s="72" t="s">
        <v>216</v>
      </c>
      <c r="C123" s="73"/>
      <c r="D123" s="27" t="s">
        <v>217</v>
      </c>
      <c r="E123" s="27" t="s">
        <v>246</v>
      </c>
      <c r="F123" s="27" t="s">
        <v>247</v>
      </c>
      <c r="G123" s="77" t="s">
        <v>248</v>
      </c>
      <c r="H123" s="77" t="s">
        <v>249</v>
      </c>
      <c r="I123" s="27" t="s">
        <v>250</v>
      </c>
      <c r="J123" s="126" t="s">
        <v>251</v>
      </c>
      <c r="K123" s="126"/>
      <c r="L123" s="126"/>
    </row>
    <row r="124" spans="2:12" x14ac:dyDescent="0.3">
      <c r="B124" s="16" t="str">
        <f>B105</f>
        <v>Muro A (Eje A)</v>
      </c>
      <c r="C124" s="15"/>
      <c r="D124" s="122" t="str">
        <f>D105</f>
        <v>_OESTE</v>
      </c>
      <c r="E124" s="122" t="s">
        <v>208</v>
      </c>
      <c r="F124" s="74">
        <f>$D$72</f>
        <v>-0.5</v>
      </c>
      <c r="G124" s="75">
        <f>$E$63*F124</f>
        <v>-20.463331602047049</v>
      </c>
      <c r="H124" s="121">
        <f>IF($F$105="SI",ROUNDUP(ROUND($G$105*G124/10000,6),4),0)</f>
        <v>-2.0999999999999999E-3</v>
      </c>
      <c r="I124" s="122" t="str">
        <f>H105</f>
        <v>GX INCLINED</v>
      </c>
      <c r="J124" s="129" t="str">
        <f>IF(H124=0,"— no se carga (abierta)",D124&amp;" ONE "&amp;TEXT(H124,"0.0000")&amp;" "&amp;I124)</f>
        <v>_OESTE ONE -0.0021 GX INCLINED</v>
      </c>
      <c r="K124" s="129"/>
      <c r="L124" s="129"/>
    </row>
    <row r="125" spans="2:12" x14ac:dyDescent="0.3">
      <c r="B125" s="16" t="str">
        <f>B106</f>
        <v>Muro B (Eje B)</v>
      </c>
      <c r="C125" s="15"/>
      <c r="D125" s="122" t="str">
        <f>D106</f>
        <v>_ESTE</v>
      </c>
      <c r="E125" s="122" t="s">
        <v>211</v>
      </c>
      <c r="F125" s="74">
        <f>$D$71</f>
        <v>0.8</v>
      </c>
      <c r="G125" s="75">
        <f>$E$63*F125</f>
        <v>32.741330563275277</v>
      </c>
      <c r="H125" s="121">
        <f>IF($F$106="SI",ROUNDUP(ROUND($G$106*G125/10000,6),4),0)</f>
        <v>-3.3E-3</v>
      </c>
      <c r="I125" s="122" t="str">
        <f>H106</f>
        <v>GX INCLINED</v>
      </c>
      <c r="J125" s="129" t="str">
        <f>IF(H125=0,"— no se carga (abierta)",D125&amp;" ONE "&amp;TEXT(H125,"0.0000")&amp;" "&amp;I125)</f>
        <v>_ESTE ONE -0.0033 GX INCLINED</v>
      </c>
      <c r="K125" s="129"/>
      <c r="L125" s="129"/>
    </row>
    <row r="126" spans="2:12" x14ac:dyDescent="0.3">
      <c r="B126" s="16" t="str">
        <f>B107</f>
        <v>Muro 1 (Eje 1)</v>
      </c>
      <c r="C126" s="15"/>
      <c r="D126" s="122" t="str">
        <f>D107</f>
        <v>_NORTE</v>
      </c>
      <c r="E126" s="122" t="s">
        <v>252</v>
      </c>
      <c r="F126" s="74">
        <f>$D$73</f>
        <v>-0.7</v>
      </c>
      <c r="G126" s="75">
        <f>$E$63*F126</f>
        <v>-28.648664242865866</v>
      </c>
      <c r="H126" s="121">
        <f>IF($F$107="SI",ROUNDUP(ROUND($G$107*G126/10000,6),4),0)</f>
        <v>-2.8999999999999998E-3</v>
      </c>
      <c r="I126" s="122" t="str">
        <f>H107</f>
        <v>GZ</v>
      </c>
      <c r="J126" s="129" t="str">
        <f>IF(H126=0,"— no se carga (abierta)",D126&amp;" ONE "&amp;TEXT(H126,"0.0000")&amp;" "&amp;I126)</f>
        <v>_NORTE ONE -0.0029 GZ</v>
      </c>
      <c r="K126" s="129"/>
      <c r="L126" s="129"/>
    </row>
    <row r="127" spans="2:12" x14ac:dyDescent="0.3">
      <c r="B127" s="16" t="str">
        <f>B108</f>
        <v>Eje 3 (muelle)</v>
      </c>
      <c r="C127" s="15"/>
      <c r="D127" s="122" t="str">
        <f>D108</f>
        <v>_SUR</v>
      </c>
      <c r="E127" s="122" t="s">
        <v>252</v>
      </c>
      <c r="F127" s="74">
        <f>$D$73</f>
        <v>-0.7</v>
      </c>
      <c r="G127" s="75">
        <f>$E$63*F127</f>
        <v>-28.648664242865866</v>
      </c>
      <c r="H127" s="121">
        <f>IF($F$108="SI",ROUNDUP(ROUND($G$108*G127/10000,6),4),0)</f>
        <v>0</v>
      </c>
      <c r="I127" s="122" t="str">
        <f>H108</f>
        <v>GZ</v>
      </c>
      <c r="J127" s="129" t="str">
        <f>IF(H127=0,"— no se carga (abierta)",D127&amp;" ONE "&amp;TEXT(H127,"0.0000")&amp;" "&amp;I127)</f>
        <v>— no se carga (abierta)</v>
      </c>
      <c r="K127" s="129"/>
      <c r="L127" s="129"/>
    </row>
    <row r="128" spans="2:12" x14ac:dyDescent="0.3">
      <c r="B128" s="16" t="str">
        <f>B109</f>
        <v>Cubierta</v>
      </c>
      <c r="C128" s="15"/>
      <c r="D128" s="122" t="str">
        <f>D109</f>
        <v>_CUBIERTA</v>
      </c>
      <c r="E128" s="122" t="s">
        <v>240</v>
      </c>
      <c r="F128" s="74">
        <f>$D$74</f>
        <v>-0.7</v>
      </c>
      <c r="G128" s="75">
        <f>$E$63*F128</f>
        <v>-28.648664242865866</v>
      </c>
      <c r="H128" s="121">
        <f>IF($F$109="SI",ROUNDUP(ROUND($G$109*G128/10000,6),4),0)</f>
        <v>2.8999999999999998E-3</v>
      </c>
      <c r="I128" s="122" t="str">
        <f>H109</f>
        <v>GY INCLINED</v>
      </c>
      <c r="J128" s="129" t="str">
        <f>IF(H128=0,"— no se carga (abierta)",D128&amp;" ONE "&amp;TEXT(H128,"0.0000")&amp;" "&amp;I128)</f>
        <v>_CUBIERTA ONE 0.0029 GY INCLINED</v>
      </c>
      <c r="K128" s="129"/>
      <c r="L128" s="129"/>
    </row>
    <row r="130" spans="2:12" x14ac:dyDescent="0.3">
      <c r="B130" s="78" t="s">
        <v>254</v>
      </c>
    </row>
    <row r="131" spans="2:12" ht="30" customHeight="1" x14ac:dyDescent="0.3">
      <c r="B131" s="72" t="s">
        <v>216</v>
      </c>
      <c r="C131" s="73"/>
      <c r="D131" s="27" t="s">
        <v>217</v>
      </c>
      <c r="E131" s="27" t="s">
        <v>246</v>
      </c>
      <c r="F131" s="27" t="s">
        <v>247</v>
      </c>
      <c r="G131" s="77" t="s">
        <v>248</v>
      </c>
      <c r="H131" s="77" t="s">
        <v>249</v>
      </c>
      <c r="I131" s="27" t="s">
        <v>250</v>
      </c>
      <c r="J131" s="126" t="s">
        <v>251</v>
      </c>
      <c r="K131" s="126"/>
      <c r="L131" s="126"/>
    </row>
    <row r="132" spans="2:12" x14ac:dyDescent="0.3">
      <c r="B132" s="16" t="str">
        <f>B105</f>
        <v>Muro A (Eje A)</v>
      </c>
      <c r="C132" s="15"/>
      <c r="D132" s="122" t="str">
        <f>D105</f>
        <v>_OESTE</v>
      </c>
      <c r="E132" s="122" t="s">
        <v>252</v>
      </c>
      <c r="F132" s="74">
        <f>$D$73</f>
        <v>-0.7</v>
      </c>
      <c r="G132" s="75">
        <f>$E$63*F132</f>
        <v>-28.648664242865866</v>
      </c>
      <c r="H132" s="121">
        <f>IF($F$105="SI",ROUNDUP(ROUND($G$105*G132/10000,6),4),0)</f>
        <v>-2.8999999999999998E-3</v>
      </c>
      <c r="I132" s="122" t="str">
        <f>H105</f>
        <v>GX INCLINED</v>
      </c>
      <c r="J132" s="129" t="str">
        <f>IF(H132=0,"— no se carga (abierta)",D132&amp;" ONE "&amp;TEXT(H132,"0.0000")&amp;" "&amp;I132)</f>
        <v>_OESTE ONE -0.0029 GX INCLINED</v>
      </c>
      <c r="K132" s="129"/>
      <c r="L132" s="129"/>
    </row>
    <row r="133" spans="2:12" x14ac:dyDescent="0.3">
      <c r="B133" s="16" t="str">
        <f>B106</f>
        <v>Muro B (Eje B)</v>
      </c>
      <c r="C133" s="15"/>
      <c r="D133" s="122" t="str">
        <f>D106</f>
        <v>_ESTE</v>
      </c>
      <c r="E133" s="122" t="s">
        <v>252</v>
      </c>
      <c r="F133" s="74">
        <f>$D$73</f>
        <v>-0.7</v>
      </c>
      <c r="G133" s="75">
        <f>$E$63*F133</f>
        <v>-28.648664242865866</v>
      </c>
      <c r="H133" s="121">
        <f>IF($F$106="SI",ROUNDUP(ROUND($G$106*G133/10000,6),4),0)</f>
        <v>2.8999999999999998E-3</v>
      </c>
      <c r="I133" s="122" t="str">
        <f>H106</f>
        <v>GX INCLINED</v>
      </c>
      <c r="J133" s="129" t="str">
        <f>IF(H133=0,"— no se carga (abierta)",D133&amp;" ONE "&amp;TEXT(H133,"0.0000")&amp;" "&amp;I133)</f>
        <v>_ESTE ONE 0.0029 GX INCLINED</v>
      </c>
      <c r="K133" s="129"/>
      <c r="L133" s="129"/>
    </row>
    <row r="134" spans="2:12" x14ac:dyDescent="0.3">
      <c r="B134" s="16" t="str">
        <f>B107</f>
        <v>Muro 1 (Eje 1)</v>
      </c>
      <c r="C134" s="15"/>
      <c r="D134" s="122" t="str">
        <f>D107</f>
        <v>_NORTE</v>
      </c>
      <c r="E134" s="122" t="s">
        <v>211</v>
      </c>
      <c r="F134" s="74">
        <f>$D$71</f>
        <v>0.8</v>
      </c>
      <c r="G134" s="75">
        <f>$E$63*F134</f>
        <v>32.741330563275277</v>
      </c>
      <c r="H134" s="121">
        <f>IF($F$107="SI",ROUNDUP(ROUND($G$107*G134/10000,6),4),0)</f>
        <v>3.3E-3</v>
      </c>
      <c r="I134" s="122" t="str">
        <f>H107</f>
        <v>GZ</v>
      </c>
      <c r="J134" s="129" t="str">
        <f>IF(H134=0,"— no se carga (abierta)",D134&amp;" ONE "&amp;TEXT(H134,"0.0000")&amp;" "&amp;I134)</f>
        <v>_NORTE ONE 0.0033 GZ</v>
      </c>
      <c r="K134" s="129"/>
      <c r="L134" s="129"/>
    </row>
    <row r="135" spans="2:12" x14ac:dyDescent="0.3">
      <c r="B135" s="16" t="str">
        <f>B108</f>
        <v>Eje 3 (muelle)</v>
      </c>
      <c r="C135" s="15"/>
      <c r="D135" s="122" t="str">
        <f>D108</f>
        <v>_SUR</v>
      </c>
      <c r="E135" s="122" t="s">
        <v>208</v>
      </c>
      <c r="F135" s="74">
        <f>$D$72</f>
        <v>-0.5</v>
      </c>
      <c r="G135" s="75">
        <f>$E$63*F135</f>
        <v>-20.463331602047049</v>
      </c>
      <c r="H135" s="121">
        <f>IF($F$108="SI",ROUNDUP(ROUND($G$108*G135/10000,6),4),0)</f>
        <v>0</v>
      </c>
      <c r="I135" s="122" t="str">
        <f>H108</f>
        <v>GZ</v>
      </c>
      <c r="J135" s="129" t="str">
        <f>IF(H135=0,"— no se carga (abierta)",D135&amp;" ONE "&amp;TEXT(H135,"0.0000")&amp;" "&amp;I135)</f>
        <v>— no se carga (abierta)</v>
      </c>
      <c r="K135" s="129"/>
      <c r="L135" s="129"/>
    </row>
    <row r="136" spans="2:12" x14ac:dyDescent="0.3">
      <c r="B136" s="16" t="str">
        <f>B109</f>
        <v>Cubierta</v>
      </c>
      <c r="C136" s="15"/>
      <c r="D136" s="122" t="str">
        <f>D109</f>
        <v>_CUBIERTA</v>
      </c>
      <c r="E136" s="122" t="s">
        <v>240</v>
      </c>
      <c r="F136" s="74">
        <f>$D$74</f>
        <v>-0.7</v>
      </c>
      <c r="G136" s="75">
        <f>$E$63*F136</f>
        <v>-28.648664242865866</v>
      </c>
      <c r="H136" s="121">
        <f>IF($F$109="SI",ROUNDUP(ROUND($G$109*G136/10000,6),4),0)</f>
        <v>2.8999999999999998E-3</v>
      </c>
      <c r="I136" s="122" t="str">
        <f>H109</f>
        <v>GY INCLINED</v>
      </c>
      <c r="J136" s="129" t="str">
        <f>IF(H136=0,"— no se carga (abierta)",D136&amp;" ONE "&amp;TEXT(H136,"0.0000")&amp;" "&amp;I136)</f>
        <v>_CUBIERTA ONE 0.0029 GY INCLINED</v>
      </c>
      <c r="K136" s="129"/>
      <c r="L136" s="129"/>
    </row>
    <row r="138" spans="2:12" x14ac:dyDescent="0.3">
      <c r="B138" s="78" t="s">
        <v>255</v>
      </c>
    </row>
    <row r="139" spans="2:12" ht="30" customHeight="1" x14ac:dyDescent="0.3">
      <c r="B139" s="72" t="s">
        <v>216</v>
      </c>
      <c r="C139" s="73"/>
      <c r="D139" s="27" t="s">
        <v>217</v>
      </c>
      <c r="E139" s="27" t="s">
        <v>246</v>
      </c>
      <c r="F139" s="27" t="s">
        <v>247</v>
      </c>
      <c r="G139" s="77" t="s">
        <v>248</v>
      </c>
      <c r="H139" s="77" t="s">
        <v>249</v>
      </c>
      <c r="I139" s="27" t="s">
        <v>250</v>
      </c>
      <c r="J139" s="126" t="s">
        <v>251</v>
      </c>
      <c r="K139" s="126"/>
      <c r="L139" s="126"/>
    </row>
    <row r="140" spans="2:12" x14ac:dyDescent="0.3">
      <c r="B140" s="16" t="str">
        <f>B105</f>
        <v>Muro A (Eje A)</v>
      </c>
      <c r="C140" s="15"/>
      <c r="D140" s="122" t="str">
        <f>D105</f>
        <v>_OESTE</v>
      </c>
      <c r="E140" s="122" t="s">
        <v>252</v>
      </c>
      <c r="F140" s="74">
        <f>$D$73</f>
        <v>-0.7</v>
      </c>
      <c r="G140" s="75">
        <f>$E$63*F140</f>
        <v>-28.648664242865866</v>
      </c>
      <c r="H140" s="121">
        <f>IF($F$105="SI",ROUNDUP(ROUND($G$105*G140/10000,6),4),0)</f>
        <v>-2.8999999999999998E-3</v>
      </c>
      <c r="I140" s="122" t="str">
        <f>H105</f>
        <v>GX INCLINED</v>
      </c>
      <c r="J140" s="129" t="str">
        <f>IF(H140=0,"— no se carga (abierta)",D140&amp;" ONE "&amp;TEXT(H140,"0.0000")&amp;" "&amp;I140)</f>
        <v>_OESTE ONE -0.0029 GX INCLINED</v>
      </c>
      <c r="K140" s="129"/>
      <c r="L140" s="129"/>
    </row>
    <row r="141" spans="2:12" x14ac:dyDescent="0.3">
      <c r="B141" s="16" t="str">
        <f>B106</f>
        <v>Muro B (Eje B)</v>
      </c>
      <c r="C141" s="15"/>
      <c r="D141" s="122" t="str">
        <f>D106</f>
        <v>_ESTE</v>
      </c>
      <c r="E141" s="122" t="s">
        <v>252</v>
      </c>
      <c r="F141" s="74">
        <f>$D$73</f>
        <v>-0.7</v>
      </c>
      <c r="G141" s="75">
        <f>$E$63*F141</f>
        <v>-28.648664242865866</v>
      </c>
      <c r="H141" s="121">
        <f>IF($F$106="SI",ROUNDUP(ROUND($G$106*G141/10000,6),4),0)</f>
        <v>2.8999999999999998E-3</v>
      </c>
      <c r="I141" s="122" t="str">
        <f>H106</f>
        <v>GX INCLINED</v>
      </c>
      <c r="J141" s="129" t="str">
        <f>IF(H141=0,"— no se carga (abierta)",D141&amp;" ONE "&amp;TEXT(H141,"0.0000")&amp;" "&amp;I141)</f>
        <v>_ESTE ONE 0.0029 GX INCLINED</v>
      </c>
      <c r="K141" s="129"/>
      <c r="L141" s="129"/>
    </row>
    <row r="142" spans="2:12" x14ac:dyDescent="0.3">
      <c r="B142" s="16" t="str">
        <f>B107</f>
        <v>Muro 1 (Eje 1)</v>
      </c>
      <c r="C142" s="15"/>
      <c r="D142" s="122" t="str">
        <f>D107</f>
        <v>_NORTE</v>
      </c>
      <c r="E142" s="122" t="s">
        <v>208</v>
      </c>
      <c r="F142" s="74">
        <f>$D$72</f>
        <v>-0.5</v>
      </c>
      <c r="G142" s="75">
        <f>$E$63*F142</f>
        <v>-20.463331602047049</v>
      </c>
      <c r="H142" s="121">
        <f>IF($F$107="SI",ROUNDUP(ROUND($G$107*G142/10000,6),4),0)</f>
        <v>-2.0999999999999999E-3</v>
      </c>
      <c r="I142" s="122" t="str">
        <f>H107</f>
        <v>GZ</v>
      </c>
      <c r="J142" s="129" t="str">
        <f>IF(H142=0,"— no se carga (abierta)",D142&amp;" ONE "&amp;TEXT(H142,"0.0000")&amp;" "&amp;I142)</f>
        <v>_NORTE ONE -0.0021 GZ</v>
      </c>
      <c r="K142" s="129"/>
      <c r="L142" s="129"/>
    </row>
    <row r="143" spans="2:12" x14ac:dyDescent="0.3">
      <c r="B143" s="16" t="str">
        <f>B108</f>
        <v>Eje 3 (muelle)</v>
      </c>
      <c r="C143" s="15"/>
      <c r="D143" s="122" t="str">
        <f>D108</f>
        <v>_SUR</v>
      </c>
      <c r="E143" s="122" t="s">
        <v>211</v>
      </c>
      <c r="F143" s="74">
        <f>$D$71</f>
        <v>0.8</v>
      </c>
      <c r="G143" s="75">
        <f>$E$63*F143</f>
        <v>32.741330563275277</v>
      </c>
      <c r="H143" s="149">
        <f>IF($F$108="SI",ROUNDUP(ROUND($G$108*G143/10000,6),4),0)</f>
        <v>0</v>
      </c>
      <c r="I143" s="122" t="str">
        <f>H108</f>
        <v>GZ</v>
      </c>
      <c r="J143" s="129" t="str">
        <f>IF(H143=0,"— no se carga (abierta)",D143&amp;" ONE "&amp;TEXT(H143,"0.0000")&amp;" "&amp;I143)</f>
        <v>— no se carga (abierta)</v>
      </c>
      <c r="K143" s="129"/>
      <c r="L143" s="129"/>
    </row>
    <row r="144" spans="2:12" x14ac:dyDescent="0.3">
      <c r="B144" s="16" t="str">
        <f>B109</f>
        <v>Cubierta</v>
      </c>
      <c r="C144" s="15"/>
      <c r="D144" s="122" t="str">
        <f>D109</f>
        <v>_CUBIERTA</v>
      </c>
      <c r="E144" s="122" t="s">
        <v>240</v>
      </c>
      <c r="F144" s="74">
        <f>$D$74</f>
        <v>-0.7</v>
      </c>
      <c r="G144" s="75">
        <f>$E$63*F144</f>
        <v>-28.648664242865866</v>
      </c>
      <c r="H144" s="121">
        <f>IF($F$109="SI",ROUNDUP(ROUND($G$109*G144/10000,6),4),0)</f>
        <v>2.8999999999999998E-3</v>
      </c>
      <c r="I144" s="122" t="str">
        <f>H109</f>
        <v>GY INCLINED</v>
      </c>
      <c r="J144" s="129" t="str">
        <f>IF(H144=0,"— no se carga (abierta)",D144&amp;" ONE "&amp;TEXT(H144,"0.0000")&amp;" "&amp;I144)</f>
        <v>_CUBIERTA ONE 0.0029 GY INCLINED</v>
      </c>
      <c r="K144" s="129"/>
      <c r="L144" s="129"/>
    </row>
    <row r="146" spans="2:12" x14ac:dyDescent="0.3">
      <c r="B146" s="1" t="s">
        <v>301</v>
      </c>
    </row>
    <row r="147" spans="2:12" x14ac:dyDescent="0.3">
      <c r="B147" s="123" t="s">
        <v>302</v>
      </c>
    </row>
    <row r="148" spans="2:12" x14ac:dyDescent="0.3">
      <c r="B148" s="123" t="s">
        <v>303</v>
      </c>
    </row>
    <row r="149" spans="2:12" x14ac:dyDescent="0.3">
      <c r="B149" s="78" t="s">
        <v>259</v>
      </c>
    </row>
    <row r="150" spans="2:12" ht="30" customHeight="1" x14ac:dyDescent="0.3">
      <c r="B150" s="72" t="s">
        <v>216</v>
      </c>
      <c r="C150" s="73"/>
      <c r="D150" s="27" t="s">
        <v>217</v>
      </c>
      <c r="E150" s="27" t="s">
        <v>247</v>
      </c>
      <c r="F150" s="27" t="s">
        <v>197</v>
      </c>
      <c r="G150" s="77" t="s">
        <v>304</v>
      </c>
      <c r="H150" s="77" t="s">
        <v>249</v>
      </c>
      <c r="I150" s="27" t="s">
        <v>250</v>
      </c>
      <c r="J150" s="126" t="s">
        <v>251</v>
      </c>
      <c r="K150" s="126"/>
      <c r="L150" s="126"/>
    </row>
    <row r="151" spans="2:12" x14ac:dyDescent="0.3">
      <c r="B151" s="16" t="str">
        <f>B105</f>
        <v>Muro A (Eje A)</v>
      </c>
      <c r="C151" s="15"/>
      <c r="D151" s="122" t="str">
        <f>D105</f>
        <v>_OESTE</v>
      </c>
      <c r="E151" s="74">
        <f>F116</f>
        <v>0.8</v>
      </c>
      <c r="F151" s="74">
        <f>$H$95</f>
        <v>-0.5</v>
      </c>
      <c r="G151" s="75">
        <f>$E$63*(E151-F151)</f>
        <v>53.204662165322326</v>
      </c>
      <c r="H151" s="121">
        <f>IF($F$105="SI",ROUNDUP(ROUND($G$105*G151/10000,6),4),0)</f>
        <v>0.0054</v>
      </c>
      <c r="I151" s="122" t="str">
        <f>H105</f>
        <v>GX INCLINED</v>
      </c>
      <c r="J151" s="129" t="str">
        <f>IF(H151=0,IF($F$105="SI","— p neta = 0, no se carga","— no se carga (abierta)"),D151&amp;" ONE "&amp;TEXT(H151,"0.0000")&amp;" "&amp;I151)</f>
        <v>_OESTE ONE 0.0054 GX INCLINED</v>
      </c>
      <c r="K151" s="129"/>
      <c r="L151" s="129"/>
    </row>
    <row r="152" spans="2:12" x14ac:dyDescent="0.3">
      <c r="B152" s="16" t="str">
        <f>B106</f>
        <v>Muro B (Eje B)</v>
      </c>
      <c r="C152" s="15"/>
      <c r="D152" s="122" t="str">
        <f>D106</f>
        <v>_ESTE</v>
      </c>
      <c r="E152" s="74">
        <f>F117</f>
        <v>-0.5</v>
      </c>
      <c r="F152" s="74">
        <f>$H$95</f>
        <v>-0.5</v>
      </c>
      <c r="G152" s="75">
        <f>$E$63*(E152-F152)</f>
        <v>0.0</v>
      </c>
      <c r="H152" s="121">
        <f>IF($F$106="SI",ROUNDUP(ROUND($G$106*G152/10000,6),4),0)</f>
        <v>0.0</v>
      </c>
      <c r="I152" s="122" t="str">
        <f>H106</f>
        <v>GX INCLINED</v>
      </c>
      <c r="J152" s="129" t="str">
        <f>IF(H152=0,IF($F$106="SI","— p neta = 0, no se carga","— no se carga (abierta)"),D152&amp;" ONE "&amp;TEXT(H152,"0.0000")&amp;" "&amp;I152)</f>
        <v>— p neta = 0, no se carga</v>
      </c>
      <c r="K152" s="129"/>
      <c r="L152" s="129"/>
    </row>
    <row r="153" spans="2:12" x14ac:dyDescent="0.3">
      <c r="B153" s="16" t="str">
        <f>B107</f>
        <v>Muro 1 (Eje 1)</v>
      </c>
      <c r="C153" s="15"/>
      <c r="D153" s="122" t="str">
        <f>D107</f>
        <v>_NORTE</v>
      </c>
      <c r="E153" s="74">
        <f>F118</f>
        <v>-0.7</v>
      </c>
      <c r="F153" s="74">
        <f>$H$95</f>
        <v>-0.5</v>
      </c>
      <c r="G153" s="75">
        <f>$E$63*(E153-F153)</f>
        <v>-8.185332640818817</v>
      </c>
      <c r="H153" s="121">
        <f>IF($F$107="SI",ROUNDUP(ROUND($G$107*G153/10000,6),4),0)</f>
        <v>-0.0009</v>
      </c>
      <c r="I153" s="122" t="str">
        <f>H107</f>
        <v>GZ</v>
      </c>
      <c r="J153" s="129" t="str">
        <f>IF(H153=0,IF($F$107="SI","— p neta = 0, no se carga","— no se carga (abierta)"),D153&amp;" ONE "&amp;TEXT(H153,"0.0000")&amp;" "&amp;I153)</f>
        <v>_NORTE ONE -0.0009 GZ</v>
      </c>
      <c r="K153" s="129"/>
      <c r="L153" s="129"/>
    </row>
    <row r="154" spans="2:12" x14ac:dyDescent="0.3">
      <c r="B154" s="16" t="str">
        <f>B108</f>
        <v>Eje 3 (muelle)</v>
      </c>
      <c r="C154" s="15"/>
      <c r="D154" s="122" t="str">
        <f>D108</f>
        <v>_SUR</v>
      </c>
      <c r="E154" s="74">
        <f>F119</f>
        <v>-0.7</v>
      </c>
      <c r="F154" s="74">
        <f>$H$95</f>
        <v>-0.5</v>
      </c>
      <c r="G154" s="75">
        <f>$E$63*(E154-F154)</f>
        <v>-8.185332640818817</v>
      </c>
      <c r="H154" s="121">
        <f>IF($F$108="SI",ROUNDUP(ROUND($G$108*G154/10000,6),4),0)</f>
        <v>0.0</v>
      </c>
      <c r="I154" s="122" t="str">
        <f>H108</f>
        <v>GZ</v>
      </c>
      <c r="J154" s="129" t="str">
        <f>IF(H154=0,IF($F$108="SI","— p neta = 0, no se carga","— no se carga (abierta)"),D154&amp;" ONE "&amp;TEXT(H154,"0.0000")&amp;" "&amp;I154)</f>
        <v>— no se carga (abierta)</v>
      </c>
      <c r="K154" s="129"/>
      <c r="L154" s="129"/>
    </row>
    <row r="155" spans="2:12" x14ac:dyDescent="0.3">
      <c r="B155" s="16" t="str">
        <f>B109</f>
        <v>Cubierta</v>
      </c>
      <c r="C155" s="15"/>
      <c r="D155" s="122" t="str">
        <f>D109</f>
        <v>_CUBIERTA</v>
      </c>
      <c r="E155" s="74">
        <f>F120</f>
        <v>-0.7</v>
      </c>
      <c r="F155" s="74">
        <f>$H$95</f>
        <v>-0.5</v>
      </c>
      <c r="G155" s="75">
        <f>$E$63*(E155-F155)</f>
        <v>-8.185332640818817</v>
      </c>
      <c r="H155" s="121">
        <f>IF($F$109="SI",ROUNDUP(ROUND($G$109*G155/10000,6),4),0)</f>
        <v>0.0009</v>
      </c>
      <c r="I155" s="122" t="str">
        <f>H109</f>
        <v>GY INCLINED</v>
      </c>
      <c r="J155" s="129" t="str">
        <f>IF(H155=0,IF($F$109="SI","— p neta = 0, no se carga","— no se carga (abierta)"),D155&amp;" ONE "&amp;TEXT(H155,"0.0000")&amp;" "&amp;I155)</f>
        <v>_CUBIERTA ONE 0.0009 GY INCLINED</v>
      </c>
      <c r="K155" s="129"/>
      <c r="L155" s="129"/>
    </row>
    <row r="157" spans="2:12" x14ac:dyDescent="0.3">
      <c r="B157" s="78" t="s">
        <v>262</v>
      </c>
    </row>
    <row r="158" spans="2:12" ht="30" customHeight="1" x14ac:dyDescent="0.3">
      <c r="B158" s="72" t="s">
        <v>216</v>
      </c>
      <c r="C158" s="73"/>
      <c r="D158" s="27" t="s">
        <v>217</v>
      </c>
      <c r="E158" s="27" t="s">
        <v>247</v>
      </c>
      <c r="F158" s="27" t="s">
        <v>197</v>
      </c>
      <c r="G158" s="77" t="s">
        <v>304</v>
      </c>
      <c r="H158" s="77" t="s">
        <v>249</v>
      </c>
      <c r="I158" s="27" t="s">
        <v>250</v>
      </c>
      <c r="J158" s="126" t="s">
        <v>251</v>
      </c>
      <c r="K158" s="126"/>
      <c r="L158" s="126"/>
    </row>
    <row r="159" spans="2:12" x14ac:dyDescent="0.3">
      <c r="B159" s="16" t="str">
        <f>B105</f>
        <v>Muro A (Eje A)</v>
      </c>
      <c r="C159" s="15"/>
      <c r="D159" s="122" t="str">
        <f>D105</f>
        <v>_OESTE</v>
      </c>
      <c r="E159" s="74">
        <f>F124</f>
        <v>-0.5</v>
      </c>
      <c r="F159" s="74">
        <f>$H$96</f>
        <v>-0.5</v>
      </c>
      <c r="G159" s="75">
        <f>$E$63*(E159-F159)</f>
        <v>0.0</v>
      </c>
      <c r="H159" s="121">
        <f>IF($F$105="SI",ROUNDUP(ROUND($G$105*G159/10000,6),4),0)</f>
        <v>0.0</v>
      </c>
      <c r="I159" s="122" t="str">
        <f>H105</f>
        <v>GX INCLINED</v>
      </c>
      <c r="J159" s="129" t="str">
        <f>IF(H159=0,IF($F$105="SI","— p neta = 0, no se carga","— no se carga (abierta)"),D159&amp;" ONE "&amp;TEXT(H159,"0.0000")&amp;" "&amp;I159)</f>
        <v>— p neta = 0, no se carga</v>
      </c>
      <c r="K159" s="129"/>
      <c r="L159" s="129"/>
    </row>
    <row r="160" spans="2:12" x14ac:dyDescent="0.3">
      <c r="B160" s="16" t="str">
        <f>B106</f>
        <v>Muro B (Eje B)</v>
      </c>
      <c r="C160" s="15"/>
      <c r="D160" s="122" t="str">
        <f>D106</f>
        <v>_ESTE</v>
      </c>
      <c r="E160" s="74">
        <f>F125</f>
        <v>0.8</v>
      </c>
      <c r="F160" s="74">
        <f>$H$96</f>
        <v>-0.5</v>
      </c>
      <c r="G160" s="75">
        <f>$E$63*(E160-F160)</f>
        <v>53.204662165322326</v>
      </c>
      <c r="H160" s="121">
        <f>IF($F$106="SI",ROUNDUP(ROUND($G$106*G160/10000,6),4),0)</f>
        <v>-0.0054</v>
      </c>
      <c r="I160" s="122" t="str">
        <f>H106</f>
        <v>GX INCLINED</v>
      </c>
      <c r="J160" s="129" t="str">
        <f>IF(H160=0,IF($F$106="SI","— p neta = 0, no se carga","— no se carga (abierta)"),D160&amp;" ONE "&amp;TEXT(H160,"0.0000")&amp;" "&amp;I160)</f>
        <v>_ESTE ONE -0.0054 GX INCLINED</v>
      </c>
      <c r="K160" s="129"/>
      <c r="L160" s="129"/>
    </row>
    <row r="161" spans="2:12" x14ac:dyDescent="0.3">
      <c r="B161" s="16" t="str">
        <f>B107</f>
        <v>Muro 1 (Eje 1)</v>
      </c>
      <c r="C161" s="15"/>
      <c r="D161" s="122" t="str">
        <f>D107</f>
        <v>_NORTE</v>
      </c>
      <c r="E161" s="74">
        <f>F126</f>
        <v>-0.7</v>
      </c>
      <c r="F161" s="74">
        <f>$H$96</f>
        <v>-0.5</v>
      </c>
      <c r="G161" s="75">
        <f>$E$63*(E161-F161)</f>
        <v>-8.185332640818817</v>
      </c>
      <c r="H161" s="121">
        <f>IF($F$107="SI",ROUNDUP(ROUND($G$107*G161/10000,6),4),0)</f>
        <v>-0.0009</v>
      </c>
      <c r="I161" s="122" t="str">
        <f>H107</f>
        <v>GZ</v>
      </c>
      <c r="J161" s="129" t="str">
        <f>IF(H161=0,IF($F$107="SI","— p neta = 0, no se carga","— no se carga (abierta)"),D161&amp;" ONE "&amp;TEXT(H161,"0.0000")&amp;" "&amp;I161)</f>
        <v>_NORTE ONE -0.0009 GZ</v>
      </c>
      <c r="K161" s="129"/>
      <c r="L161" s="129"/>
    </row>
    <row r="162" spans="2:12" x14ac:dyDescent="0.3">
      <c r="B162" s="16" t="str">
        <f>B108</f>
        <v>Eje 3 (muelle)</v>
      </c>
      <c r="C162" s="15"/>
      <c r="D162" s="122" t="str">
        <f>D108</f>
        <v>_SUR</v>
      </c>
      <c r="E162" s="74">
        <f>F127</f>
        <v>-0.7</v>
      </c>
      <c r="F162" s="74">
        <f>$H$96</f>
        <v>-0.5</v>
      </c>
      <c r="G162" s="75">
        <f>$E$63*(E162-F162)</f>
        <v>-8.185332640818817</v>
      </c>
      <c r="H162" s="121">
        <f>IF($F$108="SI",ROUNDUP(ROUND($G$108*G162/10000,6),4),0)</f>
        <v>0.0</v>
      </c>
      <c r="I162" s="122" t="str">
        <f>H108</f>
        <v>GZ</v>
      </c>
      <c r="J162" s="129" t="str">
        <f>IF(H162=0,IF($F$108="SI","— p neta = 0, no se carga","— no se carga (abierta)"),D162&amp;" ONE "&amp;TEXT(H162,"0.0000")&amp;" "&amp;I162)</f>
        <v>— no se carga (abierta)</v>
      </c>
      <c r="K162" s="129"/>
      <c r="L162" s="129"/>
    </row>
    <row r="163" spans="2:12" x14ac:dyDescent="0.3">
      <c r="B163" s="16" t="str">
        <f>B109</f>
        <v>Cubierta</v>
      </c>
      <c r="C163" s="15"/>
      <c r="D163" s="122" t="str">
        <f>D109</f>
        <v>_CUBIERTA</v>
      </c>
      <c r="E163" s="74">
        <f>F128</f>
        <v>-0.7</v>
      </c>
      <c r="F163" s="74">
        <f>$H$96</f>
        <v>-0.5</v>
      </c>
      <c r="G163" s="75">
        <f>$E$63*(E163-F163)</f>
        <v>-8.185332640818817</v>
      </c>
      <c r="H163" s="121">
        <f>IF($F$109="SI",ROUNDUP(ROUND($G$109*G163/10000,6),4),0)</f>
        <v>0.0009</v>
      </c>
      <c r="I163" s="122" t="str">
        <f>H109</f>
        <v>GY INCLINED</v>
      </c>
      <c r="J163" s="129" t="str">
        <f>IF(H163=0,IF($F$109="SI","— p neta = 0, no se carga","— no se carga (abierta)"),D163&amp;" ONE "&amp;TEXT(H163,"0.0000")&amp;" "&amp;I163)</f>
        <v>_CUBIERTA ONE 0.0009 GY INCLINED</v>
      </c>
      <c r="K163" s="129"/>
      <c r="L163" s="129"/>
    </row>
    <row r="165" spans="2:12" x14ac:dyDescent="0.3">
      <c r="B165" s="78" t="s">
        <v>263</v>
      </c>
    </row>
    <row r="166" spans="2:12" ht="30" customHeight="1" x14ac:dyDescent="0.3">
      <c r="B166" s="72" t="s">
        <v>216</v>
      </c>
      <c r="C166" s="73"/>
      <c r="D166" s="27" t="s">
        <v>217</v>
      </c>
      <c r="E166" s="27" t="s">
        <v>247</v>
      </c>
      <c r="F166" s="27" t="s">
        <v>197</v>
      </c>
      <c r="G166" s="77" t="s">
        <v>304</v>
      </c>
      <c r="H166" s="77" t="s">
        <v>249</v>
      </c>
      <c r="I166" s="27" t="s">
        <v>250</v>
      </c>
      <c r="J166" s="126" t="s">
        <v>251</v>
      </c>
      <c r="K166" s="126"/>
      <c r="L166" s="126"/>
    </row>
    <row r="167" spans="2:12" x14ac:dyDescent="0.3">
      <c r="B167" s="16" t="str">
        <f>B105</f>
        <v>Muro A (Eje A)</v>
      </c>
      <c r="C167" s="15"/>
      <c r="D167" s="122" t="str">
        <f>D105</f>
        <v>_OESTE</v>
      </c>
      <c r="E167" s="74">
        <f>F132</f>
        <v>-0.7</v>
      </c>
      <c r="F167" s="74">
        <f>$H$97</f>
        <v>-0.6</v>
      </c>
      <c r="G167" s="75">
        <f>$E$63*(E167-F167)</f>
        <v>-4.092666320409409</v>
      </c>
      <c r="H167" s="121">
        <f>IF($F$105="SI",ROUNDUP(ROUND($G$105*G167/10000,6),4),0)</f>
        <v>-0.0005</v>
      </c>
      <c r="I167" s="122" t="str">
        <f>H105</f>
        <v>GX INCLINED</v>
      </c>
      <c r="J167" s="129" t="str">
        <f>IF(H167=0,IF($F$105="SI","— p neta = 0, no se carga","— no se carga (abierta)"),D167&amp;" ONE "&amp;TEXT(H167,"0.0000")&amp;" "&amp;I167)</f>
        <v>_OESTE ONE -0.0005 GX INCLINED</v>
      </c>
      <c r="K167" s="129"/>
      <c r="L167" s="129"/>
    </row>
    <row r="168" spans="2:12" x14ac:dyDescent="0.3">
      <c r="B168" s="16" t="str">
        <f>B106</f>
        <v>Muro B (Eje B)</v>
      </c>
      <c r="C168" s="15"/>
      <c r="D168" s="122" t="str">
        <f>D106</f>
        <v>_ESTE</v>
      </c>
      <c r="E168" s="74">
        <f>F133</f>
        <v>-0.7</v>
      </c>
      <c r="F168" s="74">
        <f>$H$97</f>
        <v>-0.6</v>
      </c>
      <c r="G168" s="75">
        <f>$E$63*(E168-F168)</f>
        <v>-4.092666320409409</v>
      </c>
      <c r="H168" s="121">
        <f>IF($F$106="SI",ROUNDUP(ROUND($G$106*G168/10000,6),4),0)</f>
        <v>0.0005</v>
      </c>
      <c r="I168" s="122" t="str">
        <f>H106</f>
        <v>GX INCLINED</v>
      </c>
      <c r="J168" s="129" t="str">
        <f>IF(H168=0,IF($F$106="SI","— p neta = 0, no se carga","— no se carga (abierta)"),D168&amp;" ONE "&amp;TEXT(H168,"0.0000")&amp;" "&amp;I168)</f>
        <v>_ESTE ONE 0.0005 GX INCLINED</v>
      </c>
      <c r="K168" s="129"/>
      <c r="L168" s="129"/>
    </row>
    <row r="169" spans="2:12" x14ac:dyDescent="0.3">
      <c r="B169" s="16" t="str">
        <f>B107</f>
        <v>Muro 1 (Eje 1)</v>
      </c>
      <c r="C169" s="15"/>
      <c r="D169" s="122" t="str">
        <f>D107</f>
        <v>_NORTE</v>
      </c>
      <c r="E169" s="74">
        <f>F134</f>
        <v>0.8</v>
      </c>
      <c r="F169" s="74">
        <f>$H$97</f>
        <v>-0.6</v>
      </c>
      <c r="G169" s="75">
        <f>$E$63*(E169-F169)</f>
        <v>57.29732848573173</v>
      </c>
      <c r="H169" s="121">
        <f>IF($F$107="SI",ROUNDUP(ROUND($G$107*G169/10000,6),4),0)</f>
        <v>0.0058</v>
      </c>
      <c r="I169" s="122" t="str">
        <f>H107</f>
        <v>GZ</v>
      </c>
      <c r="J169" s="129" t="str">
        <f>IF(H169=0,IF($F$107="SI","— p neta = 0, no se carga","— no se carga (abierta)"),D169&amp;" ONE "&amp;TEXT(H169,"0.0000")&amp;" "&amp;I169)</f>
        <v>_NORTE ONE 0.0058 GZ</v>
      </c>
      <c r="K169" s="129"/>
      <c r="L169" s="129"/>
    </row>
    <row r="170" spans="2:12" x14ac:dyDescent="0.3">
      <c r="B170" s="16" t="str">
        <f>B108</f>
        <v>Eje 3 (muelle)</v>
      </c>
      <c r="C170" s="15"/>
      <c r="D170" s="122" t="str">
        <f>D108</f>
        <v>_SUR</v>
      </c>
      <c r="E170" s="74">
        <f>F135</f>
        <v>-0.5</v>
      </c>
      <c r="F170" s="74">
        <f>$H$97</f>
        <v>-0.6</v>
      </c>
      <c r="G170" s="75">
        <f>$E$63*(E170-F170)</f>
        <v>4.092666320409409</v>
      </c>
      <c r="H170" s="121">
        <f>IF($F$108="SI",ROUNDUP(ROUND($G$108*G170/10000,6),4),0)</f>
        <v>0.0</v>
      </c>
      <c r="I170" s="122" t="str">
        <f>H108</f>
        <v>GZ</v>
      </c>
      <c r="J170" s="129" t="str">
        <f>IF(H170=0,IF($F$108="SI","— p neta = 0, no se carga","— no se carga (abierta)"),D170&amp;" ONE "&amp;TEXT(H170,"0.0000")&amp;" "&amp;I170)</f>
        <v>— no se carga (abierta)</v>
      </c>
      <c r="K170" s="129"/>
      <c r="L170" s="129"/>
    </row>
    <row r="171" spans="2:12" x14ac:dyDescent="0.3">
      <c r="B171" s="16" t="str">
        <f>B109</f>
        <v>Cubierta</v>
      </c>
      <c r="C171" s="15"/>
      <c r="D171" s="122" t="str">
        <f>D109</f>
        <v>_CUBIERTA</v>
      </c>
      <c r="E171" s="74">
        <f>F136</f>
        <v>-0.7</v>
      </c>
      <c r="F171" s="74">
        <f>$H$97</f>
        <v>-0.6</v>
      </c>
      <c r="G171" s="75">
        <f>$E$63*(E171-F171)</f>
        <v>-4.092666320409409</v>
      </c>
      <c r="H171" s="121">
        <f>IF($F$109="SI",ROUNDUP(ROUND($G$109*G171/10000,6),4),0)</f>
        <v>0.0005</v>
      </c>
      <c r="I171" s="122" t="str">
        <f>H109</f>
        <v>GY INCLINED</v>
      </c>
      <c r="J171" s="129" t="str">
        <f>IF(H171=0,IF($F$109="SI","— p neta = 0, no se carga","— no se carga (abierta)"),D171&amp;" ONE "&amp;TEXT(H171,"0.0000")&amp;" "&amp;I171)</f>
        <v>_CUBIERTA ONE 0.0005 GY INCLINED</v>
      </c>
      <c r="K171" s="129"/>
      <c r="L171" s="129"/>
    </row>
    <row r="173" spans="2:12" x14ac:dyDescent="0.3">
      <c r="B173" s="78" t="s">
        <v>264</v>
      </c>
    </row>
    <row r="174" spans="2:12" ht="30" customHeight="1" x14ac:dyDescent="0.3">
      <c r="B174" s="72" t="s">
        <v>216</v>
      </c>
      <c r="C174" s="73"/>
      <c r="D174" s="27" t="s">
        <v>217</v>
      </c>
      <c r="E174" s="27" t="s">
        <v>247</v>
      </c>
      <c r="F174" s="27" t="s">
        <v>197</v>
      </c>
      <c r="G174" s="77" t="s">
        <v>304</v>
      </c>
      <c r="H174" s="77" t="s">
        <v>249</v>
      </c>
      <c r="I174" s="27" t="s">
        <v>250</v>
      </c>
      <c r="J174" s="126" t="s">
        <v>251</v>
      </c>
      <c r="K174" s="126"/>
      <c r="L174" s="126"/>
    </row>
    <row r="175" spans="2:12" x14ac:dyDescent="0.3">
      <c r="B175" s="16" t="str">
        <f>B105</f>
        <v>Muro A (Eje A)</v>
      </c>
      <c r="C175" s="15"/>
      <c r="D175" s="122" t="str">
        <f>D105</f>
        <v>_OESTE</v>
      </c>
      <c r="E175" s="74">
        <f>F140</f>
        <v>-0.7</v>
      </c>
      <c r="F175" s="74">
        <f>$H$98</f>
        <v>0.75</v>
      </c>
      <c r="G175" s="75">
        <f>$E$63*(E175-F175)</f>
        <v>-59.34366164593644</v>
      </c>
      <c r="H175" s="121">
        <f>IF($F$105="SI",ROUNDUP(ROUND($G$105*G175/10000,6),4),0)</f>
        <v>-0.006</v>
      </c>
      <c r="I175" s="122" t="str">
        <f>H105</f>
        <v>GX INCLINED</v>
      </c>
      <c r="J175" s="129" t="str">
        <f>IF(H175=0,IF($F$105="SI","— p neta = 0, no se carga","— no se carga (abierta)"),D175&amp;" ONE "&amp;TEXT(H175,"0.0000")&amp;" "&amp;I175)</f>
        <v>_OESTE ONE -0.0060 GX INCLINED</v>
      </c>
      <c r="K175" s="129"/>
      <c r="L175" s="129"/>
    </row>
    <row r="176" spans="2:12" x14ac:dyDescent="0.3">
      <c r="B176" s="16" t="str">
        <f>B106</f>
        <v>Muro B (Eje B)</v>
      </c>
      <c r="C176" s="15"/>
      <c r="D176" s="122" t="str">
        <f>D106</f>
        <v>_ESTE</v>
      </c>
      <c r="E176" s="74">
        <f>F141</f>
        <v>-0.7</v>
      </c>
      <c r="F176" s="74">
        <f>$H$98</f>
        <v>0.75</v>
      </c>
      <c r="G176" s="75">
        <f>$E$63*(E176-F176)</f>
        <v>-59.34366164593644</v>
      </c>
      <c r="H176" s="121">
        <f>IF($F$106="SI",ROUNDUP(ROUND($G$106*G176/10000,6),4),0)</f>
        <v>0.006</v>
      </c>
      <c r="I176" s="122" t="str">
        <f>H106</f>
        <v>GX INCLINED</v>
      </c>
      <c r="J176" s="129" t="str">
        <f>IF(H176=0,IF($F$106="SI","— p neta = 0, no se carga","— no se carga (abierta)"),D176&amp;" ONE "&amp;TEXT(H176,"0.0000")&amp;" "&amp;I176)</f>
        <v>_ESTE ONE 0.0060 GX INCLINED</v>
      </c>
      <c r="K176" s="129"/>
      <c r="L176" s="129"/>
    </row>
    <row r="177" spans="2:12" x14ac:dyDescent="0.3">
      <c r="B177" s="16" t="str">
        <f>B107</f>
        <v>Muro 1 (Eje 1)</v>
      </c>
      <c r="C177" s="15"/>
      <c r="D177" s="122" t="str">
        <f>D107</f>
        <v>_NORTE</v>
      </c>
      <c r="E177" s="74">
        <f>F142</f>
        <v>-0.5</v>
      </c>
      <c r="F177" s="74">
        <f>$H$98</f>
        <v>0.75</v>
      </c>
      <c r="G177" s="75">
        <f>$E$63*(E177-F177)</f>
        <v>-51.15832900511762</v>
      </c>
      <c r="H177" s="121">
        <f>IF($F$107="SI",ROUNDUP(ROUND($G$107*G177/10000,6),4),0)</f>
        <v>-0.0052</v>
      </c>
      <c r="I177" s="122" t="str">
        <f>H107</f>
        <v>GZ</v>
      </c>
      <c r="J177" s="129" t="str">
        <f>IF(H177=0,IF($F$107="SI","— p neta = 0, no se carga","— no se carga (abierta)"),D177&amp;" ONE "&amp;TEXT(H177,"0.0000")&amp;" "&amp;I177)</f>
        <v>_NORTE ONE -0.0052 GZ</v>
      </c>
      <c r="K177" s="129"/>
      <c r="L177" s="129"/>
    </row>
    <row r="178" spans="2:12" x14ac:dyDescent="0.3">
      <c r="B178" s="16" t="str">
        <f>B108</f>
        <v>Eje 3 (muelle)</v>
      </c>
      <c r="C178" s="15"/>
      <c r="D178" s="122" t="str">
        <f>D108</f>
        <v>_SUR</v>
      </c>
      <c r="E178" s="74">
        <f>F143</f>
        <v>0.8</v>
      </c>
      <c r="F178" s="74">
        <f>$H$98</f>
        <v>0.75</v>
      </c>
      <c r="G178" s="75">
        <f>$E$63*(E178-F178)</f>
        <v>2.0463331602047066</v>
      </c>
      <c r="H178" s="121">
        <f>IF($F$108="SI",ROUNDUP(ROUND($G$108*G178/10000,6),4),0)</f>
        <v>0.0</v>
      </c>
      <c r="I178" s="122" t="str">
        <f>H108</f>
        <v>GZ</v>
      </c>
      <c r="J178" s="129" t="str">
        <f>IF(H178=0,IF($F$108="SI","— p neta = 0, no se carga","— no se carga (abierta)"),D178&amp;" ONE "&amp;TEXT(H178,"0.0000")&amp;" "&amp;I178)</f>
        <v>— no se carga (abierta)</v>
      </c>
      <c r="K178" s="129"/>
      <c r="L178" s="129"/>
    </row>
    <row r="179" spans="2:12" x14ac:dyDescent="0.3">
      <c r="B179" s="16" t="str">
        <f>B109</f>
        <v>Cubierta</v>
      </c>
      <c r="C179" s="15"/>
      <c r="D179" s="122" t="str">
        <f>D109</f>
        <v>_CUBIERTA</v>
      </c>
      <c r="E179" s="74">
        <f>F144</f>
        <v>-0.7</v>
      </c>
      <c r="F179" s="74">
        <f>$H$98</f>
        <v>0.75</v>
      </c>
      <c r="G179" s="75">
        <f>$E$63*(E179-F179)</f>
        <v>-59.34366164593644</v>
      </c>
      <c r="H179" s="121">
        <f>IF($F$109="SI",ROUNDUP(ROUND($G$109*G179/10000,6),4),0)</f>
        <v>0.006</v>
      </c>
      <c r="I179" s="122" t="str">
        <f>H109</f>
        <v>GY INCLINED</v>
      </c>
      <c r="J179" s="129" t="str">
        <f>IF(H179=0,IF($F$109="SI","— p neta = 0, no se carga","— no se carga (abierta)"),D179&amp;" ONE "&amp;TEXT(H179,"0.0000")&amp;" "&amp;I179)</f>
        <v>_CUBIERTA ONE 0.0060 GY INCLINED</v>
      </c>
      <c r="K179" s="129"/>
      <c r="L179" s="129"/>
    </row>
    <row r="181" spans="2:12" x14ac:dyDescent="0.3">
      <c r="B181" s="1" t="s">
        <v>305</v>
      </c>
    </row>
    <row r="182" spans="2:12" x14ac:dyDescent="0.3">
      <c r="B182" s="125" t="s">
        <v>216</v>
      </c>
      <c r="C182" s="130"/>
      <c r="D182" s="126" t="s">
        <v>217</v>
      </c>
      <c r="E182" s="126" t="s">
        <v>306</v>
      </c>
      <c r="F182" s="126"/>
      <c r="G182" s="126" t="s">
        <v>307</v>
      </c>
      <c r="H182" s="126"/>
      <c r="I182" s="126" t="s">
        <v>308</v>
      </c>
      <c r="J182" s="126"/>
      <c r="K182" s="126" t="s">
        <v>309</v>
      </c>
      <c r="L182" s="126"/>
    </row>
    <row r="183" spans="2:12" ht="30" customHeight="1" x14ac:dyDescent="0.3">
      <c r="B183" s="125"/>
      <c r="C183" s="130"/>
      <c r="D183" s="126"/>
      <c r="E183" s="77" t="s">
        <v>270</v>
      </c>
      <c r="F183" s="77" t="s">
        <v>249</v>
      </c>
      <c r="G183" s="77" t="s">
        <v>270</v>
      </c>
      <c r="H183" s="77" t="s">
        <v>249</v>
      </c>
      <c r="I183" s="77" t="s">
        <v>270</v>
      </c>
      <c r="J183" s="77" t="s">
        <v>249</v>
      </c>
      <c r="K183" s="77" t="s">
        <v>270</v>
      </c>
      <c r="L183" s="77" t="s">
        <v>249</v>
      </c>
    </row>
    <row r="184" spans="2:12" x14ac:dyDescent="0.3">
      <c r="B184" s="16" t="str">
        <f>B105</f>
        <v>Muro A (Eje A)</v>
      </c>
      <c r="C184" s="15"/>
      <c r="D184" s="122" t="str">
        <f>D105</f>
        <v>_OESTE</v>
      </c>
      <c r="E184" s="75">
        <f>G116-$E$63*$H$95</f>
        <v>53.204662165322326</v>
      </c>
      <c r="F184" s="121">
        <f>IF($F$105="SI",ROUNDUP(ROUND($G$105*E184/10000,6),4),0)</f>
        <v>0.0054</v>
      </c>
      <c r="G184" s="75">
        <f>G124-$E$63*$H$96</f>
        <v>0.0</v>
      </c>
      <c r="H184" s="121">
        <f>IF($F$105="SI",ROUNDUP(ROUND($G$105*G184/10000,6),4),0)</f>
        <v>0.0</v>
      </c>
      <c r="I184" s="75">
        <f>G132-$E$63*$H$97</f>
        <v>-4.092666320409407</v>
      </c>
      <c r="J184" s="121">
        <f>IF($F$105="SI",ROUNDUP(ROUND($G$105*I184/10000,6),4),0)</f>
        <v>-0.0005</v>
      </c>
      <c r="K184" s="75">
        <f>G140-$E$63*$H$98</f>
        <v>-59.343661645936436</v>
      </c>
      <c r="L184" s="121">
        <f>IF($F$105="SI",ROUNDUP(ROUND($G$105*K184/10000,6),4),0)</f>
        <v>-0.006</v>
      </c>
    </row>
    <row r="185" spans="2:12" x14ac:dyDescent="0.3">
      <c r="B185" s="16" t="str">
        <f>B106</f>
        <v>Muro B (Eje B)</v>
      </c>
      <c r="C185" s="15"/>
      <c r="D185" s="122" t="str">
        <f>D106</f>
        <v>_ESTE</v>
      </c>
      <c r="E185" s="75">
        <f>G117-$E$63*$H$95</f>
        <v>0.0</v>
      </c>
      <c r="F185" s="121">
        <f>IF($F$106="SI",ROUNDUP(ROUND($G$106*E185/10000,6),4),0)</f>
        <v>0.0</v>
      </c>
      <c r="G185" s="75">
        <f>G125-$E$63*$H$96</f>
        <v>53.204662165322326</v>
      </c>
      <c r="H185" s="121">
        <f>IF($F$106="SI",ROUNDUP(ROUND($G$106*G185/10000,6),4),0)</f>
        <v>-0.0054</v>
      </c>
      <c r="I185" s="75">
        <f>G133-$E$63*$H$97</f>
        <v>-4.092666320409407</v>
      </c>
      <c r="J185" s="121">
        <f>IF($F$106="SI",ROUNDUP(ROUND($G$106*I185/10000,6),4),0)</f>
        <v>0.0005</v>
      </c>
      <c r="K185" s="75">
        <f>G141-$E$63*$H$98</f>
        <v>-59.343661645936436</v>
      </c>
      <c r="L185" s="121">
        <f>IF($F$106="SI",ROUNDUP(ROUND($G$106*K185/10000,6),4),0)</f>
        <v>0.006</v>
      </c>
    </row>
    <row r="186" spans="2:12" x14ac:dyDescent="0.3">
      <c r="B186" s="16" t="str">
        <f>B107</f>
        <v>Muro 1 (Eje 1)</v>
      </c>
      <c r="C186" s="15"/>
      <c r="D186" s="122" t="str">
        <f>D107</f>
        <v>_NORTE</v>
      </c>
      <c r="E186" s="75">
        <f>G118-$E$63*$H$95</f>
        <v>-8.185332640818817</v>
      </c>
      <c r="F186" s="121">
        <f>IF($F$107="SI",ROUNDUP(ROUND($G$107*E186/10000,6),4),0)</f>
        <v>-0.0009</v>
      </c>
      <c r="G186" s="75">
        <f>G126-$E$63*$H$96</f>
        <v>-8.185332640818817</v>
      </c>
      <c r="H186" s="121">
        <f>IF($F$107="SI",ROUNDUP(ROUND($G$107*G186/10000,6),4),0)</f>
        <v>-0.0009</v>
      </c>
      <c r="I186" s="75">
        <f>G134-$E$63*$H$97</f>
        <v>57.29732848573174</v>
      </c>
      <c r="J186" s="121">
        <f>IF($F$107="SI",ROUNDUP(ROUND($G$107*I186/10000,6),4),0)</f>
        <v>0.0058</v>
      </c>
      <c r="K186" s="75">
        <f>G142-$E$63*$H$98</f>
        <v>-51.15832900511762</v>
      </c>
      <c r="L186" s="121">
        <f>IF($F$107="SI",ROUNDUP(ROUND($G$107*K186/10000,6),4),0)</f>
        <v>-0.0052</v>
      </c>
    </row>
    <row r="187" spans="2:12" x14ac:dyDescent="0.3">
      <c r="B187" s="16" t="str">
        <f>B108</f>
        <v>Eje 3 (muelle)</v>
      </c>
      <c r="C187" s="15"/>
      <c r="D187" s="122" t="str">
        <f>D108</f>
        <v>_SUR</v>
      </c>
      <c r="E187" s="75">
        <f>G119-$E$63*$H$95</f>
        <v>-8.185332640818817</v>
      </c>
      <c r="F187" s="121">
        <f>IF($F$108="SI",ROUNDUP(ROUND($G$108*E187/10000,6),4),0)</f>
        <v>0.0</v>
      </c>
      <c r="G187" s="75">
        <f>G127-$E$63*$H$96</f>
        <v>-8.185332640818817</v>
      </c>
      <c r="H187" s="121">
        <f>IF($F$108="SI",ROUNDUP(ROUND($G$108*G187/10000,6),4),0)</f>
        <v>0.0</v>
      </c>
      <c r="I187" s="75">
        <f>G135-$E$63*$H$97</f>
        <v>4.0926663204094105</v>
      </c>
      <c r="J187" s="121">
        <f>IF($F$108="SI",ROUNDUP(ROUND($G$108*I187/10000,6),4),0)</f>
        <v>0.0</v>
      </c>
      <c r="K187" s="75">
        <f>G143-$E$63*$H$98</f>
        <v>2.0463331602047035</v>
      </c>
      <c r="L187" s="121">
        <f>IF($F$108="SI",ROUNDUP(ROUND($G$108*K187/10000,6),4),0)</f>
        <v>0.0</v>
      </c>
    </row>
    <row r="188" spans="2:12" x14ac:dyDescent="0.3">
      <c r="B188" s="16" t="str">
        <f>B109</f>
        <v>Cubierta</v>
      </c>
      <c r="C188" s="15"/>
      <c r="D188" s="122" t="str">
        <f>D109</f>
        <v>_CUBIERTA</v>
      </c>
      <c r="E188" s="75">
        <f>G120-$E$63*$H$95</f>
        <v>-8.185332640818817</v>
      </c>
      <c r="F188" s="121">
        <f>IF($F$109="SI",ROUNDUP(ROUND($G$109*E188/10000,6),4),0)</f>
        <v>0.0009</v>
      </c>
      <c r="G188" s="75">
        <f>G128-$E$63*$H$96</f>
        <v>-8.185332640818817</v>
      </c>
      <c r="H188" s="121">
        <f>IF($F$109="SI",ROUNDUP(ROUND($G$109*G188/10000,6),4),0)</f>
        <v>0.0009</v>
      </c>
      <c r="I188" s="75">
        <f>G136-$E$63*$H$97</f>
        <v>-4.092666320409407</v>
      </c>
      <c r="J188" s="121">
        <f>IF($F$109="SI",ROUNDUP(ROUND($G$109*I188/10000,6),4),0)</f>
        <v>0.0005</v>
      </c>
      <c r="K188" s="75">
        <f>G144-$E$63*$H$98</f>
        <v>-59.343661645936436</v>
      </c>
      <c r="L188" s="121">
        <f>IF($F$109="SI",ROUNDUP(ROUND($G$109*K188/10000,6),4),0)</f>
        <v>0.006</v>
      </c>
    </row>
    <row r="189" spans="2:12" x14ac:dyDescent="0.3">
      <c r="B189" s="123" t="s">
        <v>310</v>
      </c>
    </row>
    <row r="191" spans="2:12" x14ac:dyDescent="0.3">
      <c r="B191" s="1" t="s">
        <v>311</v>
      </c>
    </row>
    <row r="192" spans="2:12" x14ac:dyDescent="0.3">
      <c r="B192" s="123" t="s">
        <v>312</v>
      </c>
    </row>
    <row r="193" spans="2:11" x14ac:dyDescent="0.3">
      <c r="B193" s="125" t="s">
        <v>274</v>
      </c>
      <c r="C193" s="130"/>
      <c r="D193" s="126"/>
      <c r="E193" s="126"/>
      <c r="F193" s="126"/>
      <c r="G193" s="126" t="s">
        <v>275</v>
      </c>
      <c r="H193" s="126"/>
      <c r="I193" s="126"/>
      <c r="J193" s="126"/>
      <c r="K193" s="126"/>
    </row>
    <row r="194" spans="2:11" x14ac:dyDescent="0.3">
      <c r="B194" s="124" t="s">
        <v>276</v>
      </c>
      <c r="G194" s="124" t="s">
        <v>313</v>
      </c>
    </row>
    <row r="195" spans="2:11" x14ac:dyDescent="0.3">
      <c r="B195" s="124" t="s">
        <v>278</v>
      </c>
      <c r="G195" s="124" t="s">
        <v>314</v>
      </c>
    </row>
    <row r="196" spans="2:11" x14ac:dyDescent="0.3">
      <c r="B196" s="124" t="s">
        <v>280</v>
      </c>
      <c r="G196" s="124" t="s">
        <v>315</v>
      </c>
    </row>
    <row r="197" spans="2:11" x14ac:dyDescent="0.3">
      <c r="B197" s="124" t="s">
        <v>282</v>
      </c>
      <c r="G197" s="124" t="s">
        <v>316</v>
      </c>
    </row>
    <row r="198" spans="2:11" x14ac:dyDescent="0.3">
      <c r="B198" s="124" t="s">
        <v>284</v>
      </c>
      <c r="G198" s="124" t="s">
        <v>317</v>
      </c>
    </row>
    <row r="199" spans="2:11" x14ac:dyDescent="0.3">
      <c r="B199" s="124" t="s">
        <v>286</v>
      </c>
      <c r="G199" s="124" t="s">
        <v>318</v>
      </c>
    </row>
    <row r="200" spans="2:11" x14ac:dyDescent="0.3">
      <c r="B200" s="124" t="s">
        <v>288</v>
      </c>
      <c r="G200" s="124" t="s">
        <v>319</v>
      </c>
    </row>
    <row r="201" spans="2:11" x14ac:dyDescent="0.3">
      <c r="B201" s="124" t="s">
        <v>290</v>
      </c>
      <c r="G201" s="124" t="s">
        <v>320</v>
      </c>
    </row>
    <row r="202" spans="2:11" x14ac:dyDescent="0.3">
      <c r="B202" s="124" t="s">
        <v>292</v>
      </c>
      <c r="G202" s="124" t="s">
        <v>321</v>
      </c>
    </row>
    <row r="203" spans="2:11" x14ac:dyDescent="0.3">
      <c r="B203" s="124" t="s">
        <v>294</v>
      </c>
      <c r="G203" s="124" t="s">
        <v>322</v>
      </c>
    </row>
    <row r="204" spans="2:11" x14ac:dyDescent="0.3">
      <c r="B204" s="124" t="s">
        <v>296</v>
      </c>
      <c r="G204" s="124" t="s">
        <v>323</v>
      </c>
    </row>
    <row r="205" spans="2:11" x14ac:dyDescent="0.3">
      <c r="B205" s="124" t="s">
        <v>298</v>
      </c>
      <c r="G205" s="124" t="s">
        <v>324</v>
      </c>
    </row>
    <row r="206" spans="2:11" x14ac:dyDescent="0.3">
      <c r="B206" s="123" t="s">
        <v>325</v>
      </c>
    </row>
    <row r="208" spans="2:12" x14ac:dyDescent="0.3">
      <c r="B208" t="s" s="1">
        <v>326</v>
      </c>
    </row>
    <row r="209" spans="2:12" x14ac:dyDescent="0.3">
      <c r="B209" t="s" s="123">
        <v>327</v>
      </c>
    </row>
    <row r="210" spans="2:12" x14ac:dyDescent="0.3">
      <c r="B210" t="s" s="123">
        <v>328</v>
      </c>
    </row>
    <row r="211" spans="2:12" x14ac:dyDescent="0.3">
      <c r="B211" t="s" s="72">
        <v>216</v>
      </c>
      <c r="C211" s="73"/>
      <c r="D211" t="s" s="27">
        <v>217</v>
      </c>
      <c r="E211" t="s" s="77">
        <v>329</v>
      </c>
    </row>
    <row r="212" spans="2:12" x14ac:dyDescent="0.3">
      <c r="B212" t="str" s="16">
        <f>B105</f>
        <v>Muro A (Eje A)</v>
      </c>
      <c r="C212" s="15"/>
      <c r="D212" t="str" s="122">
        <f>D105</f>
        <v>_OESTE</v>
      </c>
      <c r="E212" s="75">
        <f>16*((10.4277+9.6223)/2-0.6)</f>
        <v>150.79999999999998</v>
      </c>
      <c r="F212" t="s" s="123">
        <v>330</v>
      </c>
    </row>
    <row r="213" spans="2:12" x14ac:dyDescent="0.3">
      <c r="B213" t="str" s="16">
        <f>B106</f>
        <v>Muro B (Eje B)</v>
      </c>
      <c r="C213" s="15"/>
      <c r="D213" t="str" s="122">
        <f>D106</f>
        <v>_ESTE</v>
      </c>
      <c r="E213" s="75">
        <f>E212-1.302*(2.3-0.6)</f>
        <v>148.58659999999998</v>
      </c>
      <c r="F213" t="s" s="123">
        <v>331</v>
      </c>
    </row>
    <row r="214" spans="2:12" x14ac:dyDescent="0.3">
      <c r="B214" t="str" s="16">
        <f>B107</f>
        <v>Muro 1 (Eje 1)</v>
      </c>
      <c r="C214" s="15"/>
      <c r="D214" t="str" s="122">
        <f>D107</f>
        <v>_NORTE</v>
      </c>
      <c r="E214" s="75">
        <f>10.08*(10.4277-0.6)-5.1*(6.6-0.6)</f>
        <v>68.463216</v>
      </c>
      <c r="F214" t="s" s="123">
        <v>332</v>
      </c>
    </row>
    <row r="215" spans="2:12" x14ac:dyDescent="0.3">
      <c r="B215" t="str" s="16">
        <f>B109</f>
        <v>Cubierta</v>
      </c>
      <c r="C215" s="15"/>
      <c r="D215" t="str" s="122">
        <f>D109</f>
        <v>_CUBIERTA</v>
      </c>
      <c r="E215" s="75">
        <f>10.08*SQRT(16^2+(10.4277-9.6223)^2)</f>
        <v>161.48420151252762</v>
      </c>
      <c r="F215" t="s" s="123">
        <v>333</v>
      </c>
    </row>
    <row r="217" spans="2:12" x14ac:dyDescent="0.3">
      <c r="B217" t="s" s="72">
        <v>198</v>
      </c>
      <c r="C217" s="73"/>
      <c r="D217" t="s" s="77">
        <v>334</v>
      </c>
      <c r="E217" t="s" s="77">
        <v>335</v>
      </c>
      <c r="F217" t="s" s="77">
        <v>336</v>
      </c>
    </row>
    <row r="218" spans="2:12" x14ac:dyDescent="0.3">
      <c r="B218" t="s" s="16">
        <v>337</v>
      </c>
      <c r="C218" s="15"/>
      <c r="D218" s="150">
        <f>(H116*$E$212+H117*$E$213)*10000</f>
        <v>8096.718599999999</v>
      </c>
      <c r="E218" s="150">
        <f>H120*$E$215*10000</f>
        <v>4683.0418438633005</v>
      </c>
      <c r="F218" s="150">
        <f>H118*$E$214*10000</f>
        <v>-1985.433264</v>
      </c>
    </row>
    <row r="219" spans="2:12" x14ac:dyDescent="0.3">
      <c r="B219" t="s" s="16">
        <v>338</v>
      </c>
      <c r="C219" s="15"/>
      <c r="D219" s="150">
        <f>(H124*$E$212+H125*$E$213)*10000</f>
        <v>-8070.1578</v>
      </c>
      <c r="E219" s="150">
        <f>H128*$E$215*10000</f>
        <v>4683.0418438633005</v>
      </c>
      <c r="F219" s="150">
        <f>H126*$E$214*10000</f>
        <v>-1985.433264</v>
      </c>
    </row>
    <row r="220" spans="2:12" x14ac:dyDescent="0.3">
      <c r="B220" t="s" s="16">
        <v>339</v>
      </c>
      <c r="C220" s="15"/>
      <c r="D220" s="150">
        <f>(H132*$E$212+H133*$E$213)*10000</f>
        <v>-64.18860000000026</v>
      </c>
      <c r="E220" s="150">
        <f>H136*$E$215*10000</f>
        <v>4683.0418438633005</v>
      </c>
      <c r="F220" s="150">
        <f>H134*$E$214*10000</f>
        <v>2259.286128</v>
      </c>
    </row>
    <row r="221" spans="2:12" x14ac:dyDescent="0.3">
      <c r="B221" t="s" s="16">
        <v>340</v>
      </c>
      <c r="C221" s="15"/>
      <c r="D221" s="150">
        <f>(H140*$E$212+H141*$E$213)*10000</f>
        <v>-64.18860000000026</v>
      </c>
      <c r="E221" s="150">
        <f>H144*$E$215*10000</f>
        <v>4683.0418438633005</v>
      </c>
      <c r="F221" s="150">
        <f>H142*$E$214*10000</f>
        <v>-1437.7275359999999</v>
      </c>
    </row>
    <row r="222" spans="2:12" x14ac:dyDescent="0.3">
      <c r="B222" t="s" s="16">
        <v>341</v>
      </c>
      <c r="C222" s="15"/>
      <c r="D222" s="150">
        <f>(H151*$E$212+H152*$E$213)*10000</f>
        <v>8143.199999999999</v>
      </c>
      <c r="E222" s="150">
        <f>H155*$E$215*10000</f>
        <v>1453.3578136127485</v>
      </c>
      <c r="F222" s="150">
        <f>H153*$E$214*10000</f>
        <v>-616.168944</v>
      </c>
    </row>
    <row r="223" spans="2:12" x14ac:dyDescent="0.3">
      <c r="B223" t="s" s="16">
        <v>342</v>
      </c>
      <c r="C223" s="15"/>
      <c r="D223" s="150">
        <f>(H159*$E$212+H160*$E$213)*10000</f>
        <v>-8023.676399999999</v>
      </c>
      <c r="E223" s="150">
        <f>H163*$E$215*10000</f>
        <v>1453.3578136127485</v>
      </c>
      <c r="F223" s="150">
        <f>H161*$E$214*10000</f>
        <v>-616.168944</v>
      </c>
    </row>
    <row r="224" spans="2:12" x14ac:dyDescent="0.3">
      <c r="B224" t="s" s="16">
        <v>343</v>
      </c>
      <c r="C224" s="15"/>
      <c r="D224" s="150">
        <f>(H167*$E$212+H168*$E$213)*10000</f>
        <v>-11.067000000000021</v>
      </c>
      <c r="E224" s="150">
        <f>H171*$E$215*10000</f>
        <v>807.4210075626381</v>
      </c>
      <c r="F224" s="150">
        <f>H169*$E$214*10000</f>
        <v>3970.866528</v>
      </c>
    </row>
    <row r="225" spans="2:12" x14ac:dyDescent="0.3">
      <c r="B225" t="s" s="16">
        <v>344</v>
      </c>
      <c r="C225" s="15"/>
      <c r="D225" s="150">
        <f>(H175*$E$212+H176*$E$213)*10000</f>
        <v>-132.8040000000008</v>
      </c>
      <c r="E225" s="150">
        <f>H179*$E$215*10000</f>
        <v>9689.052090751658</v>
      </c>
      <c r="F225" s="150">
        <f>H177*$E$214*10000</f>
        <v>-3560.087232</v>
      </c>
    </row>
  </sheetData>
  <mergeCells count="67">
    <mergeCell ref="B182:C183"/>
    <mergeCell ref="D182:D183"/>
    <mergeCell ref="B193:F193"/>
    <mergeCell ref="G193:K193"/>
    <mergeCell ref="J176:L176"/>
    <mergeCell ref="J177:L177"/>
    <mergeCell ref="J178:L178"/>
    <mergeCell ref="J179:L179"/>
    <mergeCell ref="E182:F182"/>
    <mergeCell ref="G182:H182"/>
    <mergeCell ref="I182:J182"/>
    <mergeCell ref="K182:L182"/>
    <mergeCell ref="J169:L169"/>
    <mergeCell ref="J170:L170"/>
    <mergeCell ref="J171:L171"/>
    <mergeCell ref="J174:L174"/>
    <mergeCell ref="J175:L175"/>
    <mergeCell ref="J162:L162"/>
    <mergeCell ref="J163:L163"/>
    <mergeCell ref="J166:L166"/>
    <mergeCell ref="J167:L167"/>
    <mergeCell ref="J168:L168"/>
    <mergeCell ref="J155:L155"/>
    <mergeCell ref="J158:L158"/>
    <mergeCell ref="J159:L159"/>
    <mergeCell ref="J160:L160"/>
    <mergeCell ref="J161:L161"/>
    <mergeCell ref="J150:L150"/>
    <mergeCell ref="J151:L151"/>
    <mergeCell ref="J152:L152"/>
    <mergeCell ref="J153:L153"/>
    <mergeCell ref="J154:L154"/>
    <mergeCell ref="J140:L140"/>
    <mergeCell ref="J141:L141"/>
    <mergeCell ref="J142:L142"/>
    <mergeCell ref="J143:L143"/>
    <mergeCell ref="J144:L144"/>
    <mergeCell ref="J133:L133"/>
    <mergeCell ref="J134:L134"/>
    <mergeCell ref="J135:L135"/>
    <mergeCell ref="J136:L136"/>
    <mergeCell ref="J139:L139"/>
    <mergeCell ref="J126:L126"/>
    <mergeCell ref="J127:L127"/>
    <mergeCell ref="J128:L128"/>
    <mergeCell ref="J131:L131"/>
    <mergeCell ref="J132:L132"/>
    <mergeCell ref="J119:L119"/>
    <mergeCell ref="J120:L120"/>
    <mergeCell ref="J123:L123"/>
    <mergeCell ref="J124:L124"/>
    <mergeCell ref="J125:L125"/>
    <mergeCell ref="H109:I109"/>
    <mergeCell ref="J115:L115"/>
    <mergeCell ref="J116:L116"/>
    <mergeCell ref="J117:L117"/>
    <mergeCell ref="J118:L118"/>
    <mergeCell ref="H104:I104"/>
    <mergeCell ref="H105:I105"/>
    <mergeCell ref="H106:I106"/>
    <mergeCell ref="H107:I107"/>
    <mergeCell ref="H108:I108"/>
    <mergeCell ref="B94:C94"/>
    <mergeCell ref="B95:C95"/>
    <mergeCell ref="B96:C96"/>
    <mergeCell ref="B97:C97"/>
    <mergeCell ref="B98:C98"/>
  </mergeCells>
  <dataValidations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2026-10-21T14:36:55Z</dcterms:modified>
</cp:coreProperties>
</file>