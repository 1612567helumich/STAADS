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4_HOJAS_EXCEL\"/>
    </mc:Choice>
  </mc:AlternateContent>
  <xr:revisionPtr revIDLastSave="0" documentId="13_ncr:1_{75E39E4C-A56B-423A-855E-E73DD65C5C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" sheetId="1" r:id="rId1"/>
    <sheet name="COMBINACIONES" sheetId="2" r:id="rId2"/>
    <sheet name="AISLADA" sheetId="3" r:id="rId3"/>
    <sheet name="AISLADA_CT" sheetId="4" r:id="rId4"/>
    <sheet name="CORRIDA" sheetId="5" r:id="rId5"/>
    <sheet name="LINDERO" sheetId="11" r:id="rId14"/>
    <sheet name="CROQUIS" sheetId="6" r:id="rId6"/>
    <sheet name="RESUMEN" sheetId="7" r:id="rId7"/>
    <sheet name="TABLAS" sheetId="8" r:id="rId8"/>
    <sheet name="REFERENCIAS" sheetId="9" r:id="rId9"/>
    <sheet name="CROQUIS_DATOS" sheetId="10" r:id="rId10"/>
  </sheets>
  <definedNames>
    <definedName name="_xlnm.Print_Area" localSheetId="2">AISLADA!$B$1:$F$231</definedName>
    <definedName name="_xlnm.Print_Area" localSheetId="3">AISLADA_CT!$B$1:$F$298</definedName>
    <definedName name="_xlnm.Print_Area" localSheetId="1">COMBINACIONES!$B$1:$J$42</definedName>
    <definedName name="_xlnm.Print_Area" localSheetId="4">CORRIDA!$B$1:$F$133</definedName>
    <definedName name="_xlnm.Print_Area" localSheetId="6">CROQUIS!$A$1:$L$127</definedName>
    <definedName name="_xlnm.Print_Area" localSheetId="0">DATOS!$B$1:$F$92</definedName>
    <definedName name="_xlnm.Print_Area" localSheetId="5">LINDERO!$B$1:$F$310</definedName>
    <definedName name="_xlnm.Print_Area" localSheetId="9">REFERENCIAS!$B$1:$F$79</definedName>
    <definedName name="_xlnm.Print_Area" localSheetId="7">RESUMEN!$B$1:$F$92</definedName>
    <definedName name="_xlnm.Print_Area" localSheetId="8">TABLAS!$B$1:$F$63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<sst xmlns="http://schemas.openxmlformats.org/spreadsheetml/2006/main" count="4134" uniqueCount="1476">
  <si>
    <t>CIMENTACIONES SUPERFICIALES — ACI 318-19 · DATOS DE ENTRADA</t>
  </si>
  <si>
    <t>HOJAS DEL LIBRO:  DATOS → COMBINACIONES → AISLADA → AISLADA_CT → CORRIDA → CROQUIS → RESUMEN   ·   de apoyo: TABLAS, REFERENCIAS, CROQUIS_DATOS</t>
  </si>
  <si>
    <t>CÓMO SE USA: sólo se tocan las celdas AMARILLAS con número AZUL (aquí y en las secciones 1 y 2 de AISLADA, AISLADA_CT y CORRIDA). Todo lo demás son fórmulas. Los valores que trae son un EJEMPLO para que veas el formato: cámbialos por los de tu proyecto. El croquis se escoge en la hoja CROQUIS (celda amarilla de arriba).</t>
  </si>
  <si>
    <t>ALCANCE: ACI 318-19 cap. 13 y los capítulos a los que remite. Tres tipos: (1) zapata aislada, (2) zapata aislada ligada con contratrabes, (3) zapata corrida bajo muro. Revisa presiones de servicio contra qa, volteo, deslizamiento, penetración, cortante en una dirección, flexión, refuerzo mínimo y separaciones, desarrollo, aplastamiento dado-zapata y dovelas, y arroja el armado. NO incluye: zapatas de lindero (columna excéntrica), combinadas, losas de cimentación, pilotes, asentamientos, ni el diseño del dado como columna.</t>
  </si>
  <si>
    <t>1. PROYECTO</t>
  </si>
  <si>
    <t>Concepto</t>
  </si>
  <si>
    <t>Valor</t>
  </si>
  <si>
    <t>Unidad</t>
  </si>
  <si>
    <t>Cómo se calcula / de dónde sale</t>
  </si>
  <si>
    <t>Referencia</t>
  </si>
  <si>
    <t>Proyecto</t>
  </si>
  <si>
    <t>Ejemplo — nave industrial</t>
  </si>
  <si>
    <t>—</t>
  </si>
  <si>
    <t>CAPTURA. Sólo aparece en los encabezados.</t>
  </si>
  <si>
    <t>Datos del proyecto</t>
  </si>
  <si>
    <t>Elemento / eje</t>
  </si>
  <si>
    <t>Columna tipo eje B-2 · muro eje 1</t>
  </si>
  <si>
    <t>Sistema de unidades</t>
  </si>
  <si>
    <t>t · m · cm · kg/cm²</t>
  </si>
  <si>
    <t>Las ecuaciones del ACI 318-19 están en SI (MPa, mm). La hoja pasa f'c y fy a MPa, evalúa la ecuación tal como viene en el reglamento y regresa el resultado a kg/cm² o t.</t>
  </si>
  <si>
    <t>1 MPa = 10.1972 kg/cm²</t>
  </si>
  <si>
    <t>2. MATERIALES</t>
  </si>
  <si>
    <t>f'c — resistencia del concreto</t>
  </si>
  <si>
    <t>kg/cm²</t>
  </si>
  <si>
    <t>CAPTURA. El ACI pide al menos 17 MPa (≈ 175 kg/cm²) en cimentaciones.</t>
  </si>
  <si>
    <t>ACI 318-19, Tabla 19.2.1.1 · 13.2.1.1, pág. 199</t>
  </si>
  <si>
    <t>f'c en MPa</t>
  </si>
  <si>
    <t>MPa</t>
  </si>
  <si>
    <t>CALCULADA = f'c / 10.1972.</t>
  </si>
  <si>
    <t>Conversión de unidades</t>
  </si>
  <si>
    <t>√f'c usada en cortante y desarrollo</t>
  </si>
  <si>
    <t>√MPa</t>
  </si>
  <si>
    <t>CALCULADA = √f'c con el tope de 8.3 MPa del reglamento.</t>
  </si>
  <si>
    <t>ACI 318-19, 22.5.3.1, 22.6.3.1 y 25.4.1.4</t>
  </si>
  <si>
    <t>fy — fluencia del refuerzo</t>
  </si>
  <si>
    <t>CAPTURA. Varilla corrugada grado 42.</t>
  </si>
  <si>
    <t>NMX-C-407-ONNCCE · ACI 318-19, 20.2.2.4</t>
  </si>
  <si>
    <t>fy en MPa</t>
  </si>
  <si>
    <t>CALCULADA = fy / 10.1972.</t>
  </si>
  <si>
    <t>Es — módulo del acero</t>
  </si>
  <si>
    <t>CALCULADA = 200,000 MPa pasado a kg/cm².</t>
  </si>
  <si>
    <t>ACI 318-19, 20.2.2.2</t>
  </si>
  <si>
    <t>εty — deformación de fluencia</t>
  </si>
  <si>
    <t>CALCULADA = fy / Es.</t>
  </si>
  <si>
    <t>ACI 318-19, 21.2.2.1</t>
  </si>
  <si>
    <t>β₁ — factor del bloque de compresión</t>
  </si>
  <si>
    <t>CALCULADA con f'c en MPa: 0.85 hasta 28 MPa, baja 0.05 por cada 7 MPa, mínimo 0.65.</t>
  </si>
  <si>
    <t>ACI 318-19, Tabla 22.2.2.4.3</t>
  </si>
  <si>
    <t>λ — factor de concreto ligero</t>
  </si>
  <si>
    <t>CAPTURA. 1.00 para concreto de peso normal.</t>
  </si>
  <si>
    <t>ACI 318-19, 19.2.4.2 (Tabla 19.2.4.2)</t>
  </si>
  <si>
    <t>γc — peso volumétrico del concreto reforzado</t>
  </si>
  <si>
    <t>t/m³</t>
  </si>
  <si>
    <t>CAPTURA.</t>
  </si>
  <si>
    <t>Práctica de ingeniería</t>
  </si>
  <si>
    <t>Tamaño máximo del agregado grueso</t>
  </si>
  <si>
    <t>mm</t>
  </si>
  <si>
    <t>CAPTURA. 19 mm = 3/4". Sirve para la separación libre mínima entre varillas.</t>
  </si>
  <si>
    <t>ACI 318-19, 25.2.1</t>
  </si>
  <si>
    <t>ψg — factor por grado del refuerzo</t>
  </si>
  <si>
    <t>CALCULADA: 1.00 para grado 280 y 420; 1.15 para 550; 1.30 para 690.</t>
  </si>
  <si>
    <t>ACI 318-19, Tabla 25.4.2.5</t>
  </si>
  <si>
    <t>3. SUELO — sin estudio de mecánica de suelos, estos son datos de entrada que tú propones</t>
  </si>
  <si>
    <t>qa — capacidad de carga admisible (bruta) al nivel de desplante</t>
  </si>
  <si>
    <t>t/m²</t>
  </si>
  <si>
    <t>CAPTURA. Presión total admisible (incluye peso de zapata y relleno). SIN ESTUDIO: orienta el valor con la tabla presuntiva de TABLAS y confírmalo antes de construir.</t>
  </si>
  <si>
    <t>Estudio de mecánica de suelos · orientación: NAVFAC DM 7.02, Tabla 1, págs. 7.2-142 y 7.2-143 · ACI 318-19, 13.3.1.1, pág. 203</t>
  </si>
  <si>
    <t>Incremento de qa en combinaciones con acción accidental</t>
  </si>
  <si>
    <t>CAPTURA. Déjalo en 1.00 salvo que el estudio permita aumentar la capacidad para cargas de corta duración (típico 1.33).</t>
  </si>
  <si>
    <t>Estudio de mecánica de suelos · Bowles 5ª ed., §4.15, pág. 275</t>
  </si>
  <si>
    <t>γs — peso volumétrico del relleno sobre la zapata</t>
  </si>
  <si>
    <t>CAPTURA. Relleno compactado.</t>
  </si>
  <si>
    <t>Estudio de mecánica de suelos · práctica</t>
  </si>
  <si>
    <t>μ — factor de fricción suelo-concreto (tan δ)</t>
  </si>
  <si>
    <t>CAPTURA. Ver la tabla 4 de TABLAS. No se cuenta el empuje pasivo del relleno lateral (queda del lado seguro).</t>
  </si>
  <si>
    <t>NAVFAC DM 7.02, Cap. 3, Tabla 1, pág. 7.2-63</t>
  </si>
  <si>
    <t>FS exigido contra volteo</t>
  </si>
  <si>
    <t>CAPTURA. Se revisa con TODAS las combinaciones de servicio, incluida la de 0.6D (queda del lado seguro).</t>
  </si>
  <si>
    <t>ACI 318-19, 13.2.6.1, págs. 199–200 · Bowles 5ª ed., Tabla 4-9, pág. 276</t>
  </si>
  <si>
    <t>FS exigido contra deslizamiento</t>
  </si>
  <si>
    <t>CAPTURA. Igual criterio que el de volteo.</t>
  </si>
  <si>
    <t>4. ACCIÓN ACCIDENTAL Y COMBINACIONES</t>
  </si>
  <si>
    <t>Acción accidental A que se captura abajo</t>
  </si>
  <si>
    <t>SISMO</t>
  </si>
  <si>
    <t>CAPTURA (lista). Cambia los factores de servicio: sismo 0.7E y 0.525E; viento 0.6W y 0.45W. Las de resistencia usan 1.0 en ambos casos.</t>
  </si>
  <si>
    <t>ASCE/SEI 7-16, §2.4.1 · ACI 318-19, Tabla 5.3.1</t>
  </si>
  <si>
    <t>Factor de la carga viva en las combinaciones de resistencia con A</t>
  </si>
  <si>
    <t>CAPTURA. 1.0, o 0.5 si L ≤ 4.8 kPa (≈ 490 kg/m²) y no es estacionamiento ni lugar de reunión.</t>
  </si>
  <si>
    <t>ACI 318-19, 5.3.3</t>
  </si>
  <si>
    <t>Tabla completa de combinaciones</t>
  </si>
  <si>
    <t>Hoja COMBINACIONES</t>
  </si>
  <si>
    <t>La A entra con los dos signos: se toma la que suma a los momentos de D y L, y en P la que suma (S4, U4) y la que resta (S5, U5).</t>
  </si>
  <si>
    <t>ACI 318-19, 13.2.6.1 y 13.2.6.3, pág. 200</t>
  </si>
  <si>
    <t>5. CARGAS DE SERVICIO EN LA BASE DE LA COLUMNA — para AISLADA y AISLADA_CT (por caso de carga, sin factorizar)</t>
  </si>
  <si>
    <t>EJES: X y Y en planta. Mx gira alrededor de X y produce excentricidad ey; My gira alrededor de Y y produce ex. En STAAD (Y vertical): FY → P, MX → Mx, MZ → My, FX → Vx, FZ → Vy. Los momentos y cortantes se usan en valor absoluto (la zapata es simétrica).</t>
  </si>
  <si>
    <t>P — carga axial, carga muerta (D)</t>
  </si>
  <si>
    <t>t</t>
  </si>
  <si>
    <t>CAPTURA. Reacción vertical del caso D tal como sale del modelo.</t>
  </si>
  <si>
    <t>Modelo de análisis (STAAD) · tabla de reacciones</t>
  </si>
  <si>
    <t>P — carga axial, carga viva (L)</t>
  </si>
  <si>
    <t>CAPTURA. Reacción vertical del caso L tal como sale del modelo.</t>
  </si>
  <si>
    <t>P — carga axial, carga accidental (A)</t>
  </si>
  <si>
    <t>CAPTURA. Reacción vertical del caso A tal como sale del modelo.</t>
  </si>
  <si>
    <t>Mx — momento alrededor de X, carga muerta (D)</t>
  </si>
  <si>
    <t>t·m</t>
  </si>
  <si>
    <t>CAPTURA. Momento del caso D tal como sale del modelo.</t>
  </si>
  <si>
    <t>Mx — momento alrededor de X, carga viva (L)</t>
  </si>
  <si>
    <t>CAPTURA. Momento del caso L tal como sale del modelo.</t>
  </si>
  <si>
    <t>Mx — momento alrededor de X, carga accidental (A)</t>
  </si>
  <si>
    <t>CAPTURA. Momento del caso A tal como sale del modelo.</t>
  </si>
  <si>
    <t>My — momento alrededor de Y, carga muerta (D)</t>
  </si>
  <si>
    <t>My — momento alrededor de Y, carga viva (L)</t>
  </si>
  <si>
    <t>My — momento alrededor de Y, carga accidental (A)</t>
  </si>
  <si>
    <t>Vx — cortante en dirección X, carga muerta (D)</t>
  </si>
  <si>
    <t>CAPTURA. Cortante del caso D tal como sale del modelo.</t>
  </si>
  <si>
    <t>Vx — cortante en dirección X, carga viva (L)</t>
  </si>
  <si>
    <t>CAPTURA. Cortante del caso L tal como sale del modelo.</t>
  </si>
  <si>
    <t>Vx — cortante en dirección X, carga accidental (A)</t>
  </si>
  <si>
    <t>CAPTURA. Cortante del caso A tal como sale del modelo.</t>
  </si>
  <si>
    <t>Vy — cortante en dirección Y, carga muerta (D)</t>
  </si>
  <si>
    <t>Vy — cortante en dirección Y, carga viva (L)</t>
  </si>
  <si>
    <t>Vy — cortante en dirección Y, carga accidental (A)</t>
  </si>
  <si>
    <t>6. DADO (PEDESTAL) — para AISLADA y AISLADA_CT</t>
  </si>
  <si>
    <t>cx — lado del dado en X</t>
  </si>
  <si>
    <t>m</t>
  </si>
  <si>
    <t>CAPTURA. Si una placa base apoya DIRECTO sobre la zapata, captura el promedio entre el lado de la columna y el de la placa.</t>
  </si>
  <si>
    <t>ACI 318-19, Tabla 13.2.7.1, págs. 201–202</t>
  </si>
  <si>
    <t>cy — lado del dado en Y</t>
  </si>
  <si>
    <t>CAPTURA. Mismo criterio.</t>
  </si>
  <si>
    <t>Altura del dado arriba del nivel de terreno</t>
  </si>
  <si>
    <t>CAPTURA. Del nivel de terreno a la cara superior del dado.</t>
  </si>
  <si>
    <t>Proyecto arquitectónico / estructural</t>
  </si>
  <si>
    <t>Varilla longitudinal del dado (dovelas)</t>
  </si>
  <si>
    <t>#</t>
  </si>
  <si>
    <t>CAPTURA (lista). Se usa para las dovelas y su desarrollo a compresión.</t>
  </si>
  <si>
    <t>ACI 318-19, 16.3.4.1 y 25.4.9</t>
  </si>
  <si>
    <t>db de la varilla del dado</t>
  </si>
  <si>
    <t>cm</t>
  </si>
  <si>
    <t>CALCULADA con la tabla de varillas.</t>
  </si>
  <si>
    <t>TABLAS, tabla 1</t>
  </si>
  <si>
    <t>Área de una varilla del dado</t>
  </si>
  <si>
    <t>cm²</t>
  </si>
  <si>
    <t>¿Dónde entrega las reacciones el modelo?</t>
  </si>
  <si>
    <t>CARA SUPERIOR DEL DADO</t>
  </si>
  <si>
    <t>CAPTURA (lista). Define el brazo con el que el cortante V genera momento: hasta el desplante y hasta la cara de la zapata.</t>
  </si>
  <si>
    <t>Modelo de análisis (nudo de apoyo)</t>
  </si>
  <si>
    <t>7. CARGAS DE SERVICIO DEL MURO, POR METRO — para CORRIDA (al nivel de terreno, sobre el cimiento)</t>
  </si>
  <si>
    <t>w — carga vertical por metro, carga muerta (D)</t>
  </si>
  <si>
    <t>t/m</t>
  </si>
  <si>
    <t>CAPTURA. Si el modelo da reacciones por nudo, divídelas entre el ancho tributario.</t>
  </si>
  <si>
    <t>Bajada de cargas / modelo de análisis</t>
  </si>
  <si>
    <t>w — carga vertical por metro, carga viva (L)</t>
  </si>
  <si>
    <t>w — carga vertical por metro, carga accidental (A)</t>
  </si>
  <si>
    <t>Mw — momento por metro (gira alrededor del eje del muro), carga muerta (D)</t>
  </si>
  <si>
    <t>t·m/m</t>
  </si>
  <si>
    <t>Mw — momento por metro (gira alrededor del eje del muro), carga viva (L)</t>
  </si>
  <si>
    <t>Mw — momento por metro (gira alrededor del eje del muro), carga accidental (A)</t>
  </si>
  <si>
    <t>Vw — cortante por metro, perpendicular al muro, carga muerta (D)</t>
  </si>
  <si>
    <t>Vw — cortante por metro, perpendicular al muro, carga viva (L)</t>
  </si>
  <si>
    <t>Vw — cortante por metro, perpendicular al muro, carga accidental (A)</t>
  </si>
  <si>
    <t>8. CONSTANTES DEL REGLAMENTO Y CRITERIOS COMUNES</t>
  </si>
  <si>
    <t>φ flexión (sección controlada por tensión)</t>
  </si>
  <si>
    <t>FIJO. Se verifica εt ≥ εty + 0.003 en cada armado.</t>
  </si>
  <si>
    <t>ACI 318-19, Tablas 21.2.1(a) y 21.2.2</t>
  </si>
  <si>
    <t>φ cortante</t>
  </si>
  <si>
    <t>FIJO.</t>
  </si>
  <si>
    <t>ACI 318-19, Tabla 21.2.1(b)</t>
  </si>
  <si>
    <t>φ aplastamiento</t>
  </si>
  <si>
    <t>ACI 318-19, Tabla 21.2.1(d)</t>
  </si>
  <si>
    <t>Conversión 1 MPa</t>
  </si>
  <si>
    <t>¿Despreciar el factor de tamaño λs en zapatas?</t>
  </si>
  <si>
    <t>SÍ</t>
  </si>
  <si>
    <t>CAPTURA (lista). El cap. 13 lo permite en zapatas aisladas, corridas y losas; con NO se calcula λs = √(2/(1+0.004d)) ≤ 1.</t>
  </si>
  <si>
    <t>ACI 318-19, 13.2.6.2, pág. 200 · 22.5.5.1.3</t>
  </si>
  <si>
    <t>Redondeo de separaciones (hacia abajo)</t>
  </si>
  <si>
    <t>CAPTURA. Múltiplo al que se redondea la separación calculada.</t>
  </si>
  <si>
    <t>Práctica de armado</t>
  </si>
  <si>
    <t>COMBINACIONES DE CARGA — ASCE/SEI 7-16 · ACI 318-19, 5.3</t>
  </si>
  <si>
    <t>De servicio (S) para presiones contra qa, volteo y deslizamiento (ACI R13.2.6.1, págs. 199–200); de resistencia (U) para cortante, flexión y aplastamiento (ACI 13.2.6.3, pág. 200). Aquí no se captura nada: los factores de A cambian solos con la lista de DATOS.</t>
  </si>
  <si>
    <t>1. FACTORES DE CARGA</t>
  </si>
  <si>
    <t>Clave</t>
  </si>
  <si>
    <t>Combinación</t>
  </si>
  <si>
    <t>Uso</t>
  </si>
  <si>
    <t>γD</t>
  </si>
  <si>
    <t>γL</t>
  </si>
  <si>
    <t>γA</t>
  </si>
  <si>
    <t>signo de P_A</t>
  </si>
  <si>
    <t>S1</t>
  </si>
  <si>
    <t>Servicio</t>
  </si>
  <si>
    <t>ASCE 7-16 §2.4.1 comb. 2</t>
  </si>
  <si>
    <t>S2</t>
  </si>
  <si>
    <t>ASCE 7-16 §2.4.1 comb. 5</t>
  </si>
  <si>
    <t>S3</t>
  </si>
  <si>
    <t>ASCE 7-16 §2.4.1 comb. 6</t>
  </si>
  <si>
    <t>S4</t>
  </si>
  <si>
    <t>ASCE 7-16 §2.4.1 comb. 7 y 8</t>
  </si>
  <si>
    <t>S5</t>
  </si>
  <si>
    <t>Servicio (levantamiento)</t>
  </si>
  <si>
    <t>U1</t>
  </si>
  <si>
    <t>Resistencia</t>
  </si>
  <si>
    <t>ACI 318-19 ec. 5.3.1a</t>
  </si>
  <si>
    <t>U2</t>
  </si>
  <si>
    <t>ACI 318-19 ec. 5.3.1b</t>
  </si>
  <si>
    <t>U3</t>
  </si>
  <si>
    <t>ACI 318-19 ec. 5.3.1d / 5.3.1e</t>
  </si>
  <si>
    <t>U4</t>
  </si>
  <si>
    <t>ACI 318-19 ec. 5.3.1f / 5.3.1g</t>
  </si>
  <si>
    <t>U5</t>
  </si>
  <si>
    <t>Resistencia (levantamiento)</t>
  </si>
  <si>
    <t>2. CARGAS COMBINADAS EN LA BASE DE LA COLUMNA — para AISLADA y AISLADA_CT (t, t·m)</t>
  </si>
  <si>
    <t>P</t>
  </si>
  <si>
    <t>Mx</t>
  </si>
  <si>
    <t>My</t>
  </si>
  <si>
    <t>Vx</t>
  </si>
  <si>
    <t>Vy</t>
  </si>
  <si>
    <t>Cómo se calcula</t>
  </si>
  <si>
    <t>P = γD·PD + γL·PL ± γA·|PA| ; M, V = |γD·D + γL·L| + γA·|A|</t>
  </si>
  <si>
    <t>3. CARGAS COMBINADAS DEL MURO, POR METRO — para CORRIDA (t/m, t·m/m)</t>
  </si>
  <si>
    <t>w</t>
  </si>
  <si>
    <t>Mw</t>
  </si>
  <si>
    <t>Vw</t>
  </si>
  <si>
    <t>w = γD·wD + γL·wL ± γA·|wA| ; M, V igual que arriba</t>
  </si>
  <si>
    <t>ZAPATA AISLADA — ACI 318-19</t>
  </si>
  <si>
    <t>TABLA POR COMBINACIÓN — la memoria (col. B–F) toma de aquí lo que rige</t>
  </si>
  <si>
    <t>Cada columna es una combinación de la hoja COMBINACIONES. Bloque S: presiones y estabilidad con la carga TOTAL (incluye zapata, relleno y dado, multiplicados por su γD). Bloque U: diseño estructural con presión NETA (se descuenta el peso de zapata y relleno), ACI 13.2.6.3 y R13.2.6.3.</t>
  </si>
  <si>
    <t>Se capturan sólo las celdas amarillas de las secciones 1 y 2; cargas, materiales y suelo vienen de DATOS. A la derecha (columnas H a N) está la tabla por combinación de donde salen los valores que rigen.</t>
  </si>
  <si>
    <t>BLOQUE S — SERVICIO</t>
  </si>
  <si>
    <t>1. GEOMETRÍA DE LA ZAPATA</t>
  </si>
  <si>
    <t>Descripción</t>
  </si>
  <si>
    <t>Lx — lado de la zapata en dirección X</t>
  </si>
  <si>
    <t>CAPTURA. Se ajusta hasta que la presión máxima de la sección 5 quede por debajo de qa.</t>
  </si>
  <si>
    <t>Propuesta — se verifica en la sección 5</t>
  </si>
  <si>
    <t>Ly — lado de la zapata en dirección Y</t>
  </si>
  <si>
    <t>h — peralte total de la zapata</t>
  </si>
  <si>
    <t>CAPTURA. Los mínimos por penetración y por dovelas salen en las secciones 4 y 12.</t>
  </si>
  <si>
    <t>Propuesta — se verifica en las secciones 6, 9 y 12</t>
  </si>
  <si>
    <t>P de la columna</t>
  </si>
  <si>
    <t>Df — profundidad de desplante</t>
  </si>
  <si>
    <t>CAPTURA. Del nivel de terreno a la cara inferior de la zapata.</t>
  </si>
  <si>
    <t>Estudio de mecánica de suelos / proyecto</t>
  </si>
  <si>
    <t>Mx de la columna</t>
  </si>
  <si>
    <t>r — recubrimiento libre inferior</t>
  </si>
  <si>
    <t>CAPTURA. Concreto colado contra el suelo: 75 mm.</t>
  </si>
  <si>
    <t>ACI 318-19, Tabla 20.5.1.3.1 (ver TABLAS)</t>
  </si>
  <si>
    <t>My de la columna</t>
  </si>
  <si>
    <t>r_lat — recubrimiento en las puntas de las varillas</t>
  </si>
  <si>
    <t>CAPTURA. Caras laterales coladas contra el suelo.</t>
  </si>
  <si>
    <t>ACI 318-19, Tabla 20.5.1.3.1</t>
  </si>
  <si>
    <t>Vx de la columna</t>
  </si>
  <si>
    <t>r_sup — recubrimiento superior</t>
  </si>
  <si>
    <t>CAPTURA. Cara superior en contacto con el relleno: 50 mm (40 mm para #5 y menores).</t>
  </si>
  <si>
    <t>Vy de la columna</t>
  </si>
  <si>
    <t>α — fracción del momento que toma una contratrabe</t>
  </si>
  <si>
    <t>FIJO = 0. Zapata aislada sin contratrabe: la zapata toma todo el momento.</t>
  </si>
  <si>
    <t>Tipo de cimentación</t>
  </si>
  <si>
    <t>γD · ΣW (zapata + relleno + dado)</t>
  </si>
  <si>
    <t>A — área de la zapata</t>
  </si>
  <si>
    <t>m²</t>
  </si>
  <si>
    <t>CALCULADA = Lx · Ly.</t>
  </si>
  <si>
    <t>Geometría</t>
  </si>
  <si>
    <t>P total sobre el terreno</t>
  </si>
  <si>
    <t>h_rell — relleno sobre la zapata</t>
  </si>
  <si>
    <t>CALCULADA = Df − h.</t>
  </si>
  <si>
    <t>Mx en el desplante = (1−α)(Mx + Vy·brazo)</t>
  </si>
  <si>
    <t>H_dado — altura del dado sobre la zapata</t>
  </si>
  <si>
    <t>CALCULADA = Df − h + altura del dado sobre el terreno (DATOS).</t>
  </si>
  <si>
    <t>My en el desplante = (1−α)(My + Vx·brazo)</t>
  </si>
  <si>
    <t>Brazo del cortante V hasta el desplante</t>
  </si>
  <si>
    <t>CALCULADA. Del punto donde el modelo entrega la reacción a la cara inferior de la zapata: M_desplante = M + V·brazo.</t>
  </si>
  <si>
    <t>Estática · DATOS, sección 6</t>
  </si>
  <si>
    <t>ex = My / P</t>
  </si>
  <si>
    <t>Brazo del cortante V hasta la cara superior de la zapata</t>
  </si>
  <si>
    <t>CALCULADA. Sirve para el momento que el dado le transmite a la zapata (penetración) y a la contratrabe.</t>
  </si>
  <si>
    <t>Estática</t>
  </si>
  <si>
    <t>ey = Mx / P</t>
  </si>
  <si>
    <t>β — relación lado largo / lado corto</t>
  </si>
  <si>
    <t>CALCULADA.</t>
  </si>
  <si>
    <t>ACI 318-19, 13.3.3.3, pág. 204</t>
  </si>
  <si>
    <t>Índice de núcleo 6ex/Lx + 6ey/Ly (≤ 1: contacto total)</t>
  </si>
  <si>
    <t>Ix — momento de inercia de la base (gira alrededor de X)</t>
  </si>
  <si>
    <t>m⁴</t>
  </si>
  <si>
    <t>CALCULADA = Lx·Ly³/12.</t>
  </si>
  <si>
    <t>Mecánica de materiales</t>
  </si>
  <si>
    <t>Kx (factor uniaxial en X)</t>
  </si>
  <si>
    <t>Iy — momento de inercia de la base (gira alrededor de Y)</t>
  </si>
  <si>
    <t>CALCULADA = Ly·Lx³/12.</t>
  </si>
  <si>
    <t>Ky (factor uniaxial en Y)</t>
  </si>
  <si>
    <t>Sección crítica por flexión, distancia al centro en X</t>
  </si>
  <si>
    <t>CALCULADA = cx/2: en la cara del dado.</t>
  </si>
  <si>
    <t>q máx</t>
  </si>
  <si>
    <t>Sección crítica por flexión, distancia al centro en Y</t>
  </si>
  <si>
    <t>CALCULADA = cy/2.</t>
  </si>
  <si>
    <t>q mín (0 = despegue)</t>
  </si>
  <si>
    <t>Volado en X desde la cara del dado</t>
  </si>
  <si>
    <t>CALCULADA = (Lx − cx)/2.</t>
  </si>
  <si>
    <t>Contacto</t>
  </si>
  <si>
    <t>Volado en Y desde la cara del dado</t>
  </si>
  <si>
    <t>CALCULADA = (Ly − cy)/2.</t>
  </si>
  <si>
    <t>q adm (con incremento si hay A)</t>
  </si>
  <si>
    <t>¿La geometría es coherente?</t>
  </si>
  <si>
    <t>Revisa que haya volado en las dos direcciones y que el desplante no quede arriba de la cara superior.</t>
  </si>
  <si>
    <t>q máx / q adm</t>
  </si>
  <si>
    <t>FS volteo X = Lx/(2ex)</t>
  </si>
  <si>
    <t>2. VARILLAS Y PERALTES EFECTIVOS</t>
  </si>
  <si>
    <t>FS volteo Y = Ly/(2ey)</t>
  </si>
  <si>
    <t>V horizontal = (1−α)√(Vx²+Vy²)</t>
  </si>
  <si>
    <t>Varilla del lecho inferior ‖ X (se reparte sobre Ly)</t>
  </si>
  <si>
    <t>CAPTURA (lista).</t>
  </si>
  <si>
    <t>Propuesta</t>
  </si>
  <si>
    <t>FS deslizamiento = μ·P/V</t>
  </si>
  <si>
    <t>Varilla del lecho inferior ‖ Y (se reparte sobre Lx)</t>
  </si>
  <si>
    <t>¿Qué varillas van hasta abajo?</t>
  </si>
  <si>
    <t>‖ X</t>
  </si>
  <si>
    <t>CAPTURA (lista). Conviene abajo la dirección del volado más largo, que es la que tiene más momento.</t>
  </si>
  <si>
    <t>BLOQUE U — RESISTENCIA (cargas factorizadas)</t>
  </si>
  <si>
    <t>Separación ‖ X que tú fijas (0 = la calcula la hoja)</t>
  </si>
  <si>
    <t>CAPTURA. Déjala en 0 para que la hoja proponga la separación; si pones un valor, la hoja la revisa.</t>
  </si>
  <si>
    <t>Separación ‖ Y que tú fijas (0 = la calcula la hoja)</t>
  </si>
  <si>
    <t>¿Lleva parrilla superior?</t>
  </si>
  <si>
    <t>NO</t>
  </si>
  <si>
    <t>CAPTURA (lista). El ACI no la exige en zapatas; se vuelve obligatoria si hay momento negativo por despegue (sección 10).</t>
  </si>
  <si>
    <t>Práctica · sección 10 de esta hoja</t>
  </si>
  <si>
    <t>Varilla de la parrilla superior</t>
  </si>
  <si>
    <t>CAPTURA (lista). Sólo se usa si hay parrilla superior.</t>
  </si>
  <si>
    <t>Pu de la columna</t>
  </si>
  <si>
    <t>db ‖ X</t>
  </si>
  <si>
    <t>Mux de la columna</t>
  </si>
  <si>
    <t>Área de una varilla ‖ X</t>
  </si>
  <si>
    <t>Muy de la columna</t>
  </si>
  <si>
    <t>db ‖ Y</t>
  </si>
  <si>
    <t>Vux de la columna</t>
  </si>
  <si>
    <t>Área de una varilla ‖ Y</t>
  </si>
  <si>
    <t>Vuy de la columna</t>
  </si>
  <si>
    <t>db de la parrilla superior</t>
  </si>
  <si>
    <t>Pu sobre la zapata = Pu + γD·W_dado</t>
  </si>
  <si>
    <t>Área de una varilla de la parrilla superior</t>
  </si>
  <si>
    <t>γD · (W_zap + W_rell)</t>
  </si>
  <si>
    <t>dx — peralte efectivo de las varillas ‖ X</t>
  </si>
  <si>
    <t>CALCULADA = h − r − db/2, restando además el lecho de abajo si ‖ X va encima.</t>
  </si>
  <si>
    <t>w_u = peso factorizado repartido</t>
  </si>
  <si>
    <t>dy — peralte efectivo de las varillas ‖ Y</t>
  </si>
  <si>
    <t>CALCULADA con el mismo criterio.</t>
  </si>
  <si>
    <t>P total factorizada</t>
  </si>
  <si>
    <t>d_prom — peralte efectivo promedio</t>
  </si>
  <si>
    <t>CALCULADA. Es el que se usa en penetración.</t>
  </si>
  <si>
    <t>Mux en el desplante = (1−α)(Mx + Vy·brazo)</t>
  </si>
  <si>
    <t>¿El peralte efectivo es de al menos 15 cm?</t>
  </si>
  <si>
    <t>El peralte efectivo del refuerzo inferior debe ser de al menos 150 mm.</t>
  </si>
  <si>
    <t>ACI 318-19, 13.3.1.2, pág. 203</t>
  </si>
  <si>
    <t>Muy en el desplante = (1−α)(My + Vx·brazo)</t>
  </si>
  <si>
    <t>ex = M/P total</t>
  </si>
  <si>
    <t>3. PESO DE LA CIMENTACIÓN Y DEL RELLENO (servicio, sin factorizar)</t>
  </si>
  <si>
    <t>Contacto en X</t>
  </si>
  <si>
    <t>q total en la orilla cargada (X)</t>
  </si>
  <si>
    <t>W_zap — peso de la zapata</t>
  </si>
  <si>
    <t>CALCULADA = Lx · Ly · h · γc.</t>
  </si>
  <si>
    <t>pendiente de q (X)</t>
  </si>
  <si>
    <t>W_rell — relleno sobre la zapata</t>
  </si>
  <si>
    <t>CALCULADA = (A − área del dado) · h_rell · γs.</t>
  </si>
  <si>
    <t>q total al centro (ordenada)</t>
  </si>
  <si>
    <t>W_dado — peso del dado</t>
  </si>
  <si>
    <t>CALCULADA = cx · cy · H_dado · γc.</t>
  </si>
  <si>
    <t>inicio del contacto útil para Mu</t>
  </si>
  <si>
    <t>ΣW — peso total</t>
  </si>
  <si>
    <t>CALCULADA. En cada combinación se multiplica por su γD (con 0.6D también se reduce el peso propio).</t>
  </si>
  <si>
    <t>ASCE/SEI 7-16, §2.4.1</t>
  </si>
  <si>
    <t>Mu en la cara del dado, varillas ‖ X</t>
  </si>
  <si>
    <t>sección de cortante (a d de la cara)</t>
  </si>
  <si>
    <t>4. DIMENSIONES MÍNIMAS SUGERIDAS (orientativas — la revisión formal está en las secciones 5 a 12)</t>
  </si>
  <si>
    <t>inicio del contacto útil para Vu</t>
  </si>
  <si>
    <t>Vu en una dirección, X</t>
  </si>
  <si>
    <t>q_neta — capacidad que queda para la columna</t>
  </si>
  <si>
    <t>CALCULADA = qa − (h·γc + h_rell·γs). Es la parte de qa que no se gasta en el peso propio.</t>
  </si>
  <si>
    <t>Bowles 5ª ed., §8.2, pág. 404</t>
  </si>
  <si>
    <t>fin del contacto en el lado ligero</t>
  </si>
  <si>
    <t>P de servicio S1 + peso del dado</t>
  </si>
  <si>
    <t>CALCULADA = P(D + L) de COMBINACIONES + W_dado.</t>
  </si>
  <si>
    <t>COMBINACIONES, sección 2</t>
  </si>
  <si>
    <t>M con tensión arriba, lado ligero ‖ X</t>
  </si>
  <si>
    <t>Área mínima con carga concéntrica</t>
  </si>
  <si>
    <t>CALCULADA = P / q_neta.</t>
  </si>
  <si>
    <t>ACI 318-19, 13.3.1.1, pág. 203</t>
  </si>
  <si>
    <t>ey = M/P total</t>
  </si>
  <si>
    <t>Lado mínimo si fuera cuadrada</t>
  </si>
  <si>
    <t>CALCULADA = √A. Con momento se necesita más: eso lo dice la sección 5.</t>
  </si>
  <si>
    <t>Contacto en Y</t>
  </si>
  <si>
    <t>¿El área capturada alcanza para la carga concéntrica?</t>
  </si>
  <si>
    <t>Sólo es un primer filtro.</t>
  </si>
  <si>
    <t>q total en la orilla cargada (Y)</t>
  </si>
  <si>
    <t>φ·vc de penetración pasado a t/m² (λs = 1)</t>
  </si>
  <si>
    <t>CALCULADA = φ · 0.33 λ √f'c [MPa] → kg/cm² → t/m².</t>
  </si>
  <si>
    <t>ACI 318-19, Tabla 22.6.5.2(a)</t>
  </si>
  <si>
    <t>pendiente de q (Y)</t>
  </si>
  <si>
    <t>Pu máxima (con peso del dado)</t>
  </si>
  <si>
    <t>CALCULADA = máximo de la tabla por combinación.</t>
  </si>
  <si>
    <t>Tabla por combinación (col. H–N)</t>
  </si>
  <si>
    <t>d mínimo por penetración (carga concéntrica)</t>
  </si>
  <si>
    <t>CALCULADA despejando d de Pu(1 − (cx+d)(cy+d)/A) = φvc·2(cx+cy+2d)·d. Sin momento: el valor formal sale en la sección 6.</t>
  </si>
  <si>
    <t>ACI 318-19, 22.6.4.1 y Tabla 22.6.5.2</t>
  </si>
  <si>
    <t>h mínimo sugerido por penetración</t>
  </si>
  <si>
    <t>CALCULADA = d_mín + r + db.</t>
  </si>
  <si>
    <t>Mu en la cara del dado, varillas ‖ Y</t>
  </si>
  <si>
    <t>5. PRESIONES DE SERVICIO, VOLTEO Y DESLIZAMIENTO (sale de la tabla por combinación, bloque S)</t>
  </si>
  <si>
    <t>Vu en una dirección, Y</t>
  </si>
  <si>
    <t>q_máx — presión máxima de servicio que rige</t>
  </si>
  <si>
    <t>CALCULADA. Dentro del núcleo: P/A(1 + 6ex/Lx + 6ey/Ly). Con despegue: P/A·Kx·Ky (producto de los factores uniaxiales, aproximación del lado seguro).</t>
  </si>
  <si>
    <t>Bowles 5ª ed., §8.10, págs. 449–453 · ACI 318-19, R13.2.6.1, págs. 199–200</t>
  </si>
  <si>
    <t>Combinación que da q_máx</t>
  </si>
  <si>
    <t>COMBINACIONES</t>
  </si>
  <si>
    <t>M con tensión arriba, lado ligero ‖ Y</t>
  </si>
  <si>
    <t>q_máx / q_adm (la más desfavorable)</t>
  </si>
  <si>
    <t>CALCULADA. q_adm = qa, multiplicada por el incremento de DATOS en combinaciones con A.</t>
  </si>
  <si>
    <t>DATOS, sección 3</t>
  </si>
  <si>
    <t>Índice de núcleo con cargas factorizadas</t>
  </si>
  <si>
    <t>Presión máxima contra la admisible</t>
  </si>
  <si>
    <t>Compara cada combinación contra su q_adm.</t>
  </si>
  <si>
    <t>Vu de penetración = Pu(1 − A_crit/A)</t>
  </si>
  <si>
    <t>q_mín — presión mínima (0 = hay despegue)</t>
  </si>
  <si>
    <t>Bowles 5ª ed., §8.10, pág. 453</t>
  </si>
  <si>
    <t>Msc alrededor de X = (1−α)(|Mx| + |Vy|·brazo dado)</t>
  </si>
  <si>
    <t>Con carga sostenida (S1 = D + L), ¿toda la zapata está comprimida?</t>
  </si>
  <si>
    <t>Criterio: 6ex/Lx + 6ey/Ly ≤ 1 con la combinación permanente.</t>
  </si>
  <si>
    <t>Bowles 5ª ed., §8.10, pág. 453 (e ≤ L/6)</t>
  </si>
  <si>
    <t>Msc alrededor de Y = (1−α)(|My| + |Vx|·brazo dado)</t>
  </si>
  <si>
    <t>Combinaciones con contacto parcial (despegue)</t>
  </si>
  <si>
    <t>CALCULADA. Se aceptan en combinaciones accidentales si cumplen presión, volteo y deslizamiento.</t>
  </si>
  <si>
    <t>Tabla por combinación</t>
  </si>
  <si>
    <t>vu máx de penetración</t>
  </si>
  <si>
    <t>P total mínima sobre el terreno</t>
  </si>
  <si>
    <t>¿Hay levantamiento neto?</t>
  </si>
  <si>
    <t>La carga total debe quedar a compresión en todas las combinaciones.</t>
  </si>
  <si>
    <t>ACI 318-19, 13.2.6.1, págs. 199–200</t>
  </si>
  <si>
    <t>FS al volteo mínimo, dirección X</t>
  </si>
  <si>
    <t>CALCULADA = Lx / (2 ex) = P·(Lx/2) / M.</t>
  </si>
  <si>
    <t>Bowles 5ª ed., §8.10, pág. 450</t>
  </si>
  <si>
    <t>FS al volteo mínimo, dirección Y</t>
  </si>
  <si>
    <t>CALCULADA = Ly / (2 ey).</t>
  </si>
  <si>
    <t>Revisión por volteo</t>
  </si>
  <si>
    <t>Compara contra el FS exigido en DATOS.</t>
  </si>
  <si>
    <t>FS al deslizamiento mínimo</t>
  </si>
  <si>
    <t>CALCULADA = μ · P_total / √(Vx² + Vy²). Sin empuje pasivo.</t>
  </si>
  <si>
    <t>NAVFAC DM 7.02, Tabla 1, pág. 7.2-63</t>
  </si>
  <si>
    <t>Revisión por deslizamiento</t>
  </si>
  <si>
    <t>6. CORTANTE EN DOS DIRECCIONES (PENETRACIÓN) — sección crítica a d/2 del dado</t>
  </si>
  <si>
    <t>b₁ — lado de la sección crítica en X</t>
  </si>
  <si>
    <t>CALCULADA = cx + d.</t>
  </si>
  <si>
    <t>ACI 318-19, 22.6.4.1</t>
  </si>
  <si>
    <t>b₂ — lado de la sección crítica en Y</t>
  </si>
  <si>
    <t>CALCULADA = cy + d.</t>
  </si>
  <si>
    <t>b₀ — perímetro crítico</t>
  </si>
  <si>
    <t>Área dentro de la sección crítica</t>
  </si>
  <si>
    <t>CALCULADA. Su reacción no aporta al cortante.</t>
  </si>
  <si>
    <t>ACI 318-19, 13.2.7.2, pág. 202</t>
  </si>
  <si>
    <t>β — relación de lados del dado</t>
  </si>
  <si>
    <t>ACI 318-19, Tabla 22.6.5.2</t>
  </si>
  <si>
    <t>αs — columna interior</t>
  </si>
  <si>
    <t>FIJO. La zapata rodea al dado por los 4 lados.</t>
  </si>
  <si>
    <t>ACI 318-19, Tabla 22.6.5.2 · TABLAS, tabla 5</t>
  </si>
  <si>
    <t>λs — factor de tamaño</t>
  </si>
  <si>
    <t>CALCULADA. Con SÍ en DATOS vale 1 (13.2.6.2); con NO, √(2/(1+0.004d)) con d en mm.</t>
  </si>
  <si>
    <t>vc (a) = 0.33 λs λ √f'c</t>
  </si>
  <si>
    <t>CALCULADA en MPa y pasada a kg/cm².</t>
  </si>
  <si>
    <t>vc (b) = 0.17 (1 + 2/β) λs λ √f'c</t>
  </si>
  <si>
    <t>ACI 318-19, Tabla 22.6.5.2(b)</t>
  </si>
  <si>
    <t>vc (c) = 0.083 (2 + αs d/b₀) λs λ √f'c</t>
  </si>
  <si>
    <t>ACI 318-19, Tabla 22.6.5.2(c)</t>
  </si>
  <si>
    <t>vc — el menor de los tres</t>
  </si>
  <si>
    <t>ACI 318-19, 22.6.5.2</t>
  </si>
  <si>
    <t>φ vc</t>
  </si>
  <si>
    <t>CALCULADA con φ = 0.75.</t>
  </si>
  <si>
    <t>γf para el momento alrededor de Y</t>
  </si>
  <si>
    <t>CALCULADA = 1/(1 + ⅔√(b₁/b₂)).</t>
  </si>
  <si>
    <t>ACI 318-19, ec. 8.4.2.2.2</t>
  </si>
  <si>
    <t>γv para el momento alrededor de Y</t>
  </si>
  <si>
    <t>CALCULADA = 1 − γf. Fracción que se transmite por cortante excéntrico.</t>
  </si>
  <si>
    <t>ACI 318-19, 8.4.4.2.2</t>
  </si>
  <si>
    <t>Jc para el momento alrededor de Y</t>
  </si>
  <si>
    <t>cm⁴</t>
  </si>
  <si>
    <t>CALCULADA = d b₁³/6 + b₁ d³/6 + d b₂ b₁²/2 (columna interior).</t>
  </si>
  <si>
    <t>ACI 318-19, R8.4.4.2.3</t>
  </si>
  <si>
    <t>γf para el momento alrededor de X</t>
  </si>
  <si>
    <t>γv para el momento alrededor de X</t>
  </si>
  <si>
    <t>Jc para el momento alrededor de X</t>
  </si>
  <si>
    <t>vu máximo (cortante directo + momento transferido)</t>
  </si>
  <si>
    <t>CALCULADA = Vu/(b₀d) + γv·Msc·c/Jc en las dos direcciones. Vu = Pu(1 − A_crit/A).</t>
  </si>
  <si>
    <t>ACI 318-19, 8.4.4.2.3 · 13.2.6.3, pág. 200</t>
  </si>
  <si>
    <t>Combinación que rige</t>
  </si>
  <si>
    <t>Relación demanda/capacidad por penetración</t>
  </si>
  <si>
    <t>Revisión de esta hoja</t>
  </si>
  <si>
    <t>Revisión por penetración</t>
  </si>
  <si>
    <t>vu ≤ φ vc.</t>
  </si>
  <si>
    <t>ACI 318-19, 22.6.1 y 22.6.5</t>
  </si>
  <si>
    <t>7. FLEXIÓN Y ARMADO — varillas ‖ X (momento en la cara del dado, en todo el ancho Ly)</t>
  </si>
  <si>
    <t>Mu en la sección crítica, ‖ X</t>
  </si>
  <si>
    <t>CALCULADA con la presión neta factorizada (se descuenta el peso de zapata y relleno) sobre todo el volado.</t>
  </si>
  <si>
    <t>ACI 318-19, 13.2.6.6 y 13.2.7.1, pág. 201 y 202</t>
  </si>
  <si>
    <t>Factor por franja central (zapata rectangular)</t>
  </si>
  <si>
    <t>CALCULADA. Si estas varillas trabajan en la dirección corta, se reparten uniformes con As × 2β/(β+1): así la franja central recibe γs·As.</t>
  </si>
  <si>
    <t>ACI 318-19, 13.3.3.3 y R13.3.3.3, pág. 204</t>
  </si>
  <si>
    <t>As requerida por flexión</t>
  </si>
  <si>
    <t>CALCULADA = (0.85 f'c b d / fy)[1 − √(1 − 2Mu/(φ 0.85 f'c b d²))], φ = 0.90. Si sale 9999 la sección no alcanza.</t>
  </si>
  <si>
    <t>ACI 318-19, 22.2 y 22.3</t>
  </si>
  <si>
    <t>As mínima = 0.0018 b h</t>
  </si>
  <si>
    <t>ACI 318-19, 8.6.1.1 y 7.6.1.1</t>
  </si>
  <si>
    <t>As de diseño</t>
  </si>
  <si>
    <t>CALCULADA = máx(As req, As mín) × factor de franja.</t>
  </si>
  <si>
    <t>Varillas necesarias</t>
  </si>
  <si>
    <t>pzas</t>
  </si>
  <si>
    <t>CALCULADA = As / área de una varilla, hacia arriba.</t>
  </si>
  <si>
    <t>Separación calculada</t>
  </si>
  <si>
    <t>CALCULADA repartiendo el ancho útil entre los espacios, redondeada hacia abajo al paso de DATOS.</t>
  </si>
  <si>
    <t>Separación máxima = menor de 2h y 45 cm</t>
  </si>
  <si>
    <t>ACI 318-19, 8.7.2.2</t>
  </si>
  <si>
    <t>Separación mínima centro a centro</t>
  </si>
  <si>
    <t>CALCULADA = db + separación libre mínima (25 mm, db o 4/3 del agregado).</t>
  </si>
  <si>
    <t>SEPARACIÓN ADOPTADA</t>
  </si>
  <si>
    <t>CALCULADA: la tuya si la capturaste; si no, la menor entre la calculada y la máxima.</t>
  </si>
  <si>
    <t>Varillas que entran con esa separación</t>
  </si>
  <si>
    <t>CALCULADA = (ancho − 2 r_lat − db)/s + 1.</t>
  </si>
  <si>
    <t>As colocada</t>
  </si>
  <si>
    <t>¿El armado cubre el As de diseño?</t>
  </si>
  <si>
    <t>As colocada ≥ As de diseño.</t>
  </si>
  <si>
    <t>ACI 318-19, 8.6.1.1 y 13.3.3.3</t>
  </si>
  <si>
    <t>¿La separación está dentro de los límites?</t>
  </si>
  <si>
    <t>Máxima por flexión y mínima por colado.</t>
  </si>
  <si>
    <t>ACI 318-19, 8.7.2.2 y 25.2.1</t>
  </si>
  <si>
    <t>a — profundidad del bloque de compresión</t>
  </si>
  <si>
    <t>ACI 318-19, 22.2.2.4.1</t>
  </si>
  <si>
    <t>εt — deformación del acero de tensión</t>
  </si>
  <si>
    <t>CALCULADA con c = a/β₁.</t>
  </si>
  <si>
    <t>ACI 318-19, 22.2.2.1</t>
  </si>
  <si>
    <t>φ según εt</t>
  </si>
  <si>
    <t>CALCULADA: 0.90 si εt ≥ εty + 0.003.</t>
  </si>
  <si>
    <t>ACI 318-19, Tabla 21.2.2</t>
  </si>
  <si>
    <t>φMn con el armado colocado</t>
  </si>
  <si>
    <t>ACI 318-19, 22.3</t>
  </si>
  <si>
    <t>φMn contra Mu y sección controlada por tensión</t>
  </si>
  <si>
    <t>φMn ≥ Mu con φ = 0.90.</t>
  </si>
  <si>
    <t>ACI 318-19, 7.3.3.1, 21.2.2 y 22.3</t>
  </si>
  <si>
    <t>ARMADO ‖ X</t>
  </si>
  <si>
    <t>Es lo que va al plano y al croquis.</t>
  </si>
  <si>
    <t>Resultado</t>
  </si>
  <si>
    <t>8. FLEXIÓN Y ARMADO — varillas ‖ Y (momento en la cara del dado, en todo el ancho Lx)</t>
  </si>
  <si>
    <t>Mu en la sección crítica, ‖ Y</t>
  </si>
  <si>
    <t>ARMADO ‖ Y</t>
  </si>
  <si>
    <t>9. CORTANTE EN UNA DIRECCIÓN — sección crítica a d de la cara del dado</t>
  </si>
  <si>
    <t>Vu en la sección crítica, dirección X</t>
  </si>
  <si>
    <t>CALCULADA con la presión neta factorizada más allá de la sección crítica, en todo el ancho Ly.</t>
  </si>
  <si>
    <t>ρw con el armado colocado ‖ X</t>
  </si>
  <si>
    <t>CALCULADA = As / (b d).</t>
  </si>
  <si>
    <t>ACI 318-19, 22.5.5.1</t>
  </si>
  <si>
    <t>λs para dx</t>
  </si>
  <si>
    <t>ACI 318-19, 13.2.6.2, pág. 200</t>
  </si>
  <si>
    <t>Vc = 0.66 λs λ ρw^⅓ √f'c b d</t>
  </si>
  <si>
    <t>CALCULADA en MPa → kg/cm² → t. Es la ecuación para miembros sin refuerzo por cortante (Av &lt; Av,mín).</t>
  </si>
  <si>
    <t>ACI 318-19, Tabla 22.5.5.1(c)</t>
  </si>
  <si>
    <t>Vc máximo = 0.42 λ √f'c b d</t>
  </si>
  <si>
    <t>ACI 318-19, 22.5.5.1.1</t>
  </si>
  <si>
    <t>φVc</t>
  </si>
  <si>
    <t>Revisión por cortante en una dirección, X</t>
  </si>
  <si>
    <t>Vu ≤ φVc. Más acero también sube ρw y con ello Vc.</t>
  </si>
  <si>
    <t>ACI 318-19, 22.5.1.1</t>
  </si>
  <si>
    <t>Vu en la sección crítica, dirección Y</t>
  </si>
  <si>
    <t>CALCULADA con la presión neta factorizada más allá de la sección crítica, en todo el ancho Lx.</t>
  </si>
  <si>
    <t>ρw con el armado colocado ‖ Y</t>
  </si>
  <si>
    <t>λs para dy</t>
  </si>
  <si>
    <t>Revisión por cortante en una dirección, Y</t>
  </si>
  <si>
    <t>10. PARRILLA SUPERIOR Y MOMENTO NEGATIVO POR DESPEGUE</t>
  </si>
  <si>
    <t>Momento con tensión arriba, franja ‖ X</t>
  </si>
  <si>
    <t>CALCULADA en el lado ligero: peso factorizado de zapata y relleno menos la reacción del suelo. Positivo = tensión arriba.</t>
  </si>
  <si>
    <t>ACI 318-19, 13.2.6.6, pág. 201</t>
  </si>
  <si>
    <t>Momento con tensión arriba, franja ‖ Y</t>
  </si>
  <si>
    <t>Momento negativo por metro de ancho que rige</t>
  </si>
  <si>
    <t>d de la parrilla superior</t>
  </si>
  <si>
    <t>CALCULADA = h − r_sup − db (promedio de los dos lechos).</t>
  </si>
  <si>
    <t>As superior requerida por cálculo</t>
  </si>
  <si>
    <t>cm²/m</t>
  </si>
  <si>
    <t>CALCULADA con b = 100 cm.</t>
  </si>
  <si>
    <t>As superior de diseño</t>
  </si>
  <si>
    <t>CALCULADA. Si el cálculo pide acero arriba: el mínimo 0.0018 b h en la cara en tensión. Si no: práctica de 0.0009 b h (mitad del mínimo).</t>
  </si>
  <si>
    <t>ACI 318-19, 8.6.1.1 · práctica</t>
  </si>
  <si>
    <t>Separación de la parrilla superior (ambos sentidos)</t>
  </si>
  <si>
    <t>Varillas superiores ‖ X</t>
  </si>
  <si>
    <t>Varillas superiores ‖ Y</t>
  </si>
  <si>
    <t>¿La parrilla superior es coherente con el cálculo?</t>
  </si>
  <si>
    <t>Si alguna combinación despega la zapata, el voladizo ligero cuelga de la zapata y pide acero arriba.</t>
  </si>
  <si>
    <t>ARMADO SUPERIOR</t>
  </si>
  <si>
    <t>Resultado.</t>
  </si>
  <si>
    <t>11. LONGITUD DE DESARROLLO DEL LECHO INFERIOR — desde la cara del dado</t>
  </si>
  <si>
    <t>ψc — factor por resistencia del concreto (ganchos)</t>
  </si>
  <si>
    <t>ACI 318-19, Tabla 25.4.3.2</t>
  </si>
  <si>
    <t>Longitud disponible ‖ X</t>
  </si>
  <si>
    <t>CALCULADA = volado − r_lat.</t>
  </si>
  <si>
    <t>ACI 318-19, 13.2.8.3, pág. 203</t>
  </si>
  <si>
    <t>cb — recubrimiento o media separación ‖ X</t>
  </si>
  <si>
    <t>CALCULADA: el menor entre recubrimiento al centro de la varilla y media separación.</t>
  </si>
  <si>
    <t>ACI 318-19, 25.4.2.4</t>
  </si>
  <si>
    <t>ld recta ‖ X</t>
  </si>
  <si>
    <t>CALCULADA = [fy/(1.1λ√f'c)]·[ψt ψe ψs ψg/((cb+Ktr)/db)]·db, Ktr = 0, ψt = ψe = 1, ψs = 0.8 hasta el #6; mínimo 300 mm.</t>
  </si>
  <si>
    <t>ACI 318-19, 25.4.2.4 y Tabla 25.4.2.5</t>
  </si>
  <si>
    <t>ldh con gancho estándar ‖ X</t>
  </si>
  <si>
    <t>CALCULADA = (fy ψe ψr ψo ψc/(23λ√f'c))·db^1.5 (db en mm), mínimo 8db y 150 mm.</t>
  </si>
  <si>
    <t>ACI 318-19, 25.4.3.1 y Tabla 25.4.3.2</t>
  </si>
  <si>
    <t>Remate ‖ X</t>
  </si>
  <si>
    <t>ACI 318-19, 13.2.8, pág. 203</t>
  </si>
  <si>
    <t>h necesario si el gancho va vertical ‖ X</t>
  </si>
  <si>
    <t>CALCULADA ≈ r + (doblez + 12db ≈ 16db) + r_sup. Sólo importa si el remate es gancho.</t>
  </si>
  <si>
    <t>ACI 318-19, 25.3.1 (Tabla 25.3.1)</t>
  </si>
  <si>
    <t>Desarrollo ‖ X</t>
  </si>
  <si>
    <t>La varilla debe desarrollarse a cada lado de la sección crítica.</t>
  </si>
  <si>
    <t>ACI 318-19, 13.2.8.2 y 13.2.8.3, pág. 203</t>
  </si>
  <si>
    <t>Longitud disponible ‖ Y</t>
  </si>
  <si>
    <t>cb — recubrimiento o media separación ‖ Y</t>
  </si>
  <si>
    <t>ld recta ‖ Y</t>
  </si>
  <si>
    <t>ldh con gancho estándar ‖ Y</t>
  </si>
  <si>
    <t>Remate ‖ Y</t>
  </si>
  <si>
    <t>h necesario si el gancho va vertical ‖ Y</t>
  </si>
  <si>
    <t>Desarrollo ‖ Y</t>
  </si>
  <si>
    <t>12. TRANSFERENCIA DADO–ZAPATA: APLASTAMIENTO Y DOVELAS</t>
  </si>
  <si>
    <t>A₁ — área cargada (dado)</t>
  </si>
  <si>
    <t>ACI 318-19, 22.8.3.2</t>
  </si>
  <si>
    <t>A₂ — base del tronco de pirámide 1:2 dentro de la zapata</t>
  </si>
  <si>
    <t>CALCULADA con pendiente 1 vertical : 2 horizontal a lo largo del peralte h.</t>
  </si>
  <si>
    <t>ACI 318-19, 22.8.3.2 (Tabla 22.8.3.2)</t>
  </si>
  <si>
    <t>√(A₂/A₁) ≤ 2</t>
  </si>
  <si>
    <t>ACI 318-19, Tabla 22.8.3.2</t>
  </si>
  <si>
    <t>φBn — aplastamiento resistente</t>
  </si>
  <si>
    <t>CALCULADA = φ 0.85 f'c A₁ √(A₂/A₁), φ = 0.65.</t>
  </si>
  <si>
    <t>ACI 318-19, 22.8.3.2 y Tabla 21.2.1(d)</t>
  </si>
  <si>
    <t>Pu máxima sobre la zapata</t>
  </si>
  <si>
    <t>CALCULADA = sección 4.</t>
  </si>
  <si>
    <t>Aplastamiento en la cara de la zapata</t>
  </si>
  <si>
    <t>φBn ≥ Pu.</t>
  </si>
  <si>
    <t>ACI 318-19, 16.3.3 y 22.8</t>
  </si>
  <si>
    <t>As mínima de dovelas = 0.005 A_dado</t>
  </si>
  <si>
    <t>ACI 318-19, 16.3.4.1</t>
  </si>
  <si>
    <t>Dovelas mínimas con la varilla del dado</t>
  </si>
  <si>
    <t>ldc — desarrollo a compresión de la dovela</t>
  </si>
  <si>
    <t>CALCULADA = máx(0.24 fy/(λ√f'c)·db ; 0.043 fy db ; 200 mm), ψr = 1. El gancho no cuenta a compresión.</t>
  </si>
  <si>
    <t>ACI 318-19, 25.4.9.1 y 25.4.9.2</t>
  </si>
  <si>
    <t>Peralte disponible para la dovela</t>
  </si>
  <si>
    <t>CALCULADA = h − r − los dos lechos (la dovela se apoya en la parrilla).</t>
  </si>
  <si>
    <t>Desarrollo de las dovelas dentro de la zapata</t>
  </si>
  <si>
    <t>Suele ser la revisión que manda el peralte en zapatas chicas.</t>
  </si>
  <si>
    <t>ACI 318-19, 13.2.2.1, pág. 199 · 16.3.5.1</t>
  </si>
  <si>
    <t>h mínimo por dovelas</t>
  </si>
  <si>
    <t>DOVELAS</t>
  </si>
  <si>
    <t>Resultado. Lo normal es que las dovelas sean las mismas varillas del dado.</t>
  </si>
  <si>
    <t>13. ARMADO QUE SE ADOPTA — el que va al plano, al croquis y al RESUMEN</t>
  </si>
  <si>
    <t>Zapata</t>
  </si>
  <si>
    <t>Secciones 1 a 5</t>
  </si>
  <si>
    <t>Lecho inferior</t>
  </si>
  <si>
    <t>Secciones 7 y 8</t>
  </si>
  <si>
    <t>Remate de las varillas inferiores</t>
  </si>
  <si>
    <t>Sección 11</t>
  </si>
  <si>
    <t>Parrilla superior</t>
  </si>
  <si>
    <t>Sección 10</t>
  </si>
  <si>
    <t>Dovelas</t>
  </si>
  <si>
    <t>Sección 12</t>
  </si>
  <si>
    <t>Revisiones en rojo en esta hoja</t>
  </si>
  <si>
    <t>CALCULADA. Si es mayor que cero, busca las celdas en rojo.</t>
  </si>
  <si>
    <t>ZAPATA AISLADA LIGADA CON CONTRATRABES — ACI 318-19</t>
  </si>
  <si>
    <t>Se capturan sólo las celdas amarillas de las secciones 1 y 2 y 13; cargas, materiales y suelo vienen de DATOS. A la derecha (columnas H a N) está la tabla por combinación de donde salen los valores que rigen.</t>
  </si>
  <si>
    <t>POR QUÉ LA CONTRATRABE: con la columna empotrada en la base, a la zapata le llega momento. La contratrabe liga las zapatas y se lleva la fracción α del momento y del cortante de la base; la zapata queda trabajando casi a carga axial y sale más chica. Con α = 1.00 (práctica usual) la zapata se diseña sólo por carga axial y la contratrabe por todo el momento.</t>
  </si>
  <si>
    <t>α — fracción del momento y del cortante de la base que toma la contratrabe</t>
  </si>
  <si>
    <t>CAPTURA. 1.00 = la contratrabe se lleva todo (práctica usual); con menos, la zapata toma (1 − α).</t>
  </si>
  <si>
    <t>Criterio de diseño — la contratrabe se revisa en la sección 13</t>
  </si>
  <si>
    <t>BLOQUE U — CONTRATRABE (por contratrabe)</t>
  </si>
  <si>
    <t>M que toma la contratrabe en X = α(|My| + |Vx|·brazo)/n</t>
  </si>
  <si>
    <t>M que toma la contratrabe en Y = α(|Mx| + |Vy|·brazo)/n</t>
  </si>
  <si>
    <t>w_u sobre la contratrabe = γD·w_D</t>
  </si>
  <si>
    <t>Mu arriba (extremo), X</t>
  </si>
  <si>
    <t>Mu abajo, X</t>
  </si>
  <si>
    <t>Vu, X</t>
  </si>
  <si>
    <t>Mu arriba (extremo), Y</t>
  </si>
  <si>
    <t>Mu abajo, Y</t>
  </si>
  <si>
    <t>Vu, Y</t>
  </si>
  <si>
    <t>Nu de amarre = máx(fracción·Pu ; α·V)</t>
  </si>
  <si>
    <t>13. CONTRATRABE DE LIGA — captura y diseño (ACI 318-19 cap. 9, 18.13.3 y 18.6)</t>
  </si>
  <si>
    <t>b — ancho de la contratrabe</t>
  </si>
  <si>
    <t>h — peralte de la contratrabe</t>
  </si>
  <si>
    <t>Claro libre de la contratrabe en X (entre paños de dados)</t>
  </si>
  <si>
    <t>Retícula del proyecto</t>
  </si>
  <si>
    <t>Claro libre de la contratrabe en Y</t>
  </si>
  <si>
    <t>Contratrabes por dirección que se reparten el momento</t>
  </si>
  <si>
    <t>CAPTURA (lista). 1 = columna de orilla o criterio conservador; 2 = columna interior con contratrabe a cada lado.</t>
  </si>
  <si>
    <t>Criterio de diseño</t>
  </si>
  <si>
    <t>Recubrimiento libre de la contratrabe</t>
  </si>
  <si>
    <t>CAPTURA. En contacto con el suelo, cimbrada: 50 mm.</t>
  </si>
  <si>
    <t>Varilla longitudinal</t>
  </si>
  <si>
    <t>Varilla del estribo</t>
  </si>
  <si>
    <t>Ramas del estribo</t>
  </si>
  <si>
    <t>Fuerza de amarre como fracción de Pu</t>
  </si>
  <si>
    <t>CAPTURA. Tensión o compresión mínima de la liga entre zapatas (10 % de la carga de la columna más cargada).</t>
  </si>
  <si>
    <t>ACI 318-19, 18.13.3 · ASCE/SEI 7-16 §12.13.8.1 (por analogía)</t>
  </si>
  <si>
    <t>¿Detallado sísmico de la contratrabe?</t>
  </si>
  <si>
    <t>CAPTURA (lista). SÍ cuando la contratrabe toma momento de columnas del sistema sismorresistente: aplica 18.6 (cortante por capacidad y confinamiento).</t>
  </si>
  <si>
    <t>ACI 318-19, 18.13.3.3</t>
  </si>
  <si>
    <t>Carga muerta adicional sobre la contratrabe (muro, firme)</t>
  </si>
  <si>
    <t>CAPTURA. 0 si no carga nada.</t>
  </si>
  <si>
    <t>Bajada de cargas</t>
  </si>
  <si>
    <t>db longitudinal</t>
  </si>
  <si>
    <t>Área de una varilla longitudinal</t>
  </si>
  <si>
    <t>db del estribo</t>
  </si>
  <si>
    <t>Área de una rama de estribo</t>
  </si>
  <si>
    <t>d — peralte efectivo</t>
  </si>
  <si>
    <t>CALCULADA = h − r − estribo − db/2.</t>
  </si>
  <si>
    <t>w_D — peso propio + carga adicional</t>
  </si>
  <si>
    <t>Mu con tensión arriba (extremo)</t>
  </si>
  <si>
    <t>CALCULADA = α·M_base/n + w_u·Ln²/12, la mayor de las dos direcciones.</t>
  </si>
  <si>
    <t>Mu con tensión abajo (inversión por sismo o centro del claro)</t>
  </si>
  <si>
    <t>CALCULADA = máx(α·M_base/n − w_u·Ln²/12 ; w_u·Ln²/24).</t>
  </si>
  <si>
    <t>Vu de análisis</t>
  </si>
  <si>
    <t>CALCULADA = 2·α·M_base/(n·Ln) + w_u·Ln/2.</t>
  </si>
  <si>
    <t>Nu — fuerza axial de amarre</t>
  </si>
  <si>
    <t>CALCULADA = máx(fracción · Pu ; α · V de la base).</t>
  </si>
  <si>
    <t>ACI 318-19, 18.13.3</t>
  </si>
  <si>
    <t>As por la fuerza axial (se reparte mitad arriba, mitad abajo)</t>
  </si>
  <si>
    <t>CALCULADA = Nu/(φ fy).</t>
  </si>
  <si>
    <t>ACI 318-19, 22.4</t>
  </si>
  <si>
    <t>As por flexión arriba</t>
  </si>
  <si>
    <t>CALCULADA con φ = 0.90.</t>
  </si>
  <si>
    <t>As por flexión abajo</t>
  </si>
  <si>
    <t>As mínima de viga</t>
  </si>
  <si>
    <t>CALCULADA = máx(0.25√f'c/fy ; 1.4/fy)·b·d, en MPa.</t>
  </si>
  <si>
    <t>ACI 318-19, 9.6.1.2</t>
  </si>
  <si>
    <t>As arriba de diseño</t>
  </si>
  <si>
    <t>Varillas arriba</t>
  </si>
  <si>
    <t>CALCULADA. Mínimo 2 corridas.</t>
  </si>
  <si>
    <t>ACI 318-19, 18.6.3.1</t>
  </si>
  <si>
    <t>As abajo de diseño</t>
  </si>
  <si>
    <t>CALCULADA. Con detallado sísmico, el acero de abajo es al menos la mitad del de arriba (M+ ≥ ½ M− en el paño).</t>
  </si>
  <si>
    <t>ACI 318-19, 18.6.3.2</t>
  </si>
  <si>
    <t>Varillas abajo</t>
  </si>
  <si>
    <t>Separación libre entre varillas del lecho más cargado</t>
  </si>
  <si>
    <t>¿Caben en una sola capa?</t>
  </si>
  <si>
    <t>Separación libre ≥ máx(25 mm, db, 4/3 agregado).</t>
  </si>
  <si>
    <t>ρ arriba</t>
  </si>
  <si>
    <t>Cuantía máxima (0.025 con detallado sísmico)</t>
  </si>
  <si>
    <t>ρ ≤ 0.025.</t>
  </si>
  <si>
    <t>a — bloque de compresión, acero arriba disponible para flexión</t>
  </si>
  <si>
    <t>CALCULADA descontando la parte del acero que toma la fuerza axial.</t>
  </si>
  <si>
    <t>ACI 318-19, 22.2</t>
  </si>
  <si>
    <t>εt arriba</t>
  </si>
  <si>
    <t>φMn arriba</t>
  </si>
  <si>
    <t>ACI 318-19, 22.3 y Tabla 21.2.2</t>
  </si>
  <si>
    <t>Flexión arriba</t>
  </si>
  <si>
    <t>φMn ≥ Mu.</t>
  </si>
  <si>
    <t>ACI 318-19, 9.5.1.1</t>
  </si>
  <si>
    <t>a — bloque de compresión, acero abajo disponible para flexión</t>
  </si>
  <si>
    <t>εt abajo</t>
  </si>
  <si>
    <t>φMn abajo</t>
  </si>
  <si>
    <t>Flexión abajo</t>
  </si>
  <si>
    <t>Mpr arriba (1.25 fy, φ = 1)</t>
  </si>
  <si>
    <t>ACI 318-19, 18.6.5.1</t>
  </si>
  <si>
    <t>Mpr abajo (1.25 fy, φ = 1)</t>
  </si>
  <si>
    <t>Cortante por capacidad (Mpr⁺ + Mpr⁻)/Ln</t>
  </si>
  <si>
    <t>CALCULADA con el claro más corto.</t>
  </si>
  <si>
    <t>Ve = Vpr + 1.2 w_D Ln/2</t>
  </si>
  <si>
    <t>Vu de diseño</t>
  </si>
  <si>
    <t>CALCULADA: con detallado sísmico manda el cortante por capacidad.</t>
  </si>
  <si>
    <t>Vc = (0.17 λ√f'c − Nu/6Ag) b d</t>
  </si>
  <si>
    <t>CALCULADA con la fuerza de amarre como tensión (del lado seguro).</t>
  </si>
  <si>
    <t>ACI 318-19, Tabla 22.5.5.1(a)</t>
  </si>
  <si>
    <t>Vc que se considera</t>
  </si>
  <si>
    <t>CALCULADA: con detallado sísmico Vc = 0 cuando el cortante sísmico es ≥ la mitad del de diseño.</t>
  </si>
  <si>
    <t>ACI 318-19, 18.6.5.2</t>
  </si>
  <si>
    <t>Vs requerido</t>
  </si>
  <si>
    <t>CALCULADA = Vu/φ − Vc.</t>
  </si>
  <si>
    <t>Límite de la sección por cortante</t>
  </si>
  <si>
    <t>Vs ≤ 0.66√f'c b d.</t>
  </si>
  <si>
    <t>ACI 318-19, 22.5.1.2</t>
  </si>
  <si>
    <t>Separación por resistencia</t>
  </si>
  <si>
    <t>CALCULADA = Av fy d / Vs.</t>
  </si>
  <si>
    <t>ACI 318-19, 22.5.8.5.3</t>
  </si>
  <si>
    <t>Separación por Av,mín</t>
  </si>
  <si>
    <t>CALCULADA con Av,mín/s = máx(0.062√f'c ; 0.35)·b/fyt.</t>
  </si>
  <si>
    <t>ACI 318-19, Tabla 9.6.3.4</t>
  </si>
  <si>
    <t>Separación máxima</t>
  </si>
  <si>
    <t>CALCULADA: d/2 ≤ 60 cm (d/4 ≤ 30 cm si Vs &gt; 0.33√f'c b d).</t>
  </si>
  <si>
    <t>ACI 318-19, Tabla 9.7.6.2.2</t>
  </si>
  <si>
    <t>Separación máxima de liga sísmica</t>
  </si>
  <si>
    <t>CALCULADA = menor de ½ de la menor dimensión y 300 mm.</t>
  </si>
  <si>
    <t>ACI 318-19, 18.13.3.2</t>
  </si>
  <si>
    <t>SEPARACIÓN EN EL CENTRO DEL CLARO</t>
  </si>
  <si>
    <t>SEPARACIÓN EN LA ZONA CONFINADA (2h desde cada paño)</t>
  </si>
  <si>
    <t>CALCULADA = menor de d/4, 6db y 150 mm; primer estribo a 5 cm del paño.</t>
  </si>
  <si>
    <t>ACI 318-19, 18.6.4.1 y 18.6.4.4</t>
  </si>
  <si>
    <t>Longitud de la zona confinada</t>
  </si>
  <si>
    <t>CALCULADA = 2h.</t>
  </si>
  <si>
    <t>ACI 318-19, 18.6.4.1</t>
  </si>
  <si>
    <t>Dimensiones de la liga sísmica</t>
  </si>
  <si>
    <t>Menor dimensión ≥ claro/20 (≤ 45 cm); b ≥ menor de 0.3h y 25 cm; Ln ≥ 4d.</t>
  </si>
  <si>
    <t>ACI 318-19, 18.13.3.2 y 18.6.2.1</t>
  </si>
  <si>
    <t>ld de la varilla longitudinal arriba (ψt = 1.3 si hay &gt; 30 cm de concreto abajo)</t>
  </si>
  <si>
    <t>Anclaje de la contratrabe en el dado</t>
  </si>
  <si>
    <t>Las varillas deben ser continuas y desarrollarse dentro o más allá de la columna.</t>
  </si>
  <si>
    <t>ACI 318-19, 18.13.3.1</t>
  </si>
  <si>
    <t>ARMADO LONGITUDINAL DE LA CONTRATRABE</t>
  </si>
  <si>
    <t>ESTRIBOS DE LA CONTRATRABE</t>
  </si>
  <si>
    <t>14. ARMADO QUE SE ADOPTA — el que va al plano, al croquis y al RESUMEN</t>
  </si>
  <si>
    <t>ZAPATA CORRIDA BAJO MURO — ACI 318-19 (por metro de longitud)</t>
  </si>
  <si>
    <t>TABLA POR COMBINACIÓN — por metro de muro</t>
  </si>
  <si>
    <t>Bloque S con carga total (incluye zapata, relleno y muro enterrado por su γD); bloque U con presión neta para el diseño estructural (ACI 13.2.6.3).</t>
  </si>
  <si>
    <t>Se capturan sólo las celdas amarillas de las secciones 1 y 2; las cargas por metro vienen de DATOS (sección 7). A la derecha (columnas H a N) está la tabla por combinación.</t>
  </si>
  <si>
    <t>1. GEOMETRÍA (por metro de muro)</t>
  </si>
  <si>
    <t>B — ancho de la zapata</t>
  </si>
  <si>
    <t>CAPTURA. Se ajusta hasta que la presión de la sección 5 quede abajo de qa.</t>
  </si>
  <si>
    <t>h — peralte total</t>
  </si>
  <si>
    <t>Propuesta — se verifica en las secciones 6 y 7</t>
  </si>
  <si>
    <t>w del muro</t>
  </si>
  <si>
    <t>t — ancho del muro (o del dado corrido) sobre la zapata</t>
  </si>
  <si>
    <t>M del muro</t>
  </si>
  <si>
    <t>Tipo de muro que se apoya</t>
  </si>
  <si>
    <t>MAMPOSTERÍA</t>
  </si>
  <si>
    <t>CAPTURA (lista). Define la sección crítica: cara del muro si es de concreto; a la mitad entre el eje y la cara si es de mampostería.</t>
  </si>
  <si>
    <t>V del muro</t>
  </si>
  <si>
    <t>γ del muro o dado bajo el terreno</t>
  </si>
  <si>
    <t>CAPTURA. Del nivel de terreno a la cara de la zapata.</t>
  </si>
  <si>
    <t>Práctica</t>
  </si>
  <si>
    <t>γD · ΣW</t>
  </si>
  <si>
    <t>CAPTURA. Colado contra el suelo: 75 mm.</t>
  </si>
  <si>
    <t>w total</t>
  </si>
  <si>
    <t>r_lat — recubrimiento en las puntas</t>
  </si>
  <si>
    <t>M en el desplante = M + V·Df</t>
  </si>
  <si>
    <t>Tramo de zapata que se dibuja en el croquis</t>
  </si>
  <si>
    <t>CAPTURA. Sólo para el dibujo.</t>
  </si>
  <si>
    <t>CROQUIS</t>
  </si>
  <si>
    <t>e = M / w</t>
  </si>
  <si>
    <t>Sección crítica, distancia al eje del muro</t>
  </si>
  <si>
    <t>CALCULADA: t/2 (cara) para concreto; t/4 (mitad entre eje y cara) para mampostería.</t>
  </si>
  <si>
    <t>q mín</t>
  </si>
  <si>
    <t>Volado de cálculo desde la sección crítica</t>
  </si>
  <si>
    <t>I de la base por metro de muro</t>
  </si>
  <si>
    <t>m⁴/m</t>
  </si>
  <si>
    <t>CALCULADA = 1·B³/12.</t>
  </si>
  <si>
    <t>q adm</t>
  </si>
  <si>
    <t>CALCULADA = Df (la carga llega al nivel de terreno).</t>
  </si>
  <si>
    <t>Revisión de datos.</t>
  </si>
  <si>
    <t>FS volteo = B/(2e)</t>
  </si>
  <si>
    <t>FS deslizamiento = μ w / V</t>
  </si>
  <si>
    <t>2. VARILLAS Y PERALTE EFECTIVO</t>
  </si>
  <si>
    <t>BLOQUE U — RESISTENCIA</t>
  </si>
  <si>
    <t>Varilla transversal (principal, lecho inferior)</t>
  </si>
  <si>
    <t>Varilla longitudinal (por temperatura, encima de la transversal)</t>
  </si>
  <si>
    <t>Separación transversal que tú fijas (0 = la calcula la hoja)</t>
  </si>
  <si>
    <t>db transversal</t>
  </si>
  <si>
    <t>wu del muro</t>
  </si>
  <si>
    <t>Área de una varilla transversal</t>
  </si>
  <si>
    <t>Mu del muro</t>
  </si>
  <si>
    <t>Vu del muro</t>
  </si>
  <si>
    <t>wu sobre la zapata = wu + γD·W_muro</t>
  </si>
  <si>
    <t>d — peralte efectivo de la transversal</t>
  </si>
  <si>
    <t>CALCULADA = h − r − db/2.</t>
  </si>
  <si>
    <t>Mínimo 150 mm.</t>
  </si>
  <si>
    <t>w_u repartido</t>
  </si>
  <si>
    <t>w total factorizada</t>
  </si>
  <si>
    <t>3. PESOS POR METRO (servicio)</t>
  </si>
  <si>
    <t>Mu en el desplante = M + V·Df</t>
  </si>
  <si>
    <t>W_zap — zapata</t>
  </si>
  <si>
    <t>CALCULADA = B · h · γc.</t>
  </si>
  <si>
    <t>W_rell — relleno a los lados del muro</t>
  </si>
  <si>
    <t>CALCULADA = (B − t) · h_rell · γs.</t>
  </si>
  <si>
    <t>W_muro — muro o dado bajo el terreno</t>
  </si>
  <si>
    <t>CALCULADA = t · h_rell · γm.</t>
  </si>
  <si>
    <t>ΣW</t>
  </si>
  <si>
    <t>CALCULADA. En cada combinación se multiplica por su γD.</t>
  </si>
  <si>
    <t>4. ANCHO MÍNIMO SUGERIDO (orientativo)</t>
  </si>
  <si>
    <t>q_neta — capacidad que queda para el muro</t>
  </si>
  <si>
    <t>CALCULADA = qa − (h·γc + h_rell·γs).</t>
  </si>
  <si>
    <t>w de servicio S1 + muro enterrado</t>
  </si>
  <si>
    <t>COMBINACIONES, sección 3</t>
  </si>
  <si>
    <t>B mínimo con carga concéntrica</t>
  </si>
  <si>
    <t>CALCULADA = w / q_neta.</t>
  </si>
  <si>
    <t>¿El ancho capturado alcanza para la carga concéntrica?</t>
  </si>
  <si>
    <t>Primer filtro.</t>
  </si>
  <si>
    <t>5. PRESIONES DE SERVICIO, VOLTEO Y DESLIZAMIENTO (bloque S de la tabla)</t>
  </si>
  <si>
    <t>q_máx que rige</t>
  </si>
  <si>
    <t>CALCULADA. e ≤ B/6: P/B(1 + 6e/B); e &gt; B/6: 2P/(3(B/2 − e)).</t>
  </si>
  <si>
    <t>Bowles 5ª ed., §8.10, págs. 449–453</t>
  </si>
  <si>
    <t>Cada combinación contra su q_adm.</t>
  </si>
  <si>
    <t>q_mín (0 = despegue)</t>
  </si>
  <si>
    <t>Con carga sostenida (S1), ¿toda la zapata está comprimida?</t>
  </si>
  <si>
    <t>e ≤ B/6 con D + L.</t>
  </si>
  <si>
    <t>w total mínima sobre el terreno</t>
  </si>
  <si>
    <t>Carga total a compresión.</t>
  </si>
  <si>
    <t>FS al volteo mínimo = B/(2e)</t>
  </si>
  <si>
    <t>Contra el FS de DATOS.</t>
  </si>
  <si>
    <t>FS al deslizamiento mínimo = μ w / V</t>
  </si>
  <si>
    <t>CALCULADA. Sin empuje pasivo.</t>
  </si>
  <si>
    <t>6. FLEXIÓN TRANSVERSAL (por metro)</t>
  </si>
  <si>
    <t>Mu en la sección crítica</t>
  </si>
  <si>
    <t>CALCULADA con presión neta factorizada en todo el volado.</t>
  </si>
  <si>
    <t>As requerida</t>
  </si>
  <si>
    <t>CALCULADA con b = 100 cm, φ = 0.90.</t>
  </si>
  <si>
    <t>ACI 318-19, 7.6.1.1</t>
  </si>
  <si>
    <t>CALCULADA = área de varilla / As por cm, redondeada.</t>
  </si>
  <si>
    <t>Separación máxima = menor de 3h y 45 cm</t>
  </si>
  <si>
    <t>ACI 318-19, 7.7.2.3</t>
  </si>
  <si>
    <t>Máxima y mínima.</t>
  </si>
  <si>
    <t>ACI 318-19, 7.7.2.3 y 25.2.1</t>
  </si>
  <si>
    <t>a — bloque de compresión</t>
  </si>
  <si>
    <t>εt</t>
  </si>
  <si>
    <t>φMn</t>
  </si>
  <si>
    <t>φMn contra Mu</t>
  </si>
  <si>
    <t>ACI 318-19, 7.3.3.1 y 22.3</t>
  </si>
  <si>
    <t>ARMADO TRANSVERSAL</t>
  </si>
  <si>
    <t>7. CORTANTE EN UNA DIRECCIÓN (por metro) — a d de la sección crítica</t>
  </si>
  <si>
    <t>Vu en la sección crítica</t>
  </si>
  <si>
    <t>ρw con el armado colocado</t>
  </si>
  <si>
    <t>λs</t>
  </si>
  <si>
    <t>CALCULADA en MPa → t.</t>
  </si>
  <si>
    <t>Revisión por cortante</t>
  </si>
  <si>
    <t>Vu ≤ φVc.</t>
  </si>
  <si>
    <t>Momento con tensión arriba (despegue)</t>
  </si>
  <si>
    <t>CALCULADA en el lado ligero.</t>
  </si>
  <si>
    <t>As superior que pediría ese momento</t>
  </si>
  <si>
    <t>CALCULADA con d = h − 5 cm − db/2. Si es mayor que cero, usa al menos 0.0018 b h arriba.</t>
  </si>
  <si>
    <t>ACI 318-19, 22.3 y 7.6.1.1</t>
  </si>
  <si>
    <t>¿Hace falta acero arriba?</t>
  </si>
  <si>
    <t>Sólo aparece con momentos grandes en el muro.</t>
  </si>
  <si>
    <t>8. REFUERZO LONGITUDINAL POR CONTRACCIÓN Y TEMPERATURA</t>
  </si>
  <si>
    <t>As longitudinal = 0.0018 B h</t>
  </si>
  <si>
    <t>CALCULADA sobre la sección transversal completa.</t>
  </si>
  <si>
    <t>ACI 318-19, 24.4.3.2</t>
  </si>
  <si>
    <t>Separación máxima = menor de 5h y 45 cm</t>
  </si>
  <si>
    <t>ACI 318-19, 24.4.3.3</t>
  </si>
  <si>
    <t>Varillas longitudinales</t>
  </si>
  <si>
    <t>ACI 318-19, 24.4.3.2 y 24.4.3.3 · 13.3.2.2, pág. 203</t>
  </si>
  <si>
    <t>Separación longitudinal</t>
  </si>
  <si>
    <t>CALCULADA: repartidas en todo el ancho.</t>
  </si>
  <si>
    <t>ACI 318-19, 13.3.2.2, pág. 203</t>
  </si>
  <si>
    <t>Refuerzo longitudinal</t>
  </si>
  <si>
    <t>As y separación.</t>
  </si>
  <si>
    <t>ACI 318-19, 24.4.3</t>
  </si>
  <si>
    <t>ARMADO LONGITUDINAL</t>
  </si>
  <si>
    <t>9. DESARROLLO DE LA VARILLA TRANSVERSAL</t>
  </si>
  <si>
    <t>Longitud disponible desde la sección crítica</t>
  </si>
  <si>
    <t>cb</t>
  </si>
  <si>
    <t>ld recta</t>
  </si>
  <si>
    <t>CALCULADA (ψt = ψe = 1, Ktr = 0).</t>
  </si>
  <si>
    <t>ψc</t>
  </si>
  <si>
    <t>ldh con gancho estándar</t>
  </si>
  <si>
    <t>ACI 318-19, 25.4.3.1</t>
  </si>
  <si>
    <t>Remate</t>
  </si>
  <si>
    <t>h necesario si el gancho va vertical</t>
  </si>
  <si>
    <t>CALCULADA ≈ r + 16db + 5 cm arriba. Sólo importa si el remate es gancho.</t>
  </si>
  <si>
    <t>Desarrollo de la transversal</t>
  </si>
  <si>
    <t>Desarrollo a partir de la sección crítica.</t>
  </si>
  <si>
    <t>ACI 318-19, 13.2.8.2, pág. 203</t>
  </si>
  <si>
    <t>10. APLASTAMIENTO MURO–ZAPATA (por metro)</t>
  </si>
  <si>
    <t>A₁ — área cargada</t>
  </si>
  <si>
    <t>m²/m</t>
  </si>
  <si>
    <t>A₂ — tronco de pirámide 1:2</t>
  </si>
  <si>
    <t>φBn</t>
  </si>
  <si>
    <t>CALCULADA, φ = 0.65.</t>
  </si>
  <si>
    <t>wu máxima sobre la zapata</t>
  </si>
  <si>
    <t>Aplastamiento</t>
  </si>
  <si>
    <t>φBn ≥ wu.</t>
  </si>
  <si>
    <t>ACI 318-19, 22.8</t>
  </si>
  <si>
    <t>Anclaje del muro</t>
  </si>
  <si>
    <t>Recordatorio para el plano.</t>
  </si>
  <si>
    <t>ACI 318-19, 16.3.4.2</t>
  </si>
  <si>
    <t>11. ARMADO QUE SE ADOPTA</t>
  </si>
  <si>
    <t>Zapata corrida</t>
  </si>
  <si>
    <t>Transversal (lecho inferior)</t>
  </si>
  <si>
    <t>Secciones 6 y 9</t>
  </si>
  <si>
    <t>Longitudinal</t>
  </si>
  <si>
    <t>Sección 8</t>
  </si>
  <si>
    <t>CROQUIS DE LA CIMENTACIÓN — se redibuja solo con los datos</t>
  </si>
  <si>
    <t>Escoge el tipo en la celda amarilla. Las cotas están en metros; el armado es el que arrojó la hoja del tipo elegido.</t>
  </si>
  <si>
    <t>CÓMO SE LEE (sin depender de colores): línea gruesa = concreto; línea delgada = varilla; punto negro = varilla cortada; línea punteada = parrilla superior; raya-punto = eje; cada elemento lleva su flecha con rótulo. El corte A-A es a lo largo de X por el eje del dado (en la corrida, a través del ancho B).</t>
  </si>
  <si>
    <t>1. CIMENTACIÓN QUE SE DIBUJA</t>
  </si>
  <si>
    <t>Cimentación a dibujar</t>
  </si>
  <si>
    <t>1 · ZAPATA AISLADA</t>
  </si>
  <si>
    <t>AISLADA / AISLADA_CT / CORRIDA</t>
  </si>
  <si>
    <t>Cimentación</t>
  </si>
  <si>
    <t>Remate / parrilla superior</t>
  </si>
  <si>
    <t>Dovelas / anclaje del muro</t>
  </si>
  <si>
    <t>Contratrabe</t>
  </si>
  <si>
    <t>Revisiones en rojo en la hoja del tipo elegido</t>
  </si>
  <si>
    <t>Si no es cero, el croquis dibuja algo que todavía no cumple.</t>
  </si>
  <si>
    <t>Hoja del tipo elegido</t>
  </si>
  <si>
    <t>Estado del diseño dibujado</t>
  </si>
  <si>
    <t>2. DIBUJOS (planta y corte A-A con armado; planta y corte acotados; sección de la contratrabe)</t>
  </si>
  <si>
    <t>RESUMEN — LOS TRES TIPOS DE CIMENTACIÓN</t>
  </si>
  <si>
    <t>Todo sale de las hojas de cada tipo; aquí no se captura nada. El tipo que se dibuja se escoge en CROQUIS.</t>
  </si>
  <si>
    <t>CÓMO SE LEE: cada bloque trae la geometría, el armado que se adopta, las relaciones demanda/capacidad que mandan (≤ 1.00 cumple) y una cuantificación aproximada por zapata (o por metro). Si el estado dice NO CUMPLE, ve a la hoja del tipo y busca las celdas en rojo.</t>
  </si>
  <si>
    <t>0. DATOS COMUNES</t>
  </si>
  <si>
    <t>Materiales</t>
  </si>
  <si>
    <t>Suelo (datos propuestos, sin estudio)</t>
  </si>
  <si>
    <t>Acción accidental</t>
  </si>
  <si>
    <t>Tipo que se dibuja en CROQUIS</t>
  </si>
  <si>
    <t>1. ZAPATA AISLADA</t>
  </si>
  <si>
    <t>Remate de las varillas</t>
  </si>
  <si>
    <t>q_máx / q_adm</t>
  </si>
  <si>
    <t>Presión de servicio contra la admisible.</t>
  </si>
  <si>
    <t>Hoja AISLADA, sección 5</t>
  </si>
  <si>
    <t>FS mínimo al volteo / FS exigido</t>
  </si>
  <si>
    <t>≥ 1.00 cumple (se muestra hasta 10).</t>
  </si>
  <si>
    <t>FS mínimo al deslizamiento / FS exigido</t>
  </si>
  <si>
    <t>Penetración: vu / φvc</t>
  </si>
  <si>
    <t>≤ 1.00 cumple.</t>
  </si>
  <si>
    <t>Hoja AISLADA, sección 6 · ACI 318-19, 22.6</t>
  </si>
  <si>
    <t>Cortante en una dirección: Vu / φVc (la peor)</t>
  </si>
  <si>
    <t>Hoja AISLADA, sección 9 · ACI 318-19, Tabla 22.5.5.1</t>
  </si>
  <si>
    <t>Flexión: Mu / φMn (la peor)</t>
  </si>
  <si>
    <t>Hoja AISLADA, secciones 7 y 8</t>
  </si>
  <si>
    <t>Dovelas: ldc / peralte disponible</t>
  </si>
  <si>
    <t>Hoja AISLADA, sección 12 · ACI 318-19, 25.4.9</t>
  </si>
  <si>
    <t>Concreto de la zapata</t>
  </si>
  <si>
    <t>m³</t>
  </si>
  <si>
    <t>Lx · Ly · h.</t>
  </si>
  <si>
    <t>Cuantificación</t>
  </si>
  <si>
    <t>Concreto del dado</t>
  </si>
  <si>
    <t>cx · cy · H_dado.</t>
  </si>
  <si>
    <t>Acero de la zapata (lechos inferior y superior)</t>
  </si>
  <si>
    <t>kg</t>
  </si>
  <si>
    <t>Varillas × longitud (con ganchos si los lleva) × peso lineal. No incluye dovelas ni traslapes.</t>
  </si>
  <si>
    <t>ESTADO</t>
  </si>
  <si>
    <t>2. ZAPATA AISLADA LIGADA CON CONTRATRABES</t>
  </si>
  <si>
    <t>Contratrabe — longitudinal</t>
  </si>
  <si>
    <t>Contratrabe — estribos</t>
  </si>
  <si>
    <t>Hoja AISLADA_CT, sección 5</t>
  </si>
  <si>
    <t>Hoja AISLADA_CT, sección 6 · ACI 318-19, 22.6</t>
  </si>
  <si>
    <t>Hoja AISLADA_CT, sección 9 · ACI 318-19, Tabla 22.5.5.1</t>
  </si>
  <si>
    <t>Hoja AISLADA_CT, secciones 7 y 8</t>
  </si>
  <si>
    <t>Hoja AISLADA_CT, sección 12 · ACI 318-19, 25.4.9</t>
  </si>
  <si>
    <t>Contratrabe: concreto por metro</t>
  </si>
  <si>
    <t>m³/m</t>
  </si>
  <si>
    <t>b · h.</t>
  </si>
  <si>
    <t>Contratrabe: acero por metro (aprox.)</t>
  </si>
  <si>
    <t>kg/m</t>
  </si>
  <si>
    <t>Longitudinal + estribos con la separación del centro (la zona confinada lleva un poco más).</t>
  </si>
  <si>
    <t>3. ZAPATA CORRIDA BAJO MURO (por metro)</t>
  </si>
  <si>
    <t>Hoja CORRIDA, sección 5</t>
  </si>
  <si>
    <t>Cortante: Vu / φVc</t>
  </si>
  <si>
    <t>Hoja CORRIDA, sección 7</t>
  </si>
  <si>
    <t>Flexión: Mu / φMn</t>
  </si>
  <si>
    <t>Hoja CORRIDA, sección 6</t>
  </si>
  <si>
    <t>Concreto por metro</t>
  </si>
  <si>
    <t>B · h.</t>
  </si>
  <si>
    <t>Acero por metro</t>
  </si>
  <si>
    <t>Transversal + longitudinal.</t>
  </si>
  <si>
    <t>TABLAS AUXILIARES</t>
  </si>
  <si>
    <t>Todas las hojas leen de aquí con INDEX/MATCH. Las tablas 3 y 4 son de ORIENTACIÓN para capturar qa y μ mientras no haya estudio de mecánica de suelos.</t>
  </si>
  <si>
    <t>1. VARILLA CORRUGADA — GRADO 42 (fy = 4,200 kg/cm²)</t>
  </si>
  <si>
    <t>No. de varilla</t>
  </si>
  <si>
    <t>db (cm)</t>
  </si>
  <si>
    <t>As (cm²)</t>
  </si>
  <si>
    <t>Peso (kg/m)</t>
  </si>
  <si>
    <t>Equivalencia ACI 318-19 (SI) · referencia</t>
  </si>
  <si>
    <t>Sólo estribos · ≈ No. 8 (SI) — NMX-C-407-ONNCCE / ASTM A615M</t>
  </si>
  <si>
    <t>No. 10 (SI) — NMX-C-407-ONNCCE / ASTM A615M</t>
  </si>
  <si>
    <t>No. 13 (SI) — NMX-C-407-ONNCCE / ASTM A615M</t>
  </si>
  <si>
    <t>No. 16 (SI) — NMX-C-407-ONNCCE / ASTM A615M</t>
  </si>
  <si>
    <t>No. 19 (SI) — NMX-C-407-ONNCCE / ASTM A615M</t>
  </si>
  <si>
    <t>No. 25 (SI) — NMX-C-407-ONNCCE / ASTM A615M</t>
  </si>
  <si>
    <t>No. 32 (SI) — NMX-C-407-ONNCCE / ASTM A615M</t>
  </si>
  <si>
    <t>NMX (≈ No. 36 para los factores ψ) — NMX-C-407-ONNCCE / ASTM A615M</t>
  </si>
  <si>
    <t>La varilla 2.5 sólo se usa para estribos. Para los factores ψs de desarrollo (ACI 318-19, Tabla 25.4.2.5) cuentan como «No. 19 y menores» las del #6 para abajo.</t>
  </si>
  <si>
    <t>2. RECUBRIMIENTO ESPECIFICADO — ACI 318-19, Tabla 20.5.1.3.1 (concreto colado en sitio no preesforzado)</t>
  </si>
  <si>
    <t>Condición de exposición</t>
  </si>
  <si>
    <t>Elemento</t>
  </si>
  <si>
    <t>Refuerzo</t>
  </si>
  <si>
    <t>Recubrimiento (mm)</t>
  </si>
  <si>
    <t>Dónde se usa en este libro</t>
  </si>
  <si>
    <t>Colado contra el suelo y permanentemente en contacto con él</t>
  </si>
  <si>
    <t>Todos</t>
  </si>
  <si>
    <t>Lecho inferior y caras laterales de zapatas (AISLADA, AISLADA_CT, CORRIDA)</t>
  </si>
  <si>
    <t>Expuesto a la intemperie o en contacto con el suelo</t>
  </si>
  <si>
    <t>No. 19 a No. 57</t>
  </si>
  <si>
    <t>Cara superior de zapatas bajo relleno; contratrabes cimbradas</t>
  </si>
  <si>
    <t>No. 16 y menores</t>
  </si>
  <si>
    <t>Ídem, varilla #5 o menor</t>
  </si>
  <si>
    <t>No expuesto a la intemperie ni en contacto con el suelo</t>
  </si>
  <si>
    <t>Vigas, columnas, pedestales</t>
  </si>
  <si>
    <t>Refuerzo principal, estribos</t>
  </si>
  <si>
    <t>Sólo referencia</t>
  </si>
  <si>
    <t>3. CAPACIDAD DE CARGA PRESUNTIVA — NAVFAC DM 7.02, Cap. 4, Tabla 1, págs. 7.2-142 y 7.2-143</t>
  </si>
  <si>
    <t>Material de apoyo</t>
  </si>
  <si>
    <t>Consistencia en sitio</t>
  </si>
  <si>
    <t>Rango (ton/ft²)</t>
  </si>
  <si>
    <t>Recomendado (ton/ft²)</t>
  </si>
  <si>
    <t>Recomendado (t/m²) = ton/ft² × 9.765</t>
  </si>
  <si>
    <t>Roca ígnea o metamórfica masiva cristalina: granito, diorita, basalto, gneis; conglomerado bien cementado</t>
  </si>
  <si>
    <t>Dura y sana</t>
  </si>
  <si>
    <t>60 a 100</t>
  </si>
  <si>
    <t>Roca metamórfica foliada: pizarra, esquisto</t>
  </si>
  <si>
    <t>Medianamente dura y sana</t>
  </si>
  <si>
    <t>30 a 40</t>
  </si>
  <si>
    <t>Roca sedimentaria: lutita dura cementada, limolita, arenisca, caliza sin cavidades</t>
  </si>
  <si>
    <t>15 a 25</t>
  </si>
  <si>
    <t>Roca intemperizada o fracturada de cualquier tipo (excepto muy arcillosa), RQD &lt; 25</t>
  </si>
  <si>
    <t>Roca blanda</t>
  </si>
  <si>
    <t>8 a 12</t>
  </si>
  <si>
    <t>Lutita compactada u otra roca muy arcillosa en condición sana</t>
  </si>
  <si>
    <t>Mezcla bien graduada de suelo fino y grueso: till, hardpan, arcilla con boleos (GW-GC, GC, SC)</t>
  </si>
  <si>
    <t>Muy compacta</t>
  </si>
  <si>
    <t>Grava, mezclas grava-arena, gravas con boleos (GW, GP, SW, SP)</t>
  </si>
  <si>
    <t>6 a 10</t>
  </si>
  <si>
    <t>Media a compacta</t>
  </si>
  <si>
    <t>4 a 7</t>
  </si>
  <si>
    <t>Suelta</t>
  </si>
  <si>
    <t>2 a 6</t>
  </si>
  <si>
    <t>Arena gruesa a media, arena con poca grava (SW, SP)</t>
  </si>
  <si>
    <t>4 a 6</t>
  </si>
  <si>
    <t>2 a 4</t>
  </si>
  <si>
    <t>1 a 3</t>
  </si>
  <si>
    <t>Arena fina a media; arena media a gruesa limosa o arcillosa (SW, SM, SC)</t>
  </si>
  <si>
    <t>3 a 5</t>
  </si>
  <si>
    <t>1 a 2</t>
  </si>
  <si>
    <t>Arcilla inorgánica homogénea, arcilla arenosa o limosa (CL, CH)</t>
  </si>
  <si>
    <t>Muy firme a dura</t>
  </si>
  <si>
    <t>3 a 6</t>
  </si>
  <si>
    <t>Media a firme</t>
  </si>
  <si>
    <t>Blanda</t>
  </si>
  <si>
    <t>0.5 a 1</t>
  </si>
  <si>
    <t>Limo inorgánico, limo arenoso o arcilloso, limo-arcilla-arena fina varvada</t>
  </si>
  <si>
    <t>OJO: son valores PRESUNTIVOS para orientación (1 ton/ft² de tonelada corta = 9.765 t/m²). En suelos finos compresibles manda el asentamiento; en suelos orgánicos o rellenos sin compactar no aplican. NO sustituyen el estudio de mecánica de suelos. Notas 1 a 5 de la tabla original en la pág. 7.2-143.</t>
  </si>
  <si>
    <t>4. FACTOR DE FRICCIÓN SUELO-CIMENTACIÓN — NAVFAC DM 7.02, Cap. 3, Tabla 1, pág. 7.2-63</t>
  </si>
  <si>
    <t>Concreto masivo colado sobre…</t>
  </si>
  <si>
    <t>tan δ (rango)</t>
  </si>
  <si>
    <t>δ (grados)</t>
  </si>
  <si>
    <t>Valor medio sugerido μ</t>
  </si>
  <si>
    <t>Nota</t>
  </si>
  <si>
    <t>Roca sana limpia</t>
  </si>
  <si>
    <t>0.70</t>
  </si>
  <si>
    <t>35</t>
  </si>
  <si>
    <t>Valor ÚLTIMO; el FS se aplica en la revisión de deslizamiento</t>
  </si>
  <si>
    <t>Grava limpia, mezclas grava-arena, arena gruesa</t>
  </si>
  <si>
    <t>0.55 a 0.60</t>
  </si>
  <si>
    <t>29 a 31</t>
  </si>
  <si>
    <t>Se sugiere el extremo bajo del rango</t>
  </si>
  <si>
    <t>Arena fina a media limpia, arena media a gruesa limosa, grava limosa o arcillosa</t>
  </si>
  <si>
    <t>0.45 a 0.55</t>
  </si>
  <si>
    <t>24 a 29</t>
  </si>
  <si>
    <t>Arena fina limpia, arena fina a media limosa o arcillosa</t>
  </si>
  <si>
    <t>0.35 a 0.45</t>
  </si>
  <si>
    <t>19 a 24</t>
  </si>
  <si>
    <t>Limo arenoso fino, limo no plástico</t>
  </si>
  <si>
    <t>0.30 a 0.35</t>
  </si>
  <si>
    <t>17 a 19</t>
  </si>
  <si>
    <t>Arcilla residual o preconsolidada muy firme y dura</t>
  </si>
  <si>
    <t>0.40 a 0.50</t>
  </si>
  <si>
    <t>22 a 26</t>
  </si>
  <si>
    <t>Arcilla media firme a firme y arcilla limosa</t>
  </si>
  <si>
    <t>5. FACTOR αs PARA PENETRACIÓN — ACI 318-19, Tabla 22.6.5.2 (αs según la posición de la columna)</t>
  </si>
  <si>
    <t>Posición de la columna</t>
  </si>
  <si>
    <t>αs</t>
  </si>
  <si>
    <t>Uso en este libro</t>
  </si>
  <si>
    <t>Interior (zapata centrada bajo la columna)</t>
  </si>
  <si>
    <t>AISLADA y AISLADA_CT: la zapata rodea al dado por los 4 lados</t>
  </si>
  <si>
    <t>Borde</t>
  </si>
  <si>
    <t>No se usa (zapata de lindero fuera de alcance)</t>
  </si>
  <si>
    <t>Esquina</t>
  </si>
  <si>
    <t>No se usa</t>
  </si>
  <si>
    <t>REFERENCIAS — QUÉ DOCUMENTO Y QUÉ PÁGINA CHECAR</t>
  </si>
  <si>
    <t>Páginas impresas del documento (no las del visor de PDF). Del ACI 318-19 sólo se tiene el cap. 13 (págs. 197–210); lo demás se cita por sección y tabla, que es su forma oficial de cita.</t>
  </si>
  <si>
    <t>ACI 318-19 · CAPÍTULO 13 (con página)</t>
  </si>
  <si>
    <t>Tema</t>
  </si>
  <si>
    <t>Documento</t>
  </si>
  <si>
    <t>Página</t>
  </si>
  <si>
    <t>Sección / tabla / nota</t>
  </si>
  <si>
    <t>Alcance y tipos de cimentación</t>
  </si>
  <si>
    <t>ACI 318-19</t>
  </si>
  <si>
    <t>197–198</t>
  </si>
  <si>
    <t>13.1 y Fig. R13.1.1</t>
  </si>
  <si>
    <t>Todo el libro</t>
  </si>
  <si>
    <t>Materiales y conexión dado–cimentación</t>
  </si>
  <si>
    <t>199</t>
  </si>
  <si>
    <t>13.2.1 y 13.2.2 (remite a 16.3)</t>
  </si>
  <si>
    <t>AISLADA y AISLADA_CT, sección 12</t>
  </si>
  <si>
    <t>Efectos sísmicos en la cimentación</t>
  </si>
  <si>
    <t>13.2.3 (remite a 18.13)</t>
  </si>
  <si>
    <t>AISLADA_CT, sección 13</t>
  </si>
  <si>
    <t>Presiones, volteo y deslizamiento con cargas de servicio</t>
  </si>
  <si>
    <t>199–200</t>
  </si>
  <si>
    <t>13.2.6.1 y R13.2.6.1</t>
  </si>
  <si>
    <t>Sección 5 de cada tipo</t>
  </si>
  <si>
    <t>Se permite despreciar λs en zapatas</t>
  </si>
  <si>
    <t>200</t>
  </si>
  <si>
    <t>13.2.6.2</t>
  </si>
  <si>
    <t>Secciones de cortante; DATOS</t>
  </si>
  <si>
    <t>Diseño con cargas factorizadas y presión del suelo</t>
  </si>
  <si>
    <t>13.2.6.3 y R13.2.6.3</t>
  </si>
  <si>
    <t>Bloque U de cada tabla</t>
  </si>
  <si>
    <t>Momento en la sección por un plano vertical</t>
  </si>
  <si>
    <t>201</t>
  </si>
  <si>
    <t>13.2.6.6</t>
  </si>
  <si>
    <t>Flexión y parrilla superior</t>
  </si>
  <si>
    <t>Sección crítica para Mu (dado, placa base, muro de concreto o de mampostería)</t>
  </si>
  <si>
    <t>202</t>
  </si>
  <si>
    <t>Tabla 13.2.7.1</t>
  </si>
  <si>
    <t>Sección 1 de cada tipo; DATOS</t>
  </si>
  <si>
    <t>Sección crítica para cortante</t>
  </si>
  <si>
    <t>13.2.7.2 y R13.2.7.2</t>
  </si>
  <si>
    <t>Penetración y cortante en una dirección</t>
  </si>
  <si>
    <t>Desarrollo del refuerzo en zapatas</t>
  </si>
  <si>
    <t>203</t>
  </si>
  <si>
    <t>13.2.8</t>
  </si>
  <si>
    <t>Sección 11 (AISLADA) y 9 (CORRIDA)</t>
  </si>
  <si>
    <t>Área de la base con la capacidad admisible</t>
  </si>
  <si>
    <t>13.3.1.1</t>
  </si>
  <si>
    <t>Secciones 4 y 5</t>
  </si>
  <si>
    <t>Peralte efectivo mínimo de 150 mm</t>
  </si>
  <si>
    <t>13.3.1.2</t>
  </si>
  <si>
    <t>Sección 2</t>
  </si>
  <si>
    <t>Zapatas en una dirección (corridas)</t>
  </si>
  <si>
    <t>13.3.2</t>
  </si>
  <si>
    <t>CORRIDA</t>
  </si>
  <si>
    <t>Zapatas aisladas en dos direcciones; franja central en rectangulares</t>
  </si>
  <si>
    <t>203–204</t>
  </si>
  <si>
    <t>13.3.3.1 a 13.3.3.3 y R13.3.3.3</t>
  </si>
  <si>
    <t>ACI 318-19 · OTROS CAPÍTULOS (por sección)</t>
  </si>
  <si>
    <t>Combinaciones de carga y factor de la viva</t>
  </si>
  <si>
    <t>Tabla 5.3.1 y 5.3.3</t>
  </si>
  <si>
    <t>Refuerzo mínimo de losas y zapatas: 0.0018 Ag</t>
  </si>
  <si>
    <t>7.6.1.1 y 8.6.1.1</t>
  </si>
  <si>
    <t>Flexión</t>
  </si>
  <si>
    <t>Separación máxima del refuerzo de flexión</t>
  </si>
  <si>
    <t>7.7.2.3 y 8.7.2.2</t>
  </si>
  <si>
    <t>Momento transferido por cortante excéntrico (γf, γv, Jc)</t>
  </si>
  <si>
    <t>8.4.2.2.2, 8.4.4.2.2, 8.4.4.2.3 y R8.4.4.2.3</t>
  </si>
  <si>
    <t>Penetración</t>
  </si>
  <si>
    <t>Vigas: As mín, Av mín y separación de estribos</t>
  </si>
  <si>
    <t>9.6.1.2, Tabla 9.6.3.4 y Tabla 9.7.6.2.2</t>
  </si>
  <si>
    <t>Dovelas entre dado y zapata (0.005 Ag)</t>
  </si>
  <si>
    <t>16.3.4.1</t>
  </si>
  <si>
    <t>Liga sísmica entre zapatas y vigas especiales</t>
  </si>
  <si>
    <t>18.13.3 y 18.6.2 a 18.6.5</t>
  </si>
  <si>
    <t>f'c mínimo y factor λ</t>
  </si>
  <si>
    <t>Tabla 19.2.1.1 y 19.2.4</t>
  </si>
  <si>
    <t>DATOS</t>
  </si>
  <si>
    <t>Recubrimientos</t>
  </si>
  <si>
    <t>Tabla 20.5.1.3.1</t>
  </si>
  <si>
    <t>Secciones 1 y 2; TABLAS</t>
  </si>
  <si>
    <t>Factores φ y deformación εt</t>
  </si>
  <si>
    <t>Tablas 21.2.1 y 21.2.2</t>
  </si>
  <si>
    <t>DATOS y flexión</t>
  </si>
  <si>
    <t>β1 del bloque de compresión</t>
  </si>
  <si>
    <t>Tabla 22.2.2.4.3</t>
  </si>
  <si>
    <t>Cortante en una dirección, miembros sin estribos: 0.66 λs λ ρw^⅓ √f'c</t>
  </si>
  <si>
    <t>Tabla 22.5.5.1(c), 22.5.5.1.1 y 22.5.5.1.3</t>
  </si>
  <si>
    <t>Cortante en una dirección</t>
  </si>
  <si>
    <t>Penetración: vc (a), (b), (c) y perímetro crítico</t>
  </si>
  <si>
    <t>22.6.4.1 y Tabla 22.6.5.2</t>
  </si>
  <si>
    <t>Aplastamiento √(A2/A1) ≤ 2</t>
  </si>
  <si>
    <t>22.8.3.2</t>
  </si>
  <si>
    <t>Sección 12 y CORRIDA sección 10</t>
  </si>
  <si>
    <t>Refuerzo por contracción y temperatura</t>
  </si>
  <si>
    <t>24.4.3.2 y 24.4.3.3</t>
  </si>
  <si>
    <t>CORRIDA, sección 8</t>
  </si>
  <si>
    <t>Separación libre mínima</t>
  </si>
  <si>
    <t>25.2.1</t>
  </si>
  <si>
    <t>Flexión y contratrabe</t>
  </si>
  <si>
    <t>Desarrollo recto, con gancho y a compresión</t>
  </si>
  <si>
    <t>25.4.2.4, Tabla 25.4.2.5, 25.4.3.1, Tabla 25.4.3.2 y 25.4.9</t>
  </si>
  <si>
    <t>Desarrollo y dovelas</t>
  </si>
  <si>
    <t>BOWLES, FOUNDATION ANALYSIS AND DESIGN, 5ª ED.</t>
  </si>
  <si>
    <t>Área efectiva con carga excéntrica (Meyerhof) — referencia</t>
  </si>
  <si>
    <t>Bowles 5ª ed.</t>
  </si>
  <si>
    <t>236</t>
  </si>
  <si>
    <t>§4.6</t>
  </si>
  <si>
    <t>Criterio alterno; no se usa en las fórmulas</t>
  </si>
  <si>
    <t>Factores de seguridad usuales</t>
  </si>
  <si>
    <t>275–276</t>
  </si>
  <si>
    <t>§4.15 y Tabla 4-9</t>
  </si>
  <si>
    <t>DATOS, FS de volteo y deslizamiento</t>
  </si>
  <si>
    <t>Presión admisible y presión neta</t>
  </si>
  <si>
    <t>404</t>
  </si>
  <si>
    <t>§8.2</t>
  </si>
  <si>
    <t>Sección 4 (q_neta)</t>
  </si>
  <si>
    <t>Zapatas rectangulares</t>
  </si>
  <si>
    <t>445</t>
  </si>
  <si>
    <t>§8.9</t>
  </si>
  <si>
    <t>Zapatas con carga excéntrica: q = P/A ± Mc/I, e ≤ L/6 y SF = P·L/2M</t>
  </si>
  <si>
    <t>449–453</t>
  </si>
  <si>
    <t>§8.10</t>
  </si>
  <si>
    <t>Sección 5 y tablas S</t>
  </si>
  <si>
    <t>Zapatas corridas y de vivienda</t>
  </si>
  <si>
    <t>466</t>
  </si>
  <si>
    <t>§8.12</t>
  </si>
  <si>
    <t>NAVFAC DM 7.02</t>
  </si>
  <si>
    <t>Factor de fricción suelo-concreto</t>
  </si>
  <si>
    <t>7.2-63</t>
  </si>
  <si>
    <t>Cap. 3, Tabla 1</t>
  </si>
  <si>
    <t>DATOS (μ); TABLAS, tabla 4</t>
  </si>
  <si>
    <t>Capacidad de carga presuntiva (orientación sin estudio)</t>
  </si>
  <si>
    <t>7.2-142 y 7.2-143</t>
  </si>
  <si>
    <t>Cap. 4, Tabla 1</t>
  </si>
  <si>
    <t>DATOS (qa); TABLAS, tabla 3</t>
  </si>
  <si>
    <t>ASCE/SEI 7-16</t>
  </si>
  <si>
    <t>Combinaciones de servicio (ASD)</t>
  </si>
  <si>
    <t>§2.4.1</t>
  </si>
  <si>
    <t>COMBINACIONES, S1 a S5</t>
  </si>
  <si>
    <t>Amarres entre cimentaciones (10 % de la carga)</t>
  </si>
  <si>
    <t>§12.13.8.1 (por analogía)</t>
  </si>
  <si>
    <t>Contratrabe, fuerza de amarre</t>
  </si>
  <si>
    <t>NOTAS DE MÉTODO</t>
  </si>
  <si>
    <t>Presión con despegue en dos direcciones</t>
  </si>
  <si>
    <t>Este libro</t>
  </si>
  <si>
    <t>q ≈ P/A·Kx·Ky (producto de los factores uniaxiales). Se comparó contra la solución numérica sin tensiones: queda de 0 a +22 % arriba (del lado seguro); es exacta en una dirección.</t>
  </si>
  <si>
    <t>Tablas S de AISLADA y AISLADA_CT</t>
  </si>
  <si>
    <t>Diseño estructural con carga excéntrica</t>
  </si>
  <si>
    <t>En cada dirección se integra la presión neta trapecial (o triangular si despega) en todo el ancho, como pide 13.2.6.6; con despegue el voladizo ligero se revisa por momento negativo.</t>
  </si>
  <si>
    <t>Bloques U</t>
  </si>
  <si>
    <t>Cortante en una dirección más exigente que en ediciones anteriores</t>
  </si>
  <si>
    <t>Con ACI 318-19 y ρw bajo, Vc = 0.66 ρw^⅓ √f'c sale menor que el 0.17 √f'c de antes; subir el acero también sube Vc.</t>
  </si>
  <si>
    <t>Sección 9</t>
  </si>
  <si>
    <t>PARÁMETROS DEL TRAZO (no se captura nada aquí)</t>
  </si>
  <si>
    <t>planta_armado·pz</t>
  </si>
  <si>
    <t>planta_armado·pd</t>
  </si>
  <si>
    <t>planta_armado·pcl</t>
  </si>
  <si>
    <t>planta_armado·pcr</t>
  </si>
  <si>
    <t>planta_armado·pcb</t>
  </si>
  <si>
    <t>planta_armado·pct</t>
  </si>
  <si>
    <t>planta_armado·pbx</t>
  </si>
  <si>
    <t>planta_armado·pby</t>
  </si>
  <si>
    <t>planta_armado·ptx</t>
  </si>
  <si>
    <t>planta_armado·pty</t>
  </si>
  <si>
    <t>planta_armado·pex</t>
  </si>
  <si>
    <t>planta_armado·pey</t>
  </si>
  <si>
    <t>planta_armado·pAl</t>
  </si>
  <si>
    <t>planta_armado·pAr</t>
  </si>
  <si>
    <t>planta_armado·pax</t>
  </si>
  <si>
    <t>planta_armado·pay</t>
  </si>
  <si>
    <t>planta_armado·pl1</t>
  </si>
  <si>
    <t>planta_armado·pl3</t>
  </si>
  <si>
    <t>planta_armado·pl4</t>
  </si>
  <si>
    <t>planta_armado·pl5</t>
  </si>
  <si>
    <t>planta_armado·pl2</t>
  </si>
  <si>
    <t>planta_armado·pl6</t>
  </si>
  <si>
    <t>planta_cotas·gz</t>
  </si>
  <si>
    <t>planta_cotas·gd</t>
  </si>
  <si>
    <t>planta_cotas·gcl</t>
  </si>
  <si>
    <t>planta_cotas·gcr</t>
  </si>
  <si>
    <t>planta_cotas·gcb</t>
  </si>
  <si>
    <t>planta_cotas·gct</t>
  </si>
  <si>
    <t>planta_cotas·gex</t>
  </si>
  <si>
    <t>planta_cotas·gey</t>
  </si>
  <si>
    <t>planta_cotas·gdLx</t>
  </si>
  <si>
    <t>planta_cotas·gdLy</t>
  </si>
  <si>
    <t>planta_cotas·gdt1</t>
  </si>
  <si>
    <t>planta_cotas·gdt2</t>
  </si>
  <si>
    <t>planta_cotas·gdt3</t>
  </si>
  <si>
    <t>planta_cotas·gdr1</t>
  </si>
  <si>
    <t>planta_cotas·gdr2</t>
  </si>
  <si>
    <t>planta_cotas·gdr3</t>
  </si>
  <si>
    <t>planta_cotas·gax</t>
  </si>
  <si>
    <t>planta_cotas·gay</t>
  </si>
  <si>
    <t>corte_armado·sz</t>
  </si>
  <si>
    <t>corte_armado·sd</t>
  </si>
  <si>
    <t>corte_armado·spl</t>
  </si>
  <si>
    <t>corte_armado·sgl</t>
  </si>
  <si>
    <t>corte_armado·sgr</t>
  </si>
  <si>
    <t>corte_armado·scl</t>
  </si>
  <si>
    <t>corte_armado·scr</t>
  </si>
  <si>
    <t>corte_armado·sbx</t>
  </si>
  <si>
    <t>corte_armado·sby</t>
  </si>
  <si>
    <t>corte_armado·stx</t>
  </si>
  <si>
    <t>corte_armado·sty</t>
  </si>
  <si>
    <t>corte_armado·sdl</t>
  </si>
  <si>
    <t>corte_armado·sdr</t>
  </si>
  <si>
    <t>corte_armado·sct</t>
  </si>
  <si>
    <t>corte_armado·scb</t>
  </si>
  <si>
    <t>corte_armado·sel</t>
  </si>
  <si>
    <t>corte_armado·ser</t>
  </si>
  <si>
    <t>corte_armado·sl5</t>
  </si>
  <si>
    <t>corte_armado·sl7</t>
  </si>
  <si>
    <t>corte_armado·sl4</t>
  </si>
  <si>
    <t>corte_armado·sl8</t>
  </si>
  <si>
    <t>corte_armado·sl6</t>
  </si>
  <si>
    <t>corte_armado·sl3</t>
  </si>
  <si>
    <t>corte_armado·sl1</t>
  </si>
  <si>
    <t>corte_armado·sl2</t>
  </si>
  <si>
    <t>corte_armado·sl9</t>
  </si>
  <si>
    <t>corte_cotas·qz</t>
  </si>
  <si>
    <t>corte_cotas·qd</t>
  </si>
  <si>
    <t>corte_cotas·qpl</t>
  </si>
  <si>
    <t>corte_cotas·qgl</t>
  </si>
  <si>
    <t>corte_cotas·qgr</t>
  </si>
  <si>
    <t>corte_cotas·qcl</t>
  </si>
  <si>
    <t>corte_cotas·qcr</t>
  </si>
  <si>
    <t>corte_cotas·qdL</t>
  </si>
  <si>
    <t>corte_cotas·qdDf</t>
  </si>
  <si>
    <t>corte_cotas·qdh</t>
  </si>
  <si>
    <t>corte_cotas·qdH</t>
  </si>
  <si>
    <t>corte_cotas·qdc</t>
  </si>
  <si>
    <t>corte_cotas·qdct</t>
  </si>
  <si>
    <t>seccion_ct·vz</t>
  </si>
  <si>
    <t>seccion_ct·ve</t>
  </si>
  <si>
    <t>seccion_ct·vt</t>
  </si>
  <si>
    <t>seccion_ct·vb</t>
  </si>
  <si>
    <t>seccion_ct·vdb</t>
  </si>
  <si>
    <t>seccion_ct·vdh</t>
  </si>
  <si>
    <t>seccion_ct·vl1</t>
  </si>
  <si>
    <t>seccion_ct·vl2</t>
  </si>
  <si>
    <t>seccion_ct·vl3</t>
  </si>
  <si>
    <t>seccion_ct·vna</t>
  </si>
  <si>
    <t>tipo elegido (1, 2 o 3)</t>
  </si>
  <si>
    <t>x</t>
  </si>
  <si>
    <t>y</t>
  </si>
  <si>
    <t>Lx o B (m)</t>
  </si>
  <si>
    <t>Ly o tramo dibujado (m)</t>
  </si>
  <si>
    <t>h (m)</t>
  </si>
  <si>
    <t>Df (m)</t>
  </si>
  <si>
    <t>cx o t (m)</t>
  </si>
  <si>
    <t>cy o tramo (m)</t>
  </si>
  <si>
    <t>dado sobre terreno (m)</t>
  </si>
  <si>
    <t>altura del dado o muro sobre la zapata (m)</t>
  </si>
  <si>
    <t>recubrimiento inferior (m)</t>
  </si>
  <si>
    <t>recubrimiento lateral (m)</t>
  </si>
  <si>
    <t>recubrimiento superior (m)</t>
  </si>
  <si>
    <t># varilla ‖X</t>
  </si>
  <si>
    <t>db ‖X (m)</t>
  </si>
  <si>
    <t>s ‖X (m)</t>
  </si>
  <si>
    <t>n ‖X</t>
  </si>
  <si>
    <t># varilla ‖Y</t>
  </si>
  <si>
    <t>db ‖Y (m)</t>
  </si>
  <si>
    <t>s ‖Y (m)</t>
  </si>
  <si>
    <t>n ‖Y</t>
  </si>
  <si>
    <t>altura del centro de ‖X (m)</t>
  </si>
  <si>
    <t>altura del centro de ‖Y (m)</t>
  </si>
  <si>
    <t>gancho ‖X (m)</t>
  </si>
  <si>
    <t>gancho ‖Y (m)</t>
  </si>
  <si>
    <t># parrilla sup.</t>
  </si>
  <si>
    <t>db parrilla sup. (m)</t>
  </si>
  <si>
    <t>s parrilla sup. (m)</t>
  </si>
  <si>
    <t>n sup. ‖X</t>
  </si>
  <si>
    <t>n sup. ‖Y</t>
  </si>
  <si>
    <t>altura parrilla sup. ‖X (m)</t>
  </si>
  <si>
    <t>altura parrilla sup. ‖Y (m)</t>
  </si>
  <si>
    <t>db dovela (m)</t>
  </si>
  <si>
    <t>dovelas mínimas</t>
  </si>
  <si>
    <t>altura de apoyo de la dovela (m)</t>
  </si>
  <si>
    <t>posición de la dovela (m)</t>
  </si>
  <si>
    <t>¿hay dado? (1/0)</t>
  </si>
  <si>
    <t>¿hay contratrabe? (1/0)</t>
  </si>
  <si>
    <t>b contratrabe (m)</t>
  </si>
  <si>
    <t>h contratrabe (m)</t>
  </si>
  <si>
    <t>recubrimiento CT (m)</t>
  </si>
  <si>
    <t>db long. CT (m)</t>
  </si>
  <si>
    <t>db estribo CT (m)</t>
  </si>
  <si>
    <t>varillas arriba CT</t>
  </si>
  <si>
    <t>varillas abajo CT</t>
  </si>
  <si>
    <t>s estribos zona confinada (m)</t>
  </si>
  <si>
    <t>s estribos centro (m)</t>
  </si>
  <si>
    <t>longitud confinada (m)</t>
  </si>
  <si>
    <t>tramo de CT dibujado fuera de la zapata (m)</t>
  </si>
  <si>
    <t>terreno dibujado fuera de la zapata (m)</t>
  </si>
  <si>
    <t>extensión de la planta (m)</t>
  </si>
  <si>
    <t>escala planta armado</t>
  </si>
  <si>
    <t>escala planta acotada</t>
  </si>
  <si>
    <t>ancho del corte (m)</t>
  </si>
  <si>
    <t>alto del corte (m)</t>
  </si>
  <si>
    <t>escala corte armado</t>
  </si>
  <si>
    <t>escala corte acotado</t>
  </si>
  <si>
    <t>centro vertical del corte (m)</t>
  </si>
  <si>
    <t>escala sección CT</t>
  </si>
  <si>
    <t>centro vertical sección CT (m)</t>
  </si>
  <si>
    <t>rótulo ‖X</t>
  </si>
  <si>
    <t>rótulo ‖Y</t>
  </si>
  <si>
    <t>rótulo parrilla sup.</t>
  </si>
  <si>
    <t>rótulo dado o muro</t>
  </si>
  <si>
    <t>rótulo contratrabe</t>
  </si>
  <si>
    <t>rótulo zapata</t>
  </si>
  <si>
    <t>rótulo dovelas</t>
  </si>
  <si>
    <t>rótulo armado CT</t>
  </si>
  <si>
    <t>rótulo plantilla</t>
  </si>
  <si>
    <t>rótulo terreno</t>
  </si>
  <si>
    <t>rótulo relleno</t>
  </si>
  <si>
    <t>rótulo CT arriba</t>
  </si>
  <si>
    <t>rótulo CT abajo</t>
  </si>
  <si>
    <t>rótulo estribos CT</t>
  </si>
  <si>
    <t>rótulo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</si>
</sst>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95959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sz val="9"/>
      <color rgb="FF1A1A1A"/>
      <name val="Arial"/>
    </font>
    <font>
      <sz val="8"/>
      <color rgb="FF1F4E79"/>
      <name val="Arial"/>
    </font>
    <font>
      <b/>
      <sz val="9"/>
      <color rgb="FF843C0C"/>
      <name val="Arial"/>
    </font>
    <font>
      <b/>
      <sz val="9"/>
      <color rgb="FF1A1A1A"/>
      <name val="Arial"/>
    </font>
    <font>
      <b/>
      <sz val="10"/>
      <color rgb="FF1F4E79"/>
      <name val="Arial"/>
    </font>
    <font>
      <sz val="8"/>
      <color rgb="FF595959"/>
      <name val="Arial"/>
    </font>
    <font>
      <b/>
      <sz val="9"/>
      <color rgb="FF1F4E79"/>
      <name val="Arial"/>
    </font>
    <font>
      <sz val="10"/>
      <color rgb="FF1A1A1A"/>
      <name val="Arial"/>
    </font>
    <font>
      <b/>
      <sz val="10"/>
      <color rgb="FF0000CC"/>
      <name val="Arial"/>
    </font>
    <font>
      <b/>
      <sz val="10"/>
      <color rgb="FF1A1A1A"/>
      <name val="Arial"/>
    </font>
    <font>
      <sz val="8"/>
      <color rgb="FF1A1A1A"/>
      <name val="Arial"/>
    </font>
    <font>
      <sz val="7"/>
      <color rgb="FF595959"/>
      <name val="Arial"/>
    </font>
    <font>
      <b/>
      <sz val="7"/>
      <color rgb="FF1A1A1A"/>
      <name val="Arial"/>
    </font>
    <font>
      <sz val="7"/>
      <color rgb="FF1A1A1A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C9A"/>
      </patternFill>
    </fill>
    <fill>
      <patternFill patternType="solid">
        <fgColor rgb="FFD9E2F3"/>
      </patternFill>
    </fill>
    <fill>
      <patternFill patternType="solid">
        <fgColor rgb="FFFFF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6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2" fontId="13" fillId="6" borderId="1" xfId="0" applyNumberFormat="1" applyFont="1" applyFill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/>
    <xf numFmtId="0" fontId="15" fillId="0" borderId="0" xfId="0" applyFont="1"/>
    <xf numFmtId="0" fontId="18" fillId="0" borderId="0" xfId="0" applyFont="1"/>
    <xf numFmtId="0" fontId="7" fillId="5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3" fillId="3" borderId="0" xfId="0" applyFont="1" applyFill="1"/>
    <xf numFmtId="0" fontId="1" fillId="2" borderId="0" xfId="0" applyFont="1" applyFill="1"/>
    <xf numFmtId="0" fontId="3" fillId="3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/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PLANTA — ARMADO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CROQUIS_DATOS!$D$2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CROQUIS_DATOS!$D$4:$D$8</c:f>
              <c:numCache>
                <c:formatCode>General</c:formatCode>
                <c:ptCount val="5"/>
                <c:pt idx="0">
                  <c:v>-67</c:v>
                </c:pt>
                <c:pt idx="1">
                  <c:v>-9</c:v>
                </c:pt>
                <c:pt idx="2">
                  <c:v>-9</c:v>
                </c:pt>
                <c:pt idx="3">
                  <c:v>-67</c:v>
                </c:pt>
                <c:pt idx="4">
                  <c:v>-67</c:v>
                </c:pt>
              </c:numCache>
            </c:numRef>
          </c:xVal>
          <c:yVal>
            <c:numRef>
              <c:f>CROQUIS_DATOS!$E$4:$E$8</c:f>
              <c:numCache>
                <c:formatCode>General</c:formatCode>
                <c:ptCount val="5"/>
                <c:pt idx="0">
                  <c:v>-29</c:v>
                </c:pt>
                <c:pt idx="1">
                  <c:v>-29</c:v>
                </c:pt>
                <c:pt idx="2">
                  <c:v>29</c:v>
                </c:pt>
                <c:pt idx="3">
                  <c:v>29</c:v>
                </c:pt>
                <c:pt idx="4">
                  <c:v>-29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5-40CB-8BC7-6F351B54D33E}"/>
            </c:ext>
          </c:extLst>
        </c:ser>
        <c:ser>
          <c:idx val="1"/>
          <c:order val="1"/>
          <c:tx>
            <c:strRef>
              <c:f>CROQUIS_DATOS!$F$2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CROQUIS_DATOS!$F$4:$F$8</c:f>
              <c:numCache>
                <c:formatCode>General</c:formatCode>
                <c:ptCount val="5"/>
                <c:pt idx="0">
                  <c:v>-43.57692307692308</c:v>
                </c:pt>
                <c:pt idx="1">
                  <c:v>-32.42307692307692</c:v>
                </c:pt>
                <c:pt idx="2">
                  <c:v>-32.42307692307692</c:v>
                </c:pt>
                <c:pt idx="3">
                  <c:v>-43.57692307692308</c:v>
                </c:pt>
                <c:pt idx="4">
                  <c:v>-43.57692307692308</c:v>
                </c:pt>
              </c:numCache>
            </c:numRef>
          </c:xVal>
          <c:yVal>
            <c:numRef>
              <c:f>CROQUIS_DATOS!$G$4:$G$8</c:f>
              <c:numCache>
                <c:formatCode>General</c:formatCode>
                <c:ptCount val="5"/>
                <c:pt idx="0">
                  <c:v>-5.5769230769230766</c:v>
                </c:pt>
                <c:pt idx="1">
                  <c:v>-5.5769230769230766</c:v>
                </c:pt>
                <c:pt idx="2">
                  <c:v>5.5769230769230766</c:v>
                </c:pt>
                <c:pt idx="3">
                  <c:v>5.5769230769230766</c:v>
                </c:pt>
                <c:pt idx="4">
                  <c:v>-5.5769230769230766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5-40CB-8BC7-6F351B54D33E}"/>
            </c:ext>
          </c:extLst>
        </c:ser>
        <c:ser>
          <c:idx val="2"/>
          <c:order val="2"/>
          <c:tx>
            <c:strRef>
              <c:f>CROQUIS_DATOS!$H$2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CROQUIS_DATOS!$H$4:$H$7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CROQUIS_DATOS!$I$4:$I$7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B5-40CB-8BC7-6F351B54D33E}"/>
            </c:ext>
          </c:extLst>
        </c:ser>
        <c:ser>
          <c:idx val="3"/>
          <c:order val="3"/>
          <c:tx>
            <c:strRef>
              <c:f>CROQUIS_DATOS!$J$2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CROQUIS_DATOS!$J$4:$J$7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CROQUIS_DATOS!$K$4:$K$7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B5-40CB-8BC7-6F351B54D33E}"/>
            </c:ext>
          </c:extLst>
        </c:ser>
        <c:ser>
          <c:idx val="4"/>
          <c:order val="4"/>
          <c:tx>
            <c:strRef>
              <c:f>CROQUIS_DATOS!$L$2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CROQUIS_DATOS!$L$4:$L$7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CROQUIS_DATOS!$M$4:$M$7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B5-40CB-8BC7-6F351B54D33E}"/>
            </c:ext>
          </c:extLst>
        </c:ser>
        <c:ser>
          <c:idx val="5"/>
          <c:order val="5"/>
          <c:tx>
            <c:strRef>
              <c:f>CROQUIS_DATOS!$N$2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CROQUIS_DATOS!$N$4:$N$7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CROQUIS_DATOS!$O$4:$O$7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B5-40CB-8BC7-6F351B54D33E}"/>
            </c:ext>
          </c:extLst>
        </c:ser>
        <c:ser>
          <c:idx val="6"/>
          <c:order val="6"/>
          <c:tx>
            <c:strRef>
              <c:f>CROQUIS_DATOS!$P$2</c:f>
              <c:strCache>
                <c:ptCount val="1"/>
                <c:pt idx="0">
                  <c:v>Varillas ‖ X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CROQUIS_DATOS!$P$4:$P$323</c:f>
              <c:numCache>
                <c:formatCode>General</c:formatCode>
                <c:ptCount val="320"/>
                <c:pt idx="0">
                  <c:v>-64.769230769230774</c:v>
                </c:pt>
                <c:pt idx="1">
                  <c:v>-65.32692307692308</c:v>
                </c:pt>
                <c:pt idx="2">
                  <c:v>-10.673076923076923</c:v>
                </c:pt>
                <c:pt idx="3">
                  <c:v>-11.230769230769226</c:v>
                </c:pt>
                <c:pt idx="4">
                  <c:v>-11.230769230769226</c:v>
                </c:pt>
                <c:pt idx="5">
                  <c:v>-10.673076923076923</c:v>
                </c:pt>
                <c:pt idx="6">
                  <c:v>-65.32692307692308</c:v>
                </c:pt>
                <c:pt idx="7">
                  <c:v>-64.769230769230774</c:v>
                </c:pt>
                <c:pt idx="8">
                  <c:v>-64.769230769230774</c:v>
                </c:pt>
                <c:pt idx="9">
                  <c:v>-65.32692307692308</c:v>
                </c:pt>
                <c:pt idx="10">
                  <c:v>-10.673076923076923</c:v>
                </c:pt>
                <c:pt idx="11">
                  <c:v>-11.230769230769226</c:v>
                </c:pt>
                <c:pt idx="12">
                  <c:v>-11.230769230769226</c:v>
                </c:pt>
                <c:pt idx="13">
                  <c:v>-10.673076923076923</c:v>
                </c:pt>
                <c:pt idx="14">
                  <c:v>-65.32692307692308</c:v>
                </c:pt>
                <c:pt idx="15">
                  <c:v>-64.769230769230774</c:v>
                </c:pt>
                <c:pt idx="16">
                  <c:v>-64.769230769230774</c:v>
                </c:pt>
                <c:pt idx="17">
                  <c:v>-65.32692307692308</c:v>
                </c:pt>
                <c:pt idx="18">
                  <c:v>-10.673076923076923</c:v>
                </c:pt>
                <c:pt idx="19">
                  <c:v>-11.230769230769226</c:v>
                </c:pt>
                <c:pt idx="20">
                  <c:v>-11.230769230769226</c:v>
                </c:pt>
                <c:pt idx="21">
                  <c:v>-10.673076923076923</c:v>
                </c:pt>
                <c:pt idx="22">
                  <c:v>-65.32692307692308</c:v>
                </c:pt>
                <c:pt idx="23">
                  <c:v>-64.769230769230774</c:v>
                </c:pt>
                <c:pt idx="24">
                  <c:v>-64.769230769230774</c:v>
                </c:pt>
                <c:pt idx="25">
                  <c:v>-65.32692307692308</c:v>
                </c:pt>
                <c:pt idx="26">
                  <c:v>-10.673076923076923</c:v>
                </c:pt>
                <c:pt idx="27">
                  <c:v>-11.230769230769226</c:v>
                </c:pt>
                <c:pt idx="28">
                  <c:v>-11.230769230769226</c:v>
                </c:pt>
                <c:pt idx="29">
                  <c:v>-10.673076923076923</c:v>
                </c:pt>
                <c:pt idx="30">
                  <c:v>-65.32692307692308</c:v>
                </c:pt>
                <c:pt idx="31">
                  <c:v>-64.769230769230774</c:v>
                </c:pt>
                <c:pt idx="32">
                  <c:v>-64.769230769230774</c:v>
                </c:pt>
                <c:pt idx="33">
                  <c:v>-65.32692307692308</c:v>
                </c:pt>
                <c:pt idx="34">
                  <c:v>-10.673076923076923</c:v>
                </c:pt>
                <c:pt idx="35">
                  <c:v>-11.230769230769226</c:v>
                </c:pt>
                <c:pt idx="36">
                  <c:v>-11.230769230769226</c:v>
                </c:pt>
                <c:pt idx="37">
                  <c:v>-10.673076923076923</c:v>
                </c:pt>
                <c:pt idx="38">
                  <c:v>-65.32692307692308</c:v>
                </c:pt>
                <c:pt idx="39">
                  <c:v>-64.769230769230774</c:v>
                </c:pt>
                <c:pt idx="40">
                  <c:v>-64.769230769230774</c:v>
                </c:pt>
                <c:pt idx="41">
                  <c:v>-65.32692307692308</c:v>
                </c:pt>
                <c:pt idx="42">
                  <c:v>-10.673076923076923</c:v>
                </c:pt>
                <c:pt idx="43">
                  <c:v>-11.230769230769226</c:v>
                </c:pt>
                <c:pt idx="44">
                  <c:v>-11.230769230769226</c:v>
                </c:pt>
                <c:pt idx="45">
                  <c:v>-10.673076923076923</c:v>
                </c:pt>
                <c:pt idx="46">
                  <c:v>-65.32692307692308</c:v>
                </c:pt>
                <c:pt idx="47">
                  <c:v>-64.769230769230774</c:v>
                </c:pt>
                <c:pt idx="48">
                  <c:v>-64.769230769230774</c:v>
                </c:pt>
                <c:pt idx="49">
                  <c:v>-65.32692307692308</c:v>
                </c:pt>
                <c:pt idx="50">
                  <c:v>-10.673076923076923</c:v>
                </c:pt>
                <c:pt idx="51">
                  <c:v>-11.230769230769226</c:v>
                </c:pt>
                <c:pt idx="52">
                  <c:v>-11.230769230769226</c:v>
                </c:pt>
                <c:pt idx="53">
                  <c:v>-11.230769230769226</c:v>
                </c:pt>
                <c:pt idx="54">
                  <c:v>-11.230769230769226</c:v>
                </c:pt>
                <c:pt idx="55">
                  <c:v>-11.230769230769226</c:v>
                </c:pt>
                <c:pt idx="56">
                  <c:v>-11.230769230769226</c:v>
                </c:pt>
                <c:pt idx="57">
                  <c:v>-11.230769230769226</c:v>
                </c:pt>
                <c:pt idx="58">
                  <c:v>-11.230769230769226</c:v>
                </c:pt>
                <c:pt idx="59">
                  <c:v>-11.230769230769226</c:v>
                </c:pt>
                <c:pt idx="60">
                  <c:v>-11.230769230769226</c:v>
                </c:pt>
                <c:pt idx="61">
                  <c:v>-11.230769230769226</c:v>
                </c:pt>
                <c:pt idx="62">
                  <c:v>-11.230769230769226</c:v>
                </c:pt>
                <c:pt idx="63">
                  <c:v>-11.230769230769226</c:v>
                </c:pt>
                <c:pt idx="64">
                  <c:v>-11.230769230769226</c:v>
                </c:pt>
                <c:pt idx="65">
                  <c:v>-11.230769230769226</c:v>
                </c:pt>
                <c:pt idx="66">
                  <c:v>-11.230769230769226</c:v>
                </c:pt>
                <c:pt idx="67">
                  <c:v>-11.230769230769226</c:v>
                </c:pt>
                <c:pt idx="68">
                  <c:v>-11.230769230769226</c:v>
                </c:pt>
                <c:pt idx="69">
                  <c:v>-11.230769230769226</c:v>
                </c:pt>
                <c:pt idx="70">
                  <c:v>-11.230769230769226</c:v>
                </c:pt>
                <c:pt idx="71">
                  <c:v>-11.230769230769226</c:v>
                </c:pt>
                <c:pt idx="72">
                  <c:v>-11.230769230769226</c:v>
                </c:pt>
                <c:pt idx="73">
                  <c:v>-11.230769230769226</c:v>
                </c:pt>
                <c:pt idx="74">
                  <c:v>-11.230769230769226</c:v>
                </c:pt>
                <c:pt idx="75">
                  <c:v>-11.230769230769226</c:v>
                </c:pt>
                <c:pt idx="76">
                  <c:v>-11.230769230769226</c:v>
                </c:pt>
                <c:pt idx="77">
                  <c:v>-11.230769230769226</c:v>
                </c:pt>
                <c:pt idx="78">
                  <c:v>-11.230769230769226</c:v>
                </c:pt>
                <c:pt idx="79">
                  <c:v>-11.230769230769226</c:v>
                </c:pt>
                <c:pt idx="80">
                  <c:v>-11.230769230769226</c:v>
                </c:pt>
                <c:pt idx="81">
                  <c:v>-11.230769230769226</c:v>
                </c:pt>
                <c:pt idx="82">
                  <c:v>-11.230769230769226</c:v>
                </c:pt>
                <c:pt idx="83">
                  <c:v>-11.230769230769226</c:v>
                </c:pt>
                <c:pt idx="84">
                  <c:v>-11.230769230769226</c:v>
                </c:pt>
                <c:pt idx="85">
                  <c:v>-11.230769230769226</c:v>
                </c:pt>
                <c:pt idx="86">
                  <c:v>-11.230769230769226</c:v>
                </c:pt>
                <c:pt idx="87">
                  <c:v>-11.230769230769226</c:v>
                </c:pt>
                <c:pt idx="88">
                  <c:v>-11.230769230769226</c:v>
                </c:pt>
                <c:pt idx="89">
                  <c:v>-11.230769230769226</c:v>
                </c:pt>
                <c:pt idx="90">
                  <c:v>-11.230769230769226</c:v>
                </c:pt>
                <c:pt idx="91">
                  <c:v>-11.230769230769226</c:v>
                </c:pt>
                <c:pt idx="92">
                  <c:v>-11.230769230769226</c:v>
                </c:pt>
                <c:pt idx="93">
                  <c:v>-11.230769230769226</c:v>
                </c:pt>
                <c:pt idx="94">
                  <c:v>-11.230769230769226</c:v>
                </c:pt>
                <c:pt idx="95">
                  <c:v>-11.230769230769226</c:v>
                </c:pt>
                <c:pt idx="96">
                  <c:v>-11.230769230769226</c:v>
                </c:pt>
                <c:pt idx="97">
                  <c:v>-11.230769230769226</c:v>
                </c:pt>
                <c:pt idx="98">
                  <c:v>-11.230769230769226</c:v>
                </c:pt>
                <c:pt idx="99">
                  <c:v>-11.230769230769226</c:v>
                </c:pt>
                <c:pt idx="100">
                  <c:v>-11.230769230769226</c:v>
                </c:pt>
                <c:pt idx="101">
                  <c:v>-11.230769230769226</c:v>
                </c:pt>
                <c:pt idx="102">
                  <c:v>-11.230769230769226</c:v>
                </c:pt>
                <c:pt idx="103">
                  <c:v>-11.230769230769226</c:v>
                </c:pt>
                <c:pt idx="104">
                  <c:v>-11.230769230769226</c:v>
                </c:pt>
                <c:pt idx="105">
                  <c:v>-11.230769230769226</c:v>
                </c:pt>
                <c:pt idx="106">
                  <c:v>-11.230769230769226</c:v>
                </c:pt>
                <c:pt idx="107">
                  <c:v>-11.230769230769226</c:v>
                </c:pt>
                <c:pt idx="108">
                  <c:v>-11.230769230769226</c:v>
                </c:pt>
                <c:pt idx="109">
                  <c:v>-11.230769230769226</c:v>
                </c:pt>
                <c:pt idx="110">
                  <c:v>-11.230769230769226</c:v>
                </c:pt>
                <c:pt idx="111">
                  <c:v>-11.230769230769226</c:v>
                </c:pt>
                <c:pt idx="112">
                  <c:v>-11.230769230769226</c:v>
                </c:pt>
                <c:pt idx="113">
                  <c:v>-11.230769230769226</c:v>
                </c:pt>
                <c:pt idx="114">
                  <c:v>-11.230769230769226</c:v>
                </c:pt>
                <c:pt idx="115">
                  <c:v>-11.230769230769226</c:v>
                </c:pt>
                <c:pt idx="116">
                  <c:v>-11.230769230769226</c:v>
                </c:pt>
                <c:pt idx="117">
                  <c:v>-11.230769230769226</c:v>
                </c:pt>
                <c:pt idx="118">
                  <c:v>-11.230769230769226</c:v>
                </c:pt>
                <c:pt idx="119">
                  <c:v>-11.230769230769226</c:v>
                </c:pt>
                <c:pt idx="120">
                  <c:v>-11.230769230769226</c:v>
                </c:pt>
                <c:pt idx="121">
                  <c:v>-11.230769230769226</c:v>
                </c:pt>
                <c:pt idx="122">
                  <c:v>-11.230769230769226</c:v>
                </c:pt>
                <c:pt idx="123">
                  <c:v>-11.230769230769226</c:v>
                </c:pt>
                <c:pt idx="124">
                  <c:v>-11.230769230769226</c:v>
                </c:pt>
                <c:pt idx="125">
                  <c:v>-11.230769230769226</c:v>
                </c:pt>
                <c:pt idx="126">
                  <c:v>-11.230769230769226</c:v>
                </c:pt>
                <c:pt idx="127">
                  <c:v>-11.230769230769226</c:v>
                </c:pt>
                <c:pt idx="128">
                  <c:v>-11.230769230769226</c:v>
                </c:pt>
                <c:pt idx="129">
                  <c:v>-11.230769230769226</c:v>
                </c:pt>
                <c:pt idx="130">
                  <c:v>-11.230769230769226</c:v>
                </c:pt>
                <c:pt idx="131">
                  <c:v>-11.230769230769226</c:v>
                </c:pt>
                <c:pt idx="132">
                  <c:v>-11.230769230769226</c:v>
                </c:pt>
                <c:pt idx="133">
                  <c:v>-11.230769230769226</c:v>
                </c:pt>
                <c:pt idx="134">
                  <c:v>-11.230769230769226</c:v>
                </c:pt>
                <c:pt idx="135">
                  <c:v>-11.230769230769226</c:v>
                </c:pt>
                <c:pt idx="136">
                  <c:v>-11.230769230769226</c:v>
                </c:pt>
                <c:pt idx="137">
                  <c:v>-11.230769230769226</c:v>
                </c:pt>
                <c:pt idx="138">
                  <c:v>-11.230769230769226</c:v>
                </c:pt>
                <c:pt idx="139">
                  <c:v>-11.230769230769226</c:v>
                </c:pt>
                <c:pt idx="140">
                  <c:v>-11.230769230769226</c:v>
                </c:pt>
                <c:pt idx="141">
                  <c:v>-11.230769230769226</c:v>
                </c:pt>
                <c:pt idx="142">
                  <c:v>-11.230769230769226</c:v>
                </c:pt>
                <c:pt idx="143">
                  <c:v>-11.230769230769226</c:v>
                </c:pt>
                <c:pt idx="144">
                  <c:v>-11.230769230769226</c:v>
                </c:pt>
                <c:pt idx="145">
                  <c:v>-11.230769230769226</c:v>
                </c:pt>
                <c:pt idx="146">
                  <c:v>-11.230769230769226</c:v>
                </c:pt>
                <c:pt idx="147">
                  <c:v>-11.230769230769226</c:v>
                </c:pt>
                <c:pt idx="148">
                  <c:v>-11.230769230769226</c:v>
                </c:pt>
                <c:pt idx="149">
                  <c:v>-11.230769230769226</c:v>
                </c:pt>
                <c:pt idx="150">
                  <c:v>-11.230769230769226</c:v>
                </c:pt>
                <c:pt idx="151">
                  <c:v>-11.230769230769226</c:v>
                </c:pt>
                <c:pt idx="152">
                  <c:v>-11.230769230769226</c:v>
                </c:pt>
                <c:pt idx="153">
                  <c:v>-11.230769230769226</c:v>
                </c:pt>
                <c:pt idx="154">
                  <c:v>-11.230769230769226</c:v>
                </c:pt>
                <c:pt idx="155">
                  <c:v>-11.230769230769226</c:v>
                </c:pt>
                <c:pt idx="156">
                  <c:v>-11.230769230769226</c:v>
                </c:pt>
                <c:pt idx="157">
                  <c:v>-11.230769230769226</c:v>
                </c:pt>
                <c:pt idx="158">
                  <c:v>-11.230769230769226</c:v>
                </c:pt>
                <c:pt idx="159">
                  <c:v>-11.230769230769226</c:v>
                </c:pt>
                <c:pt idx="160">
                  <c:v>-11.230769230769226</c:v>
                </c:pt>
                <c:pt idx="161">
                  <c:v>-11.230769230769226</c:v>
                </c:pt>
                <c:pt idx="162">
                  <c:v>-11.230769230769226</c:v>
                </c:pt>
                <c:pt idx="163">
                  <c:v>-11.230769230769226</c:v>
                </c:pt>
                <c:pt idx="164">
                  <c:v>-11.230769230769226</c:v>
                </c:pt>
                <c:pt idx="165">
                  <c:v>-11.230769230769226</c:v>
                </c:pt>
                <c:pt idx="166">
                  <c:v>-11.230769230769226</c:v>
                </c:pt>
                <c:pt idx="167">
                  <c:v>-11.230769230769226</c:v>
                </c:pt>
                <c:pt idx="168">
                  <c:v>-11.230769230769226</c:v>
                </c:pt>
                <c:pt idx="169">
                  <c:v>-11.230769230769226</c:v>
                </c:pt>
                <c:pt idx="170">
                  <c:v>-11.230769230769226</c:v>
                </c:pt>
                <c:pt idx="171">
                  <c:v>-11.230769230769226</c:v>
                </c:pt>
                <c:pt idx="172">
                  <c:v>-11.230769230769226</c:v>
                </c:pt>
                <c:pt idx="173">
                  <c:v>-11.230769230769226</c:v>
                </c:pt>
                <c:pt idx="174">
                  <c:v>-11.230769230769226</c:v>
                </c:pt>
                <c:pt idx="175">
                  <c:v>-11.230769230769226</c:v>
                </c:pt>
                <c:pt idx="176">
                  <c:v>-11.230769230769226</c:v>
                </c:pt>
                <c:pt idx="177">
                  <c:v>-11.230769230769226</c:v>
                </c:pt>
                <c:pt idx="178">
                  <c:v>-11.230769230769226</c:v>
                </c:pt>
                <c:pt idx="179">
                  <c:v>-11.230769230769226</c:v>
                </c:pt>
                <c:pt idx="180">
                  <c:v>-11.230769230769226</c:v>
                </c:pt>
                <c:pt idx="181">
                  <c:v>-11.230769230769226</c:v>
                </c:pt>
                <c:pt idx="182">
                  <c:v>-11.230769230769226</c:v>
                </c:pt>
                <c:pt idx="183">
                  <c:v>-11.230769230769226</c:v>
                </c:pt>
                <c:pt idx="184">
                  <c:v>-11.230769230769226</c:v>
                </c:pt>
                <c:pt idx="185">
                  <c:v>-11.230769230769226</c:v>
                </c:pt>
                <c:pt idx="186">
                  <c:v>-11.230769230769226</c:v>
                </c:pt>
                <c:pt idx="187">
                  <c:v>-11.230769230769226</c:v>
                </c:pt>
                <c:pt idx="188">
                  <c:v>-11.230769230769226</c:v>
                </c:pt>
                <c:pt idx="189">
                  <c:v>-11.230769230769226</c:v>
                </c:pt>
                <c:pt idx="190">
                  <c:v>-11.230769230769226</c:v>
                </c:pt>
                <c:pt idx="191">
                  <c:v>-11.230769230769226</c:v>
                </c:pt>
                <c:pt idx="192">
                  <c:v>-11.230769230769226</c:v>
                </c:pt>
                <c:pt idx="193">
                  <c:v>-11.230769230769226</c:v>
                </c:pt>
                <c:pt idx="194">
                  <c:v>-11.230769230769226</c:v>
                </c:pt>
                <c:pt idx="195">
                  <c:v>-11.230769230769226</c:v>
                </c:pt>
                <c:pt idx="196">
                  <c:v>-11.230769230769226</c:v>
                </c:pt>
                <c:pt idx="197">
                  <c:v>-11.230769230769226</c:v>
                </c:pt>
                <c:pt idx="198">
                  <c:v>-11.230769230769226</c:v>
                </c:pt>
                <c:pt idx="199">
                  <c:v>-11.230769230769226</c:v>
                </c:pt>
                <c:pt idx="200">
                  <c:v>-11.230769230769226</c:v>
                </c:pt>
                <c:pt idx="201">
                  <c:v>-11.230769230769226</c:v>
                </c:pt>
                <c:pt idx="202">
                  <c:v>-11.230769230769226</c:v>
                </c:pt>
                <c:pt idx="203">
                  <c:v>-11.230769230769226</c:v>
                </c:pt>
                <c:pt idx="204">
                  <c:v>-11.230769230769226</c:v>
                </c:pt>
                <c:pt idx="205">
                  <c:v>-11.230769230769226</c:v>
                </c:pt>
                <c:pt idx="206">
                  <c:v>-11.230769230769226</c:v>
                </c:pt>
                <c:pt idx="207">
                  <c:v>-11.230769230769226</c:v>
                </c:pt>
                <c:pt idx="208">
                  <c:v>-11.230769230769226</c:v>
                </c:pt>
                <c:pt idx="209">
                  <c:v>-11.230769230769226</c:v>
                </c:pt>
                <c:pt idx="210">
                  <c:v>-11.230769230769226</c:v>
                </c:pt>
                <c:pt idx="211">
                  <c:v>-11.230769230769226</c:v>
                </c:pt>
                <c:pt idx="212">
                  <c:v>-11.230769230769226</c:v>
                </c:pt>
                <c:pt idx="213">
                  <c:v>-11.230769230769226</c:v>
                </c:pt>
                <c:pt idx="214">
                  <c:v>-11.230769230769226</c:v>
                </c:pt>
                <c:pt idx="215">
                  <c:v>-11.230769230769226</c:v>
                </c:pt>
                <c:pt idx="216">
                  <c:v>-11.230769230769226</c:v>
                </c:pt>
                <c:pt idx="217">
                  <c:v>-11.230769230769226</c:v>
                </c:pt>
                <c:pt idx="218">
                  <c:v>-11.230769230769226</c:v>
                </c:pt>
                <c:pt idx="219">
                  <c:v>-11.230769230769226</c:v>
                </c:pt>
                <c:pt idx="220">
                  <c:v>-11.230769230769226</c:v>
                </c:pt>
                <c:pt idx="221">
                  <c:v>-11.230769230769226</c:v>
                </c:pt>
                <c:pt idx="222">
                  <c:v>-11.230769230769226</c:v>
                </c:pt>
                <c:pt idx="223">
                  <c:v>-11.230769230769226</c:v>
                </c:pt>
                <c:pt idx="224">
                  <c:v>-11.230769230769226</c:v>
                </c:pt>
                <c:pt idx="225">
                  <c:v>-11.230769230769226</c:v>
                </c:pt>
                <c:pt idx="226">
                  <c:v>-11.230769230769226</c:v>
                </c:pt>
                <c:pt idx="227">
                  <c:v>-11.230769230769226</c:v>
                </c:pt>
                <c:pt idx="228">
                  <c:v>-11.230769230769226</c:v>
                </c:pt>
                <c:pt idx="229">
                  <c:v>-11.230769230769226</c:v>
                </c:pt>
                <c:pt idx="230">
                  <c:v>-11.230769230769226</c:v>
                </c:pt>
                <c:pt idx="231">
                  <c:v>-11.230769230769226</c:v>
                </c:pt>
                <c:pt idx="232">
                  <c:v>-11.230769230769226</c:v>
                </c:pt>
                <c:pt idx="233">
                  <c:v>-11.230769230769226</c:v>
                </c:pt>
                <c:pt idx="234">
                  <c:v>-11.230769230769226</c:v>
                </c:pt>
                <c:pt idx="235">
                  <c:v>-11.230769230769226</c:v>
                </c:pt>
                <c:pt idx="236">
                  <c:v>-11.230769230769226</c:v>
                </c:pt>
                <c:pt idx="237">
                  <c:v>-11.230769230769226</c:v>
                </c:pt>
                <c:pt idx="238">
                  <c:v>-11.230769230769226</c:v>
                </c:pt>
                <c:pt idx="239">
                  <c:v>-11.230769230769226</c:v>
                </c:pt>
                <c:pt idx="240">
                  <c:v>-11.230769230769226</c:v>
                </c:pt>
                <c:pt idx="241">
                  <c:v>-11.230769230769226</c:v>
                </c:pt>
                <c:pt idx="242">
                  <c:v>-11.230769230769226</c:v>
                </c:pt>
                <c:pt idx="243">
                  <c:v>-11.230769230769226</c:v>
                </c:pt>
                <c:pt idx="244">
                  <c:v>-11.230769230769226</c:v>
                </c:pt>
                <c:pt idx="245">
                  <c:v>-11.230769230769226</c:v>
                </c:pt>
                <c:pt idx="246">
                  <c:v>-11.230769230769226</c:v>
                </c:pt>
                <c:pt idx="247">
                  <c:v>-11.230769230769226</c:v>
                </c:pt>
                <c:pt idx="248">
                  <c:v>-11.230769230769226</c:v>
                </c:pt>
                <c:pt idx="249">
                  <c:v>-11.230769230769226</c:v>
                </c:pt>
                <c:pt idx="250">
                  <c:v>-11.230769230769226</c:v>
                </c:pt>
                <c:pt idx="251">
                  <c:v>-11.230769230769226</c:v>
                </c:pt>
                <c:pt idx="252">
                  <c:v>-11.230769230769226</c:v>
                </c:pt>
                <c:pt idx="253">
                  <c:v>-11.230769230769226</c:v>
                </c:pt>
                <c:pt idx="254">
                  <c:v>-11.230769230769226</c:v>
                </c:pt>
                <c:pt idx="255">
                  <c:v>-11.230769230769226</c:v>
                </c:pt>
                <c:pt idx="256">
                  <c:v>-11.230769230769226</c:v>
                </c:pt>
                <c:pt idx="257">
                  <c:v>-11.230769230769226</c:v>
                </c:pt>
                <c:pt idx="258">
                  <c:v>-11.230769230769226</c:v>
                </c:pt>
                <c:pt idx="259">
                  <c:v>-11.230769230769226</c:v>
                </c:pt>
                <c:pt idx="260">
                  <c:v>-11.230769230769226</c:v>
                </c:pt>
                <c:pt idx="261">
                  <c:v>-11.230769230769226</c:v>
                </c:pt>
                <c:pt idx="262">
                  <c:v>-11.230769230769226</c:v>
                </c:pt>
                <c:pt idx="263">
                  <c:v>-11.230769230769226</c:v>
                </c:pt>
                <c:pt idx="264">
                  <c:v>-11.230769230769226</c:v>
                </c:pt>
                <c:pt idx="265">
                  <c:v>-11.230769230769226</c:v>
                </c:pt>
                <c:pt idx="266">
                  <c:v>-11.230769230769226</c:v>
                </c:pt>
                <c:pt idx="267">
                  <c:v>-11.230769230769226</c:v>
                </c:pt>
                <c:pt idx="268">
                  <c:v>-11.230769230769226</c:v>
                </c:pt>
                <c:pt idx="269">
                  <c:v>-11.230769230769226</c:v>
                </c:pt>
                <c:pt idx="270">
                  <c:v>-11.230769230769226</c:v>
                </c:pt>
                <c:pt idx="271">
                  <c:v>-11.230769230769226</c:v>
                </c:pt>
                <c:pt idx="272">
                  <c:v>-11.230769230769226</c:v>
                </c:pt>
                <c:pt idx="273">
                  <c:v>-11.230769230769226</c:v>
                </c:pt>
                <c:pt idx="274">
                  <c:v>-11.230769230769226</c:v>
                </c:pt>
                <c:pt idx="275">
                  <c:v>-11.230769230769226</c:v>
                </c:pt>
                <c:pt idx="276">
                  <c:v>-11.230769230769226</c:v>
                </c:pt>
                <c:pt idx="277">
                  <c:v>-11.230769230769226</c:v>
                </c:pt>
                <c:pt idx="278">
                  <c:v>-11.230769230769226</c:v>
                </c:pt>
                <c:pt idx="279">
                  <c:v>-11.230769230769226</c:v>
                </c:pt>
                <c:pt idx="280">
                  <c:v>-11.230769230769226</c:v>
                </c:pt>
                <c:pt idx="281">
                  <c:v>-11.230769230769226</c:v>
                </c:pt>
                <c:pt idx="282">
                  <c:v>-11.230769230769226</c:v>
                </c:pt>
                <c:pt idx="283">
                  <c:v>-11.230769230769226</c:v>
                </c:pt>
                <c:pt idx="284">
                  <c:v>-11.230769230769226</c:v>
                </c:pt>
                <c:pt idx="285">
                  <c:v>-11.230769230769226</c:v>
                </c:pt>
                <c:pt idx="286">
                  <c:v>-11.230769230769226</c:v>
                </c:pt>
                <c:pt idx="287">
                  <c:v>-11.230769230769226</c:v>
                </c:pt>
                <c:pt idx="288">
                  <c:v>-11.230769230769226</c:v>
                </c:pt>
                <c:pt idx="289">
                  <c:v>-11.230769230769226</c:v>
                </c:pt>
                <c:pt idx="290">
                  <c:v>-11.230769230769226</c:v>
                </c:pt>
                <c:pt idx="291">
                  <c:v>-11.230769230769226</c:v>
                </c:pt>
                <c:pt idx="292">
                  <c:v>-11.230769230769226</c:v>
                </c:pt>
                <c:pt idx="293">
                  <c:v>-11.230769230769226</c:v>
                </c:pt>
                <c:pt idx="294">
                  <c:v>-11.230769230769226</c:v>
                </c:pt>
                <c:pt idx="295">
                  <c:v>-11.230769230769226</c:v>
                </c:pt>
                <c:pt idx="296">
                  <c:v>-11.230769230769226</c:v>
                </c:pt>
                <c:pt idx="297">
                  <c:v>-11.230769230769226</c:v>
                </c:pt>
                <c:pt idx="298">
                  <c:v>-11.230769230769226</c:v>
                </c:pt>
                <c:pt idx="299">
                  <c:v>-11.230769230769226</c:v>
                </c:pt>
                <c:pt idx="300">
                  <c:v>-11.230769230769226</c:v>
                </c:pt>
                <c:pt idx="301">
                  <c:v>-11.230769230769226</c:v>
                </c:pt>
                <c:pt idx="302">
                  <c:v>-11.230769230769226</c:v>
                </c:pt>
                <c:pt idx="303">
                  <c:v>-11.230769230769226</c:v>
                </c:pt>
                <c:pt idx="304">
                  <c:v>-11.230769230769226</c:v>
                </c:pt>
                <c:pt idx="305">
                  <c:v>-11.230769230769226</c:v>
                </c:pt>
                <c:pt idx="306">
                  <c:v>-11.230769230769226</c:v>
                </c:pt>
                <c:pt idx="307">
                  <c:v>-11.230769230769226</c:v>
                </c:pt>
                <c:pt idx="308">
                  <c:v>-11.230769230769226</c:v>
                </c:pt>
                <c:pt idx="309">
                  <c:v>-11.230769230769226</c:v>
                </c:pt>
                <c:pt idx="310">
                  <c:v>-11.230769230769226</c:v>
                </c:pt>
                <c:pt idx="311">
                  <c:v>-11.230769230769226</c:v>
                </c:pt>
                <c:pt idx="312">
                  <c:v>-11.230769230769226</c:v>
                </c:pt>
                <c:pt idx="313">
                  <c:v>-11.230769230769226</c:v>
                </c:pt>
                <c:pt idx="314">
                  <c:v>-11.230769230769226</c:v>
                </c:pt>
                <c:pt idx="315">
                  <c:v>-11.230769230769226</c:v>
                </c:pt>
                <c:pt idx="316">
                  <c:v>-11.230769230769226</c:v>
                </c:pt>
                <c:pt idx="317">
                  <c:v>-11.230769230769226</c:v>
                </c:pt>
                <c:pt idx="318">
                  <c:v>-11.230769230769226</c:v>
                </c:pt>
                <c:pt idx="319">
                  <c:v>-11.230769230769226</c:v>
                </c:pt>
              </c:numCache>
            </c:numRef>
          </c:xVal>
          <c:yVal>
            <c:numRef>
              <c:f>CROQUIS_DATOS!$Q$4:$Q$323</c:f>
              <c:numCache>
                <c:formatCode>General</c:formatCode>
                <c:ptCount val="320"/>
                <c:pt idx="0">
                  <c:v>-26.769230769230774</c:v>
                </c:pt>
                <c:pt idx="1">
                  <c:v>-26.769230769230774</c:v>
                </c:pt>
                <c:pt idx="2">
                  <c:v>-26.769230769230774</c:v>
                </c:pt>
                <c:pt idx="3">
                  <c:v>-26.769230769230774</c:v>
                </c:pt>
                <c:pt idx="4">
                  <c:v>-22.307692307692307</c:v>
                </c:pt>
                <c:pt idx="5">
                  <c:v>-22.307692307692307</c:v>
                </c:pt>
                <c:pt idx="6">
                  <c:v>-22.307692307692307</c:v>
                </c:pt>
                <c:pt idx="7">
                  <c:v>-22.307692307692307</c:v>
                </c:pt>
                <c:pt idx="8">
                  <c:v>-17.846153846153847</c:v>
                </c:pt>
                <c:pt idx="9">
                  <c:v>-17.846153846153847</c:v>
                </c:pt>
                <c:pt idx="10">
                  <c:v>-17.846153846153847</c:v>
                </c:pt>
                <c:pt idx="11">
                  <c:v>-17.846153846153847</c:v>
                </c:pt>
                <c:pt idx="12">
                  <c:v>-13.384615384615387</c:v>
                </c:pt>
                <c:pt idx="13">
                  <c:v>-13.384615384615387</c:v>
                </c:pt>
                <c:pt idx="14">
                  <c:v>-13.384615384615387</c:v>
                </c:pt>
                <c:pt idx="15">
                  <c:v>-13.384615384615387</c:v>
                </c:pt>
                <c:pt idx="16">
                  <c:v>-8.9230769230769234</c:v>
                </c:pt>
                <c:pt idx="17">
                  <c:v>-8.9230769230769234</c:v>
                </c:pt>
                <c:pt idx="18">
                  <c:v>-8.9230769230769234</c:v>
                </c:pt>
                <c:pt idx="19">
                  <c:v>-8.9230769230769234</c:v>
                </c:pt>
                <c:pt idx="20">
                  <c:v>-4.4615384615384617</c:v>
                </c:pt>
                <c:pt idx="21">
                  <c:v>-4.4615384615384617</c:v>
                </c:pt>
                <c:pt idx="22">
                  <c:v>-4.4615384615384617</c:v>
                </c:pt>
                <c:pt idx="23">
                  <c:v>-4.4615384615384617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4.4615384615384617</c:v>
                </c:pt>
                <c:pt idx="29">
                  <c:v>4.4615384615384617</c:v>
                </c:pt>
                <c:pt idx="30">
                  <c:v>4.4615384615384617</c:v>
                </c:pt>
                <c:pt idx="31">
                  <c:v>4.4615384615384617</c:v>
                </c:pt>
                <c:pt idx="32">
                  <c:v>8.9230769230769234</c:v>
                </c:pt>
                <c:pt idx="33">
                  <c:v>8.9230769230769234</c:v>
                </c:pt>
                <c:pt idx="34">
                  <c:v>8.9230769230769234</c:v>
                </c:pt>
                <c:pt idx="35">
                  <c:v>8.9230769230769234</c:v>
                </c:pt>
                <c:pt idx="36">
                  <c:v>13.384615384615387</c:v>
                </c:pt>
                <c:pt idx="37">
                  <c:v>13.384615384615387</c:v>
                </c:pt>
                <c:pt idx="38">
                  <c:v>13.384615384615387</c:v>
                </c:pt>
                <c:pt idx="39">
                  <c:v>13.384615384615387</c:v>
                </c:pt>
                <c:pt idx="40">
                  <c:v>17.846153846153847</c:v>
                </c:pt>
                <c:pt idx="41">
                  <c:v>17.846153846153847</c:v>
                </c:pt>
                <c:pt idx="42">
                  <c:v>17.846153846153847</c:v>
                </c:pt>
                <c:pt idx="43">
                  <c:v>17.846153846153847</c:v>
                </c:pt>
                <c:pt idx="44">
                  <c:v>22.307692307692307</c:v>
                </c:pt>
                <c:pt idx="45">
                  <c:v>22.307692307692307</c:v>
                </c:pt>
                <c:pt idx="46">
                  <c:v>22.307692307692307</c:v>
                </c:pt>
                <c:pt idx="47">
                  <c:v>22.307692307692307</c:v>
                </c:pt>
                <c:pt idx="48">
                  <c:v>26.769230769230774</c:v>
                </c:pt>
                <c:pt idx="49">
                  <c:v>26.769230769230774</c:v>
                </c:pt>
                <c:pt idx="50">
                  <c:v>26.769230769230774</c:v>
                </c:pt>
                <c:pt idx="51">
                  <c:v>26.769230769230774</c:v>
                </c:pt>
                <c:pt idx="52">
                  <c:v>26.769230769230774</c:v>
                </c:pt>
                <c:pt idx="53">
                  <c:v>26.769230769230774</c:v>
                </c:pt>
                <c:pt idx="54">
                  <c:v>26.769230769230774</c:v>
                </c:pt>
                <c:pt idx="55">
                  <c:v>26.769230769230774</c:v>
                </c:pt>
                <c:pt idx="56">
                  <c:v>26.769230769230774</c:v>
                </c:pt>
                <c:pt idx="57">
                  <c:v>26.769230769230774</c:v>
                </c:pt>
                <c:pt idx="58">
                  <c:v>26.769230769230774</c:v>
                </c:pt>
                <c:pt idx="59">
                  <c:v>26.769230769230774</c:v>
                </c:pt>
                <c:pt idx="60">
                  <c:v>26.769230769230774</c:v>
                </c:pt>
                <c:pt idx="61">
                  <c:v>26.769230769230774</c:v>
                </c:pt>
                <c:pt idx="62">
                  <c:v>26.769230769230774</c:v>
                </c:pt>
                <c:pt idx="63">
                  <c:v>26.769230769230774</c:v>
                </c:pt>
                <c:pt idx="64">
                  <c:v>26.769230769230774</c:v>
                </c:pt>
                <c:pt idx="65">
                  <c:v>26.769230769230774</c:v>
                </c:pt>
                <c:pt idx="66">
                  <c:v>26.769230769230774</c:v>
                </c:pt>
                <c:pt idx="67">
                  <c:v>26.769230769230774</c:v>
                </c:pt>
                <c:pt idx="68">
                  <c:v>26.769230769230774</c:v>
                </c:pt>
                <c:pt idx="69">
                  <c:v>26.769230769230774</c:v>
                </c:pt>
                <c:pt idx="70">
                  <c:v>26.769230769230774</c:v>
                </c:pt>
                <c:pt idx="71">
                  <c:v>26.769230769230774</c:v>
                </c:pt>
                <c:pt idx="72">
                  <c:v>26.769230769230774</c:v>
                </c:pt>
                <c:pt idx="73">
                  <c:v>26.769230769230774</c:v>
                </c:pt>
                <c:pt idx="74">
                  <c:v>26.769230769230774</c:v>
                </c:pt>
                <c:pt idx="75">
                  <c:v>26.769230769230774</c:v>
                </c:pt>
                <c:pt idx="76">
                  <c:v>26.769230769230774</c:v>
                </c:pt>
                <c:pt idx="77">
                  <c:v>26.769230769230774</c:v>
                </c:pt>
                <c:pt idx="78">
                  <c:v>26.769230769230774</c:v>
                </c:pt>
                <c:pt idx="79">
                  <c:v>26.769230769230774</c:v>
                </c:pt>
                <c:pt idx="80">
                  <c:v>26.769230769230774</c:v>
                </c:pt>
                <c:pt idx="81">
                  <c:v>26.769230769230774</c:v>
                </c:pt>
                <c:pt idx="82">
                  <c:v>26.769230769230774</c:v>
                </c:pt>
                <c:pt idx="83">
                  <c:v>26.769230769230774</c:v>
                </c:pt>
                <c:pt idx="84">
                  <c:v>26.769230769230774</c:v>
                </c:pt>
                <c:pt idx="85">
                  <c:v>26.769230769230774</c:v>
                </c:pt>
                <c:pt idx="86">
                  <c:v>26.769230769230774</c:v>
                </c:pt>
                <c:pt idx="87">
                  <c:v>26.769230769230774</c:v>
                </c:pt>
                <c:pt idx="88">
                  <c:v>26.769230769230774</c:v>
                </c:pt>
                <c:pt idx="89">
                  <c:v>26.769230769230774</c:v>
                </c:pt>
                <c:pt idx="90">
                  <c:v>26.769230769230774</c:v>
                </c:pt>
                <c:pt idx="91">
                  <c:v>26.769230769230774</c:v>
                </c:pt>
                <c:pt idx="92">
                  <c:v>26.769230769230774</c:v>
                </c:pt>
                <c:pt idx="93">
                  <c:v>26.769230769230774</c:v>
                </c:pt>
                <c:pt idx="94">
                  <c:v>26.769230769230774</c:v>
                </c:pt>
                <c:pt idx="95">
                  <c:v>26.769230769230774</c:v>
                </c:pt>
                <c:pt idx="96">
                  <c:v>26.769230769230774</c:v>
                </c:pt>
                <c:pt idx="97">
                  <c:v>26.769230769230774</c:v>
                </c:pt>
                <c:pt idx="98">
                  <c:v>26.769230769230774</c:v>
                </c:pt>
                <c:pt idx="99">
                  <c:v>26.769230769230774</c:v>
                </c:pt>
                <c:pt idx="100">
                  <c:v>26.769230769230774</c:v>
                </c:pt>
                <c:pt idx="101">
                  <c:v>26.769230769230774</c:v>
                </c:pt>
                <c:pt idx="102">
                  <c:v>26.769230769230774</c:v>
                </c:pt>
                <c:pt idx="103">
                  <c:v>26.769230769230774</c:v>
                </c:pt>
                <c:pt idx="104">
                  <c:v>26.769230769230774</c:v>
                </c:pt>
                <c:pt idx="105">
                  <c:v>26.769230769230774</c:v>
                </c:pt>
                <c:pt idx="106">
                  <c:v>26.769230769230774</c:v>
                </c:pt>
                <c:pt idx="107">
                  <c:v>26.769230769230774</c:v>
                </c:pt>
                <c:pt idx="108">
                  <c:v>26.769230769230774</c:v>
                </c:pt>
                <c:pt idx="109">
                  <c:v>26.769230769230774</c:v>
                </c:pt>
                <c:pt idx="110">
                  <c:v>26.769230769230774</c:v>
                </c:pt>
                <c:pt idx="111">
                  <c:v>26.769230769230774</c:v>
                </c:pt>
                <c:pt idx="112">
                  <c:v>26.769230769230774</c:v>
                </c:pt>
                <c:pt idx="113">
                  <c:v>26.769230769230774</c:v>
                </c:pt>
                <c:pt idx="114">
                  <c:v>26.769230769230774</c:v>
                </c:pt>
                <c:pt idx="115">
                  <c:v>26.769230769230774</c:v>
                </c:pt>
                <c:pt idx="116">
                  <c:v>26.769230769230774</c:v>
                </c:pt>
                <c:pt idx="117">
                  <c:v>26.769230769230774</c:v>
                </c:pt>
                <c:pt idx="118">
                  <c:v>26.769230769230774</c:v>
                </c:pt>
                <c:pt idx="119">
                  <c:v>26.769230769230774</c:v>
                </c:pt>
                <c:pt idx="120">
                  <c:v>26.769230769230774</c:v>
                </c:pt>
                <c:pt idx="121">
                  <c:v>26.769230769230774</c:v>
                </c:pt>
                <c:pt idx="122">
                  <c:v>26.769230769230774</c:v>
                </c:pt>
                <c:pt idx="123">
                  <c:v>26.769230769230774</c:v>
                </c:pt>
                <c:pt idx="124">
                  <c:v>26.769230769230774</c:v>
                </c:pt>
                <c:pt idx="125">
                  <c:v>26.769230769230774</c:v>
                </c:pt>
                <c:pt idx="126">
                  <c:v>26.769230769230774</c:v>
                </c:pt>
                <c:pt idx="127">
                  <c:v>26.769230769230774</c:v>
                </c:pt>
                <c:pt idx="128">
                  <c:v>26.769230769230774</c:v>
                </c:pt>
                <c:pt idx="129">
                  <c:v>26.769230769230774</c:v>
                </c:pt>
                <c:pt idx="130">
                  <c:v>26.769230769230774</c:v>
                </c:pt>
                <c:pt idx="131">
                  <c:v>26.769230769230774</c:v>
                </c:pt>
                <c:pt idx="132">
                  <c:v>26.769230769230774</c:v>
                </c:pt>
                <c:pt idx="133">
                  <c:v>26.769230769230774</c:v>
                </c:pt>
                <c:pt idx="134">
                  <c:v>26.769230769230774</c:v>
                </c:pt>
                <c:pt idx="135">
                  <c:v>26.769230769230774</c:v>
                </c:pt>
                <c:pt idx="136">
                  <c:v>26.769230769230774</c:v>
                </c:pt>
                <c:pt idx="137">
                  <c:v>26.769230769230774</c:v>
                </c:pt>
                <c:pt idx="138">
                  <c:v>26.769230769230774</c:v>
                </c:pt>
                <c:pt idx="139">
                  <c:v>26.769230769230774</c:v>
                </c:pt>
                <c:pt idx="140">
                  <c:v>26.769230769230774</c:v>
                </c:pt>
                <c:pt idx="141">
                  <c:v>26.769230769230774</c:v>
                </c:pt>
                <c:pt idx="142">
                  <c:v>26.769230769230774</c:v>
                </c:pt>
                <c:pt idx="143">
                  <c:v>26.769230769230774</c:v>
                </c:pt>
                <c:pt idx="144">
                  <c:v>26.769230769230774</c:v>
                </c:pt>
                <c:pt idx="145">
                  <c:v>26.769230769230774</c:v>
                </c:pt>
                <c:pt idx="146">
                  <c:v>26.769230769230774</c:v>
                </c:pt>
                <c:pt idx="147">
                  <c:v>26.769230769230774</c:v>
                </c:pt>
                <c:pt idx="148">
                  <c:v>26.769230769230774</c:v>
                </c:pt>
                <c:pt idx="149">
                  <c:v>26.769230769230774</c:v>
                </c:pt>
                <c:pt idx="150">
                  <c:v>26.769230769230774</c:v>
                </c:pt>
                <c:pt idx="151">
                  <c:v>26.769230769230774</c:v>
                </c:pt>
                <c:pt idx="152">
                  <c:v>26.769230769230774</c:v>
                </c:pt>
                <c:pt idx="153">
                  <c:v>26.769230769230774</c:v>
                </c:pt>
                <c:pt idx="154">
                  <c:v>26.769230769230774</c:v>
                </c:pt>
                <c:pt idx="155">
                  <c:v>26.769230769230774</c:v>
                </c:pt>
                <c:pt idx="156">
                  <c:v>26.769230769230774</c:v>
                </c:pt>
                <c:pt idx="157">
                  <c:v>26.769230769230774</c:v>
                </c:pt>
                <c:pt idx="158">
                  <c:v>26.769230769230774</c:v>
                </c:pt>
                <c:pt idx="159">
                  <c:v>26.769230769230774</c:v>
                </c:pt>
                <c:pt idx="160">
                  <c:v>26.769230769230774</c:v>
                </c:pt>
                <c:pt idx="161">
                  <c:v>26.769230769230774</c:v>
                </c:pt>
                <c:pt idx="162">
                  <c:v>26.769230769230774</c:v>
                </c:pt>
                <c:pt idx="163">
                  <c:v>26.769230769230774</c:v>
                </c:pt>
                <c:pt idx="164">
                  <c:v>26.769230769230774</c:v>
                </c:pt>
                <c:pt idx="165">
                  <c:v>26.769230769230774</c:v>
                </c:pt>
                <c:pt idx="166">
                  <c:v>26.769230769230774</c:v>
                </c:pt>
                <c:pt idx="167">
                  <c:v>26.769230769230774</c:v>
                </c:pt>
                <c:pt idx="168">
                  <c:v>26.769230769230774</c:v>
                </c:pt>
                <c:pt idx="169">
                  <c:v>26.769230769230774</c:v>
                </c:pt>
                <c:pt idx="170">
                  <c:v>26.769230769230774</c:v>
                </c:pt>
                <c:pt idx="171">
                  <c:v>26.769230769230774</c:v>
                </c:pt>
                <c:pt idx="172">
                  <c:v>26.769230769230774</c:v>
                </c:pt>
                <c:pt idx="173">
                  <c:v>26.769230769230774</c:v>
                </c:pt>
                <c:pt idx="174">
                  <c:v>26.769230769230774</c:v>
                </c:pt>
                <c:pt idx="175">
                  <c:v>26.769230769230774</c:v>
                </c:pt>
                <c:pt idx="176">
                  <c:v>26.769230769230774</c:v>
                </c:pt>
                <c:pt idx="177">
                  <c:v>26.769230769230774</c:v>
                </c:pt>
                <c:pt idx="178">
                  <c:v>26.769230769230774</c:v>
                </c:pt>
                <c:pt idx="179">
                  <c:v>26.769230769230774</c:v>
                </c:pt>
                <c:pt idx="180">
                  <c:v>26.769230769230774</c:v>
                </c:pt>
                <c:pt idx="181">
                  <c:v>26.769230769230774</c:v>
                </c:pt>
                <c:pt idx="182">
                  <c:v>26.769230769230774</c:v>
                </c:pt>
                <c:pt idx="183">
                  <c:v>26.769230769230774</c:v>
                </c:pt>
                <c:pt idx="184">
                  <c:v>26.769230769230774</c:v>
                </c:pt>
                <c:pt idx="185">
                  <c:v>26.769230769230774</c:v>
                </c:pt>
                <c:pt idx="186">
                  <c:v>26.769230769230774</c:v>
                </c:pt>
                <c:pt idx="187">
                  <c:v>26.769230769230774</c:v>
                </c:pt>
                <c:pt idx="188">
                  <c:v>26.769230769230774</c:v>
                </c:pt>
                <c:pt idx="189">
                  <c:v>26.769230769230774</c:v>
                </c:pt>
                <c:pt idx="190">
                  <c:v>26.769230769230774</c:v>
                </c:pt>
                <c:pt idx="191">
                  <c:v>26.769230769230774</c:v>
                </c:pt>
                <c:pt idx="192">
                  <c:v>26.769230769230774</c:v>
                </c:pt>
                <c:pt idx="193">
                  <c:v>26.769230769230774</c:v>
                </c:pt>
                <c:pt idx="194">
                  <c:v>26.769230769230774</c:v>
                </c:pt>
                <c:pt idx="195">
                  <c:v>26.769230769230774</c:v>
                </c:pt>
                <c:pt idx="196">
                  <c:v>26.769230769230774</c:v>
                </c:pt>
                <c:pt idx="197">
                  <c:v>26.769230769230774</c:v>
                </c:pt>
                <c:pt idx="198">
                  <c:v>26.769230769230774</c:v>
                </c:pt>
                <c:pt idx="199">
                  <c:v>26.769230769230774</c:v>
                </c:pt>
                <c:pt idx="200">
                  <c:v>26.769230769230774</c:v>
                </c:pt>
                <c:pt idx="201">
                  <c:v>26.769230769230774</c:v>
                </c:pt>
                <c:pt idx="202">
                  <c:v>26.769230769230774</c:v>
                </c:pt>
                <c:pt idx="203">
                  <c:v>26.769230769230774</c:v>
                </c:pt>
                <c:pt idx="204">
                  <c:v>26.769230769230774</c:v>
                </c:pt>
                <c:pt idx="205">
                  <c:v>26.769230769230774</c:v>
                </c:pt>
                <c:pt idx="206">
                  <c:v>26.769230769230774</c:v>
                </c:pt>
                <c:pt idx="207">
                  <c:v>26.769230769230774</c:v>
                </c:pt>
                <c:pt idx="208">
                  <c:v>26.769230769230774</c:v>
                </c:pt>
                <c:pt idx="209">
                  <c:v>26.769230769230774</c:v>
                </c:pt>
                <c:pt idx="210">
                  <c:v>26.769230769230774</c:v>
                </c:pt>
                <c:pt idx="211">
                  <c:v>26.769230769230774</c:v>
                </c:pt>
                <c:pt idx="212">
                  <c:v>26.769230769230774</c:v>
                </c:pt>
                <c:pt idx="213">
                  <c:v>26.769230769230774</c:v>
                </c:pt>
                <c:pt idx="214">
                  <c:v>26.769230769230774</c:v>
                </c:pt>
                <c:pt idx="215">
                  <c:v>26.769230769230774</c:v>
                </c:pt>
                <c:pt idx="216">
                  <c:v>26.769230769230774</c:v>
                </c:pt>
                <c:pt idx="217">
                  <c:v>26.769230769230774</c:v>
                </c:pt>
                <c:pt idx="218">
                  <c:v>26.769230769230774</c:v>
                </c:pt>
                <c:pt idx="219">
                  <c:v>26.769230769230774</c:v>
                </c:pt>
                <c:pt idx="220">
                  <c:v>26.769230769230774</c:v>
                </c:pt>
                <c:pt idx="221">
                  <c:v>26.769230769230774</c:v>
                </c:pt>
                <c:pt idx="222">
                  <c:v>26.769230769230774</c:v>
                </c:pt>
                <c:pt idx="223">
                  <c:v>26.769230769230774</c:v>
                </c:pt>
                <c:pt idx="224">
                  <c:v>26.769230769230774</c:v>
                </c:pt>
                <c:pt idx="225">
                  <c:v>26.769230769230774</c:v>
                </c:pt>
                <c:pt idx="226">
                  <c:v>26.769230769230774</c:v>
                </c:pt>
                <c:pt idx="227">
                  <c:v>26.769230769230774</c:v>
                </c:pt>
                <c:pt idx="228">
                  <c:v>26.769230769230774</c:v>
                </c:pt>
                <c:pt idx="229">
                  <c:v>26.769230769230774</c:v>
                </c:pt>
                <c:pt idx="230">
                  <c:v>26.769230769230774</c:v>
                </c:pt>
                <c:pt idx="231">
                  <c:v>26.769230769230774</c:v>
                </c:pt>
                <c:pt idx="232">
                  <c:v>26.769230769230774</c:v>
                </c:pt>
                <c:pt idx="233">
                  <c:v>26.769230769230774</c:v>
                </c:pt>
                <c:pt idx="234">
                  <c:v>26.769230769230774</c:v>
                </c:pt>
                <c:pt idx="235">
                  <c:v>26.769230769230774</c:v>
                </c:pt>
                <c:pt idx="236">
                  <c:v>26.769230769230774</c:v>
                </c:pt>
                <c:pt idx="237">
                  <c:v>26.769230769230774</c:v>
                </c:pt>
                <c:pt idx="238">
                  <c:v>26.769230769230774</c:v>
                </c:pt>
                <c:pt idx="239">
                  <c:v>26.769230769230774</c:v>
                </c:pt>
                <c:pt idx="240">
                  <c:v>26.769230769230774</c:v>
                </c:pt>
                <c:pt idx="241">
                  <c:v>26.769230769230774</c:v>
                </c:pt>
                <c:pt idx="242">
                  <c:v>26.769230769230774</c:v>
                </c:pt>
                <c:pt idx="243">
                  <c:v>26.769230769230774</c:v>
                </c:pt>
                <c:pt idx="244">
                  <c:v>26.769230769230774</c:v>
                </c:pt>
                <c:pt idx="245">
                  <c:v>26.769230769230774</c:v>
                </c:pt>
                <c:pt idx="246">
                  <c:v>26.769230769230774</c:v>
                </c:pt>
                <c:pt idx="247">
                  <c:v>26.769230769230774</c:v>
                </c:pt>
                <c:pt idx="248">
                  <c:v>26.769230769230774</c:v>
                </c:pt>
                <c:pt idx="249">
                  <c:v>26.769230769230774</c:v>
                </c:pt>
                <c:pt idx="250">
                  <c:v>26.769230769230774</c:v>
                </c:pt>
                <c:pt idx="251">
                  <c:v>26.769230769230774</c:v>
                </c:pt>
                <c:pt idx="252">
                  <c:v>26.769230769230774</c:v>
                </c:pt>
                <c:pt idx="253">
                  <c:v>26.769230769230774</c:v>
                </c:pt>
                <c:pt idx="254">
                  <c:v>26.769230769230774</c:v>
                </c:pt>
                <c:pt idx="255">
                  <c:v>26.769230769230774</c:v>
                </c:pt>
                <c:pt idx="256">
                  <c:v>26.769230769230774</c:v>
                </c:pt>
                <c:pt idx="257">
                  <c:v>26.769230769230774</c:v>
                </c:pt>
                <c:pt idx="258">
                  <c:v>26.769230769230774</c:v>
                </c:pt>
                <c:pt idx="259">
                  <c:v>26.769230769230774</c:v>
                </c:pt>
                <c:pt idx="260">
                  <c:v>26.769230769230774</c:v>
                </c:pt>
                <c:pt idx="261">
                  <c:v>26.769230769230774</c:v>
                </c:pt>
                <c:pt idx="262">
                  <c:v>26.769230769230774</c:v>
                </c:pt>
                <c:pt idx="263">
                  <c:v>26.769230769230774</c:v>
                </c:pt>
                <c:pt idx="264">
                  <c:v>26.769230769230774</c:v>
                </c:pt>
                <c:pt idx="265">
                  <c:v>26.769230769230774</c:v>
                </c:pt>
                <c:pt idx="266">
                  <c:v>26.769230769230774</c:v>
                </c:pt>
                <c:pt idx="267">
                  <c:v>26.769230769230774</c:v>
                </c:pt>
                <c:pt idx="268">
                  <c:v>26.769230769230774</c:v>
                </c:pt>
                <c:pt idx="269">
                  <c:v>26.769230769230774</c:v>
                </c:pt>
                <c:pt idx="270">
                  <c:v>26.769230769230774</c:v>
                </c:pt>
                <c:pt idx="271">
                  <c:v>26.769230769230774</c:v>
                </c:pt>
                <c:pt idx="272">
                  <c:v>26.769230769230774</c:v>
                </c:pt>
                <c:pt idx="273">
                  <c:v>26.769230769230774</c:v>
                </c:pt>
                <c:pt idx="274">
                  <c:v>26.769230769230774</c:v>
                </c:pt>
                <c:pt idx="275">
                  <c:v>26.769230769230774</c:v>
                </c:pt>
                <c:pt idx="276">
                  <c:v>26.769230769230774</c:v>
                </c:pt>
                <c:pt idx="277">
                  <c:v>26.769230769230774</c:v>
                </c:pt>
                <c:pt idx="278">
                  <c:v>26.769230769230774</c:v>
                </c:pt>
                <c:pt idx="279">
                  <c:v>26.769230769230774</c:v>
                </c:pt>
                <c:pt idx="280">
                  <c:v>26.769230769230774</c:v>
                </c:pt>
                <c:pt idx="281">
                  <c:v>26.769230769230774</c:v>
                </c:pt>
                <c:pt idx="282">
                  <c:v>26.769230769230774</c:v>
                </c:pt>
                <c:pt idx="283">
                  <c:v>26.769230769230774</c:v>
                </c:pt>
                <c:pt idx="284">
                  <c:v>26.769230769230774</c:v>
                </c:pt>
                <c:pt idx="285">
                  <c:v>26.769230769230774</c:v>
                </c:pt>
                <c:pt idx="286">
                  <c:v>26.769230769230774</c:v>
                </c:pt>
                <c:pt idx="287">
                  <c:v>26.769230769230774</c:v>
                </c:pt>
                <c:pt idx="288">
                  <c:v>26.769230769230774</c:v>
                </c:pt>
                <c:pt idx="289">
                  <c:v>26.769230769230774</c:v>
                </c:pt>
                <c:pt idx="290">
                  <c:v>26.769230769230774</c:v>
                </c:pt>
                <c:pt idx="291">
                  <c:v>26.769230769230774</c:v>
                </c:pt>
                <c:pt idx="292">
                  <c:v>26.769230769230774</c:v>
                </c:pt>
                <c:pt idx="293">
                  <c:v>26.769230769230774</c:v>
                </c:pt>
                <c:pt idx="294">
                  <c:v>26.769230769230774</c:v>
                </c:pt>
                <c:pt idx="295">
                  <c:v>26.769230769230774</c:v>
                </c:pt>
                <c:pt idx="296">
                  <c:v>26.769230769230774</c:v>
                </c:pt>
                <c:pt idx="297">
                  <c:v>26.769230769230774</c:v>
                </c:pt>
                <c:pt idx="298">
                  <c:v>26.769230769230774</c:v>
                </c:pt>
                <c:pt idx="299">
                  <c:v>26.769230769230774</c:v>
                </c:pt>
                <c:pt idx="300">
                  <c:v>26.769230769230774</c:v>
                </c:pt>
                <c:pt idx="301">
                  <c:v>26.769230769230774</c:v>
                </c:pt>
                <c:pt idx="302">
                  <c:v>26.769230769230774</c:v>
                </c:pt>
                <c:pt idx="303">
                  <c:v>26.769230769230774</c:v>
                </c:pt>
                <c:pt idx="304">
                  <c:v>26.769230769230774</c:v>
                </c:pt>
                <c:pt idx="305">
                  <c:v>26.769230769230774</c:v>
                </c:pt>
                <c:pt idx="306">
                  <c:v>26.769230769230774</c:v>
                </c:pt>
                <c:pt idx="307">
                  <c:v>26.769230769230774</c:v>
                </c:pt>
                <c:pt idx="308">
                  <c:v>26.769230769230774</c:v>
                </c:pt>
                <c:pt idx="309">
                  <c:v>26.769230769230774</c:v>
                </c:pt>
                <c:pt idx="310">
                  <c:v>26.769230769230774</c:v>
                </c:pt>
                <c:pt idx="311">
                  <c:v>26.769230769230774</c:v>
                </c:pt>
                <c:pt idx="312">
                  <c:v>26.769230769230774</c:v>
                </c:pt>
                <c:pt idx="313">
                  <c:v>26.769230769230774</c:v>
                </c:pt>
                <c:pt idx="314">
                  <c:v>26.769230769230774</c:v>
                </c:pt>
                <c:pt idx="315">
                  <c:v>26.769230769230774</c:v>
                </c:pt>
                <c:pt idx="316">
                  <c:v>26.769230769230774</c:v>
                </c:pt>
                <c:pt idx="317">
                  <c:v>26.769230769230774</c:v>
                </c:pt>
                <c:pt idx="318">
                  <c:v>26.769230769230774</c:v>
                </c:pt>
                <c:pt idx="319">
                  <c:v>26.769230769230774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B5-40CB-8BC7-6F351B54D33E}"/>
            </c:ext>
          </c:extLst>
        </c:ser>
        <c:ser>
          <c:idx val="7"/>
          <c:order val="7"/>
          <c:tx>
            <c:strRef>
              <c:f>CROQUIS_DATOS!$R$2</c:f>
              <c:strCache>
                <c:ptCount val="1"/>
                <c:pt idx="0">
                  <c:v>Varillas ‖ Y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CROQUIS_DATOS!$R$4:$R$323</c:f>
              <c:numCache>
                <c:formatCode>General</c:formatCode>
                <c:ptCount val="320"/>
                <c:pt idx="0">
                  <c:v>-64.769230769230774</c:v>
                </c:pt>
                <c:pt idx="1">
                  <c:v>-64.769230769230774</c:v>
                </c:pt>
                <c:pt idx="2">
                  <c:v>-64.769230769230774</c:v>
                </c:pt>
                <c:pt idx="3">
                  <c:v>-64.769230769230774</c:v>
                </c:pt>
                <c:pt idx="4">
                  <c:v>-60.307692307692307</c:v>
                </c:pt>
                <c:pt idx="5">
                  <c:v>-60.307692307692307</c:v>
                </c:pt>
                <c:pt idx="6">
                  <c:v>-60.307692307692307</c:v>
                </c:pt>
                <c:pt idx="7">
                  <c:v>-60.307692307692307</c:v>
                </c:pt>
                <c:pt idx="8">
                  <c:v>-55.846153846153847</c:v>
                </c:pt>
                <c:pt idx="9">
                  <c:v>-55.846153846153847</c:v>
                </c:pt>
                <c:pt idx="10">
                  <c:v>-55.846153846153847</c:v>
                </c:pt>
                <c:pt idx="11">
                  <c:v>-55.846153846153847</c:v>
                </c:pt>
                <c:pt idx="12">
                  <c:v>-51.384615384615387</c:v>
                </c:pt>
                <c:pt idx="13">
                  <c:v>-51.384615384615387</c:v>
                </c:pt>
                <c:pt idx="14">
                  <c:v>-51.384615384615387</c:v>
                </c:pt>
                <c:pt idx="15">
                  <c:v>-51.384615384615387</c:v>
                </c:pt>
                <c:pt idx="16">
                  <c:v>-46.92307692307692</c:v>
                </c:pt>
                <c:pt idx="17">
                  <c:v>-46.92307692307692</c:v>
                </c:pt>
                <c:pt idx="18">
                  <c:v>-46.92307692307692</c:v>
                </c:pt>
                <c:pt idx="19">
                  <c:v>-46.92307692307692</c:v>
                </c:pt>
                <c:pt idx="20">
                  <c:v>-42.46153846153846</c:v>
                </c:pt>
                <c:pt idx="21">
                  <c:v>-42.46153846153846</c:v>
                </c:pt>
                <c:pt idx="22">
                  <c:v>-42.46153846153846</c:v>
                </c:pt>
                <c:pt idx="23">
                  <c:v>-42.46153846153846</c:v>
                </c:pt>
                <c:pt idx="24">
                  <c:v>-38</c:v>
                </c:pt>
                <c:pt idx="25">
                  <c:v>-38</c:v>
                </c:pt>
                <c:pt idx="26">
                  <c:v>-38</c:v>
                </c:pt>
                <c:pt idx="27">
                  <c:v>-38</c:v>
                </c:pt>
                <c:pt idx="28">
                  <c:v>-33.53846153846154</c:v>
                </c:pt>
                <c:pt idx="29">
                  <c:v>-33.53846153846154</c:v>
                </c:pt>
                <c:pt idx="30">
                  <c:v>-33.53846153846154</c:v>
                </c:pt>
                <c:pt idx="31">
                  <c:v>-33.53846153846154</c:v>
                </c:pt>
                <c:pt idx="32">
                  <c:v>-29.076923076923077</c:v>
                </c:pt>
                <c:pt idx="33">
                  <c:v>-29.076923076923077</c:v>
                </c:pt>
                <c:pt idx="34">
                  <c:v>-29.076923076923077</c:v>
                </c:pt>
                <c:pt idx="35">
                  <c:v>-29.076923076923077</c:v>
                </c:pt>
                <c:pt idx="36">
                  <c:v>-24.615384615384613</c:v>
                </c:pt>
                <c:pt idx="37">
                  <c:v>-24.615384615384613</c:v>
                </c:pt>
                <c:pt idx="38">
                  <c:v>-24.615384615384613</c:v>
                </c:pt>
                <c:pt idx="39">
                  <c:v>-24.615384615384613</c:v>
                </c:pt>
                <c:pt idx="40">
                  <c:v>-20.153846153846153</c:v>
                </c:pt>
                <c:pt idx="41">
                  <c:v>-20.153846153846153</c:v>
                </c:pt>
                <c:pt idx="42">
                  <c:v>-20.153846153846153</c:v>
                </c:pt>
                <c:pt idx="43">
                  <c:v>-20.153846153846153</c:v>
                </c:pt>
                <c:pt idx="44">
                  <c:v>-15.692307692307693</c:v>
                </c:pt>
                <c:pt idx="45">
                  <c:v>-15.692307692307693</c:v>
                </c:pt>
                <c:pt idx="46">
                  <c:v>-15.692307692307693</c:v>
                </c:pt>
                <c:pt idx="47">
                  <c:v>-15.692307692307693</c:v>
                </c:pt>
                <c:pt idx="48">
                  <c:v>-11.230769230769226</c:v>
                </c:pt>
                <c:pt idx="49">
                  <c:v>-11.230769230769226</c:v>
                </c:pt>
                <c:pt idx="50">
                  <c:v>-11.230769230769226</c:v>
                </c:pt>
                <c:pt idx="51">
                  <c:v>-11.230769230769226</c:v>
                </c:pt>
                <c:pt idx="52">
                  <c:v>-11.230769230769226</c:v>
                </c:pt>
                <c:pt idx="53">
                  <c:v>-11.230769230769226</c:v>
                </c:pt>
                <c:pt idx="54">
                  <c:v>-11.230769230769226</c:v>
                </c:pt>
                <c:pt idx="55">
                  <c:v>-11.230769230769226</c:v>
                </c:pt>
                <c:pt idx="56">
                  <c:v>-11.230769230769226</c:v>
                </c:pt>
                <c:pt idx="57">
                  <c:v>-11.230769230769226</c:v>
                </c:pt>
                <c:pt idx="58">
                  <c:v>-11.230769230769226</c:v>
                </c:pt>
                <c:pt idx="59">
                  <c:v>-11.230769230769226</c:v>
                </c:pt>
                <c:pt idx="60">
                  <c:v>-11.230769230769226</c:v>
                </c:pt>
                <c:pt idx="61">
                  <c:v>-11.230769230769226</c:v>
                </c:pt>
                <c:pt idx="62">
                  <c:v>-11.230769230769226</c:v>
                </c:pt>
                <c:pt idx="63">
                  <c:v>-11.230769230769226</c:v>
                </c:pt>
                <c:pt idx="64">
                  <c:v>-11.230769230769226</c:v>
                </c:pt>
                <c:pt idx="65">
                  <c:v>-11.230769230769226</c:v>
                </c:pt>
                <c:pt idx="66">
                  <c:v>-11.230769230769226</c:v>
                </c:pt>
                <c:pt idx="67">
                  <c:v>-11.230769230769226</c:v>
                </c:pt>
                <c:pt idx="68">
                  <c:v>-11.230769230769226</c:v>
                </c:pt>
                <c:pt idx="69">
                  <c:v>-11.230769230769226</c:v>
                </c:pt>
                <c:pt idx="70">
                  <c:v>-11.230769230769226</c:v>
                </c:pt>
                <c:pt idx="71">
                  <c:v>-11.230769230769226</c:v>
                </c:pt>
                <c:pt idx="72">
                  <c:v>-11.230769230769226</c:v>
                </c:pt>
                <c:pt idx="73">
                  <c:v>-11.230769230769226</c:v>
                </c:pt>
                <c:pt idx="74">
                  <c:v>-11.230769230769226</c:v>
                </c:pt>
                <c:pt idx="75">
                  <c:v>-11.230769230769226</c:v>
                </c:pt>
                <c:pt idx="76">
                  <c:v>-11.230769230769226</c:v>
                </c:pt>
                <c:pt idx="77">
                  <c:v>-11.230769230769226</c:v>
                </c:pt>
                <c:pt idx="78">
                  <c:v>-11.230769230769226</c:v>
                </c:pt>
                <c:pt idx="79">
                  <c:v>-11.230769230769226</c:v>
                </c:pt>
                <c:pt idx="80">
                  <c:v>-11.230769230769226</c:v>
                </c:pt>
                <c:pt idx="81">
                  <c:v>-11.230769230769226</c:v>
                </c:pt>
                <c:pt idx="82">
                  <c:v>-11.230769230769226</c:v>
                </c:pt>
                <c:pt idx="83">
                  <c:v>-11.230769230769226</c:v>
                </c:pt>
                <c:pt idx="84">
                  <c:v>-11.230769230769226</c:v>
                </c:pt>
                <c:pt idx="85">
                  <c:v>-11.230769230769226</c:v>
                </c:pt>
                <c:pt idx="86">
                  <c:v>-11.230769230769226</c:v>
                </c:pt>
                <c:pt idx="87">
                  <c:v>-11.230769230769226</c:v>
                </c:pt>
                <c:pt idx="88">
                  <c:v>-11.230769230769226</c:v>
                </c:pt>
                <c:pt idx="89">
                  <c:v>-11.230769230769226</c:v>
                </c:pt>
                <c:pt idx="90">
                  <c:v>-11.230769230769226</c:v>
                </c:pt>
                <c:pt idx="91">
                  <c:v>-11.230769230769226</c:v>
                </c:pt>
                <c:pt idx="92">
                  <c:v>-11.230769230769226</c:v>
                </c:pt>
                <c:pt idx="93">
                  <c:v>-11.230769230769226</c:v>
                </c:pt>
                <c:pt idx="94">
                  <c:v>-11.230769230769226</c:v>
                </c:pt>
                <c:pt idx="95">
                  <c:v>-11.230769230769226</c:v>
                </c:pt>
                <c:pt idx="96">
                  <c:v>-11.230769230769226</c:v>
                </c:pt>
                <c:pt idx="97">
                  <c:v>-11.230769230769226</c:v>
                </c:pt>
                <c:pt idx="98">
                  <c:v>-11.230769230769226</c:v>
                </c:pt>
                <c:pt idx="99">
                  <c:v>-11.230769230769226</c:v>
                </c:pt>
                <c:pt idx="100">
                  <c:v>-11.230769230769226</c:v>
                </c:pt>
                <c:pt idx="101">
                  <c:v>-11.230769230769226</c:v>
                </c:pt>
                <c:pt idx="102">
                  <c:v>-11.230769230769226</c:v>
                </c:pt>
                <c:pt idx="103">
                  <c:v>-11.230769230769226</c:v>
                </c:pt>
                <c:pt idx="104">
                  <c:v>-11.230769230769226</c:v>
                </c:pt>
                <c:pt idx="105">
                  <c:v>-11.230769230769226</c:v>
                </c:pt>
                <c:pt idx="106">
                  <c:v>-11.230769230769226</c:v>
                </c:pt>
                <c:pt idx="107">
                  <c:v>-11.230769230769226</c:v>
                </c:pt>
                <c:pt idx="108">
                  <c:v>-11.230769230769226</c:v>
                </c:pt>
                <c:pt idx="109">
                  <c:v>-11.230769230769226</c:v>
                </c:pt>
                <c:pt idx="110">
                  <c:v>-11.230769230769226</c:v>
                </c:pt>
                <c:pt idx="111">
                  <c:v>-11.230769230769226</c:v>
                </c:pt>
                <c:pt idx="112">
                  <c:v>-11.230769230769226</c:v>
                </c:pt>
                <c:pt idx="113">
                  <c:v>-11.230769230769226</c:v>
                </c:pt>
                <c:pt idx="114">
                  <c:v>-11.230769230769226</c:v>
                </c:pt>
                <c:pt idx="115">
                  <c:v>-11.230769230769226</c:v>
                </c:pt>
                <c:pt idx="116">
                  <c:v>-11.230769230769226</c:v>
                </c:pt>
                <c:pt idx="117">
                  <c:v>-11.230769230769226</c:v>
                </c:pt>
                <c:pt idx="118">
                  <c:v>-11.230769230769226</c:v>
                </c:pt>
                <c:pt idx="119">
                  <c:v>-11.230769230769226</c:v>
                </c:pt>
                <c:pt idx="120">
                  <c:v>-11.230769230769226</c:v>
                </c:pt>
                <c:pt idx="121">
                  <c:v>-11.230769230769226</c:v>
                </c:pt>
                <c:pt idx="122">
                  <c:v>-11.230769230769226</c:v>
                </c:pt>
                <c:pt idx="123">
                  <c:v>-11.230769230769226</c:v>
                </c:pt>
                <c:pt idx="124">
                  <c:v>-11.230769230769226</c:v>
                </c:pt>
                <c:pt idx="125">
                  <c:v>-11.230769230769226</c:v>
                </c:pt>
                <c:pt idx="126">
                  <c:v>-11.230769230769226</c:v>
                </c:pt>
                <c:pt idx="127">
                  <c:v>-11.230769230769226</c:v>
                </c:pt>
                <c:pt idx="128">
                  <c:v>-11.230769230769226</c:v>
                </c:pt>
                <c:pt idx="129">
                  <c:v>-11.230769230769226</c:v>
                </c:pt>
                <c:pt idx="130">
                  <c:v>-11.230769230769226</c:v>
                </c:pt>
                <c:pt idx="131">
                  <c:v>-11.230769230769226</c:v>
                </c:pt>
                <c:pt idx="132">
                  <c:v>-11.230769230769226</c:v>
                </c:pt>
                <c:pt idx="133">
                  <c:v>-11.230769230769226</c:v>
                </c:pt>
                <c:pt idx="134">
                  <c:v>-11.230769230769226</c:v>
                </c:pt>
                <c:pt idx="135">
                  <c:v>-11.230769230769226</c:v>
                </c:pt>
                <c:pt idx="136">
                  <c:v>-11.230769230769226</c:v>
                </c:pt>
                <c:pt idx="137">
                  <c:v>-11.230769230769226</c:v>
                </c:pt>
                <c:pt idx="138">
                  <c:v>-11.230769230769226</c:v>
                </c:pt>
                <c:pt idx="139">
                  <c:v>-11.230769230769226</c:v>
                </c:pt>
                <c:pt idx="140">
                  <c:v>-11.230769230769226</c:v>
                </c:pt>
                <c:pt idx="141">
                  <c:v>-11.230769230769226</c:v>
                </c:pt>
                <c:pt idx="142">
                  <c:v>-11.230769230769226</c:v>
                </c:pt>
                <c:pt idx="143">
                  <c:v>-11.230769230769226</c:v>
                </c:pt>
                <c:pt idx="144">
                  <c:v>-11.230769230769226</c:v>
                </c:pt>
                <c:pt idx="145">
                  <c:v>-11.230769230769226</c:v>
                </c:pt>
                <c:pt idx="146">
                  <c:v>-11.230769230769226</c:v>
                </c:pt>
                <c:pt idx="147">
                  <c:v>-11.230769230769226</c:v>
                </c:pt>
                <c:pt idx="148">
                  <c:v>-11.230769230769226</c:v>
                </c:pt>
                <c:pt idx="149">
                  <c:v>-11.230769230769226</c:v>
                </c:pt>
                <c:pt idx="150">
                  <c:v>-11.230769230769226</c:v>
                </c:pt>
                <c:pt idx="151">
                  <c:v>-11.230769230769226</c:v>
                </c:pt>
                <c:pt idx="152">
                  <c:v>-11.230769230769226</c:v>
                </c:pt>
                <c:pt idx="153">
                  <c:v>-11.230769230769226</c:v>
                </c:pt>
                <c:pt idx="154">
                  <c:v>-11.230769230769226</c:v>
                </c:pt>
                <c:pt idx="155">
                  <c:v>-11.230769230769226</c:v>
                </c:pt>
                <c:pt idx="156">
                  <c:v>-11.230769230769226</c:v>
                </c:pt>
                <c:pt idx="157">
                  <c:v>-11.230769230769226</c:v>
                </c:pt>
                <c:pt idx="158">
                  <c:v>-11.230769230769226</c:v>
                </c:pt>
                <c:pt idx="159">
                  <c:v>-11.230769230769226</c:v>
                </c:pt>
                <c:pt idx="160">
                  <c:v>-11.230769230769226</c:v>
                </c:pt>
                <c:pt idx="161">
                  <c:v>-11.230769230769226</c:v>
                </c:pt>
                <c:pt idx="162">
                  <c:v>-11.230769230769226</c:v>
                </c:pt>
                <c:pt idx="163">
                  <c:v>-11.230769230769226</c:v>
                </c:pt>
                <c:pt idx="164">
                  <c:v>-11.230769230769226</c:v>
                </c:pt>
                <c:pt idx="165">
                  <c:v>-11.230769230769226</c:v>
                </c:pt>
                <c:pt idx="166">
                  <c:v>-11.230769230769226</c:v>
                </c:pt>
                <c:pt idx="167">
                  <c:v>-11.230769230769226</c:v>
                </c:pt>
                <c:pt idx="168">
                  <c:v>-11.230769230769226</c:v>
                </c:pt>
                <c:pt idx="169">
                  <c:v>-11.230769230769226</c:v>
                </c:pt>
                <c:pt idx="170">
                  <c:v>-11.230769230769226</c:v>
                </c:pt>
                <c:pt idx="171">
                  <c:v>-11.230769230769226</c:v>
                </c:pt>
                <c:pt idx="172">
                  <c:v>-11.230769230769226</c:v>
                </c:pt>
                <c:pt idx="173">
                  <c:v>-11.230769230769226</c:v>
                </c:pt>
                <c:pt idx="174">
                  <c:v>-11.230769230769226</c:v>
                </c:pt>
                <c:pt idx="175">
                  <c:v>-11.230769230769226</c:v>
                </c:pt>
                <c:pt idx="176">
                  <c:v>-11.230769230769226</c:v>
                </c:pt>
                <c:pt idx="177">
                  <c:v>-11.230769230769226</c:v>
                </c:pt>
                <c:pt idx="178">
                  <c:v>-11.230769230769226</c:v>
                </c:pt>
                <c:pt idx="179">
                  <c:v>-11.230769230769226</c:v>
                </c:pt>
                <c:pt idx="180">
                  <c:v>-11.230769230769226</c:v>
                </c:pt>
                <c:pt idx="181">
                  <c:v>-11.230769230769226</c:v>
                </c:pt>
                <c:pt idx="182">
                  <c:v>-11.230769230769226</c:v>
                </c:pt>
                <c:pt idx="183">
                  <c:v>-11.230769230769226</c:v>
                </c:pt>
                <c:pt idx="184">
                  <c:v>-11.230769230769226</c:v>
                </c:pt>
                <c:pt idx="185">
                  <c:v>-11.230769230769226</c:v>
                </c:pt>
                <c:pt idx="186">
                  <c:v>-11.230769230769226</c:v>
                </c:pt>
                <c:pt idx="187">
                  <c:v>-11.230769230769226</c:v>
                </c:pt>
                <c:pt idx="188">
                  <c:v>-11.230769230769226</c:v>
                </c:pt>
                <c:pt idx="189">
                  <c:v>-11.230769230769226</c:v>
                </c:pt>
                <c:pt idx="190">
                  <c:v>-11.230769230769226</c:v>
                </c:pt>
                <c:pt idx="191">
                  <c:v>-11.230769230769226</c:v>
                </c:pt>
                <c:pt idx="192">
                  <c:v>-11.230769230769226</c:v>
                </c:pt>
                <c:pt idx="193">
                  <c:v>-11.230769230769226</c:v>
                </c:pt>
                <c:pt idx="194">
                  <c:v>-11.230769230769226</c:v>
                </c:pt>
                <c:pt idx="195">
                  <c:v>-11.230769230769226</c:v>
                </c:pt>
                <c:pt idx="196">
                  <c:v>-11.230769230769226</c:v>
                </c:pt>
                <c:pt idx="197">
                  <c:v>-11.230769230769226</c:v>
                </c:pt>
                <c:pt idx="198">
                  <c:v>-11.230769230769226</c:v>
                </c:pt>
                <c:pt idx="199">
                  <c:v>-11.230769230769226</c:v>
                </c:pt>
                <c:pt idx="200">
                  <c:v>-11.230769230769226</c:v>
                </c:pt>
                <c:pt idx="201">
                  <c:v>-11.230769230769226</c:v>
                </c:pt>
                <c:pt idx="202">
                  <c:v>-11.230769230769226</c:v>
                </c:pt>
                <c:pt idx="203">
                  <c:v>-11.230769230769226</c:v>
                </c:pt>
                <c:pt idx="204">
                  <c:v>-11.230769230769226</c:v>
                </c:pt>
                <c:pt idx="205">
                  <c:v>-11.230769230769226</c:v>
                </c:pt>
                <c:pt idx="206">
                  <c:v>-11.230769230769226</c:v>
                </c:pt>
                <c:pt idx="207">
                  <c:v>-11.230769230769226</c:v>
                </c:pt>
                <c:pt idx="208">
                  <c:v>-11.230769230769226</c:v>
                </c:pt>
                <c:pt idx="209">
                  <c:v>-11.230769230769226</c:v>
                </c:pt>
                <c:pt idx="210">
                  <c:v>-11.230769230769226</c:v>
                </c:pt>
                <c:pt idx="211">
                  <c:v>-11.230769230769226</c:v>
                </c:pt>
                <c:pt idx="212">
                  <c:v>-11.230769230769226</c:v>
                </c:pt>
                <c:pt idx="213">
                  <c:v>-11.230769230769226</c:v>
                </c:pt>
                <c:pt idx="214">
                  <c:v>-11.230769230769226</c:v>
                </c:pt>
                <c:pt idx="215">
                  <c:v>-11.230769230769226</c:v>
                </c:pt>
                <c:pt idx="216">
                  <c:v>-11.230769230769226</c:v>
                </c:pt>
                <c:pt idx="217">
                  <c:v>-11.230769230769226</c:v>
                </c:pt>
                <c:pt idx="218">
                  <c:v>-11.230769230769226</c:v>
                </c:pt>
                <c:pt idx="219">
                  <c:v>-11.230769230769226</c:v>
                </c:pt>
                <c:pt idx="220">
                  <c:v>-11.230769230769226</c:v>
                </c:pt>
                <c:pt idx="221">
                  <c:v>-11.230769230769226</c:v>
                </c:pt>
                <c:pt idx="222">
                  <c:v>-11.230769230769226</c:v>
                </c:pt>
                <c:pt idx="223">
                  <c:v>-11.230769230769226</c:v>
                </c:pt>
                <c:pt idx="224">
                  <c:v>-11.230769230769226</c:v>
                </c:pt>
                <c:pt idx="225">
                  <c:v>-11.230769230769226</c:v>
                </c:pt>
                <c:pt idx="226">
                  <c:v>-11.230769230769226</c:v>
                </c:pt>
                <c:pt idx="227">
                  <c:v>-11.230769230769226</c:v>
                </c:pt>
                <c:pt idx="228">
                  <c:v>-11.230769230769226</c:v>
                </c:pt>
                <c:pt idx="229">
                  <c:v>-11.230769230769226</c:v>
                </c:pt>
                <c:pt idx="230">
                  <c:v>-11.230769230769226</c:v>
                </c:pt>
                <c:pt idx="231">
                  <c:v>-11.230769230769226</c:v>
                </c:pt>
                <c:pt idx="232">
                  <c:v>-11.230769230769226</c:v>
                </c:pt>
                <c:pt idx="233">
                  <c:v>-11.230769230769226</c:v>
                </c:pt>
                <c:pt idx="234">
                  <c:v>-11.230769230769226</c:v>
                </c:pt>
                <c:pt idx="235">
                  <c:v>-11.230769230769226</c:v>
                </c:pt>
                <c:pt idx="236">
                  <c:v>-11.230769230769226</c:v>
                </c:pt>
                <c:pt idx="237">
                  <c:v>-11.230769230769226</c:v>
                </c:pt>
                <c:pt idx="238">
                  <c:v>-11.230769230769226</c:v>
                </c:pt>
                <c:pt idx="239">
                  <c:v>-11.230769230769226</c:v>
                </c:pt>
                <c:pt idx="240">
                  <c:v>-11.230769230769226</c:v>
                </c:pt>
                <c:pt idx="241">
                  <c:v>-11.230769230769226</c:v>
                </c:pt>
                <c:pt idx="242">
                  <c:v>-11.230769230769226</c:v>
                </c:pt>
                <c:pt idx="243">
                  <c:v>-11.230769230769226</c:v>
                </c:pt>
                <c:pt idx="244">
                  <c:v>-11.230769230769226</c:v>
                </c:pt>
                <c:pt idx="245">
                  <c:v>-11.230769230769226</c:v>
                </c:pt>
                <c:pt idx="246">
                  <c:v>-11.230769230769226</c:v>
                </c:pt>
                <c:pt idx="247">
                  <c:v>-11.230769230769226</c:v>
                </c:pt>
                <c:pt idx="248">
                  <c:v>-11.230769230769226</c:v>
                </c:pt>
                <c:pt idx="249">
                  <c:v>-11.230769230769226</c:v>
                </c:pt>
                <c:pt idx="250">
                  <c:v>-11.230769230769226</c:v>
                </c:pt>
                <c:pt idx="251">
                  <c:v>-11.230769230769226</c:v>
                </c:pt>
                <c:pt idx="252">
                  <c:v>-11.230769230769226</c:v>
                </c:pt>
                <c:pt idx="253">
                  <c:v>-11.230769230769226</c:v>
                </c:pt>
                <c:pt idx="254">
                  <c:v>-11.230769230769226</c:v>
                </c:pt>
                <c:pt idx="255">
                  <c:v>-11.230769230769226</c:v>
                </c:pt>
                <c:pt idx="256">
                  <c:v>-11.230769230769226</c:v>
                </c:pt>
                <c:pt idx="257">
                  <c:v>-11.230769230769226</c:v>
                </c:pt>
                <c:pt idx="258">
                  <c:v>-11.230769230769226</c:v>
                </c:pt>
                <c:pt idx="259">
                  <c:v>-11.230769230769226</c:v>
                </c:pt>
                <c:pt idx="260">
                  <c:v>-11.230769230769226</c:v>
                </c:pt>
                <c:pt idx="261">
                  <c:v>-11.230769230769226</c:v>
                </c:pt>
                <c:pt idx="262">
                  <c:v>-11.230769230769226</c:v>
                </c:pt>
                <c:pt idx="263">
                  <c:v>-11.230769230769226</c:v>
                </c:pt>
                <c:pt idx="264">
                  <c:v>-11.230769230769226</c:v>
                </c:pt>
                <c:pt idx="265">
                  <c:v>-11.230769230769226</c:v>
                </c:pt>
                <c:pt idx="266">
                  <c:v>-11.230769230769226</c:v>
                </c:pt>
                <c:pt idx="267">
                  <c:v>-11.230769230769226</c:v>
                </c:pt>
                <c:pt idx="268">
                  <c:v>-11.230769230769226</c:v>
                </c:pt>
                <c:pt idx="269">
                  <c:v>-11.230769230769226</c:v>
                </c:pt>
                <c:pt idx="270">
                  <c:v>-11.230769230769226</c:v>
                </c:pt>
                <c:pt idx="271">
                  <c:v>-11.230769230769226</c:v>
                </c:pt>
                <c:pt idx="272">
                  <c:v>-11.230769230769226</c:v>
                </c:pt>
                <c:pt idx="273">
                  <c:v>-11.230769230769226</c:v>
                </c:pt>
                <c:pt idx="274">
                  <c:v>-11.230769230769226</c:v>
                </c:pt>
                <c:pt idx="275">
                  <c:v>-11.230769230769226</c:v>
                </c:pt>
                <c:pt idx="276">
                  <c:v>-11.230769230769226</c:v>
                </c:pt>
                <c:pt idx="277">
                  <c:v>-11.230769230769226</c:v>
                </c:pt>
                <c:pt idx="278">
                  <c:v>-11.230769230769226</c:v>
                </c:pt>
                <c:pt idx="279">
                  <c:v>-11.230769230769226</c:v>
                </c:pt>
                <c:pt idx="280">
                  <c:v>-11.230769230769226</c:v>
                </c:pt>
                <c:pt idx="281">
                  <c:v>-11.230769230769226</c:v>
                </c:pt>
                <c:pt idx="282">
                  <c:v>-11.230769230769226</c:v>
                </c:pt>
                <c:pt idx="283">
                  <c:v>-11.230769230769226</c:v>
                </c:pt>
                <c:pt idx="284">
                  <c:v>-11.230769230769226</c:v>
                </c:pt>
                <c:pt idx="285">
                  <c:v>-11.230769230769226</c:v>
                </c:pt>
                <c:pt idx="286">
                  <c:v>-11.230769230769226</c:v>
                </c:pt>
                <c:pt idx="287">
                  <c:v>-11.230769230769226</c:v>
                </c:pt>
                <c:pt idx="288">
                  <c:v>-11.230769230769226</c:v>
                </c:pt>
                <c:pt idx="289">
                  <c:v>-11.230769230769226</c:v>
                </c:pt>
                <c:pt idx="290">
                  <c:v>-11.230769230769226</c:v>
                </c:pt>
                <c:pt idx="291">
                  <c:v>-11.230769230769226</c:v>
                </c:pt>
                <c:pt idx="292">
                  <c:v>-11.230769230769226</c:v>
                </c:pt>
                <c:pt idx="293">
                  <c:v>-11.230769230769226</c:v>
                </c:pt>
                <c:pt idx="294">
                  <c:v>-11.230769230769226</c:v>
                </c:pt>
                <c:pt idx="295">
                  <c:v>-11.230769230769226</c:v>
                </c:pt>
                <c:pt idx="296">
                  <c:v>-11.230769230769226</c:v>
                </c:pt>
                <c:pt idx="297">
                  <c:v>-11.230769230769226</c:v>
                </c:pt>
                <c:pt idx="298">
                  <c:v>-11.230769230769226</c:v>
                </c:pt>
                <c:pt idx="299">
                  <c:v>-11.230769230769226</c:v>
                </c:pt>
                <c:pt idx="300">
                  <c:v>-11.230769230769226</c:v>
                </c:pt>
                <c:pt idx="301">
                  <c:v>-11.230769230769226</c:v>
                </c:pt>
                <c:pt idx="302">
                  <c:v>-11.230769230769226</c:v>
                </c:pt>
                <c:pt idx="303">
                  <c:v>-11.230769230769226</c:v>
                </c:pt>
                <c:pt idx="304">
                  <c:v>-11.230769230769226</c:v>
                </c:pt>
                <c:pt idx="305">
                  <c:v>-11.230769230769226</c:v>
                </c:pt>
                <c:pt idx="306">
                  <c:v>-11.230769230769226</c:v>
                </c:pt>
                <c:pt idx="307">
                  <c:v>-11.230769230769226</c:v>
                </c:pt>
                <c:pt idx="308">
                  <c:v>-11.230769230769226</c:v>
                </c:pt>
                <c:pt idx="309">
                  <c:v>-11.230769230769226</c:v>
                </c:pt>
                <c:pt idx="310">
                  <c:v>-11.230769230769226</c:v>
                </c:pt>
                <c:pt idx="311">
                  <c:v>-11.230769230769226</c:v>
                </c:pt>
                <c:pt idx="312">
                  <c:v>-11.230769230769226</c:v>
                </c:pt>
                <c:pt idx="313">
                  <c:v>-11.230769230769226</c:v>
                </c:pt>
                <c:pt idx="314">
                  <c:v>-11.230769230769226</c:v>
                </c:pt>
                <c:pt idx="315">
                  <c:v>-11.230769230769226</c:v>
                </c:pt>
                <c:pt idx="316">
                  <c:v>-11.230769230769226</c:v>
                </c:pt>
                <c:pt idx="317">
                  <c:v>-11.230769230769226</c:v>
                </c:pt>
                <c:pt idx="318">
                  <c:v>-11.230769230769226</c:v>
                </c:pt>
                <c:pt idx="319">
                  <c:v>-11.230769230769226</c:v>
                </c:pt>
              </c:numCache>
            </c:numRef>
          </c:xVal>
          <c:yVal>
            <c:numRef>
              <c:f>CROQUIS_DATOS!$S$4:$S$323</c:f>
              <c:numCache>
                <c:formatCode>General</c:formatCode>
                <c:ptCount val="320"/>
                <c:pt idx="0">
                  <c:v>-26.769230769230774</c:v>
                </c:pt>
                <c:pt idx="1">
                  <c:v>-27.326923076923077</c:v>
                </c:pt>
                <c:pt idx="2">
                  <c:v>27.326923076923077</c:v>
                </c:pt>
                <c:pt idx="3">
                  <c:v>26.769230769230774</c:v>
                </c:pt>
                <c:pt idx="4">
                  <c:v>26.769230769230774</c:v>
                </c:pt>
                <c:pt idx="5">
                  <c:v>27.326923076923077</c:v>
                </c:pt>
                <c:pt idx="6">
                  <c:v>-27.326923076923077</c:v>
                </c:pt>
                <c:pt idx="7">
                  <c:v>-26.769230769230774</c:v>
                </c:pt>
                <c:pt idx="8">
                  <c:v>-26.769230769230774</c:v>
                </c:pt>
                <c:pt idx="9">
                  <c:v>-27.326923076923077</c:v>
                </c:pt>
                <c:pt idx="10">
                  <c:v>27.326923076923077</c:v>
                </c:pt>
                <c:pt idx="11">
                  <c:v>26.769230769230774</c:v>
                </c:pt>
                <c:pt idx="12">
                  <c:v>26.769230769230774</c:v>
                </c:pt>
                <c:pt idx="13">
                  <c:v>27.326923076923077</c:v>
                </c:pt>
                <c:pt idx="14">
                  <c:v>-27.326923076923077</c:v>
                </c:pt>
                <c:pt idx="15">
                  <c:v>-26.769230769230774</c:v>
                </c:pt>
                <c:pt idx="16">
                  <c:v>-26.769230769230774</c:v>
                </c:pt>
                <c:pt idx="17">
                  <c:v>-27.326923076923077</c:v>
                </c:pt>
                <c:pt idx="18">
                  <c:v>27.326923076923077</c:v>
                </c:pt>
                <c:pt idx="19">
                  <c:v>26.769230769230774</c:v>
                </c:pt>
                <c:pt idx="20">
                  <c:v>26.769230769230774</c:v>
                </c:pt>
                <c:pt idx="21">
                  <c:v>27.326923076923077</c:v>
                </c:pt>
                <c:pt idx="22">
                  <c:v>-27.326923076923077</c:v>
                </c:pt>
                <c:pt idx="23">
                  <c:v>-26.769230769230774</c:v>
                </c:pt>
                <c:pt idx="24">
                  <c:v>-26.769230769230774</c:v>
                </c:pt>
                <c:pt idx="25">
                  <c:v>-27.326923076923077</c:v>
                </c:pt>
                <c:pt idx="26">
                  <c:v>27.326923076923077</c:v>
                </c:pt>
                <c:pt idx="27">
                  <c:v>26.769230769230774</c:v>
                </c:pt>
                <c:pt idx="28">
                  <c:v>26.769230769230774</c:v>
                </c:pt>
                <c:pt idx="29">
                  <c:v>27.326923076923077</c:v>
                </c:pt>
                <c:pt idx="30">
                  <c:v>-27.326923076923077</c:v>
                </c:pt>
                <c:pt idx="31">
                  <c:v>-26.769230769230774</c:v>
                </c:pt>
                <c:pt idx="32">
                  <c:v>-26.769230769230774</c:v>
                </c:pt>
                <c:pt idx="33">
                  <c:v>-27.326923076923077</c:v>
                </c:pt>
                <c:pt idx="34">
                  <c:v>27.326923076923077</c:v>
                </c:pt>
                <c:pt idx="35">
                  <c:v>26.769230769230774</c:v>
                </c:pt>
                <c:pt idx="36">
                  <c:v>26.769230769230774</c:v>
                </c:pt>
                <c:pt idx="37">
                  <c:v>27.326923076923077</c:v>
                </c:pt>
                <c:pt idx="38">
                  <c:v>-27.326923076923077</c:v>
                </c:pt>
                <c:pt idx="39">
                  <c:v>-26.769230769230774</c:v>
                </c:pt>
                <c:pt idx="40">
                  <c:v>-26.769230769230774</c:v>
                </c:pt>
                <c:pt idx="41">
                  <c:v>-27.326923076923077</c:v>
                </c:pt>
                <c:pt idx="42">
                  <c:v>27.326923076923077</c:v>
                </c:pt>
                <c:pt idx="43">
                  <c:v>26.769230769230774</c:v>
                </c:pt>
                <c:pt idx="44">
                  <c:v>26.769230769230774</c:v>
                </c:pt>
                <c:pt idx="45">
                  <c:v>27.326923076923077</c:v>
                </c:pt>
                <c:pt idx="46">
                  <c:v>-27.326923076923077</c:v>
                </c:pt>
                <c:pt idx="47">
                  <c:v>-26.769230769230774</c:v>
                </c:pt>
                <c:pt idx="48">
                  <c:v>-26.769230769230774</c:v>
                </c:pt>
                <c:pt idx="49">
                  <c:v>-27.326923076923077</c:v>
                </c:pt>
                <c:pt idx="50">
                  <c:v>27.326923076923077</c:v>
                </c:pt>
                <c:pt idx="51">
                  <c:v>26.769230769230774</c:v>
                </c:pt>
                <c:pt idx="52">
                  <c:v>26.769230769230774</c:v>
                </c:pt>
                <c:pt idx="53">
                  <c:v>26.769230769230774</c:v>
                </c:pt>
                <c:pt idx="54">
                  <c:v>26.769230769230774</c:v>
                </c:pt>
                <c:pt idx="55">
                  <c:v>26.769230769230774</c:v>
                </c:pt>
                <c:pt idx="56">
                  <c:v>26.769230769230774</c:v>
                </c:pt>
                <c:pt idx="57">
                  <c:v>26.769230769230774</c:v>
                </c:pt>
                <c:pt idx="58">
                  <c:v>26.769230769230774</c:v>
                </c:pt>
                <c:pt idx="59">
                  <c:v>26.769230769230774</c:v>
                </c:pt>
                <c:pt idx="60">
                  <c:v>26.769230769230774</c:v>
                </c:pt>
                <c:pt idx="61">
                  <c:v>26.769230769230774</c:v>
                </c:pt>
                <c:pt idx="62">
                  <c:v>26.769230769230774</c:v>
                </c:pt>
                <c:pt idx="63">
                  <c:v>26.769230769230774</c:v>
                </c:pt>
                <c:pt idx="64">
                  <c:v>26.769230769230774</c:v>
                </c:pt>
                <c:pt idx="65">
                  <c:v>26.769230769230774</c:v>
                </c:pt>
                <c:pt idx="66">
                  <c:v>26.769230769230774</c:v>
                </c:pt>
                <c:pt idx="67">
                  <c:v>26.769230769230774</c:v>
                </c:pt>
                <c:pt idx="68">
                  <c:v>26.769230769230774</c:v>
                </c:pt>
                <c:pt idx="69">
                  <c:v>26.769230769230774</c:v>
                </c:pt>
                <c:pt idx="70">
                  <c:v>26.769230769230774</c:v>
                </c:pt>
                <c:pt idx="71">
                  <c:v>26.769230769230774</c:v>
                </c:pt>
                <c:pt idx="72">
                  <c:v>26.769230769230774</c:v>
                </c:pt>
                <c:pt idx="73">
                  <c:v>26.769230769230774</c:v>
                </c:pt>
                <c:pt idx="74">
                  <c:v>26.769230769230774</c:v>
                </c:pt>
                <c:pt idx="75">
                  <c:v>26.769230769230774</c:v>
                </c:pt>
                <c:pt idx="76">
                  <c:v>26.769230769230774</c:v>
                </c:pt>
                <c:pt idx="77">
                  <c:v>26.769230769230774</c:v>
                </c:pt>
                <c:pt idx="78">
                  <c:v>26.769230769230774</c:v>
                </c:pt>
                <c:pt idx="79">
                  <c:v>26.769230769230774</c:v>
                </c:pt>
                <c:pt idx="80">
                  <c:v>26.769230769230774</c:v>
                </c:pt>
                <c:pt idx="81">
                  <c:v>26.769230769230774</c:v>
                </c:pt>
                <c:pt idx="82">
                  <c:v>26.769230769230774</c:v>
                </c:pt>
                <c:pt idx="83">
                  <c:v>26.769230769230774</c:v>
                </c:pt>
                <c:pt idx="84">
                  <c:v>26.769230769230774</c:v>
                </c:pt>
                <c:pt idx="85">
                  <c:v>26.769230769230774</c:v>
                </c:pt>
                <c:pt idx="86">
                  <c:v>26.769230769230774</c:v>
                </c:pt>
                <c:pt idx="87">
                  <c:v>26.769230769230774</c:v>
                </c:pt>
                <c:pt idx="88">
                  <c:v>26.769230769230774</c:v>
                </c:pt>
                <c:pt idx="89">
                  <c:v>26.769230769230774</c:v>
                </c:pt>
                <c:pt idx="90">
                  <c:v>26.769230769230774</c:v>
                </c:pt>
                <c:pt idx="91">
                  <c:v>26.769230769230774</c:v>
                </c:pt>
                <c:pt idx="92">
                  <c:v>26.769230769230774</c:v>
                </c:pt>
                <c:pt idx="93">
                  <c:v>26.769230769230774</c:v>
                </c:pt>
                <c:pt idx="94">
                  <c:v>26.769230769230774</c:v>
                </c:pt>
                <c:pt idx="95">
                  <c:v>26.769230769230774</c:v>
                </c:pt>
                <c:pt idx="96">
                  <c:v>26.769230769230774</c:v>
                </c:pt>
                <c:pt idx="97">
                  <c:v>26.769230769230774</c:v>
                </c:pt>
                <c:pt idx="98">
                  <c:v>26.769230769230774</c:v>
                </c:pt>
                <c:pt idx="99">
                  <c:v>26.769230769230774</c:v>
                </c:pt>
                <c:pt idx="100">
                  <c:v>26.769230769230774</c:v>
                </c:pt>
                <c:pt idx="101">
                  <c:v>26.769230769230774</c:v>
                </c:pt>
                <c:pt idx="102">
                  <c:v>26.769230769230774</c:v>
                </c:pt>
                <c:pt idx="103">
                  <c:v>26.769230769230774</c:v>
                </c:pt>
                <c:pt idx="104">
                  <c:v>26.769230769230774</c:v>
                </c:pt>
                <c:pt idx="105">
                  <c:v>26.769230769230774</c:v>
                </c:pt>
                <c:pt idx="106">
                  <c:v>26.769230769230774</c:v>
                </c:pt>
                <c:pt idx="107">
                  <c:v>26.769230769230774</c:v>
                </c:pt>
                <c:pt idx="108">
                  <c:v>26.769230769230774</c:v>
                </c:pt>
                <c:pt idx="109">
                  <c:v>26.769230769230774</c:v>
                </c:pt>
                <c:pt idx="110">
                  <c:v>26.769230769230774</c:v>
                </c:pt>
                <c:pt idx="111">
                  <c:v>26.769230769230774</c:v>
                </c:pt>
                <c:pt idx="112">
                  <c:v>26.769230769230774</c:v>
                </c:pt>
                <c:pt idx="113">
                  <c:v>26.769230769230774</c:v>
                </c:pt>
                <c:pt idx="114">
                  <c:v>26.769230769230774</c:v>
                </c:pt>
                <c:pt idx="115">
                  <c:v>26.769230769230774</c:v>
                </c:pt>
                <c:pt idx="116">
                  <c:v>26.769230769230774</c:v>
                </c:pt>
                <c:pt idx="117">
                  <c:v>26.769230769230774</c:v>
                </c:pt>
                <c:pt idx="118">
                  <c:v>26.769230769230774</c:v>
                </c:pt>
                <c:pt idx="119">
                  <c:v>26.769230769230774</c:v>
                </c:pt>
                <c:pt idx="120">
                  <c:v>26.769230769230774</c:v>
                </c:pt>
                <c:pt idx="121">
                  <c:v>26.769230769230774</c:v>
                </c:pt>
                <c:pt idx="122">
                  <c:v>26.769230769230774</c:v>
                </c:pt>
                <c:pt idx="123">
                  <c:v>26.769230769230774</c:v>
                </c:pt>
                <c:pt idx="124">
                  <c:v>26.769230769230774</c:v>
                </c:pt>
                <c:pt idx="125">
                  <c:v>26.769230769230774</c:v>
                </c:pt>
                <c:pt idx="126">
                  <c:v>26.769230769230774</c:v>
                </c:pt>
                <c:pt idx="127">
                  <c:v>26.769230769230774</c:v>
                </c:pt>
                <c:pt idx="128">
                  <c:v>26.769230769230774</c:v>
                </c:pt>
                <c:pt idx="129">
                  <c:v>26.769230769230774</c:v>
                </c:pt>
                <c:pt idx="130">
                  <c:v>26.769230769230774</c:v>
                </c:pt>
                <c:pt idx="131">
                  <c:v>26.769230769230774</c:v>
                </c:pt>
                <c:pt idx="132">
                  <c:v>26.769230769230774</c:v>
                </c:pt>
                <c:pt idx="133">
                  <c:v>26.769230769230774</c:v>
                </c:pt>
                <c:pt idx="134">
                  <c:v>26.769230769230774</c:v>
                </c:pt>
                <c:pt idx="135">
                  <c:v>26.769230769230774</c:v>
                </c:pt>
                <c:pt idx="136">
                  <c:v>26.769230769230774</c:v>
                </c:pt>
                <c:pt idx="137">
                  <c:v>26.769230769230774</c:v>
                </c:pt>
                <c:pt idx="138">
                  <c:v>26.769230769230774</c:v>
                </c:pt>
                <c:pt idx="139">
                  <c:v>26.769230769230774</c:v>
                </c:pt>
                <c:pt idx="140">
                  <c:v>26.769230769230774</c:v>
                </c:pt>
                <c:pt idx="141">
                  <c:v>26.769230769230774</c:v>
                </c:pt>
                <c:pt idx="142">
                  <c:v>26.769230769230774</c:v>
                </c:pt>
                <c:pt idx="143">
                  <c:v>26.769230769230774</c:v>
                </c:pt>
                <c:pt idx="144">
                  <c:v>26.769230769230774</c:v>
                </c:pt>
                <c:pt idx="145">
                  <c:v>26.769230769230774</c:v>
                </c:pt>
                <c:pt idx="146">
                  <c:v>26.769230769230774</c:v>
                </c:pt>
                <c:pt idx="147">
                  <c:v>26.769230769230774</c:v>
                </c:pt>
                <c:pt idx="148">
                  <c:v>26.769230769230774</c:v>
                </c:pt>
                <c:pt idx="149">
                  <c:v>26.769230769230774</c:v>
                </c:pt>
                <c:pt idx="150">
                  <c:v>26.769230769230774</c:v>
                </c:pt>
                <c:pt idx="151">
                  <c:v>26.769230769230774</c:v>
                </c:pt>
                <c:pt idx="152">
                  <c:v>26.769230769230774</c:v>
                </c:pt>
                <c:pt idx="153">
                  <c:v>26.769230769230774</c:v>
                </c:pt>
                <c:pt idx="154">
                  <c:v>26.769230769230774</c:v>
                </c:pt>
                <c:pt idx="155">
                  <c:v>26.769230769230774</c:v>
                </c:pt>
                <c:pt idx="156">
                  <c:v>26.769230769230774</c:v>
                </c:pt>
                <c:pt idx="157">
                  <c:v>26.769230769230774</c:v>
                </c:pt>
                <c:pt idx="158">
                  <c:v>26.769230769230774</c:v>
                </c:pt>
                <c:pt idx="159">
                  <c:v>26.769230769230774</c:v>
                </c:pt>
                <c:pt idx="160">
                  <c:v>26.769230769230774</c:v>
                </c:pt>
                <c:pt idx="161">
                  <c:v>26.769230769230774</c:v>
                </c:pt>
                <c:pt idx="162">
                  <c:v>26.769230769230774</c:v>
                </c:pt>
                <c:pt idx="163">
                  <c:v>26.769230769230774</c:v>
                </c:pt>
                <c:pt idx="164">
                  <c:v>26.769230769230774</c:v>
                </c:pt>
                <c:pt idx="165">
                  <c:v>26.769230769230774</c:v>
                </c:pt>
                <c:pt idx="166">
                  <c:v>26.769230769230774</c:v>
                </c:pt>
                <c:pt idx="167">
                  <c:v>26.769230769230774</c:v>
                </c:pt>
                <c:pt idx="168">
                  <c:v>26.769230769230774</c:v>
                </c:pt>
                <c:pt idx="169">
                  <c:v>26.769230769230774</c:v>
                </c:pt>
                <c:pt idx="170">
                  <c:v>26.769230769230774</c:v>
                </c:pt>
                <c:pt idx="171">
                  <c:v>26.769230769230774</c:v>
                </c:pt>
                <c:pt idx="172">
                  <c:v>26.769230769230774</c:v>
                </c:pt>
                <c:pt idx="173">
                  <c:v>26.769230769230774</c:v>
                </c:pt>
                <c:pt idx="174">
                  <c:v>26.769230769230774</c:v>
                </c:pt>
                <c:pt idx="175">
                  <c:v>26.769230769230774</c:v>
                </c:pt>
                <c:pt idx="176">
                  <c:v>26.769230769230774</c:v>
                </c:pt>
                <c:pt idx="177">
                  <c:v>26.769230769230774</c:v>
                </c:pt>
                <c:pt idx="178">
                  <c:v>26.769230769230774</c:v>
                </c:pt>
                <c:pt idx="179">
                  <c:v>26.769230769230774</c:v>
                </c:pt>
                <c:pt idx="180">
                  <c:v>26.769230769230774</c:v>
                </c:pt>
                <c:pt idx="181">
                  <c:v>26.769230769230774</c:v>
                </c:pt>
                <c:pt idx="182">
                  <c:v>26.769230769230774</c:v>
                </c:pt>
                <c:pt idx="183">
                  <c:v>26.769230769230774</c:v>
                </c:pt>
                <c:pt idx="184">
                  <c:v>26.769230769230774</c:v>
                </c:pt>
                <c:pt idx="185">
                  <c:v>26.769230769230774</c:v>
                </c:pt>
                <c:pt idx="186">
                  <c:v>26.769230769230774</c:v>
                </c:pt>
                <c:pt idx="187">
                  <c:v>26.769230769230774</c:v>
                </c:pt>
                <c:pt idx="188">
                  <c:v>26.769230769230774</c:v>
                </c:pt>
                <c:pt idx="189">
                  <c:v>26.769230769230774</c:v>
                </c:pt>
                <c:pt idx="190">
                  <c:v>26.769230769230774</c:v>
                </c:pt>
                <c:pt idx="191">
                  <c:v>26.769230769230774</c:v>
                </c:pt>
                <c:pt idx="192">
                  <c:v>26.769230769230774</c:v>
                </c:pt>
                <c:pt idx="193">
                  <c:v>26.769230769230774</c:v>
                </c:pt>
                <c:pt idx="194">
                  <c:v>26.769230769230774</c:v>
                </c:pt>
                <c:pt idx="195">
                  <c:v>26.769230769230774</c:v>
                </c:pt>
                <c:pt idx="196">
                  <c:v>26.769230769230774</c:v>
                </c:pt>
                <c:pt idx="197">
                  <c:v>26.769230769230774</c:v>
                </c:pt>
                <c:pt idx="198">
                  <c:v>26.769230769230774</c:v>
                </c:pt>
                <c:pt idx="199">
                  <c:v>26.769230769230774</c:v>
                </c:pt>
                <c:pt idx="200">
                  <c:v>26.769230769230774</c:v>
                </c:pt>
                <c:pt idx="201">
                  <c:v>26.769230769230774</c:v>
                </c:pt>
                <c:pt idx="202">
                  <c:v>26.769230769230774</c:v>
                </c:pt>
                <c:pt idx="203">
                  <c:v>26.769230769230774</c:v>
                </c:pt>
                <c:pt idx="204">
                  <c:v>26.769230769230774</c:v>
                </c:pt>
                <c:pt idx="205">
                  <c:v>26.769230769230774</c:v>
                </c:pt>
                <c:pt idx="206">
                  <c:v>26.769230769230774</c:v>
                </c:pt>
                <c:pt idx="207">
                  <c:v>26.769230769230774</c:v>
                </c:pt>
                <c:pt idx="208">
                  <c:v>26.769230769230774</c:v>
                </c:pt>
                <c:pt idx="209">
                  <c:v>26.769230769230774</c:v>
                </c:pt>
                <c:pt idx="210">
                  <c:v>26.769230769230774</c:v>
                </c:pt>
                <c:pt idx="211">
                  <c:v>26.769230769230774</c:v>
                </c:pt>
                <c:pt idx="212">
                  <c:v>26.769230769230774</c:v>
                </c:pt>
                <c:pt idx="213">
                  <c:v>26.769230769230774</c:v>
                </c:pt>
                <c:pt idx="214">
                  <c:v>26.769230769230774</c:v>
                </c:pt>
                <c:pt idx="215">
                  <c:v>26.769230769230774</c:v>
                </c:pt>
                <c:pt idx="216">
                  <c:v>26.769230769230774</c:v>
                </c:pt>
                <c:pt idx="217">
                  <c:v>26.769230769230774</c:v>
                </c:pt>
                <c:pt idx="218">
                  <c:v>26.769230769230774</c:v>
                </c:pt>
                <c:pt idx="219">
                  <c:v>26.769230769230774</c:v>
                </c:pt>
                <c:pt idx="220">
                  <c:v>26.769230769230774</c:v>
                </c:pt>
                <c:pt idx="221">
                  <c:v>26.769230769230774</c:v>
                </c:pt>
                <c:pt idx="222">
                  <c:v>26.769230769230774</c:v>
                </c:pt>
                <c:pt idx="223">
                  <c:v>26.769230769230774</c:v>
                </c:pt>
                <c:pt idx="224">
                  <c:v>26.769230769230774</c:v>
                </c:pt>
                <c:pt idx="225">
                  <c:v>26.769230769230774</c:v>
                </c:pt>
                <c:pt idx="226">
                  <c:v>26.769230769230774</c:v>
                </c:pt>
                <c:pt idx="227">
                  <c:v>26.769230769230774</c:v>
                </c:pt>
                <c:pt idx="228">
                  <c:v>26.769230769230774</c:v>
                </c:pt>
                <c:pt idx="229">
                  <c:v>26.769230769230774</c:v>
                </c:pt>
                <c:pt idx="230">
                  <c:v>26.769230769230774</c:v>
                </c:pt>
                <c:pt idx="231">
                  <c:v>26.769230769230774</c:v>
                </c:pt>
                <c:pt idx="232">
                  <c:v>26.769230769230774</c:v>
                </c:pt>
                <c:pt idx="233">
                  <c:v>26.769230769230774</c:v>
                </c:pt>
                <c:pt idx="234">
                  <c:v>26.769230769230774</c:v>
                </c:pt>
                <c:pt idx="235">
                  <c:v>26.769230769230774</c:v>
                </c:pt>
                <c:pt idx="236">
                  <c:v>26.769230769230774</c:v>
                </c:pt>
                <c:pt idx="237">
                  <c:v>26.769230769230774</c:v>
                </c:pt>
                <c:pt idx="238">
                  <c:v>26.769230769230774</c:v>
                </c:pt>
                <c:pt idx="239">
                  <c:v>26.769230769230774</c:v>
                </c:pt>
                <c:pt idx="240">
                  <c:v>26.769230769230774</c:v>
                </c:pt>
                <c:pt idx="241">
                  <c:v>26.769230769230774</c:v>
                </c:pt>
                <c:pt idx="242">
                  <c:v>26.769230769230774</c:v>
                </c:pt>
                <c:pt idx="243">
                  <c:v>26.769230769230774</c:v>
                </c:pt>
                <c:pt idx="244">
                  <c:v>26.769230769230774</c:v>
                </c:pt>
                <c:pt idx="245">
                  <c:v>26.769230769230774</c:v>
                </c:pt>
                <c:pt idx="246">
                  <c:v>26.769230769230774</c:v>
                </c:pt>
                <c:pt idx="247">
                  <c:v>26.769230769230774</c:v>
                </c:pt>
                <c:pt idx="248">
                  <c:v>26.769230769230774</c:v>
                </c:pt>
                <c:pt idx="249">
                  <c:v>26.769230769230774</c:v>
                </c:pt>
                <c:pt idx="250">
                  <c:v>26.769230769230774</c:v>
                </c:pt>
                <c:pt idx="251">
                  <c:v>26.769230769230774</c:v>
                </c:pt>
                <c:pt idx="252">
                  <c:v>26.769230769230774</c:v>
                </c:pt>
                <c:pt idx="253">
                  <c:v>26.769230769230774</c:v>
                </c:pt>
                <c:pt idx="254">
                  <c:v>26.769230769230774</c:v>
                </c:pt>
                <c:pt idx="255">
                  <c:v>26.769230769230774</c:v>
                </c:pt>
                <c:pt idx="256">
                  <c:v>26.769230769230774</c:v>
                </c:pt>
                <c:pt idx="257">
                  <c:v>26.769230769230774</c:v>
                </c:pt>
                <c:pt idx="258">
                  <c:v>26.769230769230774</c:v>
                </c:pt>
                <c:pt idx="259">
                  <c:v>26.769230769230774</c:v>
                </c:pt>
                <c:pt idx="260">
                  <c:v>26.769230769230774</c:v>
                </c:pt>
                <c:pt idx="261">
                  <c:v>26.769230769230774</c:v>
                </c:pt>
                <c:pt idx="262">
                  <c:v>26.769230769230774</c:v>
                </c:pt>
                <c:pt idx="263">
                  <c:v>26.769230769230774</c:v>
                </c:pt>
                <c:pt idx="264">
                  <c:v>26.769230769230774</c:v>
                </c:pt>
                <c:pt idx="265">
                  <c:v>26.769230769230774</c:v>
                </c:pt>
                <c:pt idx="266">
                  <c:v>26.769230769230774</c:v>
                </c:pt>
                <c:pt idx="267">
                  <c:v>26.769230769230774</c:v>
                </c:pt>
                <c:pt idx="268">
                  <c:v>26.769230769230774</c:v>
                </c:pt>
                <c:pt idx="269">
                  <c:v>26.769230769230774</c:v>
                </c:pt>
                <c:pt idx="270">
                  <c:v>26.769230769230774</c:v>
                </c:pt>
                <c:pt idx="271">
                  <c:v>26.769230769230774</c:v>
                </c:pt>
                <c:pt idx="272">
                  <c:v>26.769230769230774</c:v>
                </c:pt>
                <c:pt idx="273">
                  <c:v>26.769230769230774</c:v>
                </c:pt>
                <c:pt idx="274">
                  <c:v>26.769230769230774</c:v>
                </c:pt>
                <c:pt idx="275">
                  <c:v>26.769230769230774</c:v>
                </c:pt>
                <c:pt idx="276">
                  <c:v>26.769230769230774</c:v>
                </c:pt>
                <c:pt idx="277">
                  <c:v>26.769230769230774</c:v>
                </c:pt>
                <c:pt idx="278">
                  <c:v>26.769230769230774</c:v>
                </c:pt>
                <c:pt idx="279">
                  <c:v>26.769230769230774</c:v>
                </c:pt>
                <c:pt idx="280">
                  <c:v>26.769230769230774</c:v>
                </c:pt>
                <c:pt idx="281">
                  <c:v>26.769230769230774</c:v>
                </c:pt>
                <c:pt idx="282">
                  <c:v>26.769230769230774</c:v>
                </c:pt>
                <c:pt idx="283">
                  <c:v>26.769230769230774</c:v>
                </c:pt>
                <c:pt idx="284">
                  <c:v>26.769230769230774</c:v>
                </c:pt>
                <c:pt idx="285">
                  <c:v>26.769230769230774</c:v>
                </c:pt>
                <c:pt idx="286">
                  <c:v>26.769230769230774</c:v>
                </c:pt>
                <c:pt idx="287">
                  <c:v>26.769230769230774</c:v>
                </c:pt>
                <c:pt idx="288">
                  <c:v>26.769230769230774</c:v>
                </c:pt>
                <c:pt idx="289">
                  <c:v>26.769230769230774</c:v>
                </c:pt>
                <c:pt idx="290">
                  <c:v>26.769230769230774</c:v>
                </c:pt>
                <c:pt idx="291">
                  <c:v>26.769230769230774</c:v>
                </c:pt>
                <c:pt idx="292">
                  <c:v>26.769230769230774</c:v>
                </c:pt>
                <c:pt idx="293">
                  <c:v>26.769230769230774</c:v>
                </c:pt>
                <c:pt idx="294">
                  <c:v>26.769230769230774</c:v>
                </c:pt>
                <c:pt idx="295">
                  <c:v>26.769230769230774</c:v>
                </c:pt>
                <c:pt idx="296">
                  <c:v>26.769230769230774</c:v>
                </c:pt>
                <c:pt idx="297">
                  <c:v>26.769230769230774</c:v>
                </c:pt>
                <c:pt idx="298">
                  <c:v>26.769230769230774</c:v>
                </c:pt>
                <c:pt idx="299">
                  <c:v>26.769230769230774</c:v>
                </c:pt>
                <c:pt idx="300">
                  <c:v>26.769230769230774</c:v>
                </c:pt>
                <c:pt idx="301">
                  <c:v>26.769230769230774</c:v>
                </c:pt>
                <c:pt idx="302">
                  <c:v>26.769230769230774</c:v>
                </c:pt>
                <c:pt idx="303">
                  <c:v>26.769230769230774</c:v>
                </c:pt>
                <c:pt idx="304">
                  <c:v>26.769230769230774</c:v>
                </c:pt>
                <c:pt idx="305">
                  <c:v>26.769230769230774</c:v>
                </c:pt>
                <c:pt idx="306">
                  <c:v>26.769230769230774</c:v>
                </c:pt>
                <c:pt idx="307">
                  <c:v>26.769230769230774</c:v>
                </c:pt>
                <c:pt idx="308">
                  <c:v>26.769230769230774</c:v>
                </c:pt>
                <c:pt idx="309">
                  <c:v>26.769230769230774</c:v>
                </c:pt>
                <c:pt idx="310">
                  <c:v>26.769230769230774</c:v>
                </c:pt>
                <c:pt idx="311">
                  <c:v>26.769230769230774</c:v>
                </c:pt>
                <c:pt idx="312">
                  <c:v>26.769230769230774</c:v>
                </c:pt>
                <c:pt idx="313">
                  <c:v>26.769230769230774</c:v>
                </c:pt>
                <c:pt idx="314">
                  <c:v>26.769230769230774</c:v>
                </c:pt>
                <c:pt idx="315">
                  <c:v>26.769230769230774</c:v>
                </c:pt>
                <c:pt idx="316">
                  <c:v>26.769230769230774</c:v>
                </c:pt>
                <c:pt idx="317">
                  <c:v>26.769230769230774</c:v>
                </c:pt>
                <c:pt idx="318">
                  <c:v>26.769230769230774</c:v>
                </c:pt>
                <c:pt idx="319">
                  <c:v>26.769230769230774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B5-40CB-8BC7-6F351B54D33E}"/>
            </c:ext>
          </c:extLst>
        </c:ser>
        <c:ser>
          <c:idx val="8"/>
          <c:order val="8"/>
          <c:tx>
            <c:strRef>
              <c:f>CROQUIS_DATOS!$T$2</c:f>
              <c:strCache>
                <c:ptCount val="1"/>
                <c:pt idx="0">
                  <c:v>Parrilla sup ‖ X</c:v>
                </c:pt>
              </c:strCache>
            </c:strRef>
          </c:tx>
          <c:spPr>
            <a:ln w="15875" cap="rnd">
              <a:solidFill>
                <a:srgbClr val="1F5FBF"/>
              </a:solidFill>
              <a:prstDash val="solid"/>
            </a:ln>
          </c:spPr>
          <c:marker>
            <c:symbol val="none"/>
          </c:marker>
          <c:xVal>
            <c:numRef>
              <c:f>CROQUIS_DATOS!$T$4:$T$323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xVal>
          <c:yVal>
            <c:numRef>
              <c:f>CROQUIS_DATOS!$U$4:$U$323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B5-40CB-8BC7-6F351B54D33E}"/>
            </c:ext>
          </c:extLst>
        </c:ser>
        <c:ser>
          <c:idx val="9"/>
          <c:order val="9"/>
          <c:tx>
            <c:strRef>
              <c:f>CROQUIS_DATOS!$V$2</c:f>
              <c:strCache>
                <c:ptCount val="1"/>
                <c:pt idx="0">
                  <c:v>Parrilla sup ‖ Y</c:v>
                </c:pt>
              </c:strCache>
            </c:strRef>
          </c:tx>
          <c:spPr>
            <a:ln w="15875" cap="rnd">
              <a:solidFill>
                <a:srgbClr val="1F5FBF"/>
              </a:solidFill>
              <a:prstDash val="solid"/>
            </a:ln>
          </c:spPr>
          <c:marker>
            <c:symbol val="none"/>
          </c:marker>
          <c:xVal>
            <c:numRef>
              <c:f>CROQUIS_DATOS!$V$4:$V$323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xVal>
          <c:yVal>
            <c:numRef>
              <c:f>CROQUIS_DATOS!$W$4:$W$323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B5-40CB-8BC7-6F351B54D33E}"/>
            </c:ext>
          </c:extLst>
        </c:ser>
        <c:ser>
          <c:idx val="10"/>
          <c:order val="10"/>
          <c:tx>
            <c:strRef>
              <c:f>CROQUIS_DATOS!$X$2</c:f>
              <c:strCache>
                <c:ptCount val="1"/>
                <c:pt idx="0">
                  <c:v>Eje X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CROQUIS_DATOS!$X$4:$X$5</c:f>
              <c:numCache>
                <c:formatCode>General</c:formatCode>
                <c:ptCount val="2"/>
                <c:pt idx="0">
                  <c:v>-73.960000000000008</c:v>
                </c:pt>
                <c:pt idx="1">
                  <c:v>-2.0399999999999991</c:v>
                </c:pt>
              </c:numCache>
            </c:numRef>
          </c:xVal>
          <c:yVal>
            <c:numRef>
              <c:f>CROQUIS_DATOS!$Y$4:$Y$5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B5-40CB-8BC7-6F351B54D33E}"/>
            </c:ext>
          </c:extLst>
        </c:ser>
        <c:ser>
          <c:idx val="11"/>
          <c:order val="11"/>
          <c:tx>
            <c:strRef>
              <c:f>CROQUIS_DATOS!$Z$2</c:f>
              <c:strCache>
                <c:ptCount val="1"/>
                <c:pt idx="0">
                  <c:v>Eje Y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CROQUIS_DATOS!$Z$4:$Z$5</c:f>
              <c:numCache>
                <c:formatCode>General</c:formatCode>
                <c:ptCount val="2"/>
                <c:pt idx="0">
                  <c:v>-38</c:v>
                </c:pt>
                <c:pt idx="1">
                  <c:v>-38</c:v>
                </c:pt>
              </c:numCache>
            </c:numRef>
          </c:xVal>
          <c:yVal>
            <c:numRef>
              <c:f>CROQUIS_DATOS!$AA$4:$AA$5</c:f>
              <c:numCache>
                <c:formatCode>General</c:formatCode>
                <c:ptCount val="2"/>
                <c:pt idx="0">
                  <c:v>-35.96</c:v>
                </c:pt>
                <c:pt idx="1">
                  <c:v>35.96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6B5-40CB-8BC7-6F351B54D33E}"/>
            </c:ext>
          </c:extLst>
        </c:ser>
        <c:ser>
          <c:idx val="12"/>
          <c:order val="12"/>
          <c:tx>
            <c:strRef>
              <c:f>CROQUIS_DATOS!$AB$2</c:f>
              <c:strCache>
                <c:ptCount val="1"/>
                <c:pt idx="0">
                  <c:v>A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CROQUIS_DATOS!$AB$4:$AB$5</c:f>
              <c:numCache>
                <c:formatCode>General</c:formatCode>
                <c:ptCount val="2"/>
                <c:pt idx="0">
                  <c:v>-69</c:v>
                </c:pt>
                <c:pt idx="1">
                  <c:v>-72</c:v>
                </c:pt>
              </c:numCache>
            </c:numRef>
          </c:xVal>
          <c:yVal>
            <c:numRef>
              <c:f>CROQUIS_DATOS!$AC$4:$AC$5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6B5-40CB-8BC7-6F351B54D33E}"/>
            </c:ext>
          </c:extLst>
        </c:ser>
        <c:ser>
          <c:idx val="13"/>
          <c:order val="13"/>
          <c:tx>
            <c:strRef>
              <c:f>CROQUIS_DATOS!$AD$2</c:f>
              <c:strCache>
                <c:ptCount val="1"/>
                <c:pt idx="0">
                  <c:v>A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CROQUIS_DATOS!$AD$4:$AD$5</c:f>
              <c:numCache>
                <c:formatCode>General</c:formatCode>
                <c:ptCount val="2"/>
                <c:pt idx="0">
                  <c:v>-7</c:v>
                </c:pt>
                <c:pt idx="1">
                  <c:v>-4</c:v>
                </c:pt>
              </c:numCache>
            </c:numRef>
          </c:xVal>
          <c:yVal>
            <c:numRef>
              <c:f>CROQUIS_DATOS!$AE$4:$AE$5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6B5-40CB-8BC7-6F351B54D33E}"/>
            </c:ext>
          </c:extLst>
        </c:ser>
        <c:ser>
          <c:idx val="14"/>
          <c:order val="14"/>
          <c:tx>
            <c:strRef>
              <c:f>CROQUIS_DATOS!$AF$2</c:f>
              <c:strCache>
                <c:ptCount val="1"/>
                <c:pt idx="0">
                  <c:v>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CROQUIS_DATOS!$AF$4:$AF$5</c:f>
              <c:numCache>
                <c:formatCode>General</c:formatCode>
                <c:ptCount val="2"/>
                <c:pt idx="0">
                  <c:v>-72</c:v>
                </c:pt>
                <c:pt idx="1">
                  <c:v>-63</c:v>
                </c:pt>
              </c:numCache>
            </c:numRef>
          </c:xVal>
          <c:yVal>
            <c:numRef>
              <c:f>CROQUIS_DATOS!$AG$4:$AG$5</c:f>
              <c:numCache>
                <c:formatCode>General</c:formatCode>
                <c:ptCount val="2"/>
                <c:pt idx="0">
                  <c:v>-46</c:v>
                </c:pt>
                <c:pt idx="1">
                  <c:v>-46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6B5-40CB-8BC7-6F351B54D33E}"/>
            </c:ext>
          </c:extLst>
        </c:ser>
        <c:ser>
          <c:idx val="15"/>
          <c:order val="15"/>
          <c:tx>
            <c:strRef>
              <c:f>CROQUIS_DATOS!$AH$2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CROQUIS_DATOS!$AH$4:$AH$5</c:f>
              <c:numCache>
                <c:formatCode>General</c:formatCode>
                <c:ptCount val="2"/>
                <c:pt idx="0">
                  <c:v>-72</c:v>
                </c:pt>
                <c:pt idx="1">
                  <c:v>-72</c:v>
                </c:pt>
              </c:numCache>
            </c:numRef>
          </c:xVal>
          <c:yVal>
            <c:numRef>
              <c:f>CROQUIS_DATOS!$AI$4:$AI$5</c:f>
              <c:numCache>
                <c:formatCode>General</c:formatCode>
                <c:ptCount val="2"/>
                <c:pt idx="0">
                  <c:v>-46</c:v>
                </c:pt>
                <c:pt idx="1">
                  <c:v>-37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6B5-40CB-8BC7-6F351B54D33E}"/>
            </c:ext>
          </c:extLst>
        </c:ser>
        <c:ser>
          <c:idx val="16"/>
          <c:order val="16"/>
          <c:tx>
            <c:strRef>
              <c:f>CROQUIS_DATOS!$AJ$2</c:f>
              <c:strCache>
                <c:ptCount val="1"/>
                <c:pt idx="0">
                  <c:v>Lecho inferior ‖ X: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CROQUIS_DATOS!$AJ$4:$AJ$5</c:f>
              <c:numCache>
                <c:formatCode>General</c:formatCode>
                <c:ptCount val="2"/>
                <c:pt idx="0">
                  <c:v>4</c:v>
                </c:pt>
                <c:pt idx="1">
                  <c:v>-17.633076923076924</c:v>
                </c:pt>
              </c:numCache>
            </c:numRef>
          </c:xVal>
          <c:yVal>
            <c:numRef>
              <c:f>CROQUIS_DATOS!$AK$4:$AK$5</c:f>
              <c:numCache>
                <c:formatCode>General</c:formatCode>
                <c:ptCount val="2"/>
                <c:pt idx="0">
                  <c:v>42</c:v>
                </c:pt>
                <c:pt idx="1">
                  <c:v>22.307692307692307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6B5-40CB-8BC7-6F351B54D33E}"/>
            </c:ext>
          </c:extLst>
        </c:ser>
        <c:ser>
          <c:idx val="17"/>
          <c:order val="17"/>
          <c:tx>
            <c:strRef>
              <c:f>CROQUIS_DATOS!$AL$2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CROQUIS_DATOS!$AL$4:$AL$5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CROQUIS_DATOS!$AM$4:$AM$5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6B5-40CB-8BC7-6F351B54D33E}"/>
            </c:ext>
          </c:extLst>
        </c:ser>
        <c:ser>
          <c:idx val="18"/>
          <c:order val="18"/>
          <c:tx>
            <c:strRef>
              <c:f>CROQUIS_DATOS!$AN$2</c:f>
              <c:strCache>
                <c:ptCount val="1"/>
                <c:pt idx="0">
                  <c:v>Dado 0.50 × 0.50 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CROQUIS_DATOS!$AN$4:$AN$5</c:f>
              <c:numCache>
                <c:formatCode>General</c:formatCode>
                <c:ptCount val="2"/>
                <c:pt idx="0">
                  <c:v>4</c:v>
                </c:pt>
                <c:pt idx="1">
                  <c:v>-32.42307692307692</c:v>
                </c:pt>
              </c:numCache>
            </c:numRef>
          </c:xVal>
          <c:yVal>
            <c:numRef>
              <c:f>CROQUIS_DATOS!$AO$4:$AO$5</c:f>
              <c:numCache>
                <c:formatCode>General</c:formatCode>
                <c:ptCount val="2"/>
                <c:pt idx="0">
                  <c:v>18</c:v>
                </c:pt>
                <c:pt idx="1">
                  <c:v>5.5769230769230766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6B5-40CB-8BC7-6F351B54D33E}"/>
            </c:ext>
          </c:extLst>
        </c:ser>
        <c:ser>
          <c:idx val="19"/>
          <c:order val="19"/>
          <c:tx>
            <c:strRef>
              <c:f>CROQUIS_DATOS!$AP$2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CROQUIS_DATOS!$AP$4:$AP$5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CROQUIS_DATOS!$AQ$4:$AQ$5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6B5-40CB-8BC7-6F351B54D33E}"/>
            </c:ext>
          </c:extLst>
        </c:ser>
        <c:ser>
          <c:idx val="20"/>
          <c:order val="20"/>
          <c:tx>
            <c:strRef>
              <c:f>CROQUIS_DATOS!$AR$2</c:f>
              <c:strCache>
                <c:ptCount val="1"/>
                <c:pt idx="0">
                  <c:v>Lecho inferior ‖ Y: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CROQUIS_DATOS!$AR$4:$AR$5</c:f>
              <c:numCache>
                <c:formatCode>General</c:formatCode>
                <c:ptCount val="2"/>
                <c:pt idx="0">
                  <c:v>4</c:v>
                </c:pt>
                <c:pt idx="1">
                  <c:v>-15.692307692307693</c:v>
                </c:pt>
              </c:numCache>
            </c:numRef>
          </c:xVal>
          <c:yVal>
            <c:numRef>
              <c:f>CROQUIS_DATOS!$AS$4:$AS$5</c:f>
              <c:numCache>
                <c:formatCode>General</c:formatCode>
                <c:ptCount val="2"/>
                <c:pt idx="0">
                  <c:v>-6</c:v>
                </c:pt>
                <c:pt idx="1">
                  <c:v>-14.5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6B5-40CB-8BC7-6F351B54D33E}"/>
            </c:ext>
          </c:extLst>
        </c:ser>
        <c:ser>
          <c:idx val="21"/>
          <c:order val="21"/>
          <c:tx>
            <c:strRef>
              <c:f>CROQUIS_DATOS!$AT$2</c:f>
              <c:strCache>
                <c:ptCount val="1"/>
                <c:pt idx="0">
                  <c:v>Zapata 2.60 × 2.60 m, h = 0.50 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CROQUIS_DATOS!$AT$4:$AT$5</c:f>
              <c:numCache>
                <c:formatCode>General</c:formatCode>
                <c:ptCount val="2"/>
                <c:pt idx="0">
                  <c:v>4</c:v>
                </c:pt>
                <c:pt idx="1">
                  <c:v>-9</c:v>
                </c:pt>
              </c:numCache>
            </c:numRef>
          </c:xVal>
          <c:yVal>
            <c:numRef>
              <c:f>CROQUIS_DATOS!$AU$4:$AU$5</c:f>
              <c:numCache>
                <c:formatCode>General</c:formatCode>
                <c:ptCount val="2"/>
                <c:pt idx="0">
                  <c:v>-18</c:v>
                </c:pt>
                <c:pt idx="1">
                  <c:v>-24.36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6B5-40CB-8BC7-6F351B54D33E}"/>
            </c:ext>
          </c:extLst>
        </c:ser>
        <c:ser>
          <c:idx val="22"/>
          <c:order val="22"/>
          <c:tx>
            <c:strRef>
              <c:f>CROQUIS_DATOS!$FZ$2</c:f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CROQUIS_DATOS!$FZ$4:$FZ$15</c:f>
            </c:numRef>
          </c:xVal>
          <c:yVal>
            <c:numRef>
              <c:f>CROQUIS_DATOS!$GA$4:$GA$15</c:f>
            </c:numRef>
          </c:yVal>
          <c:smooth val="0"/>
        </c:ser>
        <c:ser>
          <c:idx val="23"/>
          <c:order val="23"/>
          <c:tx>
            <c:strRef>
              <c:f>CROQUIS_DATOS!$GB$2</c:f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CROQUIS_DATOS!$GB$4:$GB$8</c:f>
            </c:numRef>
          </c:xVal>
          <c:yVal>
            <c:numRef>
              <c:f>CROQUIS_DATOS!$GC$4:$GC$8</c:f>
            </c:numRef>
          </c:yVal>
          <c:smooth val="0"/>
        </c:ser>
        <c:ser>
          <c:idx val="24"/>
          <c:order val="24"/>
          <c:tx>
            <c:strRef>
              <c:f>CROQUIS_DATOS!$GD$2</c:f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CROQUIS_DATOS!$GD$4:$GD$5</c:f>
            </c:numRef>
          </c:xVal>
          <c:yVal>
            <c:numRef>
              <c:f>CROQUIS_DATOS!$GE$4:$GE$5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PLANTA — ACOTACIONES (m)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000000000000003E-2"/>
          <c:y val="7.4999999999999997E-2"/>
          <c:w val="0.94"/>
          <c:h val="0.88470588235294112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CROQUIS_DATOS!$AV$2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CROQUIS_DATOS!$AV$4:$AV$8</c:f>
              <c:numCache>
                <c:formatCode>General</c:formatCode>
                <c:ptCount val="5"/>
                <c:pt idx="0">
                  <c:v>-28</c:v>
                </c:pt>
                <c:pt idx="1">
                  <c:v>28</c:v>
                </c:pt>
                <c:pt idx="2">
                  <c:v>28</c:v>
                </c:pt>
                <c:pt idx="3">
                  <c:v>-28</c:v>
                </c:pt>
                <c:pt idx="4">
                  <c:v>-28</c:v>
                </c:pt>
              </c:numCache>
            </c:numRef>
          </c:xVal>
          <c:yVal>
            <c:numRef>
              <c:f>CROQUIS_DATOS!$AW$4:$AW$8</c:f>
              <c:numCache>
                <c:formatCode>General</c:formatCode>
                <c:ptCount val="5"/>
                <c:pt idx="0">
                  <c:v>-28</c:v>
                </c:pt>
                <c:pt idx="1">
                  <c:v>-28</c:v>
                </c:pt>
                <c:pt idx="2">
                  <c:v>28</c:v>
                </c:pt>
                <c:pt idx="3">
                  <c:v>28</c:v>
                </c:pt>
                <c:pt idx="4">
                  <c:v>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0-4726-BF3B-C7F0FE4D247E}"/>
            </c:ext>
          </c:extLst>
        </c:ser>
        <c:ser>
          <c:idx val="1"/>
          <c:order val="1"/>
          <c:tx>
            <c:strRef>
              <c:f>CROQUIS_DATOS!$AX$2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CROQUIS_DATOS!$AX$4:$AX$8</c:f>
              <c:numCache>
                <c:formatCode>General</c:formatCode>
                <c:ptCount val="5"/>
                <c:pt idx="0">
                  <c:v>-5.3846153846153841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-5.3846153846153841</c:v>
                </c:pt>
                <c:pt idx="4">
                  <c:v>-5.3846153846153841</c:v>
                </c:pt>
              </c:numCache>
            </c:numRef>
          </c:xVal>
          <c:yVal>
            <c:numRef>
              <c:f>CROQUIS_DATOS!$AY$4:$AY$8</c:f>
              <c:numCache>
                <c:formatCode>General</c:formatCode>
                <c:ptCount val="5"/>
                <c:pt idx="0">
                  <c:v>-5.3846153846153841</c:v>
                </c:pt>
                <c:pt idx="1">
                  <c:v>-5.3846153846153841</c:v>
                </c:pt>
                <c:pt idx="2">
                  <c:v>5.3846153846153841</c:v>
                </c:pt>
                <c:pt idx="3">
                  <c:v>5.3846153846153841</c:v>
                </c:pt>
                <c:pt idx="4">
                  <c:v>-5.3846153846153841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0-4726-BF3B-C7F0FE4D247E}"/>
            </c:ext>
          </c:extLst>
        </c:ser>
        <c:ser>
          <c:idx val="2"/>
          <c:order val="2"/>
          <c:tx>
            <c:strRef>
              <c:f>CROQUIS_DATOS!$AZ$2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CROQUIS_DATOS!$AZ$4:$AZ$7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CROQUIS_DATOS!$BA$4:$BA$7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0-4726-BF3B-C7F0FE4D247E}"/>
            </c:ext>
          </c:extLst>
        </c:ser>
        <c:ser>
          <c:idx val="3"/>
          <c:order val="3"/>
          <c:tx>
            <c:strRef>
              <c:f>CROQUIS_DATOS!$BB$2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CROQUIS_DATOS!$BB$4:$BB$7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CROQUIS_DATOS!$BC$4:$BC$7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0-4726-BF3B-C7F0FE4D247E}"/>
            </c:ext>
          </c:extLst>
        </c:ser>
        <c:ser>
          <c:idx val="4"/>
          <c:order val="4"/>
          <c:tx>
            <c:strRef>
              <c:f>CROQUIS_DATOS!$BD$2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CROQUIS_DATOS!$BD$4:$BD$7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CROQUIS_DATOS!$BE$4:$BE$7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C0-4726-BF3B-C7F0FE4D247E}"/>
            </c:ext>
          </c:extLst>
        </c:ser>
        <c:ser>
          <c:idx val="5"/>
          <c:order val="5"/>
          <c:tx>
            <c:strRef>
              <c:f>CROQUIS_DATOS!$BF$2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CROQUIS_DATOS!$BF$4:$BF$7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CROQUIS_DATOS!$BG$4:$BG$7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C0-4726-BF3B-C7F0FE4D247E}"/>
            </c:ext>
          </c:extLst>
        </c:ser>
        <c:ser>
          <c:idx val="6"/>
          <c:order val="6"/>
          <c:tx>
            <c:strRef>
              <c:f>CROQUIS_DATOS!$BH$2</c:f>
              <c:strCache>
                <c:ptCount val="1"/>
                <c:pt idx="0">
                  <c:v>Eje X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CROQUIS_DATOS!$BH$4:$BH$5</c:f>
              <c:numCache>
                <c:formatCode>General</c:formatCode>
                <c:ptCount val="2"/>
                <c:pt idx="0">
                  <c:v>-32.479999999999997</c:v>
                </c:pt>
                <c:pt idx="1">
                  <c:v>32.479999999999997</c:v>
                </c:pt>
              </c:numCache>
            </c:numRef>
          </c:xVal>
          <c:yVal>
            <c:numRef>
              <c:f>CROQUIS_DATOS!$BI$4:$BI$5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C0-4726-BF3B-C7F0FE4D247E}"/>
            </c:ext>
          </c:extLst>
        </c:ser>
        <c:ser>
          <c:idx val="7"/>
          <c:order val="7"/>
          <c:tx>
            <c:strRef>
              <c:f>CROQUIS_DATOS!$BJ$2</c:f>
              <c:strCache>
                <c:ptCount val="1"/>
                <c:pt idx="0">
                  <c:v>Eje Y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CROQUIS_DATOS!$BJ$4:$BJ$5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CROQUIS_DATOS!$BK$4:$BK$5</c:f>
              <c:numCache>
                <c:formatCode>General</c:formatCode>
                <c:ptCount val="2"/>
                <c:pt idx="0">
                  <c:v>-32.479999999999997</c:v>
                </c:pt>
                <c:pt idx="1">
                  <c:v>32.479999999999997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C0-4726-BF3B-C7F0FE4D247E}"/>
            </c:ext>
          </c:extLst>
        </c:ser>
        <c:ser>
          <c:idx val="8"/>
          <c:order val="8"/>
          <c:tx>
            <c:strRef>
              <c:f>CROQUIS_DATOS!$BL$2</c:f>
              <c:strCache>
                <c:ptCount val="1"/>
                <c:pt idx="0">
                  <c:v>Lx = 2.60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CROQUIS_DATOS!$BL$4:$BL$16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0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xVal>
          <c:yVal>
            <c:numRef>
              <c:f>CROQUIS_DATOS!$BM$4:$BM$16</c:f>
              <c:numCache>
                <c:formatCode>General</c:formatCode>
                <c:ptCount val="13"/>
                <c:pt idx="0">
                  <c:v>-28</c:v>
                </c:pt>
                <c:pt idx="1">
                  <c:v>-35.5</c:v>
                </c:pt>
                <c:pt idx="2">
                  <c:v>-34</c:v>
                </c:pt>
                <c:pt idx="3">
                  <c:v>-35</c:v>
                </c:pt>
                <c:pt idx="4">
                  <c:v>-33</c:v>
                </c:pt>
                <c:pt idx="5">
                  <c:v>-34</c:v>
                </c:pt>
                <c:pt idx="6">
                  <c:v>-34</c:v>
                </c:pt>
                <c:pt idx="7">
                  <c:v>-34</c:v>
                </c:pt>
                <c:pt idx="8">
                  <c:v>-35</c:v>
                </c:pt>
                <c:pt idx="9">
                  <c:v>-33</c:v>
                </c:pt>
                <c:pt idx="10">
                  <c:v>-34</c:v>
                </c:pt>
                <c:pt idx="11">
                  <c:v>-35.5</c:v>
                </c:pt>
                <c:pt idx="12">
                  <c:v>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C0-4726-BF3B-C7F0FE4D247E}"/>
            </c:ext>
          </c:extLst>
        </c:ser>
        <c:ser>
          <c:idx val="9"/>
          <c:order val="9"/>
          <c:tx>
            <c:strRef>
              <c:f>CROQUIS_DATOS!$BN$2</c:f>
              <c:strCache>
                <c:ptCount val="1"/>
                <c:pt idx="0">
                  <c:v>Ly = 2.60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CROQUIS_DATOS!$BN$4:$BN$16</c:f>
              <c:numCache>
                <c:formatCode>General</c:formatCode>
                <c:ptCount val="13"/>
                <c:pt idx="0">
                  <c:v>-28</c:v>
                </c:pt>
                <c:pt idx="1">
                  <c:v>-35.5</c:v>
                </c:pt>
                <c:pt idx="2">
                  <c:v>-34</c:v>
                </c:pt>
                <c:pt idx="3">
                  <c:v>-35</c:v>
                </c:pt>
                <c:pt idx="4">
                  <c:v>-33</c:v>
                </c:pt>
                <c:pt idx="5">
                  <c:v>-34</c:v>
                </c:pt>
                <c:pt idx="6">
                  <c:v>-34</c:v>
                </c:pt>
                <c:pt idx="7">
                  <c:v>-34</c:v>
                </c:pt>
                <c:pt idx="8">
                  <c:v>-35</c:v>
                </c:pt>
                <c:pt idx="9">
                  <c:v>-33</c:v>
                </c:pt>
                <c:pt idx="10">
                  <c:v>-34</c:v>
                </c:pt>
                <c:pt idx="11">
                  <c:v>-35.5</c:v>
                </c:pt>
                <c:pt idx="12">
                  <c:v>-28</c:v>
                </c:pt>
              </c:numCache>
            </c:numRef>
          </c:xVal>
          <c:yVal>
            <c:numRef>
              <c:f>CROQUIS_DATOS!$BO$4:$BO$16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0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CC0-4726-BF3B-C7F0FE4D247E}"/>
            </c:ext>
          </c:extLst>
        </c:ser>
        <c:ser>
          <c:idx val="10"/>
          <c:order val="10"/>
          <c:tx>
            <c:strRef>
              <c:f>CROQUIS_DATOS!$BP$2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CROQUIS_DATOS!$BP$4:$BP$16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-16.692307692307693</c:v>
                </c:pt>
                <c:pt idx="7">
                  <c:v>-5.3846153846153841</c:v>
                </c:pt>
                <c:pt idx="8">
                  <c:v>-6.3846153846153841</c:v>
                </c:pt>
                <c:pt idx="9">
                  <c:v>-4.3846153846153841</c:v>
                </c:pt>
                <c:pt idx="10">
                  <c:v>-5.3846153846153841</c:v>
                </c:pt>
                <c:pt idx="11">
                  <c:v>-5.3846153846153841</c:v>
                </c:pt>
                <c:pt idx="12">
                  <c:v>-5.3846153846153841</c:v>
                </c:pt>
              </c:numCache>
            </c:numRef>
          </c:xVal>
          <c:yVal>
            <c:numRef>
              <c:f>CROQUIS_DATOS!$BQ$4:$BQ$16</c:f>
              <c:numCache>
                <c:formatCode>General</c:formatCode>
                <c:ptCount val="13"/>
                <c:pt idx="0">
                  <c:v>28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CC0-4726-BF3B-C7F0FE4D247E}"/>
            </c:ext>
          </c:extLst>
        </c:ser>
        <c:ser>
          <c:idx val="11"/>
          <c:order val="11"/>
          <c:tx>
            <c:strRef>
              <c:f>CROQUIS_DATOS!$BR$2</c:f>
              <c:strCache>
                <c:ptCount val="1"/>
                <c:pt idx="0">
                  <c:v>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CROQUIS_DATOS!$BR$4:$BR$16</c:f>
              <c:numCache>
                <c:formatCode>General</c:formatCode>
                <c:ptCount val="13"/>
                <c:pt idx="0">
                  <c:v>-5.3846153846153841</c:v>
                </c:pt>
                <c:pt idx="1">
                  <c:v>-5.3846153846153841</c:v>
                </c:pt>
                <c:pt idx="2">
                  <c:v>-5.3846153846153841</c:v>
                </c:pt>
                <c:pt idx="3">
                  <c:v>-6.3846153846153841</c:v>
                </c:pt>
                <c:pt idx="4">
                  <c:v>-4.3846153846153841</c:v>
                </c:pt>
                <c:pt idx="5">
                  <c:v>-5.3846153846153841</c:v>
                </c:pt>
                <c:pt idx="6">
                  <c:v>0</c:v>
                </c:pt>
                <c:pt idx="7">
                  <c:v>5.3846153846153841</c:v>
                </c:pt>
                <c:pt idx="8">
                  <c:v>4.3846153846153841</c:v>
                </c:pt>
                <c:pt idx="9">
                  <c:v>6.3846153846153841</c:v>
                </c:pt>
                <c:pt idx="10">
                  <c:v>5.3846153846153841</c:v>
                </c:pt>
                <c:pt idx="11">
                  <c:v>5.3846153846153841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CROQUIS_DATOS!$BS$4:$BS$16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CC0-4726-BF3B-C7F0FE4D247E}"/>
            </c:ext>
          </c:extLst>
        </c:ser>
        <c:ser>
          <c:idx val="12"/>
          <c:order val="12"/>
          <c:tx>
            <c:strRef>
              <c:f>CROQUIS_DATOS!$BT$2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CROQUIS_DATOS!$BT$4:$BT$16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4.3846153846153841</c:v>
                </c:pt>
                <c:pt idx="4">
                  <c:v>6.3846153846153841</c:v>
                </c:pt>
                <c:pt idx="5">
                  <c:v>5.3846153846153841</c:v>
                </c:pt>
                <c:pt idx="6">
                  <c:v>16.692307692307693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xVal>
          <c:yVal>
            <c:numRef>
              <c:f>CROQUIS_DATOS!$BU$4:$BU$16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CC0-4726-BF3B-C7F0FE4D247E}"/>
            </c:ext>
          </c:extLst>
        </c:ser>
        <c:ser>
          <c:idx val="13"/>
          <c:order val="13"/>
          <c:tx>
            <c:strRef>
              <c:f>CROQUIS_DATOS!$BV$2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CROQUIS_DATOS!$BV$4:$BV$16</c:f>
              <c:numCache>
                <c:formatCode>General</c:formatCode>
                <c:ptCount val="13"/>
                <c:pt idx="0">
                  <c:v>28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CROQUIS_DATOS!$BW$4:$BW$16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-16.692307692307693</c:v>
                </c:pt>
                <c:pt idx="7">
                  <c:v>-5.3846153846153841</c:v>
                </c:pt>
                <c:pt idx="8">
                  <c:v>-6.3846153846153841</c:v>
                </c:pt>
                <c:pt idx="9">
                  <c:v>-4.3846153846153841</c:v>
                </c:pt>
                <c:pt idx="10">
                  <c:v>-5.3846153846153841</c:v>
                </c:pt>
                <c:pt idx="11">
                  <c:v>-5.3846153846153841</c:v>
                </c:pt>
                <c:pt idx="12">
                  <c:v>-5.3846153846153841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CC0-4726-BF3B-C7F0FE4D247E}"/>
            </c:ext>
          </c:extLst>
        </c:ser>
        <c:ser>
          <c:idx val="14"/>
          <c:order val="14"/>
          <c:tx>
            <c:strRef>
              <c:f>CROQUIS_DATOS!$BX$2</c:f>
              <c:strCache>
                <c:ptCount val="1"/>
                <c:pt idx="0">
                  <c:v>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CROQUIS_DATOS!$BX$4:$BX$16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CROQUIS_DATOS!$BY$4:$BY$16</c:f>
              <c:numCache>
                <c:formatCode>General</c:formatCode>
                <c:ptCount val="13"/>
                <c:pt idx="0">
                  <c:v>-5.3846153846153841</c:v>
                </c:pt>
                <c:pt idx="1">
                  <c:v>-5.3846153846153841</c:v>
                </c:pt>
                <c:pt idx="2">
                  <c:v>-5.3846153846153841</c:v>
                </c:pt>
                <c:pt idx="3">
                  <c:v>-6.3846153846153841</c:v>
                </c:pt>
                <c:pt idx="4">
                  <c:v>-4.3846153846153841</c:v>
                </c:pt>
                <c:pt idx="5">
                  <c:v>-5.3846153846153841</c:v>
                </c:pt>
                <c:pt idx="6">
                  <c:v>0</c:v>
                </c:pt>
                <c:pt idx="7">
                  <c:v>5.3846153846153841</c:v>
                </c:pt>
                <c:pt idx="8">
                  <c:v>4.3846153846153841</c:v>
                </c:pt>
                <c:pt idx="9">
                  <c:v>6.3846153846153841</c:v>
                </c:pt>
                <c:pt idx="10">
                  <c:v>5.3846153846153841</c:v>
                </c:pt>
                <c:pt idx="11">
                  <c:v>5.3846153846153841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CC0-4726-BF3B-C7F0FE4D247E}"/>
            </c:ext>
          </c:extLst>
        </c:ser>
        <c:ser>
          <c:idx val="15"/>
          <c:order val="15"/>
          <c:tx>
            <c:strRef>
              <c:f>CROQUIS_DATOS!$BZ$2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CROQUIS_DATOS!$BZ$4:$BZ$16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28</c:v>
                </c:pt>
              </c:numCache>
            </c:numRef>
          </c:xVal>
          <c:yVal>
            <c:numRef>
              <c:f>CROQUIS_DATOS!$CA$4:$CA$16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4.3846153846153841</c:v>
                </c:pt>
                <c:pt idx="4">
                  <c:v>6.3846153846153841</c:v>
                </c:pt>
                <c:pt idx="5">
                  <c:v>5.3846153846153841</c:v>
                </c:pt>
                <c:pt idx="6">
                  <c:v>16.692307692307693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CC0-4726-BF3B-C7F0FE4D247E}"/>
            </c:ext>
          </c:extLst>
        </c:ser>
        <c:ser>
          <c:idx val="16"/>
          <c:order val="16"/>
          <c:tx>
            <c:strRef>
              <c:f>CROQUIS_DATOS!$CB$2</c:f>
              <c:strCache>
                <c:ptCount val="1"/>
                <c:pt idx="0">
                  <c:v>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CROQUIS_DATOS!$CB$4:$CB$5</c:f>
              <c:numCache>
                <c:formatCode>General</c:formatCode>
                <c:ptCount val="2"/>
                <c:pt idx="0">
                  <c:v>-47</c:v>
                </c:pt>
                <c:pt idx="1">
                  <c:v>-40</c:v>
                </c:pt>
              </c:numCache>
            </c:numRef>
          </c:xVal>
          <c:yVal>
            <c:numRef>
              <c:f>CROQUIS_DATOS!$CC$4:$CC$5</c:f>
              <c:numCache>
                <c:formatCode>General</c:formatCode>
                <c:ptCount val="2"/>
                <c:pt idx="0">
                  <c:v>-47</c:v>
                </c:pt>
                <c:pt idx="1">
                  <c:v>-47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CC0-4726-BF3B-C7F0FE4D247E}"/>
            </c:ext>
          </c:extLst>
        </c:ser>
        <c:ser>
          <c:idx val="17"/>
          <c:order val="17"/>
          <c:tx>
            <c:strRef>
              <c:f>CROQUIS_DATOS!$CD$2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CROQUIS_DATOS!$CD$4:$CD$5</c:f>
              <c:numCache>
                <c:formatCode>General</c:formatCode>
                <c:ptCount val="2"/>
                <c:pt idx="0">
                  <c:v>-47</c:v>
                </c:pt>
                <c:pt idx="1">
                  <c:v>-47</c:v>
                </c:pt>
              </c:numCache>
            </c:numRef>
          </c:xVal>
          <c:yVal>
            <c:numRef>
              <c:f>CROQUIS_DATOS!$CE$4:$CE$5</c:f>
              <c:numCache>
                <c:formatCode>General</c:formatCode>
                <c:ptCount val="2"/>
                <c:pt idx="0">
                  <c:v>-47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CC0-4726-BF3B-C7F0FE4D2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CORTE A-A — ARMADO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CROQUIS_DATOS!$CF$2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CROQUIS_DATOS!$CF$4:$CF$8</c:f>
              <c:numCache>
                <c:formatCode>General</c:formatCode>
                <c:ptCount val="5"/>
                <c:pt idx="0">
                  <c:v>-64.34375</c:v>
                </c:pt>
                <c:pt idx="1">
                  <c:v>-9.6562500000000036</c:v>
                </c:pt>
                <c:pt idx="2">
                  <c:v>-9.6562500000000036</c:v>
                </c:pt>
                <c:pt idx="3">
                  <c:v>-64.34375</c:v>
                </c:pt>
                <c:pt idx="4">
                  <c:v>-64.34375</c:v>
                </c:pt>
              </c:numCache>
            </c:numRef>
          </c:xVal>
          <c:yVal>
            <c:numRef>
              <c:f>CROQUIS_DATOS!$CG$4:$CG$8</c:f>
              <c:numCache>
                <c:formatCode>General</c:formatCode>
                <c:ptCount val="5"/>
                <c:pt idx="0">
                  <c:v>-16.826923076923073</c:v>
                </c:pt>
                <c:pt idx="1">
                  <c:v>-16.826923076923073</c:v>
                </c:pt>
                <c:pt idx="2">
                  <c:v>-6.3100961538461515</c:v>
                </c:pt>
                <c:pt idx="3">
                  <c:v>-6.3100961538461515</c:v>
                </c:pt>
                <c:pt idx="4">
                  <c:v>-16.826923076923073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A-43A1-92F3-844E56518E03}"/>
            </c:ext>
          </c:extLst>
        </c:ser>
        <c:ser>
          <c:idx val="1"/>
          <c:order val="1"/>
          <c:tx>
            <c:strRef>
              <c:f>CROQUIS_DATOS!$CH$2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CROQUIS_DATOS!$CH$4:$CH$8</c:f>
              <c:numCache>
                <c:formatCode>General</c:formatCode>
                <c:ptCount val="5"/>
                <c:pt idx="0">
                  <c:v>-42.25841346153846</c:v>
                </c:pt>
                <c:pt idx="1">
                  <c:v>-31.74158653846154</c:v>
                </c:pt>
                <c:pt idx="2">
                  <c:v>-31.74158653846154</c:v>
                </c:pt>
                <c:pt idx="3">
                  <c:v>-42.25841346153846</c:v>
                </c:pt>
                <c:pt idx="4">
                  <c:v>-42.25841346153846</c:v>
                </c:pt>
              </c:numCache>
            </c:numRef>
          </c:xVal>
          <c:yVal>
            <c:numRef>
              <c:f>CROQUIS_DATOS!$CI$4:$CI$8</c:f>
              <c:numCache>
                <c:formatCode>General</c:formatCode>
                <c:ptCount val="5"/>
                <c:pt idx="0">
                  <c:v>-6.3100961538461515</c:v>
                </c:pt>
                <c:pt idx="1">
                  <c:v>-6.3100961538461515</c:v>
                </c:pt>
                <c:pt idx="2">
                  <c:v>17.878605769230766</c:v>
                </c:pt>
                <c:pt idx="3">
                  <c:v>17.878605769230766</c:v>
                </c:pt>
                <c:pt idx="4">
                  <c:v>-6.3100961538461515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A-43A1-92F3-844E56518E03}"/>
            </c:ext>
          </c:extLst>
        </c:ser>
        <c:ser>
          <c:idx val="2"/>
          <c:order val="2"/>
          <c:tx>
            <c:strRef>
              <c:f>CROQUIS_DATOS!$CJ$2</c:f>
              <c:strCache>
                <c:ptCount val="1"/>
                <c:pt idx="0">
                  <c:v>Plantilla</c:v>
                </c:pt>
              </c:strCache>
            </c:strRef>
          </c:tx>
          <c:spPr>
            <a:ln w="12700" cap="rnd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CROQUIS_DATOS!$CJ$4:$CJ$8</c:f>
              <c:numCache>
                <c:formatCode>General</c:formatCode>
                <c:ptCount val="5"/>
                <c:pt idx="0">
                  <c:v>-65.395432692307693</c:v>
                </c:pt>
                <c:pt idx="1">
                  <c:v>-8.6045673076923102</c:v>
                </c:pt>
                <c:pt idx="2">
                  <c:v>-8.6045673076923102</c:v>
                </c:pt>
                <c:pt idx="3">
                  <c:v>-65.395432692307693</c:v>
                </c:pt>
                <c:pt idx="4">
                  <c:v>-65.395432692307693</c:v>
                </c:pt>
              </c:numCache>
            </c:numRef>
          </c:xVal>
          <c:yVal>
            <c:numRef>
              <c:f>CROQUIS_DATOS!$CK$4:$CK$8</c:f>
              <c:numCache>
                <c:formatCode>General</c:formatCode>
                <c:ptCount val="5"/>
                <c:pt idx="0">
                  <c:v>-17.878605769230766</c:v>
                </c:pt>
                <c:pt idx="1">
                  <c:v>-17.878605769230766</c:v>
                </c:pt>
                <c:pt idx="2">
                  <c:v>-16.826923076923073</c:v>
                </c:pt>
                <c:pt idx="3">
                  <c:v>-16.826923076923073</c:v>
                </c:pt>
                <c:pt idx="4">
                  <c:v>-17.878605769230766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5A-43A1-92F3-844E56518E03}"/>
            </c:ext>
          </c:extLst>
        </c:ser>
        <c:ser>
          <c:idx val="3"/>
          <c:order val="3"/>
          <c:tx>
            <c:strRef>
              <c:f>CROQUIS_DATOS!$CL$2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CROQUIS_DATOS!$CL$4:$CL$36</c:f>
              <c:numCache>
                <c:formatCode>General</c:formatCode>
                <c:ptCount val="33"/>
                <c:pt idx="0">
                  <c:v>-72</c:v>
                </c:pt>
                <c:pt idx="1">
                  <c:v>-73.2</c:v>
                </c:pt>
                <c:pt idx="2">
                  <c:v>-72</c:v>
                </c:pt>
                <c:pt idx="3">
                  <c:v>-69.02584134615384</c:v>
                </c:pt>
                <c:pt idx="4">
                  <c:v>-70.225841346153842</c:v>
                </c:pt>
                <c:pt idx="5">
                  <c:v>-69.02584134615384</c:v>
                </c:pt>
                <c:pt idx="6">
                  <c:v>-66.051682692307693</c:v>
                </c:pt>
                <c:pt idx="7">
                  <c:v>-67.251682692307696</c:v>
                </c:pt>
                <c:pt idx="8">
                  <c:v>-66.051682692307693</c:v>
                </c:pt>
                <c:pt idx="9">
                  <c:v>-63.077524038461533</c:v>
                </c:pt>
                <c:pt idx="10">
                  <c:v>-64.277524038461536</c:v>
                </c:pt>
                <c:pt idx="11">
                  <c:v>-63.077524038461533</c:v>
                </c:pt>
                <c:pt idx="12">
                  <c:v>-60.103365384615387</c:v>
                </c:pt>
                <c:pt idx="13">
                  <c:v>-61.30336538461539</c:v>
                </c:pt>
                <c:pt idx="14">
                  <c:v>-60.103365384615387</c:v>
                </c:pt>
                <c:pt idx="15">
                  <c:v>-57.129206730769226</c:v>
                </c:pt>
                <c:pt idx="16">
                  <c:v>-58.329206730769229</c:v>
                </c:pt>
                <c:pt idx="17">
                  <c:v>-57.129206730769226</c:v>
                </c:pt>
                <c:pt idx="18">
                  <c:v>-54.155048076923073</c:v>
                </c:pt>
                <c:pt idx="19">
                  <c:v>-55.355048076923076</c:v>
                </c:pt>
                <c:pt idx="20">
                  <c:v>-54.155048076923073</c:v>
                </c:pt>
                <c:pt idx="21">
                  <c:v>-51.18088942307692</c:v>
                </c:pt>
                <c:pt idx="22">
                  <c:v>-52.380889423076923</c:v>
                </c:pt>
                <c:pt idx="23">
                  <c:v>-51.18088942307692</c:v>
                </c:pt>
                <c:pt idx="24">
                  <c:v>-48.206730769230766</c:v>
                </c:pt>
                <c:pt idx="25">
                  <c:v>-49.406730769230769</c:v>
                </c:pt>
                <c:pt idx="26">
                  <c:v>-48.206730769230766</c:v>
                </c:pt>
                <c:pt idx="27">
                  <c:v>-45.232572115384613</c:v>
                </c:pt>
                <c:pt idx="28">
                  <c:v>-46.432572115384616</c:v>
                </c:pt>
                <c:pt idx="29">
                  <c:v>-45.232572115384613</c:v>
                </c:pt>
                <c:pt idx="30">
                  <c:v>-42.25841346153846</c:v>
                </c:pt>
                <c:pt idx="31">
                  <c:v>-43.458413461538463</c:v>
                </c:pt>
                <c:pt idx="32">
                  <c:v>-42.25841346153846</c:v>
                </c:pt>
              </c:numCache>
            </c:numRef>
          </c:xVal>
          <c:yVal>
            <c:numRef>
              <c:f>CROQUIS_DATOS!$CM$4:$CM$36</c:f>
              <c:numCache>
                <c:formatCode>General</c:formatCode>
                <c:ptCount val="33"/>
                <c:pt idx="0">
                  <c:v>14.723557692307692</c:v>
                </c:pt>
                <c:pt idx="1">
                  <c:v>13.523557692307692</c:v>
                </c:pt>
                <c:pt idx="2">
                  <c:v>14.723557692307692</c:v>
                </c:pt>
                <c:pt idx="3">
                  <c:v>14.723557692307692</c:v>
                </c:pt>
                <c:pt idx="4">
                  <c:v>13.523557692307692</c:v>
                </c:pt>
                <c:pt idx="5">
                  <c:v>14.723557692307692</c:v>
                </c:pt>
                <c:pt idx="6">
                  <c:v>14.723557692307692</c:v>
                </c:pt>
                <c:pt idx="7">
                  <c:v>13.523557692307692</c:v>
                </c:pt>
                <c:pt idx="8">
                  <c:v>14.723557692307692</c:v>
                </c:pt>
                <c:pt idx="9">
                  <c:v>14.723557692307692</c:v>
                </c:pt>
                <c:pt idx="10">
                  <c:v>13.523557692307692</c:v>
                </c:pt>
                <c:pt idx="11">
                  <c:v>14.723557692307692</c:v>
                </c:pt>
                <c:pt idx="12">
                  <c:v>14.723557692307692</c:v>
                </c:pt>
                <c:pt idx="13">
                  <c:v>13.523557692307692</c:v>
                </c:pt>
                <c:pt idx="14">
                  <c:v>14.723557692307692</c:v>
                </c:pt>
                <c:pt idx="15">
                  <c:v>14.723557692307692</c:v>
                </c:pt>
                <c:pt idx="16">
                  <c:v>13.523557692307692</c:v>
                </c:pt>
                <c:pt idx="17">
                  <c:v>14.723557692307692</c:v>
                </c:pt>
                <c:pt idx="18">
                  <c:v>14.723557692307692</c:v>
                </c:pt>
                <c:pt idx="19">
                  <c:v>13.523557692307692</c:v>
                </c:pt>
                <c:pt idx="20">
                  <c:v>14.723557692307692</c:v>
                </c:pt>
                <c:pt idx="21">
                  <c:v>14.723557692307692</c:v>
                </c:pt>
                <c:pt idx="22">
                  <c:v>13.523557692307692</c:v>
                </c:pt>
                <c:pt idx="23">
                  <c:v>14.723557692307692</c:v>
                </c:pt>
                <c:pt idx="24">
                  <c:v>14.723557692307692</c:v>
                </c:pt>
                <c:pt idx="25">
                  <c:v>13.523557692307692</c:v>
                </c:pt>
                <c:pt idx="26">
                  <c:v>14.723557692307692</c:v>
                </c:pt>
                <c:pt idx="27">
                  <c:v>14.723557692307692</c:v>
                </c:pt>
                <c:pt idx="28">
                  <c:v>13.523557692307692</c:v>
                </c:pt>
                <c:pt idx="29">
                  <c:v>14.723557692307692</c:v>
                </c:pt>
                <c:pt idx="30">
                  <c:v>14.723557692307692</c:v>
                </c:pt>
                <c:pt idx="31">
                  <c:v>13.523557692307692</c:v>
                </c:pt>
                <c:pt idx="32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A-43A1-92F3-844E56518E03}"/>
            </c:ext>
          </c:extLst>
        </c:ser>
        <c:ser>
          <c:idx val="4"/>
          <c:order val="4"/>
          <c:tx>
            <c:strRef>
              <c:f>CROQUIS_DATOS!$CN$2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CROQUIS_DATOS!$CN$4:$CN$36</c:f>
              <c:numCache>
                <c:formatCode>General</c:formatCode>
                <c:ptCount val="33"/>
                <c:pt idx="0">
                  <c:v>-31.74158653846154</c:v>
                </c:pt>
                <c:pt idx="1">
                  <c:v>-32.941586538461543</c:v>
                </c:pt>
                <c:pt idx="2">
                  <c:v>-31.74158653846154</c:v>
                </c:pt>
                <c:pt idx="3">
                  <c:v>-28.767427884615387</c:v>
                </c:pt>
                <c:pt idx="4">
                  <c:v>-29.967427884615386</c:v>
                </c:pt>
                <c:pt idx="5">
                  <c:v>-28.767427884615387</c:v>
                </c:pt>
                <c:pt idx="6">
                  <c:v>-25.793269230769234</c:v>
                </c:pt>
                <c:pt idx="7">
                  <c:v>-26.993269230769233</c:v>
                </c:pt>
                <c:pt idx="8">
                  <c:v>-25.793269230769234</c:v>
                </c:pt>
                <c:pt idx="9">
                  <c:v>-22.819110576923077</c:v>
                </c:pt>
                <c:pt idx="10">
                  <c:v>-24.019110576923076</c:v>
                </c:pt>
                <c:pt idx="11">
                  <c:v>-22.819110576923077</c:v>
                </c:pt>
                <c:pt idx="12">
                  <c:v>-19.844951923076923</c:v>
                </c:pt>
                <c:pt idx="13">
                  <c:v>-21.044951923076923</c:v>
                </c:pt>
                <c:pt idx="14">
                  <c:v>-19.844951923076923</c:v>
                </c:pt>
                <c:pt idx="15">
                  <c:v>-16.87079326923077</c:v>
                </c:pt>
                <c:pt idx="16">
                  <c:v>-18.070793269230769</c:v>
                </c:pt>
                <c:pt idx="17">
                  <c:v>-16.87079326923077</c:v>
                </c:pt>
                <c:pt idx="18">
                  <c:v>-13.896634615384613</c:v>
                </c:pt>
                <c:pt idx="19">
                  <c:v>-15.096634615384612</c:v>
                </c:pt>
                <c:pt idx="20">
                  <c:v>-13.896634615384613</c:v>
                </c:pt>
                <c:pt idx="21">
                  <c:v>-10.92247596153846</c:v>
                </c:pt>
                <c:pt idx="22">
                  <c:v>-12.122475961538459</c:v>
                </c:pt>
                <c:pt idx="23">
                  <c:v>-10.92247596153846</c:v>
                </c:pt>
                <c:pt idx="24">
                  <c:v>-7.9483173076923066</c:v>
                </c:pt>
                <c:pt idx="25">
                  <c:v>-9.1483173076923059</c:v>
                </c:pt>
                <c:pt idx="26">
                  <c:v>-7.9483173076923066</c:v>
                </c:pt>
                <c:pt idx="27">
                  <c:v>-4.9741586538461533</c:v>
                </c:pt>
                <c:pt idx="28">
                  <c:v>-6.1741586538461535</c:v>
                </c:pt>
                <c:pt idx="29">
                  <c:v>-4.9741586538461533</c:v>
                </c:pt>
                <c:pt idx="30">
                  <c:v>-2</c:v>
                </c:pt>
                <c:pt idx="31">
                  <c:v>-3.2</c:v>
                </c:pt>
                <c:pt idx="32">
                  <c:v>-2</c:v>
                </c:pt>
              </c:numCache>
            </c:numRef>
          </c:xVal>
          <c:yVal>
            <c:numRef>
              <c:f>CROQUIS_DATOS!$CO$4:$CO$36</c:f>
              <c:numCache>
                <c:formatCode>General</c:formatCode>
                <c:ptCount val="33"/>
                <c:pt idx="0">
                  <c:v>14.723557692307692</c:v>
                </c:pt>
                <c:pt idx="1">
                  <c:v>13.523557692307692</c:v>
                </c:pt>
                <c:pt idx="2">
                  <c:v>14.723557692307692</c:v>
                </c:pt>
                <c:pt idx="3">
                  <c:v>14.723557692307692</c:v>
                </c:pt>
                <c:pt idx="4">
                  <c:v>13.523557692307692</c:v>
                </c:pt>
                <c:pt idx="5">
                  <c:v>14.723557692307692</c:v>
                </c:pt>
                <c:pt idx="6">
                  <c:v>14.723557692307692</c:v>
                </c:pt>
                <c:pt idx="7">
                  <c:v>13.523557692307692</c:v>
                </c:pt>
                <c:pt idx="8">
                  <c:v>14.723557692307692</c:v>
                </c:pt>
                <c:pt idx="9">
                  <c:v>14.723557692307692</c:v>
                </c:pt>
                <c:pt idx="10">
                  <c:v>13.523557692307692</c:v>
                </c:pt>
                <c:pt idx="11">
                  <c:v>14.723557692307692</c:v>
                </c:pt>
                <c:pt idx="12">
                  <c:v>14.723557692307692</c:v>
                </c:pt>
                <c:pt idx="13">
                  <c:v>13.523557692307692</c:v>
                </c:pt>
                <c:pt idx="14">
                  <c:v>14.723557692307692</c:v>
                </c:pt>
                <c:pt idx="15">
                  <c:v>14.723557692307692</c:v>
                </c:pt>
                <c:pt idx="16">
                  <c:v>13.523557692307692</c:v>
                </c:pt>
                <c:pt idx="17">
                  <c:v>14.723557692307692</c:v>
                </c:pt>
                <c:pt idx="18">
                  <c:v>14.723557692307692</c:v>
                </c:pt>
                <c:pt idx="19">
                  <c:v>13.523557692307692</c:v>
                </c:pt>
                <c:pt idx="20">
                  <c:v>14.723557692307692</c:v>
                </c:pt>
                <c:pt idx="21">
                  <c:v>14.723557692307692</c:v>
                </c:pt>
                <c:pt idx="22">
                  <c:v>13.523557692307692</c:v>
                </c:pt>
                <c:pt idx="23">
                  <c:v>14.723557692307692</c:v>
                </c:pt>
                <c:pt idx="24">
                  <c:v>14.723557692307692</c:v>
                </c:pt>
                <c:pt idx="25">
                  <c:v>13.523557692307692</c:v>
                </c:pt>
                <c:pt idx="26">
                  <c:v>14.723557692307692</c:v>
                </c:pt>
                <c:pt idx="27">
                  <c:v>14.723557692307692</c:v>
                </c:pt>
                <c:pt idx="28">
                  <c:v>13.523557692307692</c:v>
                </c:pt>
                <c:pt idx="29">
                  <c:v>14.723557692307692</c:v>
                </c:pt>
                <c:pt idx="30">
                  <c:v>14.723557692307692</c:v>
                </c:pt>
                <c:pt idx="31">
                  <c:v>13.523557692307692</c:v>
                </c:pt>
                <c:pt idx="32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5A-43A1-92F3-844E56518E03}"/>
            </c:ext>
          </c:extLst>
        </c:ser>
        <c:ser>
          <c:idx val="5"/>
          <c:order val="5"/>
          <c:tx>
            <c:strRef>
              <c:f>CROQUIS_DATOS!$CP$2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CROQUIS_DATOS!$CP$4:$CP$12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xVal>
          <c:yVal>
            <c:numRef>
              <c:f>CROQUIS_DATOS!$CQ$4:$CQ$12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A-43A1-92F3-844E56518E03}"/>
            </c:ext>
          </c:extLst>
        </c:ser>
        <c:ser>
          <c:idx val="6"/>
          <c:order val="6"/>
          <c:tx>
            <c:strRef>
              <c:f>CROQUIS_DATOS!$CR$2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CROQUIS_DATOS!$CR$4:$CR$12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xVal>
          <c:yVal>
            <c:numRef>
              <c:f>CROQUIS_DATOS!$CS$4:$CS$12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5A-43A1-92F3-844E56518E03}"/>
            </c:ext>
          </c:extLst>
        </c:ser>
        <c:ser>
          <c:idx val="7"/>
          <c:order val="7"/>
          <c:tx>
            <c:strRef>
              <c:f>CROQUIS_DATOS!$CT$2</c:f>
              <c:strCache>
                <c:ptCount val="1"/>
                <c:pt idx="0">
                  <c:v>Varilla ‖ X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CROQUIS_DATOS!$CT$4:$CT$7</c:f>
              <c:numCache>
                <c:formatCode>General</c:formatCode>
                <c:ptCount val="4"/>
                <c:pt idx="0">
                  <c:v>-62.76622596153846</c:v>
                </c:pt>
                <c:pt idx="1">
                  <c:v>-62.76622596153846</c:v>
                </c:pt>
                <c:pt idx="2">
                  <c:v>-11.23377403846154</c:v>
                </c:pt>
                <c:pt idx="3">
                  <c:v>-11.23377403846154</c:v>
                </c:pt>
              </c:numCache>
            </c:numRef>
          </c:xVal>
          <c:yVal>
            <c:numRef>
              <c:f>CROQUIS_DATOS!$CU$4:$CU$7</c:f>
              <c:numCache>
                <c:formatCode>General</c:formatCode>
                <c:ptCount val="4"/>
                <c:pt idx="0">
                  <c:v>-15.082181490384613</c:v>
                </c:pt>
                <c:pt idx="1">
                  <c:v>-15.082181490384613</c:v>
                </c:pt>
                <c:pt idx="2">
                  <c:v>-15.082181490384613</c:v>
                </c:pt>
                <c:pt idx="3">
                  <c:v>-15.082181490384613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A-43A1-92F3-844E56518E03}"/>
            </c:ext>
          </c:extLst>
        </c:ser>
        <c:ser>
          <c:idx val="8"/>
          <c:order val="8"/>
          <c:tx>
            <c:strRef>
              <c:f>CROQUIS_DATOS!$CV$2</c:f>
              <c:strCache>
                <c:ptCount val="1"/>
                <c:pt idx="0">
                  <c:v>Varillas ‖ Y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CROQUIS_DATOS!$CV$4:$CV$83</c:f>
              <c:numCache>
                <c:formatCode>General</c:formatCode>
                <c:ptCount val="80"/>
                <c:pt idx="0">
                  <c:v>-62.240384615384613</c:v>
                </c:pt>
                <c:pt idx="1">
                  <c:v>-58.03365384615384</c:v>
                </c:pt>
                <c:pt idx="2">
                  <c:v>-53.82692307692308</c:v>
                </c:pt>
                <c:pt idx="3">
                  <c:v>-49.620192307692307</c:v>
                </c:pt>
                <c:pt idx="4">
                  <c:v>-45.41346153846154</c:v>
                </c:pt>
                <c:pt idx="5">
                  <c:v>-41.206730769230766</c:v>
                </c:pt>
                <c:pt idx="6">
                  <c:v>-37</c:v>
                </c:pt>
                <c:pt idx="7">
                  <c:v>-32.793269230769234</c:v>
                </c:pt>
                <c:pt idx="8">
                  <c:v>-28.58653846153846</c:v>
                </c:pt>
                <c:pt idx="9">
                  <c:v>-24.379807692307693</c:v>
                </c:pt>
                <c:pt idx="10">
                  <c:v>-20.173076923076923</c:v>
                </c:pt>
                <c:pt idx="11">
                  <c:v>-15.966346153846157</c:v>
                </c:pt>
                <c:pt idx="12">
                  <c:v>-11.759615384615383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CROQUIS_DATOS!$CW$4:$CW$83</c:f>
              <c:numCache>
                <c:formatCode>General</c:formatCode>
                <c:ptCount val="80"/>
                <c:pt idx="0">
                  <c:v>-14.747746394230766</c:v>
                </c:pt>
                <c:pt idx="1">
                  <c:v>-14.747746394230766</c:v>
                </c:pt>
                <c:pt idx="2">
                  <c:v>-14.747746394230766</c:v>
                </c:pt>
                <c:pt idx="3">
                  <c:v>-14.747746394230766</c:v>
                </c:pt>
                <c:pt idx="4">
                  <c:v>-14.747746394230766</c:v>
                </c:pt>
                <c:pt idx="5">
                  <c:v>-14.747746394230766</c:v>
                </c:pt>
                <c:pt idx="6">
                  <c:v>-14.747746394230766</c:v>
                </c:pt>
                <c:pt idx="7">
                  <c:v>-14.747746394230766</c:v>
                </c:pt>
                <c:pt idx="8">
                  <c:v>-14.747746394230766</c:v>
                </c:pt>
                <c:pt idx="9">
                  <c:v>-14.747746394230766</c:v>
                </c:pt>
                <c:pt idx="10">
                  <c:v>-14.747746394230766</c:v>
                </c:pt>
                <c:pt idx="11">
                  <c:v>-14.747746394230766</c:v>
                </c:pt>
                <c:pt idx="12">
                  <c:v>-14.747746394230766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A-43A1-92F3-844E56518E03}"/>
            </c:ext>
          </c:extLst>
        </c:ser>
        <c:ser>
          <c:idx val="9"/>
          <c:order val="9"/>
          <c:tx>
            <c:strRef>
              <c:f>CROQUIS_DATOS!$CX$2</c:f>
              <c:strCache>
                <c:ptCount val="1"/>
                <c:pt idx="0">
                  <c:v>Parrilla sup ‖ X</c:v>
                </c:pt>
              </c:strCache>
            </c:strRef>
          </c:tx>
          <c:spPr>
            <a:ln w="15875" cap="rnd">
              <a:solidFill>
                <a:srgbClr val="1F5FBF"/>
              </a:solidFill>
              <a:prstDash val="solid"/>
            </a:ln>
          </c:spPr>
          <c:marker>
            <c:symbol val="none"/>
          </c:marker>
          <c:xVal>
            <c:numRef>
              <c:f>CROQUIS_DATOS!$CX$4:$CX$5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CROQUIS_DATOS!$CY$4:$CY$5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5A-43A1-92F3-844E56518E03}"/>
            </c:ext>
          </c:extLst>
        </c:ser>
        <c:ser>
          <c:idx val="10"/>
          <c:order val="10"/>
          <c:tx>
            <c:strRef>
              <c:f>CROQUIS_DATOS!$CZ$2</c:f>
              <c:strCache>
                <c:ptCount val="1"/>
                <c:pt idx="0">
                  <c:v>Parrilla sup ‖ Y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1F5FBF"/>
              </a:solidFill>
              <a:ln w="6350">
                <a:solidFill>
                  <a:srgbClr val="1F5FBF"/>
                </a:solidFill>
              </a:ln>
            </c:spPr>
          </c:marker>
          <c:xVal>
            <c:numRef>
              <c:f>CROQUIS_DATOS!$CZ$4:$CZ$83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CROQUIS_DATOS!$DA$4:$DA$83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A-43A1-92F3-844E56518E03}"/>
            </c:ext>
          </c:extLst>
        </c:ser>
        <c:ser>
          <c:idx val="26"/>
          <c:order val="11"/>
          <c:tx>
            <c:strRef>
              <c:f>CROQUIS_DATOS!$GF$2</c:f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CROQUIS_DATOS!$GF$4:$GF$33</c:f>
            </c:numRef>
          </c:xVal>
          <c:yVal>
            <c:numRef>
              <c:f>CROQUIS_DATOS!$GG$4:$GG$33</c:f>
            </c:numRef>
          </c:yVal>
          <c:smooth val="0"/>
        </c:ser>
        <c:ser>
          <c:idx val="11"/>
          <c:order val="12"/>
          <c:tx>
            <c:strRef>
              <c:f>CROQUIS_DATOS!$DB$2</c:f>
              <c:strCache>
                <c:ptCount val="1"/>
                <c:pt idx="0">
                  <c:v>Dovela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CROQUIS_DATOS!$DB$4:$DB$6</c:f>
              <c:numCache>
                <c:formatCode>General</c:formatCode>
                <c:ptCount val="3"/>
                <c:pt idx="0">
                  <c:v>-41.005859375</c:v>
                </c:pt>
                <c:pt idx="1">
                  <c:v>-41.005859375</c:v>
                </c:pt>
                <c:pt idx="2">
                  <c:v>-45.82677283653846</c:v>
                </c:pt>
              </c:numCache>
            </c:numRef>
          </c:xVal>
          <c:yVal>
            <c:numRef>
              <c:f>CROQUIS_DATOS!$DC$4:$DC$6</c:f>
              <c:numCache>
                <c:formatCode>General</c:formatCode>
                <c:ptCount val="3"/>
                <c:pt idx="0">
                  <c:v>16.826923076923073</c:v>
                </c:pt>
                <c:pt idx="1">
                  <c:v>-14.379657451923075</c:v>
                </c:pt>
                <c:pt idx="2">
                  <c:v>-14.379657451923075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A-43A1-92F3-844E56518E03}"/>
            </c:ext>
          </c:extLst>
        </c:ser>
        <c:ser>
          <c:idx val="12"/>
          <c:order val="13"/>
          <c:tx>
            <c:strRef>
              <c:f>CROQUIS_DATOS!$DD$2</c:f>
              <c:strCache>
                <c:ptCount val="1"/>
                <c:pt idx="0">
                  <c:v>Dovela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CROQUIS_DATOS!$DD$4:$DD$6</c:f>
              <c:numCache>
                <c:formatCode>General</c:formatCode>
                <c:ptCount val="3"/>
                <c:pt idx="0">
                  <c:v>-32.994140625</c:v>
                </c:pt>
                <c:pt idx="1">
                  <c:v>-32.994140625</c:v>
                </c:pt>
                <c:pt idx="2">
                  <c:v>-28.17322716346154</c:v>
                </c:pt>
              </c:numCache>
            </c:numRef>
          </c:xVal>
          <c:yVal>
            <c:numRef>
              <c:f>CROQUIS_DATOS!$DE$4:$DE$6</c:f>
              <c:numCache>
                <c:formatCode>General</c:formatCode>
                <c:ptCount val="3"/>
                <c:pt idx="0">
                  <c:v>16.826923076923073</c:v>
                </c:pt>
                <c:pt idx="1">
                  <c:v>-14.379657451923075</c:v>
                </c:pt>
                <c:pt idx="2">
                  <c:v>-14.379657451923075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65A-43A1-92F3-844E56518E03}"/>
            </c:ext>
          </c:extLst>
        </c:ser>
        <c:ser>
          <c:idx val="13"/>
          <c:order val="14"/>
          <c:tx>
            <c:strRef>
              <c:f>CROQUIS_DATOS!$DF$2</c:f>
              <c:strCache>
                <c:ptCount val="1"/>
                <c:pt idx="0">
                  <c:v>CT arriba</c:v>
                </c:pt>
              </c:strCache>
            </c:strRef>
          </c:tx>
          <c:spPr>
            <a:ln w="19050" cap="rnd">
              <a:solidFill>
                <a:srgbClr val="9C0006"/>
              </a:solidFill>
              <a:prstDash val="solid"/>
            </a:ln>
          </c:spPr>
          <c:marker>
            <c:symbol val="none"/>
          </c:marker>
          <c:xVal>
            <c:numRef>
              <c:f>CROQUIS_DATOS!$DF$4:$DF$5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CROQUIS_DATOS!$DG$4:$DG$5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A-43A1-92F3-844E56518E03}"/>
            </c:ext>
          </c:extLst>
        </c:ser>
        <c:ser>
          <c:idx val="14"/>
          <c:order val="15"/>
          <c:tx>
            <c:strRef>
              <c:f>CROQUIS_DATOS!$DH$2</c:f>
              <c:strCache>
                <c:ptCount val="1"/>
                <c:pt idx="0">
                  <c:v>CT abajo</c:v>
                </c:pt>
              </c:strCache>
            </c:strRef>
          </c:tx>
          <c:spPr>
            <a:ln w="19050" cap="rnd">
              <a:solidFill>
                <a:srgbClr val="9C0006"/>
              </a:solidFill>
              <a:prstDash val="solid"/>
            </a:ln>
          </c:spPr>
          <c:marker>
            <c:symbol val="none"/>
          </c:marker>
          <c:xVal>
            <c:numRef>
              <c:f>CROQUIS_DATOS!$DH$4:$DH$5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CROQUIS_DATOS!$DI$4:$DI$5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A-43A1-92F3-844E56518E03}"/>
            </c:ext>
          </c:extLst>
        </c:ser>
        <c:ser>
          <c:idx val="15"/>
          <c:order val="16"/>
          <c:tx>
            <c:strRef>
              <c:f>CROQUIS_DATOS!$DJ$2</c:f>
              <c:strCache>
                <c:ptCount val="1"/>
                <c:pt idx="0">
                  <c:v>Estribos CT</c:v>
                </c:pt>
              </c:strCache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CROQUIS_DATOS!$DJ$4:$DJ$83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CROQUIS_DATOS!$DK$4:$DK$83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A-43A1-92F3-844E56518E03}"/>
            </c:ext>
          </c:extLst>
        </c:ser>
        <c:ser>
          <c:idx val="16"/>
          <c:order val="17"/>
          <c:tx>
            <c:strRef>
              <c:f>CROQUIS_DATOS!$DL$2</c:f>
              <c:strCache>
                <c:ptCount val="1"/>
                <c:pt idx="0">
                  <c:v>Estribos CT</c:v>
                </c:pt>
              </c:strCache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CROQUIS_DATOS!$DL$4:$DL$83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CROQUIS_DATOS!$DM$4:$DM$83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A-43A1-92F3-844E56518E03}"/>
            </c:ext>
          </c:extLst>
        </c:ser>
        <c:ser>
          <c:idx val="17"/>
          <c:order val="18"/>
          <c:tx>
            <c:strRef>
              <c:f>CROQUIS_DATOS!$DN$2</c:f>
              <c:strCache>
                <c:ptCount val="1"/>
                <c:pt idx="0">
                  <c:v>Dado 0.50 × 0.50 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CROQUIS_DATOS!$DN$4:$DN$5</c:f>
              <c:numCache>
                <c:formatCode>General</c:formatCode>
                <c:ptCount val="2"/>
                <c:pt idx="0">
                  <c:v>4</c:v>
                </c:pt>
                <c:pt idx="1">
                  <c:v>-31.74158653846154</c:v>
                </c:pt>
              </c:numCache>
            </c:numRef>
          </c:xVal>
          <c:yVal>
            <c:numRef>
              <c:f>CROQUIS_DATOS!$DO$4:$DO$5</c:f>
              <c:numCache>
                <c:formatCode>General</c:formatCode>
                <c:ptCount val="2"/>
                <c:pt idx="0">
                  <c:v>44</c:v>
                </c:pt>
                <c:pt idx="1">
                  <c:v>14.250300480769232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A-43A1-92F3-844E56518E03}"/>
            </c:ext>
          </c:extLst>
        </c:ser>
        <c:ser>
          <c:idx val="18"/>
          <c:order val="19"/>
          <c:tx>
            <c:strRef>
              <c:f>CROQUIS_DATOS!$DP$2</c:f>
              <c:strCache>
                <c:ptCount val="1"/>
                <c:pt idx="0">
                  <c:v>Nivel de terreno natural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CROQUIS_DATOS!$DP$4:$DP$5</c:f>
              <c:numCache>
                <c:formatCode>General</c:formatCode>
                <c:ptCount val="2"/>
                <c:pt idx="0">
                  <c:v>4</c:v>
                </c:pt>
                <c:pt idx="1">
                  <c:v>-5.0625000000000036</c:v>
                </c:pt>
              </c:numCache>
            </c:numRef>
          </c:xVal>
          <c:yVal>
            <c:numRef>
              <c:f>CROQUIS_DATOS!$DQ$4:$DQ$5</c:f>
              <c:numCache>
                <c:formatCode>General</c:formatCode>
                <c:ptCount val="2"/>
                <c:pt idx="0">
                  <c:v>33</c:v>
                </c:pt>
                <c:pt idx="1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A-43A1-92F3-844E56518E03}"/>
            </c:ext>
          </c:extLst>
        </c:ser>
        <c:ser>
          <c:idx val="19"/>
          <c:order val="20"/>
          <c:tx>
            <c:strRef>
              <c:f>CROQUIS_DATOS!$DR$2</c:f>
              <c:strCache>
                <c:ptCount val="1"/>
                <c:pt idx="0">
                  <c:v>Dovelas: mín. 5 #6, gancho 90° sobre la parrilla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CROQUIS_DATOS!$DR$4:$DR$5</c:f>
              <c:numCache>
                <c:formatCode>General</c:formatCode>
                <c:ptCount val="2"/>
                <c:pt idx="0">
                  <c:v>4</c:v>
                </c:pt>
                <c:pt idx="1">
                  <c:v>-32.994140625</c:v>
                </c:pt>
              </c:numCache>
            </c:numRef>
          </c:xVal>
          <c:yVal>
            <c:numRef>
              <c:f>CROQUIS_DATOS!$DS$4:$DS$5</c:f>
              <c:numCache>
                <c:formatCode>General</c:formatCode>
                <c:ptCount val="2"/>
                <c:pt idx="0">
                  <c:v>22</c:v>
                </c:pt>
                <c:pt idx="1">
                  <c:v>4.5748197115384635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A-43A1-92F3-844E56518E03}"/>
            </c:ext>
          </c:extLst>
        </c:ser>
        <c:ser>
          <c:idx val="20"/>
          <c:order val="21"/>
          <c:tx>
            <c:strRef>
              <c:f>CROQUIS_DATOS!$DT$2</c:f>
              <c:strCache>
                <c:ptCount val="1"/>
                <c:pt idx="0">
                  <c:v>Relleno compactado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CROQUIS_DATOS!$DT$4:$DT$5</c:f>
              <c:numCache>
                <c:formatCode>General</c:formatCode>
                <c:ptCount val="2"/>
                <c:pt idx="0">
                  <c:v>4</c:v>
                </c:pt>
                <c:pt idx="1">
                  <c:v>-17.859375000000004</c:v>
                </c:pt>
              </c:numCache>
            </c:numRef>
          </c:xVal>
          <c:yVal>
            <c:numRef>
              <c:f>CROQUIS_DATOS!$DU$4:$DU$5</c:f>
              <c:numCache>
                <c:formatCode>General</c:formatCode>
                <c:ptCount val="2"/>
                <c:pt idx="0">
                  <c:v>11</c:v>
                </c:pt>
                <c:pt idx="1">
                  <c:v>4.2067307692307701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A-43A1-92F3-844E56518E03}"/>
            </c:ext>
          </c:extLst>
        </c:ser>
        <c:ser>
          <c:idx val="21"/>
          <c:order val="22"/>
          <c:tx>
            <c:strRef>
              <c:f>CROQUIS_DATOS!$DV$2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CROQUIS_DATOS!$DV$4:$DV$5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CROQUIS_DATOS!$DW$4:$DW$5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A-43A1-92F3-844E56518E03}"/>
            </c:ext>
          </c:extLst>
        </c:ser>
        <c:ser>
          <c:idx val="22"/>
          <c:order val="23"/>
          <c:tx>
            <c:strRef>
              <c:f>CROQUIS_DATOS!$DX$2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CROQUIS_DATOS!$DX$4:$DX$5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CROQUIS_DATOS!$DY$4:$DY$5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A-43A1-92F3-844E56518E03}"/>
            </c:ext>
          </c:extLst>
        </c:ser>
        <c:ser>
          <c:idx val="23"/>
          <c:order val="24"/>
          <c:tx>
            <c:strRef>
              <c:f>CROQUIS_DATOS!$DZ$2</c:f>
              <c:strCache>
                <c:ptCount val="1"/>
                <c:pt idx="0">
                  <c:v>Lecho inferior ‖ X: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CROQUIS_DATOS!$DZ$4:$DZ$5</c:f>
              <c:numCache>
                <c:formatCode>General</c:formatCode>
                <c:ptCount val="2"/>
                <c:pt idx="0">
                  <c:v>4</c:v>
                </c:pt>
                <c:pt idx="1">
                  <c:v>-13.421274038461544</c:v>
                </c:pt>
              </c:numCache>
            </c:numRef>
          </c:xVal>
          <c:yVal>
            <c:numRef>
              <c:f>CROQUIS_DATOS!$EA$4:$EA$5</c:f>
              <c:numCache>
                <c:formatCode>General</c:formatCode>
                <c:ptCount val="2"/>
                <c:pt idx="0">
                  <c:v>-22</c:v>
                </c:pt>
                <c:pt idx="1">
                  <c:v>-15.082181490384613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A-43A1-92F3-844E56518E03}"/>
            </c:ext>
          </c:extLst>
        </c:ser>
        <c:ser>
          <c:idx val="24"/>
          <c:order val="25"/>
          <c:tx>
            <c:strRef>
              <c:f>CROQUIS_DATOS!$EB$2</c:f>
              <c:strCache>
                <c:ptCount val="1"/>
                <c:pt idx="0">
                  <c:v>Lecho inferior ‖ Y: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CROQUIS_DATOS!$EB$4:$EB$5</c:f>
              <c:numCache>
                <c:formatCode>General</c:formatCode>
                <c:ptCount val="2"/>
                <c:pt idx="0">
                  <c:v>4</c:v>
                </c:pt>
                <c:pt idx="1">
                  <c:v>-15.966346153846157</c:v>
                </c:pt>
              </c:numCache>
            </c:numRef>
          </c:xVal>
          <c:yVal>
            <c:numRef>
              <c:f>CROQUIS_DATOS!$EC$4:$EC$5</c:f>
              <c:numCache>
                <c:formatCode>General</c:formatCode>
                <c:ptCount val="2"/>
                <c:pt idx="0">
                  <c:v>-33</c:v>
                </c:pt>
                <c:pt idx="1">
                  <c:v>-14.747746394230766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A-43A1-92F3-844E56518E03}"/>
            </c:ext>
          </c:extLst>
        </c:ser>
        <c:ser>
          <c:idx val="25"/>
          <c:order val="26"/>
          <c:tx>
            <c:strRef>
              <c:f>CROQUIS_DATOS!$ED$2</c:f>
              <c:strCache>
                <c:ptCount val="1"/>
                <c:pt idx="0">
                  <c:v>Plantilla de concreto pobre, e = 5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CROQUIS_DATOS!$ED$4:$ED$5</c:f>
              <c:numCache>
                <c:formatCode>General</c:formatCode>
                <c:ptCount val="2"/>
                <c:pt idx="0">
                  <c:v>4</c:v>
                </c:pt>
                <c:pt idx="1">
                  <c:v>-12.390625000000004</c:v>
                </c:pt>
              </c:numCache>
            </c:numRef>
          </c:xVal>
          <c:yVal>
            <c:numRef>
              <c:f>CROQUIS_DATOS!$EE$4:$EE$5</c:f>
              <c:numCache>
                <c:formatCode>General</c:formatCode>
                <c:ptCount val="2"/>
                <c:pt idx="0">
                  <c:v>-44</c:v>
                </c:pt>
                <c:pt idx="1">
                  <c:v>-17.35276442307692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A-43A1-92F3-844E56518E03}"/>
            </c:ext>
          </c:extLst>
        </c:ser>
        <c:ser>
          <c:idx val="27"/>
          <c:order val="27"/>
          <c:tx>
            <c:strRef>
              <c:f>CROQUIS_DATOS!$GH$2</c:f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CROQUIS_DATOS!$GH$4:$GH$5</c:f>
            </c:numRef>
          </c:xVal>
          <c:yVal>
            <c:numRef>
              <c:f>CROQUIS_DATOS!$GI$4:$GI$5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CORTE A-A — ACOTACIONES (m)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000000000000003E-2"/>
          <c:y val="7.4999999999999997E-2"/>
          <c:w val="0.94"/>
          <c:h val="0.88470588235294112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CROQUIS_DATOS!$EF$2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CROQUIS_DATOS!$EF$4:$EF$8</c:f>
              <c:numCache>
                <c:formatCode>General</c:formatCode>
                <c:ptCount val="5"/>
                <c:pt idx="0">
                  <c:v>-21.875</c:v>
                </c:pt>
                <c:pt idx="1">
                  <c:v>21.875</c:v>
                </c:pt>
                <c:pt idx="2">
                  <c:v>21.875</c:v>
                </c:pt>
                <c:pt idx="3">
                  <c:v>-21.875</c:v>
                </c:pt>
                <c:pt idx="4">
                  <c:v>-21.875</c:v>
                </c:pt>
              </c:numCache>
            </c:numRef>
          </c:xVal>
          <c:yVal>
            <c:numRef>
              <c:f>CROQUIS_DATOS!$EG$4:$EG$8</c:f>
              <c:numCache>
                <c:formatCode>General</c:formatCode>
                <c:ptCount val="5"/>
                <c:pt idx="0">
                  <c:v>-13.46153846153846</c:v>
                </c:pt>
                <c:pt idx="1">
                  <c:v>-13.46153846153846</c:v>
                </c:pt>
                <c:pt idx="2">
                  <c:v>-5.0480769230769216</c:v>
                </c:pt>
                <c:pt idx="3">
                  <c:v>-5.0480769230769216</c:v>
                </c:pt>
                <c:pt idx="4">
                  <c:v>-13.46153846153846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A-498E-89AD-0D1885DD8415}"/>
            </c:ext>
          </c:extLst>
        </c:ser>
        <c:ser>
          <c:idx val="1"/>
          <c:order val="1"/>
          <c:tx>
            <c:strRef>
              <c:f>CROQUIS_DATOS!$EH$2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CROQUIS_DATOS!$EH$4:$EH$8</c:f>
              <c:numCache>
                <c:formatCode>General</c:formatCode>
                <c:ptCount val="5"/>
                <c:pt idx="0">
                  <c:v>-4.2067307692307692</c:v>
                </c:pt>
                <c:pt idx="1">
                  <c:v>4.2067307692307692</c:v>
                </c:pt>
                <c:pt idx="2">
                  <c:v>4.2067307692307692</c:v>
                </c:pt>
                <c:pt idx="3">
                  <c:v>-4.2067307692307692</c:v>
                </c:pt>
                <c:pt idx="4">
                  <c:v>-4.2067307692307692</c:v>
                </c:pt>
              </c:numCache>
            </c:numRef>
          </c:xVal>
          <c:yVal>
            <c:numRef>
              <c:f>CROQUIS_DATOS!$EI$4:$EI$8</c:f>
              <c:numCache>
                <c:formatCode>General</c:formatCode>
                <c:ptCount val="5"/>
                <c:pt idx="0">
                  <c:v>-5.0480769230769216</c:v>
                </c:pt>
                <c:pt idx="1">
                  <c:v>-5.0480769230769216</c:v>
                </c:pt>
                <c:pt idx="2">
                  <c:v>14.302884615384615</c:v>
                </c:pt>
                <c:pt idx="3">
                  <c:v>14.302884615384615</c:v>
                </c:pt>
                <c:pt idx="4">
                  <c:v>-5.0480769230769216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A-498E-89AD-0D1885DD8415}"/>
            </c:ext>
          </c:extLst>
        </c:ser>
        <c:ser>
          <c:idx val="2"/>
          <c:order val="2"/>
          <c:tx>
            <c:strRef>
              <c:f>CROQUIS_DATOS!$EJ$2</c:f>
              <c:strCache>
                <c:ptCount val="1"/>
                <c:pt idx="0">
                  <c:v>Plantilla</c:v>
                </c:pt>
              </c:strCache>
            </c:strRef>
          </c:tx>
          <c:spPr>
            <a:ln w="12700" cap="rnd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CROQUIS_DATOS!$EJ$4:$EJ$8</c:f>
              <c:numCache>
                <c:formatCode>General</c:formatCode>
                <c:ptCount val="5"/>
                <c:pt idx="0">
                  <c:v>-22.716346153846153</c:v>
                </c:pt>
                <c:pt idx="1">
                  <c:v>22.716346153846153</c:v>
                </c:pt>
                <c:pt idx="2">
                  <c:v>22.716346153846153</c:v>
                </c:pt>
                <c:pt idx="3">
                  <c:v>-22.716346153846153</c:v>
                </c:pt>
                <c:pt idx="4">
                  <c:v>-22.716346153846153</c:v>
                </c:pt>
              </c:numCache>
            </c:numRef>
          </c:xVal>
          <c:yVal>
            <c:numRef>
              <c:f>CROQUIS_DATOS!$EK$4:$EK$8</c:f>
              <c:numCache>
                <c:formatCode>General</c:formatCode>
                <c:ptCount val="5"/>
                <c:pt idx="0">
                  <c:v>-14.302884615384615</c:v>
                </c:pt>
                <c:pt idx="1">
                  <c:v>-14.302884615384615</c:v>
                </c:pt>
                <c:pt idx="2">
                  <c:v>-13.46153846153846</c:v>
                </c:pt>
                <c:pt idx="3">
                  <c:v>-13.46153846153846</c:v>
                </c:pt>
                <c:pt idx="4">
                  <c:v>-14.302884615384615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A-498E-89AD-0D1885DD8415}"/>
            </c:ext>
          </c:extLst>
        </c:ser>
        <c:ser>
          <c:idx val="3"/>
          <c:order val="3"/>
          <c:tx>
            <c:strRef>
              <c:f>CROQUIS_DATOS!$EL$2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CROQUIS_DATOS!$EL$4:$EL$36</c:f>
              <c:numCache>
                <c:formatCode>General</c:formatCode>
                <c:ptCount val="33"/>
                <c:pt idx="0">
                  <c:v>-28.000000000000004</c:v>
                </c:pt>
                <c:pt idx="1">
                  <c:v>-29.200000000000003</c:v>
                </c:pt>
                <c:pt idx="2">
                  <c:v>-28.000000000000004</c:v>
                </c:pt>
                <c:pt idx="3">
                  <c:v>-25.620673076923079</c:v>
                </c:pt>
                <c:pt idx="4">
                  <c:v>-26.820673076923079</c:v>
                </c:pt>
                <c:pt idx="5">
                  <c:v>-25.620673076923079</c:v>
                </c:pt>
                <c:pt idx="6">
                  <c:v>-23.241346153846155</c:v>
                </c:pt>
                <c:pt idx="7">
                  <c:v>-24.441346153846155</c:v>
                </c:pt>
                <c:pt idx="8">
                  <c:v>-23.241346153846155</c:v>
                </c:pt>
                <c:pt idx="9">
                  <c:v>-20.862019230769231</c:v>
                </c:pt>
                <c:pt idx="10">
                  <c:v>-22.062019230769231</c:v>
                </c:pt>
                <c:pt idx="11">
                  <c:v>-20.862019230769231</c:v>
                </c:pt>
                <c:pt idx="12">
                  <c:v>-18.482692307692307</c:v>
                </c:pt>
                <c:pt idx="13">
                  <c:v>-19.682692307692307</c:v>
                </c:pt>
                <c:pt idx="14">
                  <c:v>-18.482692307692307</c:v>
                </c:pt>
                <c:pt idx="15">
                  <c:v>-16.103365384615387</c:v>
                </c:pt>
                <c:pt idx="16">
                  <c:v>-17.303365384615386</c:v>
                </c:pt>
                <c:pt idx="17">
                  <c:v>-16.103365384615387</c:v>
                </c:pt>
                <c:pt idx="18">
                  <c:v>-13.724038461538461</c:v>
                </c:pt>
                <c:pt idx="19">
                  <c:v>-14.92403846153846</c:v>
                </c:pt>
                <c:pt idx="20">
                  <c:v>-13.724038461538461</c:v>
                </c:pt>
                <c:pt idx="21">
                  <c:v>-11.344711538461539</c:v>
                </c:pt>
                <c:pt idx="22">
                  <c:v>-12.544711538461538</c:v>
                </c:pt>
                <c:pt idx="23">
                  <c:v>-11.344711538461539</c:v>
                </c:pt>
                <c:pt idx="24">
                  <c:v>-8.9653846153846146</c:v>
                </c:pt>
                <c:pt idx="25">
                  <c:v>-10.165384615384614</c:v>
                </c:pt>
                <c:pt idx="26">
                  <c:v>-8.9653846153846146</c:v>
                </c:pt>
                <c:pt idx="27">
                  <c:v>-6.5860576923076914</c:v>
                </c:pt>
                <c:pt idx="28">
                  <c:v>-7.7860576923076916</c:v>
                </c:pt>
                <c:pt idx="29">
                  <c:v>-6.5860576923076914</c:v>
                </c:pt>
                <c:pt idx="30">
                  <c:v>-4.2067307692307692</c:v>
                </c:pt>
                <c:pt idx="31">
                  <c:v>-5.4067307692307693</c:v>
                </c:pt>
                <c:pt idx="32">
                  <c:v>-4.2067307692307692</c:v>
                </c:pt>
              </c:numCache>
            </c:numRef>
          </c:xVal>
          <c:yVal>
            <c:numRef>
              <c:f>CROQUIS_DATOS!$EM$4:$EM$36</c:f>
              <c:numCache>
                <c:formatCode>General</c:formatCode>
                <c:ptCount val="33"/>
                <c:pt idx="0">
                  <c:v>11.778846153846155</c:v>
                </c:pt>
                <c:pt idx="1">
                  <c:v>10.578846153846156</c:v>
                </c:pt>
                <c:pt idx="2">
                  <c:v>11.778846153846155</c:v>
                </c:pt>
                <c:pt idx="3">
                  <c:v>11.778846153846155</c:v>
                </c:pt>
                <c:pt idx="4">
                  <c:v>10.578846153846156</c:v>
                </c:pt>
                <c:pt idx="5">
                  <c:v>11.778846153846155</c:v>
                </c:pt>
                <c:pt idx="6">
                  <c:v>11.778846153846155</c:v>
                </c:pt>
                <c:pt idx="7">
                  <c:v>10.578846153846156</c:v>
                </c:pt>
                <c:pt idx="8">
                  <c:v>11.778846153846155</c:v>
                </c:pt>
                <c:pt idx="9">
                  <c:v>11.778846153846155</c:v>
                </c:pt>
                <c:pt idx="10">
                  <c:v>10.578846153846156</c:v>
                </c:pt>
                <c:pt idx="11">
                  <c:v>11.778846153846155</c:v>
                </c:pt>
                <c:pt idx="12">
                  <c:v>11.778846153846155</c:v>
                </c:pt>
                <c:pt idx="13">
                  <c:v>10.578846153846156</c:v>
                </c:pt>
                <c:pt idx="14">
                  <c:v>11.778846153846155</c:v>
                </c:pt>
                <c:pt idx="15">
                  <c:v>11.778846153846155</c:v>
                </c:pt>
                <c:pt idx="16">
                  <c:v>10.578846153846156</c:v>
                </c:pt>
                <c:pt idx="17">
                  <c:v>11.778846153846155</c:v>
                </c:pt>
                <c:pt idx="18">
                  <c:v>11.778846153846155</c:v>
                </c:pt>
                <c:pt idx="19">
                  <c:v>10.578846153846156</c:v>
                </c:pt>
                <c:pt idx="20">
                  <c:v>11.778846153846155</c:v>
                </c:pt>
                <c:pt idx="21">
                  <c:v>11.778846153846155</c:v>
                </c:pt>
                <c:pt idx="22">
                  <c:v>10.578846153846156</c:v>
                </c:pt>
                <c:pt idx="23">
                  <c:v>11.778846153846155</c:v>
                </c:pt>
                <c:pt idx="24">
                  <c:v>11.778846153846155</c:v>
                </c:pt>
                <c:pt idx="25">
                  <c:v>10.578846153846156</c:v>
                </c:pt>
                <c:pt idx="26">
                  <c:v>11.778846153846155</c:v>
                </c:pt>
                <c:pt idx="27">
                  <c:v>11.778846153846155</c:v>
                </c:pt>
                <c:pt idx="28">
                  <c:v>10.578846153846156</c:v>
                </c:pt>
                <c:pt idx="29">
                  <c:v>11.778846153846155</c:v>
                </c:pt>
                <c:pt idx="30">
                  <c:v>11.778846153846155</c:v>
                </c:pt>
                <c:pt idx="31">
                  <c:v>10.578846153846156</c:v>
                </c:pt>
                <c:pt idx="3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AA-498E-89AD-0D1885DD8415}"/>
            </c:ext>
          </c:extLst>
        </c:ser>
        <c:ser>
          <c:idx val="4"/>
          <c:order val="4"/>
          <c:tx>
            <c:strRef>
              <c:f>CROQUIS_DATOS!$EN$2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CROQUIS_DATOS!$EN$4:$EN$36</c:f>
              <c:numCache>
                <c:formatCode>General</c:formatCode>
                <c:ptCount val="33"/>
                <c:pt idx="0">
                  <c:v>4.2067307692307692</c:v>
                </c:pt>
                <c:pt idx="1">
                  <c:v>3.006730769230769</c:v>
                </c:pt>
                <c:pt idx="2">
                  <c:v>4.2067307692307692</c:v>
                </c:pt>
                <c:pt idx="3">
                  <c:v>6.5860576923076923</c:v>
                </c:pt>
                <c:pt idx="4">
                  <c:v>5.3860576923076922</c:v>
                </c:pt>
                <c:pt idx="5">
                  <c:v>6.5860576923076923</c:v>
                </c:pt>
                <c:pt idx="6">
                  <c:v>8.9653846153846164</c:v>
                </c:pt>
                <c:pt idx="7">
                  <c:v>7.7653846153846162</c:v>
                </c:pt>
                <c:pt idx="8">
                  <c:v>8.9653846153846164</c:v>
                </c:pt>
                <c:pt idx="9">
                  <c:v>11.34471153846154</c:v>
                </c:pt>
                <c:pt idx="10">
                  <c:v>10.144711538461541</c:v>
                </c:pt>
                <c:pt idx="11">
                  <c:v>11.34471153846154</c:v>
                </c:pt>
                <c:pt idx="12">
                  <c:v>13.724038461538463</c:v>
                </c:pt>
                <c:pt idx="13">
                  <c:v>12.524038461538463</c:v>
                </c:pt>
                <c:pt idx="14">
                  <c:v>13.724038461538463</c:v>
                </c:pt>
                <c:pt idx="15">
                  <c:v>16.103365384615387</c:v>
                </c:pt>
                <c:pt idx="16">
                  <c:v>14.903365384615388</c:v>
                </c:pt>
                <c:pt idx="17">
                  <c:v>16.103365384615387</c:v>
                </c:pt>
                <c:pt idx="18">
                  <c:v>18.482692307692311</c:v>
                </c:pt>
                <c:pt idx="19">
                  <c:v>17.282692307692312</c:v>
                </c:pt>
                <c:pt idx="20">
                  <c:v>18.482692307692311</c:v>
                </c:pt>
                <c:pt idx="21">
                  <c:v>20.862019230769235</c:v>
                </c:pt>
                <c:pt idx="22">
                  <c:v>19.662019230769236</c:v>
                </c:pt>
                <c:pt idx="23">
                  <c:v>20.862019230769235</c:v>
                </c:pt>
                <c:pt idx="24">
                  <c:v>23.241346153846155</c:v>
                </c:pt>
                <c:pt idx="25">
                  <c:v>22.041346153846156</c:v>
                </c:pt>
                <c:pt idx="26">
                  <c:v>23.241346153846155</c:v>
                </c:pt>
                <c:pt idx="27">
                  <c:v>25.620673076923079</c:v>
                </c:pt>
                <c:pt idx="28">
                  <c:v>24.42067307692308</c:v>
                </c:pt>
                <c:pt idx="29">
                  <c:v>25.620673076923079</c:v>
                </c:pt>
                <c:pt idx="30">
                  <c:v>28.000000000000004</c:v>
                </c:pt>
                <c:pt idx="31">
                  <c:v>26.800000000000004</c:v>
                </c:pt>
                <c:pt idx="32">
                  <c:v>28.000000000000004</c:v>
                </c:pt>
              </c:numCache>
            </c:numRef>
          </c:xVal>
          <c:yVal>
            <c:numRef>
              <c:f>CROQUIS_DATOS!$EO$4:$EO$36</c:f>
              <c:numCache>
                <c:formatCode>General</c:formatCode>
                <c:ptCount val="33"/>
                <c:pt idx="0">
                  <c:v>11.778846153846155</c:v>
                </c:pt>
                <c:pt idx="1">
                  <c:v>10.578846153846156</c:v>
                </c:pt>
                <c:pt idx="2">
                  <c:v>11.778846153846155</c:v>
                </c:pt>
                <c:pt idx="3">
                  <c:v>11.778846153846155</c:v>
                </c:pt>
                <c:pt idx="4">
                  <c:v>10.578846153846156</c:v>
                </c:pt>
                <c:pt idx="5">
                  <c:v>11.778846153846155</c:v>
                </c:pt>
                <c:pt idx="6">
                  <c:v>11.778846153846155</c:v>
                </c:pt>
                <c:pt idx="7">
                  <c:v>10.578846153846156</c:v>
                </c:pt>
                <c:pt idx="8">
                  <c:v>11.778846153846155</c:v>
                </c:pt>
                <c:pt idx="9">
                  <c:v>11.778846153846155</c:v>
                </c:pt>
                <c:pt idx="10">
                  <c:v>10.578846153846156</c:v>
                </c:pt>
                <c:pt idx="11">
                  <c:v>11.778846153846155</c:v>
                </c:pt>
                <c:pt idx="12">
                  <c:v>11.778846153846155</c:v>
                </c:pt>
                <c:pt idx="13">
                  <c:v>10.578846153846156</c:v>
                </c:pt>
                <c:pt idx="14">
                  <c:v>11.778846153846155</c:v>
                </c:pt>
                <c:pt idx="15">
                  <c:v>11.778846153846155</c:v>
                </c:pt>
                <c:pt idx="16">
                  <c:v>10.578846153846156</c:v>
                </c:pt>
                <c:pt idx="17">
                  <c:v>11.778846153846155</c:v>
                </c:pt>
                <c:pt idx="18">
                  <c:v>11.778846153846155</c:v>
                </c:pt>
                <c:pt idx="19">
                  <c:v>10.578846153846156</c:v>
                </c:pt>
                <c:pt idx="20">
                  <c:v>11.778846153846155</c:v>
                </c:pt>
                <c:pt idx="21">
                  <c:v>11.778846153846155</c:v>
                </c:pt>
                <c:pt idx="22">
                  <c:v>10.578846153846156</c:v>
                </c:pt>
                <c:pt idx="23">
                  <c:v>11.778846153846155</c:v>
                </c:pt>
                <c:pt idx="24">
                  <c:v>11.778846153846155</c:v>
                </c:pt>
                <c:pt idx="25">
                  <c:v>10.578846153846156</c:v>
                </c:pt>
                <c:pt idx="26">
                  <c:v>11.778846153846155</c:v>
                </c:pt>
                <c:pt idx="27">
                  <c:v>11.778846153846155</c:v>
                </c:pt>
                <c:pt idx="28">
                  <c:v>10.578846153846156</c:v>
                </c:pt>
                <c:pt idx="29">
                  <c:v>11.778846153846155</c:v>
                </c:pt>
                <c:pt idx="30">
                  <c:v>11.778846153846155</c:v>
                </c:pt>
                <c:pt idx="31">
                  <c:v>10.578846153846156</c:v>
                </c:pt>
                <c:pt idx="3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AA-498E-89AD-0D1885DD8415}"/>
            </c:ext>
          </c:extLst>
        </c:ser>
        <c:ser>
          <c:idx val="5"/>
          <c:order val="5"/>
          <c:tx>
            <c:strRef>
              <c:f>CROQUIS_DATOS!$EP$2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CROQUIS_DATOS!$EP$4:$EP$8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CROQUIS_DATOS!$EQ$4:$EQ$8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AA-498E-89AD-0D1885DD8415}"/>
            </c:ext>
          </c:extLst>
        </c:ser>
        <c:ser>
          <c:idx val="6"/>
          <c:order val="6"/>
          <c:tx>
            <c:strRef>
              <c:f>CROQUIS_DATOS!$ER$2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CROQUIS_DATOS!$ER$4:$ER$8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CROQUIS_DATOS!$ES$4:$ES$8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AA-498E-89AD-0D1885DD8415}"/>
            </c:ext>
          </c:extLst>
        </c:ser>
        <c:ser>
          <c:idx val="7"/>
          <c:order val="7"/>
          <c:tx>
            <c:strRef>
              <c:f>CROQUIS_DATOS!$ET$2</c:f>
              <c:strCache>
                <c:ptCount val="1"/>
                <c:pt idx="0">
                  <c:v>Lx = 2.60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CROQUIS_DATOS!$ET$4:$ET$16</c:f>
              <c:numCache>
                <c:formatCode>General</c:formatCode>
                <c:ptCount val="13"/>
                <c:pt idx="0">
                  <c:v>-21.875</c:v>
                </c:pt>
                <c:pt idx="1">
                  <c:v>-21.875</c:v>
                </c:pt>
                <c:pt idx="2">
                  <c:v>-21.875</c:v>
                </c:pt>
                <c:pt idx="3">
                  <c:v>-22.875</c:v>
                </c:pt>
                <c:pt idx="4">
                  <c:v>-20.875</c:v>
                </c:pt>
                <c:pt idx="5">
                  <c:v>-21.875</c:v>
                </c:pt>
                <c:pt idx="6">
                  <c:v>0</c:v>
                </c:pt>
                <c:pt idx="7">
                  <c:v>21.875</c:v>
                </c:pt>
                <c:pt idx="8">
                  <c:v>20.875</c:v>
                </c:pt>
                <c:pt idx="9">
                  <c:v>22.875</c:v>
                </c:pt>
                <c:pt idx="10">
                  <c:v>21.875</c:v>
                </c:pt>
                <c:pt idx="11">
                  <c:v>21.875</c:v>
                </c:pt>
                <c:pt idx="12">
                  <c:v>21.875</c:v>
                </c:pt>
              </c:numCache>
            </c:numRef>
          </c:xVal>
          <c:yVal>
            <c:numRef>
              <c:f>CROQUIS_DATOS!$EU$4:$EU$16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-21.802884615384613</c:v>
                </c:pt>
                <c:pt idx="2">
                  <c:v>-20.302884615384613</c:v>
                </c:pt>
                <c:pt idx="3">
                  <c:v>-21.302884615384613</c:v>
                </c:pt>
                <c:pt idx="4">
                  <c:v>-19.302884615384613</c:v>
                </c:pt>
                <c:pt idx="5">
                  <c:v>-20.302884615384613</c:v>
                </c:pt>
                <c:pt idx="6">
                  <c:v>-20.302884615384613</c:v>
                </c:pt>
                <c:pt idx="7">
                  <c:v>-20.302884615384613</c:v>
                </c:pt>
                <c:pt idx="8">
                  <c:v>-21.302884615384613</c:v>
                </c:pt>
                <c:pt idx="9">
                  <c:v>-19.302884615384613</c:v>
                </c:pt>
                <c:pt idx="10">
                  <c:v>-20.302884615384613</c:v>
                </c:pt>
                <c:pt idx="11">
                  <c:v>-21.802884615384613</c:v>
                </c:pt>
                <c:pt idx="12">
                  <c:v>-13.46153846153846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AA-498E-89AD-0D1885DD8415}"/>
            </c:ext>
          </c:extLst>
        </c:ser>
        <c:ser>
          <c:idx val="8"/>
          <c:order val="8"/>
          <c:tx>
            <c:strRef>
              <c:f>CROQUIS_DATOS!$EV$2</c:f>
              <c:strCache>
                <c:ptCount val="1"/>
                <c:pt idx="0">
                  <c:v>Df = 1.50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CROQUIS_DATOS!$EV$4:$EV$16</c:f>
              <c:numCache>
                <c:formatCode>General</c:formatCode>
                <c:ptCount val="13"/>
                <c:pt idx="0">
                  <c:v>-21.875</c:v>
                </c:pt>
                <c:pt idx="1">
                  <c:v>-34.5</c:v>
                </c:pt>
                <c:pt idx="2">
                  <c:v>-33</c:v>
                </c:pt>
                <c:pt idx="3">
                  <c:v>-34</c:v>
                </c:pt>
                <c:pt idx="4">
                  <c:v>-32</c:v>
                </c:pt>
                <c:pt idx="5">
                  <c:v>-33</c:v>
                </c:pt>
                <c:pt idx="6">
                  <c:v>-33</c:v>
                </c:pt>
                <c:pt idx="7">
                  <c:v>-33</c:v>
                </c:pt>
                <c:pt idx="8">
                  <c:v>-34</c:v>
                </c:pt>
                <c:pt idx="9">
                  <c:v>-32</c:v>
                </c:pt>
                <c:pt idx="10">
                  <c:v>-33</c:v>
                </c:pt>
                <c:pt idx="11">
                  <c:v>-34.5</c:v>
                </c:pt>
                <c:pt idx="12">
                  <c:v>-28.000000000000004</c:v>
                </c:pt>
              </c:numCache>
            </c:numRef>
          </c:xVal>
          <c:yVal>
            <c:numRef>
              <c:f>CROQUIS_DATOS!$EW$4:$EW$16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-13.46153846153846</c:v>
                </c:pt>
                <c:pt idx="2">
                  <c:v>-13.46153846153846</c:v>
                </c:pt>
                <c:pt idx="3">
                  <c:v>-14.46153846153846</c:v>
                </c:pt>
                <c:pt idx="4">
                  <c:v>-12.46153846153846</c:v>
                </c:pt>
                <c:pt idx="5">
                  <c:v>-13.46153846153846</c:v>
                </c:pt>
                <c:pt idx="6">
                  <c:v>-0.84134615384615241</c:v>
                </c:pt>
                <c:pt idx="7">
                  <c:v>11.778846153846155</c:v>
                </c:pt>
                <c:pt idx="8">
                  <c:v>10.778846153846155</c:v>
                </c:pt>
                <c:pt idx="9">
                  <c:v>12.778846153846155</c:v>
                </c:pt>
                <c:pt idx="10">
                  <c:v>11.778846153846155</c:v>
                </c:pt>
                <c:pt idx="11">
                  <c:v>11.778846153846155</c:v>
                </c:pt>
                <c:pt idx="1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AA-498E-89AD-0D1885DD8415}"/>
            </c:ext>
          </c:extLst>
        </c:ser>
        <c:ser>
          <c:idx val="9"/>
          <c:order val="9"/>
          <c:tx>
            <c:strRef>
              <c:f>CROQUIS_DATOS!$EX$2</c:f>
              <c:strCache>
                <c:ptCount val="1"/>
                <c:pt idx="0">
                  <c:v>h = 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CROQUIS_DATOS!$EX$4:$EX$16</c:f>
              <c:numCache>
                <c:formatCode>General</c:formatCode>
                <c:ptCount val="13"/>
                <c:pt idx="0">
                  <c:v>21.875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21.875</c:v>
                </c:pt>
              </c:numCache>
            </c:numRef>
          </c:xVal>
          <c:yVal>
            <c:numRef>
              <c:f>CROQUIS_DATOS!$EY$4:$EY$16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-13.46153846153846</c:v>
                </c:pt>
                <c:pt idx="2">
                  <c:v>-13.46153846153846</c:v>
                </c:pt>
                <c:pt idx="3">
                  <c:v>-14.46153846153846</c:v>
                </c:pt>
                <c:pt idx="4">
                  <c:v>-12.46153846153846</c:v>
                </c:pt>
                <c:pt idx="5">
                  <c:v>-13.46153846153846</c:v>
                </c:pt>
                <c:pt idx="6">
                  <c:v>-9.2548076923076898</c:v>
                </c:pt>
                <c:pt idx="7">
                  <c:v>-5.0480769230769216</c:v>
                </c:pt>
                <c:pt idx="8">
                  <c:v>-6.0480769230769216</c:v>
                </c:pt>
                <c:pt idx="9">
                  <c:v>-4.0480769230769216</c:v>
                </c:pt>
                <c:pt idx="10">
                  <c:v>-5.0480769230769216</c:v>
                </c:pt>
                <c:pt idx="11">
                  <c:v>-5.0480769230769216</c:v>
                </c:pt>
                <c:pt idx="12">
                  <c:v>-5.0480769230769216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AA-498E-89AD-0D1885DD8415}"/>
            </c:ext>
          </c:extLst>
        </c:ser>
        <c:ser>
          <c:idx val="10"/>
          <c:order val="10"/>
          <c:tx>
            <c:strRef>
              <c:f>CROQUIS_DATOS!$EZ$2</c:f>
              <c:strCache>
                <c:ptCount val="1"/>
                <c:pt idx="0">
                  <c:v>H dado = 1.15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CROQUIS_DATOS!$EZ$4:$EZ$16</c:f>
              <c:numCache>
                <c:formatCode>General</c:formatCode>
                <c:ptCount val="13"/>
                <c:pt idx="0">
                  <c:v>4.2067307692307692</c:v>
                </c:pt>
                <c:pt idx="1">
                  <c:v>10.70673076923077</c:v>
                </c:pt>
                <c:pt idx="2">
                  <c:v>9.2067307692307701</c:v>
                </c:pt>
                <c:pt idx="3">
                  <c:v>8.2067307692307701</c:v>
                </c:pt>
                <c:pt idx="4">
                  <c:v>10.20673076923077</c:v>
                </c:pt>
                <c:pt idx="5">
                  <c:v>9.2067307692307701</c:v>
                </c:pt>
                <c:pt idx="6">
                  <c:v>9.2067307692307701</c:v>
                </c:pt>
                <c:pt idx="7">
                  <c:v>9.2067307692307701</c:v>
                </c:pt>
                <c:pt idx="8">
                  <c:v>8.2067307692307701</c:v>
                </c:pt>
                <c:pt idx="9">
                  <c:v>10.20673076923077</c:v>
                </c:pt>
                <c:pt idx="10">
                  <c:v>9.2067307692307701</c:v>
                </c:pt>
                <c:pt idx="11">
                  <c:v>10.70673076923077</c:v>
                </c:pt>
                <c:pt idx="12">
                  <c:v>4.2067307692307692</c:v>
                </c:pt>
              </c:numCache>
            </c:numRef>
          </c:xVal>
          <c:yVal>
            <c:numRef>
              <c:f>CROQUIS_DATOS!$FA$4:$FA$16</c:f>
              <c:numCache>
                <c:formatCode>General</c:formatCode>
                <c:ptCount val="13"/>
                <c:pt idx="0">
                  <c:v>-5.0480769230769216</c:v>
                </c:pt>
                <c:pt idx="1">
                  <c:v>-5.0480769230769216</c:v>
                </c:pt>
                <c:pt idx="2">
                  <c:v>-5.0480769230769216</c:v>
                </c:pt>
                <c:pt idx="3">
                  <c:v>-6.0480769230769216</c:v>
                </c:pt>
                <c:pt idx="4">
                  <c:v>-4.0480769230769216</c:v>
                </c:pt>
                <c:pt idx="5">
                  <c:v>-5.0480769230769216</c:v>
                </c:pt>
                <c:pt idx="6">
                  <c:v>4.6274038461538467</c:v>
                </c:pt>
                <c:pt idx="7">
                  <c:v>14.302884615384615</c:v>
                </c:pt>
                <c:pt idx="8">
                  <c:v>13.302884615384615</c:v>
                </c:pt>
                <c:pt idx="9">
                  <c:v>15.302884615384615</c:v>
                </c:pt>
                <c:pt idx="10">
                  <c:v>14.302884615384615</c:v>
                </c:pt>
                <c:pt idx="11">
                  <c:v>14.302884615384615</c:v>
                </c:pt>
                <c:pt idx="12">
                  <c:v>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FAA-498E-89AD-0D1885DD8415}"/>
            </c:ext>
          </c:extLst>
        </c:ser>
        <c:ser>
          <c:idx val="11"/>
          <c:order val="11"/>
          <c:tx>
            <c:strRef>
              <c:f>CROQUIS_DATOS!$FB$2</c:f>
              <c:strCache>
                <c:ptCount val="1"/>
                <c:pt idx="0">
                  <c:v>c = 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CROQUIS_DATOS!$FB$4:$FB$16</c:f>
              <c:numCache>
                <c:formatCode>General</c:formatCode>
                <c:ptCount val="13"/>
                <c:pt idx="0">
                  <c:v>-4.2067307692307692</c:v>
                </c:pt>
                <c:pt idx="1">
                  <c:v>-4.2067307692307692</c:v>
                </c:pt>
                <c:pt idx="2">
                  <c:v>-4.2067307692307692</c:v>
                </c:pt>
                <c:pt idx="3">
                  <c:v>-5.2067307692307692</c:v>
                </c:pt>
                <c:pt idx="4">
                  <c:v>-3.2067307692307692</c:v>
                </c:pt>
                <c:pt idx="5">
                  <c:v>-4.2067307692307692</c:v>
                </c:pt>
                <c:pt idx="6">
                  <c:v>0</c:v>
                </c:pt>
                <c:pt idx="7">
                  <c:v>4.2067307692307692</c:v>
                </c:pt>
                <c:pt idx="8">
                  <c:v>3.2067307692307692</c:v>
                </c:pt>
                <c:pt idx="9">
                  <c:v>5.2067307692307692</c:v>
                </c:pt>
                <c:pt idx="10">
                  <c:v>4.2067307692307692</c:v>
                </c:pt>
                <c:pt idx="11">
                  <c:v>4.2067307692307692</c:v>
                </c:pt>
                <c:pt idx="12">
                  <c:v>4.2067307692307692</c:v>
                </c:pt>
              </c:numCache>
            </c:numRef>
          </c:xVal>
          <c:yVal>
            <c:numRef>
              <c:f>CROQUIS_DATOS!$FC$4:$FC$16</c:f>
              <c:numCache>
                <c:formatCode>General</c:formatCode>
                <c:ptCount val="13"/>
                <c:pt idx="0">
                  <c:v>14.302884615384615</c:v>
                </c:pt>
                <c:pt idx="1">
                  <c:v>20.802884615384613</c:v>
                </c:pt>
                <c:pt idx="2">
                  <c:v>19.302884615384613</c:v>
                </c:pt>
                <c:pt idx="3">
                  <c:v>18.302884615384613</c:v>
                </c:pt>
                <c:pt idx="4">
                  <c:v>20.302884615384613</c:v>
                </c:pt>
                <c:pt idx="5">
                  <c:v>19.302884615384613</c:v>
                </c:pt>
                <c:pt idx="6">
                  <c:v>19.302884615384613</c:v>
                </c:pt>
                <c:pt idx="7">
                  <c:v>19.302884615384613</c:v>
                </c:pt>
                <c:pt idx="8">
                  <c:v>18.302884615384613</c:v>
                </c:pt>
                <c:pt idx="9">
                  <c:v>20.302884615384613</c:v>
                </c:pt>
                <c:pt idx="10">
                  <c:v>19.302884615384613</c:v>
                </c:pt>
                <c:pt idx="11">
                  <c:v>20.802884615384613</c:v>
                </c:pt>
                <c:pt idx="12">
                  <c:v>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FAA-498E-89AD-0D1885DD8415}"/>
            </c:ext>
          </c:extLst>
        </c:ser>
        <c:ser>
          <c:idx val="12"/>
          <c:order val="12"/>
          <c:tx>
            <c:strRef>
              <c:f>CROQUIS_DATOS!$FD$2</c:f>
              <c:strCache>
                <c:ptCount val="1"/>
                <c:pt idx="0">
                  <c:v>h CT = 0.60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CROQUIS_DATOS!$FD$4:$FD$16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CROQUIS_DATOS!$FE$4:$FE$16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FAA-498E-89AD-0D1885DD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SECCIÓN DE CONTRATRABE (tipo 2)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CROQUIS_DATOS!$FF$2</c:f>
              <c:strCache>
                <c:ptCount val="1"/>
                <c:pt idx="0">
                  <c:v>Contratrabe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CROQUIS_DATOS!$FF$4:$FF$8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CROQUIS_DATOS!$FG$4:$FG$8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9-48A9-AA5D-34DEC90046C8}"/>
            </c:ext>
          </c:extLst>
        </c:ser>
        <c:ser>
          <c:idx val="1"/>
          <c:order val="1"/>
          <c:tx>
            <c:strRef>
              <c:f>CROQUIS_DATOS!$FH$2</c:f>
              <c:strCache>
                <c:ptCount val="1"/>
                <c:pt idx="0">
                  <c:v>Estribo</c:v>
                </c:pt>
              </c:strCache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CROQUIS_DATOS!$FH$4:$FH$10</c:f>
              <c:numCache>
                <c:formatCode>General</c:formatCode>
                <c:ptCount val="7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</c:numCache>
            </c:numRef>
          </c:xVal>
          <c:yVal>
            <c:numRef>
              <c:f>CROQUIS_DATOS!$FI$4:$FI$10</c:f>
              <c:numCache>
                <c:formatCode>General</c:formatCode>
                <c:ptCount val="7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B9-48A9-AA5D-34DEC90046C8}"/>
            </c:ext>
          </c:extLst>
        </c:ser>
        <c:ser>
          <c:idx val="2"/>
          <c:order val="2"/>
          <c:tx>
            <c:strRef>
              <c:f>CROQUIS_DATOS!$FJ$2</c:f>
              <c:strCache>
                <c:ptCount val="1"/>
                <c:pt idx="0">
                  <c:v>Varillas CT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CROQUIS_DATOS!$FJ$4:$FJ$15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xVal>
          <c:yVal>
            <c:numRef>
              <c:f>CROQUIS_DATOS!$FK$4:$FK$15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B9-48A9-AA5D-34DEC90046C8}"/>
            </c:ext>
          </c:extLst>
        </c:ser>
        <c:ser>
          <c:idx val="3"/>
          <c:order val="3"/>
          <c:tx>
            <c:strRef>
              <c:f>CROQUIS_DATOS!$FL$2</c:f>
              <c:strCache>
                <c:ptCount val="1"/>
                <c:pt idx="0">
                  <c:v>Varillas CT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CROQUIS_DATOS!$FL$4:$FL$15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xVal>
          <c:yVal>
            <c:numRef>
              <c:f>CROQUIS_DATOS!$FM$4:$FM$15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B9-48A9-AA5D-34DEC90046C8}"/>
            </c:ext>
          </c:extLst>
        </c:ser>
        <c:ser>
          <c:idx val="4"/>
          <c:order val="4"/>
          <c:tx>
            <c:strRef>
              <c:f>CROQUIS_DATOS!$FN$2</c:f>
              <c:strCache>
                <c:ptCount val="1"/>
                <c:pt idx="0">
                  <c:v>b = 0.30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CROQUIS_DATOS!$FN$4:$FN$16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CROQUIS_DATOS!$FO$4:$FO$16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B9-48A9-AA5D-34DEC90046C8}"/>
            </c:ext>
          </c:extLst>
        </c:ser>
        <c:ser>
          <c:idx val="5"/>
          <c:order val="5"/>
          <c:tx>
            <c:strRef>
              <c:f>CROQUIS_DATOS!$FP$2</c:f>
              <c:strCache>
                <c:ptCount val="1"/>
                <c:pt idx="0">
                  <c:v>h = 0.60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CROQUIS_DATOS!$FP$4:$FP$16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CROQUIS_DATOS!$FQ$4:$FQ$16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B9-48A9-AA5D-34DEC90046C8}"/>
            </c:ext>
          </c:extLst>
        </c:ser>
        <c:ser>
          <c:idx val="6"/>
          <c:order val="6"/>
          <c:tx>
            <c:strRef>
              <c:f>CROQUIS_DATOS!$FR$2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CROQUIS_DATOS!$FR$4:$FR$5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CROQUIS_DATOS!$FS$4:$FS$5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AB9-48A9-AA5D-34DEC90046C8}"/>
            </c:ext>
          </c:extLst>
        </c:ser>
        <c:ser>
          <c:idx val="7"/>
          <c:order val="7"/>
          <c:tx>
            <c:strRef>
              <c:f>CROQUIS_DATOS!$FT$2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CROQUIS_DATOS!$FT$4:$FT$5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CROQUIS_DATOS!$FU$4:$FU$5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AB9-48A9-AA5D-34DEC90046C8}"/>
            </c:ext>
          </c:extLst>
        </c:ser>
        <c:ser>
          <c:idx val="8"/>
          <c:order val="8"/>
          <c:tx>
            <c:strRef>
              <c:f>CROQUIS_DATOS!$FV$2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CROQUIS_DATOS!$FV$4:$FV$5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CROQUIS_DATOS!$FW$4:$FW$5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AB9-48A9-AA5D-34DEC90046C8}"/>
            </c:ext>
          </c:extLst>
        </c:ser>
        <c:ser>
          <c:idx val="9"/>
          <c:order val="9"/>
          <c:tx>
            <c:strRef>
              <c:f>CROQUIS_DATOS!$FX$2</c:f>
              <c:strCache>
                <c:ptCount val="1"/>
                <c:pt idx="0">
                  <c:v>NO APLICA: el tipo elegido no lleva contratrabe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CROQUIS_DATOS!$FX$4</c:f>
              <c:numCache>
                <c:formatCode>General</c:formatCode>
                <c:ptCount val="1"/>
                <c:pt idx="0">
                  <c:v>-60</c:v>
                </c:pt>
              </c:numCache>
            </c:numRef>
          </c:xVal>
          <c:yVal>
            <c:numRef>
              <c:f>CROQUIS_DATOS!$FY$4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AB9-48A9-AA5D-34DEC9004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8640000" cy="61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5760000" cy="61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54</xdr:row>
      <xdr:rowOff>0</xdr:rowOff>
    </xdr:from>
    <xdr:ext cx="8640000" cy="61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54</xdr:row>
      <xdr:rowOff>0</xdr:rowOff>
    </xdr:from>
    <xdr:ext cx="5760000" cy="61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90</xdr:row>
      <xdr:rowOff>0</xdr:rowOff>
    </xdr:from>
    <xdr:ext cx="8640000" cy="61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92"/>
  <sheetViews>
    <sheetView showGridLines="0" tabSelected="1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0</v>
      </c>
      <c r="C1" s="37"/>
      <c r="D1" s="37"/>
      <c r="E1" s="37"/>
      <c r="F1" s="37"/>
    </row>
    <row r="2" spans="2:6" ht="16.05" customHeight="1" x14ac:dyDescent="0.3">
      <c r="B2" s="39" t="str">
        <f>$C$9&amp;"  ·  "&amp;$C$10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inlineStr">
        <is>
          <t>HOJAS DEL LIBRO:  DATOS → COMBINACIONES → AISLADA → AISLADA_CT → CORRIDA → LINDERO → CROQUIS → RESUMEN   ·   de apoyo: TABLAS, REFERENCIAS, CROQUIS_DATOS</t>
        </is>
      </c>
      <c r="C3" s="37"/>
      <c r="D3" s="37"/>
      <c r="E3" s="37"/>
      <c r="F3" s="37"/>
    </row>
    <row r="4" spans="2:6" ht="40.2" customHeight="1" x14ac:dyDescent="0.3">
      <c r="B4" s="36" t="inlineStr">
        <is>
          <t>CÓMO SE USA: sólo se tocan las celdas AMARILLAS con número AZUL (aquí y en las secciones 1 y 2 de AISLADA, AISLADA_CT, CORRIDA y LINDERO, y la 13 de AISLADA_CT y LINDERO). Todo lo demás son fórmulas. Los valores que trae son un EJEMPLO para que veas el formato: cámbialos por los de tu proyecto. El croquis se escoge en la hoja CROQUIS (celda amarilla de arriba).</t>
        </is>
      </c>
      <c r="C4" s="37"/>
      <c r="D4" s="37"/>
      <c r="E4" s="37"/>
      <c r="F4" s="37"/>
    </row>
    <row r="5" spans="2:6" ht="66" customHeight="1" x14ac:dyDescent="0.3">
      <c r="B5" s="36" t="inlineStr">
        <is>
          <t>ALCANCE: ACI 318-19 cap. 13 y los capítulos a los que remite. Cuatro tipos: (1) zapata aislada, (2) zapata aislada ligada con contratrabes, (3) zapata corrida bajo muro, (4) zapata de lindero con o sin contratrabe de equilibrio. Revisa presiones de servicio contra qa, volteo, deslizamiento, penetración, cortante en una dirección, flexión, refuerzo mínimo y separaciones, desarrollo, aplastamiento dado-zapata y dovelas, y arroja el armado. NO incluye: zapatas de esquina, combinadas, losas de cimentación, pilotes, asentamientos, ni el diseño del dado como columna. El CROQUIS dibuja sólo los tipos 1 a 3.</t>
        </is>
      </c>
      <c r="C5" s="37"/>
      <c r="D5" s="37"/>
      <c r="E5" s="37"/>
      <c r="F5" s="37"/>
    </row>
    <row r="7" spans="2:6" ht="18" customHeight="1" x14ac:dyDescent="0.3">
      <c r="B7" s="38" t="s">
        <v>4</v>
      </c>
      <c r="C7" s="37"/>
      <c r="D7" s="37"/>
      <c r="E7" s="37"/>
      <c r="F7" s="37"/>
    </row>
    <row r="8" spans="2:6" x14ac:dyDescent="0.3"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</row>
    <row r="9" spans="2:6" ht="27.6" customHeight="1" x14ac:dyDescent="0.3">
      <c r="B9" s="2" t="s">
        <v>10</v>
      </c>
      <c r="C9" s="3" t="s">
        <v>11</v>
      </c>
      <c r="D9" s="4" t="s">
        <v>12</v>
      </c>
      <c r="E9" s="5" t="s">
        <v>13</v>
      </c>
      <c r="F9" s="6" t="s">
        <v>14</v>
      </c>
    </row>
    <row r="10" spans="2:6" ht="47.4" customHeight="1" x14ac:dyDescent="0.3">
      <c r="B10" s="2" t="s">
        <v>15</v>
      </c>
      <c r="C10" s="3" t="s">
        <v>16</v>
      </c>
      <c r="D10" s="4" t="s">
        <v>12</v>
      </c>
      <c r="E10" s="5" t="s">
        <v>13</v>
      </c>
      <c r="F10" s="6" t="s">
        <v>14</v>
      </c>
    </row>
    <row r="11" spans="2:6" ht="40.200000000000003" customHeight="1" x14ac:dyDescent="0.3">
      <c r="B11" s="2" t="s">
        <v>17</v>
      </c>
      <c r="C11" s="7" t="s">
        <v>18</v>
      </c>
      <c r="D11" s="4" t="s">
        <v>12</v>
      </c>
      <c r="E11" s="5" t="s">
        <v>19</v>
      </c>
      <c r="F11" s="6" t="s">
        <v>20</v>
      </c>
    </row>
    <row r="13" spans="2:6" ht="18" customHeight="1" x14ac:dyDescent="0.3">
      <c r="B13" s="38" t="s">
        <v>21</v>
      </c>
      <c r="C13" s="37"/>
      <c r="D13" s="37"/>
      <c r="E13" s="37"/>
      <c r="F13" s="37"/>
    </row>
    <row r="14" spans="2:6" x14ac:dyDescent="0.3"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2:6" ht="27.75" customHeight="1" x14ac:dyDescent="0.3">
      <c r="B15" s="2" t="s">
        <v>22</v>
      </c>
      <c r="C15" s="8">
        <v>250</v>
      </c>
      <c r="D15" s="4" t="s">
        <v>23</v>
      </c>
      <c r="E15" s="5" t="s">
        <v>24</v>
      </c>
      <c r="F15" s="6" t="s">
        <v>25</v>
      </c>
    </row>
    <row r="16" spans="2:6" ht="15.45" customHeight="1" x14ac:dyDescent="0.3">
      <c r="B16" s="2" t="s">
        <v>26</v>
      </c>
      <c r="C16" s="9">
        <f>$C$15/$C$89</f>
        <v>24.5165339504962</v>
      </c>
      <c r="D16" s="4" t="s">
        <v>27</v>
      </c>
      <c r="E16" s="5" t="s">
        <v>28</v>
      </c>
      <c r="F16" s="6" t="s">
        <v>29</v>
      </c>
    </row>
    <row r="17" spans="2:6" ht="15.45" customHeight="1" x14ac:dyDescent="0.3">
      <c r="B17" s="2" t="s">
        <v>30</v>
      </c>
      <c r="C17" s="10">
        <f>MIN(SQRT($C$16),8.3)</f>
        <v>4.95141736783481</v>
      </c>
      <c r="D17" s="4" t="s">
        <v>31</v>
      </c>
      <c r="E17" s="5" t="s">
        <v>32</v>
      </c>
      <c r="F17" s="6" t="s">
        <v>33</v>
      </c>
    </row>
    <row r="18" spans="2:6" ht="15.45" customHeight="1" x14ac:dyDescent="0.3">
      <c r="B18" s="2" t="s">
        <v>34</v>
      </c>
      <c r="C18" s="8">
        <v>4200</v>
      </c>
      <c r="D18" s="4" t="s">
        <v>23</v>
      </c>
      <c r="E18" s="5" t="s">
        <v>35</v>
      </c>
      <c r="F18" s="6" t="s">
        <v>36</v>
      </c>
    </row>
    <row r="19" spans="2:6" ht="15.45" customHeight="1" x14ac:dyDescent="0.3">
      <c r="B19" s="2" t="s">
        <v>37</v>
      </c>
      <c r="C19" s="11">
        <f>$C$18/$C$89</f>
        <v>411.877770368336</v>
      </c>
      <c r="D19" s="4" t="s">
        <v>27</v>
      </c>
      <c r="E19" s="5" t="s">
        <v>38</v>
      </c>
      <c r="F19" s="6" t="s">
        <v>29</v>
      </c>
    </row>
    <row r="20" spans="2:6" ht="15.45" customHeight="1" x14ac:dyDescent="0.3">
      <c r="B20" s="2" t="s">
        <v>39</v>
      </c>
      <c r="C20" s="12">
        <f>200000*$C$89</f>
        <v>2039440</v>
      </c>
      <c r="D20" s="4" t="s">
        <v>23</v>
      </c>
      <c r="E20" s="5" t="s">
        <v>40</v>
      </c>
      <c r="F20" s="6" t="s">
        <v>41</v>
      </c>
    </row>
    <row r="21" spans="2:6" ht="15.45" customHeight="1" x14ac:dyDescent="0.3">
      <c r="B21" s="2" t="s">
        <v>42</v>
      </c>
      <c r="C21" s="13">
        <f>$C$18/$C$20</f>
        <v>0.00205938885184168</v>
      </c>
      <c r="D21" s="4" t="s">
        <v>12</v>
      </c>
      <c r="E21" s="5" t="s">
        <v>43</v>
      </c>
      <c r="F21" s="6" t="s">
        <v>44</v>
      </c>
    </row>
    <row r="22" spans="2:6" ht="27.75" customHeight="1" x14ac:dyDescent="0.3">
      <c r="B22" s="2" t="s">
        <v>45</v>
      </c>
      <c r="C22" s="10">
        <f>IF($C$16&lt;=28,0.85,IF($C$16&gt;=55,0.65,0.85-0.05*($C$16-28)/7))</f>
        <v>0.85</v>
      </c>
      <c r="D22" s="4" t="s">
        <v>12</v>
      </c>
      <c r="E22" s="5" t="s">
        <v>46</v>
      </c>
      <c r="F22" s="6" t="s">
        <v>47</v>
      </c>
    </row>
    <row r="23" spans="2:6" ht="15.45" customHeight="1" x14ac:dyDescent="0.3">
      <c r="B23" s="2" t="s">
        <v>48</v>
      </c>
      <c r="C23" s="14">
        <v>1</v>
      </c>
      <c r="D23" s="4" t="s">
        <v>12</v>
      </c>
      <c r="E23" s="5" t="s">
        <v>49</v>
      </c>
      <c r="F23" s="6" t="s">
        <v>50</v>
      </c>
    </row>
    <row r="24" spans="2:6" ht="15.45" customHeight="1" x14ac:dyDescent="0.3">
      <c r="B24" s="2" t="s">
        <v>51</v>
      </c>
      <c r="C24" s="14">
        <v>2.4</v>
      </c>
      <c r="D24" s="4" t="s">
        <v>52</v>
      </c>
      <c r="E24" s="5" t="s">
        <v>53</v>
      </c>
      <c r="F24" s="6" t="s">
        <v>54</v>
      </c>
    </row>
    <row r="25" spans="2:6" ht="27.75" customHeight="1" x14ac:dyDescent="0.3">
      <c r="B25" s="2" t="s">
        <v>55</v>
      </c>
      <c r="C25" s="8">
        <v>19</v>
      </c>
      <c r="D25" s="4" t="s">
        <v>56</v>
      </c>
      <c r="E25" s="5" t="s">
        <v>57</v>
      </c>
      <c r="F25" s="6" t="s">
        <v>58</v>
      </c>
    </row>
    <row r="26" spans="2:6" ht="27.75" customHeight="1" x14ac:dyDescent="0.3">
      <c r="B26" s="2" t="s">
        <v>59</v>
      </c>
      <c r="C26" s="9">
        <f>IF($C$19&lt;=420,1,IF($C$19&lt;=550,1.15,1.3))</f>
        <v>1</v>
      </c>
      <c r="D26" s="4" t="s">
        <v>12</v>
      </c>
      <c r="E26" s="5" t="s">
        <v>60</v>
      </c>
      <c r="F26" s="6" t="s">
        <v>61</v>
      </c>
    </row>
    <row r="28" spans="2:6" ht="18" customHeight="1" x14ac:dyDescent="0.3">
      <c r="B28" s="38" t="s">
        <v>62</v>
      </c>
      <c r="C28" s="37"/>
      <c r="D28" s="37"/>
      <c r="E28" s="37"/>
      <c r="F28" s="37"/>
    </row>
    <row r="29" spans="2:6" x14ac:dyDescent="0.3"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</row>
    <row r="30" spans="2:6" ht="40.200000000000003" customHeight="1" x14ac:dyDescent="0.3">
      <c r="B30" s="2" t="s">
        <v>63</v>
      </c>
      <c r="C30" s="14">
        <v>18</v>
      </c>
      <c r="D30" s="4" t="s">
        <v>64</v>
      </c>
      <c r="E30" s="5" t="s">
        <v>65</v>
      </c>
      <c r="F30" s="6" t="s">
        <v>66</v>
      </c>
    </row>
    <row r="31" spans="2:6" ht="27.75" customHeight="1" x14ac:dyDescent="0.3">
      <c r="B31" s="2" t="s">
        <v>67</v>
      </c>
      <c r="C31" s="14">
        <v>1</v>
      </c>
      <c r="D31" s="4" t="s">
        <v>12</v>
      </c>
      <c r="E31" s="5" t="s">
        <v>68</v>
      </c>
      <c r="F31" s="6" t="s">
        <v>69</v>
      </c>
    </row>
    <row r="32" spans="2:6" ht="27.75" customHeight="1" x14ac:dyDescent="0.3">
      <c r="B32" s="2" t="s">
        <v>70</v>
      </c>
      <c r="C32" s="14">
        <v>1.6</v>
      </c>
      <c r="D32" s="4" t="s">
        <v>52</v>
      </c>
      <c r="E32" s="5" t="s">
        <v>71</v>
      </c>
      <c r="F32" s="6" t="s">
        <v>72</v>
      </c>
    </row>
    <row r="33" spans="2:6" ht="27.75" customHeight="1" x14ac:dyDescent="0.3">
      <c r="B33" s="2" t="s">
        <v>73</v>
      </c>
      <c r="C33" s="14">
        <v>0.45</v>
      </c>
      <c r="D33" s="4" t="s">
        <v>12</v>
      </c>
      <c r="E33" s="5" t="s">
        <v>74</v>
      </c>
      <c r="F33" s="6" t="s">
        <v>75</v>
      </c>
    </row>
    <row r="34" spans="2:6" ht="27.75" customHeight="1" x14ac:dyDescent="0.3">
      <c r="B34" s="2" t="s">
        <v>76</v>
      </c>
      <c r="C34" s="14">
        <v>1.5</v>
      </c>
      <c r="D34" s="4" t="s">
        <v>12</v>
      </c>
      <c r="E34" s="5" t="s">
        <v>77</v>
      </c>
      <c r="F34" s="6" t="s">
        <v>78</v>
      </c>
    </row>
    <row r="35" spans="2:6" ht="27.75" customHeight="1" x14ac:dyDescent="0.3">
      <c r="B35" s="2" t="s">
        <v>79</v>
      </c>
      <c r="C35" s="14">
        <v>1.5</v>
      </c>
      <c r="D35" s="4" t="s">
        <v>12</v>
      </c>
      <c r="E35" s="5" t="s">
        <v>80</v>
      </c>
      <c r="F35" s="6" t="s">
        <v>78</v>
      </c>
    </row>
    <row r="37" spans="2:6" ht="18" customHeight="1" x14ac:dyDescent="0.3">
      <c r="B37" s="38" t="s">
        <v>81</v>
      </c>
      <c r="C37" s="37"/>
      <c r="D37" s="37"/>
      <c r="E37" s="37"/>
      <c r="F37" s="37"/>
    </row>
    <row r="38" spans="2:6" x14ac:dyDescent="0.3"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</row>
    <row r="39" spans="2:6" ht="40.200000000000003" customHeight="1" x14ac:dyDescent="0.3">
      <c r="B39" s="2" t="s">
        <v>82</v>
      </c>
      <c r="C39" s="3" t="s">
        <v>83</v>
      </c>
      <c r="D39" s="4" t="s">
        <v>12</v>
      </c>
      <c r="E39" s="5" t="s">
        <v>84</v>
      </c>
      <c r="F39" s="6" t="s">
        <v>85</v>
      </c>
    </row>
    <row r="40" spans="2:6" ht="27.75" customHeight="1" x14ac:dyDescent="0.3">
      <c r="B40" s="2" t="s">
        <v>86</v>
      </c>
      <c r="C40" s="14">
        <v>1</v>
      </c>
      <c r="D40" s="4" t="s">
        <v>12</v>
      </c>
      <c r="E40" s="5" t="s">
        <v>87</v>
      </c>
      <c r="F40" s="6" t="s">
        <v>88</v>
      </c>
    </row>
    <row r="41" spans="2:6" ht="40.200000000000003" customHeight="1" x14ac:dyDescent="0.3">
      <c r="B41" s="2" t="s">
        <v>89</v>
      </c>
      <c r="C41" s="7" t="s">
        <v>90</v>
      </c>
      <c r="D41" s="4" t="s">
        <v>12</v>
      </c>
      <c r="E41" s="5" t="s">
        <v>91</v>
      </c>
      <c r="F41" s="6" t="s">
        <v>92</v>
      </c>
    </row>
    <row r="43" spans="2:6" ht="18" customHeight="1" x14ac:dyDescent="0.3">
      <c r="B43" s="38" t="inlineStr">
        <is>
          <t>5. CARGAS DE SERVICIO EN LA BASE DE LA COLUMNA — para AISLADA, AISLADA_CT y LINDERO (por caso de carga, sin factorizar)</t>
        </is>
      </c>
      <c r="C43" s="37"/>
      <c r="D43" s="37"/>
      <c r="E43" s="37"/>
      <c r="F43" s="37"/>
    </row>
    <row r="44" spans="2:6" x14ac:dyDescent="0.3"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</row>
    <row r="45" spans="2:6" ht="28.95" customHeight="1" x14ac:dyDescent="0.3">
      <c r="B45" s="36" t="s">
        <v>94</v>
      </c>
      <c r="C45" s="37"/>
      <c r="D45" s="37"/>
      <c r="E45" s="37"/>
      <c r="F45" s="37"/>
    </row>
    <row r="46" spans="2:6" ht="27.75" customHeight="1" x14ac:dyDescent="0.3">
      <c r="B46" s="2" t="s">
        <v>95</v>
      </c>
      <c r="C46" s="14">
        <v>30</v>
      </c>
      <c r="D46" s="4" t="s">
        <v>96</v>
      </c>
      <c r="E46" s="5" t="s">
        <v>97</v>
      </c>
      <c r="F46" s="6" t="s">
        <v>98</v>
      </c>
    </row>
    <row r="47" spans="2:6" ht="27.75" customHeight="1" x14ac:dyDescent="0.3">
      <c r="B47" s="2" t="s">
        <v>99</v>
      </c>
      <c r="C47" s="14">
        <v>12</v>
      </c>
      <c r="D47" s="4" t="s">
        <v>96</v>
      </c>
      <c r="E47" s="5" t="s">
        <v>100</v>
      </c>
      <c r="F47" s="6" t="s">
        <v>98</v>
      </c>
    </row>
    <row r="48" spans="2:6" ht="27.75" customHeight="1" x14ac:dyDescent="0.3">
      <c r="B48" s="2" t="s">
        <v>101</v>
      </c>
      <c r="C48" s="14">
        <v>6</v>
      </c>
      <c r="D48" s="4" t="s">
        <v>96</v>
      </c>
      <c r="E48" s="5" t="s">
        <v>102</v>
      </c>
      <c r="F48" s="6" t="s">
        <v>98</v>
      </c>
    </row>
    <row r="49" spans="2:6" ht="27.75" customHeight="1" x14ac:dyDescent="0.3">
      <c r="B49" s="2" t="s">
        <v>103</v>
      </c>
      <c r="C49" s="14">
        <v>0.8</v>
      </c>
      <c r="D49" s="4" t="s">
        <v>104</v>
      </c>
      <c r="E49" s="5" t="s">
        <v>105</v>
      </c>
      <c r="F49" s="6" t="s">
        <v>98</v>
      </c>
    </row>
    <row r="50" spans="2:6" ht="15.45" customHeight="1" x14ac:dyDescent="0.3">
      <c r="B50" s="2" t="s">
        <v>106</v>
      </c>
      <c r="C50" s="14">
        <v>0.4</v>
      </c>
      <c r="D50" s="4" t="s">
        <v>104</v>
      </c>
      <c r="E50" s="5" t="s">
        <v>107</v>
      </c>
      <c r="F50" s="6" t="s">
        <v>98</v>
      </c>
    </row>
    <row r="51" spans="2:6" ht="27.75" customHeight="1" x14ac:dyDescent="0.3">
      <c r="B51" s="2" t="s">
        <v>108</v>
      </c>
      <c r="C51" s="14">
        <v>5.5</v>
      </c>
      <c r="D51" s="4" t="s">
        <v>104</v>
      </c>
      <c r="E51" s="5" t="s">
        <v>109</v>
      </c>
      <c r="F51" s="6" t="s">
        <v>98</v>
      </c>
    </row>
    <row r="52" spans="2:6" ht="27.75" customHeight="1" x14ac:dyDescent="0.3">
      <c r="B52" s="2" t="s">
        <v>110</v>
      </c>
      <c r="C52" s="14">
        <v>0.6</v>
      </c>
      <c r="D52" s="4" t="s">
        <v>104</v>
      </c>
      <c r="E52" s="5" t="s">
        <v>105</v>
      </c>
      <c r="F52" s="6" t="s">
        <v>98</v>
      </c>
    </row>
    <row r="53" spans="2:6" ht="15.45" customHeight="1" x14ac:dyDescent="0.3">
      <c r="B53" s="2" t="s">
        <v>111</v>
      </c>
      <c r="C53" s="14">
        <v>0.3</v>
      </c>
      <c r="D53" s="4" t="s">
        <v>104</v>
      </c>
      <c r="E53" s="5" t="s">
        <v>107</v>
      </c>
      <c r="F53" s="6" t="s">
        <v>98</v>
      </c>
    </row>
    <row r="54" spans="2:6" ht="27.75" customHeight="1" x14ac:dyDescent="0.3">
      <c r="B54" s="2" t="s">
        <v>112</v>
      </c>
      <c r="C54" s="14">
        <v>6.5</v>
      </c>
      <c r="D54" s="4" t="s">
        <v>104</v>
      </c>
      <c r="E54" s="5" t="s">
        <v>109</v>
      </c>
      <c r="F54" s="6" t="s">
        <v>98</v>
      </c>
    </row>
    <row r="55" spans="2:6" ht="27.75" customHeight="1" x14ac:dyDescent="0.3">
      <c r="B55" s="2" t="s">
        <v>113</v>
      </c>
      <c r="C55" s="14">
        <v>0.2</v>
      </c>
      <c r="D55" s="4" t="s">
        <v>96</v>
      </c>
      <c r="E55" s="5" t="s">
        <v>114</v>
      </c>
      <c r="F55" s="6" t="s">
        <v>98</v>
      </c>
    </row>
    <row r="56" spans="2:6" ht="15.45" customHeight="1" x14ac:dyDescent="0.3">
      <c r="B56" s="2" t="s">
        <v>115</v>
      </c>
      <c r="C56" s="14">
        <v>0.1</v>
      </c>
      <c r="D56" s="4" t="s">
        <v>96</v>
      </c>
      <c r="E56" s="5" t="s">
        <v>116</v>
      </c>
      <c r="F56" s="6" t="s">
        <v>98</v>
      </c>
    </row>
    <row r="57" spans="2:6" ht="27.75" customHeight="1" x14ac:dyDescent="0.3">
      <c r="B57" s="2" t="s">
        <v>117</v>
      </c>
      <c r="C57" s="14">
        <v>2.5</v>
      </c>
      <c r="D57" s="4" t="s">
        <v>96</v>
      </c>
      <c r="E57" s="5" t="s">
        <v>118</v>
      </c>
      <c r="F57" s="6" t="s">
        <v>98</v>
      </c>
    </row>
    <row r="58" spans="2:6" ht="27.75" customHeight="1" x14ac:dyDescent="0.3">
      <c r="B58" s="2" t="s">
        <v>119</v>
      </c>
      <c r="C58" s="14">
        <v>0.3</v>
      </c>
      <c r="D58" s="4" t="s">
        <v>96</v>
      </c>
      <c r="E58" s="5" t="s">
        <v>114</v>
      </c>
      <c r="F58" s="6" t="s">
        <v>98</v>
      </c>
    </row>
    <row r="59" spans="2:6" ht="15.45" customHeight="1" x14ac:dyDescent="0.3">
      <c r="B59" s="2" t="s">
        <v>120</v>
      </c>
      <c r="C59" s="14">
        <v>0.1</v>
      </c>
      <c r="D59" s="4" t="s">
        <v>96</v>
      </c>
      <c r="E59" s="5" t="s">
        <v>116</v>
      </c>
      <c r="F59" s="6" t="s">
        <v>98</v>
      </c>
    </row>
    <row r="60" spans="2:6" ht="27.75" customHeight="1" x14ac:dyDescent="0.3">
      <c r="B60" s="2" t="s">
        <v>121</v>
      </c>
      <c r="C60" s="14">
        <v>2</v>
      </c>
      <c r="D60" s="4" t="s">
        <v>96</v>
      </c>
      <c r="E60" s="5" t="s">
        <v>118</v>
      </c>
      <c r="F60" s="6" t="s">
        <v>98</v>
      </c>
    </row>
    <row r="62" spans="2:6" ht="18" customHeight="1" x14ac:dyDescent="0.3">
      <c r="B62" s="38" t="s">
        <v>122</v>
      </c>
      <c r="C62" s="37"/>
      <c r="D62" s="37"/>
      <c r="E62" s="37"/>
      <c r="F62" s="37"/>
    </row>
    <row r="63" spans="2:6" x14ac:dyDescent="0.3">
      <c r="B63" s="1" t="s">
        <v>5</v>
      </c>
      <c r="C63" s="1" t="s">
        <v>6</v>
      </c>
      <c r="D63" s="1" t="s">
        <v>7</v>
      </c>
      <c r="E63" s="1" t="s">
        <v>8</v>
      </c>
      <c r="F63" s="1" t="s">
        <v>9</v>
      </c>
    </row>
    <row r="64" spans="2:6" ht="40.200000000000003" customHeight="1" x14ac:dyDescent="0.3">
      <c r="B64" s="2" t="s">
        <v>123</v>
      </c>
      <c r="C64" s="14">
        <v>0.5</v>
      </c>
      <c r="D64" s="4" t="s">
        <v>124</v>
      </c>
      <c r="E64" s="5" t="s">
        <v>125</v>
      </c>
      <c r="F64" s="6" t="s">
        <v>126</v>
      </c>
    </row>
    <row r="65" spans="2:6" ht="15.45" customHeight="1" x14ac:dyDescent="0.3">
      <c r="B65" s="2" t="s">
        <v>127</v>
      </c>
      <c r="C65" s="14">
        <v>0.5</v>
      </c>
      <c r="D65" s="4" t="s">
        <v>124</v>
      </c>
      <c r="E65" s="5" t="s">
        <v>128</v>
      </c>
      <c r="F65" s="6" t="s">
        <v>126</v>
      </c>
    </row>
    <row r="66" spans="2:6" ht="15.45" customHeight="1" x14ac:dyDescent="0.3">
      <c r="B66" s="2" t="s">
        <v>129</v>
      </c>
      <c r="C66" s="14">
        <v>0.15</v>
      </c>
      <c r="D66" s="4" t="s">
        <v>124</v>
      </c>
      <c r="E66" s="5" t="s">
        <v>130</v>
      </c>
      <c r="F66" s="6" t="s">
        <v>131</v>
      </c>
    </row>
    <row r="67" spans="2:6" ht="27.75" customHeight="1" x14ac:dyDescent="0.3">
      <c r="B67" s="2" t="s">
        <v>132</v>
      </c>
      <c r="C67" s="8">
        <v>6</v>
      </c>
      <c r="D67" s="4" t="s">
        <v>133</v>
      </c>
      <c r="E67" s="5" t="s">
        <v>134</v>
      </c>
      <c r="F67" s="6" t="s">
        <v>135</v>
      </c>
    </row>
    <row r="68" spans="2:6" ht="15.45" customHeight="1" x14ac:dyDescent="0.3">
      <c r="B68" s="2" t="s">
        <v>136</v>
      </c>
      <c r="C68" s="9">
        <f>INDEX(TABLAS!$C$6:$C$13,MATCH($C$67,TABLAS!$B$6:$B$13,0))</f>
        <v>1.91</v>
      </c>
      <c r="D68" s="4" t="s">
        <v>137</v>
      </c>
      <c r="E68" s="5" t="s">
        <v>138</v>
      </c>
      <c r="F68" s="6" t="s">
        <v>139</v>
      </c>
    </row>
    <row r="69" spans="2:6" ht="15.45" customHeight="1" x14ac:dyDescent="0.3">
      <c r="B69" s="2" t="s">
        <v>140</v>
      </c>
      <c r="C69" s="9">
        <f>INDEX(TABLAS!$D$6:$D$13,MATCH($C$67,TABLAS!$B$6:$B$13,0))</f>
        <v>2.85</v>
      </c>
      <c r="D69" s="4" t="s">
        <v>141</v>
      </c>
      <c r="E69" s="5" t="s">
        <v>138</v>
      </c>
      <c r="F69" s="6" t="s">
        <v>139</v>
      </c>
    </row>
    <row r="70" spans="2:6" ht="40.200000000000003" customHeight="1" x14ac:dyDescent="0.3">
      <c r="B70" s="2" t="s">
        <v>142</v>
      </c>
      <c r="C70" s="3" t="s">
        <v>143</v>
      </c>
      <c r="D70" s="4" t="s">
        <v>12</v>
      </c>
      <c r="E70" s="5" t="s">
        <v>144</v>
      </c>
      <c r="F70" s="6" t="s">
        <v>145</v>
      </c>
    </row>
    <row r="72" spans="2:6" ht="18" customHeight="1" x14ac:dyDescent="0.3">
      <c r="B72" s="38" t="s">
        <v>146</v>
      </c>
      <c r="C72" s="37"/>
      <c r="D72" s="37"/>
      <c r="E72" s="37"/>
      <c r="F72" s="37"/>
    </row>
    <row r="73" spans="2:6" x14ac:dyDescent="0.3">
      <c r="B73" s="1" t="s">
        <v>5</v>
      </c>
      <c r="C73" s="1" t="s">
        <v>6</v>
      </c>
      <c r="D73" s="1" t="s">
        <v>7</v>
      </c>
      <c r="E73" s="1" t="s">
        <v>8</v>
      </c>
      <c r="F73" s="1" t="s">
        <v>9</v>
      </c>
    </row>
    <row r="74" spans="2:6" ht="27.75" customHeight="1" x14ac:dyDescent="0.3">
      <c r="B74" s="2" t="s">
        <v>147</v>
      </c>
      <c r="C74" s="14">
        <v>5</v>
      </c>
      <c r="D74" s="4" t="s">
        <v>148</v>
      </c>
      <c r="E74" s="5" t="s">
        <v>149</v>
      </c>
      <c r="F74" s="6" t="s">
        <v>150</v>
      </c>
    </row>
    <row r="75" spans="2:6" ht="27.75" customHeight="1" x14ac:dyDescent="0.3">
      <c r="B75" s="2" t="s">
        <v>151</v>
      </c>
      <c r="C75" s="14">
        <v>1.5</v>
      </c>
      <c r="D75" s="4" t="s">
        <v>148</v>
      </c>
      <c r="E75" s="5" t="s">
        <v>149</v>
      </c>
      <c r="F75" s="6" t="s">
        <v>150</v>
      </c>
    </row>
    <row r="76" spans="2:6" ht="27.75" customHeight="1" x14ac:dyDescent="0.3">
      <c r="B76" s="2" t="s">
        <v>152</v>
      </c>
      <c r="C76" s="14">
        <v>0.8</v>
      </c>
      <c r="D76" s="4" t="s">
        <v>148</v>
      </c>
      <c r="E76" s="5" t="s">
        <v>149</v>
      </c>
      <c r="F76" s="6" t="s">
        <v>150</v>
      </c>
    </row>
    <row r="77" spans="2:6" ht="27.75" customHeight="1" x14ac:dyDescent="0.3">
      <c r="B77" s="2" t="s">
        <v>153</v>
      </c>
      <c r="C77" s="14">
        <v>0</v>
      </c>
      <c r="D77" s="4" t="s">
        <v>154</v>
      </c>
      <c r="E77" s="5" t="s">
        <v>149</v>
      </c>
      <c r="F77" s="6" t="s">
        <v>150</v>
      </c>
    </row>
    <row r="78" spans="2:6" ht="27.75" customHeight="1" x14ac:dyDescent="0.3">
      <c r="B78" s="2" t="s">
        <v>155</v>
      </c>
      <c r="C78" s="14">
        <v>0</v>
      </c>
      <c r="D78" s="4" t="s">
        <v>154</v>
      </c>
      <c r="E78" s="5" t="s">
        <v>149</v>
      </c>
      <c r="F78" s="6" t="s">
        <v>150</v>
      </c>
    </row>
    <row r="79" spans="2:6" ht="27.75" customHeight="1" x14ac:dyDescent="0.3">
      <c r="B79" s="2" t="s">
        <v>156</v>
      </c>
      <c r="C79" s="14">
        <v>0.3</v>
      </c>
      <c r="D79" s="4" t="s">
        <v>154</v>
      </c>
      <c r="E79" s="5" t="s">
        <v>149</v>
      </c>
      <c r="F79" s="6" t="s">
        <v>150</v>
      </c>
    </row>
    <row r="80" spans="2:6" ht="27.75" customHeight="1" x14ac:dyDescent="0.3">
      <c r="B80" s="2" t="s">
        <v>157</v>
      </c>
      <c r="C80" s="14">
        <v>0</v>
      </c>
      <c r="D80" s="4" t="s">
        <v>148</v>
      </c>
      <c r="E80" s="5" t="s">
        <v>149</v>
      </c>
      <c r="F80" s="6" t="s">
        <v>150</v>
      </c>
    </row>
    <row r="81" spans="2:6" ht="27.75" customHeight="1" x14ac:dyDescent="0.3">
      <c r="B81" s="2" t="s">
        <v>158</v>
      </c>
      <c r="C81" s="14">
        <v>0</v>
      </c>
      <c r="D81" s="4" t="s">
        <v>148</v>
      </c>
      <c r="E81" s="5" t="s">
        <v>149</v>
      </c>
      <c r="F81" s="6" t="s">
        <v>150</v>
      </c>
    </row>
    <row r="82" spans="2:6" ht="27.75" customHeight="1" x14ac:dyDescent="0.3">
      <c r="B82" s="2" t="s">
        <v>159</v>
      </c>
      <c r="C82" s="14">
        <v>0.4</v>
      </c>
      <c r="D82" s="4" t="s">
        <v>148</v>
      </c>
      <c r="E82" s="5" t="s">
        <v>149</v>
      </c>
      <c r="F82" s="6" t="s">
        <v>150</v>
      </c>
    </row>
    <row r="84" spans="2:6" ht="18" customHeight="1" x14ac:dyDescent="0.3">
      <c r="B84" s="38" t="s">
        <v>160</v>
      </c>
      <c r="C84" s="37"/>
      <c r="D84" s="37"/>
      <c r="E84" s="37"/>
      <c r="F84" s="37"/>
    </row>
    <row r="85" spans="2:6" x14ac:dyDescent="0.3"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</row>
    <row r="86" spans="2:6" ht="15.45" customHeight="1" x14ac:dyDescent="0.3">
      <c r="B86" s="2" t="s">
        <v>161</v>
      </c>
      <c r="C86" s="9">
        <v>0.9</v>
      </c>
      <c r="D86" s="4" t="s">
        <v>12</v>
      </c>
      <c r="E86" s="5" t="s">
        <v>162</v>
      </c>
      <c r="F86" s="6" t="s">
        <v>163</v>
      </c>
    </row>
    <row r="87" spans="2:6" ht="15.45" customHeight="1" x14ac:dyDescent="0.3">
      <c r="B87" s="2" t="s">
        <v>164</v>
      </c>
      <c r="C87" s="9">
        <v>0.75</v>
      </c>
      <c r="D87" s="4" t="s">
        <v>12</v>
      </c>
      <c r="E87" s="5" t="s">
        <v>165</v>
      </c>
      <c r="F87" s="6" t="s">
        <v>166</v>
      </c>
    </row>
    <row r="88" spans="2:6" ht="15.45" customHeight="1" x14ac:dyDescent="0.3">
      <c r="B88" s="2" t="s">
        <v>167</v>
      </c>
      <c r="C88" s="9">
        <v>0.65</v>
      </c>
      <c r="D88" s="4" t="s">
        <v>12</v>
      </c>
      <c r="E88" s="5" t="s">
        <v>165</v>
      </c>
      <c r="F88" s="6" t="s">
        <v>168</v>
      </c>
    </row>
    <row r="89" spans="2:6" ht="15.45" customHeight="1" x14ac:dyDescent="0.3">
      <c r="B89" s="2" t="s">
        <v>169</v>
      </c>
      <c r="C89" s="15">
        <v>10.1972</v>
      </c>
      <c r="D89" s="4" t="s">
        <v>23</v>
      </c>
      <c r="E89" s="5" t="s">
        <v>165</v>
      </c>
      <c r="F89" s="6" t="s">
        <v>29</v>
      </c>
    </row>
    <row r="90" spans="2:6" ht="40.200000000000003" customHeight="1" x14ac:dyDescent="0.3">
      <c r="B90" s="2" t="s">
        <v>170</v>
      </c>
      <c r="C90" s="3" t="s">
        <v>171</v>
      </c>
      <c r="D90" s="4" t="s">
        <v>12</v>
      </c>
      <c r="E90" s="5" t="s">
        <v>172</v>
      </c>
      <c r="F90" s="6" t="s">
        <v>173</v>
      </c>
    </row>
    <row r="91" spans="2:6" ht="27.75" customHeight="1" x14ac:dyDescent="0.3">
      <c r="B91" s="2" t="s">
        <v>174</v>
      </c>
      <c r="C91" s="16">
        <v>2.5</v>
      </c>
      <c r="D91" s="4" t="s">
        <v>137</v>
      </c>
      <c r="E91" s="5" t="s">
        <v>175</v>
      </c>
      <c r="F91" s="6" t="s">
        <v>176</v>
      </c>
    </row>
    <row r="92">
      <c r="B92" s="2" t="inlineStr">
        <is>
          <t>ρ mín — refuerzo mínimo de losas y zapatas (flexión y temperatura)</t>
        </is>
      </c>
      <c r="C92" s="16">
        <f>IF($C$19&lt;410,0.002,MAX(0.0014,0.0018*420/MAX($C$19,420)))</f>
        <v>0.0018</v>
      </c>
      <c r="D92" s="4" t="inlineStr">
        <is>
          <t>—</t>
        </is>
      </c>
      <c r="E92" s="5" t="inlineStr">
        <is>
          <t>CALCULADA con fy en MPa: 0.0020 si fy &lt; 420 MPa; si no, el mayor de 0.0018·420/fy y 0.0014. La varilla grado 42 (4200 kg/cm² = 412 MPa) es el grado 420 del ACI, por eso se acepta como 420 desde 410 MPa.</t>
        </is>
      </c>
      <c r="F92" s="6" t="inlineStr">
        <is>
          <t>ACI 318-19, Tablas 7.6.1.1, 8.6.1.1 y 24.4.3.2</t>
        </is>
      </c>
    </row>
  </sheetData>
  <mergeCells count="14">
    <mergeCell ref="B1:F1"/>
    <mergeCell ref="B84:F84"/>
    <mergeCell ref="B13:F13"/>
    <mergeCell ref="B72:F72"/>
    <mergeCell ref="B3:F3"/>
    <mergeCell ref="B5:F5"/>
    <mergeCell ref="B37:F37"/>
    <mergeCell ref="B45:F45"/>
    <mergeCell ref="B4:F4"/>
    <mergeCell ref="B43:F43"/>
    <mergeCell ref="B7:F7"/>
    <mergeCell ref="B2:F2"/>
    <mergeCell ref="B62:F62"/>
    <mergeCell ref="B28:F28"/>
  </mergeCells>
  <conditionalFormatting sqref="C1:N93">
    <cfRule type="expression" dxfId="13" priority="1" stopIfTrue="1">
      <formula>OR(ISNUMBER(FIND("NO CUMPLE",C1)),ISNUMBER(FIND("REVISAR",C1)),ISNUMBER(FIND("NO ALCANZA",C1)),ISNUMBER(FIND("INESTABLE",C1)))</formula>
    </cfRule>
    <cfRule type="expression" dxfId="12" priority="2">
      <formula>ISNUMBER(FIND("CUMPLE",C1))</formula>
    </cfRule>
  </conditionalFormatting>
  <dataValidations count="4">
    <dataValidation type="list" errorTitle="Valor no válido" error="Escoge un valor de la lista" sqref="C39" xr:uid="{00000000-0002-0000-0000-000000000000}">
      <formula1>"SISMO,VIENTO"</formula1>
    </dataValidation>
    <dataValidation type="list" errorTitle="Valor no válido" error="Escoge un valor de la lista" sqref="C67" xr:uid="{00000000-0002-0000-0000-000001000000}">
      <formula1>"3,4,5,6,8,10,12"</formula1>
    </dataValidation>
    <dataValidation type="list" errorTitle="Valor no válido" error="Escoge un valor de la lista" sqref="C70" xr:uid="{00000000-0002-0000-0000-000002000000}">
      <formula1>"CARA SUPERIOR DEL DADO,CARA SUPERIOR DE LA ZAPATA"</formula1>
    </dataValidation>
    <dataValidation type="list" errorTitle="Valor no válido" error="Escoge un valor de la lista" sqref="C90" xr:uid="{00000000-0002-0000-0000-000003000000}">
      <formula1>"SÍ,NO"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1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8" customWidth="1"/>
    <col min="3" max="3" width="44" customWidth="1"/>
    <col min="4" max="4" width="24" customWidth="1"/>
    <col min="5" max="9" width="11" customWidth="1"/>
    <col min="10" max="10" width="40" customWidth="1"/>
  </cols>
  <sheetData>
    <row r="1" spans="2:10" ht="25.95" customHeight="1" x14ac:dyDescent="0.3">
      <c r="B1" s="43" t="s">
        <v>177</v>
      </c>
      <c r="C1" s="37"/>
      <c r="D1" s="37"/>
      <c r="E1" s="37"/>
      <c r="F1" s="37"/>
      <c r="G1" s="37"/>
      <c r="H1" s="37"/>
      <c r="I1" s="37"/>
      <c r="J1" s="37"/>
    </row>
    <row r="2" spans="2:10" ht="28.05" customHeight="1" x14ac:dyDescent="0.3">
      <c r="B2" s="39" t="s">
        <v>178</v>
      </c>
      <c r="C2" s="37"/>
      <c r="D2" s="37"/>
      <c r="E2" s="37"/>
      <c r="F2" s="37"/>
      <c r="G2" s="37"/>
      <c r="H2" s="37"/>
      <c r="I2" s="37"/>
      <c r="J2" s="37"/>
    </row>
    <row r="4" spans="2:10" ht="18" customHeight="1" x14ac:dyDescent="0.3">
      <c r="B4" s="42" t="s">
        <v>179</v>
      </c>
      <c r="C4" s="37"/>
      <c r="D4" s="37"/>
      <c r="E4" s="37"/>
      <c r="F4" s="37"/>
      <c r="G4" s="37"/>
      <c r="H4" s="37"/>
      <c r="I4" s="37"/>
      <c r="J4" s="37"/>
    </row>
    <row r="5" spans="2:10" ht="28.05" customHeight="1" x14ac:dyDescent="0.3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186</v>
      </c>
      <c r="I5" s="1" t="s">
        <v>12</v>
      </c>
      <c r="J5" s="1" t="s">
        <v>9</v>
      </c>
    </row>
    <row r="6" spans="2:10" ht="16.05" customHeight="1" x14ac:dyDescent="0.3">
      <c r="B6" s="17" t="s">
        <v>187</v>
      </c>
      <c r="C6" s="5" t="str">
        <f>"D + L"</f>
        <v>D + L</v>
      </c>
      <c r="D6" s="18" t="s">
        <v>188</v>
      </c>
      <c r="E6" s="19">
        <v>1</v>
      </c>
      <c r="F6" s="19">
        <v>1</v>
      </c>
      <c r="G6" s="20">
        <v>0</v>
      </c>
      <c r="H6" s="21">
        <v>1</v>
      </c>
      <c r="I6" s="18" t="s">
        <v>12</v>
      </c>
      <c r="J6" s="6" t="s">
        <v>189</v>
      </c>
    </row>
    <row r="7" spans="2:10" ht="16.05" customHeight="1" x14ac:dyDescent="0.3">
      <c r="B7" s="17" t="s">
        <v>190</v>
      </c>
      <c r="C7" s="5" t="str">
        <f>"D + "&amp;TEXT(IF(DATOS!$C$39="SISMO",0.7,0.6),"0.0##")&amp;IF(DATOS!$C$39="SISMO","E","W")</f>
        <v>D + 0.7E</v>
      </c>
      <c r="D7" s="18" t="s">
        <v>188</v>
      </c>
      <c r="E7" s="19">
        <v>1</v>
      </c>
      <c r="F7" s="19">
        <v>0</v>
      </c>
      <c r="G7" s="20">
        <f>IF(DATOS!$C$39="SISMO",0.7,0.6)</f>
        <v>0.7</v>
      </c>
      <c r="H7" s="21">
        <v>1</v>
      </c>
      <c r="I7" s="18" t="s">
        <v>12</v>
      </c>
      <c r="J7" s="6" t="s">
        <v>191</v>
      </c>
    </row>
    <row r="8" spans="2:10" ht="16.05" customHeight="1" x14ac:dyDescent="0.3">
      <c r="B8" s="17" t="s">
        <v>192</v>
      </c>
      <c r="C8" s="5" t="str">
        <f>"D + 0.75L + "&amp;TEXT(IF(DATOS!$C$39="SISMO",0.525,0.45),"0.0##")&amp;IF(DATOS!$C$39="SISMO","E","W")</f>
        <v>D + 0.75L + 0.525E</v>
      </c>
      <c r="D8" s="18" t="s">
        <v>188</v>
      </c>
      <c r="E8" s="19">
        <v>1</v>
      </c>
      <c r="F8" s="19">
        <v>0.75</v>
      </c>
      <c r="G8" s="20">
        <f>IF(DATOS!$C$39="SISMO",0.525,0.45)</f>
        <v>0.525</v>
      </c>
      <c r="H8" s="21">
        <v>1</v>
      </c>
      <c r="I8" s="18" t="s">
        <v>12</v>
      </c>
      <c r="J8" s="6" t="s">
        <v>193</v>
      </c>
    </row>
    <row r="9" spans="2:10" ht="16.05" customHeight="1" x14ac:dyDescent="0.3">
      <c r="B9" s="17" t="s">
        <v>194</v>
      </c>
      <c r="C9" s="5" t="str">
        <f>"0.6D + "&amp;TEXT(IF(DATOS!$C$39="SISMO",0.7,0.6),"0.0##")&amp;IF(DATOS!$C$39="SISMO","E","W")&amp;"  (P de A suma)"</f>
        <v>0.6D + 0.7E  (P de A suma)</v>
      </c>
      <c r="D9" s="18" t="s">
        <v>188</v>
      </c>
      <c r="E9" s="19">
        <v>0.6</v>
      </c>
      <c r="F9" s="19">
        <v>0</v>
      </c>
      <c r="G9" s="20">
        <f>IF(DATOS!$C$39="SISMO",0.7,0.6)</f>
        <v>0.7</v>
      </c>
      <c r="H9" s="21">
        <v>1</v>
      </c>
      <c r="I9" s="18" t="s">
        <v>12</v>
      </c>
      <c r="J9" s="6" t="s">
        <v>195</v>
      </c>
    </row>
    <row r="10" spans="2:10" ht="16.05" customHeight="1" x14ac:dyDescent="0.3">
      <c r="B10" s="17" t="s">
        <v>196</v>
      </c>
      <c r="C10" s="5" t="str">
        <f>"0.6D + "&amp;TEXT(IF(DATOS!$C$39="SISMO",0.7,0.6),"0.0##")&amp;IF(DATOS!$C$39="SISMO","E","W")&amp;"  (P de A resta)"</f>
        <v>0.6D + 0.7E  (P de A resta)</v>
      </c>
      <c r="D10" s="18" t="s">
        <v>197</v>
      </c>
      <c r="E10" s="19">
        <v>0.6</v>
      </c>
      <c r="F10" s="19">
        <v>0</v>
      </c>
      <c r="G10" s="20">
        <f>IF(DATOS!$C$39="SISMO",0.7,0.6)</f>
        <v>0.7</v>
      </c>
      <c r="H10" s="21">
        <v>-1</v>
      </c>
      <c r="I10" s="18" t="s">
        <v>12</v>
      </c>
      <c r="J10" s="6" t="s">
        <v>195</v>
      </c>
    </row>
    <row r="11" spans="2:10" ht="16.05" customHeight="1" x14ac:dyDescent="0.3">
      <c r="B11" s="17" t="s">
        <v>198</v>
      </c>
      <c r="C11" s="5" t="str">
        <f>"1.4D"</f>
        <v>1.4D</v>
      </c>
      <c r="D11" s="18" t="s">
        <v>199</v>
      </c>
      <c r="E11" s="19">
        <v>1.4</v>
      </c>
      <c r="F11" s="19">
        <v>0</v>
      </c>
      <c r="G11" s="20">
        <v>0</v>
      </c>
      <c r="H11" s="21">
        <v>1</v>
      </c>
      <c r="I11" s="18" t="s">
        <v>12</v>
      </c>
      <c r="J11" s="6" t="s">
        <v>200</v>
      </c>
    </row>
    <row r="12" spans="2:10" ht="16.05" customHeight="1" x14ac:dyDescent="0.3">
      <c r="B12" s="17" t="s">
        <v>201</v>
      </c>
      <c r="C12" s="5" t="str">
        <f>"1.2D + 1.6L"</f>
        <v>1.2D + 1.6L</v>
      </c>
      <c r="D12" s="18" t="s">
        <v>199</v>
      </c>
      <c r="E12" s="19">
        <v>1.2</v>
      </c>
      <c r="F12" s="19">
        <v>1.6</v>
      </c>
      <c r="G12" s="20">
        <v>0</v>
      </c>
      <c r="H12" s="21">
        <v>1</v>
      </c>
      <c r="I12" s="18" t="s">
        <v>12</v>
      </c>
      <c r="J12" s="6" t="s">
        <v>202</v>
      </c>
    </row>
    <row r="13" spans="2:10" ht="16.05" customHeight="1" x14ac:dyDescent="0.3">
      <c r="B13" s="17" t="s">
        <v>203</v>
      </c>
      <c r="C13" s="5" t="str">
        <f>"1.2D + "&amp;TEXT(DATOS!$C$40,"0.0")&amp;"L + 1.0"&amp;IF(DATOS!$C$39="SISMO","E","W")</f>
        <v>1.2D + 1.0L + 1.0E</v>
      </c>
      <c r="D13" s="18" t="s">
        <v>199</v>
      </c>
      <c r="E13" s="19">
        <v>1.2</v>
      </c>
      <c r="F13" s="19">
        <f>DATOS!$C$40</f>
        <v>1</v>
      </c>
      <c r="G13" s="20">
        <v>1</v>
      </c>
      <c r="H13" s="21">
        <v>1</v>
      </c>
      <c r="I13" s="18" t="s">
        <v>12</v>
      </c>
      <c r="J13" s="6" t="s">
        <v>204</v>
      </c>
    </row>
    <row r="14" spans="2:10" ht="16.05" customHeight="1" x14ac:dyDescent="0.3">
      <c r="B14" s="17" t="s">
        <v>205</v>
      </c>
      <c r="C14" s="5" t="str">
        <f>"0.9D + 1.0"&amp;IF(DATOS!$C$39="SISMO","E","W")&amp;"  (P de A suma)"</f>
        <v>0.9D + 1.0E  (P de A suma)</v>
      </c>
      <c r="D14" s="18" t="s">
        <v>199</v>
      </c>
      <c r="E14" s="19">
        <v>0.9</v>
      </c>
      <c r="F14" s="19">
        <v>0</v>
      </c>
      <c r="G14" s="20">
        <v>1</v>
      </c>
      <c r="H14" s="21">
        <v>1</v>
      </c>
      <c r="I14" s="18" t="s">
        <v>12</v>
      </c>
      <c r="J14" s="6" t="s">
        <v>206</v>
      </c>
    </row>
    <row r="15" spans="2:10" ht="16.05" customHeight="1" x14ac:dyDescent="0.3">
      <c r="B15" s="17" t="s">
        <v>207</v>
      </c>
      <c r="C15" s="5" t="str">
        <f>"0.9D + 1.0"&amp;IF(DATOS!$C$39="SISMO","E","W")&amp;"  (P de A resta)"</f>
        <v>0.9D + 1.0E  (P de A resta)</v>
      </c>
      <c r="D15" s="18" t="s">
        <v>208</v>
      </c>
      <c r="E15" s="19">
        <v>0.9</v>
      </c>
      <c r="F15" s="19">
        <v>0</v>
      </c>
      <c r="G15" s="20">
        <v>1</v>
      </c>
      <c r="H15" s="21">
        <v>-1</v>
      </c>
      <c r="I15" s="18" t="s">
        <v>12</v>
      </c>
      <c r="J15" s="6" t="s">
        <v>206</v>
      </c>
    </row>
    <row r="17" spans="2:10" ht="18" customHeight="1" x14ac:dyDescent="0.3">
      <c r="B17" s="42" t="s">
        <v>209</v>
      </c>
      <c r="C17" s="37"/>
      <c r="D17" s="37"/>
      <c r="E17" s="37"/>
      <c r="F17" s="37"/>
      <c r="G17" s="37"/>
      <c r="H17" s="37"/>
      <c r="I17" s="37"/>
      <c r="J17" s="37"/>
    </row>
    <row r="18" spans="2:10" ht="28.05" customHeight="1" x14ac:dyDescent="0.3">
      <c r="B18" s="1" t="s">
        <v>180</v>
      </c>
      <c r="C18" s="1" t="s">
        <v>181</v>
      </c>
      <c r="D18" s="1" t="s">
        <v>182</v>
      </c>
      <c r="E18" s="1" t="s">
        <v>210</v>
      </c>
      <c r="F18" s="1" t="s">
        <v>211</v>
      </c>
      <c r="G18" s="1" t="s">
        <v>212</v>
      </c>
      <c r="H18" s="1" t="s">
        <v>213</v>
      </c>
      <c r="I18" s="1" t="s">
        <v>214</v>
      </c>
      <c r="J18" s="1" t="s">
        <v>215</v>
      </c>
    </row>
    <row r="19" spans="2:10" ht="16.05" customHeight="1" x14ac:dyDescent="0.3">
      <c r="B19" s="17" t="s">
        <v>187</v>
      </c>
      <c r="C19" s="5" t="str">
        <f t="shared" ref="C19:D28" si="0">C6</f>
        <v>D + L</v>
      </c>
      <c r="D19" s="18" t="str">
        <f t="shared" si="0"/>
        <v>Servicio</v>
      </c>
      <c r="E19" s="19">
        <f>E6*DATOS!$C$46+F6*DATOS!$C$47+H6*G6*ABS(DATOS!$C$48)</f>
        <v>42</v>
      </c>
      <c r="F19" s="19">
        <f>ABS(E6*DATOS!$C$49+F6*DATOS!$C$50)+G6*ABS(DATOS!$C$51)</f>
        <v>1.2</v>
      </c>
      <c r="G19" s="19">
        <f>ABS(E6*DATOS!$C$52+F6*DATOS!$C$53)+G6*ABS(DATOS!$C$54)</f>
        <v>0.9</v>
      </c>
      <c r="H19" s="19">
        <f>ABS(E6*DATOS!$C$55+F6*DATOS!$C$56)+G6*ABS(DATOS!$C$57)</f>
        <v>0.3</v>
      </c>
      <c r="I19" s="19">
        <f>ABS(E6*DATOS!$C$58+F6*DATOS!$C$59)+G6*ABS(DATOS!$C$60)</f>
        <v>0.4</v>
      </c>
      <c r="J19" s="6" t="s">
        <v>216</v>
      </c>
    </row>
    <row r="20" spans="2:10" ht="16.05" customHeight="1" x14ac:dyDescent="0.3">
      <c r="B20" s="17" t="s">
        <v>190</v>
      </c>
      <c r="C20" s="5" t="str">
        <f t="shared" si="0"/>
        <v>D + 0.7E</v>
      </c>
      <c r="D20" s="18" t="str">
        <f t="shared" si="0"/>
        <v>Servicio</v>
      </c>
      <c r="E20" s="19">
        <f>E7*DATOS!$C$46+F7*DATOS!$C$47+H7*G7*ABS(DATOS!$C$48)</f>
        <v>34.2</v>
      </c>
      <c r="F20" s="19">
        <f>ABS(E7*DATOS!$C$49+F7*DATOS!$C$50)+G7*ABS(DATOS!$C$51)</f>
        <v>4.65</v>
      </c>
      <c r="G20" s="19">
        <f>ABS(E7*DATOS!$C$52+F7*DATOS!$C$53)+G7*ABS(DATOS!$C$54)</f>
        <v>5.15</v>
      </c>
      <c r="H20" s="19">
        <f>ABS(E7*DATOS!$C$55+F7*DATOS!$C$56)+G7*ABS(DATOS!$C$57)</f>
        <v>1.95</v>
      </c>
      <c r="I20" s="19">
        <f>ABS(E7*DATOS!$C$58+F7*DATOS!$C$59)+G7*ABS(DATOS!$C$60)</f>
        <v>1.7</v>
      </c>
      <c r="J20" s="6" t="s">
        <v>216</v>
      </c>
    </row>
    <row r="21" spans="2:10" ht="16.05" customHeight="1" x14ac:dyDescent="0.3">
      <c r="B21" s="17" t="s">
        <v>192</v>
      </c>
      <c r="C21" s="5" t="str">
        <f t="shared" si="0"/>
        <v>D + 0.75L + 0.525E</v>
      </c>
      <c r="D21" s="18" t="str">
        <f t="shared" si="0"/>
        <v>Servicio</v>
      </c>
      <c r="E21" s="19">
        <f>E8*DATOS!$C$46+F8*DATOS!$C$47+H8*G8*ABS(DATOS!$C$48)</f>
        <v>42.15</v>
      </c>
      <c r="F21" s="19">
        <f>ABS(E8*DATOS!$C$49+F8*DATOS!$C$50)+G8*ABS(DATOS!$C$51)</f>
        <v>3.9875</v>
      </c>
      <c r="G21" s="19">
        <f>ABS(E8*DATOS!$C$52+F8*DATOS!$C$53)+G8*ABS(DATOS!$C$54)</f>
        <v>4.2375</v>
      </c>
      <c r="H21" s="19">
        <f>ABS(E8*DATOS!$C$55+F8*DATOS!$C$56)+G8*ABS(DATOS!$C$57)</f>
        <v>1.5875</v>
      </c>
      <c r="I21" s="19">
        <f>ABS(E8*DATOS!$C$58+F8*DATOS!$C$59)+G8*ABS(DATOS!$C$60)</f>
        <v>1.425</v>
      </c>
      <c r="J21" s="6" t="s">
        <v>216</v>
      </c>
    </row>
    <row r="22" spans="2:10" ht="16.05" customHeight="1" x14ac:dyDescent="0.3">
      <c r="B22" s="17" t="s">
        <v>194</v>
      </c>
      <c r="C22" s="5" t="str">
        <f t="shared" si="0"/>
        <v>0.6D + 0.7E  (P de A suma)</v>
      </c>
      <c r="D22" s="18" t="str">
        <f t="shared" si="0"/>
        <v>Servicio</v>
      </c>
      <c r="E22" s="19">
        <f>E9*DATOS!$C$46+F9*DATOS!$C$47+H9*G9*ABS(DATOS!$C$48)</f>
        <v>22.2</v>
      </c>
      <c r="F22" s="19">
        <f>ABS(E9*DATOS!$C$49+F9*DATOS!$C$50)+G9*ABS(DATOS!$C$51)</f>
        <v>4.33</v>
      </c>
      <c r="G22" s="19">
        <f>ABS(E9*DATOS!$C$52+F9*DATOS!$C$53)+G9*ABS(DATOS!$C$54)</f>
        <v>4.91</v>
      </c>
      <c r="H22" s="19">
        <f>ABS(E9*DATOS!$C$55+F9*DATOS!$C$56)+G9*ABS(DATOS!$C$57)</f>
        <v>1.87</v>
      </c>
      <c r="I22" s="19">
        <f>ABS(E9*DATOS!$C$58+F9*DATOS!$C$59)+G9*ABS(DATOS!$C$60)</f>
        <v>1.58</v>
      </c>
      <c r="J22" s="6" t="s">
        <v>216</v>
      </c>
    </row>
    <row r="23" spans="2:10" ht="16.05" customHeight="1" x14ac:dyDescent="0.3">
      <c r="B23" s="17" t="s">
        <v>196</v>
      </c>
      <c r="C23" s="5" t="str">
        <f t="shared" si="0"/>
        <v>0.6D + 0.7E  (P de A resta)</v>
      </c>
      <c r="D23" s="18" t="str">
        <f t="shared" si="0"/>
        <v>Servicio (levantamiento)</v>
      </c>
      <c r="E23" s="19">
        <f>E10*DATOS!$C$46+F10*DATOS!$C$47+H10*G10*ABS(DATOS!$C$48)</f>
        <v>13.8</v>
      </c>
      <c r="F23" s="19">
        <f>ABS(E10*DATOS!$C$49+F10*DATOS!$C$50)+G10*ABS(DATOS!$C$51)</f>
        <v>4.33</v>
      </c>
      <c r="G23" s="19">
        <f>ABS(E10*DATOS!$C$52+F10*DATOS!$C$53)+G10*ABS(DATOS!$C$54)</f>
        <v>4.91</v>
      </c>
      <c r="H23" s="19">
        <f>ABS(E10*DATOS!$C$55+F10*DATOS!$C$56)+G10*ABS(DATOS!$C$57)</f>
        <v>1.87</v>
      </c>
      <c r="I23" s="19">
        <f>ABS(E10*DATOS!$C$58+F10*DATOS!$C$59)+G10*ABS(DATOS!$C$60)</f>
        <v>1.58</v>
      </c>
      <c r="J23" s="6" t="s">
        <v>216</v>
      </c>
    </row>
    <row r="24" spans="2:10" ht="16.05" customHeight="1" x14ac:dyDescent="0.3">
      <c r="B24" s="17" t="s">
        <v>198</v>
      </c>
      <c r="C24" s="5" t="str">
        <f t="shared" si="0"/>
        <v>1.4D</v>
      </c>
      <c r="D24" s="18" t="str">
        <f t="shared" si="0"/>
        <v>Resistencia</v>
      </c>
      <c r="E24" s="19">
        <f>E11*DATOS!$C$46+F11*DATOS!$C$47+H11*G11*ABS(DATOS!$C$48)</f>
        <v>42</v>
      </c>
      <c r="F24" s="19">
        <f>ABS(E11*DATOS!$C$49+F11*DATOS!$C$50)+G11*ABS(DATOS!$C$51)</f>
        <v>1.12</v>
      </c>
      <c r="G24" s="19">
        <f>ABS(E11*DATOS!$C$52+F11*DATOS!$C$53)+G11*ABS(DATOS!$C$54)</f>
        <v>0.84</v>
      </c>
      <c r="H24" s="19">
        <f>ABS(E11*DATOS!$C$55+F11*DATOS!$C$56)+G11*ABS(DATOS!$C$57)</f>
        <v>0.28</v>
      </c>
      <c r="I24" s="19">
        <f>ABS(E11*DATOS!$C$58+F11*DATOS!$C$59)+G11*ABS(DATOS!$C$60)</f>
        <v>0.42</v>
      </c>
      <c r="J24" s="6" t="s">
        <v>216</v>
      </c>
    </row>
    <row r="25" spans="2:10" ht="16.05" customHeight="1" x14ac:dyDescent="0.3">
      <c r="B25" s="17" t="s">
        <v>201</v>
      </c>
      <c r="C25" s="5" t="str">
        <f t="shared" si="0"/>
        <v>1.2D + 1.6L</v>
      </c>
      <c r="D25" s="18" t="str">
        <f t="shared" si="0"/>
        <v>Resistencia</v>
      </c>
      <c r="E25" s="19">
        <f>E12*DATOS!$C$46+F12*DATOS!$C$47+H12*G12*ABS(DATOS!$C$48)</f>
        <v>55.2</v>
      </c>
      <c r="F25" s="19">
        <f>ABS(E12*DATOS!$C$49+F12*DATOS!$C$50)+G12*ABS(DATOS!$C$51)</f>
        <v>1.6</v>
      </c>
      <c r="G25" s="19">
        <f>ABS(E12*DATOS!$C$52+F12*DATOS!$C$53)+G12*ABS(DATOS!$C$54)</f>
        <v>1.2</v>
      </c>
      <c r="H25" s="19">
        <f>ABS(E12*DATOS!$C$55+F12*DATOS!$C$56)+G12*ABS(DATOS!$C$57)</f>
        <v>0.4</v>
      </c>
      <c r="I25" s="19">
        <f>ABS(E12*DATOS!$C$58+F12*DATOS!$C$59)+G12*ABS(DATOS!$C$60)</f>
        <v>0.52</v>
      </c>
      <c r="J25" s="6" t="s">
        <v>216</v>
      </c>
    </row>
    <row r="26" spans="2:10" ht="16.05" customHeight="1" x14ac:dyDescent="0.3">
      <c r="B26" s="17" t="s">
        <v>203</v>
      </c>
      <c r="C26" s="5" t="str">
        <f t="shared" si="0"/>
        <v>1.2D + 1.0L + 1.0E</v>
      </c>
      <c r="D26" s="18" t="str">
        <f t="shared" si="0"/>
        <v>Resistencia</v>
      </c>
      <c r="E26" s="19">
        <f>E13*DATOS!$C$46+F13*DATOS!$C$47+H13*G13*ABS(DATOS!$C$48)</f>
        <v>54</v>
      </c>
      <c r="F26" s="19">
        <f>ABS(E13*DATOS!$C$49+F13*DATOS!$C$50)+G13*ABS(DATOS!$C$51)</f>
        <v>6.86</v>
      </c>
      <c r="G26" s="19">
        <f>ABS(E13*DATOS!$C$52+F13*DATOS!$C$53)+G13*ABS(DATOS!$C$54)</f>
        <v>7.52</v>
      </c>
      <c r="H26" s="19">
        <f>ABS(E13*DATOS!$C$55+F13*DATOS!$C$56)+G13*ABS(DATOS!$C$57)</f>
        <v>2.84</v>
      </c>
      <c r="I26" s="19">
        <f>ABS(E13*DATOS!$C$58+F13*DATOS!$C$59)+G13*ABS(DATOS!$C$60)</f>
        <v>2.46</v>
      </c>
      <c r="J26" s="6" t="s">
        <v>216</v>
      </c>
    </row>
    <row r="27" spans="2:10" ht="16.05" customHeight="1" x14ac:dyDescent="0.3">
      <c r="B27" s="17" t="s">
        <v>205</v>
      </c>
      <c r="C27" s="5" t="str">
        <f t="shared" si="0"/>
        <v>0.9D + 1.0E  (P de A suma)</v>
      </c>
      <c r="D27" s="18" t="str">
        <f t="shared" si="0"/>
        <v>Resistencia</v>
      </c>
      <c r="E27" s="19">
        <f>E14*DATOS!$C$46+F14*DATOS!$C$47+H14*G14*ABS(DATOS!$C$48)</f>
        <v>33</v>
      </c>
      <c r="F27" s="19">
        <f>ABS(E14*DATOS!$C$49+F14*DATOS!$C$50)+G14*ABS(DATOS!$C$51)</f>
        <v>6.22</v>
      </c>
      <c r="G27" s="19">
        <f>ABS(E14*DATOS!$C$52+F14*DATOS!$C$53)+G14*ABS(DATOS!$C$54)</f>
        <v>7.04</v>
      </c>
      <c r="H27" s="19">
        <f>ABS(E14*DATOS!$C$55+F14*DATOS!$C$56)+G14*ABS(DATOS!$C$57)</f>
        <v>2.68</v>
      </c>
      <c r="I27" s="19">
        <f>ABS(E14*DATOS!$C$58+F14*DATOS!$C$59)+G14*ABS(DATOS!$C$60)</f>
        <v>2.27</v>
      </c>
      <c r="J27" s="6" t="s">
        <v>216</v>
      </c>
    </row>
    <row r="28" spans="2:10" ht="16.05" customHeight="1" x14ac:dyDescent="0.3">
      <c r="B28" s="17" t="s">
        <v>207</v>
      </c>
      <c r="C28" s="5" t="str">
        <f t="shared" si="0"/>
        <v>0.9D + 1.0E  (P de A resta)</v>
      </c>
      <c r="D28" s="18" t="str">
        <f t="shared" si="0"/>
        <v>Resistencia (levantamiento)</v>
      </c>
      <c r="E28" s="19">
        <f>E15*DATOS!$C$46+F15*DATOS!$C$47+H15*G15*ABS(DATOS!$C$48)</f>
        <v>21</v>
      </c>
      <c r="F28" s="19">
        <f>ABS(E15*DATOS!$C$49+F15*DATOS!$C$50)+G15*ABS(DATOS!$C$51)</f>
        <v>6.22</v>
      </c>
      <c r="G28" s="19">
        <f>ABS(E15*DATOS!$C$52+F15*DATOS!$C$53)+G15*ABS(DATOS!$C$54)</f>
        <v>7.04</v>
      </c>
      <c r="H28" s="19">
        <f>ABS(E15*DATOS!$C$55+F15*DATOS!$C$56)+G15*ABS(DATOS!$C$57)</f>
        <v>2.68</v>
      </c>
      <c r="I28" s="19">
        <f>ABS(E15*DATOS!$C$58+F15*DATOS!$C$59)+G15*ABS(DATOS!$C$60)</f>
        <v>2.27</v>
      </c>
      <c r="J28" s="6" t="s">
        <v>216</v>
      </c>
    </row>
    <row r="30" spans="2:10" ht="18" customHeight="1" x14ac:dyDescent="0.3">
      <c r="B30" s="42" t="s">
        <v>217</v>
      </c>
      <c r="C30" s="37"/>
      <c r="D30" s="37"/>
      <c r="E30" s="37"/>
      <c r="F30" s="37"/>
      <c r="G30" s="37"/>
      <c r="H30" s="37"/>
      <c r="I30" s="37"/>
      <c r="J30" s="37"/>
    </row>
    <row r="31" spans="2:10" ht="28.05" customHeight="1" x14ac:dyDescent="0.3">
      <c r="B31" s="1" t="s">
        <v>180</v>
      </c>
      <c r="C31" s="1" t="s">
        <v>181</v>
      </c>
      <c r="D31" s="1" t="s">
        <v>182</v>
      </c>
      <c r="E31" s="1" t="s">
        <v>218</v>
      </c>
      <c r="F31" s="1" t="s">
        <v>219</v>
      </c>
      <c r="G31" s="1" t="s">
        <v>220</v>
      </c>
      <c r="H31" s="1" t="s">
        <v>12</v>
      </c>
      <c r="I31" s="1" t="s">
        <v>12</v>
      </c>
      <c r="J31" s="1" t="s">
        <v>215</v>
      </c>
    </row>
    <row r="32" spans="2:10" ht="16.05" customHeight="1" x14ac:dyDescent="0.3">
      <c r="B32" s="17" t="s">
        <v>187</v>
      </c>
      <c r="C32" s="5" t="str">
        <f t="shared" ref="C32:D41" si="1">C6</f>
        <v>D + L</v>
      </c>
      <c r="D32" s="18" t="str">
        <f t="shared" si="1"/>
        <v>Servicio</v>
      </c>
      <c r="E32" s="19">
        <f>E6*DATOS!$C$74+F6*DATOS!$C$75+H6*G6*ABS(DATOS!$C$76)</f>
        <v>6.5</v>
      </c>
      <c r="F32" s="19">
        <f>ABS(E6*DATOS!$C$77+F6*DATOS!$C$78)+G6*ABS(DATOS!$C$79)</f>
        <v>0</v>
      </c>
      <c r="G32" s="19">
        <f>ABS(E6*DATOS!$C$80+F6*DATOS!$C$81)+G6*ABS(DATOS!$C$82)</f>
        <v>0</v>
      </c>
      <c r="H32" s="18" t="s">
        <v>12</v>
      </c>
      <c r="I32" s="18" t="s">
        <v>12</v>
      </c>
      <c r="J32" s="6" t="s">
        <v>221</v>
      </c>
    </row>
    <row r="33" spans="2:10" ht="16.05" customHeight="1" x14ac:dyDescent="0.3">
      <c r="B33" s="17" t="s">
        <v>190</v>
      </c>
      <c r="C33" s="5" t="str">
        <f t="shared" si="1"/>
        <v>D + 0.7E</v>
      </c>
      <c r="D33" s="18" t="str">
        <f t="shared" si="1"/>
        <v>Servicio</v>
      </c>
      <c r="E33" s="19">
        <f>E7*DATOS!$C$74+F7*DATOS!$C$75+H7*G7*ABS(DATOS!$C$76)</f>
        <v>5.56</v>
      </c>
      <c r="F33" s="19">
        <f>ABS(E7*DATOS!$C$77+F7*DATOS!$C$78)+G7*ABS(DATOS!$C$79)</f>
        <v>0.21</v>
      </c>
      <c r="G33" s="19">
        <f>ABS(E7*DATOS!$C$80+F7*DATOS!$C$81)+G7*ABS(DATOS!$C$82)</f>
        <v>0.28</v>
      </c>
      <c r="H33" s="18" t="s">
        <v>12</v>
      </c>
      <c r="I33" s="18" t="s">
        <v>12</v>
      </c>
      <c r="J33" s="6" t="s">
        <v>221</v>
      </c>
    </row>
    <row r="34" spans="2:10" ht="16.05" customHeight="1" x14ac:dyDescent="0.3">
      <c r="B34" s="17" t="s">
        <v>192</v>
      </c>
      <c r="C34" s="5" t="str">
        <f t="shared" si="1"/>
        <v>D + 0.75L + 0.525E</v>
      </c>
      <c r="D34" s="18" t="str">
        <f t="shared" si="1"/>
        <v>Servicio</v>
      </c>
      <c r="E34" s="19">
        <f>E8*DATOS!$C$74+F8*DATOS!$C$75+H8*G8*ABS(DATOS!$C$76)</f>
        <v>6.545</v>
      </c>
      <c r="F34" s="19">
        <f>ABS(E8*DATOS!$C$77+F8*DATOS!$C$78)+G8*ABS(DATOS!$C$79)</f>
        <v>0.1575</v>
      </c>
      <c r="G34" s="19">
        <f>ABS(E8*DATOS!$C$80+F8*DATOS!$C$81)+G8*ABS(DATOS!$C$82)</f>
        <v>0.21</v>
      </c>
      <c r="H34" s="18" t="s">
        <v>12</v>
      </c>
      <c r="I34" s="18" t="s">
        <v>12</v>
      </c>
      <c r="J34" s="6" t="s">
        <v>221</v>
      </c>
    </row>
    <row r="35" spans="2:10" ht="16.05" customHeight="1" x14ac:dyDescent="0.3">
      <c r="B35" s="17" t="s">
        <v>194</v>
      </c>
      <c r="C35" s="5" t="str">
        <f t="shared" si="1"/>
        <v>0.6D + 0.7E  (P de A suma)</v>
      </c>
      <c r="D35" s="18" t="str">
        <f t="shared" si="1"/>
        <v>Servicio</v>
      </c>
      <c r="E35" s="19">
        <f>E9*DATOS!$C$74+F9*DATOS!$C$75+H9*G9*ABS(DATOS!$C$76)</f>
        <v>3.56</v>
      </c>
      <c r="F35" s="19">
        <f>ABS(E9*DATOS!$C$77+F9*DATOS!$C$78)+G9*ABS(DATOS!$C$79)</f>
        <v>0.21</v>
      </c>
      <c r="G35" s="19">
        <f>ABS(E9*DATOS!$C$80+F9*DATOS!$C$81)+G9*ABS(DATOS!$C$82)</f>
        <v>0.28</v>
      </c>
      <c r="H35" s="18" t="s">
        <v>12</v>
      </c>
      <c r="I35" s="18" t="s">
        <v>12</v>
      </c>
      <c r="J35" s="6" t="s">
        <v>221</v>
      </c>
    </row>
    <row r="36" spans="2:10" ht="16.05" customHeight="1" x14ac:dyDescent="0.3">
      <c r="B36" s="17" t="s">
        <v>196</v>
      </c>
      <c r="C36" s="5" t="str">
        <f t="shared" si="1"/>
        <v>0.6D + 0.7E  (P de A resta)</v>
      </c>
      <c r="D36" s="18" t="str">
        <f t="shared" si="1"/>
        <v>Servicio (levantamiento)</v>
      </c>
      <c r="E36" s="19">
        <f>E10*DATOS!$C$74+F10*DATOS!$C$75+H10*G10*ABS(DATOS!$C$76)</f>
        <v>2.44</v>
      </c>
      <c r="F36" s="19">
        <f>ABS(E10*DATOS!$C$77+F10*DATOS!$C$78)+G10*ABS(DATOS!$C$79)</f>
        <v>0.21</v>
      </c>
      <c r="G36" s="19">
        <f>ABS(E10*DATOS!$C$80+F10*DATOS!$C$81)+G10*ABS(DATOS!$C$82)</f>
        <v>0.28</v>
      </c>
      <c r="H36" s="18" t="s">
        <v>12</v>
      </c>
      <c r="I36" s="18" t="s">
        <v>12</v>
      </c>
      <c r="J36" s="6" t="s">
        <v>221</v>
      </c>
    </row>
    <row r="37" spans="2:10" ht="16.05" customHeight="1" x14ac:dyDescent="0.3">
      <c r="B37" s="17" t="s">
        <v>198</v>
      </c>
      <c r="C37" s="5" t="str">
        <f t="shared" si="1"/>
        <v>1.4D</v>
      </c>
      <c r="D37" s="18" t="str">
        <f t="shared" si="1"/>
        <v>Resistencia</v>
      </c>
      <c r="E37" s="19">
        <f>E11*DATOS!$C$74+F11*DATOS!$C$75+H11*G11*ABS(DATOS!$C$76)</f>
        <v>7</v>
      </c>
      <c r="F37" s="19">
        <f>ABS(E11*DATOS!$C$77+F11*DATOS!$C$78)+G11*ABS(DATOS!$C$79)</f>
        <v>0</v>
      </c>
      <c r="G37" s="19">
        <f>ABS(E11*DATOS!$C$80+F11*DATOS!$C$81)+G11*ABS(DATOS!$C$82)</f>
        <v>0</v>
      </c>
      <c r="H37" s="18" t="s">
        <v>12</v>
      </c>
      <c r="I37" s="18" t="s">
        <v>12</v>
      </c>
      <c r="J37" s="6" t="s">
        <v>221</v>
      </c>
    </row>
    <row r="38" spans="2:10" ht="16.05" customHeight="1" x14ac:dyDescent="0.3">
      <c r="B38" s="17" t="s">
        <v>201</v>
      </c>
      <c r="C38" s="5" t="str">
        <f t="shared" si="1"/>
        <v>1.2D + 1.6L</v>
      </c>
      <c r="D38" s="18" t="str">
        <f t="shared" si="1"/>
        <v>Resistencia</v>
      </c>
      <c r="E38" s="19">
        <f>E12*DATOS!$C$74+F12*DATOS!$C$75+H12*G12*ABS(DATOS!$C$76)</f>
        <v>8.4</v>
      </c>
      <c r="F38" s="19">
        <f>ABS(E12*DATOS!$C$77+F12*DATOS!$C$78)+G12*ABS(DATOS!$C$79)</f>
        <v>0</v>
      </c>
      <c r="G38" s="19">
        <f>ABS(E12*DATOS!$C$80+F12*DATOS!$C$81)+G12*ABS(DATOS!$C$82)</f>
        <v>0</v>
      </c>
      <c r="H38" s="18" t="s">
        <v>12</v>
      </c>
      <c r="I38" s="18" t="s">
        <v>12</v>
      </c>
      <c r="J38" s="6" t="s">
        <v>221</v>
      </c>
    </row>
    <row r="39" spans="2:10" ht="16.05" customHeight="1" x14ac:dyDescent="0.3">
      <c r="B39" s="17" t="s">
        <v>203</v>
      </c>
      <c r="C39" s="5" t="str">
        <f t="shared" si="1"/>
        <v>1.2D + 1.0L + 1.0E</v>
      </c>
      <c r="D39" s="18" t="str">
        <f t="shared" si="1"/>
        <v>Resistencia</v>
      </c>
      <c r="E39" s="19">
        <f>E13*DATOS!$C$74+F13*DATOS!$C$75+H13*G13*ABS(DATOS!$C$76)</f>
        <v>8.3</v>
      </c>
      <c r="F39" s="19">
        <f>ABS(E13*DATOS!$C$77+F13*DATOS!$C$78)+G13*ABS(DATOS!$C$79)</f>
        <v>0.3</v>
      </c>
      <c r="G39" s="19">
        <f>ABS(E13*DATOS!$C$80+F13*DATOS!$C$81)+G13*ABS(DATOS!$C$82)</f>
        <v>0.4</v>
      </c>
      <c r="H39" s="18" t="s">
        <v>12</v>
      </c>
      <c r="I39" s="18" t="s">
        <v>12</v>
      </c>
      <c r="J39" s="6" t="s">
        <v>221</v>
      </c>
    </row>
    <row r="40" spans="2:10" ht="16.05" customHeight="1" x14ac:dyDescent="0.3">
      <c r="B40" s="17" t="s">
        <v>205</v>
      </c>
      <c r="C40" s="5" t="str">
        <f t="shared" si="1"/>
        <v>0.9D + 1.0E  (P de A suma)</v>
      </c>
      <c r="D40" s="18" t="str">
        <f t="shared" si="1"/>
        <v>Resistencia</v>
      </c>
      <c r="E40" s="19">
        <f>E14*DATOS!$C$74+F14*DATOS!$C$75+H14*G14*ABS(DATOS!$C$76)</f>
        <v>5.3</v>
      </c>
      <c r="F40" s="19">
        <f>ABS(E14*DATOS!$C$77+F14*DATOS!$C$78)+G14*ABS(DATOS!$C$79)</f>
        <v>0.3</v>
      </c>
      <c r="G40" s="19">
        <f>ABS(E14*DATOS!$C$80+F14*DATOS!$C$81)+G14*ABS(DATOS!$C$82)</f>
        <v>0.4</v>
      </c>
      <c r="H40" s="18" t="s">
        <v>12</v>
      </c>
      <c r="I40" s="18" t="s">
        <v>12</v>
      </c>
      <c r="J40" s="6" t="s">
        <v>221</v>
      </c>
    </row>
    <row r="41" spans="2:10" ht="16.05" customHeight="1" x14ac:dyDescent="0.3">
      <c r="B41" s="17" t="s">
        <v>207</v>
      </c>
      <c r="C41" s="5" t="str">
        <f t="shared" si="1"/>
        <v>0.9D + 1.0E  (P de A resta)</v>
      </c>
      <c r="D41" s="18" t="str">
        <f t="shared" si="1"/>
        <v>Resistencia (levantamiento)</v>
      </c>
      <c r="E41" s="19">
        <f>E15*DATOS!$C$74+F15*DATOS!$C$75+H15*G15*ABS(DATOS!$C$76)</f>
        <v>3.7</v>
      </c>
      <c r="F41" s="19">
        <f>ABS(E15*DATOS!$C$77+F15*DATOS!$C$78)+G15*ABS(DATOS!$C$79)</f>
        <v>0.3</v>
      </c>
      <c r="G41" s="19">
        <f>ABS(E15*DATOS!$C$80+F15*DATOS!$C$81)+G15*ABS(DATOS!$C$82)</f>
        <v>0.4</v>
      </c>
      <c r="H41" s="18" t="s">
        <v>12</v>
      </c>
      <c r="I41" s="18" t="s">
        <v>12</v>
      </c>
      <c r="J41" s="6" t="s">
        <v>221</v>
      </c>
    </row>
  </sheetData>
  <mergeCells count="5">
    <mergeCell ref="B17:J17"/>
    <mergeCell ref="B1:J1"/>
    <mergeCell ref="B4:J4"/>
    <mergeCell ref="B30:J30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30"/>
  <sheetViews>
    <sheetView showGridLines="0" topLeftCell="A117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222</v>
      </c>
      <c r="C1" s="37"/>
      <c r="D1" s="37"/>
      <c r="E1" s="37"/>
      <c r="F1" s="37"/>
      <c r="H1" s="44" t="s">
        <v>223</v>
      </c>
      <c r="I1" s="37"/>
      <c r="J1" s="37"/>
      <c r="K1" s="37"/>
      <c r="L1" s="37"/>
      <c r="M1" s="37"/>
      <c r="N1" s="37"/>
    </row>
    <row r="2" spans="2:14" ht="36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224</v>
      </c>
      <c r="I2" s="37"/>
      <c r="J2" s="37"/>
      <c r="K2" s="37"/>
      <c r="L2" s="37"/>
      <c r="M2" s="37"/>
      <c r="N2" s="37"/>
    </row>
    <row r="3" spans="2:14" ht="25.95" customHeight="1" x14ac:dyDescent="0.3">
      <c r="B3" s="40" t="s">
        <v>225</v>
      </c>
      <c r="C3" s="37"/>
      <c r="D3" s="37"/>
      <c r="E3" s="37"/>
      <c r="F3" s="37"/>
    </row>
    <row r="4" spans="2:14" ht="18" customHeight="1" x14ac:dyDescent="0.3">
      <c r="H4" s="44" t="s">
        <v>226</v>
      </c>
      <c r="I4" s="37"/>
      <c r="J4" s="37"/>
      <c r="K4" s="37"/>
      <c r="L4" s="37"/>
      <c r="M4" s="37"/>
      <c r="N4" s="37"/>
    </row>
    <row r="5" spans="2:14" ht="18" customHeight="1" x14ac:dyDescent="0.3">
      <c r="B5" s="38" t="s">
        <v>227</v>
      </c>
      <c r="C5" s="37"/>
      <c r="D5" s="37"/>
      <c r="E5" s="37"/>
      <c r="F5" s="37"/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22.8" x14ac:dyDescent="0.3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ht="27.75" customHeight="1" x14ac:dyDescent="0.3">
      <c r="B7" s="2" t="s">
        <v>229</v>
      </c>
      <c r="C7" s="14">
        <v>2.6</v>
      </c>
      <c r="D7" s="4" t="s">
        <v>124</v>
      </c>
      <c r="E7" s="5" t="s">
        <v>230</v>
      </c>
      <c r="F7" s="6" t="s">
        <v>231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15.45" customHeight="1" x14ac:dyDescent="0.3">
      <c r="B8" s="2" t="s">
        <v>232</v>
      </c>
      <c r="C8" s="14">
        <v>2.6</v>
      </c>
      <c r="D8" s="4" t="s">
        <v>124</v>
      </c>
      <c r="E8" s="5" t="s">
        <v>53</v>
      </c>
      <c r="F8" s="6" t="s">
        <v>231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</v>
      </c>
      <c r="L8" s="20">
        <f>COMBINACIONES!$G$9</f>
        <v>0.7</v>
      </c>
      <c r="M8" s="20">
        <f>COMBINACIONES!$G$10</f>
        <v>0.7</v>
      </c>
      <c r="N8" s="24"/>
    </row>
    <row r="9" spans="2:14" ht="27.75" customHeight="1" x14ac:dyDescent="0.3">
      <c r="B9" s="2" t="s">
        <v>233</v>
      </c>
      <c r="C9" s="14">
        <v>0.5</v>
      </c>
      <c r="D9" s="4" t="s">
        <v>124</v>
      </c>
      <c r="E9" s="5" t="s">
        <v>234</v>
      </c>
      <c r="F9" s="6" t="s">
        <v>235</v>
      </c>
      <c r="H9" s="5" t="s">
        <v>236</v>
      </c>
      <c r="I9" s="19">
        <f>COMBINACIONES!$E$19</f>
        <v>42</v>
      </c>
      <c r="J9" s="19">
        <f>COMBINACIONES!$E$20</f>
        <v>34.2</v>
      </c>
      <c r="K9" s="19">
        <f>COMBINACIONES!$E$21</f>
        <v>42.15</v>
      </c>
      <c r="L9" s="19">
        <f>COMBINACIONES!$E$22</f>
        <v>22.2</v>
      </c>
      <c r="M9" s="19">
        <f>COMBINACIONES!$E$23</f>
        <v>13.8</v>
      </c>
      <c r="N9" s="24" t="s">
        <v>96</v>
      </c>
    </row>
    <row r="10" spans="2:14" ht="27.75" customHeight="1" x14ac:dyDescent="0.3">
      <c r="B10" s="2" t="s">
        <v>237</v>
      </c>
      <c r="C10" s="14">
        <v>1.5</v>
      </c>
      <c r="D10" s="4" t="s">
        <v>124</v>
      </c>
      <c r="E10" s="5" t="s">
        <v>238</v>
      </c>
      <c r="F10" s="6" t="s">
        <v>239</v>
      </c>
      <c r="H10" s="5" t="s">
        <v>240</v>
      </c>
      <c r="I10" s="19">
        <f>COMBINACIONES!$F$19</f>
        <v>1.2</v>
      </c>
      <c r="J10" s="19">
        <f>COMBINACIONES!$F$20</f>
        <v>4.65</v>
      </c>
      <c r="K10" s="19">
        <f>COMBINACIONES!$F$21</f>
        <v>3.9875</v>
      </c>
      <c r="L10" s="19">
        <f>COMBINACIONES!$F$22</f>
        <v>4.33</v>
      </c>
      <c r="M10" s="19">
        <f>COMBINACIONES!$F$23</f>
        <v>4.33</v>
      </c>
      <c r="N10" s="24" t="s">
        <v>104</v>
      </c>
    </row>
    <row r="11" spans="2:14" ht="15.45" customHeight="1" x14ac:dyDescent="0.3">
      <c r="B11" s="2" t="s">
        <v>241</v>
      </c>
      <c r="C11" s="16">
        <v>7.5</v>
      </c>
      <c r="D11" s="4" t="s">
        <v>137</v>
      </c>
      <c r="E11" s="5" t="s">
        <v>242</v>
      </c>
      <c r="F11" s="6" t="s">
        <v>243</v>
      </c>
      <c r="H11" s="5" t="s">
        <v>244</v>
      </c>
      <c r="I11" s="19">
        <f>COMBINACIONES!$G$19</f>
        <v>0.9</v>
      </c>
      <c r="J11" s="19">
        <f>COMBINACIONES!$G$20</f>
        <v>5.15</v>
      </c>
      <c r="K11" s="19">
        <f>COMBINACIONES!$G$21</f>
        <v>4.2375</v>
      </c>
      <c r="L11" s="19">
        <f>COMBINACIONES!$G$22</f>
        <v>4.91</v>
      </c>
      <c r="M11" s="19">
        <f>COMBINACIONES!$G$23</f>
        <v>4.91</v>
      </c>
      <c r="N11" s="24" t="s">
        <v>104</v>
      </c>
    </row>
    <row r="12" spans="2:14" ht="27.75" customHeight="1" x14ac:dyDescent="0.3">
      <c r="B12" s="2" t="s">
        <v>245</v>
      </c>
      <c r="C12" s="16">
        <v>7.5</v>
      </c>
      <c r="D12" s="4" t="s">
        <v>137</v>
      </c>
      <c r="E12" s="5" t="s">
        <v>246</v>
      </c>
      <c r="F12" s="6" t="s">
        <v>247</v>
      </c>
      <c r="H12" s="5" t="s">
        <v>248</v>
      </c>
      <c r="I12" s="19">
        <f>COMBINACIONES!$H$19</f>
        <v>0.3</v>
      </c>
      <c r="J12" s="19">
        <f>COMBINACIONES!$H$20</f>
        <v>1.95</v>
      </c>
      <c r="K12" s="19">
        <f>COMBINACIONES!$H$21</f>
        <v>1.5875</v>
      </c>
      <c r="L12" s="19">
        <f>COMBINACIONES!$H$22</f>
        <v>1.87</v>
      </c>
      <c r="M12" s="19">
        <f>COMBINACIONES!$H$23</f>
        <v>1.87</v>
      </c>
      <c r="N12" s="24" t="s">
        <v>96</v>
      </c>
    </row>
    <row r="13" spans="2:14" ht="27.75" customHeight="1" x14ac:dyDescent="0.3">
      <c r="B13" s="2" t="s">
        <v>249</v>
      </c>
      <c r="C13" s="16">
        <v>5</v>
      </c>
      <c r="D13" s="4" t="s">
        <v>137</v>
      </c>
      <c r="E13" s="5" t="s">
        <v>250</v>
      </c>
      <c r="F13" s="6" t="s">
        <v>247</v>
      </c>
      <c r="H13" s="5" t="s">
        <v>251</v>
      </c>
      <c r="I13" s="19">
        <f>COMBINACIONES!$I$19</f>
        <v>0.4</v>
      </c>
      <c r="J13" s="19">
        <f>COMBINACIONES!$I$20</f>
        <v>1.7</v>
      </c>
      <c r="K13" s="19">
        <f>COMBINACIONES!$I$21</f>
        <v>1.425</v>
      </c>
      <c r="L13" s="19">
        <f>COMBINACIONES!$I$22</f>
        <v>1.58</v>
      </c>
      <c r="M13" s="19">
        <f>COMBINACIONES!$I$23</f>
        <v>1.58</v>
      </c>
      <c r="N13" s="24" t="s">
        <v>96</v>
      </c>
    </row>
    <row r="14" spans="2:14" ht="27.75" customHeight="1" x14ac:dyDescent="0.3">
      <c r="B14" s="2" t="s">
        <v>252</v>
      </c>
      <c r="C14" s="9">
        <v>0</v>
      </c>
      <c r="D14" s="4" t="s">
        <v>12</v>
      </c>
      <c r="E14" s="5" t="s">
        <v>253</v>
      </c>
      <c r="F14" s="6" t="s">
        <v>254</v>
      </c>
      <c r="H14" s="5" t="s">
        <v>255</v>
      </c>
      <c r="I14" s="19">
        <f>I7*$C$54</f>
        <v>19.218</v>
      </c>
      <c r="J14" s="19">
        <f>J7*$C$54</f>
        <v>19.218</v>
      </c>
      <c r="K14" s="19">
        <f>K7*$C$54</f>
        <v>19.218</v>
      </c>
      <c r="L14" s="19">
        <f>L7*$C$54</f>
        <v>11.5308</v>
      </c>
      <c r="M14" s="19">
        <f>M7*$C$54</f>
        <v>11.5308</v>
      </c>
      <c r="N14" s="24" t="s">
        <v>96</v>
      </c>
    </row>
    <row r="15" spans="2:14" ht="15.45" customHeight="1" x14ac:dyDescent="0.3">
      <c r="B15" s="2" t="s">
        <v>256</v>
      </c>
      <c r="C15" s="10">
        <f>$C$7*$C$8</f>
        <v>6.76</v>
      </c>
      <c r="D15" s="4" t="s">
        <v>257</v>
      </c>
      <c r="E15" s="5" t="s">
        <v>258</v>
      </c>
      <c r="F15" s="6" t="s">
        <v>259</v>
      </c>
      <c r="H15" s="5" t="s">
        <v>260</v>
      </c>
      <c r="I15" s="19">
        <f>I9+I14</f>
        <v>61.218</v>
      </c>
      <c r="J15" s="19">
        <f>J9+J14</f>
        <v>53.418</v>
      </c>
      <c r="K15" s="19">
        <f>K9+K14</f>
        <v>61.368</v>
      </c>
      <c r="L15" s="19">
        <f>L9+L14</f>
        <v>33.7308</v>
      </c>
      <c r="M15" s="19">
        <f>M9+M14</f>
        <v>25.3308</v>
      </c>
      <c r="N15" s="24" t="s">
        <v>96</v>
      </c>
    </row>
    <row r="16" spans="2:14" ht="15.45" customHeight="1" x14ac:dyDescent="0.3">
      <c r="B16" s="2" t="s">
        <v>261</v>
      </c>
      <c r="C16" s="9">
        <f>$C$10-$C$9</f>
        <v>1</v>
      </c>
      <c r="D16" s="4" t="s">
        <v>124</v>
      </c>
      <c r="E16" s="5" t="s">
        <v>262</v>
      </c>
      <c r="F16" s="6" t="s">
        <v>259</v>
      </c>
      <c r="H16" s="5" t="s">
        <v>263</v>
      </c>
      <c r="I16" s="19">
        <f>(1-$C$14)*(I10+I13*$C$18)</f>
        <v>1.86</v>
      </c>
      <c r="J16" s="19">
        <f>(1-$C$14)*(J10+J13*$C$18)</f>
        <v>7.455</v>
      </c>
      <c r="K16" s="19">
        <f>(1-$C$14)*(K10+K13*$C$18)</f>
        <v>6.33875</v>
      </c>
      <c r="L16" s="19">
        <f>(1-$C$14)*(L10+L13*$C$18)</f>
        <v>6.937</v>
      </c>
      <c r="M16" s="19">
        <f>(1-$C$14)*(M10+M13*$C$18)</f>
        <v>6.937</v>
      </c>
      <c r="N16" s="24" t="s">
        <v>104</v>
      </c>
    </row>
    <row r="17" spans="2:14" ht="27.75" customHeight="1" x14ac:dyDescent="0.3">
      <c r="B17" s="2" t="s">
        <v>264</v>
      </c>
      <c r="C17" s="9">
        <f>$C$10-$C$9+DATOS!$C$66</f>
        <v>1.15</v>
      </c>
      <c r="D17" s="4" t="s">
        <v>124</v>
      </c>
      <c r="E17" s="5" t="s">
        <v>265</v>
      </c>
      <c r="F17" s="6" t="s">
        <v>259</v>
      </c>
      <c r="H17" s="5" t="s">
        <v>266</v>
      </c>
      <c r="I17" s="19">
        <f>(1-$C$14)*(I11+I12*$C$18)</f>
        <v>1.395</v>
      </c>
      <c r="J17" s="19">
        <f>(1-$C$14)*(J11+J12*$C$18)</f>
        <v>8.3675</v>
      </c>
      <c r="K17" s="19">
        <f>(1-$C$14)*(K11+K12*$C$18)</f>
        <v>6.856875</v>
      </c>
      <c r="L17" s="19">
        <f>(1-$C$14)*(L11+L12*$C$18)</f>
        <v>7.9955</v>
      </c>
      <c r="M17" s="19">
        <f>(1-$C$14)*(M11+M12*$C$18)</f>
        <v>7.9955</v>
      </c>
      <c r="N17" s="24" t="s">
        <v>104</v>
      </c>
    </row>
    <row r="18" spans="2:14" ht="27.75" customHeight="1" x14ac:dyDescent="0.3">
      <c r="B18" s="2" t="s">
        <v>267</v>
      </c>
      <c r="C18" s="9">
        <f>IF(DATOS!$C$70="CARA SUPERIOR DEL DADO",$C$17+$C$9,$C$9)</f>
        <v>1.65</v>
      </c>
      <c r="D18" s="4" t="s">
        <v>124</v>
      </c>
      <c r="E18" s="5" t="s">
        <v>268</v>
      </c>
      <c r="F18" s="6" t="s">
        <v>269</v>
      </c>
      <c r="H18" s="5" t="s">
        <v>270</v>
      </c>
      <c r="I18" s="20">
        <f>IF(I15&gt;0,I17/I15,99)</f>
        <v>0.0227874154660394</v>
      </c>
      <c r="J18" s="20">
        <f>IF(J15&gt;0,J17/J15,99)</f>
        <v>0.156641955895017</v>
      </c>
      <c r="K18" s="20">
        <f>IF(K15&gt;0,K17/K15,99)</f>
        <v>0.111733721157607</v>
      </c>
      <c r="L18" s="20">
        <f>IF(L15&gt;0,L17/L15,99)</f>
        <v>0.237038552302347</v>
      </c>
      <c r="M18" s="20">
        <f>IF(M15&gt;0,M17/M15,99)</f>
        <v>0.315643406445908</v>
      </c>
      <c r="N18" s="24" t="s">
        <v>124</v>
      </c>
    </row>
    <row r="19" spans="2:14" ht="27.75" customHeight="1" x14ac:dyDescent="0.3">
      <c r="B19" s="2" t="s">
        <v>271</v>
      </c>
      <c r="C19" s="9">
        <f>IF(DATOS!$C$70="CARA SUPERIOR DEL DADO",$C$17,0)</f>
        <v>1.15</v>
      </c>
      <c r="D19" s="4" t="s">
        <v>124</v>
      </c>
      <c r="E19" s="5" t="s">
        <v>272</v>
      </c>
      <c r="F19" s="6" t="s">
        <v>273</v>
      </c>
      <c r="H19" s="5" t="s">
        <v>274</v>
      </c>
      <c r="I19" s="20">
        <f>IF(I15&gt;0,I16/I15,99)</f>
        <v>0.0303832206213859</v>
      </c>
      <c r="J19" s="20">
        <f>IF(J15&gt;0,J16/J15,99)</f>
        <v>0.139559698977873</v>
      </c>
      <c r="K19" s="20">
        <f>IF(K15&gt;0,K16/K15,99)</f>
        <v>0.103290803024378</v>
      </c>
      <c r="L19" s="20">
        <f>IF(L15&gt;0,L16/L15,99)</f>
        <v>0.205657737142315</v>
      </c>
      <c r="M19" s="20">
        <f>IF(M15&gt;0,M16/M15,99)</f>
        <v>0.273856333001721</v>
      </c>
      <c r="N19" s="24" t="s">
        <v>124</v>
      </c>
    </row>
    <row r="20" spans="2:14" ht="15.45" customHeight="1" x14ac:dyDescent="0.3">
      <c r="B20" s="2" t="s">
        <v>275</v>
      </c>
      <c r="C20" s="10">
        <f>MAX($C$7,$C$8)/MIN($C$7,$C$8)</f>
        <v>1</v>
      </c>
      <c r="D20" s="4" t="s">
        <v>12</v>
      </c>
      <c r="E20" s="5" t="s">
        <v>276</v>
      </c>
      <c r="F20" s="6" t="s">
        <v>277</v>
      </c>
      <c r="H20" s="5" t="s">
        <v>278</v>
      </c>
      <c r="I20" s="20">
        <f>6*I18/$C$7+6*I19/$C$8</f>
        <v>0.122701467894058</v>
      </c>
      <c r="J20" s="20">
        <f>6*J18/$C$7+6*J19/$C$8</f>
        <v>0.683542280475898</v>
      </c>
      <c r="K20" s="20">
        <f>6*K18/$C$7+6*K19/$C$8</f>
        <v>0.496210440419963</v>
      </c>
      <c r="L20" s="20">
        <f>6*L18/$C$7+6*L19/$C$8</f>
        <v>1.02160682179537</v>
      </c>
      <c r="M20" s="20">
        <f>6*M18/$C$7+6*M19/$C$8</f>
        <v>1.36038401410991</v>
      </c>
      <c r="N20" s="24" t="s">
        <v>12</v>
      </c>
    </row>
    <row r="21" spans="2:14" ht="27.75" customHeight="1" x14ac:dyDescent="0.3">
      <c r="B21" s="2" t="s">
        <v>279</v>
      </c>
      <c r="C21" s="15">
        <f>$C$7*$C$8^3/12</f>
        <v>3.80813333333333</v>
      </c>
      <c r="D21" s="4" t="s">
        <v>280</v>
      </c>
      <c r="E21" s="5" t="s">
        <v>281</v>
      </c>
      <c r="F21" s="6" t="s">
        <v>282</v>
      </c>
      <c r="H21" s="5" t="s">
        <v>283</v>
      </c>
      <c r="I21" s="20">
        <f>IF(I18&lt;=$C$7/6,1+6*I18/$C$7,IF(I18&lt;$C$7/2,4*$C$7/(3*($C$7-2*I18)),999))</f>
        <v>1.05258634338317</v>
      </c>
      <c r="J21" s="20">
        <f>IF(J18&lt;=$C$7/6,1+6*J18/$C$7,IF(J18&lt;$C$7/2,4*$C$7/(3*($C$7-2*J18)),999))</f>
        <v>1.36148143668081</v>
      </c>
      <c r="K21" s="20">
        <f>IF(K18&lt;=$C$7/6,1+6*K18/$C$7,IF(K18&lt;$C$7/2,4*$C$7/(3*($C$7-2*K18)),999))</f>
        <v>1.25784704882525</v>
      </c>
      <c r="L21" s="20">
        <f>IF(L18&lt;=$C$7/6,1+6*L18/$C$7,IF(L18&lt;$C$7/2,4*$C$7/(3*($C$7-2*L18)),999))</f>
        <v>1.54701204377465</v>
      </c>
      <c r="M21" s="20">
        <f>IF(M18&lt;=$C$7/6,1+6*M18/$C$7,IF(M18&lt;$C$7/2,4*$C$7/(3*($C$7-2*M18)),999))</f>
        <v>1.72840786102902</v>
      </c>
      <c r="N21" s="24" t="s">
        <v>12</v>
      </c>
    </row>
    <row r="22" spans="2:14" ht="27.75" customHeight="1" x14ac:dyDescent="0.3">
      <c r="B22" s="2" t="s">
        <v>284</v>
      </c>
      <c r="C22" s="15">
        <f>$C$8*$C$7^3/12</f>
        <v>3.80813333333333</v>
      </c>
      <c r="D22" s="4" t="s">
        <v>280</v>
      </c>
      <c r="E22" s="5" t="s">
        <v>285</v>
      </c>
      <c r="F22" s="6" t="s">
        <v>282</v>
      </c>
      <c r="H22" s="5" t="s">
        <v>286</v>
      </c>
      <c r="I22" s="20">
        <f>IF(I19&lt;=$C$8/6,1+6*I19/$C$8,IF(I19&lt;$C$8/2,4*$C$8/(3*($C$8-2*I19)),999))</f>
        <v>1.07011512451089</v>
      </c>
      <c r="J22" s="20">
        <f>IF(J19&lt;=$C$8/6,1+6*J19/$C$8,IF(J19&lt;$C$8/2,4*$C$8/(3*($C$8-2*J19)),999))</f>
        <v>1.32206084379509</v>
      </c>
      <c r="K22" s="20">
        <f>IF(K19&lt;=$C$8/6,1+6*K19/$C$8,IF(K19&lt;$C$8/2,4*$C$8/(3*($C$8-2*K19)),999))</f>
        <v>1.23836339159472</v>
      </c>
      <c r="L22" s="20">
        <f>IF(L19&lt;=$C$8/6,1+6*L19/$C$8,IF(L19&lt;$C$8/2,4*$C$8/(3*($C$8-2*L19)),999))</f>
        <v>1.47459477802073</v>
      </c>
      <c r="M22" s="20">
        <f>IF(M19&lt;=$C$8/6,1+6*M19/$C$8,IF(M19&lt;$C$8/2,4*$C$8/(3*($C$8-2*M19)),999))</f>
        <v>1.6319761530809</v>
      </c>
      <c r="N22" s="24" t="s">
        <v>12</v>
      </c>
    </row>
    <row r="23" spans="2:14" ht="27.75" customHeight="1" x14ac:dyDescent="0.3">
      <c r="B23" s="2" t="s">
        <v>287</v>
      </c>
      <c r="C23" s="10">
        <f>DATOS!$C$64/2</f>
        <v>0.25</v>
      </c>
      <c r="D23" s="4" t="s">
        <v>124</v>
      </c>
      <c r="E23" s="5" t="s">
        <v>288</v>
      </c>
      <c r="F23" s="6" t="s">
        <v>126</v>
      </c>
      <c r="H23" s="5" t="s">
        <v>289</v>
      </c>
      <c r="I23" s="19">
        <f>IF(I15&lt;=0,999,IF(I20&lt;=1,I15/$C$15*(1+I20),MIN(999,I15/$C$15*I21*I22)))</f>
        <v>10.1670914883933</v>
      </c>
      <c r="J23" s="19">
        <f>IF(J15&lt;=0,999,IF(J20&lt;=1,J15/$C$15*(1+J20),MIN(999,J15/$C$15*J21*J22)))</f>
        <v>13.3034706417843</v>
      </c>
      <c r="K23" s="19">
        <f>IF(K15&lt;=0,999,IF(K20&lt;=1,K15/$C$15*(1+K20),MIN(999,K15/$C$15*K21*K22)))</f>
        <v>13.5827577378243</v>
      </c>
      <c r="L23" s="19">
        <f>IF(L15&lt;=0,999,IF(L20&lt;=1,L15/$C$15*(1+L20),MIN(999,L15/$C$15*L21*L22)))</f>
        <v>11.3827273148605</v>
      </c>
      <c r="M23" s="19">
        <f>IF(M15&lt;=0,999,IF(M20&lt;=1,M15/$C$15*(1+M20),MIN(999,M15/$C$15*M21*M22)))</f>
        <v>10.5696900313922</v>
      </c>
      <c r="N23" s="24" t="s">
        <v>64</v>
      </c>
    </row>
    <row r="24" spans="2:14" ht="27.75" customHeight="1" x14ac:dyDescent="0.3">
      <c r="B24" s="2" t="s">
        <v>290</v>
      </c>
      <c r="C24" s="10">
        <f>DATOS!$C$65/2</f>
        <v>0.25</v>
      </c>
      <c r="D24" s="4" t="s">
        <v>124</v>
      </c>
      <c r="E24" s="5" t="s">
        <v>291</v>
      </c>
      <c r="F24" s="6" t="s">
        <v>126</v>
      </c>
      <c r="H24" s="5" t="s">
        <v>292</v>
      </c>
      <c r="I24" s="19">
        <f>IF(I15&lt;=0,0,IF(I20&lt;=1,I15/$C$15*(1-I20),0))</f>
        <v>7.94474283113336</v>
      </c>
      <c r="J24" s="19">
        <f>IF(J15&lt;=0,0,IF(J20&lt;=1,J15/$C$15*(1-J20),0))</f>
        <v>2.50067137005007</v>
      </c>
      <c r="K24" s="19">
        <f>IF(K15&lt;=0,0,IF(K20&lt;=1,K15/$C$15*(1-K20),0))</f>
        <v>4.57345527992717</v>
      </c>
      <c r="L24" s="19">
        <f>IF(L15&lt;=0,0,IF(L20&lt;=1,L15/$C$15*(1-L20),0))</f>
        <v>0</v>
      </c>
      <c r="M24" s="19">
        <f>IF(M15&lt;=0,0,IF(M20&lt;=1,M15/$C$15*(1-M20),0))</f>
        <v>0</v>
      </c>
      <c r="N24" s="24" t="s">
        <v>64</v>
      </c>
    </row>
    <row r="25" spans="2:14" ht="15.45" customHeight="1" x14ac:dyDescent="0.3">
      <c r="B25" s="2" t="s">
        <v>293</v>
      </c>
      <c r="C25" s="10">
        <f>$C$7/2-$C$23</f>
        <v>1.05</v>
      </c>
      <c r="D25" s="4" t="s">
        <v>124</v>
      </c>
      <c r="E25" s="5" t="s">
        <v>294</v>
      </c>
      <c r="F25" s="6" t="s">
        <v>259</v>
      </c>
      <c r="H25" s="5" t="s">
        <v>295</v>
      </c>
      <c r="I25" s="18" t="str">
        <f>IF(I20&lt;=1,"TOTAL","PARCIAL")</f>
        <v>TOTAL</v>
      </c>
      <c r="J25" s="18" t="str">
        <f>IF(J20&lt;=1,"TOTAL","PARCIAL")</f>
        <v>TOTAL</v>
      </c>
      <c r="K25" s="18" t="str">
        <f>IF(K20&lt;=1,"TOTAL","PARCIAL")</f>
        <v>TOTAL</v>
      </c>
      <c r="L25" s="18" t="str">
        <f>IF(L20&lt;=1,"TOTAL","PARCIAL")</f>
        <v>PARCIAL</v>
      </c>
      <c r="M25" s="18" t="str">
        <f>IF(M20&lt;=1,"TOTAL","PARCIAL")</f>
        <v>PARCIAL</v>
      </c>
      <c r="N25" s="24"/>
    </row>
    <row r="26" spans="2:14" ht="15.45" customHeight="1" x14ac:dyDescent="0.3">
      <c r="B26" s="2" t="s">
        <v>296</v>
      </c>
      <c r="C26" s="10">
        <f>$C$8/2-$C$24</f>
        <v>1.05</v>
      </c>
      <c r="D26" s="4" t="s">
        <v>124</v>
      </c>
      <c r="E26" s="5" t="s">
        <v>297</v>
      </c>
      <c r="F26" s="6" t="s">
        <v>259</v>
      </c>
      <c r="H26" s="5" t="s">
        <v>298</v>
      </c>
      <c r="I26" s="19">
        <f>DATOS!$C$30*IF(I8&gt;0,DATOS!$C$31,1)</f>
        <v>18</v>
      </c>
      <c r="J26" s="19">
        <f>DATOS!$C$30*IF(J8&gt;0,DATOS!$C$31,1)</f>
        <v>18</v>
      </c>
      <c r="K26" s="19">
        <f>DATOS!$C$30*IF(K8&gt;0,DATOS!$C$31,1)</f>
        <v>18</v>
      </c>
      <c r="L26" s="19">
        <f>DATOS!$C$30*IF(L8&gt;0,DATOS!$C$31,1)</f>
        <v>18</v>
      </c>
      <c r="M26" s="19">
        <f>DATOS!$C$30*IF(M8&gt;0,DATOS!$C$31,1)</f>
        <v>18</v>
      </c>
      <c r="N26" s="24" t="s">
        <v>64</v>
      </c>
    </row>
    <row r="27" spans="2:14" ht="27.75" customHeight="1" x14ac:dyDescent="0.3">
      <c r="B27" s="25" t="s">
        <v>299</v>
      </c>
      <c r="C27" s="26" t="str">
        <f>IF(AND($C$25&gt;0,$C$26&gt;0,$C$16&gt;=0),"CUMPLE","NO CUMPLE — la zapata debe ser mayor que el dado y Df ≥ h")</f>
        <v>CUMPLE</v>
      </c>
      <c r="D27" s="4" t="s">
        <v>12</v>
      </c>
      <c r="E27" s="5" t="s">
        <v>300</v>
      </c>
      <c r="F27" s="6" t="s">
        <v>259</v>
      </c>
      <c r="H27" s="5" t="s">
        <v>301</v>
      </c>
      <c r="I27" s="20">
        <f>I23/I26</f>
        <v>0.564838416021848</v>
      </c>
      <c r="J27" s="20">
        <f>J23/J26</f>
        <v>0.739081702321347</v>
      </c>
      <c r="K27" s="20">
        <f>K23/K26</f>
        <v>0.75459765210135</v>
      </c>
      <c r="L27" s="20">
        <f>L23/L26</f>
        <v>0.632373739714473</v>
      </c>
      <c r="M27" s="20">
        <f>M23/M26</f>
        <v>0.587205001744013</v>
      </c>
      <c r="N27" s="24" t="s">
        <v>12</v>
      </c>
    </row>
    <row r="28" spans="2:14" x14ac:dyDescent="0.3">
      <c r="H28" s="5" t="s">
        <v>302</v>
      </c>
      <c r="I28" s="19">
        <f>IF(I18&gt;0.0001,$C$7/(2*I18),99)</f>
        <v>57.0490322580645</v>
      </c>
      <c r="J28" s="19">
        <f>IF(J18&gt;0.0001,$C$7/(2*J18),99)</f>
        <v>8.2991813564386</v>
      </c>
      <c r="K28" s="19">
        <f>IF(K18&gt;0.0001,$C$7/(2*K18),99)</f>
        <v>11.6348044845502</v>
      </c>
      <c r="L28" s="19">
        <f>IF(L18&gt;0.0001,$C$7/(2*L18),99)</f>
        <v>5.48433994121694</v>
      </c>
      <c r="M28" s="19">
        <f>IF(M18&gt;0.0001,$C$7/(2*M18),99)</f>
        <v>4.11857169657933</v>
      </c>
      <c r="N28" s="24" t="s">
        <v>12</v>
      </c>
    </row>
    <row r="29" spans="2:14" ht="18" customHeight="1" x14ac:dyDescent="0.3">
      <c r="B29" s="38" t="s">
        <v>303</v>
      </c>
      <c r="C29" s="37"/>
      <c r="D29" s="37"/>
      <c r="E29" s="37"/>
      <c r="F29" s="37"/>
      <c r="H29" s="5" t="s">
        <v>304</v>
      </c>
      <c r="I29" s="19">
        <f>IF(I19&gt;0.0001,$C$8/(2*I19),99)</f>
        <v>42.7867741935484</v>
      </c>
      <c r="J29" s="19">
        <f>IF(J19&gt;0.0001,$C$8/(2*J19),99)</f>
        <v>9.31501006036218</v>
      </c>
      <c r="K29" s="19">
        <f>IF(K19&gt;0.0001,$C$8/(2*K19),99)</f>
        <v>12.5858252810097</v>
      </c>
      <c r="L29" s="19">
        <f>IF(L19&gt;0.0001,$C$8/(2*L19),99)</f>
        <v>6.32118206717601</v>
      </c>
      <c r="M29" s="19">
        <f>IF(M19&gt;0.0001,$C$8/(2*M19),99)</f>
        <v>4.7470145596079</v>
      </c>
      <c r="N29" s="24" t="s">
        <v>12</v>
      </c>
    </row>
    <row r="30" spans="2:14" x14ac:dyDescent="0.3">
      <c r="B30" s="1" t="s">
        <v>5</v>
      </c>
      <c r="C30" s="1" t="s">
        <v>6</v>
      </c>
      <c r="D30" s="1" t="s">
        <v>7</v>
      </c>
      <c r="E30" s="1" t="s">
        <v>8</v>
      </c>
      <c r="F30" s="1" t="s">
        <v>9</v>
      </c>
      <c r="H30" s="5" t="s">
        <v>305</v>
      </c>
      <c r="I30" s="19">
        <f>(1-$C$14)*SQRT(I12^2+I13^2)</f>
        <v>0.5</v>
      </c>
      <c r="J30" s="19">
        <f>(1-$C$14)*SQRT(J12^2+J13^2)</f>
        <v>2.58698666405531</v>
      </c>
      <c r="K30" s="19">
        <f>(1-$C$14)*SQRT(K12^2+K13^2)</f>
        <v>2.1332560207345</v>
      </c>
      <c r="L30" s="19">
        <f>(1-$C$14)*SQRT(L12^2+L13^2)</f>
        <v>2.4481217289996</v>
      </c>
      <c r="M30" s="19">
        <f>(1-$C$14)*SQRT(M12^2+M13^2)</f>
        <v>2.4481217289996</v>
      </c>
      <c r="N30" s="24" t="s">
        <v>96</v>
      </c>
    </row>
    <row r="31" spans="2:14" ht="27.75" customHeight="1" x14ac:dyDescent="0.3">
      <c r="B31" s="2" t="s">
        <v>306</v>
      </c>
      <c r="C31" s="8">
        <v>5</v>
      </c>
      <c r="D31" s="4" t="s">
        <v>133</v>
      </c>
      <c r="E31" s="5" t="s">
        <v>307</v>
      </c>
      <c r="F31" s="6" t="s">
        <v>308</v>
      </c>
      <c r="H31" s="5" t="s">
        <v>309</v>
      </c>
      <c r="I31" s="19">
        <f>IF(I30&gt;0.0001,DATOS!$C$33*I15/I30,99)</f>
        <v>55.0962</v>
      </c>
      <c r="J31" s="19">
        <f>IF(J30&gt;0.0001,DATOS!$C$33*J15/J30,99)</f>
        <v>9.29193038912631</v>
      </c>
      <c r="K31" s="19">
        <f>IF(K30&gt;0.0001,DATOS!$C$33*K15/K30,99)</f>
        <v>12.9452816406404</v>
      </c>
      <c r="L31" s="19">
        <f>IF(L30&gt;0.0001,DATOS!$C$33*L15/L30,99)</f>
        <v>6.20020639504829</v>
      </c>
      <c r="M31" s="19">
        <f>IF(M30&gt;0.0001,DATOS!$C$33*M15/M30,99)</f>
        <v>4.65616552680901</v>
      </c>
      <c r="N31" s="24" t="s">
        <v>12</v>
      </c>
    </row>
    <row r="32" spans="2:14" ht="27.75" customHeight="1" x14ac:dyDescent="0.3">
      <c r="B32" s="2" t="s">
        <v>310</v>
      </c>
      <c r="C32" s="8">
        <v>5</v>
      </c>
      <c r="D32" s="4" t="s">
        <v>133</v>
      </c>
      <c r="E32" s="5" t="s">
        <v>307</v>
      </c>
      <c r="F32" s="6" t="s">
        <v>308</v>
      </c>
    </row>
    <row r="33" spans="2:14" ht="27.75" customHeight="1" x14ac:dyDescent="0.3">
      <c r="B33" s="2" t="s">
        <v>311</v>
      </c>
      <c r="C33" s="3" t="s">
        <v>312</v>
      </c>
      <c r="D33" s="4" t="s">
        <v>12</v>
      </c>
      <c r="E33" s="5" t="s">
        <v>313</v>
      </c>
      <c r="F33" s="6" t="s">
        <v>176</v>
      </c>
      <c r="H33" s="44" t="s">
        <v>314</v>
      </c>
      <c r="I33" s="37"/>
      <c r="J33" s="37"/>
      <c r="K33" s="37"/>
      <c r="L33" s="37"/>
      <c r="M33" s="37"/>
      <c r="N33" s="37"/>
    </row>
    <row r="34" spans="2:14" ht="27.75" customHeight="1" x14ac:dyDescent="0.3">
      <c r="B34" s="2" t="s">
        <v>315</v>
      </c>
      <c r="C34" s="16">
        <v>0</v>
      </c>
      <c r="D34" s="4" t="s">
        <v>137</v>
      </c>
      <c r="E34" s="5" t="s">
        <v>316</v>
      </c>
      <c r="F34" s="6" t="s">
        <v>308</v>
      </c>
      <c r="H34" s="22" t="s">
        <v>181</v>
      </c>
      <c r="I34" s="1" t="str">
        <f>COMBINACIONES!$B$11</f>
        <v>U1</v>
      </c>
      <c r="J34" s="1" t="str">
        <f>COMBINACIONES!$B$12</f>
        <v>U2</v>
      </c>
      <c r="K34" s="1" t="str">
        <f>COMBINACIONES!$B$13</f>
        <v>U3</v>
      </c>
      <c r="L34" s="1" t="str">
        <f>COMBINACIONES!$B$14</f>
        <v>U4</v>
      </c>
      <c r="M34" s="1" t="str">
        <f>COMBINACIONES!$B$15</f>
        <v>U5</v>
      </c>
      <c r="N34" s="23"/>
    </row>
    <row r="35" spans="2:14" ht="27.75" customHeight="1" x14ac:dyDescent="0.3">
      <c r="B35" s="2" t="s">
        <v>317</v>
      </c>
      <c r="C35" s="16">
        <v>0</v>
      </c>
      <c r="D35" s="4" t="s">
        <v>137</v>
      </c>
      <c r="E35" s="5" t="s">
        <v>128</v>
      </c>
      <c r="F35" s="6" t="s">
        <v>308</v>
      </c>
      <c r="H35" s="5" t="s">
        <v>228</v>
      </c>
      <c r="I35" s="18" t="str">
        <f>COMBINACIONES!$C$11</f>
        <v>1.4D</v>
      </c>
      <c r="J35" s="18" t="str">
        <f>COMBINACIONES!$C$12</f>
        <v>1.2D + 1.6L</v>
      </c>
      <c r="K35" s="18" t="str">
        <f>COMBINACIONES!$C$13</f>
        <v>1.2D + 1.0L + 1.0E</v>
      </c>
      <c r="L35" s="18" t="str">
        <f>COMBINACIONES!$C$14</f>
        <v>0.9D + 1.0E  (P de A suma)</v>
      </c>
      <c r="M35" s="18" t="str">
        <f>COMBINACIONES!$C$15</f>
        <v>0.9D + 1.0E  (P de A resta)</v>
      </c>
      <c r="N35" s="24"/>
    </row>
    <row r="36" spans="2:14" ht="27.75" customHeight="1" x14ac:dyDescent="0.3">
      <c r="B36" s="2" t="s">
        <v>318</v>
      </c>
      <c r="C36" s="3" t="s">
        <v>319</v>
      </c>
      <c r="D36" s="4" t="s">
        <v>12</v>
      </c>
      <c r="E36" s="5" t="s">
        <v>320</v>
      </c>
      <c r="F36" s="6" t="s">
        <v>321</v>
      </c>
      <c r="H36" s="5" t="s">
        <v>183</v>
      </c>
      <c r="I36" s="19">
        <f>COMBINACIONES!$E$11</f>
        <v>1.4</v>
      </c>
      <c r="J36" s="19">
        <f>COMBINACIONES!$E$12</f>
        <v>1.2</v>
      </c>
      <c r="K36" s="19">
        <f>COMBINACIONES!$E$13</f>
        <v>1.2</v>
      </c>
      <c r="L36" s="19">
        <f>COMBINACIONES!$E$14</f>
        <v>0.9</v>
      </c>
      <c r="M36" s="19">
        <f>COMBINACIONES!$E$15</f>
        <v>0.9</v>
      </c>
      <c r="N36" s="24"/>
    </row>
    <row r="37" spans="2:14" ht="15.45" customHeight="1" x14ac:dyDescent="0.3">
      <c r="B37" s="2" t="s">
        <v>322</v>
      </c>
      <c r="C37" s="8">
        <v>4</v>
      </c>
      <c r="D37" s="4" t="s">
        <v>133</v>
      </c>
      <c r="E37" s="5" t="s">
        <v>323</v>
      </c>
      <c r="F37" s="6" t="s">
        <v>308</v>
      </c>
      <c r="H37" s="5" t="s">
        <v>324</v>
      </c>
      <c r="I37" s="19">
        <f>COMBINACIONES!$E$24</f>
        <v>42</v>
      </c>
      <c r="J37" s="19">
        <f>COMBINACIONES!$E$25</f>
        <v>55.2</v>
      </c>
      <c r="K37" s="19">
        <f>COMBINACIONES!$E$26</f>
        <v>54</v>
      </c>
      <c r="L37" s="19">
        <f>COMBINACIONES!$E$27</f>
        <v>33</v>
      </c>
      <c r="M37" s="19">
        <f>COMBINACIONES!$E$28</f>
        <v>21</v>
      </c>
      <c r="N37" s="24" t="s">
        <v>96</v>
      </c>
    </row>
    <row r="38" spans="2:14" ht="15.45" customHeight="1" x14ac:dyDescent="0.3">
      <c r="B38" s="2" t="s">
        <v>325</v>
      </c>
      <c r="C38" s="9">
        <f>INDEX(TABLAS!$C$6:$C$13,MATCH($C$31,TABLAS!$B$6:$B$13,0))</f>
        <v>1.59</v>
      </c>
      <c r="D38" s="4" t="s">
        <v>137</v>
      </c>
      <c r="E38" s="5" t="s">
        <v>138</v>
      </c>
      <c r="F38" s="6" t="s">
        <v>139</v>
      </c>
      <c r="H38" s="5" t="s">
        <v>326</v>
      </c>
      <c r="I38" s="19">
        <f>COMBINACIONES!$F$24</f>
        <v>1.12</v>
      </c>
      <c r="J38" s="19">
        <f>COMBINACIONES!$F$25</f>
        <v>1.6</v>
      </c>
      <c r="K38" s="19">
        <f>COMBINACIONES!$F$26</f>
        <v>6.86</v>
      </c>
      <c r="L38" s="19">
        <f>COMBINACIONES!$F$27</f>
        <v>6.22</v>
      </c>
      <c r="M38" s="19">
        <f>COMBINACIONES!$F$28</f>
        <v>6.22</v>
      </c>
      <c r="N38" s="24" t="s">
        <v>104</v>
      </c>
    </row>
    <row r="39" spans="2:14" ht="15.45" customHeight="1" x14ac:dyDescent="0.3">
      <c r="B39" s="2" t="s">
        <v>327</v>
      </c>
      <c r="C39" s="9">
        <f>INDEX(TABLAS!$D$6:$D$13,MATCH($C$31,TABLAS!$B$6:$B$13,0))</f>
        <v>1.98</v>
      </c>
      <c r="D39" s="4" t="s">
        <v>141</v>
      </c>
      <c r="E39" s="5" t="s">
        <v>138</v>
      </c>
      <c r="F39" s="6" t="s">
        <v>139</v>
      </c>
      <c r="H39" s="5" t="s">
        <v>328</v>
      </c>
      <c r="I39" s="19">
        <f>COMBINACIONES!$G$24</f>
        <v>0.84</v>
      </c>
      <c r="J39" s="19">
        <f>COMBINACIONES!$G$25</f>
        <v>1.2</v>
      </c>
      <c r="K39" s="19">
        <f>COMBINACIONES!$G$26</f>
        <v>7.52</v>
      </c>
      <c r="L39" s="19">
        <f>COMBINACIONES!$G$27</f>
        <v>7.04</v>
      </c>
      <c r="M39" s="19">
        <f>COMBINACIONES!$G$28</f>
        <v>7.04</v>
      </c>
      <c r="N39" s="24" t="s">
        <v>104</v>
      </c>
    </row>
    <row r="40" spans="2:14" ht="15.45" customHeight="1" x14ac:dyDescent="0.3">
      <c r="B40" s="2" t="s">
        <v>329</v>
      </c>
      <c r="C40" s="9">
        <f>INDEX(TABLAS!$C$6:$C$13,MATCH($C$32,TABLAS!$B$6:$B$13,0))</f>
        <v>1.59</v>
      </c>
      <c r="D40" s="4" t="s">
        <v>137</v>
      </c>
      <c r="E40" s="5" t="s">
        <v>276</v>
      </c>
      <c r="F40" s="6" t="s">
        <v>139</v>
      </c>
      <c r="H40" s="5" t="s">
        <v>330</v>
      </c>
      <c r="I40" s="19">
        <f>COMBINACIONES!$H$24</f>
        <v>0.28</v>
      </c>
      <c r="J40" s="19">
        <f>COMBINACIONES!$H$25</f>
        <v>0.4</v>
      </c>
      <c r="K40" s="19">
        <f>COMBINACIONES!$H$26</f>
        <v>2.84</v>
      </c>
      <c r="L40" s="19">
        <f>COMBINACIONES!$H$27</f>
        <v>2.68</v>
      </c>
      <c r="M40" s="19">
        <f>COMBINACIONES!$H$28</f>
        <v>2.68</v>
      </c>
      <c r="N40" s="24" t="s">
        <v>96</v>
      </c>
    </row>
    <row r="41" spans="2:14" ht="15.45" customHeight="1" x14ac:dyDescent="0.3">
      <c r="B41" s="2" t="s">
        <v>331</v>
      </c>
      <c r="C41" s="9">
        <f>INDEX(TABLAS!$D$6:$D$13,MATCH($C$32,TABLAS!$B$6:$B$13,0))</f>
        <v>1.98</v>
      </c>
      <c r="D41" s="4" t="s">
        <v>141</v>
      </c>
      <c r="E41" s="5" t="s">
        <v>276</v>
      </c>
      <c r="F41" s="6" t="s">
        <v>139</v>
      </c>
      <c r="H41" s="5" t="s">
        <v>332</v>
      </c>
      <c r="I41" s="19">
        <f>COMBINACIONES!$I$24</f>
        <v>0.42</v>
      </c>
      <c r="J41" s="19">
        <f>COMBINACIONES!$I$25</f>
        <v>0.52</v>
      </c>
      <c r="K41" s="19">
        <f>COMBINACIONES!$I$26</f>
        <v>2.46</v>
      </c>
      <c r="L41" s="19">
        <f>COMBINACIONES!$I$27</f>
        <v>2.27</v>
      </c>
      <c r="M41" s="19">
        <f>COMBINACIONES!$I$28</f>
        <v>2.27</v>
      </c>
      <c r="N41" s="24" t="s">
        <v>96</v>
      </c>
    </row>
    <row r="42" spans="2:14" ht="15.45" customHeight="1" x14ac:dyDescent="0.3">
      <c r="B42" s="2" t="s">
        <v>333</v>
      </c>
      <c r="C42" s="9">
        <f>INDEX(TABLAS!$C$6:$C$13,MATCH($C$37,TABLAS!$B$6:$B$13,0))</f>
        <v>1.27</v>
      </c>
      <c r="D42" s="4" t="s">
        <v>137</v>
      </c>
      <c r="E42" s="5" t="s">
        <v>276</v>
      </c>
      <c r="F42" s="6" t="s">
        <v>139</v>
      </c>
      <c r="H42" s="5" t="s">
        <v>334</v>
      </c>
      <c r="I42" s="19">
        <f>I37+I36*$C$53</f>
        <v>42.966</v>
      </c>
      <c r="J42" s="19">
        <f>J37+J36*$C$53</f>
        <v>56.028</v>
      </c>
      <c r="K42" s="19">
        <f>K37+K36*$C$53</f>
        <v>54.828</v>
      </c>
      <c r="L42" s="19">
        <f>L37+L36*$C$53</f>
        <v>33.621</v>
      </c>
      <c r="M42" s="19">
        <f>M37+M36*$C$53</f>
        <v>21.621</v>
      </c>
      <c r="N42" s="24" t="s">
        <v>96</v>
      </c>
    </row>
    <row r="43" spans="2:14" ht="15.45" customHeight="1" x14ac:dyDescent="0.3">
      <c r="B43" s="2" t="s">
        <v>335</v>
      </c>
      <c r="C43" s="9">
        <f>INDEX(TABLAS!$D$6:$D$13,MATCH($C$37,TABLAS!$B$6:$B$13,0))</f>
        <v>1.27</v>
      </c>
      <c r="D43" s="4" t="s">
        <v>141</v>
      </c>
      <c r="E43" s="5" t="s">
        <v>276</v>
      </c>
      <c r="F43" s="6" t="s">
        <v>139</v>
      </c>
      <c r="H43" s="5" t="s">
        <v>336</v>
      </c>
      <c r="I43" s="19">
        <f>I36*($C$51+$C$52)</f>
        <v>25.9392</v>
      </c>
      <c r="J43" s="19">
        <f>J36*($C$51+$C$52)</f>
        <v>22.2336</v>
      </c>
      <c r="K43" s="19">
        <f>K36*($C$51+$C$52)</f>
        <v>22.2336</v>
      </c>
      <c r="L43" s="19">
        <f>L36*($C$51+$C$52)</f>
        <v>16.6752</v>
      </c>
      <c r="M43" s="19">
        <f>M36*($C$51+$C$52)</f>
        <v>16.6752</v>
      </c>
      <c r="N43" s="24" t="s">
        <v>96</v>
      </c>
    </row>
    <row r="44" spans="2:14" ht="27.75" customHeight="1" x14ac:dyDescent="0.3">
      <c r="B44" s="2" t="s">
        <v>337</v>
      </c>
      <c r="C44" s="9">
        <f>$C$9*100-$C$11-IF($C$33="‖ X",$C$38/2,$C$40+$C$38/2)</f>
        <v>41.705</v>
      </c>
      <c r="D44" s="4" t="s">
        <v>137</v>
      </c>
      <c r="E44" s="5" t="s">
        <v>338</v>
      </c>
      <c r="F44" s="6" t="s">
        <v>259</v>
      </c>
      <c r="H44" s="5" t="s">
        <v>339</v>
      </c>
      <c r="I44" s="19">
        <f>I43/$C$15</f>
        <v>3.83715976331361</v>
      </c>
      <c r="J44" s="19">
        <f>J43/$C$15</f>
        <v>3.28899408284024</v>
      </c>
      <c r="K44" s="19">
        <f>K43/$C$15</f>
        <v>3.28899408284024</v>
      </c>
      <c r="L44" s="19">
        <f>L43/$C$15</f>
        <v>2.46674556213018</v>
      </c>
      <c r="M44" s="19">
        <f>M43/$C$15</f>
        <v>2.46674556213018</v>
      </c>
      <c r="N44" s="24" t="s">
        <v>64</v>
      </c>
    </row>
    <row r="45" spans="2:14" ht="15.45" customHeight="1" x14ac:dyDescent="0.3">
      <c r="B45" s="2" t="s">
        <v>340</v>
      </c>
      <c r="C45" s="9">
        <f>$C$9*100-$C$11-IF($C$33="‖ Y",$C$40/2,$C$38+$C$40/2)</f>
        <v>40.115</v>
      </c>
      <c r="D45" s="4" t="s">
        <v>137</v>
      </c>
      <c r="E45" s="5" t="s">
        <v>341</v>
      </c>
      <c r="F45" s="6" t="s">
        <v>259</v>
      </c>
      <c r="H45" s="5" t="s">
        <v>342</v>
      </c>
      <c r="I45" s="19">
        <f>I42+I43</f>
        <v>68.9052</v>
      </c>
      <c r="J45" s="19">
        <f>J42+J43</f>
        <v>78.2616</v>
      </c>
      <c r="K45" s="19">
        <f>K42+K43</f>
        <v>77.0616</v>
      </c>
      <c r="L45" s="19">
        <f>L42+L43</f>
        <v>50.2962</v>
      </c>
      <c r="M45" s="19">
        <f>M42+M43</f>
        <v>38.2962</v>
      </c>
      <c r="N45" s="24" t="s">
        <v>96</v>
      </c>
    </row>
    <row r="46" spans="2:14" ht="15.45" customHeight="1" x14ac:dyDescent="0.3">
      <c r="B46" s="2" t="s">
        <v>343</v>
      </c>
      <c r="C46" s="9">
        <f>($C$44+$C$45)/2</f>
        <v>40.91</v>
      </c>
      <c r="D46" s="4" t="s">
        <v>137</v>
      </c>
      <c r="E46" s="5" t="s">
        <v>344</v>
      </c>
      <c r="F46" s="6" t="s">
        <v>259</v>
      </c>
      <c r="H46" s="5" t="s">
        <v>345</v>
      </c>
      <c r="I46" s="19">
        <f>(1-$C$14)*(I38+I41*$C$18)</f>
        <v>1.813</v>
      </c>
      <c r="J46" s="19">
        <f>(1-$C$14)*(J38+J41*$C$18)</f>
        <v>2.458</v>
      </c>
      <c r="K46" s="19">
        <f>(1-$C$14)*(K38+K41*$C$18)</f>
        <v>10.919</v>
      </c>
      <c r="L46" s="19">
        <f>(1-$C$14)*(L38+L41*$C$18)</f>
        <v>9.9655</v>
      </c>
      <c r="M46" s="19">
        <f>(1-$C$14)*(M38+M41*$C$18)</f>
        <v>9.9655</v>
      </c>
      <c r="N46" s="24" t="s">
        <v>104</v>
      </c>
    </row>
    <row r="47" spans="2:14" ht="27.75" customHeight="1" x14ac:dyDescent="0.3">
      <c r="B47" s="25" t="s">
        <v>346</v>
      </c>
      <c r="C47" s="26" t="str">
        <f>IF(MIN($C$44,$C$45)&gt;=15,"CUMPLE","NO CUMPLE — aumentar h")</f>
        <v>CUMPLE</v>
      </c>
      <c r="D47" s="4" t="s">
        <v>12</v>
      </c>
      <c r="E47" s="5" t="s">
        <v>347</v>
      </c>
      <c r="F47" s="6" t="s">
        <v>348</v>
      </c>
      <c r="H47" s="5" t="s">
        <v>349</v>
      </c>
      <c r="I47" s="19">
        <f>(1-$C$14)*(I39+I40*$C$18)</f>
        <v>1.302</v>
      </c>
      <c r="J47" s="19">
        <f>(1-$C$14)*(J39+J40*$C$18)</f>
        <v>1.86</v>
      </c>
      <c r="K47" s="19">
        <f>(1-$C$14)*(K39+K40*$C$18)</f>
        <v>12.206</v>
      </c>
      <c r="L47" s="19">
        <f>(1-$C$14)*(L39+L40*$C$18)</f>
        <v>11.462</v>
      </c>
      <c r="M47" s="19">
        <f>(1-$C$14)*(M39+M40*$C$18)</f>
        <v>11.462</v>
      </c>
      <c r="N47" s="24" t="s">
        <v>104</v>
      </c>
    </row>
    <row r="48" spans="2:14" x14ac:dyDescent="0.3">
      <c r="H48" s="5" t="s">
        <v>350</v>
      </c>
      <c r="I48" s="20">
        <f>IF(I45&gt;0,I47/I45,99)</f>
        <v>0.0188955260270633</v>
      </c>
      <c r="J48" s="20">
        <f>IF(J45&gt;0,J47/J45,99)</f>
        <v>0.0237664448465148</v>
      </c>
      <c r="K48" s="20">
        <f>IF(K45&gt;0,K47/K45,99)</f>
        <v>0.158392766306435</v>
      </c>
      <c r="L48" s="20">
        <f>IF(L45&gt;0,L47/L45,99)</f>
        <v>0.227889979759902</v>
      </c>
      <c r="M48" s="20">
        <f>IF(M45&gt;0,M47/M45,99)</f>
        <v>0.299298624928844</v>
      </c>
      <c r="N48" s="24" t="s">
        <v>124</v>
      </c>
    </row>
    <row r="49" spans="2:14" ht="18" customHeight="1" x14ac:dyDescent="0.3">
      <c r="B49" s="38" t="s">
        <v>351</v>
      </c>
      <c r="C49" s="37"/>
      <c r="D49" s="37"/>
      <c r="E49" s="37"/>
      <c r="F49" s="37"/>
      <c r="H49" s="5" t="s">
        <v>352</v>
      </c>
      <c r="I49" s="18" t="str">
        <f>IF(I48&lt;=$C$7/6,"TOTAL",IF(I48&lt;$C$7/2,"PARCIAL","INESTABLE"))</f>
        <v>TOTAL</v>
      </c>
      <c r="J49" s="18" t="str">
        <f>IF(J48&lt;=$C$7/6,"TOTAL",IF(J48&lt;$C$7/2,"PARCIAL","INESTABLE"))</f>
        <v>TOTAL</v>
      </c>
      <c r="K49" s="18" t="str">
        <f>IF(K48&lt;=$C$7/6,"TOTAL",IF(K48&lt;$C$7/2,"PARCIAL","INESTABLE"))</f>
        <v>TOTAL</v>
      </c>
      <c r="L49" s="18" t="str">
        <f>IF(L48&lt;=$C$7/6,"TOTAL",IF(L48&lt;$C$7/2,"PARCIAL","INESTABLE"))</f>
        <v>TOTAL</v>
      </c>
      <c r="M49" s="18" t="str">
        <f>IF(M48&lt;=$C$7/6,"TOTAL",IF(M48&lt;$C$7/2,"PARCIAL","INESTABLE"))</f>
        <v>TOTAL</v>
      </c>
      <c r="N49" s="24"/>
    </row>
    <row r="50" spans="2:14" x14ac:dyDescent="0.3"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  <c r="H50" s="5" t="s">
        <v>353</v>
      </c>
      <c r="I50" s="19">
        <f>IF(I48&lt;=$C$7/6,I45/($C$7*$C$8)+I47*($C$7/2)/$C$22,IF(I48&lt;$C$7/2,2*I45/(3*$C$8*($C$7/2-I48)),999))</f>
        <v>10.6375466545289</v>
      </c>
      <c r="J50" s="19">
        <f>IF(J48&lt;=$C$7/6,J45/($C$7*$C$8)+J47*($C$7/2)/$C$22,IF(J48&lt;$C$7/2,2*J45/(3*$C$8*($C$7/2-J48)),999))</f>
        <v>12.2121165225307</v>
      </c>
      <c r="K50" s="19">
        <f>IF(K48&lt;=$C$7/6,K45/($C$7*$C$8)+K47*($C$7/2)/$C$22,IF(K48&lt;$C$7/2,2*K45/(3*$C$8*($C$7/2-K48)),999))</f>
        <v>15.5664633591261</v>
      </c>
      <c r="L50" s="19">
        <f>IF(L48&lt;=$C$7/6,L45/($C$7*$C$8)+L47*($C$7/2)/$C$22,IF(L48&lt;$C$7/2,2*L45/(3*$C$8*($C$7/2-L48)),999))</f>
        <v>11.3531019572144</v>
      </c>
      <c r="M50" s="19">
        <f>IF(M48&lt;=$C$7/6,M45/($C$7*$C$8)+M47*($C$7/2)/$C$22,IF(M48&lt;$C$7/2,2*M45/(3*$C$8*($C$7/2-M48)),999))</f>
        <v>9.5779540282203</v>
      </c>
      <c r="N50" s="24" t="s">
        <v>64</v>
      </c>
    </row>
    <row r="51" spans="2:14" ht="15.45" customHeight="1" x14ac:dyDescent="0.3">
      <c r="B51" s="2" t="s">
        <v>354</v>
      </c>
      <c r="C51" s="9">
        <f>$C$7*$C$8*$C$9*DATOS!$C$24</f>
        <v>8.112</v>
      </c>
      <c r="D51" s="4" t="s">
        <v>96</v>
      </c>
      <c r="E51" s="5" t="s">
        <v>355</v>
      </c>
      <c r="F51" s="6" t="s">
        <v>259</v>
      </c>
      <c r="H51" s="5" t="s">
        <v>356</v>
      </c>
      <c r="I51" s="20">
        <f>IF(I48&lt;=$C$7/6,I47/$C$22,IF(I48&lt;$C$7/2,I50/(3*($C$7/2-I48)),0))</f>
        <v>0.3418997934246</v>
      </c>
      <c r="J51" s="20">
        <f>IF(J48&lt;=$C$7/6,J47/$C$22,IF(J48&lt;$C$7/2,J50/(3*($C$7/2-J48)),0))</f>
        <v>0.488428276320857</v>
      </c>
      <c r="K51" s="20">
        <f>IF(K48&lt;=$C$7/6,K47/$C$22,IF(K48&lt;$C$7/2,K50/(3*($C$7/2-K48)),0))</f>
        <v>3.20524491439375</v>
      </c>
      <c r="L51" s="20">
        <f>IF(L48&lt;=$C$7/6,L47/$C$22,IF(L48&lt;$C$7/2,L50/(3*($C$7/2-L48)),0))</f>
        <v>3.00987360386541</v>
      </c>
      <c r="M51" s="20">
        <f>IF(M48&lt;=$C$7/6,M47/$C$22,IF(M48&lt;$C$7/2,M50/(3*($C$7/2-M48)),0))</f>
        <v>3.00987360386541</v>
      </c>
      <c r="N51" s="24" t="s">
        <v>52</v>
      </c>
    </row>
    <row r="52" spans="2:14" ht="15.45" customHeight="1" x14ac:dyDescent="0.3">
      <c r="B52" s="2" t="s">
        <v>357</v>
      </c>
      <c r="C52" s="9">
        <f>($C$15-DATOS!$C$64*DATOS!$C$65)*$C$16*DATOS!$C$32</f>
        <v>10.416</v>
      </c>
      <c r="D52" s="4" t="s">
        <v>96</v>
      </c>
      <c r="E52" s="5" t="s">
        <v>358</v>
      </c>
      <c r="F52" s="6" t="s">
        <v>259</v>
      </c>
      <c r="H52" s="5" t="s">
        <v>359</v>
      </c>
      <c r="I52" s="19">
        <f>I50-I51*$C$7/2</f>
        <v>10.1930769230769</v>
      </c>
      <c r="J52" s="19">
        <f>J50-J51*$C$7/2</f>
        <v>11.5771597633136</v>
      </c>
      <c r="K52" s="19">
        <f>K50-K51*$C$7/2</f>
        <v>11.3996449704142</v>
      </c>
      <c r="L52" s="19">
        <f>L50-L51*$C$7/2</f>
        <v>7.44026627218935</v>
      </c>
      <c r="M52" s="19">
        <f>M50-M51*$C$7/2</f>
        <v>5.66511834319527</v>
      </c>
      <c r="N52" s="24" t="s">
        <v>64</v>
      </c>
    </row>
    <row r="53" spans="2:14" ht="15.45" customHeight="1" x14ac:dyDescent="0.3">
      <c r="B53" s="2" t="s">
        <v>360</v>
      </c>
      <c r="C53" s="9">
        <f>DATOS!$C$64*DATOS!$C$65*$C$17*DATOS!$C$24</f>
        <v>0.69</v>
      </c>
      <c r="D53" s="4" t="s">
        <v>96</v>
      </c>
      <c r="E53" s="5" t="s">
        <v>361</v>
      </c>
      <c r="F53" s="6" t="s">
        <v>259</v>
      </c>
      <c r="H53" s="5" t="s">
        <v>362</v>
      </c>
      <c r="I53" s="20">
        <f>IF(I51&gt;0,MAX($C$23,-I52/I51),$C$23)</f>
        <v>0.25</v>
      </c>
      <c r="J53" s="20">
        <f>IF(J51&gt;0,MAX($C$23,-J52/J51),$C$23)</f>
        <v>0.25</v>
      </c>
      <c r="K53" s="20">
        <f>IF(K51&gt;0,MAX($C$23,-K52/K51),$C$23)</f>
        <v>0.25</v>
      </c>
      <c r="L53" s="20">
        <f>IF(L51&gt;0,MAX($C$23,-L52/L51),$C$23)</f>
        <v>0.25</v>
      </c>
      <c r="M53" s="20">
        <f>IF(M51&gt;0,MAX($C$23,-M52/M51),$C$23)</f>
        <v>0.25</v>
      </c>
      <c r="N53" s="24" t="s">
        <v>124</v>
      </c>
    </row>
    <row r="54" spans="2:14" ht="27.75" customHeight="1" x14ac:dyDescent="0.3">
      <c r="B54" s="2" t="s">
        <v>363</v>
      </c>
      <c r="C54" s="9">
        <f>$C$51+$C$52+$C$53</f>
        <v>19.218</v>
      </c>
      <c r="D54" s="4" t="s">
        <v>96</v>
      </c>
      <c r="E54" s="5" t="s">
        <v>364</v>
      </c>
      <c r="F54" s="6" t="s">
        <v>365</v>
      </c>
      <c r="H54" s="5" t="s">
        <v>366</v>
      </c>
      <c r="I54" s="19">
        <f>$C$8*IF(I53&lt;$C$7/2,(I52-I51*$C$23)*(($C$7/2)^2-I53^2)/2+I51*(($C$7/2)^3-I53^3)/3-I52*$C$23*($C$7/2-I53),0)-I44*$C$8*$C$25^2/2</f>
        <v>9.57514475421029</v>
      </c>
      <c r="J54" s="19">
        <f>$C$8*IF(J53&lt;$C$7/2,(J52-J51*$C$23)*(($C$7/2)^2-J53^2)/2+J51*(($C$7/2)^3-J53^3)/3-J52*$C$23*($C$7/2-J53),0)-J44*$C$8*$C$25^2/2</f>
        <v>12.5440512972235</v>
      </c>
      <c r="K54" s="19">
        <f>$C$8*IF(K53&lt;$C$7/2,(K52-K51*$C$23)*(($C$7/2)^2-K53^2)/2+K51*(($C$7/2)^3-K53^3)/3-K52*$C$23*($C$7/2-K53),0)-K44*$C$8*$C$25^2/2</f>
        <v>15.9888117944925</v>
      </c>
      <c r="L54" s="19">
        <f>$C$8*IF(L53&lt;$C$7/2,(L52-L51*$C$23)*(($C$7/2)^2-L53^2)/2+L51*(($C$7/2)^3-L53^3)/3-L52*$C$23*($C$7/2-L53),0)-L44*$C$8*$C$25^2/2</f>
        <v>11.2265048332954</v>
      </c>
      <c r="M54" s="19">
        <f>$C$8*IF(M53&lt;$C$7/2,(M52-M51*$C$23)*(($C$7/2)^2-M53^2)/2+M51*(($C$7/2)^3-M53^3)/3-M52*$C$23*($C$7/2-M53),0)-M44*$C$8*$C$25^2/2</f>
        <v>8.68227406406463</v>
      </c>
      <c r="N54" s="24" t="s">
        <v>104</v>
      </c>
    </row>
    <row r="55" spans="2:14" x14ac:dyDescent="0.3">
      <c r="H55" s="5" t="s">
        <v>367</v>
      </c>
      <c r="I55" s="20">
        <f>$C$23+$C$44/100</f>
        <v>0.66705</v>
      </c>
      <c r="J55" s="20">
        <f>$C$23+$C$44/100</f>
        <v>0.66705</v>
      </c>
      <c r="K55" s="20">
        <f>$C$23+$C$44/100</f>
        <v>0.66705</v>
      </c>
      <c r="L55" s="20">
        <f>$C$23+$C$44/100</f>
        <v>0.66705</v>
      </c>
      <c r="M55" s="20">
        <f>$C$23+$C$44/100</f>
        <v>0.66705</v>
      </c>
      <c r="N55" s="24" t="s">
        <v>124</v>
      </c>
    </row>
    <row r="56" spans="2:14" ht="18" customHeight="1" x14ac:dyDescent="0.3">
      <c r="B56" s="38" t="s">
        <v>368</v>
      </c>
      <c r="C56" s="37"/>
      <c r="D56" s="37"/>
      <c r="E56" s="37"/>
      <c r="F56" s="37"/>
      <c r="H56" s="5" t="s">
        <v>369</v>
      </c>
      <c r="I56" s="20">
        <f>IF(I51&gt;0,MAX(I55,-I52/I51),I55)</f>
        <v>0.66705</v>
      </c>
      <c r="J56" s="20">
        <f>IF(J51&gt;0,MAX(J55,-J52/J51),J55)</f>
        <v>0.66705</v>
      </c>
      <c r="K56" s="20">
        <f>IF(K51&gt;0,MAX(K55,-K52/K51),K55)</f>
        <v>0.66705</v>
      </c>
      <c r="L56" s="20">
        <f>IF(L51&gt;0,MAX(L55,-L52/L51),L55)</f>
        <v>0.66705</v>
      </c>
      <c r="M56" s="20">
        <f>IF(M51&gt;0,MAX(M55,-M52/M51),M55)</f>
        <v>0.66705</v>
      </c>
      <c r="N56" s="24" t="s">
        <v>124</v>
      </c>
    </row>
    <row r="57" spans="2:14" x14ac:dyDescent="0.3">
      <c r="B57" s="1" t="s">
        <v>5</v>
      </c>
      <c r="C57" s="1" t="s">
        <v>6</v>
      </c>
      <c r="D57" s="1" t="s">
        <v>7</v>
      </c>
      <c r="E57" s="1" t="s">
        <v>8</v>
      </c>
      <c r="F57" s="1" t="s">
        <v>9</v>
      </c>
      <c r="H57" s="5" t="s">
        <v>370</v>
      </c>
      <c r="I57" s="19">
        <f>IF(I55&gt;=$C$7/2,0,MAX(0,$C$8*IF(I56&lt;$C$7/2,I52*($C$7/2-I56)+I51*(($C$7/2)^2-I56^2)/2,0)-I44*$C$8*($C$7/2-I55)))</f>
        <v>11.0131266968633</v>
      </c>
      <c r="J57" s="19">
        <f>IF(J55&gt;=$C$7/2,0,MAX(0,$C$8*IF(J56&lt;$C$7/2,J52*($C$7/2-J56)+J51*(($C$7/2)^2-J56^2)/2,0)-J44*$C$8*($C$7/2-J55)))</f>
        <v>14.430134907607</v>
      </c>
      <c r="K57" s="19">
        <f>IF(K55&gt;=$C$7/2,0,MAX(0,$C$8*IF(K56&lt;$C$7/2,K52*($C$7/2-K56)+K51*(($C$7/2)^2-K56^2)/2,0)-K44*$C$8*($C$7/2-K55)))</f>
        <v>18.5353283197377</v>
      </c>
      <c r="L57" s="19">
        <f>IF(L55&gt;=$C$7/2,0,MAX(0,$C$8*IF(L56&lt;$C$7/2,L52*($C$7/2-L56)+L51*(($C$7/2)^2-L56^2)/2,0)-L44*$C$8*($C$7/2-L55)))</f>
        <v>13.056427583618</v>
      </c>
      <c r="M57" s="19">
        <f>IF(M55&gt;=$C$7/2,0,MAX(0,$C$8*IF(M56&lt;$C$7/2,M52*($C$7/2-M56)+M51*(($C$7/2)^2-M56^2)/2,0)-M44*$C$8*($C$7/2-M55)))</f>
        <v>10.1351198913103</v>
      </c>
      <c r="N57" s="24" t="s">
        <v>96</v>
      </c>
    </row>
    <row r="58" spans="2:14" ht="27.75" customHeight="1" x14ac:dyDescent="0.3">
      <c r="B58" s="2" t="s">
        <v>371</v>
      </c>
      <c r="C58" s="9">
        <f>DATOS!$C$30-($C$9*DATOS!$C$24+$C$16*DATOS!$C$32)</f>
        <v>15.2</v>
      </c>
      <c r="D58" s="4" t="s">
        <v>64</v>
      </c>
      <c r="E58" s="5" t="s">
        <v>372</v>
      </c>
      <c r="F58" s="6" t="s">
        <v>373</v>
      </c>
      <c r="H58" s="5" t="s">
        <v>374</v>
      </c>
      <c r="I58" s="20">
        <f>IF(I51&gt;0,MIN($C$7/2,I52/I51),$C$7/2)</f>
        <v>1.3</v>
      </c>
      <c r="J58" s="20">
        <f>IF(J51&gt;0,MIN($C$7/2,J52/J51),$C$7/2)</f>
        <v>1.3</v>
      </c>
      <c r="K58" s="20">
        <f>IF(K51&gt;0,MIN($C$7/2,K52/K51),$C$7/2)</f>
        <v>1.3</v>
      </c>
      <c r="L58" s="20">
        <f>IF(L51&gt;0,MIN($C$7/2,L52/L51),$C$7/2)</f>
        <v>1.3</v>
      </c>
      <c r="M58" s="20">
        <f>IF(M51&gt;0,MIN($C$7/2,M52/M51),$C$7/2)</f>
        <v>1.3</v>
      </c>
      <c r="N58" s="24" t="s">
        <v>124</v>
      </c>
    </row>
    <row r="59" spans="2:14" ht="15.45" customHeight="1" x14ac:dyDescent="0.3">
      <c r="B59" s="2" t="s">
        <v>375</v>
      </c>
      <c r="C59" s="9">
        <f>COMBINACIONES!$E$19+$C$53</f>
        <v>42.69</v>
      </c>
      <c r="D59" s="4" t="s">
        <v>96</v>
      </c>
      <c r="E59" s="5" t="s">
        <v>376</v>
      </c>
      <c r="F59" s="6" t="s">
        <v>377</v>
      </c>
      <c r="H59" s="5" t="s">
        <v>378</v>
      </c>
      <c r="I59" s="19">
        <f>I44*$C$8*$C$25^2/2-$C$8*IF(I58&gt;$C$23,(I52+I51*$C$23)*(I58^2-$C$23^2)/2-I51*(I58^3-$C$23^3)/3-I52*$C$23*(I58-$C$23),0)</f>
        <v>-8.64409178425125</v>
      </c>
      <c r="J59" s="19">
        <f>J44*$C$8*$C$25^2/2-$C$8*IF(J58&gt;$C$23,(J52+J51*$C$23)*(J58^2-$C$23^2)/2-J51*(J58^3-$C$23^3)/3-J52*$C$23*(J58-$C$23),0)</f>
        <v>-11.2139756258534</v>
      </c>
      <c r="K59" s="19">
        <f>K44*$C$8*$C$25^2/2-$C$8*IF(K58&gt;$C$23,(K52+K51*$C$23)*(K58^2-$C$23^2)/2-K51*(K58^3-$C$23^3)/3-K52*$C$23*(K58-$C$23),0)</f>
        <v>-7.26036897473828</v>
      </c>
      <c r="L59" s="19">
        <f>L44*$C$8*$C$25^2/2-$C$8*IF(L58&gt;$C$23,(L52+L51*$C$23)*(L58^2-$C$23^2)/2-L51*(L58^3-$C$23^3)/3-L52*$C$23*(L58-$C$23),0)</f>
        <v>-3.03009228208921</v>
      </c>
      <c r="M59" s="19">
        <f>M44*$C$8*$C$25^2/2-$C$8*IF(M58&gt;$C$23,(M52+M51*$C$23)*(M58^2-$C$23^2)/2-M51*(M58^3-$C$23^3)/3-M52*$C$23*(M58-$C$23),0)</f>
        <v>-0.485861512858444</v>
      </c>
      <c r="N59" s="24" t="s">
        <v>104</v>
      </c>
    </row>
    <row r="60" spans="2:14" ht="15.45" customHeight="1" x14ac:dyDescent="0.3">
      <c r="B60" s="2" t="s">
        <v>379</v>
      </c>
      <c r="C60" s="10">
        <f>IF($C$58&gt;0,$C$59/$C$58,999)</f>
        <v>2.80855263157895</v>
      </c>
      <c r="D60" s="4" t="s">
        <v>257</v>
      </c>
      <c r="E60" s="5" t="s">
        <v>380</v>
      </c>
      <c r="F60" s="6" t="s">
        <v>381</v>
      </c>
      <c r="H60" s="5" t="s">
        <v>382</v>
      </c>
      <c r="I60" s="20">
        <f>IF(I45&gt;0,I46/I45,99)</f>
        <v>0.0263115120484376</v>
      </c>
      <c r="J60" s="20">
        <f>IF(J45&gt;0,J46/J45,99)</f>
        <v>0.0314074846412545</v>
      </c>
      <c r="K60" s="20">
        <f>IF(K45&gt;0,K46/K45,99)</f>
        <v>0.141691841332129</v>
      </c>
      <c r="L60" s="20">
        <f>IF(L45&gt;0,L46/L45,99)</f>
        <v>0.198136240908856</v>
      </c>
      <c r="M60" s="20">
        <f>IF(M45&gt;0,M46/M45,99)</f>
        <v>0.260221640789426</v>
      </c>
      <c r="N60" s="24" t="s">
        <v>124</v>
      </c>
    </row>
    <row r="61" spans="2:14" ht="27.75" customHeight="1" x14ac:dyDescent="0.3">
      <c r="B61" s="2" t="s">
        <v>383</v>
      </c>
      <c r="C61" s="10">
        <f>SQRT($C$60)</f>
        <v>1.6758736920123</v>
      </c>
      <c r="D61" s="4" t="s">
        <v>124</v>
      </c>
      <c r="E61" s="5" t="s">
        <v>384</v>
      </c>
      <c r="F61" s="6" t="s">
        <v>259</v>
      </c>
      <c r="H61" s="5" t="s">
        <v>385</v>
      </c>
      <c r="I61" s="18" t="str">
        <f>IF(I60&lt;=$C$8/6,"TOTAL",IF(I60&lt;$C$8/2,"PARCIAL","INESTABLE"))</f>
        <v>TOTAL</v>
      </c>
      <c r="J61" s="18" t="str">
        <f>IF(J60&lt;=$C$8/6,"TOTAL",IF(J60&lt;$C$8/2,"PARCIAL","INESTABLE"))</f>
        <v>TOTAL</v>
      </c>
      <c r="K61" s="18" t="str">
        <f>IF(K60&lt;=$C$8/6,"TOTAL",IF(K60&lt;$C$8/2,"PARCIAL","INESTABLE"))</f>
        <v>TOTAL</v>
      </c>
      <c r="L61" s="18" t="str">
        <f>IF(L60&lt;=$C$8/6,"TOTAL",IF(L60&lt;$C$8/2,"PARCIAL","INESTABLE"))</f>
        <v>TOTAL</v>
      </c>
      <c r="M61" s="18" t="str">
        <f>IF(M60&lt;=$C$8/6,"TOTAL",IF(M60&lt;$C$8/2,"PARCIAL","INESTABLE"))</f>
        <v>TOTAL</v>
      </c>
      <c r="N61" s="24"/>
    </row>
    <row r="62" spans="2:14" ht="27.75" customHeight="1" x14ac:dyDescent="0.3">
      <c r="B62" s="25" t="s">
        <v>386</v>
      </c>
      <c r="C62" s="26" t="str">
        <f>IF($C$15&gt;=$C$60,"CUMPLE","NO CUMPLE — aumentar Lx · Ly")</f>
        <v>CUMPLE</v>
      </c>
      <c r="D62" s="4" t="s">
        <v>12</v>
      </c>
      <c r="E62" s="5" t="s">
        <v>387</v>
      </c>
      <c r="F62" s="6" t="s">
        <v>381</v>
      </c>
      <c r="H62" s="5" t="s">
        <v>388</v>
      </c>
      <c r="I62" s="19">
        <f>IF(I60&lt;=$C$8/6,I45/($C$8*$C$7)+I46*($C$8/2)/$C$21,IF(I60&lt;$C$8/2,2*I45/(3*$C$7*($C$8/2-I60)),999))</f>
        <v>10.8119890760127</v>
      </c>
      <c r="J62" s="19">
        <f>IF(J60&lt;=$C$8/6,J45/($C$8*$C$7)+J46*($C$8/2)/$C$21,IF(J60&lt;$C$8/2,2*J45/(3*$C$7*($C$8/2-J60)),999))</f>
        <v>12.416258534365</v>
      </c>
      <c r="K62" s="19">
        <f>IF(K60&lt;=$C$8/6,K45/($C$8*$C$7)+K46*($C$8/2)/$C$21,IF(K60&lt;$C$8/2,2*K45/(3*$C$7*($C$8/2-K60)),999))</f>
        <v>15.1271142467</v>
      </c>
      <c r="L62" s="19">
        <f>IF(L60&lt;=$C$8/6,L45/($C$8*$C$7)+L46*($C$8/2)/$C$21,IF(L60&lt;$C$8/2,2*L45/(3*$C$7*($C$8/2-L60)),999))</f>
        <v>10.842234865726</v>
      </c>
      <c r="M62" s="19">
        <f>IF(M60&lt;=$C$8/6,M45/($C$8*$C$7)+M46*($C$8/2)/$C$21,IF(M60&lt;$C$8/2,2*M45/(3*$C$7*($C$8/2-M60)),999))</f>
        <v>9.06708693673191</v>
      </c>
      <c r="N62" s="24" t="s">
        <v>64</v>
      </c>
    </row>
    <row r="63" spans="2:14" ht="15.45" customHeight="1" x14ac:dyDescent="0.3">
      <c r="B63" s="2" t="s">
        <v>389</v>
      </c>
      <c r="C63" s="11">
        <f>DATOS!$C$87*0.33*DATOS!$C$23*DATOS!$C$17*DATOS!$C$89*10</f>
        <v>124.964218128631</v>
      </c>
      <c r="D63" s="4" t="s">
        <v>64</v>
      </c>
      <c r="E63" s="5" t="s">
        <v>390</v>
      </c>
      <c r="F63" s="6" t="s">
        <v>391</v>
      </c>
      <c r="H63" s="5" t="s">
        <v>392</v>
      </c>
      <c r="I63" s="20">
        <f>IF(I60&lt;=$C$8/6,I46/$C$21,IF(I60&lt;$C$8/2,I62/(3*($C$8/2-I60)),0))</f>
        <v>0.476086271489093</v>
      </c>
      <c r="J63" s="20">
        <f>IF(J60&lt;=$C$8/6,J46/$C$21,IF(J60&lt;$C$8/2,J62/(3*($C$8/2-J60)),0))</f>
        <v>0.645460593116488</v>
      </c>
      <c r="K63" s="20">
        <f>IF(K60&lt;=$C$8/6,K46/$C$21,IF(K60&lt;$C$8/2,K62/(3*($C$8/2-K60)),0))</f>
        <v>2.86728405868142</v>
      </c>
      <c r="L63" s="20">
        <f>IF(L60&lt;=$C$8/6,L46/$C$21,IF(L60&lt;$C$8/2,L62/(3*($C$8/2-L60)),0))</f>
        <v>2.61689891810511</v>
      </c>
      <c r="M63" s="20">
        <f>IF(M60&lt;=$C$8/6,M46/$C$21,IF(M60&lt;$C$8/2,M62/(3*($C$8/2-M60)),0))</f>
        <v>2.61689891810511</v>
      </c>
      <c r="N63" s="24" t="s">
        <v>52</v>
      </c>
    </row>
    <row r="64" spans="2:14" ht="15.45" customHeight="1" x14ac:dyDescent="0.3">
      <c r="B64" s="2" t="s">
        <v>393</v>
      </c>
      <c r="C64" s="9">
        <f>MAX($I$42:$M$42)</f>
        <v>56.028</v>
      </c>
      <c r="D64" s="4" t="s">
        <v>96</v>
      </c>
      <c r="E64" s="5" t="s">
        <v>394</v>
      </c>
      <c r="F64" s="6" t="s">
        <v>395</v>
      </c>
      <c r="H64" s="5" t="s">
        <v>359</v>
      </c>
      <c r="I64" s="19">
        <f>I62-I63*$C$8/2</f>
        <v>10.1930769230769</v>
      </c>
      <c r="J64" s="19">
        <f>J62-J63*$C$8/2</f>
        <v>11.5771597633136</v>
      </c>
      <c r="K64" s="19">
        <f>K62-K63*$C$8/2</f>
        <v>11.3996449704142</v>
      </c>
      <c r="L64" s="19">
        <f>L62-L63*$C$8/2</f>
        <v>7.44026627218935</v>
      </c>
      <c r="M64" s="19">
        <f>M62-M63*$C$8/2</f>
        <v>5.66511834319527</v>
      </c>
      <c r="N64" s="24" t="s">
        <v>64</v>
      </c>
    </row>
    <row r="65" spans="2:14" ht="27.75" customHeight="1" x14ac:dyDescent="0.3">
      <c r="B65" s="2" t="s">
        <v>396</v>
      </c>
      <c r="C65" s="11">
        <f>100*(-(2*$C$63+$C$64/$C$15)*(DATOS!$C$64+DATOS!$C$65)+SQRT(((2*$C$63+$C$64/$C$15)*(DATOS!$C$64+DATOS!$C$65))^2-4*(4*$C$63+$C$64/$C$15)*($C$64/$C$15*DATOS!$C$64*DATOS!$C$65-$C$64)))/(2*(4*$C$63+$C$64/$C$15))</f>
        <v>15.9126477327729</v>
      </c>
      <c r="D65" s="4" t="s">
        <v>137</v>
      </c>
      <c r="E65" s="5" t="s">
        <v>397</v>
      </c>
      <c r="F65" s="6" t="s">
        <v>398</v>
      </c>
      <c r="H65" s="5" t="s">
        <v>362</v>
      </c>
      <c r="I65" s="20">
        <f>IF(I63&gt;0,MAX($C$24,-I64/I63),$C$24)</f>
        <v>0.25</v>
      </c>
      <c r="J65" s="20">
        <f>IF(J63&gt;0,MAX($C$24,-J64/J63),$C$24)</f>
        <v>0.25</v>
      </c>
      <c r="K65" s="20">
        <f>IF(K63&gt;0,MAX($C$24,-K64/K63),$C$24)</f>
        <v>0.25</v>
      </c>
      <c r="L65" s="20">
        <f>IF(L63&gt;0,MAX($C$24,-L64/L63),$C$24)</f>
        <v>0.25</v>
      </c>
      <c r="M65" s="20">
        <f>IF(M63&gt;0,MAX($C$24,-M64/M63),$C$24)</f>
        <v>0.25</v>
      </c>
      <c r="N65" s="24" t="s">
        <v>124</v>
      </c>
    </row>
    <row r="66" spans="2:14" ht="15.45" customHeight="1" x14ac:dyDescent="0.3">
      <c r="B66" s="2" t="s">
        <v>399</v>
      </c>
      <c r="C66" s="11">
        <f>$C$65+$C$11+MAX($C$38,$C$40)</f>
        <v>25.0026477327729</v>
      </c>
      <c r="D66" s="4" t="s">
        <v>137</v>
      </c>
      <c r="E66" s="5" t="s">
        <v>400</v>
      </c>
      <c r="F66" s="6" t="s">
        <v>259</v>
      </c>
      <c r="H66" s="5" t="s">
        <v>401</v>
      </c>
      <c r="I66" s="19">
        <f>$C$7*IF(I65&lt;$C$8/2,(I64-I63*$C$24)*(($C$8/2)^2-I65^2)/2+I63*(($C$8/2)^3-I65^3)/3-I64*$C$24*($C$8/2-I65),0)-I44*$C$7*$C$26^2/2</f>
        <v>9.75785138541193</v>
      </c>
      <c r="J66" s="19">
        <f>$C$7*IF(J65&lt;$C$8/2,(J64-J63*$C$24)*(($C$8/2)^2-J65^2)/2+J63*(($C$8/2)^3-J65^3)/3-J64*$C$24*($C$8/2-J65),0)-J44*$C$7*$C$26^2/2</f>
        <v>12.7578645368685</v>
      </c>
      <c r="K66" s="19">
        <f>$C$7*IF(K65&lt;$C$8/2,(K64-K63*$C$24)*(($C$8/2)^2-K65^2)/2+K63*(($C$8/2)^3-K65^3)/3-K64*$C$24*($C$8/2-K65),0)-K44*$C$7*$C$26^2/2</f>
        <v>15.5286485178653</v>
      </c>
      <c r="L66" s="19">
        <f>$C$7*IF(L65&lt;$C$8/2,(L64-L63*$C$24)*(($C$8/2)^2-L65^2)/2+L63*(($C$8/2)^3-L65^3)/3-L64*$C$24*($C$8/2-L65),0)-L44*$C$7*$C$26^2/2</f>
        <v>10.6914354133477</v>
      </c>
      <c r="M66" s="19">
        <f>$C$7*IF(M65&lt;$C$8/2,(M64-M63*$C$24)*(($C$8/2)^2-M65^2)/2+M63*(($C$8/2)^3-M65^3)/3-M64*$C$24*($C$8/2-M65),0)-M44*$C$7*$C$26^2/2</f>
        <v>8.14720464411698</v>
      </c>
      <c r="N66" s="24" t="s">
        <v>104</v>
      </c>
    </row>
    <row r="67" spans="2:14" x14ac:dyDescent="0.3">
      <c r="H67" s="5" t="s">
        <v>367</v>
      </c>
      <c r="I67" s="20">
        <f>$C$24+$C$45/100</f>
        <v>0.65115</v>
      </c>
      <c r="J67" s="20">
        <f>$C$24+$C$45/100</f>
        <v>0.65115</v>
      </c>
      <c r="K67" s="20">
        <f>$C$24+$C$45/100</f>
        <v>0.65115</v>
      </c>
      <c r="L67" s="20">
        <f>$C$24+$C$45/100</f>
        <v>0.65115</v>
      </c>
      <c r="M67" s="20">
        <f>$C$24+$C$45/100</f>
        <v>0.65115</v>
      </c>
      <c r="N67" s="24" t="s">
        <v>124</v>
      </c>
    </row>
    <row r="68" spans="2:14" ht="18" customHeight="1" x14ac:dyDescent="0.3">
      <c r="B68" s="38" t="s">
        <v>402</v>
      </c>
      <c r="C68" s="37"/>
      <c r="D68" s="37"/>
      <c r="E68" s="37"/>
      <c r="F68" s="37"/>
      <c r="H68" s="5" t="s">
        <v>369</v>
      </c>
      <c r="I68" s="20">
        <f>IF(I63&gt;0,MAX(I67,-I64/I63),I67)</f>
        <v>0.65115</v>
      </c>
      <c r="J68" s="20">
        <f>IF(J63&gt;0,MAX(J67,-J64/J63),J67)</f>
        <v>0.65115</v>
      </c>
      <c r="K68" s="20">
        <f>IF(K63&gt;0,MAX(K67,-K64/K63),K67)</f>
        <v>0.65115</v>
      </c>
      <c r="L68" s="20">
        <f>IF(L63&gt;0,MAX(L67,-L64/L63),L67)</f>
        <v>0.65115</v>
      </c>
      <c r="M68" s="20">
        <f>IF(M63&gt;0,MAX(M67,-M64/M63),M67)</f>
        <v>0.65115</v>
      </c>
      <c r="N68" s="24" t="s">
        <v>124</v>
      </c>
    </row>
    <row r="69" spans="2:14" x14ac:dyDescent="0.3"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H69" s="5" t="s">
        <v>403</v>
      </c>
      <c r="I69" s="19">
        <f>IF(I67&gt;=$C$8/2,0,MAX(0,$C$7*IF(I68&lt;$C$8/2,I64*($C$8/2-I68)+I63*(($C$8/2)^2-I68^2)/2,0)-I44*$C$7*($C$8/2-I67)))</f>
        <v>11.5060408693585</v>
      </c>
      <c r="J69" s="19">
        <f>IF(J67&gt;=$C$8/2,0,MAX(0,$C$7*IF(J68&lt;$C$8/2,J64*($C$8/2-J68)+J63*(($C$8/2)^2-J68^2)/2,0)-J44*$C$7*($C$8/2-J67)))</f>
        <v>15.0445205145522</v>
      </c>
      <c r="K69" s="19">
        <f>IF(K67&gt;=$C$8/2,0,MAX(0,$C$7*IF(K68&lt;$C$8/2,K64*($C$8/2-K68)+K63*(($C$8/2)^2-K68^2)/2,0)-K44*$C$7*($C$8/2-K67)))</f>
        <v>18.4017389653923</v>
      </c>
      <c r="L69" s="19">
        <f>IF(L67&gt;=$C$8/2,0,MAX(0,$C$7*IF(L68&lt;$C$8/2,L64*($C$8/2-L68)+L63*(($C$8/2)^2-L68^2)/2,0)-L44*$C$7*($C$8/2-L67)))</f>
        <v>12.6972839232338</v>
      </c>
      <c r="M69" s="19">
        <f>IF(M67&gt;=$C$8/2,0,MAX(0,$C$7*IF(M68&lt;$C$8/2,M64*($C$8/2-M68)+M63*(($C$8/2)^2-M68^2)/2,0)-M44*$C$7*($C$8/2-M67)))</f>
        <v>9.70259161554151</v>
      </c>
      <c r="N69" s="24" t="s">
        <v>96</v>
      </c>
    </row>
    <row r="70" spans="2:14" ht="40.200000000000003" customHeight="1" x14ac:dyDescent="0.3">
      <c r="B70" s="2" t="s">
        <v>404</v>
      </c>
      <c r="C70" s="9">
        <f>MAX($I$23:$M$23)</f>
        <v>13.5827577378243</v>
      </c>
      <c r="D70" s="4" t="s">
        <v>64</v>
      </c>
      <c r="E70" s="5" t="s">
        <v>405</v>
      </c>
      <c r="F70" s="6" t="s">
        <v>406</v>
      </c>
      <c r="H70" s="5" t="s">
        <v>374</v>
      </c>
      <c r="I70" s="20">
        <f>IF(I63&gt;0,MIN($C$8/2,I64/I63),$C$8/2)</f>
        <v>1.3</v>
      </c>
      <c r="J70" s="20">
        <f>IF(J63&gt;0,MIN($C$8/2,J64/J63),$C$8/2)</f>
        <v>1.3</v>
      </c>
      <c r="K70" s="20">
        <f>IF(K63&gt;0,MIN($C$8/2,K64/K63),$C$8/2)</f>
        <v>1.3</v>
      </c>
      <c r="L70" s="20">
        <f>IF(L63&gt;0,MIN($C$8/2,L64/L63),$C$8/2)</f>
        <v>1.3</v>
      </c>
      <c r="M70" s="20">
        <f>IF(M63&gt;0,MIN($C$8/2,M64/M63),$C$8/2)</f>
        <v>1.3</v>
      </c>
      <c r="N70" s="24" t="s">
        <v>124</v>
      </c>
    </row>
    <row r="71" spans="2:14" ht="15.45" customHeight="1" x14ac:dyDescent="0.3">
      <c r="B71" s="2" t="s">
        <v>407</v>
      </c>
      <c r="C71" s="7" t="str">
        <f>INDEX($I$5:$M$5,MATCH($C$70,$I$23:$M$23,0))</f>
        <v>S3</v>
      </c>
      <c r="D71" s="4" t="s">
        <v>12</v>
      </c>
      <c r="E71" s="5" t="s">
        <v>276</v>
      </c>
      <c r="F71" s="6" t="s">
        <v>408</v>
      </c>
      <c r="H71" s="5" t="s">
        <v>409</v>
      </c>
      <c r="I71" s="19">
        <f>I44*$C$7*$C$26^2/2-$C$7*IF(I70&gt;$C$24,(I64+I63*$C$24)*(I70^2-$C$24^2)/2-I63*(I70^3-$C$24^3)/3-I64*$C$24*(I70-$C$24),0)</f>
        <v>-8.46138515304962</v>
      </c>
      <c r="J71" s="19">
        <f>J44*$C$7*$C$26^2/2-$C$7*IF(J70&gt;$C$24,(J64+J63*$C$24)*(J70^2-$C$24^2)/2-J63*(J70^3-$C$24^3)/3-J64*$C$24*(J70-$C$24),0)</f>
        <v>-11.0001623862085</v>
      </c>
      <c r="K71" s="19">
        <f>K44*$C$7*$C$26^2/2-$C$7*IF(K70&gt;$C$24,(K64+K63*$C$24)*(K70^2-$C$24^2)/2-K63*(K70^3-$C$24^3)/3-K64*$C$24*(K70-$C$24),0)</f>
        <v>-7.7205322513655</v>
      </c>
      <c r="L71" s="19">
        <f>L44*$C$7*$C$26^2/2-$C$7*IF(L70&gt;$C$24,(L64+L63*$C$24)*(L70^2-$C$24^2)/2-L63*(L70^3-$C$24^3)/3-L64*$C$24*(L70-$C$24),0)</f>
        <v>-3.56516170203687</v>
      </c>
      <c r="M71" s="19">
        <f>M44*$C$7*$C$26^2/2-$C$7*IF(M70&gt;$C$24,(M64+M63*$C$24)*(M70^2-$C$24^2)/2-M63*(M70^3-$C$24^3)/3-M64*$C$24*(M70-$C$24),0)</f>
        <v>-1.0209309328061</v>
      </c>
      <c r="N71" s="24" t="s">
        <v>104</v>
      </c>
    </row>
    <row r="72" spans="2:14" ht="27.75" customHeight="1" x14ac:dyDescent="0.3">
      <c r="B72" s="2" t="s">
        <v>410</v>
      </c>
      <c r="C72" s="10">
        <f>MAX($I$27:$M$27)</f>
        <v>0.75459765210135</v>
      </c>
      <c r="D72" s="4" t="s">
        <v>12</v>
      </c>
      <c r="E72" s="5" t="s">
        <v>411</v>
      </c>
      <c r="F72" s="6" t="s">
        <v>412</v>
      </c>
      <c r="H72" s="5" t="s">
        <v>413</v>
      </c>
      <c r="I72" s="20">
        <f>6*I48/$C$7+6*I60/$C$8</f>
        <v>0.104323934020387</v>
      </c>
      <c r="J72" s="20">
        <f>6*J48/$C$7+6*J60/$C$8</f>
        <v>0.127324452664083</v>
      </c>
      <c r="K72" s="20">
        <f>6*K48/$C$7+6*K60/$C$8</f>
        <v>0.69250294070438</v>
      </c>
      <c r="L72" s="20">
        <f>6*L48/$C$7+6*L60/$C$8</f>
        <v>0.983137432312519</v>
      </c>
      <c r="M72" s="20">
        <f>6*M48/$C$7+6*M60/$C$8</f>
        <v>1.29120061319601</v>
      </c>
      <c r="N72" s="24" t="s">
        <v>12</v>
      </c>
    </row>
    <row r="73" spans="2:14" ht="15.45" customHeight="1" x14ac:dyDescent="0.3">
      <c r="B73" s="25" t="s">
        <v>414</v>
      </c>
      <c r="C73" s="26" t="str">
        <f>IF($C$72&lt;=1,"CUMPLE","NO CUMPLE — aumentar Lx y/o Ly")</f>
        <v>CUMPLE</v>
      </c>
      <c r="D73" s="4" t="s">
        <v>12</v>
      </c>
      <c r="E73" s="5" t="s">
        <v>415</v>
      </c>
      <c r="F73" s="6" t="s">
        <v>381</v>
      </c>
      <c r="H73" s="5" t="s">
        <v>416</v>
      </c>
      <c r="I73" s="19">
        <f>IF(I72&lt;=1,I42*(1-$C$90/$C$15),I42)</f>
        <v>37.7130708440148</v>
      </c>
      <c r="J73" s="19">
        <f>IF(J72&lt;=1,J42*(1-$C$90/$C$15),J42)</f>
        <v>49.1781393019704</v>
      </c>
      <c r="K73" s="19">
        <f>IF(K72&lt;=1,K42*(1-$C$90/$C$15),K42)</f>
        <v>48.1248486765266</v>
      </c>
      <c r="L73" s="19">
        <f>IF(L72&lt;=1,L42*(1-$C$90/$C$15),L42)</f>
        <v>29.5105700983713</v>
      </c>
      <c r="M73" s="19">
        <f>IF(M72&lt;=1,M42*(1-$C$90/$C$15),M42)</f>
        <v>21.621</v>
      </c>
      <c r="N73" s="24" t="s">
        <v>96</v>
      </c>
    </row>
    <row r="74" spans="2:14" ht="15.45" customHeight="1" x14ac:dyDescent="0.3">
      <c r="B74" s="2" t="s">
        <v>417</v>
      </c>
      <c r="C74" s="9">
        <f>MIN($I$24:$M$24)</f>
        <v>0</v>
      </c>
      <c r="D74" s="4" t="s">
        <v>64</v>
      </c>
      <c r="E74" s="5" t="s">
        <v>276</v>
      </c>
      <c r="F74" s="6" t="s">
        <v>418</v>
      </c>
      <c r="H74" s="5" t="s">
        <v>419</v>
      </c>
      <c r="I74" s="19">
        <f>(1-$C$14)*(ABS(I38)+ABS(I41)*$C$19)</f>
        <v>1.603</v>
      </c>
      <c r="J74" s="19">
        <f>(1-$C$14)*(ABS(J38)+ABS(J41)*$C$19)</f>
        <v>2.198</v>
      </c>
      <c r="K74" s="19">
        <f>(1-$C$14)*(ABS(K38)+ABS(K41)*$C$19)</f>
        <v>9.689</v>
      </c>
      <c r="L74" s="19">
        <f>(1-$C$14)*(ABS(L38)+ABS(L41)*$C$19)</f>
        <v>8.8305</v>
      </c>
      <c r="M74" s="19">
        <f>(1-$C$14)*(ABS(M38)+ABS(M41)*$C$19)</f>
        <v>8.8305</v>
      </c>
      <c r="N74" s="24" t="s">
        <v>104</v>
      </c>
    </row>
    <row r="75" spans="2:14" ht="64.2" customHeight="1" x14ac:dyDescent="0.3">
      <c r="B75" s="25" t="s">
        <v>420</v>
      </c>
      <c r="C75" s="26" t="str">
        <f>IF(INDEX($I$20:$M$20,1)&lt;=1,"CUMPLE — resultante dentro del núcleo central","NO CUMPLE — con D + L no debe haber despegue: aumentar dimensiones")</f>
        <v>CUMPLE — resultante dentro del núcleo central</v>
      </c>
      <c r="D75" s="4" t="s">
        <v>12</v>
      </c>
      <c r="E75" s="5" t="s">
        <v>421</v>
      </c>
      <c r="F75" s="6" t="s">
        <v>422</v>
      </c>
      <c r="H75" s="5" t="s">
        <v>423</v>
      </c>
      <c r="I75" s="19">
        <f>(1-$C$14)*(ABS(I39)+ABS(I40)*$C$19)</f>
        <v>1.162</v>
      </c>
      <c r="J75" s="19">
        <f>(1-$C$14)*(ABS(J39)+ABS(J40)*$C$19)</f>
        <v>1.66</v>
      </c>
      <c r="K75" s="19">
        <f>(1-$C$14)*(ABS(K39)+ABS(K40)*$C$19)</f>
        <v>10.786</v>
      </c>
      <c r="L75" s="19">
        <f>(1-$C$14)*(ABS(L39)+ABS(L40)*$C$19)</f>
        <v>10.122</v>
      </c>
      <c r="M75" s="19">
        <f>(1-$C$14)*(ABS(M39)+ABS(M40)*$C$19)</f>
        <v>10.122</v>
      </c>
      <c r="N75" s="24" t="s">
        <v>104</v>
      </c>
    </row>
    <row r="76" spans="2:14" ht="27.75" customHeight="1" x14ac:dyDescent="0.3">
      <c r="B76" s="2" t="s">
        <v>424</v>
      </c>
      <c r="C76" s="27">
        <f>COUNTIF($I$25:$M$25,"PARCIAL")</f>
        <v>2</v>
      </c>
      <c r="D76" s="4" t="s">
        <v>12</v>
      </c>
      <c r="E76" s="5" t="s">
        <v>425</v>
      </c>
      <c r="F76" s="6" t="s">
        <v>426</v>
      </c>
      <c r="H76" s="5" t="s">
        <v>427</v>
      </c>
      <c r="I76" s="19">
        <f>I73*1000/($C$89*$C$46)+$C$100*I75*100000*($C$87/2)/$C$101+$C$103*I74*100000*($C$88/2)/$C$104</f>
        <v>2.76859004913576</v>
      </c>
      <c r="J76" s="19">
        <f>J73*1000/($C$89*$C$46)+$C$100*J75*100000*($C$87/2)/$C$101+$C$103*J74*100000*($C$88/2)/$C$104</f>
        <v>3.63158081614326</v>
      </c>
      <c r="K76" s="19">
        <f>K73*1000/($C$89*$C$46)+$C$100*K75*100000*($C$87/2)/$C$101+$C$103*K74*100000*($C$88/2)/$C$104</f>
        <v>4.96415065793472</v>
      </c>
      <c r="L76" s="19">
        <f>L73*1000/($C$89*$C$46)+$C$100*L75*100000*($C$87/2)/$C$101+$C$103*L74*100000*($C$88/2)/$C$104</f>
        <v>3.58431659221024</v>
      </c>
      <c r="M76" s="19">
        <f>M73*1000/($C$89*$C$46)+$C$100*M75*100000*($C$87/2)/$C$101+$C$103*M74*100000*($C$88/2)/$C$104</f>
        <v>3.05397924658539</v>
      </c>
      <c r="N76" s="24" t="s">
        <v>23</v>
      </c>
    </row>
    <row r="77" spans="2:14" ht="15.45" customHeight="1" x14ac:dyDescent="0.3">
      <c r="B77" s="2" t="s">
        <v>428</v>
      </c>
      <c r="C77" s="9">
        <f>MIN($I$15:$M$15)</f>
        <v>25.3308</v>
      </c>
      <c r="D77" s="4" t="s">
        <v>96</v>
      </c>
      <c r="E77" s="5" t="s">
        <v>276</v>
      </c>
      <c r="F77" s="6" t="s">
        <v>426</v>
      </c>
    </row>
    <row r="78" spans="2:14" ht="51" customHeight="1" x14ac:dyDescent="0.3">
      <c r="B78" s="25" t="s">
        <v>429</v>
      </c>
      <c r="C78" s="26" t="str">
        <f>IF($C$77&gt;0,"CUMPLE — no hay levantamiento","NO CUMPLE — tensión neta: lastrar o anclar")</f>
        <v>CUMPLE — no hay levantamiento</v>
      </c>
      <c r="D78" s="4" t="s">
        <v>12</v>
      </c>
      <c r="E78" s="5" t="s">
        <v>430</v>
      </c>
      <c r="F78" s="6" t="s">
        <v>431</v>
      </c>
    </row>
    <row r="79" spans="2:14" ht="15.45" customHeight="1" x14ac:dyDescent="0.3">
      <c r="B79" s="2" t="s">
        <v>432</v>
      </c>
      <c r="C79" s="9">
        <f>MIN($I$28:$M$28)</f>
        <v>4.11857169657933</v>
      </c>
      <c r="D79" s="4" t="s">
        <v>12</v>
      </c>
      <c r="E79" s="5" t="s">
        <v>433</v>
      </c>
      <c r="F79" s="6" t="s">
        <v>434</v>
      </c>
    </row>
    <row r="80" spans="2:14" ht="15.45" customHeight="1" x14ac:dyDescent="0.3">
      <c r="B80" s="2" t="s">
        <v>435</v>
      </c>
      <c r="C80" s="9">
        <f>MIN($I$29:$M$29)</f>
        <v>4.7470145596079</v>
      </c>
      <c r="D80" s="4" t="s">
        <v>12</v>
      </c>
      <c r="E80" s="5" t="s">
        <v>436</v>
      </c>
      <c r="F80" s="6" t="s">
        <v>434</v>
      </c>
    </row>
    <row r="81" spans="2:6" ht="15.45" customHeight="1" x14ac:dyDescent="0.3">
      <c r="B81" s="25" t="s">
        <v>437</v>
      </c>
      <c r="C81" s="26" t="str">
        <f>IF(MIN($C$79,$C$80)&gt;=DATOS!$C$34,"CUMPLE","NO CUMPLE — aumentar dimensiones o peso")</f>
        <v>CUMPLE</v>
      </c>
      <c r="D81" s="4" t="s">
        <v>12</v>
      </c>
      <c r="E81" s="5" t="s">
        <v>438</v>
      </c>
      <c r="F81" s="6" t="s">
        <v>431</v>
      </c>
    </row>
    <row r="82" spans="2:6" ht="15.45" customHeight="1" x14ac:dyDescent="0.3">
      <c r="B82" s="2" t="s">
        <v>439</v>
      </c>
      <c r="C82" s="9">
        <f>MIN($I$31:$M$31)</f>
        <v>4.65616552680901</v>
      </c>
      <c r="D82" s="4" t="s">
        <v>12</v>
      </c>
      <c r="E82" s="5" t="s">
        <v>440</v>
      </c>
      <c r="F82" s="6" t="s">
        <v>441</v>
      </c>
    </row>
    <row r="83" spans="2:6" ht="15.45" customHeight="1" x14ac:dyDescent="0.3">
      <c r="B83" s="25" t="s">
        <v>442</v>
      </c>
      <c r="C83" s="26" t="str">
        <f>IF($C$82&gt;=DATOS!$C$35,"CUMPLE","NO CUMPLE — aumentar peso, dentellón o contratrabe")</f>
        <v>CUMPLE</v>
      </c>
      <c r="D83" s="4" t="s">
        <v>12</v>
      </c>
      <c r="E83" s="5" t="s">
        <v>438</v>
      </c>
      <c r="F83" s="6" t="s">
        <v>431</v>
      </c>
    </row>
    <row r="85" spans="2:6" ht="18" customHeight="1" x14ac:dyDescent="0.3">
      <c r="B85" s="38" t="s">
        <v>443</v>
      </c>
      <c r="C85" s="37"/>
      <c r="D85" s="37"/>
      <c r="E85" s="37"/>
      <c r="F85" s="37"/>
    </row>
    <row r="86" spans="2:6" x14ac:dyDescent="0.3"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</row>
    <row r="87" spans="2:6" ht="15.45" customHeight="1" x14ac:dyDescent="0.3">
      <c r="B87" s="2" t="s">
        <v>444</v>
      </c>
      <c r="C87" s="11">
        <f>DATOS!$C$64*100+$C$46</f>
        <v>90.91</v>
      </c>
      <c r="D87" s="4" t="s">
        <v>137</v>
      </c>
      <c r="E87" s="5" t="s">
        <v>445</v>
      </c>
      <c r="F87" s="6" t="s">
        <v>446</v>
      </c>
    </row>
    <row r="88" spans="2:6" ht="15.45" customHeight="1" x14ac:dyDescent="0.3">
      <c r="B88" s="2" t="s">
        <v>447</v>
      </c>
      <c r="C88" s="11">
        <f>DATOS!$C$65*100+$C$46</f>
        <v>90.91</v>
      </c>
      <c r="D88" s="4" t="s">
        <v>137</v>
      </c>
      <c r="E88" s="5" t="s">
        <v>448</v>
      </c>
      <c r="F88" s="6" t="s">
        <v>446</v>
      </c>
    </row>
    <row r="89" spans="2:6" ht="15.45" customHeight="1" x14ac:dyDescent="0.3">
      <c r="B89" s="2" t="s">
        <v>449</v>
      </c>
      <c r="C89" s="11">
        <f>2*($C$87+$C$88)</f>
        <v>363.64</v>
      </c>
      <c r="D89" s="4" t="s">
        <v>137</v>
      </c>
      <c r="E89" s="5" t="s">
        <v>276</v>
      </c>
      <c r="F89" s="6" t="s">
        <v>446</v>
      </c>
    </row>
    <row r="90" spans="2:6" ht="15.45" customHeight="1" x14ac:dyDescent="0.3">
      <c r="B90" s="2" t="s">
        <v>450</v>
      </c>
      <c r="C90" s="10">
        <f>$C$87*$C$88/10000</f>
        <v>0.82646281</v>
      </c>
      <c r="D90" s="4" t="s">
        <v>257</v>
      </c>
      <c r="E90" s="5" t="s">
        <v>451</v>
      </c>
      <c r="F90" s="6" t="s">
        <v>452</v>
      </c>
    </row>
    <row r="91" spans="2:6" ht="15.45" customHeight="1" x14ac:dyDescent="0.3">
      <c r="B91" s="2" t="s">
        <v>453</v>
      </c>
      <c r="C91" s="9">
        <f>MAX(DATOS!$C$64,DATOS!$C$65)/MIN(DATOS!$C$64,DATOS!$C$65)</f>
        <v>1</v>
      </c>
      <c r="D91" s="4" t="s">
        <v>12</v>
      </c>
      <c r="E91" s="5" t="s">
        <v>276</v>
      </c>
      <c r="F91" s="6" t="s">
        <v>454</v>
      </c>
    </row>
    <row r="92" spans="2:6" ht="15.45" customHeight="1" x14ac:dyDescent="0.3">
      <c r="B92" s="2" t="s">
        <v>455</v>
      </c>
      <c r="C92" s="27">
        <v>40</v>
      </c>
      <c r="D92" s="4" t="s">
        <v>12</v>
      </c>
      <c r="E92" s="5" t="s">
        <v>456</v>
      </c>
      <c r="F92" s="6" t="s">
        <v>457</v>
      </c>
    </row>
    <row r="93" spans="2:6" ht="27.75" customHeight="1" x14ac:dyDescent="0.3">
      <c r="B93" s="2" t="s">
        <v>458</v>
      </c>
      <c r="C93" s="10">
        <f>IF(DATOS!$C$90="SÍ",1,MIN(1,SQRT(2/(1+0.004*$C$46*10))))</f>
        <v>1</v>
      </c>
      <c r="D93" s="4" t="s">
        <v>12</v>
      </c>
      <c r="E93" s="5" t="s">
        <v>459</v>
      </c>
      <c r="F93" s="6" t="s">
        <v>173</v>
      </c>
    </row>
    <row r="94" spans="2:6" ht="15.45" customHeight="1" x14ac:dyDescent="0.3">
      <c r="B94" s="2" t="s">
        <v>460</v>
      </c>
      <c r="C94" s="9">
        <f>0.33*$C$93*DATOS!$C$23*DATOS!$C$17*DATOS!$C$89</f>
        <v>16.6618957504841</v>
      </c>
      <c r="D94" s="4" t="s">
        <v>23</v>
      </c>
      <c r="E94" s="5" t="s">
        <v>461</v>
      </c>
      <c r="F94" s="6" t="s">
        <v>391</v>
      </c>
    </row>
    <row r="95" spans="2:6" ht="15.45" customHeight="1" x14ac:dyDescent="0.3">
      <c r="B95" s="2" t="s">
        <v>462</v>
      </c>
      <c r="C95" s="9">
        <f>0.17*(1+2/$C$91)*$C$93*DATOS!$C$23*DATOS!$C$17*DATOS!$C$89</f>
        <v>25.7502025234754</v>
      </c>
      <c r="D95" s="4" t="s">
        <v>23</v>
      </c>
      <c r="E95" s="5" t="s">
        <v>276</v>
      </c>
      <c r="F95" s="6" t="s">
        <v>463</v>
      </c>
    </row>
    <row r="96" spans="2:6" ht="15.45" customHeight="1" x14ac:dyDescent="0.3">
      <c r="B96" s="2" t="s">
        <v>464</v>
      </c>
      <c r="C96" s="9">
        <f>0.083*(2+$C$92*$C$46/$C$89)*$C$93*DATOS!$C$23*DATOS!$C$17*DATOS!$C$89</f>
        <v>27.2399055096353</v>
      </c>
      <c r="D96" s="4" t="s">
        <v>23</v>
      </c>
      <c r="E96" s="5" t="s">
        <v>276</v>
      </c>
      <c r="F96" s="6" t="s">
        <v>465</v>
      </c>
    </row>
    <row r="97" spans="2:6" ht="15.45" customHeight="1" x14ac:dyDescent="0.3">
      <c r="B97" s="2" t="s">
        <v>466</v>
      </c>
      <c r="C97" s="9">
        <f>MIN($C$94,$C$95,$C$96)</f>
        <v>16.6618957504841</v>
      </c>
      <c r="D97" s="4" t="s">
        <v>23</v>
      </c>
      <c r="E97" s="5" t="s">
        <v>276</v>
      </c>
      <c r="F97" s="6" t="s">
        <v>467</v>
      </c>
    </row>
    <row r="98" spans="2:6" ht="15.45" customHeight="1" x14ac:dyDescent="0.3">
      <c r="B98" s="2" t="s">
        <v>468</v>
      </c>
      <c r="C98" s="9">
        <f>DATOS!$C$87*$C$97</f>
        <v>12.4964218128631</v>
      </c>
      <c r="D98" s="4" t="s">
        <v>23</v>
      </c>
      <c r="E98" s="5" t="s">
        <v>469</v>
      </c>
      <c r="F98" s="6" t="s">
        <v>166</v>
      </c>
    </row>
    <row r="99" spans="2:6" ht="15.45" customHeight="1" x14ac:dyDescent="0.3">
      <c r="B99" s="2" t="s">
        <v>470</v>
      </c>
      <c r="C99" s="10">
        <f>1/(1+2/3*SQRT($C$87/$C$88))</f>
        <v>0.6</v>
      </c>
      <c r="D99" s="4" t="s">
        <v>12</v>
      </c>
      <c r="E99" s="5" t="s">
        <v>471</v>
      </c>
      <c r="F99" s="6" t="s">
        <v>472</v>
      </c>
    </row>
    <row r="100" spans="2:6" ht="27.75" customHeight="1" x14ac:dyDescent="0.3">
      <c r="B100" s="2" t="s">
        <v>473</v>
      </c>
      <c r="C100" s="10">
        <f>1-$C$99</f>
        <v>0.4</v>
      </c>
      <c r="D100" s="4" t="s">
        <v>12</v>
      </c>
      <c r="E100" s="5" t="s">
        <v>474</v>
      </c>
      <c r="F100" s="6" t="s">
        <v>475</v>
      </c>
    </row>
    <row r="101" spans="2:6" ht="27.75" customHeight="1" x14ac:dyDescent="0.3">
      <c r="B101" s="2" t="s">
        <v>476</v>
      </c>
      <c r="C101" s="12">
        <f>$C$46*$C$87^3/6+$C$87*$C$46^3/6+$C$46*$C$88*$C$87^2/2</f>
        <v>21528879.9511163</v>
      </c>
      <c r="D101" s="4" t="s">
        <v>477</v>
      </c>
      <c r="E101" s="5" t="s">
        <v>478</v>
      </c>
      <c r="F101" s="6" t="s">
        <v>479</v>
      </c>
    </row>
    <row r="102" spans="2:6" ht="15.45" customHeight="1" x14ac:dyDescent="0.3">
      <c r="B102" s="2" t="s">
        <v>480</v>
      </c>
      <c r="C102" s="10">
        <f>1/(1+2/3*SQRT($C$88/$C$87))</f>
        <v>0.6</v>
      </c>
      <c r="D102" s="4" t="s">
        <v>12</v>
      </c>
      <c r="E102" s="5" t="s">
        <v>276</v>
      </c>
      <c r="F102" s="6" t="s">
        <v>472</v>
      </c>
    </row>
    <row r="103" spans="2:6" ht="15.45" customHeight="1" x14ac:dyDescent="0.3">
      <c r="B103" s="2" t="s">
        <v>481</v>
      </c>
      <c r="C103" s="10">
        <f>1-$C$102</f>
        <v>0.4</v>
      </c>
      <c r="D103" s="4" t="s">
        <v>12</v>
      </c>
      <c r="E103" s="5" t="s">
        <v>276</v>
      </c>
      <c r="F103" s="6" t="s">
        <v>475</v>
      </c>
    </row>
    <row r="104" spans="2:6" ht="15.45" customHeight="1" x14ac:dyDescent="0.3">
      <c r="B104" s="2" t="s">
        <v>482</v>
      </c>
      <c r="C104" s="12">
        <f>$C$46*$C$88^3/6+$C$88*$C$46^3/6+$C$46*$C$87*$C$88^2/2</f>
        <v>21528879.9511163</v>
      </c>
      <c r="D104" s="4" t="s">
        <v>477</v>
      </c>
      <c r="E104" s="5" t="s">
        <v>276</v>
      </c>
      <c r="F104" s="6" t="s">
        <v>479</v>
      </c>
    </row>
    <row r="105" spans="2:6" ht="27.75" customHeight="1" x14ac:dyDescent="0.3">
      <c r="B105" s="2" t="s">
        <v>483</v>
      </c>
      <c r="C105" s="9">
        <f>MAX($I$76:$M$76)</f>
        <v>4.96415065793472</v>
      </c>
      <c r="D105" s="4" t="s">
        <v>23</v>
      </c>
      <c r="E105" s="5" t="s">
        <v>484</v>
      </c>
      <c r="F105" s="6" t="s">
        <v>485</v>
      </c>
    </row>
    <row r="106" spans="2:6" ht="15.45" customHeight="1" x14ac:dyDescent="0.3">
      <c r="B106" s="2" t="s">
        <v>486</v>
      </c>
      <c r="C106" s="7" t="str">
        <f>INDEX($I$34:$M$34,MATCH($C$105,$I$76:$M$76,0))</f>
        <v>U3</v>
      </c>
      <c r="D106" s="4" t="s">
        <v>12</v>
      </c>
      <c r="E106" s="5" t="s">
        <v>276</v>
      </c>
      <c r="F106" s="6" t="s">
        <v>408</v>
      </c>
    </row>
    <row r="107" spans="2:6" ht="15.45" customHeight="1" x14ac:dyDescent="0.3">
      <c r="B107" s="2" t="s">
        <v>487</v>
      </c>
      <c r="C107" s="10">
        <f>$C$105/$C$98</f>
        <v>0.397245766210046</v>
      </c>
      <c r="D107" s="4" t="s">
        <v>12</v>
      </c>
      <c r="E107" s="5" t="s">
        <v>276</v>
      </c>
      <c r="F107" s="6" t="s">
        <v>488</v>
      </c>
    </row>
    <row r="108" spans="2:6" ht="15.45" customHeight="1" x14ac:dyDescent="0.3">
      <c r="B108" s="25" t="s">
        <v>489</v>
      </c>
      <c r="C108" s="26" t="str">
        <f>IF($C$107&lt;=1,"CUMPLE","NO CUMPLE — aumentar h")</f>
        <v>CUMPLE</v>
      </c>
      <c r="D108" s="4" t="s">
        <v>12</v>
      </c>
      <c r="E108" s="5" t="s">
        <v>490</v>
      </c>
      <c r="F108" s="6" t="s">
        <v>491</v>
      </c>
    </row>
    <row r="110" spans="2:6" ht="18" customHeight="1" x14ac:dyDescent="0.3">
      <c r="B110" s="38" t="s">
        <v>492</v>
      </c>
      <c r="C110" s="37"/>
      <c r="D110" s="37"/>
      <c r="E110" s="37"/>
      <c r="F110" s="37"/>
    </row>
    <row r="111" spans="2:6" x14ac:dyDescent="0.3">
      <c r="B111" s="1" t="s">
        <v>5</v>
      </c>
      <c r="C111" s="1" t="s">
        <v>6</v>
      </c>
      <c r="D111" s="1" t="s">
        <v>7</v>
      </c>
      <c r="E111" s="1" t="s">
        <v>8</v>
      </c>
      <c r="F111" s="1" t="s">
        <v>9</v>
      </c>
    </row>
    <row r="112" spans="2:6" ht="27.75" customHeight="1" x14ac:dyDescent="0.3">
      <c r="B112" s="2" t="s">
        <v>493</v>
      </c>
      <c r="C112" s="9">
        <f>MAX($I$54:$M$54)</f>
        <v>15.9888117944925</v>
      </c>
      <c r="D112" s="4" t="s">
        <v>104</v>
      </c>
      <c r="E112" s="5" t="s">
        <v>494</v>
      </c>
      <c r="F112" s="6" t="s">
        <v>495</v>
      </c>
    </row>
    <row r="113" spans="2:6" ht="15.45" customHeight="1" x14ac:dyDescent="0.3">
      <c r="B113" s="2" t="s">
        <v>486</v>
      </c>
      <c r="C113" s="7" t="str">
        <f>INDEX($I$34:$M$34,MATCH($C$112,$I$54:$M$54,0))</f>
        <v>U3</v>
      </c>
      <c r="D113" s="4" t="s">
        <v>12</v>
      </c>
      <c r="E113" s="5" t="s">
        <v>276</v>
      </c>
      <c r="F113" s="6" t="s">
        <v>408</v>
      </c>
    </row>
    <row r="114" spans="2:6" ht="40.200000000000003" customHeight="1" x14ac:dyDescent="0.3">
      <c r="B114" s="2" t="s">
        <v>496</v>
      </c>
      <c r="C114" s="10">
        <f>IF($C$7&lt;$C$8,2*$C$20/($C$20+1),1)</f>
        <v>1</v>
      </c>
      <c r="D114" s="4" t="s">
        <v>12</v>
      </c>
      <c r="E114" s="5" t="s">
        <v>497</v>
      </c>
      <c r="F114" s="6" t="s">
        <v>498</v>
      </c>
    </row>
    <row r="115" spans="2:6" ht="27.75" customHeight="1" x14ac:dyDescent="0.3">
      <c r="B115" s="2" t="s">
        <v>499</v>
      </c>
      <c r="C115" s="9">
        <f>IF($C$112&lt;=0,0,IF((1-2*$C$112*100000/(DATOS!$C$86*0.85*DATOS!$C$15*($C$8*100)*$C$44^2))&lt;0,9999,0.85*DATOS!$C$15*($C$8*100)/DATOS!$C$18*$C$44*(1-SQRT((1-2*$C$112*100000/(DATOS!$C$86*0.85*DATOS!$C$15*($C$8*100)*$C$44^2))))))</f>
        <v>10.2378199232455</v>
      </c>
      <c r="D115" s="4" t="s">
        <v>141</v>
      </c>
      <c r="E115" s="5" t="s">
        <v>500</v>
      </c>
      <c r="F115" s="6" t="s">
        <v>501</v>
      </c>
    </row>
    <row r="116" ht="15.45" customHeight="1" x14ac:dyDescent="0.3">
      <c r="B116" s="2" t="inlineStr">
        <is>
          <t>As mínima = ρmín · b · h</t>
        </is>
      </c>
      <c r="C116" s="9">
        <f>DATOS!$C$92*$C$8*100*$C$9*100</f>
        <v>23.4</v>
      </c>
      <c r="D116" s="4" t="s">
        <v>141</v>
      </c>
      <c r="E116" s="5" t="s">
        <v>276</v>
      </c>
      <c r="F116" s="6" t="s">
        <v>503</v>
      </c>
    </row>
    <row r="117" spans="2:6" ht="15.45" customHeight="1" x14ac:dyDescent="0.3">
      <c r="B117" s="2" t="s">
        <v>504</v>
      </c>
      <c r="C117" s="9">
        <f>MAX($C$115,$C$116)*$C$114</f>
        <v>23.4</v>
      </c>
      <c r="D117" s="4" t="s">
        <v>141</v>
      </c>
      <c r="E117" s="5" t="s">
        <v>505</v>
      </c>
      <c r="F117" s="6" t="s">
        <v>277</v>
      </c>
    </row>
    <row r="118" spans="2:6" ht="15.45" customHeight="1" x14ac:dyDescent="0.3">
      <c r="B118" s="2" t="s">
        <v>506</v>
      </c>
      <c r="C118" s="27">
        <f>MAX(2,CEILING($C$117/$C$39,1))</f>
        <v>12</v>
      </c>
      <c r="D118" s="4" t="s">
        <v>507</v>
      </c>
      <c r="E118" s="5" t="s">
        <v>508</v>
      </c>
      <c r="F118" s="6" t="s">
        <v>259</v>
      </c>
    </row>
    <row r="119" spans="2:6" ht="27.75" customHeight="1" x14ac:dyDescent="0.3">
      <c r="B119" s="2" t="s">
        <v>509</v>
      </c>
      <c r="C119" s="11">
        <f>MAX(DATOS!$C$91,FLOOR(($C$8*100-2*$C$12-$C$38)/($C$118-1),DATOS!$C$91))</f>
        <v>20</v>
      </c>
      <c r="D119" s="4" t="s">
        <v>137</v>
      </c>
      <c r="E119" s="5" t="s">
        <v>510</v>
      </c>
      <c r="F119" s="6" t="s">
        <v>176</v>
      </c>
    </row>
    <row r="120" spans="2:6" ht="15.45" customHeight="1" x14ac:dyDescent="0.3">
      <c r="B120" s="2" t="s">
        <v>511</v>
      </c>
      <c r="C120" s="11">
        <f>MIN(2*$C$9*100,45)</f>
        <v>45</v>
      </c>
      <c r="D120" s="4" t="s">
        <v>137</v>
      </c>
      <c r="E120" s="5" t="s">
        <v>276</v>
      </c>
      <c r="F120" s="6" t="s">
        <v>512</v>
      </c>
    </row>
    <row r="121" spans="2:6" ht="27.75" customHeight="1" x14ac:dyDescent="0.3">
      <c r="B121" s="2" t="s">
        <v>513</v>
      </c>
      <c r="C121" s="11">
        <f>$C$38+MAX(2.5,$C$38,4/3*DATOS!$C$25/10)</f>
        <v>4.12333333333333</v>
      </c>
      <c r="D121" s="4" t="s">
        <v>137</v>
      </c>
      <c r="E121" s="5" t="s">
        <v>514</v>
      </c>
      <c r="F121" s="6" t="s">
        <v>58</v>
      </c>
    </row>
    <row r="122" spans="2:6" ht="27.75" customHeight="1" x14ac:dyDescent="0.3">
      <c r="B122" s="25" t="s">
        <v>515</v>
      </c>
      <c r="C122" s="28">
        <f>IF($C$34&gt;0,$C$34,MIN($C$119,FLOOR($C$120,DATOS!$C$91)))</f>
        <v>20</v>
      </c>
      <c r="D122" s="4" t="s">
        <v>137</v>
      </c>
      <c r="E122" s="5" t="s">
        <v>516</v>
      </c>
      <c r="F122" s="6" t="s">
        <v>176</v>
      </c>
    </row>
    <row r="123" spans="2:6" ht="15.45" customHeight="1" x14ac:dyDescent="0.3">
      <c r="B123" s="2" t="s">
        <v>517</v>
      </c>
      <c r="C123" s="27">
        <f>INT(($C$8*100-2*$C$12-$C$38)/$C$122)+1</f>
        <v>13</v>
      </c>
      <c r="D123" s="4" t="s">
        <v>507</v>
      </c>
      <c r="E123" s="5" t="s">
        <v>518</v>
      </c>
      <c r="F123" s="6" t="s">
        <v>176</v>
      </c>
    </row>
    <row r="124" spans="2:6" ht="15.45" customHeight="1" x14ac:dyDescent="0.3">
      <c r="B124" s="2" t="s">
        <v>519</v>
      </c>
      <c r="C124" s="9">
        <f>$C$123*$C$39</f>
        <v>25.74</v>
      </c>
      <c r="D124" s="4" t="s">
        <v>141</v>
      </c>
      <c r="E124" s="5" t="s">
        <v>276</v>
      </c>
      <c r="F124" s="6" t="s">
        <v>259</v>
      </c>
    </row>
    <row r="125" spans="2:6" ht="15.45" customHeight="1" x14ac:dyDescent="0.3">
      <c r="B125" s="25" t="s">
        <v>520</v>
      </c>
      <c r="C125" s="26" t="str">
        <f>IF($C$124&gt;=$C$117,"CUMPLE","NO CUMPLE — cerrar la separación")</f>
        <v>CUMPLE</v>
      </c>
      <c r="D125" s="4" t="s">
        <v>12</v>
      </c>
      <c r="E125" s="5" t="s">
        <v>521</v>
      </c>
      <c r="F125" s="6" t="s">
        <v>522</v>
      </c>
    </row>
    <row r="126" spans="2:6" ht="15.45" customHeight="1" x14ac:dyDescent="0.3">
      <c r="B126" s="25" t="s">
        <v>523</v>
      </c>
      <c r="C126" s="26" t="str">
        <f>IF($C$122&gt;$C$120,"NO CUMPLE — mayor que la máxima",IF($C$122&lt;$C$121,"NO CUMPLE — muy juntas: usar varilla más gruesa","CUMPLE"))</f>
        <v>CUMPLE</v>
      </c>
      <c r="D126" s="4" t="s">
        <v>12</v>
      </c>
      <c r="E126" s="5" t="s">
        <v>524</v>
      </c>
      <c r="F126" s="6" t="s">
        <v>525</v>
      </c>
    </row>
    <row r="127" spans="2:6" ht="15.45" customHeight="1" x14ac:dyDescent="0.3">
      <c r="B127" s="2" t="s">
        <v>526</v>
      </c>
      <c r="C127" s="9">
        <f>$C$124*DATOS!$C$18/(0.85*DATOS!$C$15*$C$8*100)</f>
        <v>1.95670588235294</v>
      </c>
      <c r="D127" s="4" t="s">
        <v>137</v>
      </c>
      <c r="E127" s="5" t="s">
        <v>276</v>
      </c>
      <c r="F127" s="6" t="s">
        <v>527</v>
      </c>
    </row>
    <row r="128" spans="2:6" ht="15.45" customHeight="1" x14ac:dyDescent="0.3">
      <c r="B128" s="2" t="s">
        <v>528</v>
      </c>
      <c r="C128" s="15">
        <f>0.003*($C$44-$C$127/DATOS!$C$22)/($C$127/DATOS!$C$22)</f>
        <v>0.0513504013347763</v>
      </c>
      <c r="D128" s="4" t="s">
        <v>12</v>
      </c>
      <c r="E128" s="5" t="s">
        <v>529</v>
      </c>
      <c r="F128" s="6" t="s">
        <v>530</v>
      </c>
    </row>
    <row r="129" spans="2:6" ht="15.45" customHeight="1" x14ac:dyDescent="0.3">
      <c r="B129" s="2" t="s">
        <v>531</v>
      </c>
      <c r="C129" s="10">
        <f>IF($C$128&gt;=DATOS!$C$21+0.003,0.9,IF($C$128&lt;=DATOS!$C$21,0.65,0.65+0.25*($C$128-DATOS!$C$21)/0.003))</f>
        <v>0.9</v>
      </c>
      <c r="D129" s="4" t="s">
        <v>12</v>
      </c>
      <c r="E129" s="5" t="s">
        <v>532</v>
      </c>
      <c r="F129" s="6" t="s">
        <v>533</v>
      </c>
    </row>
    <row r="130" spans="2:6" ht="15.45" customHeight="1" x14ac:dyDescent="0.3">
      <c r="B130" s="2" t="s">
        <v>534</v>
      </c>
      <c r="C130" s="9">
        <f>$C$129*$C$124*DATOS!$C$18*($C$44-$C$127/2)/100000</f>
        <v>39.6258872421176</v>
      </c>
      <c r="D130" s="4" t="s">
        <v>104</v>
      </c>
      <c r="E130" s="5" t="s">
        <v>276</v>
      </c>
      <c r="F130" s="6" t="s">
        <v>535</v>
      </c>
    </row>
    <row r="131" spans="2:6" ht="27.75" customHeight="1" x14ac:dyDescent="0.3">
      <c r="B131" s="25" t="s">
        <v>536</v>
      </c>
      <c r="C131" s="26" t="str">
        <f>IF(AND($C$130&gt;=$C$112,$C$128&gt;=DATOS!$C$21+0.003),"CUMPLE","NO CUMPLE — aumentar h o el armado")</f>
        <v>CUMPLE</v>
      </c>
      <c r="D131" s="4" t="s">
        <v>12</v>
      </c>
      <c r="E131" s="5" t="s">
        <v>537</v>
      </c>
      <c r="F131" s="6" t="s">
        <v>538</v>
      </c>
    </row>
    <row r="132" spans="2:6" ht="36" customHeight="1" x14ac:dyDescent="0.3">
      <c r="B132" s="25" t="s">
        <v>539</v>
      </c>
      <c r="C132" s="26" t="str">
        <f>"#"&amp;$C$31&amp;" @ "&amp;TEXT($C$122,"0.0")&amp;" cm  ("&amp;$C$123&amp;" pzas)"</f>
        <v>#5 @ 20.0 cm  (13 pzas)</v>
      </c>
      <c r="D132" s="4" t="s">
        <v>12</v>
      </c>
      <c r="E132" s="5" t="s">
        <v>540</v>
      </c>
      <c r="F132" s="6" t="s">
        <v>541</v>
      </c>
    </row>
    <row r="134" spans="2:6" ht="18" customHeight="1" x14ac:dyDescent="0.3">
      <c r="B134" s="38" t="s">
        <v>542</v>
      </c>
      <c r="C134" s="37"/>
      <c r="D134" s="37"/>
      <c r="E134" s="37"/>
      <c r="F134" s="37"/>
    </row>
    <row r="135" spans="2:6" x14ac:dyDescent="0.3"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</row>
    <row r="136" spans="2:6" ht="27.75" customHeight="1" x14ac:dyDescent="0.3">
      <c r="B136" s="2" t="s">
        <v>543</v>
      </c>
      <c r="C136" s="9">
        <f>MAX($I$66:$M$66)</f>
        <v>15.5286485178653</v>
      </c>
      <c r="D136" s="4" t="s">
        <v>104</v>
      </c>
      <c r="E136" s="5" t="s">
        <v>494</v>
      </c>
      <c r="F136" s="6" t="s">
        <v>495</v>
      </c>
    </row>
    <row r="137" spans="2:6" ht="15.45" customHeight="1" x14ac:dyDescent="0.3">
      <c r="B137" s="2" t="s">
        <v>486</v>
      </c>
      <c r="C137" s="7" t="str">
        <f>INDEX($I$34:$M$34,MATCH($C$136,$I$66:$M$66,0))</f>
        <v>U3</v>
      </c>
      <c r="D137" s="4" t="s">
        <v>12</v>
      </c>
      <c r="E137" s="5" t="s">
        <v>276</v>
      </c>
      <c r="F137" s="6" t="s">
        <v>408</v>
      </c>
    </row>
    <row r="138" spans="2:6" ht="40.200000000000003" customHeight="1" x14ac:dyDescent="0.3">
      <c r="B138" s="2" t="s">
        <v>496</v>
      </c>
      <c r="C138" s="10">
        <f>IF($C$8&lt;$C$7,2*$C$20/($C$20+1),1)</f>
        <v>1</v>
      </c>
      <c r="D138" s="4" t="s">
        <v>12</v>
      </c>
      <c r="E138" s="5" t="s">
        <v>497</v>
      </c>
      <c r="F138" s="6" t="s">
        <v>498</v>
      </c>
    </row>
    <row r="139" spans="2:6" ht="27.75" customHeight="1" x14ac:dyDescent="0.3">
      <c r="B139" s="2" t="s">
        <v>499</v>
      </c>
      <c r="C139" s="9">
        <f>IF($C$136&lt;=0,0,IF((1-2*$C$136*100000/(DATOS!$C$86*0.85*DATOS!$C$15*($C$7*100)*$C$45^2))&lt;0,9999,0.85*DATOS!$C$15*($C$7*100)/DATOS!$C$18*$C$45*(1-SQRT((1-2*$C$136*100000/(DATOS!$C$86*0.85*DATOS!$C$15*($C$7*100)*$C$45^2))))))</f>
        <v>10.3421731534345</v>
      </c>
      <c r="D139" s="4" t="s">
        <v>141</v>
      </c>
      <c r="E139" s="5" t="s">
        <v>500</v>
      </c>
      <c r="F139" s="6" t="s">
        <v>501</v>
      </c>
    </row>
    <row r="140" ht="15.45" customHeight="1" x14ac:dyDescent="0.3">
      <c r="B140" s="2" t="inlineStr">
        <is>
          <t>As mínima = ρmín · b · h</t>
        </is>
      </c>
      <c r="C140" s="9">
        <f>DATOS!$C$92*$C$7*100*$C$9*100</f>
        <v>23.4</v>
      </c>
      <c r="D140" s="4" t="s">
        <v>141</v>
      </c>
      <c r="E140" s="5" t="s">
        <v>276</v>
      </c>
      <c r="F140" s="6" t="s">
        <v>503</v>
      </c>
    </row>
    <row r="141" spans="2:6" ht="15.45" customHeight="1" x14ac:dyDescent="0.3">
      <c r="B141" s="2" t="s">
        <v>504</v>
      </c>
      <c r="C141" s="9">
        <f>MAX($C$139,$C$140)*$C$138</f>
        <v>23.4</v>
      </c>
      <c r="D141" s="4" t="s">
        <v>141</v>
      </c>
      <c r="E141" s="5" t="s">
        <v>505</v>
      </c>
      <c r="F141" s="6" t="s">
        <v>277</v>
      </c>
    </row>
    <row r="142" spans="2:6" ht="15.45" customHeight="1" x14ac:dyDescent="0.3">
      <c r="B142" s="2" t="s">
        <v>506</v>
      </c>
      <c r="C142" s="27">
        <f>MAX(2,CEILING($C$141/$C$41,1))</f>
        <v>12</v>
      </c>
      <c r="D142" s="4" t="s">
        <v>507</v>
      </c>
      <c r="E142" s="5" t="s">
        <v>508</v>
      </c>
      <c r="F142" s="6" t="s">
        <v>259</v>
      </c>
    </row>
    <row r="143" spans="2:6" ht="27.75" customHeight="1" x14ac:dyDescent="0.3">
      <c r="B143" s="2" t="s">
        <v>509</v>
      </c>
      <c r="C143" s="11">
        <f>MAX(DATOS!$C$91,FLOOR(($C$7*100-2*$C$12-$C$40)/($C$142-1),DATOS!$C$91))</f>
        <v>20</v>
      </c>
      <c r="D143" s="4" t="s">
        <v>137</v>
      </c>
      <c r="E143" s="5" t="s">
        <v>510</v>
      </c>
      <c r="F143" s="6" t="s">
        <v>176</v>
      </c>
    </row>
    <row r="144" spans="2:6" ht="15.45" customHeight="1" x14ac:dyDescent="0.3">
      <c r="B144" s="2" t="s">
        <v>511</v>
      </c>
      <c r="C144" s="11">
        <f>MIN(2*$C$9*100,45)</f>
        <v>45</v>
      </c>
      <c r="D144" s="4" t="s">
        <v>137</v>
      </c>
      <c r="E144" s="5" t="s">
        <v>276</v>
      </c>
      <c r="F144" s="6" t="s">
        <v>512</v>
      </c>
    </row>
    <row r="145" spans="2:6" ht="27.75" customHeight="1" x14ac:dyDescent="0.3">
      <c r="B145" s="2" t="s">
        <v>513</v>
      </c>
      <c r="C145" s="11">
        <f>$C$40+MAX(2.5,$C$40,4/3*DATOS!$C$25/10)</f>
        <v>4.12333333333333</v>
      </c>
      <c r="D145" s="4" t="s">
        <v>137</v>
      </c>
      <c r="E145" s="5" t="s">
        <v>514</v>
      </c>
      <c r="F145" s="6" t="s">
        <v>58</v>
      </c>
    </row>
    <row r="146" spans="2:6" ht="27.75" customHeight="1" x14ac:dyDescent="0.3">
      <c r="B146" s="25" t="s">
        <v>515</v>
      </c>
      <c r="C146" s="28">
        <f>IF($C$35&gt;0,$C$35,MIN($C$143,FLOOR($C$144,DATOS!$C$91)))</f>
        <v>20</v>
      </c>
      <c r="D146" s="4" t="s">
        <v>137</v>
      </c>
      <c r="E146" s="5" t="s">
        <v>516</v>
      </c>
      <c r="F146" s="6" t="s">
        <v>176</v>
      </c>
    </row>
    <row r="147" spans="2:6" ht="15.45" customHeight="1" x14ac:dyDescent="0.3">
      <c r="B147" s="2" t="s">
        <v>517</v>
      </c>
      <c r="C147" s="27">
        <f>INT(($C$7*100-2*$C$12-$C$40)/$C$146)+1</f>
        <v>13</v>
      </c>
      <c r="D147" s="4" t="s">
        <v>507</v>
      </c>
      <c r="E147" s="5" t="s">
        <v>518</v>
      </c>
      <c r="F147" s="6" t="s">
        <v>176</v>
      </c>
    </row>
    <row r="148" spans="2:6" ht="15.45" customHeight="1" x14ac:dyDescent="0.3">
      <c r="B148" s="2" t="s">
        <v>519</v>
      </c>
      <c r="C148" s="9">
        <f>$C$147*$C$41</f>
        <v>25.74</v>
      </c>
      <c r="D148" s="4" t="s">
        <v>141</v>
      </c>
      <c r="E148" s="5" t="s">
        <v>276</v>
      </c>
      <c r="F148" s="6" t="s">
        <v>259</v>
      </c>
    </row>
    <row r="149" spans="2:6" ht="15.45" customHeight="1" x14ac:dyDescent="0.3">
      <c r="B149" s="25" t="s">
        <v>520</v>
      </c>
      <c r="C149" s="26" t="str">
        <f>IF($C$148&gt;=$C$141,"CUMPLE","NO CUMPLE — cerrar la separación")</f>
        <v>CUMPLE</v>
      </c>
      <c r="D149" s="4" t="s">
        <v>12</v>
      </c>
      <c r="E149" s="5" t="s">
        <v>521</v>
      </c>
      <c r="F149" s="6" t="s">
        <v>522</v>
      </c>
    </row>
    <row r="150" spans="2:6" ht="15.45" customHeight="1" x14ac:dyDescent="0.3">
      <c r="B150" s="25" t="s">
        <v>523</v>
      </c>
      <c r="C150" s="26" t="str">
        <f>IF($C$146&gt;$C$144,"NO CUMPLE — mayor que la máxima",IF($C$146&lt;$C$145,"NO CUMPLE — muy juntas: usar varilla más gruesa","CUMPLE"))</f>
        <v>CUMPLE</v>
      </c>
      <c r="D150" s="4" t="s">
        <v>12</v>
      </c>
      <c r="E150" s="5" t="s">
        <v>524</v>
      </c>
      <c r="F150" s="6" t="s">
        <v>525</v>
      </c>
    </row>
    <row r="151" spans="2:6" ht="15.45" customHeight="1" x14ac:dyDescent="0.3">
      <c r="B151" s="2" t="s">
        <v>526</v>
      </c>
      <c r="C151" s="9">
        <f>$C$148*DATOS!$C$18/(0.85*DATOS!$C$15*$C$7*100)</f>
        <v>1.95670588235294</v>
      </c>
      <c r="D151" s="4" t="s">
        <v>137</v>
      </c>
      <c r="E151" s="5" t="s">
        <v>276</v>
      </c>
      <c r="F151" s="6" t="s">
        <v>527</v>
      </c>
    </row>
    <row r="152" spans="2:6" ht="15.45" customHeight="1" x14ac:dyDescent="0.3">
      <c r="B152" s="2" t="s">
        <v>528</v>
      </c>
      <c r="C152" s="15">
        <f>0.003*($C$45-$C$151/DATOS!$C$22)/($C$151/DATOS!$C$22)</f>
        <v>0.0492782963564214</v>
      </c>
      <c r="D152" s="4" t="s">
        <v>12</v>
      </c>
      <c r="E152" s="5" t="s">
        <v>529</v>
      </c>
      <c r="F152" s="6" t="s">
        <v>530</v>
      </c>
    </row>
    <row r="153" spans="2:6" ht="15.45" customHeight="1" x14ac:dyDescent="0.3">
      <c r="B153" s="2" t="s">
        <v>531</v>
      </c>
      <c r="C153" s="10">
        <f>IF($C$152&gt;=DATOS!$C$21+0.003,0.9,IF($C$152&lt;=DATOS!$C$21,0.65,0.65+0.25*($C$152-DATOS!$C$21)/0.003))</f>
        <v>0.9</v>
      </c>
      <c r="D153" s="4" t="s">
        <v>12</v>
      </c>
      <c r="E153" s="5" t="s">
        <v>532</v>
      </c>
      <c r="F153" s="6" t="s">
        <v>533</v>
      </c>
    </row>
    <row r="154" spans="2:6" ht="15.45" customHeight="1" x14ac:dyDescent="0.3">
      <c r="B154" s="2" t="s">
        <v>534</v>
      </c>
      <c r="C154" s="9">
        <f>$C$153*$C$148*DATOS!$C$18*($C$45-$C$151/2)/100000</f>
        <v>38.0788617621177</v>
      </c>
      <c r="D154" s="4" t="s">
        <v>104</v>
      </c>
      <c r="E154" s="5" t="s">
        <v>276</v>
      </c>
      <c r="F154" s="6" t="s">
        <v>535</v>
      </c>
    </row>
    <row r="155" spans="2:6" ht="27.75" customHeight="1" x14ac:dyDescent="0.3">
      <c r="B155" s="25" t="s">
        <v>536</v>
      </c>
      <c r="C155" s="26" t="str">
        <f>IF(AND($C$154&gt;=$C$136,$C$152&gt;=DATOS!$C$21+0.003),"CUMPLE","NO CUMPLE — aumentar h o el armado")</f>
        <v>CUMPLE</v>
      </c>
      <c r="D155" s="4" t="s">
        <v>12</v>
      </c>
      <c r="E155" s="5" t="s">
        <v>537</v>
      </c>
      <c r="F155" s="6" t="s">
        <v>538</v>
      </c>
    </row>
    <row r="156" spans="2:6" ht="15.45" customHeight="1" x14ac:dyDescent="0.3">
      <c r="B156" s="25" t="s">
        <v>544</v>
      </c>
      <c r="C156" s="26" t="str">
        <f>"#"&amp;$C$32&amp;" @ "&amp;TEXT($C$146,"0.0")&amp;" cm  ("&amp;$C$147&amp;" pzas)"</f>
        <v>#5 @ 20.0 cm  (13 pzas)</v>
      </c>
      <c r="D156" s="4" t="s">
        <v>12</v>
      </c>
      <c r="E156" s="5" t="s">
        <v>540</v>
      </c>
      <c r="F156" s="6" t="s">
        <v>541</v>
      </c>
    </row>
    <row r="158" spans="2:6" ht="18" customHeight="1" x14ac:dyDescent="0.3">
      <c r="B158" s="38" t="s">
        <v>545</v>
      </c>
      <c r="C158" s="37"/>
      <c r="D158" s="37"/>
      <c r="E158" s="37"/>
      <c r="F158" s="37"/>
    </row>
    <row r="159" spans="2:6" x14ac:dyDescent="0.3">
      <c r="B159" s="1" t="s">
        <v>5</v>
      </c>
      <c r="C159" s="1" t="s">
        <v>6</v>
      </c>
      <c r="D159" s="1" t="s">
        <v>7</v>
      </c>
      <c r="E159" s="1" t="s">
        <v>8</v>
      </c>
      <c r="F159" s="1" t="s">
        <v>9</v>
      </c>
    </row>
    <row r="160" spans="2:6" ht="27.75" customHeight="1" x14ac:dyDescent="0.3">
      <c r="B160" s="2" t="s">
        <v>546</v>
      </c>
      <c r="C160" s="9">
        <f>MAX($I$57:$M$57)</f>
        <v>18.5353283197377</v>
      </c>
      <c r="D160" s="4" t="s">
        <v>96</v>
      </c>
      <c r="E160" s="5" t="s">
        <v>547</v>
      </c>
      <c r="F160" s="6" t="s">
        <v>452</v>
      </c>
    </row>
    <row r="161" spans="2:6" ht="15.45" customHeight="1" x14ac:dyDescent="0.3">
      <c r="B161" s="2" t="s">
        <v>548</v>
      </c>
      <c r="C161" s="13">
        <f>$C$124/($C$8*100*$C$44)</f>
        <v>0.00237381608919794</v>
      </c>
      <c r="D161" s="4" t="s">
        <v>12</v>
      </c>
      <c r="E161" s="5" t="s">
        <v>549</v>
      </c>
      <c r="F161" s="6" t="s">
        <v>550</v>
      </c>
    </row>
    <row r="162" spans="2:6" ht="15.45" customHeight="1" x14ac:dyDescent="0.3">
      <c r="B162" s="2" t="s">
        <v>551</v>
      </c>
      <c r="C162" s="10">
        <f>IF(DATOS!$C$90="SÍ",1,MIN(1,SQRT(2/(1+0.004*$C$44*10))))</f>
        <v>1</v>
      </c>
      <c r="D162" s="4" t="s">
        <v>12</v>
      </c>
      <c r="E162" s="5" t="s">
        <v>276</v>
      </c>
      <c r="F162" s="6" t="s">
        <v>552</v>
      </c>
    </row>
    <row r="163" spans="2:6" ht="27.75" customHeight="1" x14ac:dyDescent="0.3">
      <c r="B163" s="2" t="s">
        <v>553</v>
      </c>
      <c r="C163" s="9">
        <f>0.66*$C$162*DATOS!$C$23*$C$161^(1/3)*DATOS!$C$17*DATOS!$C$89*$C$8*100*$C$44/1000</f>
        <v>48.2019829820555</v>
      </c>
      <c r="D163" s="4" t="s">
        <v>96</v>
      </c>
      <c r="E163" s="5" t="s">
        <v>554</v>
      </c>
      <c r="F163" s="6" t="s">
        <v>555</v>
      </c>
    </row>
    <row r="164" spans="2:6" ht="15.45" customHeight="1" x14ac:dyDescent="0.3">
      <c r="B164" s="2" t="s">
        <v>556</v>
      </c>
      <c r="C164" s="9">
        <f>0.42*DATOS!$C$23*DATOS!$C$17*DATOS!$C$89*$C$8*100*$C$44/1000</f>
        <v>229.943552607013</v>
      </c>
      <c r="D164" s="4" t="s">
        <v>96</v>
      </c>
      <c r="E164" s="5" t="s">
        <v>276</v>
      </c>
      <c r="F164" s="6" t="s">
        <v>557</v>
      </c>
    </row>
    <row r="165" spans="2:6" ht="15.45" customHeight="1" x14ac:dyDescent="0.3">
      <c r="B165" s="2" t="s">
        <v>558</v>
      </c>
      <c r="C165" s="9">
        <f>DATOS!$C$87*MIN($C$163,$C$164)</f>
        <v>36.1514872365416</v>
      </c>
      <c r="D165" s="4" t="s">
        <v>96</v>
      </c>
      <c r="E165" s="5" t="s">
        <v>469</v>
      </c>
      <c r="F165" s="6" t="s">
        <v>166</v>
      </c>
    </row>
    <row r="166" spans="2:6" ht="15.45" customHeight="1" x14ac:dyDescent="0.3">
      <c r="B166" s="25" t="s">
        <v>559</v>
      </c>
      <c r="C166" s="26" t="str">
        <f>IF($C$165&gt;=$C$160,"CUMPLE","NO CUMPLE — aumentar h o el armado")</f>
        <v>CUMPLE</v>
      </c>
      <c r="D166" s="4" t="s">
        <v>12</v>
      </c>
      <c r="E166" s="5" t="s">
        <v>560</v>
      </c>
      <c r="F166" s="6" t="s">
        <v>561</v>
      </c>
    </row>
    <row r="167" spans="2:6" ht="27.75" customHeight="1" x14ac:dyDescent="0.3">
      <c r="B167" s="2" t="s">
        <v>562</v>
      </c>
      <c r="C167" s="9">
        <f>MAX($I$69:$M$69)</f>
        <v>18.4017389653923</v>
      </c>
      <c r="D167" s="4" t="s">
        <v>96</v>
      </c>
      <c r="E167" s="5" t="s">
        <v>563</v>
      </c>
      <c r="F167" s="6" t="s">
        <v>452</v>
      </c>
    </row>
    <row r="168" spans="2:6" ht="15.45" customHeight="1" x14ac:dyDescent="0.3">
      <c r="B168" s="2" t="s">
        <v>564</v>
      </c>
      <c r="C168" s="13">
        <f>$C$148/($C$7*100*$C$45)</f>
        <v>0.0024679047737754</v>
      </c>
      <c r="D168" s="4" t="s">
        <v>12</v>
      </c>
      <c r="E168" s="5" t="s">
        <v>549</v>
      </c>
      <c r="F168" s="6" t="s">
        <v>550</v>
      </c>
    </row>
    <row r="169" spans="2:6" ht="15.45" customHeight="1" x14ac:dyDescent="0.3">
      <c r="B169" s="2" t="s">
        <v>565</v>
      </c>
      <c r="C169" s="10">
        <f>IF(DATOS!$C$90="SÍ",1,MIN(1,SQRT(2/(1+0.004*$C$45*10))))</f>
        <v>1</v>
      </c>
      <c r="D169" s="4" t="s">
        <v>12</v>
      </c>
      <c r="E169" s="5" t="s">
        <v>276</v>
      </c>
      <c r="F169" s="6" t="s">
        <v>552</v>
      </c>
    </row>
    <row r="170" spans="2:6" ht="27.75" customHeight="1" x14ac:dyDescent="0.3">
      <c r="B170" s="2" t="s">
        <v>553</v>
      </c>
      <c r="C170" s="9">
        <f>0.66*$C$169*DATOS!$C$23*$C$168^(1/3)*DATOS!$C$17*DATOS!$C$89*$C$7*100*$C$45/1000</f>
        <v>46.9689320655514</v>
      </c>
      <c r="D170" s="4" t="s">
        <v>96</v>
      </c>
      <c r="E170" s="5" t="s">
        <v>554</v>
      </c>
      <c r="F170" s="6" t="s">
        <v>555</v>
      </c>
    </row>
    <row r="171" spans="2:6" ht="15.45" customHeight="1" x14ac:dyDescent="0.3">
      <c r="B171" s="2" t="s">
        <v>556</v>
      </c>
      <c r="C171" s="9">
        <f>0.42*DATOS!$C$23*DATOS!$C$17*DATOS!$C$89*$C$7*100*$C$45/1000</f>
        <v>221.176971893785</v>
      </c>
      <c r="D171" s="4" t="s">
        <v>96</v>
      </c>
      <c r="E171" s="5" t="s">
        <v>276</v>
      </c>
      <c r="F171" s="6" t="s">
        <v>557</v>
      </c>
    </row>
    <row r="172" spans="2:6" ht="15.45" customHeight="1" x14ac:dyDescent="0.3">
      <c r="B172" s="2" t="s">
        <v>558</v>
      </c>
      <c r="C172" s="9">
        <f>DATOS!$C$87*MIN($C$170,$C$171)</f>
        <v>35.2266990491636</v>
      </c>
      <c r="D172" s="4" t="s">
        <v>96</v>
      </c>
      <c r="E172" s="5" t="s">
        <v>469</v>
      </c>
      <c r="F172" s="6" t="s">
        <v>166</v>
      </c>
    </row>
    <row r="173" spans="2:6" ht="15.45" customHeight="1" x14ac:dyDescent="0.3">
      <c r="B173" s="25" t="s">
        <v>566</v>
      </c>
      <c r="C173" s="26" t="str">
        <f>IF($C$172&gt;=$C$167,"CUMPLE","NO CUMPLE — aumentar h o el armado")</f>
        <v>CUMPLE</v>
      </c>
      <c r="D173" s="4" t="s">
        <v>12</v>
      </c>
      <c r="E173" s="5" t="s">
        <v>560</v>
      </c>
      <c r="F173" s="6" t="s">
        <v>561</v>
      </c>
    </row>
    <row r="175" spans="2:6" ht="18" customHeight="1" x14ac:dyDescent="0.3">
      <c r="B175" s="38" t="s">
        <v>567</v>
      </c>
      <c r="C175" s="37"/>
      <c r="D175" s="37"/>
      <c r="E175" s="37"/>
      <c r="F175" s="37"/>
    </row>
    <row r="176" spans="2:6" x14ac:dyDescent="0.3">
      <c r="B176" s="1" t="s">
        <v>5</v>
      </c>
      <c r="C176" s="1" t="s">
        <v>6</v>
      </c>
      <c r="D176" s="1" t="s">
        <v>7</v>
      </c>
      <c r="E176" s="1" t="s">
        <v>8</v>
      </c>
      <c r="F176" s="1" t="s">
        <v>9</v>
      </c>
    </row>
    <row r="177" spans="2:6" ht="40.200000000000003" customHeight="1" x14ac:dyDescent="0.3">
      <c r="B177" s="2" t="s">
        <v>568</v>
      </c>
      <c r="C177" s="9">
        <f>MAX(0,MAX($I$59:$M$59))</f>
        <v>0</v>
      </c>
      <c r="D177" s="4" t="s">
        <v>104</v>
      </c>
      <c r="E177" s="5" t="s">
        <v>569</v>
      </c>
      <c r="F177" s="6" t="s">
        <v>570</v>
      </c>
    </row>
    <row r="178" spans="2:6" ht="15.45" customHeight="1" x14ac:dyDescent="0.3">
      <c r="B178" s="2" t="s">
        <v>571</v>
      </c>
      <c r="C178" s="9">
        <f>MAX(0,MAX($I$71:$M$71))</f>
        <v>0</v>
      </c>
      <c r="D178" s="4" t="s">
        <v>104</v>
      </c>
      <c r="E178" s="5" t="s">
        <v>276</v>
      </c>
      <c r="F178" s="6" t="s">
        <v>570</v>
      </c>
    </row>
    <row r="179" spans="2:6" ht="15.45" customHeight="1" x14ac:dyDescent="0.3">
      <c r="B179" s="2" t="s">
        <v>572</v>
      </c>
      <c r="C179" s="10">
        <f>MAX($C$177/$C$8,$C$178/$C$7)</f>
        <v>0</v>
      </c>
      <c r="D179" s="4" t="s">
        <v>154</v>
      </c>
      <c r="E179" s="5" t="s">
        <v>276</v>
      </c>
      <c r="F179" s="6" t="s">
        <v>488</v>
      </c>
    </row>
    <row r="180" spans="2:6" ht="15.45" customHeight="1" x14ac:dyDescent="0.3">
      <c r="B180" s="2" t="s">
        <v>573</v>
      </c>
      <c r="C180" s="9">
        <f>$C$9*100-$C$13-$C$42</f>
        <v>43.73</v>
      </c>
      <c r="D180" s="4" t="s">
        <v>137</v>
      </c>
      <c r="E180" s="5" t="s">
        <v>574</v>
      </c>
      <c r="F180" s="6" t="s">
        <v>259</v>
      </c>
    </row>
    <row r="181" spans="2:6" ht="15.45" customHeight="1" x14ac:dyDescent="0.3">
      <c r="B181" s="2" t="s">
        <v>575</v>
      </c>
      <c r="C181" s="9">
        <f>IF($C$179&lt;=0,0,IF((1-2*$C$179*100000/(DATOS!$C$86*0.85*DATOS!$C$15*100*$C$180^2))&lt;0,9999,0.85*DATOS!$C$15*100/DATOS!$C$18*$C$180*(1-SQRT((1-2*$C$179*100000/(DATOS!$C$86*0.85*DATOS!$C$15*100*$C$180^2))))))</f>
        <v>0</v>
      </c>
      <c r="D181" s="4" t="s">
        <v>576</v>
      </c>
      <c r="E181" s="5" t="s">
        <v>577</v>
      </c>
      <c r="F181" s="6" t="s">
        <v>535</v>
      </c>
    </row>
    <row r="182" ht="40.200000000000003" customHeight="1" x14ac:dyDescent="0.3">
      <c r="B182" s="2" t="s">
        <v>578</v>
      </c>
      <c r="C182" s="9">
        <f>IF($C$36="SÍ",IF($C$181&gt;0,MAX($C$181,DATOS!$C$92*100*$C$9*100),DATOS!$C$92/2*100*$C$9*100),0)</f>
        <v>0</v>
      </c>
      <c r="D182" s="4" t="s">
        <v>576</v>
      </c>
      <c r="E182" s="5" t="inlineStr">
        <is>
          <t>CALCULADA. Si el cálculo pide acero arriba: el mínimo ρmín b h en la cara en tensión. Si no: práctica de ρmín/2 · b h (mitad del mínimo).</t>
        </is>
      </c>
      <c r="F182" s="6" t="s">
        <v>580</v>
      </c>
    </row>
    <row r="183" spans="2:6" ht="27.75" customHeight="1" x14ac:dyDescent="0.3">
      <c r="B183" s="2" t="s">
        <v>581</v>
      </c>
      <c r="C183" s="11">
        <f>IF($C$182&gt;0,MAX(DATOS!$C$91,MIN(FLOOR($C$43/$C$182*100,DATOS!$C$91),FLOOR(MIN(2*$C$9*100,45),DATOS!$C$91))),0)</f>
        <v>0</v>
      </c>
      <c r="D183" s="4" t="s">
        <v>137</v>
      </c>
      <c r="E183" s="5" t="s">
        <v>276</v>
      </c>
      <c r="F183" s="6" t="s">
        <v>512</v>
      </c>
    </row>
    <row r="184" spans="2:6" ht="15.45" customHeight="1" x14ac:dyDescent="0.3">
      <c r="B184" s="2" t="s">
        <v>582</v>
      </c>
      <c r="C184" s="27">
        <f>IF($C$183&gt;0,INT(($C$8*100-2*$C$12-$C$42)/$C$183)+1,0)</f>
        <v>0</v>
      </c>
      <c r="D184" s="4" t="s">
        <v>507</v>
      </c>
      <c r="E184" s="5" t="s">
        <v>276</v>
      </c>
      <c r="F184" s="6" t="s">
        <v>259</v>
      </c>
    </row>
    <row r="185" spans="2:6" ht="15.45" customHeight="1" x14ac:dyDescent="0.3">
      <c r="B185" s="2" t="s">
        <v>583</v>
      </c>
      <c r="C185" s="27">
        <f>IF($C$183&gt;0,INT(($C$7*100-2*$C$12-$C$42)/$C$183)+1,0)</f>
        <v>0</v>
      </c>
      <c r="D185" s="4" t="s">
        <v>507</v>
      </c>
      <c r="E185" s="5" t="s">
        <v>276</v>
      </c>
      <c r="F185" s="6" t="s">
        <v>259</v>
      </c>
    </row>
    <row r="186" spans="2:6" ht="27.75" customHeight="1" x14ac:dyDescent="0.3">
      <c r="B186" s="25" t="s">
        <v>584</v>
      </c>
      <c r="C186" s="26" t="str">
        <f>IF(AND($C$181&gt;0,$C$36="NO"),"NO CUMPLE — hay momento negativo: pon SÍ en parrilla superior (sección 2)",IF($C$36="SÍ","CUMPLE — se coloca","CUMPLE — no se requiere"))</f>
        <v>CUMPLE — no se requiere</v>
      </c>
      <c r="D186" s="4" t="s">
        <v>12</v>
      </c>
      <c r="E186" s="5" t="s">
        <v>585</v>
      </c>
      <c r="F186" s="6" t="s">
        <v>488</v>
      </c>
    </row>
    <row r="187" spans="2:6" ht="15.45" customHeight="1" x14ac:dyDescent="0.3">
      <c r="B187" s="25" t="s">
        <v>586</v>
      </c>
      <c r="C187" s="26" t="str">
        <f>IF($C$183&gt;0,"#"&amp;$C$37&amp;" @ "&amp;TEXT($C$183,"0.0")&amp;" cm en ambos sentidos","No lleva")</f>
        <v>No lleva</v>
      </c>
      <c r="D187" s="4" t="s">
        <v>12</v>
      </c>
      <c r="E187" s="5" t="s">
        <v>587</v>
      </c>
      <c r="F187" s="6" t="s">
        <v>541</v>
      </c>
    </row>
    <row r="189" spans="2:6" ht="18" customHeight="1" x14ac:dyDescent="0.3">
      <c r="B189" s="38" t="s">
        <v>588</v>
      </c>
      <c r="C189" s="37"/>
      <c r="D189" s="37"/>
      <c r="E189" s="37"/>
      <c r="F189" s="37"/>
    </row>
    <row r="190" spans="2:6" x14ac:dyDescent="0.3">
      <c r="B190" s="1" t="s">
        <v>5</v>
      </c>
      <c r="C190" s="1" t="s">
        <v>6</v>
      </c>
      <c r="D190" s="1" t="s">
        <v>7</v>
      </c>
      <c r="E190" s="1" t="s">
        <v>8</v>
      </c>
      <c r="F190" s="1" t="s">
        <v>9</v>
      </c>
    </row>
    <row r="191" spans="2:6" ht="27.75" customHeight="1" x14ac:dyDescent="0.3">
      <c r="B191" s="2" t="s">
        <v>589</v>
      </c>
      <c r="C191" s="10">
        <f>IF(DATOS!$C$16&lt;40,DATOS!$C$16/105+0.6,1)</f>
        <v>0.833490799528535</v>
      </c>
      <c r="D191" s="4" t="s">
        <v>12</v>
      </c>
      <c r="E191" s="5" t="s">
        <v>276</v>
      </c>
      <c r="F191" s="6" t="s">
        <v>590</v>
      </c>
    </row>
    <row r="192" spans="2:6" ht="15.45" customHeight="1" x14ac:dyDescent="0.3">
      <c r="B192" s="2" t="s">
        <v>591</v>
      </c>
      <c r="C192" s="11">
        <f>$C$25*100-$C$12</f>
        <v>97.5</v>
      </c>
      <c r="D192" s="4" t="s">
        <v>137</v>
      </c>
      <c r="E192" s="5" t="s">
        <v>592</v>
      </c>
      <c r="F192" s="6" t="s">
        <v>593</v>
      </c>
    </row>
    <row r="193" spans="2:6" ht="27.75" customHeight="1" x14ac:dyDescent="0.3">
      <c r="B193" s="2" t="s">
        <v>594</v>
      </c>
      <c r="C193" s="9">
        <f>MIN($C$9*100-$C$44,$C$122/2,$C$12+$C$38/2)</f>
        <v>8.295</v>
      </c>
      <c r="D193" s="4" t="s">
        <v>137</v>
      </c>
      <c r="E193" s="5" t="s">
        <v>595</v>
      </c>
      <c r="F193" s="6" t="s">
        <v>596</v>
      </c>
    </row>
    <row r="194" spans="2:6" ht="27.75" customHeight="1" x14ac:dyDescent="0.3">
      <c r="B194" s="2" t="s">
        <v>597</v>
      </c>
      <c r="C194" s="11">
        <f>MAX(DATOS!$C$19/(1.1*DATOS!$C$23*DATOS!$C$17)*(IF($C$31&lt;=6,0.8,1)*DATOS!$C$26)/MIN(2.5,$C$193/$C$38)*$C$38,30)</f>
        <v>38.4762940304301</v>
      </c>
      <c r="D194" s="4" t="s">
        <v>137</v>
      </c>
      <c r="E194" s="5" t="s">
        <v>598</v>
      </c>
      <c r="F194" s="6" t="s">
        <v>599</v>
      </c>
    </row>
    <row r="195" spans="2:6" ht="27.75" customHeight="1" x14ac:dyDescent="0.3">
      <c r="B195" s="2" t="s">
        <v>600</v>
      </c>
      <c r="C195" s="11">
        <f>MAX(DATOS!$C$19*IF($C$122&gt;=6*$C$38,1,1.6)*IF($C$12&gt;=6*$C$38,1,1.25)*$C$191/(23*DATOS!$C$23*DATOS!$C$17)*($C$38*10)^1.5/10,8*$C$38,15)</f>
        <v>23.8900737872892</v>
      </c>
      <c r="D195" s="4" t="s">
        <v>137</v>
      </c>
      <c r="E195" s="5" t="s">
        <v>601</v>
      </c>
      <c r="F195" s="6" t="s">
        <v>602</v>
      </c>
    </row>
    <row r="196" spans="2:6" ht="15.45" customHeight="1" x14ac:dyDescent="0.3">
      <c r="B196" s="2" t="s">
        <v>603</v>
      </c>
      <c r="C196" s="7" t="str">
        <f>IF($C$192&gt;=$C$194,"RECTA",IF($C$192&gt;=$C$195,"GANCHO 90°","NO ALCANZA"))</f>
        <v>RECTA</v>
      </c>
      <c r="D196" s="4" t="s">
        <v>12</v>
      </c>
      <c r="E196" s="5" t="s">
        <v>276</v>
      </c>
      <c r="F196" s="6" t="s">
        <v>604</v>
      </c>
    </row>
    <row r="197" spans="2:6" ht="27.75" customHeight="1" x14ac:dyDescent="0.3">
      <c r="B197" s="2" t="s">
        <v>605</v>
      </c>
      <c r="C197" s="11">
        <f>$C$11+16*$C$38+$C$13</f>
        <v>37.94</v>
      </c>
      <c r="D197" s="4" t="s">
        <v>137</v>
      </c>
      <c r="E197" s="5" t="s">
        <v>606</v>
      </c>
      <c r="F197" s="6" t="s">
        <v>607</v>
      </c>
    </row>
    <row r="198" spans="2:6" ht="27.75" customHeight="1" x14ac:dyDescent="0.3">
      <c r="B198" s="25" t="s">
        <v>608</v>
      </c>
      <c r="C198" s="26" t="str">
        <f>IF($C$196="NO ALCANZA","NO CUMPLE — agrandar la zapata o bajar el diámetro",IF($C$196="RECTA","CUMPLE — varilla recta",IF($C$197&lt;=$C$9*100,"CUMPLE — gancho estándar a 90° (12db) vertical","REVISAR — el gancho vertical no cabe en h: tiéndelo horizontal o baja el diámetro")))</f>
        <v>CUMPLE — varilla recta</v>
      </c>
      <c r="D198" s="4" t="s">
        <v>12</v>
      </c>
      <c r="E198" s="5" t="s">
        <v>609</v>
      </c>
      <c r="F198" s="6" t="s">
        <v>610</v>
      </c>
    </row>
    <row r="199" spans="2:6" ht="15.45" customHeight="1" x14ac:dyDescent="0.3">
      <c r="B199" s="2" t="s">
        <v>611</v>
      </c>
      <c r="C199" s="11">
        <f>$C$26*100-$C$12</f>
        <v>97.5</v>
      </c>
      <c r="D199" s="4" t="s">
        <v>137</v>
      </c>
      <c r="E199" s="5" t="s">
        <v>592</v>
      </c>
      <c r="F199" s="6" t="s">
        <v>593</v>
      </c>
    </row>
    <row r="200" spans="2:6" ht="27.75" customHeight="1" x14ac:dyDescent="0.3">
      <c r="B200" s="2" t="s">
        <v>612</v>
      </c>
      <c r="C200" s="9">
        <f>MIN($C$9*100-$C$45,$C$146/2,$C$12+$C$40/2)</f>
        <v>8.295</v>
      </c>
      <c r="D200" s="4" t="s">
        <v>137</v>
      </c>
      <c r="E200" s="5" t="s">
        <v>595</v>
      </c>
      <c r="F200" s="6" t="s">
        <v>596</v>
      </c>
    </row>
    <row r="201" spans="2:6" ht="27.75" customHeight="1" x14ac:dyDescent="0.3">
      <c r="B201" s="2" t="s">
        <v>613</v>
      </c>
      <c r="C201" s="11">
        <f>MAX(DATOS!$C$19/(1.1*DATOS!$C$23*DATOS!$C$17)*(IF($C$32&lt;=6,0.8,1)*DATOS!$C$26)/MIN(2.5,$C$200/$C$40)*$C$40,30)</f>
        <v>38.4762940304301</v>
      </c>
      <c r="D201" s="4" t="s">
        <v>137</v>
      </c>
      <c r="E201" s="5" t="s">
        <v>598</v>
      </c>
      <c r="F201" s="6" t="s">
        <v>599</v>
      </c>
    </row>
    <row r="202" spans="2:6" ht="27.75" customHeight="1" x14ac:dyDescent="0.3">
      <c r="B202" s="2" t="s">
        <v>614</v>
      </c>
      <c r="C202" s="11">
        <f>MAX(DATOS!$C$19*IF($C$146&gt;=6*$C$40,1,1.6)*IF($C$12&gt;=6*$C$40,1,1.25)*$C$191/(23*DATOS!$C$23*DATOS!$C$17)*($C$40*10)^1.5/10,8*$C$40,15)</f>
        <v>23.8900737872892</v>
      </c>
      <c r="D202" s="4" t="s">
        <v>137</v>
      </c>
      <c r="E202" s="5" t="s">
        <v>601</v>
      </c>
      <c r="F202" s="6" t="s">
        <v>602</v>
      </c>
    </row>
    <row r="203" spans="2:6" ht="15.45" customHeight="1" x14ac:dyDescent="0.3">
      <c r="B203" s="2" t="s">
        <v>615</v>
      </c>
      <c r="C203" s="7" t="str">
        <f>IF($C$199&gt;=$C$201,"RECTA",IF($C$199&gt;=$C$202,"GANCHO 90°","NO ALCANZA"))</f>
        <v>RECTA</v>
      </c>
      <c r="D203" s="4" t="s">
        <v>12</v>
      </c>
      <c r="E203" s="5" t="s">
        <v>276</v>
      </c>
      <c r="F203" s="6" t="s">
        <v>604</v>
      </c>
    </row>
    <row r="204" spans="2:6" ht="27.75" customHeight="1" x14ac:dyDescent="0.3">
      <c r="B204" s="2" t="s">
        <v>616</v>
      </c>
      <c r="C204" s="11">
        <f>$C$11+16*$C$40+$C$13</f>
        <v>37.94</v>
      </c>
      <c r="D204" s="4" t="s">
        <v>137</v>
      </c>
      <c r="E204" s="5" t="s">
        <v>606</v>
      </c>
      <c r="F204" s="6" t="s">
        <v>607</v>
      </c>
    </row>
    <row r="205" spans="2:6" ht="27.75" customHeight="1" x14ac:dyDescent="0.3">
      <c r="B205" s="25" t="s">
        <v>617</v>
      </c>
      <c r="C205" s="26" t="str">
        <f>IF($C$203="NO ALCANZA","NO CUMPLE — agrandar la zapata o bajar el diámetro",IF($C$203="RECTA","CUMPLE — varilla recta",IF($C$204&lt;=$C$9*100,"CUMPLE — gancho estándar a 90° (12db) vertical","REVISAR — el gancho vertical no cabe en h: tiéndelo horizontal o baja el diámetro")))</f>
        <v>CUMPLE — varilla recta</v>
      </c>
      <c r="D205" s="4" t="s">
        <v>12</v>
      </c>
      <c r="E205" s="5" t="s">
        <v>609</v>
      </c>
      <c r="F205" s="6" t="s">
        <v>610</v>
      </c>
    </row>
    <row r="207" spans="2:6" ht="18" customHeight="1" x14ac:dyDescent="0.3">
      <c r="B207" s="38" t="s">
        <v>618</v>
      </c>
      <c r="C207" s="37"/>
      <c r="D207" s="37"/>
      <c r="E207" s="37"/>
      <c r="F207" s="37"/>
    </row>
    <row r="208" spans="2:6" x14ac:dyDescent="0.3">
      <c r="B208" s="1" t="s">
        <v>5</v>
      </c>
      <c r="C208" s="1" t="s">
        <v>6</v>
      </c>
      <c r="D208" s="1" t="s">
        <v>7</v>
      </c>
      <c r="E208" s="1" t="s">
        <v>8</v>
      </c>
      <c r="F208" s="1" t="s">
        <v>9</v>
      </c>
    </row>
    <row r="209" spans="2:6" ht="15.45" customHeight="1" x14ac:dyDescent="0.3">
      <c r="B209" s="2" t="s">
        <v>619</v>
      </c>
      <c r="C209" s="10">
        <f>DATOS!$C$64*DATOS!$C$65</f>
        <v>0.25</v>
      </c>
      <c r="D209" s="4" t="s">
        <v>257</v>
      </c>
      <c r="E209" s="5" t="s">
        <v>276</v>
      </c>
      <c r="F209" s="6" t="s">
        <v>620</v>
      </c>
    </row>
    <row r="210" spans="2:6" ht="27.75" customHeight="1" x14ac:dyDescent="0.3">
      <c r="B210" s="2" t="s">
        <v>621</v>
      </c>
      <c r="C210" s="10">
        <f>MIN($C$7,DATOS!$C$64+4*$C$9)*MIN($C$8,DATOS!$C$65+4*$C$9)</f>
        <v>6.25</v>
      </c>
      <c r="D210" s="4" t="s">
        <v>257</v>
      </c>
      <c r="E210" s="5" t="s">
        <v>622</v>
      </c>
      <c r="F210" s="6" t="s">
        <v>623</v>
      </c>
    </row>
    <row r="211" spans="2:6" ht="15.45" customHeight="1" x14ac:dyDescent="0.3">
      <c r="B211" s="2" t="s">
        <v>624</v>
      </c>
      <c r="C211" s="10">
        <f>MIN(SQRT($C$210/$C$209),2)</f>
        <v>2</v>
      </c>
      <c r="D211" s="4" t="s">
        <v>12</v>
      </c>
      <c r="E211" s="5" t="s">
        <v>276</v>
      </c>
      <c r="F211" s="6" t="s">
        <v>625</v>
      </c>
    </row>
    <row r="212" spans="2:6" ht="15.45" customHeight="1" x14ac:dyDescent="0.3">
      <c r="B212" s="2" t="s">
        <v>626</v>
      </c>
      <c r="C212" s="9">
        <f>DATOS!$C$88*0.85*DATOS!$C$15*$C$209*10000*$C$211/1000</f>
        <v>690.625</v>
      </c>
      <c r="D212" s="4" t="s">
        <v>96</v>
      </c>
      <c r="E212" s="5" t="s">
        <v>627</v>
      </c>
      <c r="F212" s="6" t="s">
        <v>628</v>
      </c>
    </row>
    <row r="213" spans="2:6" ht="15.45" customHeight="1" x14ac:dyDescent="0.3">
      <c r="B213" s="2" t="s">
        <v>629</v>
      </c>
      <c r="C213" s="9">
        <f>$C$64</f>
        <v>56.028</v>
      </c>
      <c r="D213" s="4" t="s">
        <v>96</v>
      </c>
      <c r="E213" s="5" t="s">
        <v>630</v>
      </c>
      <c r="F213" s="6" t="s">
        <v>426</v>
      </c>
    </row>
    <row r="214" spans="2:6" ht="15.45" customHeight="1" x14ac:dyDescent="0.3">
      <c r="B214" s="25" t="s">
        <v>631</v>
      </c>
      <c r="C214" s="26" t="str">
        <f>IF($C$212&gt;=$C$213,"CUMPLE","NO CUMPLE — dovelas por aplastamiento o dado mayor")</f>
        <v>CUMPLE</v>
      </c>
      <c r="D214" s="4" t="s">
        <v>12</v>
      </c>
      <c r="E214" s="5" t="s">
        <v>632</v>
      </c>
      <c r="F214" s="6" t="s">
        <v>633</v>
      </c>
    </row>
    <row r="215" spans="2:6" ht="15.45" customHeight="1" x14ac:dyDescent="0.3">
      <c r="B215" s="2" t="s">
        <v>634</v>
      </c>
      <c r="C215" s="9">
        <f>0.005*$C$209*10000</f>
        <v>12.5</v>
      </c>
      <c r="D215" s="4" t="s">
        <v>141</v>
      </c>
      <c r="E215" s="5" t="s">
        <v>276</v>
      </c>
      <c r="F215" s="6" t="s">
        <v>635</v>
      </c>
    </row>
    <row r="216" spans="2:6" ht="15.45" customHeight="1" x14ac:dyDescent="0.3">
      <c r="B216" s="2" t="s">
        <v>636</v>
      </c>
      <c r="C216" s="27">
        <f>MAX(4,CEILING($C$215/DATOS!$C$69,1))</f>
        <v>5</v>
      </c>
      <c r="D216" s="4" t="s">
        <v>507</v>
      </c>
      <c r="E216" s="5" t="s">
        <v>276</v>
      </c>
      <c r="F216" s="6" t="s">
        <v>635</v>
      </c>
    </row>
    <row r="217" spans="2:6" ht="27.75" customHeight="1" x14ac:dyDescent="0.3">
      <c r="B217" s="2" t="s">
        <v>637</v>
      </c>
      <c r="C217" s="11">
        <f>MAX(0.24*DATOS!$C$19/(DATOS!$C$23*DATOS!$C$17)*DATOS!$C$68,0.043*DATOS!$C$19*DATOS!$C$68,20)</f>
        <v>38.13145931978</v>
      </c>
      <c r="D217" s="4" t="s">
        <v>137</v>
      </c>
      <c r="E217" s="5" t="s">
        <v>638</v>
      </c>
      <c r="F217" s="6" t="s">
        <v>639</v>
      </c>
    </row>
    <row r="218" spans="2:6" ht="27.75" customHeight="1" x14ac:dyDescent="0.3">
      <c r="B218" s="2" t="s">
        <v>640</v>
      </c>
      <c r="C218" s="11">
        <f>$C$9*100-$C$11-$C$38-$C$40</f>
        <v>39.32</v>
      </c>
      <c r="D218" s="4" t="s">
        <v>137</v>
      </c>
      <c r="E218" s="5" t="s">
        <v>641</v>
      </c>
      <c r="F218" s="6" t="s">
        <v>259</v>
      </c>
    </row>
    <row r="219" spans="2:6" ht="27.75" customHeight="1" x14ac:dyDescent="0.3">
      <c r="B219" s="25" t="s">
        <v>642</v>
      </c>
      <c r="C219" s="26" t="str">
        <f>IF($C$218&gt;=$C$217,"CUMPLE","NO CUMPLE — aumentar h o usar dovelas más delgadas")</f>
        <v>CUMPLE</v>
      </c>
      <c r="D219" s="4" t="s">
        <v>12</v>
      </c>
      <c r="E219" s="5" t="s">
        <v>643</v>
      </c>
      <c r="F219" s="6" t="s">
        <v>644</v>
      </c>
    </row>
    <row r="220" spans="2:6" ht="15.45" customHeight="1" x14ac:dyDescent="0.3">
      <c r="B220" s="2" t="s">
        <v>645</v>
      </c>
      <c r="C220" s="11">
        <f>$C$217+$C$11+$C$38+$C$40</f>
        <v>48.81145931978</v>
      </c>
      <c r="D220" s="4" t="s">
        <v>137</v>
      </c>
      <c r="E220" s="5" t="s">
        <v>276</v>
      </c>
      <c r="F220" s="6" t="s">
        <v>259</v>
      </c>
    </row>
    <row r="221" spans="2:6" ht="27.75" customHeight="1" x14ac:dyDescent="0.3">
      <c r="B221" s="25" t="s">
        <v>646</v>
      </c>
      <c r="C221" s="26" t="str">
        <f>"mín. "&amp;$C$216&amp;" dovelas #"&amp;DATOS!$C$67&amp;" con gancho 90° apoyado en la parrilla inferior"</f>
        <v>mín. 5 dovelas #6 con gancho 90° apoyado en la parrilla inferior</v>
      </c>
      <c r="D221" s="4" t="s">
        <v>12</v>
      </c>
      <c r="E221" s="5" t="s">
        <v>647</v>
      </c>
      <c r="F221" s="6" t="s">
        <v>541</v>
      </c>
    </row>
    <row r="223" spans="2:6" ht="18" customHeight="1" x14ac:dyDescent="0.3">
      <c r="B223" s="38" t="s">
        <v>648</v>
      </c>
      <c r="C223" s="37"/>
      <c r="D223" s="37"/>
      <c r="E223" s="37"/>
      <c r="F223" s="37"/>
    </row>
    <row r="224" spans="2:6" x14ac:dyDescent="0.3">
      <c r="B224" s="1" t="s">
        <v>5</v>
      </c>
      <c r="C224" s="1" t="s">
        <v>6</v>
      </c>
      <c r="D224" s="1" t="s">
        <v>7</v>
      </c>
      <c r="E224" s="1" t="s">
        <v>8</v>
      </c>
      <c r="F224" s="1" t="s">
        <v>9</v>
      </c>
    </row>
    <row r="225" spans="2:6" ht="15.45" customHeight="1" x14ac:dyDescent="0.3">
      <c r="B225" s="25" t="s">
        <v>649</v>
      </c>
      <c r="C225" s="26" t="str">
        <f>"Lx × Ly × h = "&amp;TEXT($C$7,"0.00")&amp;" × "&amp;TEXT($C$8,"0.00")&amp;" × "&amp;TEXT($C$9,"0.00")&amp;" m;  Df = "&amp;TEXT($C$10,"0.00")&amp;" m"</f>
        <v>Lx × Ly × h = 2.60 × 2.60 × 0.50 m;  Df = 1.50 m</v>
      </c>
      <c r="D225" s="4" t="s">
        <v>12</v>
      </c>
      <c r="E225" s="5" t="s">
        <v>587</v>
      </c>
      <c r="F225" s="6" t="s">
        <v>650</v>
      </c>
    </row>
    <row r="226" spans="2:6" ht="15.45" customHeight="1" x14ac:dyDescent="0.3">
      <c r="B226" s="25" t="s">
        <v>651</v>
      </c>
      <c r="C226" s="26" t="str">
        <f>"‖ X: "&amp;$C$132&amp;" · ‖ Y: "&amp;$C$156</f>
        <v>‖ X: #5 @ 20.0 cm  (13 pzas) · ‖ Y: #5 @ 20.0 cm  (13 pzas)</v>
      </c>
      <c r="D226" s="4" t="s">
        <v>12</v>
      </c>
      <c r="E226" s="5" t="s">
        <v>587</v>
      </c>
      <c r="F226" s="6" t="s">
        <v>652</v>
      </c>
    </row>
    <row r="227" spans="2:6" ht="15.45" customHeight="1" x14ac:dyDescent="0.3">
      <c r="B227" s="2" t="s">
        <v>653</v>
      </c>
      <c r="C227" s="7" t="str">
        <f>"‖ X: "&amp;$C$196&amp;" · ‖ Y: "&amp;$C$203</f>
        <v>‖ X: RECTA · ‖ Y: RECTA</v>
      </c>
      <c r="D227" s="4" t="s">
        <v>12</v>
      </c>
      <c r="E227" s="5" t="s">
        <v>587</v>
      </c>
      <c r="F227" s="6" t="s">
        <v>654</v>
      </c>
    </row>
    <row r="228" spans="2:6" ht="15.45" customHeight="1" x14ac:dyDescent="0.3">
      <c r="B228" s="2" t="s">
        <v>655</v>
      </c>
      <c r="C228" s="7" t="str">
        <f>$C$187</f>
        <v>No lleva</v>
      </c>
      <c r="D228" s="4" t="s">
        <v>12</v>
      </c>
      <c r="E228" s="5" t="s">
        <v>587</v>
      </c>
      <c r="F228" s="6" t="s">
        <v>656</v>
      </c>
    </row>
    <row r="229" spans="2:6" ht="15.45" customHeight="1" x14ac:dyDescent="0.3">
      <c r="B229" s="2" t="s">
        <v>657</v>
      </c>
      <c r="C229" s="7" t="str">
        <f>$C$221</f>
        <v>mín. 5 dovelas #6 con gancho 90° apoyado en la parrilla inferior</v>
      </c>
      <c r="D229" s="4" t="s">
        <v>12</v>
      </c>
      <c r="E229" s="5" t="s">
        <v>587</v>
      </c>
      <c r="F229" s="6" t="s">
        <v>658</v>
      </c>
    </row>
    <row r="230" spans="2:6" ht="15.45" customHeight="1" x14ac:dyDescent="0.3">
      <c r="B230" s="2" t="s">
        <v>659</v>
      </c>
      <c r="C230" s="27">
        <f ca="1">COUNTIF($C$1:$C$233,"NO CUMPLE*")</f>
        <v>0</v>
      </c>
      <c r="D230" s="4" t="s">
        <v>12</v>
      </c>
      <c r="E230" s="5" t="s">
        <v>660</v>
      </c>
      <c r="F230" s="6" t="s">
        <v>488</v>
      </c>
    </row>
  </sheetData>
  <mergeCells count="20">
    <mergeCell ref="B2:F2"/>
    <mergeCell ref="B1:F1"/>
    <mergeCell ref="B175:F175"/>
    <mergeCell ref="H1:N1"/>
    <mergeCell ref="B29:F29"/>
    <mergeCell ref="H4:N4"/>
    <mergeCell ref="B49:F49"/>
    <mergeCell ref="B68:F68"/>
    <mergeCell ref="B158:F158"/>
    <mergeCell ref="H2:N2"/>
    <mergeCell ref="B5:F5"/>
    <mergeCell ref="B85:F85"/>
    <mergeCell ref="B110:F110"/>
    <mergeCell ref="B3:F3"/>
    <mergeCell ref="B134:F134"/>
    <mergeCell ref="B56:F56"/>
    <mergeCell ref="H33:N33"/>
    <mergeCell ref="B223:F223"/>
    <mergeCell ref="B207:F207"/>
    <mergeCell ref="B189:F189"/>
  </mergeCells>
  <conditionalFormatting sqref="C1:N233">
    <cfRule type="expression" dxfId="11" priority="1" stopIfTrue="1">
      <formula>OR(ISNUMBER(FIND("NO CUMPLE",C1)),ISNUMBER(FIND("REVISAR",C1)),ISNUMBER(FIND("NO ALCANZA",C1)),ISNUMBER(FIND("INESTABLE",C1)))</formula>
    </cfRule>
    <cfRule type="expression" dxfId="10" priority="2">
      <formula>ISNUMBER(FIND("CUMPLE",C1))</formula>
    </cfRule>
  </conditionalFormatting>
  <dataValidations count="3">
    <dataValidation type="list" errorTitle="Valor no válido" error="Escoge un valor de la lista" sqref="C37 C31:C32" xr:uid="{00000000-0002-0000-0200-000000000000}">
      <formula1>"3,4,5,6,8,10,12"</formula1>
    </dataValidation>
    <dataValidation type="list" errorTitle="Valor no válido" error="Escoge un valor de la lista" sqref="C33" xr:uid="{00000000-0002-0000-0200-000002000000}">
      <formula1>"‖ X,‖ Y"</formula1>
    </dataValidation>
    <dataValidation type="list" errorTitle="Valor no válido" error="Escoge un valor de la lista" sqref="C36" xr:uid="{00000000-0002-0000-0200-000003000000}">
      <formula1>"NO,SÍ"</formula1>
    </dataValidation>
  </dataValidations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N297"/>
  <sheetViews>
    <sheetView showGridLines="0" topLeftCell="A71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661</v>
      </c>
      <c r="C1" s="37"/>
      <c r="D1" s="37"/>
      <c r="E1" s="37"/>
      <c r="F1" s="37"/>
      <c r="H1" s="44" t="s">
        <v>223</v>
      </c>
      <c r="I1" s="37"/>
      <c r="J1" s="37"/>
      <c r="K1" s="37"/>
      <c r="L1" s="37"/>
      <c r="M1" s="37"/>
      <c r="N1" s="37"/>
    </row>
    <row r="2" spans="2:14" ht="36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224</v>
      </c>
      <c r="I2" s="37"/>
      <c r="J2" s="37"/>
      <c r="K2" s="37"/>
      <c r="L2" s="37"/>
      <c r="M2" s="37"/>
      <c r="N2" s="37"/>
    </row>
    <row r="3" spans="2:14" ht="25.95" customHeight="1" x14ac:dyDescent="0.3">
      <c r="B3" s="40" t="s">
        <v>662</v>
      </c>
      <c r="C3" s="37"/>
      <c r="D3" s="37"/>
      <c r="E3" s="37"/>
      <c r="F3" s="37"/>
    </row>
    <row r="4" spans="2:14" ht="41.55" customHeight="1" x14ac:dyDescent="0.3">
      <c r="B4" s="36" t="s">
        <v>663</v>
      </c>
      <c r="C4" s="37"/>
      <c r="D4" s="37"/>
      <c r="E4" s="37"/>
      <c r="F4" s="37"/>
      <c r="H4" s="44" t="s">
        <v>226</v>
      </c>
      <c r="I4" s="37"/>
      <c r="J4" s="37"/>
      <c r="K4" s="37"/>
      <c r="L4" s="37"/>
      <c r="M4" s="37"/>
      <c r="N4" s="37"/>
    </row>
    <row r="5" spans="2:14" x14ac:dyDescent="0.3"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18" customHeight="1" x14ac:dyDescent="0.3">
      <c r="B6" s="38" t="s">
        <v>227</v>
      </c>
      <c r="C6" s="37"/>
      <c r="D6" s="37"/>
      <c r="E6" s="37"/>
      <c r="F6" s="37"/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27.75" customHeight="1" x14ac:dyDescent="0.3">
      <c r="B8" s="2" t="s">
        <v>229</v>
      </c>
      <c r="C8" s="14">
        <v>2</v>
      </c>
      <c r="D8" s="4" t="s">
        <v>124</v>
      </c>
      <c r="E8" s="5" t="s">
        <v>230</v>
      </c>
      <c r="F8" s="6" t="s">
        <v>231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</v>
      </c>
      <c r="L8" s="20">
        <f>COMBINACIONES!$G$9</f>
        <v>0.7</v>
      </c>
      <c r="M8" s="20">
        <f>COMBINACIONES!$G$10</f>
        <v>0.7</v>
      </c>
      <c r="N8" s="24"/>
    </row>
    <row r="9" spans="2:14" ht="15.45" customHeight="1" x14ac:dyDescent="0.3">
      <c r="B9" s="2" t="s">
        <v>232</v>
      </c>
      <c r="C9" s="14">
        <v>2</v>
      </c>
      <c r="D9" s="4" t="s">
        <v>124</v>
      </c>
      <c r="E9" s="5" t="s">
        <v>53</v>
      </c>
      <c r="F9" s="6" t="s">
        <v>231</v>
      </c>
      <c r="H9" s="5" t="s">
        <v>236</v>
      </c>
      <c r="I9" s="19">
        <f>COMBINACIONES!$E$19</f>
        <v>42</v>
      </c>
      <c r="J9" s="19">
        <f>COMBINACIONES!$E$20</f>
        <v>34.2</v>
      </c>
      <c r="K9" s="19">
        <f>COMBINACIONES!$E$21</f>
        <v>42.15</v>
      </c>
      <c r="L9" s="19">
        <f>COMBINACIONES!$E$22</f>
        <v>22.2</v>
      </c>
      <c r="M9" s="19">
        <f>COMBINACIONES!$E$23</f>
        <v>13.8</v>
      </c>
      <c r="N9" s="24" t="s">
        <v>96</v>
      </c>
    </row>
    <row r="10" spans="2:14" ht="27.75" customHeight="1" x14ac:dyDescent="0.3">
      <c r="B10" s="2" t="s">
        <v>233</v>
      </c>
      <c r="C10" s="14">
        <v>0.5</v>
      </c>
      <c r="D10" s="4" t="s">
        <v>124</v>
      </c>
      <c r="E10" s="5" t="s">
        <v>234</v>
      </c>
      <c r="F10" s="6" t="s">
        <v>235</v>
      </c>
      <c r="H10" s="5" t="s">
        <v>240</v>
      </c>
      <c r="I10" s="19">
        <f>COMBINACIONES!$F$19</f>
        <v>1.2</v>
      </c>
      <c r="J10" s="19">
        <f>COMBINACIONES!$F$20</f>
        <v>4.65</v>
      </c>
      <c r="K10" s="19">
        <f>COMBINACIONES!$F$21</f>
        <v>3.9875</v>
      </c>
      <c r="L10" s="19">
        <f>COMBINACIONES!$F$22</f>
        <v>4.33</v>
      </c>
      <c r="M10" s="19">
        <f>COMBINACIONES!$F$23</f>
        <v>4.33</v>
      </c>
      <c r="N10" s="24" t="s">
        <v>104</v>
      </c>
    </row>
    <row r="11" spans="2:14" ht="27.75" customHeight="1" x14ac:dyDescent="0.3">
      <c r="B11" s="2" t="s">
        <v>237</v>
      </c>
      <c r="C11" s="14">
        <v>1.5</v>
      </c>
      <c r="D11" s="4" t="s">
        <v>124</v>
      </c>
      <c r="E11" s="5" t="s">
        <v>238</v>
      </c>
      <c r="F11" s="6" t="s">
        <v>239</v>
      </c>
      <c r="H11" s="5" t="s">
        <v>244</v>
      </c>
      <c r="I11" s="19">
        <f>COMBINACIONES!$G$19</f>
        <v>0.9</v>
      </c>
      <c r="J11" s="19">
        <f>COMBINACIONES!$G$20</f>
        <v>5.15</v>
      </c>
      <c r="K11" s="19">
        <f>COMBINACIONES!$G$21</f>
        <v>4.2375</v>
      </c>
      <c r="L11" s="19">
        <f>COMBINACIONES!$G$22</f>
        <v>4.91</v>
      </c>
      <c r="M11" s="19">
        <f>COMBINACIONES!$G$23</f>
        <v>4.91</v>
      </c>
      <c r="N11" s="24" t="s">
        <v>104</v>
      </c>
    </row>
    <row r="12" spans="2:14" ht="15.45" customHeight="1" x14ac:dyDescent="0.3">
      <c r="B12" s="2" t="s">
        <v>241</v>
      </c>
      <c r="C12" s="16">
        <v>7.5</v>
      </c>
      <c r="D12" s="4" t="s">
        <v>137</v>
      </c>
      <c r="E12" s="5" t="s">
        <v>242</v>
      </c>
      <c r="F12" s="6" t="s">
        <v>243</v>
      </c>
      <c r="H12" s="5" t="s">
        <v>248</v>
      </c>
      <c r="I12" s="19">
        <f>COMBINACIONES!$H$19</f>
        <v>0.3</v>
      </c>
      <c r="J12" s="19">
        <f>COMBINACIONES!$H$20</f>
        <v>1.95</v>
      </c>
      <c r="K12" s="19">
        <f>COMBINACIONES!$H$21</f>
        <v>1.5875</v>
      </c>
      <c r="L12" s="19">
        <f>COMBINACIONES!$H$22</f>
        <v>1.87</v>
      </c>
      <c r="M12" s="19">
        <f>COMBINACIONES!$H$23</f>
        <v>1.87</v>
      </c>
      <c r="N12" s="24" t="s">
        <v>96</v>
      </c>
    </row>
    <row r="13" spans="2:14" ht="27.75" customHeight="1" x14ac:dyDescent="0.3">
      <c r="B13" s="2" t="s">
        <v>245</v>
      </c>
      <c r="C13" s="16">
        <v>7.5</v>
      </c>
      <c r="D13" s="4" t="s">
        <v>137</v>
      </c>
      <c r="E13" s="5" t="s">
        <v>246</v>
      </c>
      <c r="F13" s="6" t="s">
        <v>247</v>
      </c>
      <c r="H13" s="5" t="s">
        <v>251</v>
      </c>
      <c r="I13" s="19">
        <f>COMBINACIONES!$I$19</f>
        <v>0.4</v>
      </c>
      <c r="J13" s="19">
        <f>COMBINACIONES!$I$20</f>
        <v>1.7</v>
      </c>
      <c r="K13" s="19">
        <f>COMBINACIONES!$I$21</f>
        <v>1.425</v>
      </c>
      <c r="L13" s="19">
        <f>COMBINACIONES!$I$22</f>
        <v>1.58</v>
      </c>
      <c r="M13" s="19">
        <f>COMBINACIONES!$I$23</f>
        <v>1.58</v>
      </c>
      <c r="N13" s="24" t="s">
        <v>96</v>
      </c>
    </row>
    <row r="14" spans="2:14" ht="27.75" customHeight="1" x14ac:dyDescent="0.3">
      <c r="B14" s="2" t="s">
        <v>249</v>
      </c>
      <c r="C14" s="16">
        <v>5</v>
      </c>
      <c r="D14" s="4" t="s">
        <v>137</v>
      </c>
      <c r="E14" s="5" t="s">
        <v>250</v>
      </c>
      <c r="F14" s="6" t="s">
        <v>247</v>
      </c>
      <c r="H14" s="5" t="s">
        <v>255</v>
      </c>
      <c r="I14" s="19">
        <f>I7*$C$55</f>
        <v>11.49</v>
      </c>
      <c r="J14" s="19">
        <f>J7*$C$55</f>
        <v>11.49</v>
      </c>
      <c r="K14" s="19">
        <f>K7*$C$55</f>
        <v>11.49</v>
      </c>
      <c r="L14" s="19">
        <f>L7*$C$55</f>
        <v>6.894</v>
      </c>
      <c r="M14" s="19">
        <f>M7*$C$55</f>
        <v>6.894</v>
      </c>
      <c r="N14" s="24" t="s">
        <v>96</v>
      </c>
    </row>
    <row r="15" spans="2:14" ht="27.75" customHeight="1" x14ac:dyDescent="0.3">
      <c r="B15" s="2" t="s">
        <v>664</v>
      </c>
      <c r="C15" s="14">
        <v>1</v>
      </c>
      <c r="D15" s="4" t="s">
        <v>12</v>
      </c>
      <c r="E15" s="5" t="s">
        <v>665</v>
      </c>
      <c r="F15" s="6" t="s">
        <v>666</v>
      </c>
      <c r="H15" s="5" t="s">
        <v>260</v>
      </c>
      <c r="I15" s="19">
        <f>I9+I14</f>
        <v>53.49</v>
      </c>
      <c r="J15" s="19">
        <f>J9+J14</f>
        <v>45.69</v>
      </c>
      <c r="K15" s="19">
        <f>K9+K14</f>
        <v>53.64</v>
      </c>
      <c r="L15" s="19">
        <f>L9+L14</f>
        <v>29.094</v>
      </c>
      <c r="M15" s="19">
        <f>M9+M14</f>
        <v>20.694</v>
      </c>
      <c r="N15" s="24" t="s">
        <v>96</v>
      </c>
    </row>
    <row r="16" spans="2:14" ht="15.45" customHeight="1" x14ac:dyDescent="0.3">
      <c r="B16" s="2" t="s">
        <v>256</v>
      </c>
      <c r="C16" s="10">
        <f>$C$8*$C$9</f>
        <v>4</v>
      </c>
      <c r="D16" s="4" t="s">
        <v>257</v>
      </c>
      <c r="E16" s="5" t="s">
        <v>258</v>
      </c>
      <c r="F16" s="6" t="s">
        <v>259</v>
      </c>
      <c r="H16" s="5" t="s">
        <v>263</v>
      </c>
      <c r="I16" s="19">
        <f>(1-$C$15)*(I10+I13*$C$19)</f>
        <v>0</v>
      </c>
      <c r="J16" s="19">
        <f>(1-$C$15)*(J10+J13*$C$19)</f>
        <v>0</v>
      </c>
      <c r="K16" s="19">
        <f>(1-$C$15)*(K10+K13*$C$19)</f>
        <v>0</v>
      </c>
      <c r="L16" s="19">
        <f>(1-$C$15)*(L10+L13*$C$19)</f>
        <v>0</v>
      </c>
      <c r="M16" s="19">
        <f>(1-$C$15)*(M10+M13*$C$19)</f>
        <v>0</v>
      </c>
      <c r="N16" s="24" t="s">
        <v>104</v>
      </c>
    </row>
    <row r="17" spans="2:14" ht="15.45" customHeight="1" x14ac:dyDescent="0.3">
      <c r="B17" s="2" t="s">
        <v>261</v>
      </c>
      <c r="C17" s="9">
        <f>$C$11-$C$10</f>
        <v>1</v>
      </c>
      <c r="D17" s="4" t="s">
        <v>124</v>
      </c>
      <c r="E17" s="5" t="s">
        <v>262</v>
      </c>
      <c r="F17" s="6" t="s">
        <v>259</v>
      </c>
      <c r="H17" s="5" t="s">
        <v>266</v>
      </c>
      <c r="I17" s="19">
        <f>(1-$C$15)*(I11+I12*$C$19)</f>
        <v>0</v>
      </c>
      <c r="J17" s="19">
        <f>(1-$C$15)*(J11+J12*$C$19)</f>
        <v>0</v>
      </c>
      <c r="K17" s="19">
        <f>(1-$C$15)*(K11+K12*$C$19)</f>
        <v>0</v>
      </c>
      <c r="L17" s="19">
        <f>(1-$C$15)*(L11+L12*$C$19)</f>
        <v>0</v>
      </c>
      <c r="M17" s="19">
        <f>(1-$C$15)*(M11+M12*$C$19)</f>
        <v>0</v>
      </c>
      <c r="N17" s="24" t="s">
        <v>104</v>
      </c>
    </row>
    <row r="18" spans="2:14" ht="27.75" customHeight="1" x14ac:dyDescent="0.3">
      <c r="B18" s="2" t="s">
        <v>264</v>
      </c>
      <c r="C18" s="9">
        <f>$C$11-$C$10+DATOS!$C$66</f>
        <v>1.15</v>
      </c>
      <c r="D18" s="4" t="s">
        <v>124</v>
      </c>
      <c r="E18" s="5" t="s">
        <v>265</v>
      </c>
      <c r="F18" s="6" t="s">
        <v>259</v>
      </c>
      <c r="H18" s="5" t="s">
        <v>270</v>
      </c>
      <c r="I18" s="20">
        <f>IF(I15&gt;0,I17/I15,99)</f>
        <v>0</v>
      </c>
      <c r="J18" s="20">
        <f>IF(J15&gt;0,J17/J15,99)</f>
        <v>0</v>
      </c>
      <c r="K18" s="20">
        <f>IF(K15&gt;0,K17/K15,99)</f>
        <v>0</v>
      </c>
      <c r="L18" s="20">
        <f>IF(L15&gt;0,L17/L15,99)</f>
        <v>0</v>
      </c>
      <c r="M18" s="20">
        <f>IF(M15&gt;0,M17/M15,99)</f>
        <v>0</v>
      </c>
      <c r="N18" s="24" t="s">
        <v>124</v>
      </c>
    </row>
    <row r="19" spans="2:14" ht="27.75" customHeight="1" x14ac:dyDescent="0.3">
      <c r="B19" s="2" t="s">
        <v>267</v>
      </c>
      <c r="C19" s="9">
        <f>IF(DATOS!$C$70="CARA SUPERIOR DEL DADO",$C$18+$C$10,$C$10)</f>
        <v>1.65</v>
      </c>
      <c r="D19" s="4" t="s">
        <v>124</v>
      </c>
      <c r="E19" s="5" t="s">
        <v>268</v>
      </c>
      <c r="F19" s="6" t="s">
        <v>269</v>
      </c>
      <c r="H19" s="5" t="s">
        <v>274</v>
      </c>
      <c r="I19" s="20">
        <f>IF(I15&gt;0,I16/I15,99)</f>
        <v>0</v>
      </c>
      <c r="J19" s="20">
        <f>IF(J15&gt;0,J16/J15,99)</f>
        <v>0</v>
      </c>
      <c r="K19" s="20">
        <f>IF(K15&gt;0,K16/K15,99)</f>
        <v>0</v>
      </c>
      <c r="L19" s="20">
        <f>IF(L15&gt;0,L16/L15,99)</f>
        <v>0</v>
      </c>
      <c r="M19" s="20">
        <f>IF(M15&gt;0,M16/M15,99)</f>
        <v>0</v>
      </c>
      <c r="N19" s="24" t="s">
        <v>124</v>
      </c>
    </row>
    <row r="20" spans="2:14" ht="27.75" customHeight="1" x14ac:dyDescent="0.3">
      <c r="B20" s="2" t="s">
        <v>271</v>
      </c>
      <c r="C20" s="9">
        <f>IF(DATOS!$C$70="CARA SUPERIOR DEL DADO",$C$18,0)</f>
        <v>1.15</v>
      </c>
      <c r="D20" s="4" t="s">
        <v>124</v>
      </c>
      <c r="E20" s="5" t="s">
        <v>272</v>
      </c>
      <c r="F20" s="6" t="s">
        <v>273</v>
      </c>
      <c r="H20" s="5" t="s">
        <v>278</v>
      </c>
      <c r="I20" s="20">
        <f>6*I18/$C$8+6*I19/$C$9</f>
        <v>0</v>
      </c>
      <c r="J20" s="20">
        <f>6*J18/$C$8+6*J19/$C$9</f>
        <v>0</v>
      </c>
      <c r="K20" s="20">
        <f>6*K18/$C$8+6*K19/$C$9</f>
        <v>0</v>
      </c>
      <c r="L20" s="20">
        <f>6*L18/$C$8+6*L19/$C$9</f>
        <v>0</v>
      </c>
      <c r="M20" s="20">
        <f>6*M18/$C$8+6*M19/$C$9</f>
        <v>0</v>
      </c>
      <c r="N20" s="24" t="s">
        <v>12</v>
      </c>
    </row>
    <row r="21" spans="2:14" ht="15.45" customHeight="1" x14ac:dyDescent="0.3">
      <c r="B21" s="2" t="s">
        <v>275</v>
      </c>
      <c r="C21" s="10">
        <f>MAX($C$8,$C$9)/MIN($C$8,$C$9)</f>
        <v>1</v>
      </c>
      <c r="D21" s="4" t="s">
        <v>12</v>
      </c>
      <c r="E21" s="5" t="s">
        <v>276</v>
      </c>
      <c r="F21" s="6" t="s">
        <v>277</v>
      </c>
      <c r="H21" s="5" t="s">
        <v>283</v>
      </c>
      <c r="I21" s="20">
        <f>IF(I18&lt;=$C$8/6,1+6*I18/$C$8,IF(I18&lt;$C$8/2,4*$C$8/(3*($C$8-2*I18)),999))</f>
        <v>1</v>
      </c>
      <c r="J21" s="20">
        <f>IF(J18&lt;=$C$8/6,1+6*J18/$C$8,IF(J18&lt;$C$8/2,4*$C$8/(3*($C$8-2*J18)),999))</f>
        <v>1</v>
      </c>
      <c r="K21" s="20">
        <f>IF(K18&lt;=$C$8/6,1+6*K18/$C$8,IF(K18&lt;$C$8/2,4*$C$8/(3*($C$8-2*K18)),999))</f>
        <v>1</v>
      </c>
      <c r="L21" s="20">
        <f>IF(L18&lt;=$C$8/6,1+6*L18/$C$8,IF(L18&lt;$C$8/2,4*$C$8/(3*($C$8-2*L18)),999))</f>
        <v>1</v>
      </c>
      <c r="M21" s="20">
        <f>IF(M18&lt;=$C$8/6,1+6*M18/$C$8,IF(M18&lt;$C$8/2,4*$C$8/(3*($C$8-2*M18)),999))</f>
        <v>1</v>
      </c>
      <c r="N21" s="24" t="s">
        <v>12</v>
      </c>
    </row>
    <row r="22" spans="2:14" ht="27.75" customHeight="1" x14ac:dyDescent="0.3">
      <c r="B22" s="2" t="s">
        <v>279</v>
      </c>
      <c r="C22" s="15">
        <f>$C$8*$C$9^3/12</f>
        <v>1.33333333333333</v>
      </c>
      <c r="D22" s="4" t="s">
        <v>280</v>
      </c>
      <c r="E22" s="5" t="s">
        <v>281</v>
      </c>
      <c r="F22" s="6" t="s">
        <v>282</v>
      </c>
      <c r="H22" s="5" t="s">
        <v>286</v>
      </c>
      <c r="I22" s="20">
        <f>IF(I19&lt;=$C$9/6,1+6*I19/$C$9,IF(I19&lt;$C$9/2,4*$C$9/(3*($C$9-2*I19)),999))</f>
        <v>1</v>
      </c>
      <c r="J22" s="20">
        <f>IF(J19&lt;=$C$9/6,1+6*J19/$C$9,IF(J19&lt;$C$9/2,4*$C$9/(3*($C$9-2*J19)),999))</f>
        <v>1</v>
      </c>
      <c r="K22" s="20">
        <f>IF(K19&lt;=$C$9/6,1+6*K19/$C$9,IF(K19&lt;$C$9/2,4*$C$9/(3*($C$9-2*K19)),999))</f>
        <v>1</v>
      </c>
      <c r="L22" s="20">
        <f>IF(L19&lt;=$C$9/6,1+6*L19/$C$9,IF(L19&lt;$C$9/2,4*$C$9/(3*($C$9-2*L19)),999))</f>
        <v>1</v>
      </c>
      <c r="M22" s="20">
        <f>IF(M19&lt;=$C$9/6,1+6*M19/$C$9,IF(M19&lt;$C$9/2,4*$C$9/(3*($C$9-2*M19)),999))</f>
        <v>1</v>
      </c>
      <c r="N22" s="24" t="s">
        <v>12</v>
      </c>
    </row>
    <row r="23" spans="2:14" ht="27.75" customHeight="1" x14ac:dyDescent="0.3">
      <c r="B23" s="2" t="s">
        <v>284</v>
      </c>
      <c r="C23" s="15">
        <f>$C$9*$C$8^3/12</f>
        <v>1.33333333333333</v>
      </c>
      <c r="D23" s="4" t="s">
        <v>280</v>
      </c>
      <c r="E23" s="5" t="s">
        <v>285</v>
      </c>
      <c r="F23" s="6" t="s">
        <v>282</v>
      </c>
      <c r="H23" s="5" t="s">
        <v>289</v>
      </c>
      <c r="I23" s="19">
        <f>IF(I15&lt;=0,999,IF(I20&lt;=1,I15/$C$16*(1+I20),MIN(999,I15/$C$16*I21*I22)))</f>
        <v>13.3725</v>
      </c>
      <c r="J23" s="19">
        <f>IF(J15&lt;=0,999,IF(J20&lt;=1,J15/$C$16*(1+J20),MIN(999,J15/$C$16*J21*J22)))</f>
        <v>11.4225</v>
      </c>
      <c r="K23" s="19">
        <f>IF(K15&lt;=0,999,IF(K20&lt;=1,K15/$C$16*(1+K20),MIN(999,K15/$C$16*K21*K22)))</f>
        <v>13.41</v>
      </c>
      <c r="L23" s="19">
        <f>IF(L15&lt;=0,999,IF(L20&lt;=1,L15/$C$16*(1+L20),MIN(999,L15/$C$16*L21*L22)))</f>
        <v>7.2735</v>
      </c>
      <c r="M23" s="19">
        <f>IF(M15&lt;=0,999,IF(M20&lt;=1,M15/$C$16*(1+M20),MIN(999,M15/$C$16*M21*M22)))</f>
        <v>5.1735</v>
      </c>
      <c r="N23" s="24" t="s">
        <v>64</v>
      </c>
    </row>
    <row r="24" spans="2:14" ht="27.75" customHeight="1" x14ac:dyDescent="0.3">
      <c r="B24" s="2" t="s">
        <v>287</v>
      </c>
      <c r="C24" s="10">
        <f>DATOS!$C$64/2</f>
        <v>0.25</v>
      </c>
      <c r="D24" s="4" t="s">
        <v>124</v>
      </c>
      <c r="E24" s="5" t="s">
        <v>288</v>
      </c>
      <c r="F24" s="6" t="s">
        <v>126</v>
      </c>
      <c r="H24" s="5" t="s">
        <v>292</v>
      </c>
      <c r="I24" s="19">
        <f>IF(I15&lt;=0,0,IF(I20&lt;=1,I15/$C$16*(1-I20),0))</f>
        <v>13.3725</v>
      </c>
      <c r="J24" s="19">
        <f>IF(J15&lt;=0,0,IF(J20&lt;=1,J15/$C$16*(1-J20),0))</f>
        <v>11.4225</v>
      </c>
      <c r="K24" s="19">
        <f>IF(K15&lt;=0,0,IF(K20&lt;=1,K15/$C$16*(1-K20),0))</f>
        <v>13.41</v>
      </c>
      <c r="L24" s="19">
        <f>IF(L15&lt;=0,0,IF(L20&lt;=1,L15/$C$16*(1-L20),0))</f>
        <v>7.2735</v>
      </c>
      <c r="M24" s="19">
        <f>IF(M15&lt;=0,0,IF(M20&lt;=1,M15/$C$16*(1-M20),0))</f>
        <v>5.1735</v>
      </c>
      <c r="N24" s="24" t="s">
        <v>64</v>
      </c>
    </row>
    <row r="25" spans="2:14" ht="27.75" customHeight="1" x14ac:dyDescent="0.3">
      <c r="B25" s="2" t="s">
        <v>290</v>
      </c>
      <c r="C25" s="10">
        <f>DATOS!$C$65/2</f>
        <v>0.25</v>
      </c>
      <c r="D25" s="4" t="s">
        <v>124</v>
      </c>
      <c r="E25" s="5" t="s">
        <v>291</v>
      </c>
      <c r="F25" s="6" t="s">
        <v>126</v>
      </c>
      <c r="H25" s="5" t="s">
        <v>295</v>
      </c>
      <c r="I25" s="18" t="str">
        <f>IF(I20&lt;=1,"TOTAL","PARCIAL")</f>
        <v>TOTAL</v>
      </c>
      <c r="J25" s="18" t="str">
        <f>IF(J20&lt;=1,"TOTAL","PARCIAL")</f>
        <v>TOTAL</v>
      </c>
      <c r="K25" s="18" t="str">
        <f>IF(K20&lt;=1,"TOTAL","PARCIAL")</f>
        <v>TOTAL</v>
      </c>
      <c r="L25" s="18" t="str">
        <f>IF(L20&lt;=1,"TOTAL","PARCIAL")</f>
        <v>TOTAL</v>
      </c>
      <c r="M25" s="18" t="str">
        <f>IF(M20&lt;=1,"TOTAL","PARCIAL")</f>
        <v>TOTAL</v>
      </c>
      <c r="N25" s="24"/>
    </row>
    <row r="26" spans="2:14" ht="15.45" customHeight="1" x14ac:dyDescent="0.3">
      <c r="B26" s="2" t="s">
        <v>293</v>
      </c>
      <c r="C26" s="10">
        <f>$C$8/2-$C$24</f>
        <v>0.75</v>
      </c>
      <c r="D26" s="4" t="s">
        <v>124</v>
      </c>
      <c r="E26" s="5" t="s">
        <v>294</v>
      </c>
      <c r="F26" s="6" t="s">
        <v>259</v>
      </c>
      <c r="H26" s="5" t="s">
        <v>298</v>
      </c>
      <c r="I26" s="19">
        <f>DATOS!$C$30*IF(I8&gt;0,DATOS!$C$31,1)</f>
        <v>18</v>
      </c>
      <c r="J26" s="19">
        <f>DATOS!$C$30*IF(J8&gt;0,DATOS!$C$31,1)</f>
        <v>18</v>
      </c>
      <c r="K26" s="19">
        <f>DATOS!$C$30*IF(K8&gt;0,DATOS!$C$31,1)</f>
        <v>18</v>
      </c>
      <c r="L26" s="19">
        <f>DATOS!$C$30*IF(L8&gt;0,DATOS!$C$31,1)</f>
        <v>18</v>
      </c>
      <c r="M26" s="19">
        <f>DATOS!$C$30*IF(M8&gt;0,DATOS!$C$31,1)</f>
        <v>18</v>
      </c>
      <c r="N26" s="24" t="s">
        <v>64</v>
      </c>
    </row>
    <row r="27" spans="2:14" ht="15.45" customHeight="1" x14ac:dyDescent="0.3">
      <c r="B27" s="2" t="s">
        <v>296</v>
      </c>
      <c r="C27" s="10">
        <f>$C$9/2-$C$25</f>
        <v>0.75</v>
      </c>
      <c r="D27" s="4" t="s">
        <v>124</v>
      </c>
      <c r="E27" s="5" t="s">
        <v>297</v>
      </c>
      <c r="F27" s="6" t="s">
        <v>259</v>
      </c>
      <c r="H27" s="5" t="s">
        <v>301</v>
      </c>
      <c r="I27" s="20">
        <f>I23/I26</f>
        <v>0.742916666666667</v>
      </c>
      <c r="J27" s="20">
        <f>J23/J26</f>
        <v>0.634583333333333</v>
      </c>
      <c r="K27" s="20">
        <f>K23/K26</f>
        <v>0.745</v>
      </c>
      <c r="L27" s="20">
        <f>L23/L26</f>
        <v>0.404083333333333</v>
      </c>
      <c r="M27" s="20">
        <f>M23/M26</f>
        <v>0.287416666666667</v>
      </c>
      <c r="N27" s="24" t="s">
        <v>12</v>
      </c>
    </row>
    <row r="28" spans="2:14" ht="27.75" customHeight="1" x14ac:dyDescent="0.3">
      <c r="B28" s="25" t="s">
        <v>299</v>
      </c>
      <c r="C28" s="26" t="str">
        <f>IF(AND($C$26&gt;0,$C$27&gt;0,$C$17&gt;=0),"CUMPLE","NO CUMPLE — la zapata debe ser mayor que el dado y Df ≥ h")</f>
        <v>CUMPLE</v>
      </c>
      <c r="D28" s="4" t="s">
        <v>12</v>
      </c>
      <c r="E28" s="5" t="s">
        <v>300</v>
      </c>
      <c r="F28" s="6" t="s">
        <v>259</v>
      </c>
      <c r="H28" s="5" t="s">
        <v>302</v>
      </c>
      <c r="I28" s="19">
        <f>IF(I18&gt;0.0001,$C$8/(2*I18),99)</f>
        <v>99</v>
      </c>
      <c r="J28" s="19">
        <f>IF(J18&gt;0.0001,$C$8/(2*J18),99)</f>
        <v>99</v>
      </c>
      <c r="K28" s="19">
        <f>IF(K18&gt;0.0001,$C$8/(2*K18),99)</f>
        <v>99</v>
      </c>
      <c r="L28" s="19">
        <f>IF(L18&gt;0.0001,$C$8/(2*L18),99)</f>
        <v>99</v>
      </c>
      <c r="M28" s="19">
        <f>IF(M18&gt;0.0001,$C$8/(2*M18),99)</f>
        <v>99</v>
      </c>
      <c r="N28" s="24" t="s">
        <v>12</v>
      </c>
    </row>
    <row r="29" spans="2:14" x14ac:dyDescent="0.3">
      <c r="H29" s="5" t="s">
        <v>304</v>
      </c>
      <c r="I29" s="19">
        <f>IF(I19&gt;0.0001,$C$9/(2*I19),99)</f>
        <v>99</v>
      </c>
      <c r="J29" s="19">
        <f>IF(J19&gt;0.0001,$C$9/(2*J19),99)</f>
        <v>99</v>
      </c>
      <c r="K29" s="19">
        <f>IF(K19&gt;0.0001,$C$9/(2*K19),99)</f>
        <v>99</v>
      </c>
      <c r="L29" s="19">
        <f>IF(L19&gt;0.0001,$C$9/(2*L19),99)</f>
        <v>99</v>
      </c>
      <c r="M29" s="19">
        <f>IF(M19&gt;0.0001,$C$9/(2*M19),99)</f>
        <v>99</v>
      </c>
      <c r="N29" s="24" t="s">
        <v>12</v>
      </c>
    </row>
    <row r="30" spans="2:14" ht="18" customHeight="1" x14ac:dyDescent="0.3">
      <c r="B30" s="38" t="s">
        <v>303</v>
      </c>
      <c r="C30" s="37"/>
      <c r="D30" s="37"/>
      <c r="E30" s="37"/>
      <c r="F30" s="37"/>
      <c r="H30" s="5" t="s">
        <v>305</v>
      </c>
      <c r="I30" s="19">
        <f>(1-$C$15)*SQRT(I12^2+I13^2)</f>
        <v>0</v>
      </c>
      <c r="J30" s="19">
        <f>(1-$C$15)*SQRT(J12^2+J13^2)</f>
        <v>0</v>
      </c>
      <c r="K30" s="19">
        <f>(1-$C$15)*SQRT(K12^2+K13^2)</f>
        <v>0</v>
      </c>
      <c r="L30" s="19">
        <f>(1-$C$15)*SQRT(L12^2+L13^2)</f>
        <v>0</v>
      </c>
      <c r="M30" s="19">
        <f>(1-$C$15)*SQRT(M12^2+M13^2)</f>
        <v>0</v>
      </c>
      <c r="N30" s="24" t="s">
        <v>96</v>
      </c>
    </row>
    <row r="31" spans="2:14" x14ac:dyDescent="0.3"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H31" s="5" t="s">
        <v>309</v>
      </c>
      <c r="I31" s="19">
        <f>IF(I30&gt;0.0001,DATOS!$C$33*I15/I30,99)</f>
        <v>99</v>
      </c>
      <c r="J31" s="19">
        <f>IF(J30&gt;0.0001,DATOS!$C$33*J15/J30,99)</f>
        <v>99</v>
      </c>
      <c r="K31" s="19">
        <f>IF(K30&gt;0.0001,DATOS!$C$33*K15/K30,99)</f>
        <v>99</v>
      </c>
      <c r="L31" s="19">
        <f>IF(L30&gt;0.0001,DATOS!$C$33*L15/L30,99)</f>
        <v>99</v>
      </c>
      <c r="M31" s="19">
        <f>IF(M30&gt;0.0001,DATOS!$C$33*M15/M30,99)</f>
        <v>99</v>
      </c>
      <c r="N31" s="24" t="s">
        <v>12</v>
      </c>
    </row>
    <row r="32" spans="2:14" ht="27.75" customHeight="1" x14ac:dyDescent="0.3">
      <c r="B32" s="2" t="s">
        <v>306</v>
      </c>
      <c r="C32" s="8">
        <v>5</v>
      </c>
      <c r="D32" s="4" t="s">
        <v>133</v>
      </c>
      <c r="E32" s="5" t="s">
        <v>307</v>
      </c>
      <c r="F32" s="6" t="s">
        <v>308</v>
      </c>
    </row>
    <row r="33" spans="2:14" ht="27.75" customHeight="1" x14ac:dyDescent="0.3">
      <c r="B33" s="2" t="s">
        <v>310</v>
      </c>
      <c r="C33" s="8">
        <v>5</v>
      </c>
      <c r="D33" s="4" t="s">
        <v>133</v>
      </c>
      <c r="E33" s="5" t="s">
        <v>307</v>
      </c>
      <c r="F33" s="6" t="s">
        <v>308</v>
      </c>
      <c r="H33" s="44" t="s">
        <v>314</v>
      </c>
      <c r="I33" s="37"/>
      <c r="J33" s="37"/>
      <c r="K33" s="37"/>
      <c r="L33" s="37"/>
      <c r="M33" s="37"/>
      <c r="N33" s="37"/>
    </row>
    <row r="34" spans="2:14" ht="27.75" customHeight="1" x14ac:dyDescent="0.3">
      <c r="B34" s="2" t="s">
        <v>311</v>
      </c>
      <c r="C34" s="3" t="s">
        <v>312</v>
      </c>
      <c r="D34" s="4" t="s">
        <v>12</v>
      </c>
      <c r="E34" s="5" t="s">
        <v>313</v>
      </c>
      <c r="F34" s="6" t="s">
        <v>176</v>
      </c>
      <c r="H34" s="22" t="s">
        <v>181</v>
      </c>
      <c r="I34" s="1" t="str">
        <f>COMBINACIONES!$B$11</f>
        <v>U1</v>
      </c>
      <c r="J34" s="1" t="str">
        <f>COMBINACIONES!$B$12</f>
        <v>U2</v>
      </c>
      <c r="K34" s="1" t="str">
        <f>COMBINACIONES!$B$13</f>
        <v>U3</v>
      </c>
      <c r="L34" s="1" t="str">
        <f>COMBINACIONES!$B$14</f>
        <v>U4</v>
      </c>
      <c r="M34" s="1" t="str">
        <f>COMBINACIONES!$B$15</f>
        <v>U5</v>
      </c>
      <c r="N34" s="23"/>
    </row>
    <row r="35" spans="2:14" ht="27.75" customHeight="1" x14ac:dyDescent="0.3">
      <c r="B35" s="2" t="s">
        <v>315</v>
      </c>
      <c r="C35" s="16">
        <v>0</v>
      </c>
      <c r="D35" s="4" t="s">
        <v>137</v>
      </c>
      <c r="E35" s="5" t="s">
        <v>316</v>
      </c>
      <c r="F35" s="6" t="s">
        <v>308</v>
      </c>
      <c r="H35" s="5" t="s">
        <v>228</v>
      </c>
      <c r="I35" s="18" t="str">
        <f>COMBINACIONES!$C$11</f>
        <v>1.4D</v>
      </c>
      <c r="J35" s="18" t="str">
        <f>COMBINACIONES!$C$12</f>
        <v>1.2D + 1.6L</v>
      </c>
      <c r="K35" s="18" t="str">
        <f>COMBINACIONES!$C$13</f>
        <v>1.2D + 1.0L + 1.0E</v>
      </c>
      <c r="L35" s="18" t="str">
        <f>COMBINACIONES!$C$14</f>
        <v>0.9D + 1.0E  (P de A suma)</v>
      </c>
      <c r="M35" s="18" t="str">
        <f>COMBINACIONES!$C$15</f>
        <v>0.9D + 1.0E  (P de A resta)</v>
      </c>
      <c r="N35" s="24"/>
    </row>
    <row r="36" spans="2:14" ht="27.75" customHeight="1" x14ac:dyDescent="0.3">
      <c r="B36" s="2" t="s">
        <v>317</v>
      </c>
      <c r="C36" s="16">
        <v>0</v>
      </c>
      <c r="D36" s="4" t="s">
        <v>137</v>
      </c>
      <c r="E36" s="5" t="s">
        <v>128</v>
      </c>
      <c r="F36" s="6" t="s">
        <v>308</v>
      </c>
      <c r="H36" s="5" t="s">
        <v>183</v>
      </c>
      <c r="I36" s="19">
        <f>COMBINACIONES!$E$11</f>
        <v>1.4</v>
      </c>
      <c r="J36" s="19">
        <f>COMBINACIONES!$E$12</f>
        <v>1.2</v>
      </c>
      <c r="K36" s="19">
        <f>COMBINACIONES!$E$13</f>
        <v>1.2</v>
      </c>
      <c r="L36" s="19">
        <f>COMBINACIONES!$E$14</f>
        <v>0.9</v>
      </c>
      <c r="M36" s="19">
        <f>COMBINACIONES!$E$15</f>
        <v>0.9</v>
      </c>
      <c r="N36" s="24"/>
    </row>
    <row r="37" spans="2:14" ht="27.75" customHeight="1" x14ac:dyDescent="0.3">
      <c r="B37" s="2" t="s">
        <v>318</v>
      </c>
      <c r="C37" s="3" t="s">
        <v>319</v>
      </c>
      <c r="D37" s="4" t="s">
        <v>12</v>
      </c>
      <c r="E37" s="5" t="s">
        <v>320</v>
      </c>
      <c r="F37" s="6" t="s">
        <v>321</v>
      </c>
      <c r="H37" s="5" t="s">
        <v>324</v>
      </c>
      <c r="I37" s="19">
        <f>COMBINACIONES!$E$24</f>
        <v>42</v>
      </c>
      <c r="J37" s="19">
        <f>COMBINACIONES!$E$25</f>
        <v>55.2</v>
      </c>
      <c r="K37" s="19">
        <f>COMBINACIONES!$E$26</f>
        <v>54</v>
      </c>
      <c r="L37" s="19">
        <f>COMBINACIONES!$E$27</f>
        <v>33</v>
      </c>
      <c r="M37" s="19">
        <f>COMBINACIONES!$E$28</f>
        <v>21</v>
      </c>
      <c r="N37" s="24" t="s">
        <v>96</v>
      </c>
    </row>
    <row r="38" spans="2:14" ht="15.45" customHeight="1" x14ac:dyDescent="0.3">
      <c r="B38" s="2" t="s">
        <v>322</v>
      </c>
      <c r="C38" s="8">
        <v>4</v>
      </c>
      <c r="D38" s="4" t="s">
        <v>133</v>
      </c>
      <c r="E38" s="5" t="s">
        <v>323</v>
      </c>
      <c r="F38" s="6" t="s">
        <v>308</v>
      </c>
      <c r="H38" s="5" t="s">
        <v>326</v>
      </c>
      <c r="I38" s="19">
        <f>COMBINACIONES!$F$24</f>
        <v>1.12</v>
      </c>
      <c r="J38" s="19">
        <f>COMBINACIONES!$F$25</f>
        <v>1.6</v>
      </c>
      <c r="K38" s="19">
        <f>COMBINACIONES!$F$26</f>
        <v>6.86</v>
      </c>
      <c r="L38" s="19">
        <f>COMBINACIONES!$F$27</f>
        <v>6.22</v>
      </c>
      <c r="M38" s="19">
        <f>COMBINACIONES!$F$28</f>
        <v>6.22</v>
      </c>
      <c r="N38" s="24" t="s">
        <v>104</v>
      </c>
    </row>
    <row r="39" spans="2:14" ht="15.45" customHeight="1" x14ac:dyDescent="0.3">
      <c r="B39" s="2" t="s">
        <v>325</v>
      </c>
      <c r="C39" s="9">
        <f>INDEX(TABLAS!$C$6:$C$13,MATCH($C$32,TABLAS!$B$6:$B$13,0))</f>
        <v>1.59</v>
      </c>
      <c r="D39" s="4" t="s">
        <v>137</v>
      </c>
      <c r="E39" s="5" t="s">
        <v>138</v>
      </c>
      <c r="F39" s="6" t="s">
        <v>139</v>
      </c>
      <c r="H39" s="5" t="s">
        <v>328</v>
      </c>
      <c r="I39" s="19">
        <f>COMBINACIONES!$G$24</f>
        <v>0.84</v>
      </c>
      <c r="J39" s="19">
        <f>COMBINACIONES!$G$25</f>
        <v>1.2</v>
      </c>
      <c r="K39" s="19">
        <f>COMBINACIONES!$G$26</f>
        <v>7.52</v>
      </c>
      <c r="L39" s="19">
        <f>COMBINACIONES!$G$27</f>
        <v>7.04</v>
      </c>
      <c r="M39" s="19">
        <f>COMBINACIONES!$G$28</f>
        <v>7.04</v>
      </c>
      <c r="N39" s="24" t="s">
        <v>104</v>
      </c>
    </row>
    <row r="40" spans="2:14" ht="15.45" customHeight="1" x14ac:dyDescent="0.3">
      <c r="B40" s="2" t="s">
        <v>327</v>
      </c>
      <c r="C40" s="9">
        <f>INDEX(TABLAS!$D$6:$D$13,MATCH($C$32,TABLAS!$B$6:$B$13,0))</f>
        <v>1.98</v>
      </c>
      <c r="D40" s="4" t="s">
        <v>141</v>
      </c>
      <c r="E40" s="5" t="s">
        <v>138</v>
      </c>
      <c r="F40" s="6" t="s">
        <v>139</v>
      </c>
      <c r="H40" s="5" t="s">
        <v>330</v>
      </c>
      <c r="I40" s="19">
        <f>COMBINACIONES!$H$24</f>
        <v>0.28</v>
      </c>
      <c r="J40" s="19">
        <f>COMBINACIONES!$H$25</f>
        <v>0.4</v>
      </c>
      <c r="K40" s="19">
        <f>COMBINACIONES!$H$26</f>
        <v>2.84</v>
      </c>
      <c r="L40" s="19">
        <f>COMBINACIONES!$H$27</f>
        <v>2.68</v>
      </c>
      <c r="M40" s="19">
        <f>COMBINACIONES!$H$28</f>
        <v>2.68</v>
      </c>
      <c r="N40" s="24" t="s">
        <v>96</v>
      </c>
    </row>
    <row r="41" spans="2:14" ht="15.45" customHeight="1" x14ac:dyDescent="0.3">
      <c r="B41" s="2" t="s">
        <v>329</v>
      </c>
      <c r="C41" s="9">
        <f>INDEX(TABLAS!$C$6:$C$13,MATCH($C$33,TABLAS!$B$6:$B$13,0))</f>
        <v>1.59</v>
      </c>
      <c r="D41" s="4" t="s">
        <v>137</v>
      </c>
      <c r="E41" s="5" t="s">
        <v>276</v>
      </c>
      <c r="F41" s="6" t="s">
        <v>139</v>
      </c>
      <c r="H41" s="5" t="s">
        <v>332</v>
      </c>
      <c r="I41" s="19">
        <f>COMBINACIONES!$I$24</f>
        <v>0.42</v>
      </c>
      <c r="J41" s="19">
        <f>COMBINACIONES!$I$25</f>
        <v>0.52</v>
      </c>
      <c r="K41" s="19">
        <f>COMBINACIONES!$I$26</f>
        <v>2.46</v>
      </c>
      <c r="L41" s="19">
        <f>COMBINACIONES!$I$27</f>
        <v>2.27</v>
      </c>
      <c r="M41" s="19">
        <f>COMBINACIONES!$I$28</f>
        <v>2.27</v>
      </c>
      <c r="N41" s="24" t="s">
        <v>96</v>
      </c>
    </row>
    <row r="42" spans="2:14" ht="15.45" customHeight="1" x14ac:dyDescent="0.3">
      <c r="B42" s="2" t="s">
        <v>331</v>
      </c>
      <c r="C42" s="9">
        <f>INDEX(TABLAS!$D$6:$D$13,MATCH($C$33,TABLAS!$B$6:$B$13,0))</f>
        <v>1.98</v>
      </c>
      <c r="D42" s="4" t="s">
        <v>141</v>
      </c>
      <c r="E42" s="5" t="s">
        <v>276</v>
      </c>
      <c r="F42" s="6" t="s">
        <v>139</v>
      </c>
      <c r="H42" s="5" t="s">
        <v>334</v>
      </c>
      <c r="I42" s="19">
        <f>I37+I36*$C$54</f>
        <v>42.966</v>
      </c>
      <c r="J42" s="19">
        <f>J37+J36*$C$54</f>
        <v>56.028</v>
      </c>
      <c r="K42" s="19">
        <f>K37+K36*$C$54</f>
        <v>54.828</v>
      </c>
      <c r="L42" s="19">
        <f>L37+L36*$C$54</f>
        <v>33.621</v>
      </c>
      <c r="M42" s="19">
        <f>M37+M36*$C$54</f>
        <v>21.621</v>
      </c>
      <c r="N42" s="24" t="s">
        <v>96</v>
      </c>
    </row>
    <row r="43" spans="2:14" ht="15.45" customHeight="1" x14ac:dyDescent="0.3">
      <c r="B43" s="2" t="s">
        <v>333</v>
      </c>
      <c r="C43" s="9">
        <f>INDEX(TABLAS!$C$6:$C$13,MATCH($C$38,TABLAS!$B$6:$B$13,0))</f>
        <v>1.27</v>
      </c>
      <c r="D43" s="4" t="s">
        <v>137</v>
      </c>
      <c r="E43" s="5" t="s">
        <v>276</v>
      </c>
      <c r="F43" s="6" t="s">
        <v>139</v>
      </c>
      <c r="H43" s="5" t="s">
        <v>336</v>
      </c>
      <c r="I43" s="19">
        <f>I36*($C$52+$C$53)</f>
        <v>15.12</v>
      </c>
      <c r="J43" s="19">
        <f>J36*($C$52+$C$53)</f>
        <v>12.96</v>
      </c>
      <c r="K43" s="19">
        <f>K36*($C$52+$C$53)</f>
        <v>12.96</v>
      </c>
      <c r="L43" s="19">
        <f>L36*($C$52+$C$53)</f>
        <v>9.72</v>
      </c>
      <c r="M43" s="19">
        <f>M36*($C$52+$C$53)</f>
        <v>9.72</v>
      </c>
      <c r="N43" s="24" t="s">
        <v>96</v>
      </c>
    </row>
    <row r="44" spans="2:14" ht="15.45" customHeight="1" x14ac:dyDescent="0.3">
      <c r="B44" s="2" t="s">
        <v>335</v>
      </c>
      <c r="C44" s="9">
        <f>INDEX(TABLAS!$D$6:$D$13,MATCH($C$38,TABLAS!$B$6:$B$13,0))</f>
        <v>1.27</v>
      </c>
      <c r="D44" s="4" t="s">
        <v>141</v>
      </c>
      <c r="E44" s="5" t="s">
        <v>276</v>
      </c>
      <c r="F44" s="6" t="s">
        <v>139</v>
      </c>
      <c r="H44" s="5" t="s">
        <v>339</v>
      </c>
      <c r="I44" s="19">
        <f>I43/$C$16</f>
        <v>3.78</v>
      </c>
      <c r="J44" s="19">
        <f>J43/$C$16</f>
        <v>3.24</v>
      </c>
      <c r="K44" s="19">
        <f>K43/$C$16</f>
        <v>3.24</v>
      </c>
      <c r="L44" s="19">
        <f>L43/$C$16</f>
        <v>2.43</v>
      </c>
      <c r="M44" s="19">
        <f>M43/$C$16</f>
        <v>2.43</v>
      </c>
      <c r="N44" s="24" t="s">
        <v>64</v>
      </c>
    </row>
    <row r="45" spans="2:14" ht="27.75" customHeight="1" x14ac:dyDescent="0.3">
      <c r="B45" s="2" t="s">
        <v>337</v>
      </c>
      <c r="C45" s="9">
        <f>$C$10*100-$C$12-IF($C$34="‖ X",$C$39/2,$C$41+$C$39/2)</f>
        <v>41.705</v>
      </c>
      <c r="D45" s="4" t="s">
        <v>137</v>
      </c>
      <c r="E45" s="5" t="s">
        <v>338</v>
      </c>
      <c r="F45" s="6" t="s">
        <v>259</v>
      </c>
      <c r="H45" s="5" t="s">
        <v>342</v>
      </c>
      <c r="I45" s="19">
        <f>I42+I43</f>
        <v>58.086</v>
      </c>
      <c r="J45" s="19">
        <f>J42+J43</f>
        <v>68.988</v>
      </c>
      <c r="K45" s="19">
        <f>K42+K43</f>
        <v>67.788</v>
      </c>
      <c r="L45" s="19">
        <f>L42+L43</f>
        <v>43.341</v>
      </c>
      <c r="M45" s="19">
        <f>M42+M43</f>
        <v>31.341</v>
      </c>
      <c r="N45" s="24" t="s">
        <v>96</v>
      </c>
    </row>
    <row r="46" spans="2:14" ht="15.45" customHeight="1" x14ac:dyDescent="0.3">
      <c r="B46" s="2" t="s">
        <v>340</v>
      </c>
      <c r="C46" s="9">
        <f>$C$10*100-$C$12-IF($C$34="‖ Y",$C$41/2,$C$39+$C$41/2)</f>
        <v>40.115</v>
      </c>
      <c r="D46" s="4" t="s">
        <v>137</v>
      </c>
      <c r="E46" s="5" t="s">
        <v>341</v>
      </c>
      <c r="F46" s="6" t="s">
        <v>259</v>
      </c>
      <c r="H46" s="5" t="s">
        <v>345</v>
      </c>
      <c r="I46" s="19">
        <f>(1-$C$15)*(I38+I41*$C$19)</f>
        <v>0</v>
      </c>
      <c r="J46" s="19">
        <f>(1-$C$15)*(J38+J41*$C$19)</f>
        <v>0</v>
      </c>
      <c r="K46" s="19">
        <f>(1-$C$15)*(K38+K41*$C$19)</f>
        <v>0</v>
      </c>
      <c r="L46" s="19">
        <f>(1-$C$15)*(L38+L41*$C$19)</f>
        <v>0</v>
      </c>
      <c r="M46" s="19">
        <f>(1-$C$15)*(M38+M41*$C$19)</f>
        <v>0</v>
      </c>
      <c r="N46" s="24" t="s">
        <v>104</v>
      </c>
    </row>
    <row r="47" spans="2:14" ht="15.45" customHeight="1" x14ac:dyDescent="0.3">
      <c r="B47" s="2" t="s">
        <v>343</v>
      </c>
      <c r="C47" s="9">
        <f>($C$45+$C$46)/2</f>
        <v>40.91</v>
      </c>
      <c r="D47" s="4" t="s">
        <v>137</v>
      </c>
      <c r="E47" s="5" t="s">
        <v>344</v>
      </c>
      <c r="F47" s="6" t="s">
        <v>259</v>
      </c>
      <c r="H47" s="5" t="s">
        <v>349</v>
      </c>
      <c r="I47" s="19">
        <f>(1-$C$15)*(I39+I40*$C$19)</f>
        <v>0</v>
      </c>
      <c r="J47" s="19">
        <f>(1-$C$15)*(J39+J40*$C$19)</f>
        <v>0</v>
      </c>
      <c r="K47" s="19">
        <f>(1-$C$15)*(K39+K40*$C$19)</f>
        <v>0</v>
      </c>
      <c r="L47" s="19">
        <f>(1-$C$15)*(L39+L40*$C$19)</f>
        <v>0</v>
      </c>
      <c r="M47" s="19">
        <f>(1-$C$15)*(M39+M40*$C$19)</f>
        <v>0</v>
      </c>
      <c r="N47" s="24" t="s">
        <v>104</v>
      </c>
    </row>
    <row r="48" spans="2:14" ht="27.75" customHeight="1" x14ac:dyDescent="0.3">
      <c r="B48" s="25" t="s">
        <v>346</v>
      </c>
      <c r="C48" s="26" t="str">
        <f>IF(MIN($C$45,$C$46)&gt;=15,"CUMPLE","NO CUMPLE — aumentar h")</f>
        <v>CUMPLE</v>
      </c>
      <c r="D48" s="4" t="s">
        <v>12</v>
      </c>
      <c r="E48" s="5" t="s">
        <v>347</v>
      </c>
      <c r="F48" s="6" t="s">
        <v>348</v>
      </c>
      <c r="H48" s="5" t="s">
        <v>350</v>
      </c>
      <c r="I48" s="20">
        <f>IF(I45&gt;0,I47/I45,99)</f>
        <v>0</v>
      </c>
      <c r="J48" s="20">
        <f>IF(J45&gt;0,J47/J45,99)</f>
        <v>0</v>
      </c>
      <c r="K48" s="20">
        <f>IF(K45&gt;0,K47/K45,99)</f>
        <v>0</v>
      </c>
      <c r="L48" s="20">
        <f>IF(L45&gt;0,L47/L45,99)</f>
        <v>0</v>
      </c>
      <c r="M48" s="20">
        <f>IF(M45&gt;0,M47/M45,99)</f>
        <v>0</v>
      </c>
      <c r="N48" s="24" t="s">
        <v>124</v>
      </c>
    </row>
    <row r="49" spans="2:14" x14ac:dyDescent="0.3">
      <c r="H49" s="5" t="s">
        <v>352</v>
      </c>
      <c r="I49" s="18" t="str">
        <f>IF(I48&lt;=$C$8/6,"TOTAL",IF(I48&lt;$C$8/2,"PARCIAL","INESTABLE"))</f>
        <v>TOTAL</v>
      </c>
      <c r="J49" s="18" t="str">
        <f>IF(J48&lt;=$C$8/6,"TOTAL",IF(J48&lt;$C$8/2,"PARCIAL","INESTABLE"))</f>
        <v>TOTAL</v>
      </c>
      <c r="K49" s="18" t="str">
        <f>IF(K48&lt;=$C$8/6,"TOTAL",IF(K48&lt;$C$8/2,"PARCIAL","INESTABLE"))</f>
        <v>TOTAL</v>
      </c>
      <c r="L49" s="18" t="str">
        <f>IF(L48&lt;=$C$8/6,"TOTAL",IF(L48&lt;$C$8/2,"PARCIAL","INESTABLE"))</f>
        <v>TOTAL</v>
      </c>
      <c r="M49" s="18" t="str">
        <f>IF(M48&lt;=$C$8/6,"TOTAL",IF(M48&lt;$C$8/2,"PARCIAL","INESTABLE"))</f>
        <v>TOTAL</v>
      </c>
      <c r="N49" s="24"/>
    </row>
    <row r="50" spans="2:14" ht="18" customHeight="1" x14ac:dyDescent="0.3">
      <c r="B50" s="38" t="s">
        <v>351</v>
      </c>
      <c r="C50" s="37"/>
      <c r="D50" s="37"/>
      <c r="E50" s="37"/>
      <c r="F50" s="37"/>
      <c r="H50" s="5" t="s">
        <v>353</v>
      </c>
      <c r="I50" s="19">
        <f>IF(I48&lt;=$C$8/6,I45/($C$8*$C$9)+I47*($C$8/2)/$C$23,IF(I48&lt;$C$8/2,2*I45/(3*$C$9*($C$8/2-I48)),999))</f>
        <v>14.5215</v>
      </c>
      <c r="J50" s="19">
        <f>IF(J48&lt;=$C$8/6,J45/($C$8*$C$9)+J47*($C$8/2)/$C$23,IF(J48&lt;$C$8/2,2*J45/(3*$C$9*($C$8/2-J48)),999))</f>
        <v>17.247</v>
      </c>
      <c r="K50" s="19">
        <f>IF(K48&lt;=$C$8/6,K45/($C$8*$C$9)+K47*($C$8/2)/$C$23,IF(K48&lt;$C$8/2,2*K45/(3*$C$9*($C$8/2-K48)),999))</f>
        <v>16.947</v>
      </c>
      <c r="L50" s="19">
        <f>IF(L48&lt;=$C$8/6,L45/($C$8*$C$9)+L47*($C$8/2)/$C$23,IF(L48&lt;$C$8/2,2*L45/(3*$C$9*($C$8/2-L48)),999))</f>
        <v>10.83525</v>
      </c>
      <c r="M50" s="19">
        <f>IF(M48&lt;=$C$8/6,M45/($C$8*$C$9)+M47*($C$8/2)/$C$23,IF(M48&lt;$C$8/2,2*M45/(3*$C$9*($C$8/2-M48)),999))</f>
        <v>7.83525</v>
      </c>
      <c r="N50" s="24" t="s">
        <v>64</v>
      </c>
    </row>
    <row r="51" spans="2:14" x14ac:dyDescent="0.3"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H51" s="5" t="s">
        <v>356</v>
      </c>
      <c r="I51" s="20">
        <f>IF(I48&lt;=$C$8/6,I47/$C$23,IF(I48&lt;$C$8/2,I50/(3*($C$8/2-I48)),0))</f>
        <v>0</v>
      </c>
      <c r="J51" s="20">
        <f>IF(J48&lt;=$C$8/6,J47/$C$23,IF(J48&lt;$C$8/2,J50/(3*($C$8/2-J48)),0))</f>
        <v>0</v>
      </c>
      <c r="K51" s="20">
        <f>IF(K48&lt;=$C$8/6,K47/$C$23,IF(K48&lt;$C$8/2,K50/(3*($C$8/2-K48)),0))</f>
        <v>0</v>
      </c>
      <c r="L51" s="20">
        <f>IF(L48&lt;=$C$8/6,L47/$C$23,IF(L48&lt;$C$8/2,L50/(3*($C$8/2-L48)),0))</f>
        <v>0</v>
      </c>
      <c r="M51" s="20">
        <f>IF(M48&lt;=$C$8/6,M47/$C$23,IF(M48&lt;$C$8/2,M50/(3*($C$8/2-M48)),0))</f>
        <v>0</v>
      </c>
      <c r="N51" s="24" t="s">
        <v>52</v>
      </c>
    </row>
    <row r="52" spans="2:14" ht="15.45" customHeight="1" x14ac:dyDescent="0.3">
      <c r="B52" s="2" t="s">
        <v>354</v>
      </c>
      <c r="C52" s="9">
        <f>$C$8*$C$9*$C$10*DATOS!$C$24</f>
        <v>4.8</v>
      </c>
      <c r="D52" s="4" t="s">
        <v>96</v>
      </c>
      <c r="E52" s="5" t="s">
        <v>355</v>
      </c>
      <c r="F52" s="6" t="s">
        <v>259</v>
      </c>
      <c r="H52" s="5" t="s">
        <v>359</v>
      </c>
      <c r="I52" s="19">
        <f>I50-I51*$C$8/2</f>
        <v>14.5215</v>
      </c>
      <c r="J52" s="19">
        <f>J50-J51*$C$8/2</f>
        <v>17.247</v>
      </c>
      <c r="K52" s="19">
        <f>K50-K51*$C$8/2</f>
        <v>16.947</v>
      </c>
      <c r="L52" s="19">
        <f>L50-L51*$C$8/2</f>
        <v>10.83525</v>
      </c>
      <c r="M52" s="19">
        <f>M50-M51*$C$8/2</f>
        <v>7.83525</v>
      </c>
      <c r="N52" s="24" t="s">
        <v>64</v>
      </c>
    </row>
    <row r="53" spans="2:14" ht="15.45" customHeight="1" x14ac:dyDescent="0.3">
      <c r="B53" s="2" t="s">
        <v>357</v>
      </c>
      <c r="C53" s="9">
        <f>($C$16-DATOS!$C$64*DATOS!$C$65)*$C$17*DATOS!$C$32</f>
        <v>6</v>
      </c>
      <c r="D53" s="4" t="s">
        <v>96</v>
      </c>
      <c r="E53" s="5" t="s">
        <v>358</v>
      </c>
      <c r="F53" s="6" t="s">
        <v>259</v>
      </c>
      <c r="H53" s="5" t="s">
        <v>362</v>
      </c>
      <c r="I53" s="20">
        <f>IF(I51&gt;0,MAX($C$24,-I52/I51),$C$24)</f>
        <v>0.25</v>
      </c>
      <c r="J53" s="20">
        <f>IF(J51&gt;0,MAX($C$24,-J52/J51),$C$24)</f>
        <v>0.25</v>
      </c>
      <c r="K53" s="20">
        <f>IF(K51&gt;0,MAX($C$24,-K52/K51),$C$24)</f>
        <v>0.25</v>
      </c>
      <c r="L53" s="20">
        <f>IF(L51&gt;0,MAX($C$24,-L52/L51),$C$24)</f>
        <v>0.25</v>
      </c>
      <c r="M53" s="20">
        <f>IF(M51&gt;0,MAX($C$24,-M52/M51),$C$24)</f>
        <v>0.25</v>
      </c>
      <c r="N53" s="24" t="s">
        <v>124</v>
      </c>
    </row>
    <row r="54" spans="2:14" ht="15.45" customHeight="1" x14ac:dyDescent="0.3">
      <c r="B54" s="2" t="s">
        <v>360</v>
      </c>
      <c r="C54" s="9">
        <f>DATOS!$C$64*DATOS!$C$65*$C$18*DATOS!$C$24</f>
        <v>0.69</v>
      </c>
      <c r="D54" s="4" t="s">
        <v>96</v>
      </c>
      <c r="E54" s="5" t="s">
        <v>361</v>
      </c>
      <c r="F54" s="6" t="s">
        <v>259</v>
      </c>
      <c r="H54" s="5" t="s">
        <v>366</v>
      </c>
      <c r="I54" s="19">
        <f>$C$9*IF(I53&lt;$C$8/2,(I52-I51*$C$24)*(($C$8/2)^2-I53^2)/2+I51*(($C$8/2)^3-I53^3)/3-I52*$C$24*($C$8/2-I53),0)-I44*$C$9*$C$26^2/2</f>
        <v>6.04209375</v>
      </c>
      <c r="J54" s="19">
        <f>$C$9*IF(J53&lt;$C$8/2,(J52-J51*$C$24)*(($C$8/2)^2-J53^2)/2+J51*(($C$8/2)^3-J53^3)/3-J52*$C$24*($C$8/2-J53),0)-J44*$C$9*$C$26^2/2</f>
        <v>7.8789375</v>
      </c>
      <c r="K54" s="19">
        <f>$C$9*IF(K53&lt;$C$8/2,(K52-K51*$C$24)*(($C$8/2)^2-K53^2)/2+K51*(($C$8/2)^3-K53^3)/3-K52*$C$24*($C$8/2-K53),0)-K44*$C$9*$C$26^2/2</f>
        <v>7.7101875</v>
      </c>
      <c r="L54" s="19">
        <f>$C$9*IF(L53&lt;$C$8/2,(L52-L51*$C$24)*(($C$8/2)^2-L53^2)/2+L51*(($C$8/2)^3-L53^3)/3-L52*$C$24*($C$8/2-L53),0)-L44*$C$9*$C$26^2/2</f>
        <v>4.727953125</v>
      </c>
      <c r="M54" s="19">
        <f>$C$9*IF(M53&lt;$C$8/2,(M52-M51*$C$24)*(($C$8/2)^2-M53^2)/2+M51*(($C$8/2)^3-M53^3)/3-M52*$C$24*($C$8/2-M53),0)-M44*$C$9*$C$26^2/2</f>
        <v>3.040453125</v>
      </c>
      <c r="N54" s="24" t="s">
        <v>104</v>
      </c>
    </row>
    <row r="55" spans="2:14" ht="27.75" customHeight="1" x14ac:dyDescent="0.3">
      <c r="B55" s="2" t="s">
        <v>363</v>
      </c>
      <c r="C55" s="9">
        <f>$C$52+$C$53+$C$54</f>
        <v>11.49</v>
      </c>
      <c r="D55" s="4" t="s">
        <v>96</v>
      </c>
      <c r="E55" s="5" t="s">
        <v>364</v>
      </c>
      <c r="F55" s="6" t="s">
        <v>365</v>
      </c>
      <c r="H55" s="5" t="s">
        <v>367</v>
      </c>
      <c r="I55" s="20">
        <f>$C$24+$C$45/100</f>
        <v>0.66705</v>
      </c>
      <c r="J55" s="20">
        <f>$C$24+$C$45/100</f>
        <v>0.66705</v>
      </c>
      <c r="K55" s="20">
        <f>$C$24+$C$45/100</f>
        <v>0.66705</v>
      </c>
      <c r="L55" s="20">
        <f>$C$24+$C$45/100</f>
        <v>0.66705</v>
      </c>
      <c r="M55" s="20">
        <f>$C$24+$C$45/100</f>
        <v>0.66705</v>
      </c>
      <c r="N55" s="24" t="s">
        <v>124</v>
      </c>
    </row>
    <row r="56" spans="2:14" x14ac:dyDescent="0.3">
      <c r="H56" s="5" t="s">
        <v>369</v>
      </c>
      <c r="I56" s="20">
        <f>IF(I51&gt;0,MAX(I55,-I52/I51),I55)</f>
        <v>0.66705</v>
      </c>
      <c r="J56" s="20">
        <f>IF(J51&gt;0,MAX(J55,-J52/J51),J55)</f>
        <v>0.66705</v>
      </c>
      <c r="K56" s="20">
        <f>IF(K51&gt;0,MAX(K55,-K52/K51),K55)</f>
        <v>0.66705</v>
      </c>
      <c r="L56" s="20">
        <f>IF(L51&gt;0,MAX(L55,-L52/L51),L55)</f>
        <v>0.66705</v>
      </c>
      <c r="M56" s="20">
        <f>IF(M51&gt;0,MAX(M55,-M52/M51),M55)</f>
        <v>0.66705</v>
      </c>
      <c r="N56" s="24" t="s">
        <v>124</v>
      </c>
    </row>
    <row r="57" spans="2:14" ht="18" customHeight="1" x14ac:dyDescent="0.3">
      <c r="B57" s="38" t="s">
        <v>368</v>
      </c>
      <c r="C57" s="37"/>
      <c r="D57" s="37"/>
      <c r="E57" s="37"/>
      <c r="F57" s="37"/>
      <c r="H57" s="5" t="s">
        <v>370</v>
      </c>
      <c r="I57" s="19">
        <f>IF(I55&gt;=$C$8/2,0,MAX(0,$C$9*IF(I56&lt;$C$8/2,I52*($C$8/2-I56)+I51*(($C$8/2)^2-I56^2)/2,0)-I44*$C$9*($C$8/2-I55)))</f>
        <v>7.15276485</v>
      </c>
      <c r="J57" s="19">
        <f>IF(J55&gt;=$C$8/2,0,MAX(0,$C$9*IF(J56&lt;$C$8/2,J52*($C$8/2-J56)+J51*(($C$8/2)^2-J56^2)/2,0)-J44*$C$9*($C$8/2-J55)))</f>
        <v>9.3272613</v>
      </c>
      <c r="K57" s="19">
        <f>IF(K55&gt;=$C$8/2,0,MAX(0,$C$9*IF(K56&lt;$C$8/2,K52*($C$8/2-K56)+K51*(($C$8/2)^2-K56^2)/2,0)-K44*$C$9*($C$8/2-K55)))</f>
        <v>9.1274913</v>
      </c>
      <c r="L57" s="19">
        <f>IF(L55&gt;=$C$8/2,0,MAX(0,$C$9*IF(L56&lt;$C$8/2,L52*($C$8/2-L56)+L51*(($C$8/2)^2-L56^2)/2,0)-L44*$C$9*($C$8/2-L55)))</f>
        <v>5.597055975</v>
      </c>
      <c r="M57" s="19">
        <f>IF(M55&gt;=$C$8/2,0,MAX(0,$C$9*IF(M56&lt;$C$8/2,M52*($C$8/2-M56)+M51*(($C$8/2)^2-M56^2)/2,0)-M44*$C$9*($C$8/2-M55)))</f>
        <v>3.599355975</v>
      </c>
      <c r="N57" s="24" t="s">
        <v>96</v>
      </c>
    </row>
    <row r="58" spans="2:14" x14ac:dyDescent="0.3">
      <c r="B58" s="1" t="s">
        <v>5</v>
      </c>
      <c r="C58" s="1" t="s">
        <v>6</v>
      </c>
      <c r="D58" s="1" t="s">
        <v>7</v>
      </c>
      <c r="E58" s="1" t="s">
        <v>8</v>
      </c>
      <c r="F58" s="1" t="s">
        <v>9</v>
      </c>
      <c r="H58" s="5" t="s">
        <v>374</v>
      </c>
      <c r="I58" s="20">
        <f>IF(I51&gt;0,MIN($C$8/2,I52/I51),$C$8/2)</f>
        <v>1</v>
      </c>
      <c r="J58" s="20">
        <f>IF(J51&gt;0,MIN($C$8/2,J52/J51),$C$8/2)</f>
        <v>1</v>
      </c>
      <c r="K58" s="20">
        <f>IF(K51&gt;0,MIN($C$8/2,K52/K51),$C$8/2)</f>
        <v>1</v>
      </c>
      <c r="L58" s="20">
        <f>IF(L51&gt;0,MIN($C$8/2,L52/L51),$C$8/2)</f>
        <v>1</v>
      </c>
      <c r="M58" s="20">
        <f>IF(M51&gt;0,MIN($C$8/2,M52/M51),$C$8/2)</f>
        <v>1</v>
      </c>
      <c r="N58" s="24" t="s">
        <v>124</v>
      </c>
    </row>
    <row r="59" spans="2:14" ht="27.75" customHeight="1" x14ac:dyDescent="0.3">
      <c r="B59" s="2" t="s">
        <v>371</v>
      </c>
      <c r="C59" s="9">
        <f>DATOS!$C$30-($C$10*DATOS!$C$24+$C$17*DATOS!$C$32)</f>
        <v>15.2</v>
      </c>
      <c r="D59" s="4" t="s">
        <v>64</v>
      </c>
      <c r="E59" s="5" t="s">
        <v>372</v>
      </c>
      <c r="F59" s="6" t="s">
        <v>373</v>
      </c>
      <c r="H59" s="5" t="s">
        <v>378</v>
      </c>
      <c r="I59" s="19">
        <f>I44*$C$9*$C$26^2/2-$C$9*IF(I58&gt;$C$24,(I52+I51*$C$24)*(I58^2-$C$24^2)/2-I51*(I58^3-$C$24^3)/3-I52*$C$24*(I58-$C$24),0)</f>
        <v>-6.04209375</v>
      </c>
      <c r="J59" s="19">
        <f>J44*$C$9*$C$26^2/2-$C$9*IF(J58&gt;$C$24,(J52+J51*$C$24)*(J58^2-$C$24^2)/2-J51*(J58^3-$C$24^3)/3-J52*$C$24*(J58-$C$24),0)</f>
        <v>-7.8789375</v>
      </c>
      <c r="K59" s="19">
        <f>K44*$C$9*$C$26^2/2-$C$9*IF(K58&gt;$C$24,(K52+K51*$C$24)*(K58^2-$C$24^2)/2-K51*(K58^3-$C$24^3)/3-K52*$C$24*(K58-$C$24),0)</f>
        <v>-7.7101875</v>
      </c>
      <c r="L59" s="19">
        <f>L44*$C$9*$C$26^2/2-$C$9*IF(L58&gt;$C$24,(L52+L51*$C$24)*(L58^2-$C$24^2)/2-L51*(L58^3-$C$24^3)/3-L52*$C$24*(L58-$C$24),0)</f>
        <v>-4.727953125</v>
      </c>
      <c r="M59" s="19">
        <f>M44*$C$9*$C$26^2/2-$C$9*IF(M58&gt;$C$24,(M52+M51*$C$24)*(M58^2-$C$24^2)/2-M51*(M58^3-$C$24^3)/3-M52*$C$24*(M58-$C$24),0)</f>
        <v>-3.040453125</v>
      </c>
      <c r="N59" s="24" t="s">
        <v>104</v>
      </c>
    </row>
    <row r="60" spans="2:14" ht="15.45" customHeight="1" x14ac:dyDescent="0.3">
      <c r="B60" s="2" t="s">
        <v>375</v>
      </c>
      <c r="C60" s="9">
        <f>COMBINACIONES!$E$19+$C$54</f>
        <v>42.69</v>
      </c>
      <c r="D60" s="4" t="s">
        <v>96</v>
      </c>
      <c r="E60" s="5" t="s">
        <v>376</v>
      </c>
      <c r="F60" s="6" t="s">
        <v>377</v>
      </c>
      <c r="H60" s="5" t="s">
        <v>382</v>
      </c>
      <c r="I60" s="20">
        <f>IF(I45&gt;0,I46/I45,99)</f>
        <v>0</v>
      </c>
      <c r="J60" s="20">
        <f>IF(J45&gt;0,J46/J45,99)</f>
        <v>0</v>
      </c>
      <c r="K60" s="20">
        <f>IF(K45&gt;0,K46/K45,99)</f>
        <v>0</v>
      </c>
      <c r="L60" s="20">
        <f>IF(L45&gt;0,L46/L45,99)</f>
        <v>0</v>
      </c>
      <c r="M60" s="20">
        <f>IF(M45&gt;0,M46/M45,99)</f>
        <v>0</v>
      </c>
      <c r="N60" s="24" t="s">
        <v>124</v>
      </c>
    </row>
    <row r="61" spans="2:14" ht="15.45" customHeight="1" x14ac:dyDescent="0.3">
      <c r="B61" s="2" t="s">
        <v>379</v>
      </c>
      <c r="C61" s="10">
        <f>IF($C$59&gt;0,$C$60/$C$59,999)</f>
        <v>2.80855263157895</v>
      </c>
      <c r="D61" s="4" t="s">
        <v>257</v>
      </c>
      <c r="E61" s="5" t="s">
        <v>380</v>
      </c>
      <c r="F61" s="6" t="s">
        <v>381</v>
      </c>
      <c r="H61" s="5" t="s">
        <v>385</v>
      </c>
      <c r="I61" s="18" t="str">
        <f>IF(I60&lt;=$C$9/6,"TOTAL",IF(I60&lt;$C$9/2,"PARCIAL","INESTABLE"))</f>
        <v>TOTAL</v>
      </c>
      <c r="J61" s="18" t="str">
        <f>IF(J60&lt;=$C$9/6,"TOTAL",IF(J60&lt;$C$9/2,"PARCIAL","INESTABLE"))</f>
        <v>TOTAL</v>
      </c>
      <c r="K61" s="18" t="str">
        <f>IF(K60&lt;=$C$9/6,"TOTAL",IF(K60&lt;$C$9/2,"PARCIAL","INESTABLE"))</f>
        <v>TOTAL</v>
      </c>
      <c r="L61" s="18" t="str">
        <f>IF(L60&lt;=$C$9/6,"TOTAL",IF(L60&lt;$C$9/2,"PARCIAL","INESTABLE"))</f>
        <v>TOTAL</v>
      </c>
      <c r="M61" s="18" t="str">
        <f>IF(M60&lt;=$C$9/6,"TOTAL",IF(M60&lt;$C$9/2,"PARCIAL","INESTABLE"))</f>
        <v>TOTAL</v>
      </c>
      <c r="N61" s="24"/>
    </row>
    <row r="62" spans="2:14" ht="27.75" customHeight="1" x14ac:dyDescent="0.3">
      <c r="B62" s="2" t="s">
        <v>383</v>
      </c>
      <c r="C62" s="10">
        <f>SQRT($C$61)</f>
        <v>1.6758736920123</v>
      </c>
      <c r="D62" s="4" t="s">
        <v>124</v>
      </c>
      <c r="E62" s="5" t="s">
        <v>384</v>
      </c>
      <c r="F62" s="6" t="s">
        <v>259</v>
      </c>
      <c r="H62" s="5" t="s">
        <v>388</v>
      </c>
      <c r="I62" s="19">
        <f>IF(I60&lt;=$C$9/6,I45/($C$9*$C$8)+I46*($C$9/2)/$C$22,IF(I60&lt;$C$9/2,2*I45/(3*$C$8*($C$9/2-I60)),999))</f>
        <v>14.5215</v>
      </c>
      <c r="J62" s="19">
        <f>IF(J60&lt;=$C$9/6,J45/($C$9*$C$8)+J46*($C$9/2)/$C$22,IF(J60&lt;$C$9/2,2*J45/(3*$C$8*($C$9/2-J60)),999))</f>
        <v>17.247</v>
      </c>
      <c r="K62" s="19">
        <f>IF(K60&lt;=$C$9/6,K45/($C$9*$C$8)+K46*($C$9/2)/$C$22,IF(K60&lt;$C$9/2,2*K45/(3*$C$8*($C$9/2-K60)),999))</f>
        <v>16.947</v>
      </c>
      <c r="L62" s="19">
        <f>IF(L60&lt;=$C$9/6,L45/($C$9*$C$8)+L46*($C$9/2)/$C$22,IF(L60&lt;$C$9/2,2*L45/(3*$C$8*($C$9/2-L60)),999))</f>
        <v>10.83525</v>
      </c>
      <c r="M62" s="19">
        <f>IF(M60&lt;=$C$9/6,M45/($C$9*$C$8)+M46*($C$9/2)/$C$22,IF(M60&lt;$C$9/2,2*M45/(3*$C$8*($C$9/2-M60)),999))</f>
        <v>7.83525</v>
      </c>
      <c r="N62" s="24" t="s">
        <v>64</v>
      </c>
    </row>
    <row r="63" spans="2:14" ht="27.75" customHeight="1" x14ac:dyDescent="0.3">
      <c r="B63" s="25" t="s">
        <v>386</v>
      </c>
      <c r="C63" s="26" t="str">
        <f>IF($C$16&gt;=$C$61,"CUMPLE","NO CUMPLE — aumentar Lx · Ly")</f>
        <v>CUMPLE</v>
      </c>
      <c r="D63" s="4" t="s">
        <v>12</v>
      </c>
      <c r="E63" s="5" t="s">
        <v>387</v>
      </c>
      <c r="F63" s="6" t="s">
        <v>381</v>
      </c>
      <c r="H63" s="5" t="s">
        <v>392</v>
      </c>
      <c r="I63" s="20">
        <f>IF(I60&lt;=$C$9/6,I46/$C$22,IF(I60&lt;$C$9/2,I62/(3*($C$9/2-I60)),0))</f>
        <v>0</v>
      </c>
      <c r="J63" s="20">
        <f>IF(J60&lt;=$C$9/6,J46/$C$22,IF(J60&lt;$C$9/2,J62/(3*($C$9/2-J60)),0))</f>
        <v>0</v>
      </c>
      <c r="K63" s="20">
        <f>IF(K60&lt;=$C$9/6,K46/$C$22,IF(K60&lt;$C$9/2,K62/(3*($C$9/2-K60)),0))</f>
        <v>0</v>
      </c>
      <c r="L63" s="20">
        <f>IF(L60&lt;=$C$9/6,L46/$C$22,IF(L60&lt;$C$9/2,L62/(3*($C$9/2-L60)),0))</f>
        <v>0</v>
      </c>
      <c r="M63" s="20">
        <f>IF(M60&lt;=$C$9/6,M46/$C$22,IF(M60&lt;$C$9/2,M62/(3*($C$9/2-M60)),0))</f>
        <v>0</v>
      </c>
      <c r="N63" s="24" t="s">
        <v>52</v>
      </c>
    </row>
    <row r="64" spans="2:14" ht="15.45" customHeight="1" x14ac:dyDescent="0.3">
      <c r="B64" s="2" t="s">
        <v>389</v>
      </c>
      <c r="C64" s="11">
        <f>DATOS!$C$87*0.33*DATOS!$C$23*DATOS!$C$17*DATOS!$C$89*10</f>
        <v>124.964218128631</v>
      </c>
      <c r="D64" s="4" t="s">
        <v>64</v>
      </c>
      <c r="E64" s="5" t="s">
        <v>390</v>
      </c>
      <c r="F64" s="6" t="s">
        <v>391</v>
      </c>
      <c r="H64" s="5" t="s">
        <v>359</v>
      </c>
      <c r="I64" s="19">
        <f>I62-I63*$C$9/2</f>
        <v>14.5215</v>
      </c>
      <c r="J64" s="19">
        <f>J62-J63*$C$9/2</f>
        <v>17.247</v>
      </c>
      <c r="K64" s="19">
        <f>K62-K63*$C$9/2</f>
        <v>16.947</v>
      </c>
      <c r="L64" s="19">
        <f>L62-L63*$C$9/2</f>
        <v>10.83525</v>
      </c>
      <c r="M64" s="19">
        <f>M62-M63*$C$9/2</f>
        <v>7.83525</v>
      </c>
      <c r="N64" s="24" t="s">
        <v>64</v>
      </c>
    </row>
    <row r="65" spans="2:14" ht="15.45" customHeight="1" x14ac:dyDescent="0.3">
      <c r="B65" s="2" t="s">
        <v>393</v>
      </c>
      <c r="C65" s="9">
        <f>MAX($I$42:$M$42)</f>
        <v>56.028</v>
      </c>
      <c r="D65" s="4" t="s">
        <v>96</v>
      </c>
      <c r="E65" s="5" t="s">
        <v>394</v>
      </c>
      <c r="F65" s="6" t="s">
        <v>395</v>
      </c>
      <c r="H65" s="5" t="s">
        <v>362</v>
      </c>
      <c r="I65" s="20">
        <f>IF(I63&gt;0,MAX($C$25,-I64/I63),$C$25)</f>
        <v>0.25</v>
      </c>
      <c r="J65" s="20">
        <f>IF(J63&gt;0,MAX($C$25,-J64/J63),$C$25)</f>
        <v>0.25</v>
      </c>
      <c r="K65" s="20">
        <f>IF(K63&gt;0,MAX($C$25,-K64/K63),$C$25)</f>
        <v>0.25</v>
      </c>
      <c r="L65" s="20">
        <f>IF(L63&gt;0,MAX($C$25,-L64/L63),$C$25)</f>
        <v>0.25</v>
      </c>
      <c r="M65" s="20">
        <f>IF(M63&gt;0,MAX($C$25,-M64/M63),$C$25)</f>
        <v>0.25</v>
      </c>
      <c r="N65" s="24" t="s">
        <v>124</v>
      </c>
    </row>
    <row r="66" spans="2:14" ht="27.75" customHeight="1" x14ac:dyDescent="0.3">
      <c r="B66" s="2" t="s">
        <v>396</v>
      </c>
      <c r="C66" s="11">
        <f>100*(-(2*$C$64+$C$65/$C$16)*(DATOS!$C$64+DATOS!$C$65)+SQRT(((2*$C$64+$C$65/$C$16)*(DATOS!$C$64+DATOS!$C$65))^2-4*(4*$C$64+$C$65/$C$16)*($C$65/$C$16*DATOS!$C$64*DATOS!$C$65-$C$65)))/(2*(4*$C$64+$C$65/$C$16))</f>
        <v>15.3273163785797</v>
      </c>
      <c r="D66" s="4" t="s">
        <v>137</v>
      </c>
      <c r="E66" s="5" t="s">
        <v>397</v>
      </c>
      <c r="F66" s="6" t="s">
        <v>398</v>
      </c>
      <c r="H66" s="5" t="s">
        <v>401</v>
      </c>
      <c r="I66" s="19">
        <f>$C$8*IF(I65&lt;$C$9/2,(I64-I63*$C$25)*(($C$9/2)^2-I65^2)/2+I63*(($C$9/2)^3-I65^3)/3-I64*$C$25*($C$9/2-I65),0)-I44*$C$8*$C$27^2/2</f>
        <v>6.04209375</v>
      </c>
      <c r="J66" s="19">
        <f>$C$8*IF(J65&lt;$C$9/2,(J64-J63*$C$25)*(($C$9/2)^2-J65^2)/2+J63*(($C$9/2)^3-J65^3)/3-J64*$C$25*($C$9/2-J65),0)-J44*$C$8*$C$27^2/2</f>
        <v>7.8789375</v>
      </c>
      <c r="K66" s="19">
        <f>$C$8*IF(K65&lt;$C$9/2,(K64-K63*$C$25)*(($C$9/2)^2-K65^2)/2+K63*(($C$9/2)^3-K65^3)/3-K64*$C$25*($C$9/2-K65),0)-K44*$C$8*$C$27^2/2</f>
        <v>7.7101875</v>
      </c>
      <c r="L66" s="19">
        <f>$C$8*IF(L65&lt;$C$9/2,(L64-L63*$C$25)*(($C$9/2)^2-L65^2)/2+L63*(($C$9/2)^3-L65^3)/3-L64*$C$25*($C$9/2-L65),0)-L44*$C$8*$C$27^2/2</f>
        <v>4.727953125</v>
      </c>
      <c r="M66" s="19">
        <f>$C$8*IF(M65&lt;$C$9/2,(M64-M63*$C$25)*(($C$9/2)^2-M65^2)/2+M63*(($C$9/2)^3-M65^3)/3-M64*$C$25*($C$9/2-M65),0)-M44*$C$8*$C$27^2/2</f>
        <v>3.040453125</v>
      </c>
      <c r="N66" s="24" t="s">
        <v>104</v>
      </c>
    </row>
    <row r="67" spans="2:14" ht="15.45" customHeight="1" x14ac:dyDescent="0.3">
      <c r="B67" s="2" t="s">
        <v>399</v>
      </c>
      <c r="C67" s="11">
        <f>$C$66+$C$12+MAX($C$39,$C$41)</f>
        <v>24.4173163785797</v>
      </c>
      <c r="D67" s="4" t="s">
        <v>137</v>
      </c>
      <c r="E67" s="5" t="s">
        <v>400</v>
      </c>
      <c r="F67" s="6" t="s">
        <v>259</v>
      </c>
      <c r="H67" s="5" t="s">
        <v>367</v>
      </c>
      <c r="I67" s="20">
        <f>$C$25+$C$46/100</f>
        <v>0.65115</v>
      </c>
      <c r="J67" s="20">
        <f>$C$25+$C$46/100</f>
        <v>0.65115</v>
      </c>
      <c r="K67" s="20">
        <f>$C$25+$C$46/100</f>
        <v>0.65115</v>
      </c>
      <c r="L67" s="20">
        <f>$C$25+$C$46/100</f>
        <v>0.65115</v>
      </c>
      <c r="M67" s="20">
        <f>$C$25+$C$46/100</f>
        <v>0.65115</v>
      </c>
      <c r="N67" s="24" t="s">
        <v>124</v>
      </c>
    </row>
    <row r="68" spans="2:14" x14ac:dyDescent="0.3">
      <c r="H68" s="5" t="s">
        <v>369</v>
      </c>
      <c r="I68" s="20">
        <f>IF(I63&gt;0,MAX(I67,-I64/I63),I67)</f>
        <v>0.65115</v>
      </c>
      <c r="J68" s="20">
        <f>IF(J63&gt;0,MAX(J67,-J64/J63),J67)</f>
        <v>0.65115</v>
      </c>
      <c r="K68" s="20">
        <f>IF(K63&gt;0,MAX(K67,-K64/K63),K67)</f>
        <v>0.65115</v>
      </c>
      <c r="L68" s="20">
        <f>IF(L63&gt;0,MAX(L67,-L64/L63),L67)</f>
        <v>0.65115</v>
      </c>
      <c r="M68" s="20">
        <f>IF(M63&gt;0,MAX(M67,-M64/M63),M67)</f>
        <v>0.65115</v>
      </c>
      <c r="N68" s="24" t="s">
        <v>124</v>
      </c>
    </row>
    <row r="69" spans="2:14" ht="18" customHeight="1" x14ac:dyDescent="0.3">
      <c r="B69" s="38" t="s">
        <v>402</v>
      </c>
      <c r="C69" s="37"/>
      <c r="D69" s="37"/>
      <c r="E69" s="37"/>
      <c r="F69" s="37"/>
      <c r="H69" s="5" t="s">
        <v>403</v>
      </c>
      <c r="I69" s="19">
        <f>IF(I67&gt;=$C$9/2,0,MAX(0,$C$8*IF(I68&lt;$C$9/2,I64*($C$9/2-I68)+I63*(($C$9/2)^2-I68^2)/2,0)-I44*$C$8*($C$9/2-I67)))</f>
        <v>7.49434455</v>
      </c>
      <c r="J69" s="19">
        <f>IF(J67&gt;=$C$9/2,0,MAX(0,$C$8*IF(J68&lt;$C$9/2,J64*($C$9/2-J68)+J63*(($C$9/2)^2-J68^2)/2,0)-J44*$C$8*($C$9/2-J67)))</f>
        <v>9.7726839</v>
      </c>
      <c r="K69" s="19">
        <f>IF(K67&gt;=$C$9/2,0,MAX(0,$C$8*IF(K68&lt;$C$9/2,K64*($C$9/2-K68)+K63*(($C$9/2)^2-K68^2)/2,0)-K44*$C$8*($C$9/2-K67)))</f>
        <v>9.5633739</v>
      </c>
      <c r="L69" s="19">
        <f>IF(L67&gt;=$C$9/2,0,MAX(0,$C$8*IF(L68&lt;$C$9/2,L64*($C$9/2-L68)+L63*(($C$9/2)^2-L68^2)/2,0)-L44*$C$8*($C$9/2-L67)))</f>
        <v>5.864342925</v>
      </c>
      <c r="M69" s="19">
        <f>IF(M67&gt;=$C$9/2,0,MAX(0,$C$8*IF(M68&lt;$C$9/2,M64*($C$9/2-M68)+M63*(($C$9/2)^2-M68^2)/2,0)-M44*$C$8*($C$9/2-M67)))</f>
        <v>3.771242925</v>
      </c>
      <c r="N69" s="24" t="s">
        <v>96</v>
      </c>
    </row>
    <row r="70" spans="2:14" x14ac:dyDescent="0.3"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H70" s="5" t="s">
        <v>374</v>
      </c>
      <c r="I70" s="20">
        <f>IF(I63&gt;0,MIN($C$9/2,I64/I63),$C$9/2)</f>
        <v>1</v>
      </c>
      <c r="J70" s="20">
        <f>IF(J63&gt;0,MIN($C$9/2,J64/J63),$C$9/2)</f>
        <v>1</v>
      </c>
      <c r="K70" s="20">
        <f>IF(K63&gt;0,MIN($C$9/2,K64/K63),$C$9/2)</f>
        <v>1</v>
      </c>
      <c r="L70" s="20">
        <f>IF(L63&gt;0,MIN($C$9/2,L64/L63),$C$9/2)</f>
        <v>1</v>
      </c>
      <c r="M70" s="20">
        <f>IF(M63&gt;0,MIN($C$9/2,M64/M63),$C$9/2)</f>
        <v>1</v>
      </c>
      <c r="N70" s="24" t="s">
        <v>124</v>
      </c>
    </row>
    <row r="71" spans="2:14" ht="40.200000000000003" customHeight="1" x14ac:dyDescent="0.3">
      <c r="B71" s="2" t="s">
        <v>404</v>
      </c>
      <c r="C71" s="9">
        <f>MAX($I$23:$M$23)</f>
        <v>13.41</v>
      </c>
      <c r="D71" s="4" t="s">
        <v>64</v>
      </c>
      <c r="E71" s="5" t="s">
        <v>405</v>
      </c>
      <c r="F71" s="6" t="s">
        <v>406</v>
      </c>
      <c r="H71" s="5" t="s">
        <v>409</v>
      </c>
      <c r="I71" s="19">
        <f>I44*$C$8*$C$27^2/2-$C$8*IF(I70&gt;$C$25,(I64+I63*$C$25)*(I70^2-$C$25^2)/2-I63*(I70^3-$C$25^3)/3-I64*$C$25*(I70-$C$25),0)</f>
        <v>-6.04209375</v>
      </c>
      <c r="J71" s="19">
        <f>J44*$C$8*$C$27^2/2-$C$8*IF(J70&gt;$C$25,(J64+J63*$C$25)*(J70^2-$C$25^2)/2-J63*(J70^3-$C$25^3)/3-J64*$C$25*(J70-$C$25),0)</f>
        <v>-7.8789375</v>
      </c>
      <c r="K71" s="19">
        <f>K44*$C$8*$C$27^2/2-$C$8*IF(K70&gt;$C$25,(K64+K63*$C$25)*(K70^2-$C$25^2)/2-K63*(K70^3-$C$25^3)/3-K64*$C$25*(K70-$C$25),0)</f>
        <v>-7.7101875</v>
      </c>
      <c r="L71" s="19">
        <f>L44*$C$8*$C$27^2/2-$C$8*IF(L70&gt;$C$25,(L64+L63*$C$25)*(L70^2-$C$25^2)/2-L63*(L70^3-$C$25^3)/3-L64*$C$25*(L70-$C$25),0)</f>
        <v>-4.727953125</v>
      </c>
      <c r="M71" s="19">
        <f>M44*$C$8*$C$27^2/2-$C$8*IF(M70&gt;$C$25,(M64+M63*$C$25)*(M70^2-$C$25^2)/2-M63*(M70^3-$C$25^3)/3-M64*$C$25*(M70-$C$25),0)</f>
        <v>-3.040453125</v>
      </c>
      <c r="N71" s="24" t="s">
        <v>104</v>
      </c>
    </row>
    <row r="72" spans="2:14" ht="15.45" customHeight="1" x14ac:dyDescent="0.3">
      <c r="B72" s="2" t="s">
        <v>407</v>
      </c>
      <c r="C72" s="7" t="str">
        <f>INDEX($I$5:$M$5,MATCH($C$71,$I$23:$M$23,0))</f>
        <v>S3</v>
      </c>
      <c r="D72" s="4" t="s">
        <v>12</v>
      </c>
      <c r="E72" s="5" t="s">
        <v>276</v>
      </c>
      <c r="F72" s="6" t="s">
        <v>408</v>
      </c>
      <c r="H72" s="5" t="s">
        <v>413</v>
      </c>
      <c r="I72" s="20">
        <f>6*I48/$C$8+6*I60/$C$9</f>
        <v>0</v>
      </c>
      <c r="J72" s="20">
        <f>6*J48/$C$8+6*J60/$C$9</f>
        <v>0</v>
      </c>
      <c r="K72" s="20">
        <f>6*K48/$C$8+6*K60/$C$9</f>
        <v>0</v>
      </c>
      <c r="L72" s="20">
        <f>6*L48/$C$8+6*L60/$C$9</f>
        <v>0</v>
      </c>
      <c r="M72" s="20">
        <f>6*M48/$C$8+6*M60/$C$9</f>
        <v>0</v>
      </c>
      <c r="N72" s="24" t="s">
        <v>12</v>
      </c>
    </row>
    <row r="73" spans="2:14" ht="27.75" customHeight="1" x14ac:dyDescent="0.3">
      <c r="B73" s="2" t="s">
        <v>410</v>
      </c>
      <c r="C73" s="10">
        <f>MAX($I$27:$M$27)</f>
        <v>0.745</v>
      </c>
      <c r="D73" s="4" t="s">
        <v>12</v>
      </c>
      <c r="E73" s="5" t="s">
        <v>411</v>
      </c>
      <c r="F73" s="6" t="s">
        <v>412</v>
      </c>
      <c r="H73" s="5" t="s">
        <v>416</v>
      </c>
      <c r="I73" s="19">
        <f>IF(I72&lt;=1,I42*(1-$C$91/$C$16),I42)</f>
        <v>34.088549726385</v>
      </c>
      <c r="J73" s="19">
        <f>IF(J72&lt;=1,J42*(1-$C$91/$C$16),J42)</f>
        <v>44.45173542033</v>
      </c>
      <c r="K73" s="19">
        <f>IF(K72&lt;=1,K42*(1-$C$91/$C$16),K42)</f>
        <v>43.49967426333</v>
      </c>
      <c r="L73" s="19">
        <f>IF(L72&lt;=1,L42*(1-$C$91/$C$16),L42)</f>
        <v>26.6743734662475</v>
      </c>
      <c r="M73" s="19">
        <f>IF(M72&lt;=1,M42*(1-$C$91/$C$16),M42)</f>
        <v>17.1537618962475</v>
      </c>
      <c r="N73" s="24" t="s">
        <v>96</v>
      </c>
    </row>
    <row r="74" spans="2:14" ht="15.45" customHeight="1" x14ac:dyDescent="0.3">
      <c r="B74" s="25" t="s">
        <v>414</v>
      </c>
      <c r="C74" s="26" t="str">
        <f>IF($C$73&lt;=1,"CUMPLE","NO CUMPLE — aumentar Lx y/o Ly")</f>
        <v>CUMPLE</v>
      </c>
      <c r="D74" s="4" t="s">
        <v>12</v>
      </c>
      <c r="E74" s="5" t="s">
        <v>415</v>
      </c>
      <c r="F74" s="6" t="s">
        <v>381</v>
      </c>
      <c r="H74" s="5" t="s">
        <v>419</v>
      </c>
      <c r="I74" s="19">
        <f>(1-$C$15)*(ABS(I38)+ABS(I41)*$C$20)</f>
        <v>0</v>
      </c>
      <c r="J74" s="19">
        <f>(1-$C$15)*(ABS(J38)+ABS(J41)*$C$20)</f>
        <v>0</v>
      </c>
      <c r="K74" s="19">
        <f>(1-$C$15)*(ABS(K38)+ABS(K41)*$C$20)</f>
        <v>0</v>
      </c>
      <c r="L74" s="19">
        <f>(1-$C$15)*(ABS(L38)+ABS(L41)*$C$20)</f>
        <v>0</v>
      </c>
      <c r="M74" s="19">
        <f>(1-$C$15)*(ABS(M38)+ABS(M41)*$C$20)</f>
        <v>0</v>
      </c>
      <c r="N74" s="24" t="s">
        <v>104</v>
      </c>
    </row>
    <row r="75" spans="2:14" ht="15.45" customHeight="1" x14ac:dyDescent="0.3">
      <c r="B75" s="2" t="s">
        <v>417</v>
      </c>
      <c r="C75" s="9">
        <f>MIN($I$24:$M$24)</f>
        <v>5.1735</v>
      </c>
      <c r="D75" s="4" t="s">
        <v>64</v>
      </c>
      <c r="E75" s="5" t="s">
        <v>276</v>
      </c>
      <c r="F75" s="6" t="s">
        <v>418</v>
      </c>
      <c r="H75" s="5" t="s">
        <v>423</v>
      </c>
      <c r="I75" s="19">
        <f>(1-$C$15)*(ABS(I39)+ABS(I40)*$C$20)</f>
        <v>0</v>
      </c>
      <c r="J75" s="19">
        <f>(1-$C$15)*(ABS(J39)+ABS(J40)*$C$20)</f>
        <v>0</v>
      </c>
      <c r="K75" s="19">
        <f>(1-$C$15)*(ABS(K39)+ABS(K40)*$C$20)</f>
        <v>0</v>
      </c>
      <c r="L75" s="19">
        <f>(1-$C$15)*(ABS(L39)+ABS(L40)*$C$20)</f>
        <v>0</v>
      </c>
      <c r="M75" s="19">
        <f>(1-$C$15)*(ABS(M39)+ABS(M40)*$C$20)</f>
        <v>0</v>
      </c>
      <c r="N75" s="24" t="s">
        <v>104</v>
      </c>
    </row>
    <row r="76" spans="2:14" ht="48.6" customHeight="1" x14ac:dyDescent="0.3">
      <c r="B76" s="25" t="s">
        <v>420</v>
      </c>
      <c r="C76" s="26" t="str">
        <f>IF(INDEX($I$20:$M$20,1)&lt;=1,"CUMPLE — resultante dentro del núcleo central","NO CUMPLE — con D + L no debe haber despegue: aumentar dimensiones")</f>
        <v>CUMPLE — resultante dentro del núcleo central</v>
      </c>
      <c r="D76" s="4" t="s">
        <v>12</v>
      </c>
      <c r="E76" s="5" t="s">
        <v>421</v>
      </c>
      <c r="F76" s="6" t="s">
        <v>422</v>
      </c>
      <c r="H76" s="5" t="s">
        <v>427</v>
      </c>
      <c r="I76" s="19">
        <f>I73*1000/($C$90*$C$47)+$C$101*I75*100000*($C$88/2)/$C$102+$C$104*I74*100000*($C$89/2)/$C$105</f>
        <v>2.29143422932817</v>
      </c>
      <c r="J76" s="19">
        <f>J73*1000/($C$90*$C$47)+$C$101*J75*100000*($C$88/2)/$C$102+$C$104*J74*100000*($C$89/2)/$C$105</f>
        <v>2.9880481543732</v>
      </c>
      <c r="K76" s="19">
        <f>K73*1000/($C$90*$C$47)+$C$101*K75*100000*($C$88/2)/$C$102+$C$104*K74*100000*($C$89/2)/$C$105</f>
        <v>2.92405054986746</v>
      </c>
      <c r="L76" s="19">
        <f>L73*1000/($C$90*$C$47)+$C$101*L75*100000*($C$88/2)/$C$102+$C$104*L74*100000*($C$89/2)/$C$105</f>
        <v>1.79305288423969</v>
      </c>
      <c r="M76" s="19">
        <f>M73*1000/($C$90*$C$47)+$C$101*M75*100000*($C$88/2)/$C$102+$C$104*M74*100000*($C$89/2)/$C$105</f>
        <v>1.15307683918225</v>
      </c>
      <c r="N76" s="24" t="s">
        <v>23</v>
      </c>
    </row>
    <row r="77" spans="2:14" ht="27.75" customHeight="1" x14ac:dyDescent="0.3">
      <c r="B77" s="2" t="s">
        <v>424</v>
      </c>
      <c r="C77" s="27">
        <f>COUNTIF($I$25:$M$25,"PARCIAL")</f>
        <v>0</v>
      </c>
      <c r="D77" s="4" t="s">
        <v>12</v>
      </c>
      <c r="E77" s="5" t="s">
        <v>425</v>
      </c>
      <c r="F77" s="6" t="s">
        <v>426</v>
      </c>
    </row>
    <row r="78" spans="2:14" ht="18" customHeight="1" x14ac:dyDescent="0.3">
      <c r="B78" s="2" t="s">
        <v>428</v>
      </c>
      <c r="C78" s="9">
        <f>MIN($I$15:$M$15)</f>
        <v>20.694</v>
      </c>
      <c r="D78" s="4" t="s">
        <v>96</v>
      </c>
      <c r="E78" s="5" t="s">
        <v>276</v>
      </c>
      <c r="F78" s="6" t="s">
        <v>426</v>
      </c>
      <c r="H78" s="44" t="s">
        <v>667</v>
      </c>
      <c r="I78" s="37"/>
      <c r="J78" s="37"/>
      <c r="K78" s="37"/>
      <c r="L78" s="37"/>
      <c r="M78" s="37"/>
      <c r="N78" s="37"/>
    </row>
    <row r="79" spans="2:14" ht="54" customHeight="1" x14ac:dyDescent="0.3">
      <c r="B79" s="25" t="s">
        <v>429</v>
      </c>
      <c r="C79" s="26" t="str">
        <f>IF($C$78&gt;0,"CUMPLE — no hay levantamiento","NO CUMPLE — tensión neta: lastrar o anclar")</f>
        <v>CUMPLE — no hay levantamiento</v>
      </c>
      <c r="D79" s="4" t="s">
        <v>12</v>
      </c>
      <c r="E79" s="5" t="s">
        <v>430</v>
      </c>
      <c r="F79" s="6" t="s">
        <v>431</v>
      </c>
      <c r="H79" s="5" t="s">
        <v>668</v>
      </c>
      <c r="I79" s="19">
        <f>$C$15*(ABS(I39)+ABS(I40)*$C$20)/$C$230</f>
        <v>1.162</v>
      </c>
      <c r="J79" s="19">
        <f>$C$15*(ABS(J39)+ABS(J40)*$C$20)/$C$230</f>
        <v>1.66</v>
      </c>
      <c r="K79" s="19">
        <f>$C$15*(ABS(K39)+ABS(K40)*$C$20)/$C$230</f>
        <v>10.786</v>
      </c>
      <c r="L79" s="19">
        <f>$C$15*(ABS(L39)+ABS(L40)*$C$20)/$C$230</f>
        <v>10.122</v>
      </c>
      <c r="M79" s="19">
        <f>$C$15*(ABS(M39)+ABS(M40)*$C$20)/$C$230</f>
        <v>10.122</v>
      </c>
      <c r="N79" s="24" t="s">
        <v>104</v>
      </c>
    </row>
    <row r="80" spans="2:14" ht="15.45" customHeight="1" x14ac:dyDescent="0.3">
      <c r="B80" s="2" t="s">
        <v>432</v>
      </c>
      <c r="C80" s="9">
        <f>MIN($I$28:$M$28)</f>
        <v>99</v>
      </c>
      <c r="D80" s="4" t="s">
        <v>12</v>
      </c>
      <c r="E80" s="5" t="s">
        <v>433</v>
      </c>
      <c r="F80" s="6" t="s">
        <v>434</v>
      </c>
      <c r="H80" s="5" t="s">
        <v>669</v>
      </c>
      <c r="I80" s="19">
        <f>$C$15*(ABS(I38)+ABS(I41)*$C$20)/$C$230</f>
        <v>1.603</v>
      </c>
      <c r="J80" s="19">
        <f>$C$15*(ABS(J38)+ABS(J41)*$C$20)/$C$230</f>
        <v>2.198</v>
      </c>
      <c r="K80" s="19">
        <f>$C$15*(ABS(K38)+ABS(K41)*$C$20)/$C$230</f>
        <v>9.689</v>
      </c>
      <c r="L80" s="19">
        <f>$C$15*(ABS(L38)+ABS(L41)*$C$20)/$C$230</f>
        <v>8.8305</v>
      </c>
      <c r="M80" s="19">
        <f>$C$15*(ABS(M38)+ABS(M41)*$C$20)/$C$230</f>
        <v>8.8305</v>
      </c>
      <c r="N80" s="24" t="s">
        <v>104</v>
      </c>
    </row>
    <row r="81" spans="2:14" ht="15.45" customHeight="1" x14ac:dyDescent="0.3">
      <c r="B81" s="2" t="s">
        <v>435</v>
      </c>
      <c r="C81" s="9">
        <f>MIN($I$29:$M$29)</f>
        <v>99</v>
      </c>
      <c r="D81" s="4" t="s">
        <v>12</v>
      </c>
      <c r="E81" s="5" t="s">
        <v>436</v>
      </c>
      <c r="F81" s="6" t="s">
        <v>434</v>
      </c>
      <c r="H81" s="5" t="s">
        <v>670</v>
      </c>
      <c r="I81" s="20">
        <f>I36*$C$243</f>
        <v>0.6048</v>
      </c>
      <c r="J81" s="20">
        <f>J36*$C$243</f>
        <v>0.5184</v>
      </c>
      <c r="K81" s="20">
        <f>K36*$C$243</f>
        <v>0.5184</v>
      </c>
      <c r="L81" s="20">
        <f>L36*$C$243</f>
        <v>0.3888</v>
      </c>
      <c r="M81" s="20">
        <f>M36*$C$243</f>
        <v>0.3888</v>
      </c>
      <c r="N81" s="24" t="s">
        <v>148</v>
      </c>
    </row>
    <row r="82" spans="2:14" ht="15.45" customHeight="1" x14ac:dyDescent="0.3">
      <c r="B82" s="25" t="s">
        <v>437</v>
      </c>
      <c r="C82" s="26" t="str">
        <f>IF(MIN($C$80,$C$81)&gt;=DATOS!$C$34,"CUMPLE","NO CUMPLE — aumentar dimensiones o peso")</f>
        <v>CUMPLE</v>
      </c>
      <c r="D82" s="4" t="s">
        <v>12</v>
      </c>
      <c r="E82" s="5" t="s">
        <v>438</v>
      </c>
      <c r="F82" s="6" t="s">
        <v>431</v>
      </c>
      <c r="H82" s="5" t="s">
        <v>671</v>
      </c>
      <c r="I82" s="19">
        <f>I79+I81*$C$228^2/12</f>
        <v>2.6866</v>
      </c>
      <c r="J82" s="19">
        <f>J79+J81*$C$228^2/12</f>
        <v>2.9668</v>
      </c>
      <c r="K82" s="19">
        <f>K79+K81*$C$228^2/12</f>
        <v>12.0928</v>
      </c>
      <c r="L82" s="19">
        <f>L79+L81*$C$228^2/12</f>
        <v>11.1021</v>
      </c>
      <c r="M82" s="19">
        <f>M79+M81*$C$228^2/12</f>
        <v>11.1021</v>
      </c>
      <c r="N82" s="24" t="s">
        <v>104</v>
      </c>
    </row>
    <row r="83" spans="2:14" ht="15.45" customHeight="1" x14ac:dyDescent="0.3">
      <c r="B83" s="2" t="s">
        <v>439</v>
      </c>
      <c r="C83" s="9">
        <f>MIN($I$31:$M$31)</f>
        <v>99</v>
      </c>
      <c r="D83" s="4" t="s">
        <v>12</v>
      </c>
      <c r="E83" s="5" t="s">
        <v>440</v>
      </c>
      <c r="F83" s="6" t="s">
        <v>441</v>
      </c>
      <c r="H83" s="5" t="s">
        <v>672</v>
      </c>
      <c r="I83" s="19">
        <f>MAX(I79-I81*$C$228^2/12,I81*$C$228^2/24)</f>
        <v>0.7623</v>
      </c>
      <c r="J83" s="19">
        <f>MAX(J79-J81*$C$228^2/12,J81*$C$228^2/24)</f>
        <v>0.6534</v>
      </c>
      <c r="K83" s="19">
        <f>MAX(K79-K81*$C$228^2/12,K81*$C$228^2/24)</f>
        <v>9.4792</v>
      </c>
      <c r="L83" s="19">
        <f>MAX(L79-L81*$C$228^2/12,L81*$C$228^2/24)</f>
        <v>9.1419</v>
      </c>
      <c r="M83" s="19">
        <f>MAX(M79-M81*$C$228^2/12,M81*$C$228^2/24)</f>
        <v>9.1419</v>
      </c>
      <c r="N83" s="24" t="s">
        <v>104</v>
      </c>
    </row>
    <row r="84" spans="2:14" ht="15.45" customHeight="1" x14ac:dyDescent="0.3">
      <c r="B84" s="25" t="s">
        <v>442</v>
      </c>
      <c r="C84" s="26" t="str">
        <f>IF($C$83&gt;=DATOS!$C$35,"CUMPLE","NO CUMPLE — aumentar peso, dentellón o contratrabe")</f>
        <v>CUMPLE</v>
      </c>
      <c r="D84" s="4" t="s">
        <v>12</v>
      </c>
      <c r="E84" s="5" t="s">
        <v>438</v>
      </c>
      <c r="F84" s="6" t="s">
        <v>431</v>
      </c>
      <c r="H84" s="5" t="s">
        <v>673</v>
      </c>
      <c r="I84" s="19">
        <f>2*I79/$C$228+I81*$C$228/2</f>
        <v>2.08574545454545</v>
      </c>
      <c r="J84" s="19">
        <f>2*J79/$C$228+J81*$C$228/2</f>
        <v>2.02923636363636</v>
      </c>
      <c r="K84" s="19">
        <f>2*K79/$C$228+K81*$C$228/2</f>
        <v>5.34778181818182</v>
      </c>
      <c r="L84" s="19">
        <f>2*L79/$C$228+L81*$C$228/2</f>
        <v>4.74992727272727</v>
      </c>
      <c r="M84" s="19">
        <f>2*M79/$C$228+M81*$C$228/2</f>
        <v>4.74992727272727</v>
      </c>
      <c r="N84" s="24" t="s">
        <v>96</v>
      </c>
    </row>
    <row r="85" spans="2:14" x14ac:dyDescent="0.3">
      <c r="H85" s="5" t="s">
        <v>674</v>
      </c>
      <c r="I85" s="19">
        <f>I80+I81*$C$229^2/12</f>
        <v>3.1276</v>
      </c>
      <c r="J85" s="19">
        <f>J80+J81*$C$229^2/12</f>
        <v>3.5048</v>
      </c>
      <c r="K85" s="19">
        <f>K80+K81*$C$229^2/12</f>
        <v>10.9958</v>
      </c>
      <c r="L85" s="19">
        <f>L80+L81*$C$229^2/12</f>
        <v>9.8106</v>
      </c>
      <c r="M85" s="19">
        <f>M80+M81*$C$229^2/12</f>
        <v>9.8106</v>
      </c>
      <c r="N85" s="24" t="s">
        <v>104</v>
      </c>
    </row>
    <row r="86" spans="2:14" ht="18" customHeight="1" x14ac:dyDescent="0.3">
      <c r="B86" s="38" t="s">
        <v>443</v>
      </c>
      <c r="C86" s="37"/>
      <c r="D86" s="37"/>
      <c r="E86" s="37"/>
      <c r="F86" s="37"/>
      <c r="H86" s="5" t="s">
        <v>675</v>
      </c>
      <c r="I86" s="19">
        <f>MAX(I80-I81*$C$229^2/12,I81*$C$229^2/24)</f>
        <v>0.7623</v>
      </c>
      <c r="J86" s="19">
        <f>MAX(J80-J81*$C$229^2/12,J81*$C$229^2/24)</f>
        <v>0.8912</v>
      </c>
      <c r="K86" s="19">
        <f>MAX(K80-K81*$C$229^2/12,K81*$C$229^2/24)</f>
        <v>8.3822</v>
      </c>
      <c r="L86" s="19">
        <f>MAX(L80-L81*$C$229^2/12,L81*$C$229^2/24)</f>
        <v>7.8504</v>
      </c>
      <c r="M86" s="19">
        <f>MAX(M80-M81*$C$229^2/12,M81*$C$229^2/24)</f>
        <v>7.8504</v>
      </c>
      <c r="N86" s="24" t="s">
        <v>104</v>
      </c>
    </row>
    <row r="87" spans="2:14" x14ac:dyDescent="0.3">
      <c r="B87" s="1" t="s">
        <v>5</v>
      </c>
      <c r="C87" s="1" t="s">
        <v>6</v>
      </c>
      <c r="D87" s="1" t="s">
        <v>7</v>
      </c>
      <c r="E87" s="1" t="s">
        <v>8</v>
      </c>
      <c r="F87" s="1" t="s">
        <v>9</v>
      </c>
      <c r="H87" s="5" t="s">
        <v>676</v>
      </c>
      <c r="I87" s="19">
        <f>2*I80/$C$229+I81*$C$229/2</f>
        <v>2.24610909090909</v>
      </c>
      <c r="J87" s="19">
        <f>2*J80/$C$229+J81*$C$229/2</f>
        <v>2.22487272727273</v>
      </c>
      <c r="K87" s="19">
        <f>2*K80/$C$229+K81*$C$229/2</f>
        <v>4.94887272727273</v>
      </c>
      <c r="L87" s="19">
        <f>2*L80/$C$229+L81*$C$229/2</f>
        <v>4.28029090909091</v>
      </c>
      <c r="M87" s="19">
        <f>2*M80/$C$229+M81*$C$229/2</f>
        <v>4.28029090909091</v>
      </c>
      <c r="N87" s="24" t="s">
        <v>96</v>
      </c>
    </row>
    <row r="88" spans="2:14" ht="15.45" customHeight="1" x14ac:dyDescent="0.3">
      <c r="B88" s="2" t="s">
        <v>444</v>
      </c>
      <c r="C88" s="11">
        <f>DATOS!$C$64*100+$C$47</f>
        <v>90.91</v>
      </c>
      <c r="D88" s="4" t="s">
        <v>137</v>
      </c>
      <c r="E88" s="5" t="s">
        <v>445</v>
      </c>
      <c r="F88" s="6" t="s">
        <v>446</v>
      </c>
      <c r="H88" s="5" t="s">
        <v>677</v>
      </c>
      <c r="I88" s="19">
        <f>MAX($C$235*I42,$C$15*MAX(ABS(I40),ABS(I41)))</f>
        <v>4.2966</v>
      </c>
      <c r="J88" s="19">
        <f>MAX($C$235*J42,$C$15*MAX(ABS(J40),ABS(J41)))</f>
        <v>5.6028</v>
      </c>
      <c r="K88" s="19">
        <f>MAX($C$235*K42,$C$15*MAX(ABS(K40),ABS(K41)))</f>
        <v>5.4828</v>
      </c>
      <c r="L88" s="19">
        <f>MAX($C$235*L42,$C$15*MAX(ABS(L40),ABS(L41)))</f>
        <v>3.3621</v>
      </c>
      <c r="M88" s="19">
        <f>MAX($C$235*M42,$C$15*MAX(ABS(M40),ABS(M41)))</f>
        <v>2.68</v>
      </c>
      <c r="N88" s="24" t="s">
        <v>96</v>
      </c>
    </row>
    <row r="89" spans="2:14" ht="15.45" customHeight="1" x14ac:dyDescent="0.3">
      <c r="B89" s="2" t="s">
        <v>447</v>
      </c>
      <c r="C89" s="11">
        <f>DATOS!$C$65*100+$C$47</f>
        <v>90.91</v>
      </c>
      <c r="D89" s="4" t="s">
        <v>137</v>
      </c>
      <c r="E89" s="5" t="s">
        <v>448</v>
      </c>
      <c r="F89" s="6" t="s">
        <v>446</v>
      </c>
    </row>
    <row r="90" spans="2:14" ht="15.45" customHeight="1" x14ac:dyDescent="0.3">
      <c r="B90" s="2" t="s">
        <v>449</v>
      </c>
      <c r="C90" s="11">
        <f>2*($C$88+$C$89)</f>
        <v>363.64</v>
      </c>
      <c r="D90" s="4" t="s">
        <v>137</v>
      </c>
      <c r="E90" s="5" t="s">
        <v>276</v>
      </c>
      <c r="F90" s="6" t="s">
        <v>446</v>
      </c>
    </row>
    <row r="91" spans="2:14" ht="15.45" customHeight="1" x14ac:dyDescent="0.3">
      <c r="B91" s="2" t="s">
        <v>450</v>
      </c>
      <c r="C91" s="10">
        <f>$C$88*$C$89/10000</f>
        <v>0.82646281</v>
      </c>
      <c r="D91" s="4" t="s">
        <v>257</v>
      </c>
      <c r="E91" s="5" t="s">
        <v>451</v>
      </c>
      <c r="F91" s="6" t="s">
        <v>452</v>
      </c>
    </row>
    <row r="92" spans="2:14" ht="15.45" customHeight="1" x14ac:dyDescent="0.3">
      <c r="B92" s="2" t="s">
        <v>453</v>
      </c>
      <c r="C92" s="9">
        <f>MAX(DATOS!$C$64,DATOS!$C$65)/MIN(DATOS!$C$64,DATOS!$C$65)</f>
        <v>1</v>
      </c>
      <c r="D92" s="4" t="s">
        <v>12</v>
      </c>
      <c r="E92" s="5" t="s">
        <v>276</v>
      </c>
      <c r="F92" s="6" t="s">
        <v>454</v>
      </c>
    </row>
    <row r="93" spans="2:14" ht="15.45" customHeight="1" x14ac:dyDescent="0.3">
      <c r="B93" s="2" t="s">
        <v>455</v>
      </c>
      <c r="C93" s="27">
        <v>40</v>
      </c>
      <c r="D93" s="4" t="s">
        <v>12</v>
      </c>
      <c r="E93" s="5" t="s">
        <v>456</v>
      </c>
      <c r="F93" s="6" t="s">
        <v>457</v>
      </c>
    </row>
    <row r="94" spans="2:14" ht="27.75" customHeight="1" x14ac:dyDescent="0.3">
      <c r="B94" s="2" t="s">
        <v>458</v>
      </c>
      <c r="C94" s="10">
        <f>IF(DATOS!$C$90="SÍ",1,MIN(1,SQRT(2/(1+0.004*$C$47*10))))</f>
        <v>1</v>
      </c>
      <c r="D94" s="4" t="s">
        <v>12</v>
      </c>
      <c r="E94" s="5" t="s">
        <v>459</v>
      </c>
      <c r="F94" s="6" t="s">
        <v>173</v>
      </c>
    </row>
    <row r="95" spans="2:14" ht="15.45" customHeight="1" x14ac:dyDescent="0.3">
      <c r="B95" s="2" t="s">
        <v>460</v>
      </c>
      <c r="C95" s="9">
        <f>0.33*$C$94*DATOS!$C$23*DATOS!$C$17*DATOS!$C$89</f>
        <v>16.6618957504841</v>
      </c>
      <c r="D95" s="4" t="s">
        <v>23</v>
      </c>
      <c r="E95" s="5" t="s">
        <v>461</v>
      </c>
      <c r="F95" s="6" t="s">
        <v>391</v>
      </c>
    </row>
    <row r="96" spans="2:14" ht="15.45" customHeight="1" x14ac:dyDescent="0.3">
      <c r="B96" s="2" t="s">
        <v>462</v>
      </c>
      <c r="C96" s="9">
        <f>0.17*(1+2/$C$92)*$C$94*DATOS!$C$23*DATOS!$C$17*DATOS!$C$89</f>
        <v>25.7502025234754</v>
      </c>
      <c r="D96" s="4" t="s">
        <v>23</v>
      </c>
      <c r="E96" s="5" t="s">
        <v>276</v>
      </c>
      <c r="F96" s="6" t="s">
        <v>463</v>
      </c>
    </row>
    <row r="97" spans="2:6" ht="15.45" customHeight="1" x14ac:dyDescent="0.3">
      <c r="B97" s="2" t="s">
        <v>464</v>
      </c>
      <c r="C97" s="9">
        <f>0.083*(2+$C$93*$C$47/$C$90)*$C$94*DATOS!$C$23*DATOS!$C$17*DATOS!$C$89</f>
        <v>27.2399055096353</v>
      </c>
      <c r="D97" s="4" t="s">
        <v>23</v>
      </c>
      <c r="E97" s="5" t="s">
        <v>276</v>
      </c>
      <c r="F97" s="6" t="s">
        <v>465</v>
      </c>
    </row>
    <row r="98" spans="2:6" ht="15.45" customHeight="1" x14ac:dyDescent="0.3">
      <c r="B98" s="2" t="s">
        <v>466</v>
      </c>
      <c r="C98" s="9">
        <f>MIN($C$95,$C$96,$C$97)</f>
        <v>16.6618957504841</v>
      </c>
      <c r="D98" s="4" t="s">
        <v>23</v>
      </c>
      <c r="E98" s="5" t="s">
        <v>276</v>
      </c>
      <c r="F98" s="6" t="s">
        <v>467</v>
      </c>
    </row>
    <row r="99" spans="2:6" ht="15.45" customHeight="1" x14ac:dyDescent="0.3">
      <c r="B99" s="2" t="s">
        <v>468</v>
      </c>
      <c r="C99" s="9">
        <f>DATOS!$C$87*$C$98</f>
        <v>12.4964218128631</v>
      </c>
      <c r="D99" s="4" t="s">
        <v>23</v>
      </c>
      <c r="E99" s="5" t="s">
        <v>469</v>
      </c>
      <c r="F99" s="6" t="s">
        <v>166</v>
      </c>
    </row>
    <row r="100" spans="2:6" ht="15.45" customHeight="1" x14ac:dyDescent="0.3">
      <c r="B100" s="2" t="s">
        <v>470</v>
      </c>
      <c r="C100" s="10">
        <f>1/(1+2/3*SQRT($C$88/$C$89))</f>
        <v>0.6</v>
      </c>
      <c r="D100" s="4" t="s">
        <v>12</v>
      </c>
      <c r="E100" s="5" t="s">
        <v>471</v>
      </c>
      <c r="F100" s="6" t="s">
        <v>472</v>
      </c>
    </row>
    <row r="101" spans="2:6" ht="27.75" customHeight="1" x14ac:dyDescent="0.3">
      <c r="B101" s="2" t="s">
        <v>473</v>
      </c>
      <c r="C101" s="10">
        <f>1-$C$100</f>
        <v>0.4</v>
      </c>
      <c r="D101" s="4" t="s">
        <v>12</v>
      </c>
      <c r="E101" s="5" t="s">
        <v>474</v>
      </c>
      <c r="F101" s="6" t="s">
        <v>475</v>
      </c>
    </row>
    <row r="102" spans="2:6" ht="27.75" customHeight="1" x14ac:dyDescent="0.3">
      <c r="B102" s="2" t="s">
        <v>476</v>
      </c>
      <c r="C102" s="12">
        <f>$C$47*$C$88^3/6+$C$88*$C$47^3/6+$C$47*$C$89*$C$88^2/2</f>
        <v>21528879.9511163</v>
      </c>
      <c r="D102" s="4" t="s">
        <v>477</v>
      </c>
      <c r="E102" s="5" t="s">
        <v>478</v>
      </c>
      <c r="F102" s="6" t="s">
        <v>479</v>
      </c>
    </row>
    <row r="103" spans="2:6" ht="15.45" customHeight="1" x14ac:dyDescent="0.3">
      <c r="B103" s="2" t="s">
        <v>480</v>
      </c>
      <c r="C103" s="10">
        <f>1/(1+2/3*SQRT($C$89/$C$88))</f>
        <v>0.6</v>
      </c>
      <c r="D103" s="4" t="s">
        <v>12</v>
      </c>
      <c r="E103" s="5" t="s">
        <v>276</v>
      </c>
      <c r="F103" s="6" t="s">
        <v>472</v>
      </c>
    </row>
    <row r="104" spans="2:6" ht="15.45" customHeight="1" x14ac:dyDescent="0.3">
      <c r="B104" s="2" t="s">
        <v>481</v>
      </c>
      <c r="C104" s="10">
        <f>1-$C$103</f>
        <v>0.4</v>
      </c>
      <c r="D104" s="4" t="s">
        <v>12</v>
      </c>
      <c r="E104" s="5" t="s">
        <v>276</v>
      </c>
      <c r="F104" s="6" t="s">
        <v>475</v>
      </c>
    </row>
    <row r="105" spans="2:6" ht="15.45" customHeight="1" x14ac:dyDescent="0.3">
      <c r="B105" s="2" t="s">
        <v>482</v>
      </c>
      <c r="C105" s="12">
        <f>$C$47*$C$89^3/6+$C$89*$C$47^3/6+$C$47*$C$88*$C$89^2/2</f>
        <v>21528879.9511163</v>
      </c>
      <c r="D105" s="4" t="s">
        <v>477</v>
      </c>
      <c r="E105" s="5" t="s">
        <v>276</v>
      </c>
      <c r="F105" s="6" t="s">
        <v>479</v>
      </c>
    </row>
    <row r="106" spans="2:6" ht="27.75" customHeight="1" x14ac:dyDescent="0.3">
      <c r="B106" s="2" t="s">
        <v>483</v>
      </c>
      <c r="C106" s="9">
        <f>MAX($I$76:$M$76)</f>
        <v>2.9880481543732</v>
      </c>
      <c r="D106" s="4" t="s">
        <v>23</v>
      </c>
      <c r="E106" s="5" t="s">
        <v>484</v>
      </c>
      <c r="F106" s="6" t="s">
        <v>485</v>
      </c>
    </row>
    <row r="107" spans="2:6" ht="15.45" customHeight="1" x14ac:dyDescent="0.3">
      <c r="B107" s="2" t="s">
        <v>486</v>
      </c>
      <c r="C107" s="7" t="str">
        <f>INDEX($I$34:$M$34,MATCH($C$106,$I$76:$M$76,0))</f>
        <v>U2</v>
      </c>
      <c r="D107" s="4" t="s">
        <v>12</v>
      </c>
      <c r="E107" s="5" t="s">
        <v>276</v>
      </c>
      <c r="F107" s="6" t="s">
        <v>408</v>
      </c>
    </row>
    <row r="108" spans="2:6" ht="15.45" customHeight="1" x14ac:dyDescent="0.3">
      <c r="B108" s="2" t="s">
        <v>487</v>
      </c>
      <c r="C108" s="10">
        <f>$C$106/$C$99</f>
        <v>0.239112299434185</v>
      </c>
      <c r="D108" s="4" t="s">
        <v>12</v>
      </c>
      <c r="E108" s="5" t="s">
        <v>276</v>
      </c>
      <c r="F108" s="6" t="s">
        <v>488</v>
      </c>
    </row>
    <row r="109" spans="2:6" ht="15.45" customHeight="1" x14ac:dyDescent="0.3">
      <c r="B109" s="25" t="s">
        <v>489</v>
      </c>
      <c r="C109" s="26" t="str">
        <f>IF($C$108&lt;=1,"CUMPLE","NO CUMPLE — aumentar h")</f>
        <v>CUMPLE</v>
      </c>
      <c r="D109" s="4" t="s">
        <v>12</v>
      </c>
      <c r="E109" s="5" t="s">
        <v>490</v>
      </c>
      <c r="F109" s="6" t="s">
        <v>491</v>
      </c>
    </row>
    <row r="111" spans="2:6" ht="18" customHeight="1" x14ac:dyDescent="0.3">
      <c r="B111" s="38" t="s">
        <v>492</v>
      </c>
      <c r="C111" s="37"/>
      <c r="D111" s="37"/>
      <c r="E111" s="37"/>
      <c r="F111" s="37"/>
    </row>
    <row r="112" spans="2:6" x14ac:dyDescent="0.3"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9</v>
      </c>
    </row>
    <row r="113" spans="2:6" ht="27.75" customHeight="1" x14ac:dyDescent="0.3">
      <c r="B113" s="2" t="s">
        <v>493</v>
      </c>
      <c r="C113" s="9">
        <f>MAX($I$54:$M$54)</f>
        <v>7.8789375</v>
      </c>
      <c r="D113" s="4" t="s">
        <v>104</v>
      </c>
      <c r="E113" s="5" t="s">
        <v>494</v>
      </c>
      <c r="F113" s="6" t="s">
        <v>495</v>
      </c>
    </row>
    <row r="114" spans="2:6" ht="15.45" customHeight="1" x14ac:dyDescent="0.3">
      <c r="B114" s="2" t="s">
        <v>486</v>
      </c>
      <c r="C114" s="7" t="str">
        <f>INDEX($I$34:$M$34,MATCH($C$113,$I$54:$M$54,0))</f>
        <v>U2</v>
      </c>
      <c r="D114" s="4" t="s">
        <v>12</v>
      </c>
      <c r="E114" s="5" t="s">
        <v>276</v>
      </c>
      <c r="F114" s="6" t="s">
        <v>408</v>
      </c>
    </row>
    <row r="115" spans="2:6" ht="40.200000000000003" customHeight="1" x14ac:dyDescent="0.3">
      <c r="B115" s="2" t="s">
        <v>496</v>
      </c>
      <c r="C115" s="10">
        <f>IF($C$8&lt;$C$9,2*$C$21/($C$21+1),1)</f>
        <v>1</v>
      </c>
      <c r="D115" s="4" t="s">
        <v>12</v>
      </c>
      <c r="E115" s="5" t="s">
        <v>497</v>
      </c>
      <c r="F115" s="6" t="s">
        <v>498</v>
      </c>
    </row>
    <row r="116" spans="2:6" ht="27.75" customHeight="1" x14ac:dyDescent="0.3">
      <c r="B116" s="2" t="s">
        <v>499</v>
      </c>
      <c r="C116" s="9">
        <f>IF($C$113&lt;=0,0,IF((1-2*$C$113*100000/(DATOS!$C$86*0.85*DATOS!$C$15*($C$9*100)*$C$45^2))&lt;0,9999,0.85*DATOS!$C$15*($C$9*100)/DATOS!$C$18*$C$45*(1-SQRT((1-2*$C$113*100000/(DATOS!$C$86*0.85*DATOS!$C$15*($C$9*100)*$C$45^2))))))</f>
        <v>5.0278526540635</v>
      </c>
      <c r="D116" s="4" t="s">
        <v>141</v>
      </c>
      <c r="E116" s="5" t="s">
        <v>500</v>
      </c>
      <c r="F116" s="6" t="s">
        <v>501</v>
      </c>
    </row>
    <row r="117" ht="15.45" customHeight="1" x14ac:dyDescent="0.3">
      <c r="B117" s="2" t="inlineStr">
        <is>
          <t>As mínima = ρmín · b · h</t>
        </is>
      </c>
      <c r="C117" s="9">
        <f>DATOS!$C$92*$C$9*100*$C$10*100</f>
        <v>18</v>
      </c>
      <c r="D117" s="4" t="s">
        <v>141</v>
      </c>
      <c r="E117" s="5" t="s">
        <v>276</v>
      </c>
      <c r="F117" s="6" t="s">
        <v>503</v>
      </c>
    </row>
    <row r="118" spans="2:6" ht="15.45" customHeight="1" x14ac:dyDescent="0.3">
      <c r="B118" s="2" t="s">
        <v>504</v>
      </c>
      <c r="C118" s="9">
        <f>MAX($C$116,$C$117)*$C$115</f>
        <v>18</v>
      </c>
      <c r="D118" s="4" t="s">
        <v>141</v>
      </c>
      <c r="E118" s="5" t="s">
        <v>505</v>
      </c>
      <c r="F118" s="6" t="s">
        <v>277</v>
      </c>
    </row>
    <row r="119" spans="2:6" ht="15.45" customHeight="1" x14ac:dyDescent="0.3">
      <c r="B119" s="2" t="s">
        <v>506</v>
      </c>
      <c r="C119" s="27">
        <f>MAX(2,CEILING($C$118/$C$40,1))</f>
        <v>10</v>
      </c>
      <c r="D119" s="4" t="s">
        <v>507</v>
      </c>
      <c r="E119" s="5" t="s">
        <v>508</v>
      </c>
      <c r="F119" s="6" t="s">
        <v>259</v>
      </c>
    </row>
    <row r="120" spans="2:6" ht="27.75" customHeight="1" x14ac:dyDescent="0.3">
      <c r="B120" s="2" t="s">
        <v>509</v>
      </c>
      <c r="C120" s="11">
        <f>MAX(DATOS!$C$91,FLOOR(($C$9*100-2*$C$13-$C$39)/($C$119-1),DATOS!$C$91))</f>
        <v>20</v>
      </c>
      <c r="D120" s="4" t="s">
        <v>137</v>
      </c>
      <c r="E120" s="5" t="s">
        <v>510</v>
      </c>
      <c r="F120" s="6" t="s">
        <v>176</v>
      </c>
    </row>
    <row r="121" spans="2:6" ht="15.45" customHeight="1" x14ac:dyDescent="0.3">
      <c r="B121" s="2" t="s">
        <v>511</v>
      </c>
      <c r="C121" s="11">
        <f>MIN(2*$C$10*100,45)</f>
        <v>45</v>
      </c>
      <c r="D121" s="4" t="s">
        <v>137</v>
      </c>
      <c r="E121" s="5" t="s">
        <v>276</v>
      </c>
      <c r="F121" s="6" t="s">
        <v>512</v>
      </c>
    </row>
    <row r="122" spans="2:6" ht="27.75" customHeight="1" x14ac:dyDescent="0.3">
      <c r="B122" s="2" t="s">
        <v>513</v>
      </c>
      <c r="C122" s="11">
        <f>$C$39+MAX(2.5,$C$39,4/3*DATOS!$C$25/10)</f>
        <v>4.12333333333333</v>
      </c>
      <c r="D122" s="4" t="s">
        <v>137</v>
      </c>
      <c r="E122" s="5" t="s">
        <v>514</v>
      </c>
      <c r="F122" s="6" t="s">
        <v>58</v>
      </c>
    </row>
    <row r="123" spans="2:6" ht="27.75" customHeight="1" x14ac:dyDescent="0.3">
      <c r="B123" s="25" t="s">
        <v>515</v>
      </c>
      <c r="C123" s="28">
        <f>IF($C$35&gt;0,$C$35,MIN($C$120,FLOOR($C$121,DATOS!$C$91)))</f>
        <v>20</v>
      </c>
      <c r="D123" s="4" t="s">
        <v>137</v>
      </c>
      <c r="E123" s="5" t="s">
        <v>516</v>
      </c>
      <c r="F123" s="6" t="s">
        <v>176</v>
      </c>
    </row>
    <row r="124" spans="2:6" ht="15.45" customHeight="1" x14ac:dyDescent="0.3">
      <c r="B124" s="2" t="s">
        <v>517</v>
      </c>
      <c r="C124" s="27">
        <f>INT(($C$9*100-2*$C$13-$C$39)/$C$123)+1</f>
        <v>10</v>
      </c>
      <c r="D124" s="4" t="s">
        <v>507</v>
      </c>
      <c r="E124" s="5" t="s">
        <v>518</v>
      </c>
      <c r="F124" s="6" t="s">
        <v>176</v>
      </c>
    </row>
    <row r="125" spans="2:6" ht="15.45" customHeight="1" x14ac:dyDescent="0.3">
      <c r="B125" s="2" t="s">
        <v>519</v>
      </c>
      <c r="C125" s="9">
        <f>$C$124*$C$40</f>
        <v>19.8</v>
      </c>
      <c r="D125" s="4" t="s">
        <v>141</v>
      </c>
      <c r="E125" s="5" t="s">
        <v>276</v>
      </c>
      <c r="F125" s="6" t="s">
        <v>259</v>
      </c>
    </row>
    <row r="126" spans="2:6" ht="15.45" customHeight="1" x14ac:dyDescent="0.3">
      <c r="B126" s="25" t="s">
        <v>520</v>
      </c>
      <c r="C126" s="26" t="str">
        <f>IF($C$125&gt;=$C$118,"CUMPLE","NO CUMPLE — cerrar la separación")</f>
        <v>CUMPLE</v>
      </c>
      <c r="D126" s="4" t="s">
        <v>12</v>
      </c>
      <c r="E126" s="5" t="s">
        <v>521</v>
      </c>
      <c r="F126" s="6" t="s">
        <v>522</v>
      </c>
    </row>
    <row r="127" spans="2:6" ht="15.45" customHeight="1" x14ac:dyDescent="0.3">
      <c r="B127" s="25" t="s">
        <v>523</v>
      </c>
      <c r="C127" s="26" t="str">
        <f>IF($C$123&gt;$C$121,"NO CUMPLE — mayor que la máxima",IF($C$123&lt;$C$122,"NO CUMPLE — muy juntas: usar varilla más gruesa","CUMPLE"))</f>
        <v>CUMPLE</v>
      </c>
      <c r="D127" s="4" t="s">
        <v>12</v>
      </c>
      <c r="E127" s="5" t="s">
        <v>524</v>
      </c>
      <c r="F127" s="6" t="s">
        <v>525</v>
      </c>
    </row>
    <row r="128" spans="2:6" ht="15.45" customHeight="1" x14ac:dyDescent="0.3">
      <c r="B128" s="2" t="s">
        <v>526</v>
      </c>
      <c r="C128" s="9">
        <f>$C$125*DATOS!$C$18/(0.85*DATOS!$C$15*$C$9*100)</f>
        <v>1.95670588235294</v>
      </c>
      <c r="D128" s="4" t="s">
        <v>137</v>
      </c>
      <c r="E128" s="5" t="s">
        <v>276</v>
      </c>
      <c r="F128" s="6" t="s">
        <v>527</v>
      </c>
    </row>
    <row r="129" spans="2:6" ht="15.45" customHeight="1" x14ac:dyDescent="0.3">
      <c r="B129" s="2" t="s">
        <v>528</v>
      </c>
      <c r="C129" s="15">
        <f>0.003*($C$45-$C$128/DATOS!$C$22)/($C$128/DATOS!$C$22)</f>
        <v>0.0513504013347763</v>
      </c>
      <c r="D129" s="4" t="s">
        <v>12</v>
      </c>
      <c r="E129" s="5" t="s">
        <v>529</v>
      </c>
      <c r="F129" s="6" t="s">
        <v>530</v>
      </c>
    </row>
    <row r="130" spans="2:6" ht="15.45" customHeight="1" x14ac:dyDescent="0.3">
      <c r="B130" s="2" t="s">
        <v>531</v>
      </c>
      <c r="C130" s="10">
        <f>IF($C$129&gt;=DATOS!$C$21+0.003,0.9,IF($C$129&lt;=DATOS!$C$21,0.65,0.65+0.25*($C$129-DATOS!$C$21)/0.003))</f>
        <v>0.9</v>
      </c>
      <c r="D130" s="4" t="s">
        <v>12</v>
      </c>
      <c r="E130" s="5" t="s">
        <v>532</v>
      </c>
      <c r="F130" s="6" t="s">
        <v>533</v>
      </c>
    </row>
    <row r="131" spans="2:6" ht="15.45" customHeight="1" x14ac:dyDescent="0.3">
      <c r="B131" s="2" t="s">
        <v>534</v>
      </c>
      <c r="C131" s="9">
        <f>$C$130*$C$125*DATOS!$C$18*($C$45-$C$128/2)/100000</f>
        <v>30.4814517247059</v>
      </c>
      <c r="D131" s="4" t="s">
        <v>104</v>
      </c>
      <c r="E131" s="5" t="s">
        <v>276</v>
      </c>
      <c r="F131" s="6" t="s">
        <v>535</v>
      </c>
    </row>
    <row r="132" spans="2:6" ht="27.75" customHeight="1" x14ac:dyDescent="0.3">
      <c r="B132" s="25" t="s">
        <v>536</v>
      </c>
      <c r="C132" s="26" t="str">
        <f>IF(AND($C$131&gt;=$C$113,$C$129&gt;=DATOS!$C$21+0.003),"CUMPLE","NO CUMPLE — aumentar h o el armado")</f>
        <v>CUMPLE</v>
      </c>
      <c r="D132" s="4" t="s">
        <v>12</v>
      </c>
      <c r="E132" s="5" t="s">
        <v>537</v>
      </c>
      <c r="F132" s="6" t="s">
        <v>538</v>
      </c>
    </row>
    <row r="133" spans="2:6" ht="15.45" customHeight="1" x14ac:dyDescent="0.3">
      <c r="B133" s="25" t="s">
        <v>539</v>
      </c>
      <c r="C133" s="26" t="str">
        <f>"#"&amp;$C$32&amp;" @ "&amp;TEXT($C$123,"0.0")&amp;" cm  ("&amp;$C$124&amp;" pzas)"</f>
        <v>#5 @ 20.0 cm  (10 pzas)</v>
      </c>
      <c r="D133" s="4" t="s">
        <v>12</v>
      </c>
      <c r="E133" s="5" t="s">
        <v>540</v>
      </c>
      <c r="F133" s="6" t="s">
        <v>541</v>
      </c>
    </row>
    <row r="135" spans="2:6" ht="18" customHeight="1" x14ac:dyDescent="0.3">
      <c r="B135" s="38" t="s">
        <v>542</v>
      </c>
      <c r="C135" s="37"/>
      <c r="D135" s="37"/>
      <c r="E135" s="37"/>
      <c r="F135" s="37"/>
    </row>
    <row r="136" spans="2:6" x14ac:dyDescent="0.3">
      <c r="B136" s="1" t="s">
        <v>5</v>
      </c>
      <c r="C136" s="1" t="s">
        <v>6</v>
      </c>
      <c r="D136" s="1" t="s">
        <v>7</v>
      </c>
      <c r="E136" s="1" t="s">
        <v>8</v>
      </c>
      <c r="F136" s="1" t="s">
        <v>9</v>
      </c>
    </row>
    <row r="137" spans="2:6" ht="27.75" customHeight="1" x14ac:dyDescent="0.3">
      <c r="B137" s="2" t="s">
        <v>543</v>
      </c>
      <c r="C137" s="9">
        <f>MAX($I$66:$M$66)</f>
        <v>7.8789375</v>
      </c>
      <c r="D137" s="4" t="s">
        <v>104</v>
      </c>
      <c r="E137" s="5" t="s">
        <v>494</v>
      </c>
      <c r="F137" s="6" t="s">
        <v>495</v>
      </c>
    </row>
    <row r="138" spans="2:6" ht="15.45" customHeight="1" x14ac:dyDescent="0.3">
      <c r="B138" s="2" t="s">
        <v>486</v>
      </c>
      <c r="C138" s="7" t="str">
        <f>INDEX($I$34:$M$34,MATCH($C$137,$I$66:$M$66,0))</f>
        <v>U2</v>
      </c>
      <c r="D138" s="4" t="s">
        <v>12</v>
      </c>
      <c r="E138" s="5" t="s">
        <v>276</v>
      </c>
      <c r="F138" s="6" t="s">
        <v>408</v>
      </c>
    </row>
    <row r="139" spans="2:6" ht="40.200000000000003" customHeight="1" x14ac:dyDescent="0.3">
      <c r="B139" s="2" t="s">
        <v>496</v>
      </c>
      <c r="C139" s="10">
        <f>IF($C$9&lt;$C$8,2*$C$21/($C$21+1),1)</f>
        <v>1</v>
      </c>
      <c r="D139" s="4" t="s">
        <v>12</v>
      </c>
      <c r="E139" s="5" t="s">
        <v>497</v>
      </c>
      <c r="F139" s="6" t="s">
        <v>498</v>
      </c>
    </row>
    <row r="140" spans="2:6" ht="27.75" customHeight="1" x14ac:dyDescent="0.3">
      <c r="B140" s="2" t="s">
        <v>499</v>
      </c>
      <c r="C140" s="9">
        <f>IF($C$137&lt;=0,0,IF((1-2*$C$137*100000/(DATOS!$C$86*0.85*DATOS!$C$15*($C$8*100)*$C$46^2))&lt;0,9999,0.85*DATOS!$C$15*($C$8*100)/DATOS!$C$18*$C$46*(1-SQRT((1-2*$C$137*100000/(DATOS!$C$86*0.85*DATOS!$C$15*($C$8*100)*$C$46^2))))))</f>
        <v>5.22968698195711</v>
      </c>
      <c r="D140" s="4" t="s">
        <v>141</v>
      </c>
      <c r="E140" s="5" t="s">
        <v>500</v>
      </c>
      <c r="F140" s="6" t="s">
        <v>501</v>
      </c>
    </row>
    <row r="141" ht="15.45" customHeight="1" x14ac:dyDescent="0.3">
      <c r="B141" s="2" t="inlineStr">
        <is>
          <t>As mínima = ρmín · b · h</t>
        </is>
      </c>
      <c r="C141" s="9">
        <f>DATOS!$C$92*$C$8*100*$C$10*100</f>
        <v>18</v>
      </c>
      <c r="D141" s="4" t="s">
        <v>141</v>
      </c>
      <c r="E141" s="5" t="s">
        <v>276</v>
      </c>
      <c r="F141" s="6" t="s">
        <v>503</v>
      </c>
    </row>
    <row r="142" spans="2:6" ht="15.45" customHeight="1" x14ac:dyDescent="0.3">
      <c r="B142" s="2" t="s">
        <v>504</v>
      </c>
      <c r="C142" s="9">
        <f>MAX($C$140,$C$141)*$C$139</f>
        <v>18</v>
      </c>
      <c r="D142" s="4" t="s">
        <v>141</v>
      </c>
      <c r="E142" s="5" t="s">
        <v>505</v>
      </c>
      <c r="F142" s="6" t="s">
        <v>277</v>
      </c>
    </row>
    <row r="143" spans="2:6" ht="15.45" customHeight="1" x14ac:dyDescent="0.3">
      <c r="B143" s="2" t="s">
        <v>506</v>
      </c>
      <c r="C143" s="27">
        <f>MAX(2,CEILING($C$142/$C$42,1))</f>
        <v>10</v>
      </c>
      <c r="D143" s="4" t="s">
        <v>507</v>
      </c>
      <c r="E143" s="5" t="s">
        <v>508</v>
      </c>
      <c r="F143" s="6" t="s">
        <v>259</v>
      </c>
    </row>
    <row r="144" spans="2:6" ht="27.75" customHeight="1" x14ac:dyDescent="0.3">
      <c r="B144" s="2" t="s">
        <v>509</v>
      </c>
      <c r="C144" s="11">
        <f>MAX(DATOS!$C$91,FLOOR(($C$8*100-2*$C$13-$C$41)/($C$143-1),DATOS!$C$91))</f>
        <v>20</v>
      </c>
      <c r="D144" s="4" t="s">
        <v>137</v>
      </c>
      <c r="E144" s="5" t="s">
        <v>510</v>
      </c>
      <c r="F144" s="6" t="s">
        <v>176</v>
      </c>
    </row>
    <row r="145" spans="2:6" ht="15.45" customHeight="1" x14ac:dyDescent="0.3">
      <c r="B145" s="2" t="s">
        <v>511</v>
      </c>
      <c r="C145" s="11">
        <f>MIN(2*$C$10*100,45)</f>
        <v>45</v>
      </c>
      <c r="D145" s="4" t="s">
        <v>137</v>
      </c>
      <c r="E145" s="5" t="s">
        <v>276</v>
      </c>
      <c r="F145" s="6" t="s">
        <v>512</v>
      </c>
    </row>
    <row r="146" spans="2:6" ht="27.75" customHeight="1" x14ac:dyDescent="0.3">
      <c r="B146" s="2" t="s">
        <v>513</v>
      </c>
      <c r="C146" s="11">
        <f>$C$41+MAX(2.5,$C$41,4/3*DATOS!$C$25/10)</f>
        <v>4.12333333333333</v>
      </c>
      <c r="D146" s="4" t="s">
        <v>137</v>
      </c>
      <c r="E146" s="5" t="s">
        <v>514</v>
      </c>
      <c r="F146" s="6" t="s">
        <v>58</v>
      </c>
    </row>
    <row r="147" spans="2:6" ht="27.75" customHeight="1" x14ac:dyDescent="0.3">
      <c r="B147" s="25" t="s">
        <v>515</v>
      </c>
      <c r="C147" s="28">
        <f>IF($C$36&gt;0,$C$36,MIN($C$144,FLOOR($C$145,DATOS!$C$91)))</f>
        <v>20</v>
      </c>
      <c r="D147" s="4" t="s">
        <v>137</v>
      </c>
      <c r="E147" s="5" t="s">
        <v>516</v>
      </c>
      <c r="F147" s="6" t="s">
        <v>176</v>
      </c>
    </row>
    <row r="148" spans="2:6" ht="15.45" customHeight="1" x14ac:dyDescent="0.3">
      <c r="B148" s="2" t="s">
        <v>517</v>
      </c>
      <c r="C148" s="27">
        <f>INT(($C$8*100-2*$C$13-$C$41)/$C$147)+1</f>
        <v>10</v>
      </c>
      <c r="D148" s="4" t="s">
        <v>507</v>
      </c>
      <c r="E148" s="5" t="s">
        <v>518</v>
      </c>
      <c r="F148" s="6" t="s">
        <v>176</v>
      </c>
    </row>
    <row r="149" spans="2:6" ht="15.45" customHeight="1" x14ac:dyDescent="0.3">
      <c r="B149" s="2" t="s">
        <v>519</v>
      </c>
      <c r="C149" s="9">
        <f>$C$148*$C$42</f>
        <v>19.8</v>
      </c>
      <c r="D149" s="4" t="s">
        <v>141</v>
      </c>
      <c r="E149" s="5" t="s">
        <v>276</v>
      </c>
      <c r="F149" s="6" t="s">
        <v>259</v>
      </c>
    </row>
    <row r="150" spans="2:6" ht="15.45" customHeight="1" x14ac:dyDescent="0.3">
      <c r="B150" s="25" t="s">
        <v>520</v>
      </c>
      <c r="C150" s="26" t="str">
        <f>IF($C$149&gt;=$C$142,"CUMPLE","NO CUMPLE — cerrar la separación")</f>
        <v>CUMPLE</v>
      </c>
      <c r="D150" s="4" t="s">
        <v>12</v>
      </c>
      <c r="E150" s="5" t="s">
        <v>521</v>
      </c>
      <c r="F150" s="6" t="s">
        <v>522</v>
      </c>
    </row>
    <row r="151" spans="2:6" ht="15.45" customHeight="1" x14ac:dyDescent="0.3">
      <c r="B151" s="25" t="s">
        <v>523</v>
      </c>
      <c r="C151" s="26" t="str">
        <f>IF($C$147&gt;$C$145,"NO CUMPLE — mayor que la máxima",IF($C$147&lt;$C$146,"NO CUMPLE — muy juntas: usar varilla más gruesa","CUMPLE"))</f>
        <v>CUMPLE</v>
      </c>
      <c r="D151" s="4" t="s">
        <v>12</v>
      </c>
      <c r="E151" s="5" t="s">
        <v>524</v>
      </c>
      <c r="F151" s="6" t="s">
        <v>525</v>
      </c>
    </row>
    <row r="152" spans="2:6" ht="15.45" customHeight="1" x14ac:dyDescent="0.3">
      <c r="B152" s="2" t="s">
        <v>526</v>
      </c>
      <c r="C152" s="9">
        <f>$C$149*DATOS!$C$18/(0.85*DATOS!$C$15*$C$8*100)</f>
        <v>1.95670588235294</v>
      </c>
      <c r="D152" s="4" t="s">
        <v>137</v>
      </c>
      <c r="E152" s="5" t="s">
        <v>276</v>
      </c>
      <c r="F152" s="6" t="s">
        <v>527</v>
      </c>
    </row>
    <row r="153" spans="2:6" ht="15.45" customHeight="1" x14ac:dyDescent="0.3">
      <c r="B153" s="2" t="s">
        <v>528</v>
      </c>
      <c r="C153" s="15">
        <f>0.003*($C$46-$C$152/DATOS!$C$22)/($C$152/DATOS!$C$22)</f>
        <v>0.0492782963564214</v>
      </c>
      <c r="D153" s="4" t="s">
        <v>12</v>
      </c>
      <c r="E153" s="5" t="s">
        <v>529</v>
      </c>
      <c r="F153" s="6" t="s">
        <v>530</v>
      </c>
    </row>
    <row r="154" spans="2:6" ht="15.45" customHeight="1" x14ac:dyDescent="0.3">
      <c r="B154" s="2" t="s">
        <v>531</v>
      </c>
      <c r="C154" s="10">
        <f>IF($C$153&gt;=DATOS!$C$21+0.003,0.9,IF($C$153&lt;=DATOS!$C$21,0.65,0.65+0.25*($C$153-DATOS!$C$21)/0.003))</f>
        <v>0.9</v>
      </c>
      <c r="D154" s="4" t="s">
        <v>12</v>
      </c>
      <c r="E154" s="5" t="s">
        <v>532</v>
      </c>
      <c r="F154" s="6" t="s">
        <v>533</v>
      </c>
    </row>
    <row r="155" spans="2:6" ht="15.45" customHeight="1" x14ac:dyDescent="0.3">
      <c r="B155" s="2" t="s">
        <v>534</v>
      </c>
      <c r="C155" s="9">
        <f>$C$154*$C$149*DATOS!$C$18*($C$46-$C$152/2)/100000</f>
        <v>29.2914321247059</v>
      </c>
      <c r="D155" s="4" t="s">
        <v>104</v>
      </c>
      <c r="E155" s="5" t="s">
        <v>276</v>
      </c>
      <c r="F155" s="6" t="s">
        <v>535</v>
      </c>
    </row>
    <row r="156" spans="2:6" ht="27.75" customHeight="1" x14ac:dyDescent="0.3">
      <c r="B156" s="25" t="s">
        <v>536</v>
      </c>
      <c r="C156" s="26" t="str">
        <f>IF(AND($C$155&gt;=$C$137,$C$153&gt;=DATOS!$C$21+0.003),"CUMPLE","NO CUMPLE — aumentar h o el armado")</f>
        <v>CUMPLE</v>
      </c>
      <c r="D156" s="4" t="s">
        <v>12</v>
      </c>
      <c r="E156" s="5" t="s">
        <v>537</v>
      </c>
      <c r="F156" s="6" t="s">
        <v>538</v>
      </c>
    </row>
    <row r="157" spans="2:6" ht="15.45" customHeight="1" x14ac:dyDescent="0.3">
      <c r="B157" s="25" t="s">
        <v>544</v>
      </c>
      <c r="C157" s="26" t="str">
        <f>"#"&amp;$C$33&amp;" @ "&amp;TEXT($C$147,"0.0")&amp;" cm  ("&amp;$C$148&amp;" pzas)"</f>
        <v>#5 @ 20.0 cm  (10 pzas)</v>
      </c>
      <c r="D157" s="4" t="s">
        <v>12</v>
      </c>
      <c r="E157" s="5" t="s">
        <v>540</v>
      </c>
      <c r="F157" s="6" t="s">
        <v>541</v>
      </c>
    </row>
    <row r="159" spans="2:6" ht="18" customHeight="1" x14ac:dyDescent="0.3">
      <c r="B159" s="38" t="s">
        <v>545</v>
      </c>
      <c r="C159" s="37"/>
      <c r="D159" s="37"/>
      <c r="E159" s="37"/>
      <c r="F159" s="37"/>
    </row>
    <row r="160" spans="2:6" x14ac:dyDescent="0.3">
      <c r="B160" s="1" t="s">
        <v>5</v>
      </c>
      <c r="C160" s="1" t="s">
        <v>6</v>
      </c>
      <c r="D160" s="1" t="s">
        <v>7</v>
      </c>
      <c r="E160" s="1" t="s">
        <v>8</v>
      </c>
      <c r="F160" s="1" t="s">
        <v>9</v>
      </c>
    </row>
    <row r="161" spans="2:6" ht="27.75" customHeight="1" x14ac:dyDescent="0.3">
      <c r="B161" s="2" t="s">
        <v>546</v>
      </c>
      <c r="C161" s="9">
        <f>MAX($I$57:$M$57)</f>
        <v>9.3272613</v>
      </c>
      <c r="D161" s="4" t="s">
        <v>96</v>
      </c>
      <c r="E161" s="5" t="s">
        <v>547</v>
      </c>
      <c r="F161" s="6" t="s">
        <v>452</v>
      </c>
    </row>
    <row r="162" spans="2:6" ht="15.45" customHeight="1" x14ac:dyDescent="0.3">
      <c r="B162" s="2" t="s">
        <v>548</v>
      </c>
      <c r="C162" s="13">
        <f>$C$125/($C$9*100*$C$45)</f>
        <v>0.00237381608919794</v>
      </c>
      <c r="D162" s="4" t="s">
        <v>12</v>
      </c>
      <c r="E162" s="5" t="s">
        <v>549</v>
      </c>
      <c r="F162" s="6" t="s">
        <v>550</v>
      </c>
    </row>
    <row r="163" spans="2:6" ht="15.45" customHeight="1" x14ac:dyDescent="0.3">
      <c r="B163" s="2" t="s">
        <v>551</v>
      </c>
      <c r="C163" s="10">
        <f>IF(DATOS!$C$90="SÍ",1,MIN(1,SQRT(2/(1+0.004*$C$45*10))))</f>
        <v>1</v>
      </c>
      <c r="D163" s="4" t="s">
        <v>12</v>
      </c>
      <c r="E163" s="5" t="s">
        <v>276</v>
      </c>
      <c r="F163" s="6" t="s">
        <v>552</v>
      </c>
    </row>
    <row r="164" spans="2:6" ht="27.75" customHeight="1" x14ac:dyDescent="0.3">
      <c r="B164" s="2" t="s">
        <v>553</v>
      </c>
      <c r="C164" s="9">
        <f>0.66*$C$163*DATOS!$C$23*$C$162^(1/3)*DATOS!$C$17*DATOS!$C$89*$C$9*100*$C$45/1000</f>
        <v>37.078448447735</v>
      </c>
      <c r="D164" s="4" t="s">
        <v>96</v>
      </c>
      <c r="E164" s="5" t="s">
        <v>554</v>
      </c>
      <c r="F164" s="6" t="s">
        <v>555</v>
      </c>
    </row>
    <row r="165" spans="2:6" ht="15.45" customHeight="1" x14ac:dyDescent="0.3">
      <c r="B165" s="2" t="s">
        <v>556</v>
      </c>
      <c r="C165" s="9">
        <f>0.42*DATOS!$C$23*DATOS!$C$17*DATOS!$C$89*$C$9*100*$C$45/1000</f>
        <v>176.879655851548</v>
      </c>
      <c r="D165" s="4" t="s">
        <v>96</v>
      </c>
      <c r="E165" s="5" t="s">
        <v>276</v>
      </c>
      <c r="F165" s="6" t="s">
        <v>557</v>
      </c>
    </row>
    <row r="166" spans="2:6" ht="15.45" customHeight="1" x14ac:dyDescent="0.3">
      <c r="B166" s="2" t="s">
        <v>558</v>
      </c>
      <c r="C166" s="9">
        <f>DATOS!$C$87*MIN($C$164,$C$165)</f>
        <v>27.8088363358013</v>
      </c>
      <c r="D166" s="4" t="s">
        <v>96</v>
      </c>
      <c r="E166" s="5" t="s">
        <v>469</v>
      </c>
      <c r="F166" s="6" t="s">
        <v>166</v>
      </c>
    </row>
    <row r="167" spans="2:6" ht="15.45" customHeight="1" x14ac:dyDescent="0.3">
      <c r="B167" s="25" t="s">
        <v>559</v>
      </c>
      <c r="C167" s="26" t="str">
        <f>IF($C$166&gt;=$C$161,"CUMPLE","NO CUMPLE — aumentar h o el armado")</f>
        <v>CUMPLE</v>
      </c>
      <c r="D167" s="4" t="s">
        <v>12</v>
      </c>
      <c r="E167" s="5" t="s">
        <v>560</v>
      </c>
      <c r="F167" s="6" t="s">
        <v>561</v>
      </c>
    </row>
    <row r="168" spans="2:6" ht="27.75" customHeight="1" x14ac:dyDescent="0.3">
      <c r="B168" s="2" t="s">
        <v>562</v>
      </c>
      <c r="C168" s="9">
        <f>MAX($I$69:$M$69)</f>
        <v>9.7726839</v>
      </c>
      <c r="D168" s="4" t="s">
        <v>96</v>
      </c>
      <c r="E168" s="5" t="s">
        <v>563</v>
      </c>
      <c r="F168" s="6" t="s">
        <v>452</v>
      </c>
    </row>
    <row r="169" spans="2:6" ht="15.45" customHeight="1" x14ac:dyDescent="0.3">
      <c r="B169" s="2" t="s">
        <v>564</v>
      </c>
      <c r="C169" s="13">
        <f>$C$149/($C$8*100*$C$46)</f>
        <v>0.0024679047737754</v>
      </c>
      <c r="D169" s="4" t="s">
        <v>12</v>
      </c>
      <c r="E169" s="5" t="s">
        <v>549</v>
      </c>
      <c r="F169" s="6" t="s">
        <v>550</v>
      </c>
    </row>
    <row r="170" spans="2:6" ht="15.45" customHeight="1" x14ac:dyDescent="0.3">
      <c r="B170" s="2" t="s">
        <v>565</v>
      </c>
      <c r="C170" s="10">
        <f>IF(DATOS!$C$90="SÍ",1,MIN(1,SQRT(2/(1+0.004*$C$46*10))))</f>
        <v>1</v>
      </c>
      <c r="D170" s="4" t="s">
        <v>12</v>
      </c>
      <c r="E170" s="5" t="s">
        <v>276</v>
      </c>
      <c r="F170" s="6" t="s">
        <v>552</v>
      </c>
    </row>
    <row r="171" spans="2:6" ht="27.75" customHeight="1" x14ac:dyDescent="0.3">
      <c r="B171" s="2" t="s">
        <v>553</v>
      </c>
      <c r="C171" s="9">
        <f>0.66*$C$170*DATOS!$C$23*$C$169^(1/3)*DATOS!$C$17*DATOS!$C$89*$C$8*100*$C$46/1000</f>
        <v>36.1299477427319</v>
      </c>
      <c r="D171" s="4" t="s">
        <v>96</v>
      </c>
      <c r="E171" s="5" t="s">
        <v>554</v>
      </c>
      <c r="F171" s="6" t="s">
        <v>555</v>
      </c>
    </row>
    <row r="172" spans="2:6" ht="15.45" customHeight="1" x14ac:dyDescent="0.3">
      <c r="B172" s="2" t="s">
        <v>556</v>
      </c>
      <c r="C172" s="9">
        <f>0.42*DATOS!$C$23*DATOS!$C$17*DATOS!$C$89*$C$8*100*$C$46/1000</f>
        <v>170.136132225989</v>
      </c>
      <c r="D172" s="4" t="s">
        <v>96</v>
      </c>
      <c r="E172" s="5" t="s">
        <v>276</v>
      </c>
      <c r="F172" s="6" t="s">
        <v>557</v>
      </c>
    </row>
    <row r="173" spans="2:6" ht="15.45" customHeight="1" x14ac:dyDescent="0.3">
      <c r="B173" s="2" t="s">
        <v>558</v>
      </c>
      <c r="C173" s="9">
        <f>DATOS!$C$87*MIN($C$171,$C$172)</f>
        <v>27.0974608070489</v>
      </c>
      <c r="D173" s="4" t="s">
        <v>96</v>
      </c>
      <c r="E173" s="5" t="s">
        <v>469</v>
      </c>
      <c r="F173" s="6" t="s">
        <v>166</v>
      </c>
    </row>
    <row r="174" spans="2:6" ht="15.45" customHeight="1" x14ac:dyDescent="0.3">
      <c r="B174" s="25" t="s">
        <v>566</v>
      </c>
      <c r="C174" s="26" t="str">
        <f>IF($C$173&gt;=$C$168,"CUMPLE","NO CUMPLE — aumentar h o el armado")</f>
        <v>CUMPLE</v>
      </c>
      <c r="D174" s="4" t="s">
        <v>12</v>
      </c>
      <c r="E174" s="5" t="s">
        <v>560</v>
      </c>
      <c r="F174" s="6" t="s">
        <v>561</v>
      </c>
    </row>
    <row r="176" spans="2:6" ht="18" customHeight="1" x14ac:dyDescent="0.3">
      <c r="B176" s="38" t="s">
        <v>567</v>
      </c>
      <c r="C176" s="37"/>
      <c r="D176" s="37"/>
      <c r="E176" s="37"/>
      <c r="F176" s="37"/>
    </row>
    <row r="177" spans="2:6" x14ac:dyDescent="0.3">
      <c r="B177" s="1" t="s">
        <v>5</v>
      </c>
      <c r="C177" s="1" t="s">
        <v>6</v>
      </c>
      <c r="D177" s="1" t="s">
        <v>7</v>
      </c>
      <c r="E177" s="1" t="s">
        <v>8</v>
      </c>
      <c r="F177" s="1" t="s">
        <v>9</v>
      </c>
    </row>
    <row r="178" spans="2:6" ht="40.200000000000003" customHeight="1" x14ac:dyDescent="0.3">
      <c r="B178" s="2" t="s">
        <v>568</v>
      </c>
      <c r="C178" s="9">
        <f>MAX(0,MAX($I$59:$M$59))</f>
        <v>0</v>
      </c>
      <c r="D178" s="4" t="s">
        <v>104</v>
      </c>
      <c r="E178" s="5" t="s">
        <v>569</v>
      </c>
      <c r="F178" s="6" t="s">
        <v>570</v>
      </c>
    </row>
    <row r="179" spans="2:6" ht="15.45" customHeight="1" x14ac:dyDescent="0.3">
      <c r="B179" s="2" t="s">
        <v>571</v>
      </c>
      <c r="C179" s="9">
        <f>MAX(0,MAX($I$71:$M$71))</f>
        <v>0</v>
      </c>
      <c r="D179" s="4" t="s">
        <v>104</v>
      </c>
      <c r="E179" s="5" t="s">
        <v>276</v>
      </c>
      <c r="F179" s="6" t="s">
        <v>570</v>
      </c>
    </row>
    <row r="180" spans="2:6" ht="15.45" customHeight="1" x14ac:dyDescent="0.3">
      <c r="B180" s="2" t="s">
        <v>572</v>
      </c>
      <c r="C180" s="10">
        <f>MAX($C$178/$C$9,$C$179/$C$8)</f>
        <v>0</v>
      </c>
      <c r="D180" s="4" t="s">
        <v>154</v>
      </c>
      <c r="E180" s="5" t="s">
        <v>276</v>
      </c>
      <c r="F180" s="6" t="s">
        <v>488</v>
      </c>
    </row>
    <row r="181" spans="2:6" ht="15.45" customHeight="1" x14ac:dyDescent="0.3">
      <c r="B181" s="2" t="s">
        <v>573</v>
      </c>
      <c r="C181" s="9">
        <f>$C$10*100-$C$14-$C$43</f>
        <v>43.73</v>
      </c>
      <c r="D181" s="4" t="s">
        <v>137</v>
      </c>
      <c r="E181" s="5" t="s">
        <v>574</v>
      </c>
      <c r="F181" s="6" t="s">
        <v>259</v>
      </c>
    </row>
    <row r="182" spans="2:6" ht="15.45" customHeight="1" x14ac:dyDescent="0.3">
      <c r="B182" s="2" t="s">
        <v>575</v>
      </c>
      <c r="C182" s="9">
        <f>IF($C$180&lt;=0,0,IF((1-2*$C$180*100000/(DATOS!$C$86*0.85*DATOS!$C$15*100*$C$181^2))&lt;0,9999,0.85*DATOS!$C$15*100/DATOS!$C$18*$C$181*(1-SQRT((1-2*$C$180*100000/(DATOS!$C$86*0.85*DATOS!$C$15*100*$C$181^2))))))</f>
        <v>0</v>
      </c>
      <c r="D182" s="4" t="s">
        <v>576</v>
      </c>
      <c r="E182" s="5" t="s">
        <v>577</v>
      </c>
      <c r="F182" s="6" t="s">
        <v>535</v>
      </c>
    </row>
    <row r="183" ht="40.200000000000003" customHeight="1" x14ac:dyDescent="0.3">
      <c r="B183" s="2" t="s">
        <v>578</v>
      </c>
      <c r="C183" s="9">
        <f>IF($C$37="SÍ",IF($C$182&gt;0,MAX($C$182,DATOS!$C$92*100*$C$10*100),DATOS!$C$92/2*100*$C$10*100),0)</f>
        <v>0</v>
      </c>
      <c r="D183" s="4" t="s">
        <v>576</v>
      </c>
      <c r="E183" s="5" t="inlineStr">
        <is>
          <t>CALCULADA. Si el cálculo pide acero arriba: el mínimo ρmín b h en la cara en tensión. Si no: práctica de ρmín/2 · b h (mitad del mínimo).</t>
        </is>
      </c>
      <c r="F183" s="6" t="s">
        <v>580</v>
      </c>
    </row>
    <row r="184" spans="2:6" ht="27.75" customHeight="1" x14ac:dyDescent="0.3">
      <c r="B184" s="2" t="s">
        <v>581</v>
      </c>
      <c r="C184" s="11">
        <f>IF($C$183&gt;0,MAX(DATOS!$C$91,MIN(FLOOR($C$44/$C$183*100,DATOS!$C$91),FLOOR(MIN(2*$C$10*100,45),DATOS!$C$91))),0)</f>
        <v>0</v>
      </c>
      <c r="D184" s="4" t="s">
        <v>137</v>
      </c>
      <c r="E184" s="5" t="s">
        <v>276</v>
      </c>
      <c r="F184" s="6" t="s">
        <v>512</v>
      </c>
    </row>
    <row r="185" spans="2:6" ht="15.45" customHeight="1" x14ac:dyDescent="0.3">
      <c r="B185" s="2" t="s">
        <v>582</v>
      </c>
      <c r="C185" s="27">
        <f>IF($C$184&gt;0,INT(($C$9*100-2*$C$13-$C$43)/$C$184)+1,0)</f>
        <v>0</v>
      </c>
      <c r="D185" s="4" t="s">
        <v>507</v>
      </c>
      <c r="E185" s="5" t="s">
        <v>276</v>
      </c>
      <c r="F185" s="6" t="s">
        <v>259</v>
      </c>
    </row>
    <row r="186" spans="2:6" ht="15.45" customHeight="1" x14ac:dyDescent="0.3">
      <c r="B186" s="2" t="s">
        <v>583</v>
      </c>
      <c r="C186" s="27">
        <f>IF($C$184&gt;0,INT(($C$8*100-2*$C$13-$C$43)/$C$184)+1,0)</f>
        <v>0</v>
      </c>
      <c r="D186" s="4" t="s">
        <v>507</v>
      </c>
      <c r="E186" s="5" t="s">
        <v>276</v>
      </c>
      <c r="F186" s="6" t="s">
        <v>259</v>
      </c>
    </row>
    <row r="187" spans="2:6" ht="27.75" customHeight="1" x14ac:dyDescent="0.3">
      <c r="B187" s="25" t="s">
        <v>584</v>
      </c>
      <c r="C187" s="26" t="str">
        <f>IF(AND($C$182&gt;0,$C$37="NO"),"NO CUMPLE — hay momento negativo: pon SÍ en parrilla superior (sección 2)",IF($C$37="SÍ","CUMPLE — se coloca","CUMPLE — no se requiere"))</f>
        <v>CUMPLE — no se requiere</v>
      </c>
      <c r="D187" s="4" t="s">
        <v>12</v>
      </c>
      <c r="E187" s="5" t="s">
        <v>585</v>
      </c>
      <c r="F187" s="6" t="s">
        <v>488</v>
      </c>
    </row>
    <row r="188" spans="2:6" ht="15.45" customHeight="1" x14ac:dyDescent="0.3">
      <c r="B188" s="25" t="s">
        <v>586</v>
      </c>
      <c r="C188" s="26" t="str">
        <f>IF($C$184&gt;0,"#"&amp;$C$38&amp;" @ "&amp;TEXT($C$184,"0.0")&amp;" cm en ambos sentidos","No lleva")</f>
        <v>No lleva</v>
      </c>
      <c r="D188" s="4" t="s">
        <v>12</v>
      </c>
      <c r="E188" s="5" t="s">
        <v>587</v>
      </c>
      <c r="F188" s="6" t="s">
        <v>541</v>
      </c>
    </row>
    <row r="190" spans="2:6" ht="18" customHeight="1" x14ac:dyDescent="0.3">
      <c r="B190" s="38" t="s">
        <v>588</v>
      </c>
      <c r="C190" s="37"/>
      <c r="D190" s="37"/>
      <c r="E190" s="37"/>
      <c r="F190" s="37"/>
    </row>
    <row r="191" spans="2:6" x14ac:dyDescent="0.3">
      <c r="B191" s="1" t="s">
        <v>5</v>
      </c>
      <c r="C191" s="1" t="s">
        <v>6</v>
      </c>
      <c r="D191" s="1" t="s">
        <v>7</v>
      </c>
      <c r="E191" s="1" t="s">
        <v>8</v>
      </c>
      <c r="F191" s="1" t="s">
        <v>9</v>
      </c>
    </row>
    <row r="192" spans="2:6" ht="27.75" customHeight="1" x14ac:dyDescent="0.3">
      <c r="B192" s="2" t="s">
        <v>589</v>
      </c>
      <c r="C192" s="10">
        <f>IF(DATOS!$C$16&lt;40,DATOS!$C$16/105+0.6,1)</f>
        <v>0.833490799528535</v>
      </c>
      <c r="D192" s="4" t="s">
        <v>12</v>
      </c>
      <c r="E192" s="5" t="s">
        <v>276</v>
      </c>
      <c r="F192" s="6" t="s">
        <v>590</v>
      </c>
    </row>
    <row r="193" spans="2:6" ht="15.45" customHeight="1" x14ac:dyDescent="0.3">
      <c r="B193" s="2" t="s">
        <v>591</v>
      </c>
      <c r="C193" s="11">
        <f>$C$26*100-$C$13</f>
        <v>67.5</v>
      </c>
      <c r="D193" s="4" t="s">
        <v>137</v>
      </c>
      <c r="E193" s="5" t="s">
        <v>592</v>
      </c>
      <c r="F193" s="6" t="s">
        <v>593</v>
      </c>
    </row>
    <row r="194" spans="2:6" ht="27.75" customHeight="1" x14ac:dyDescent="0.3">
      <c r="B194" s="2" t="s">
        <v>594</v>
      </c>
      <c r="C194" s="9">
        <f>MIN($C$10*100-$C$45,$C$123/2,$C$13+$C$39/2)</f>
        <v>8.295</v>
      </c>
      <c r="D194" s="4" t="s">
        <v>137</v>
      </c>
      <c r="E194" s="5" t="s">
        <v>595</v>
      </c>
      <c r="F194" s="6" t="s">
        <v>596</v>
      </c>
    </row>
    <row r="195" spans="2:6" ht="27.75" customHeight="1" x14ac:dyDescent="0.3">
      <c r="B195" s="2" t="s">
        <v>597</v>
      </c>
      <c r="C195" s="11">
        <f>MAX(DATOS!$C$19/(1.1*DATOS!$C$23*DATOS!$C$17)*(IF($C$32&lt;=6,0.8,1)*DATOS!$C$26)/MIN(2.5,$C$194/$C$39)*$C$39,30)</f>
        <v>38.4762940304301</v>
      </c>
      <c r="D195" s="4" t="s">
        <v>137</v>
      </c>
      <c r="E195" s="5" t="s">
        <v>598</v>
      </c>
      <c r="F195" s="6" t="s">
        <v>599</v>
      </c>
    </row>
    <row r="196" spans="2:6" ht="27.75" customHeight="1" x14ac:dyDescent="0.3">
      <c r="B196" s="2" t="s">
        <v>600</v>
      </c>
      <c r="C196" s="11">
        <f>MAX(DATOS!$C$19*IF($C$123&gt;=6*$C$39,1,1.6)*IF($C$13&gt;=6*$C$39,1,1.25)*$C$192/(23*DATOS!$C$23*DATOS!$C$17)*($C$39*10)^1.5/10,8*$C$39,15)</f>
        <v>23.8900737872892</v>
      </c>
      <c r="D196" s="4" t="s">
        <v>137</v>
      </c>
      <c r="E196" s="5" t="s">
        <v>601</v>
      </c>
      <c r="F196" s="6" t="s">
        <v>602</v>
      </c>
    </row>
    <row r="197" spans="2:6" ht="15.45" customHeight="1" x14ac:dyDescent="0.3">
      <c r="B197" s="2" t="s">
        <v>603</v>
      </c>
      <c r="C197" s="7" t="str">
        <f>IF($C$193&gt;=$C$195,"RECTA",IF($C$193&gt;=$C$196,"GANCHO 90°","NO ALCANZA"))</f>
        <v>RECTA</v>
      </c>
      <c r="D197" s="4" t="s">
        <v>12</v>
      </c>
      <c r="E197" s="5" t="s">
        <v>276</v>
      </c>
      <c r="F197" s="6" t="s">
        <v>604</v>
      </c>
    </row>
    <row r="198" spans="2:6" ht="27.75" customHeight="1" x14ac:dyDescent="0.3">
      <c r="B198" s="2" t="s">
        <v>605</v>
      </c>
      <c r="C198" s="11">
        <f>$C$12+16*$C$39+$C$14</f>
        <v>37.94</v>
      </c>
      <c r="D198" s="4" t="s">
        <v>137</v>
      </c>
      <c r="E198" s="5" t="s">
        <v>606</v>
      </c>
      <c r="F198" s="6" t="s">
        <v>607</v>
      </c>
    </row>
    <row r="199" spans="2:6" ht="27.75" customHeight="1" x14ac:dyDescent="0.3">
      <c r="B199" s="25" t="s">
        <v>608</v>
      </c>
      <c r="C199" s="26" t="str">
        <f>IF($C$197="NO ALCANZA","NO CUMPLE — agrandar la zapata o bajar el diámetro",IF($C$197="RECTA","CUMPLE — varilla recta",IF($C$198&lt;=$C$10*100,"CUMPLE — gancho estándar a 90° (12db) vertical","REVISAR — el gancho vertical no cabe en h: tiéndelo horizontal o baja el diámetro")))</f>
        <v>CUMPLE — varilla recta</v>
      </c>
      <c r="D199" s="4" t="s">
        <v>12</v>
      </c>
      <c r="E199" s="5" t="s">
        <v>609</v>
      </c>
      <c r="F199" s="6" t="s">
        <v>610</v>
      </c>
    </row>
    <row r="200" spans="2:6" ht="15.45" customHeight="1" x14ac:dyDescent="0.3">
      <c r="B200" s="2" t="s">
        <v>611</v>
      </c>
      <c r="C200" s="11">
        <f>$C$27*100-$C$13</f>
        <v>67.5</v>
      </c>
      <c r="D200" s="4" t="s">
        <v>137</v>
      </c>
      <c r="E200" s="5" t="s">
        <v>592</v>
      </c>
      <c r="F200" s="6" t="s">
        <v>593</v>
      </c>
    </row>
    <row r="201" spans="2:6" ht="27.75" customHeight="1" x14ac:dyDescent="0.3">
      <c r="B201" s="2" t="s">
        <v>612</v>
      </c>
      <c r="C201" s="9">
        <f>MIN($C$10*100-$C$46,$C$147/2,$C$13+$C$41/2)</f>
        <v>8.295</v>
      </c>
      <c r="D201" s="4" t="s">
        <v>137</v>
      </c>
      <c r="E201" s="5" t="s">
        <v>595</v>
      </c>
      <c r="F201" s="6" t="s">
        <v>596</v>
      </c>
    </row>
    <row r="202" spans="2:6" ht="27.75" customHeight="1" x14ac:dyDescent="0.3">
      <c r="B202" s="2" t="s">
        <v>613</v>
      </c>
      <c r="C202" s="11">
        <f>MAX(DATOS!$C$19/(1.1*DATOS!$C$23*DATOS!$C$17)*(IF($C$33&lt;=6,0.8,1)*DATOS!$C$26)/MIN(2.5,$C$201/$C$41)*$C$41,30)</f>
        <v>38.4762940304301</v>
      </c>
      <c r="D202" s="4" t="s">
        <v>137</v>
      </c>
      <c r="E202" s="5" t="s">
        <v>598</v>
      </c>
      <c r="F202" s="6" t="s">
        <v>599</v>
      </c>
    </row>
    <row r="203" spans="2:6" ht="27.75" customHeight="1" x14ac:dyDescent="0.3">
      <c r="B203" s="2" t="s">
        <v>614</v>
      </c>
      <c r="C203" s="11">
        <f>MAX(DATOS!$C$19*IF($C$147&gt;=6*$C$41,1,1.6)*IF($C$13&gt;=6*$C$41,1,1.25)*$C$192/(23*DATOS!$C$23*DATOS!$C$17)*($C$41*10)^1.5/10,8*$C$41,15)</f>
        <v>23.8900737872892</v>
      </c>
      <c r="D203" s="4" t="s">
        <v>137</v>
      </c>
      <c r="E203" s="5" t="s">
        <v>601</v>
      </c>
      <c r="F203" s="6" t="s">
        <v>602</v>
      </c>
    </row>
    <row r="204" spans="2:6" ht="15.45" customHeight="1" x14ac:dyDescent="0.3">
      <c r="B204" s="2" t="s">
        <v>615</v>
      </c>
      <c r="C204" s="7" t="str">
        <f>IF($C$200&gt;=$C$202,"RECTA",IF($C$200&gt;=$C$203,"GANCHO 90°","NO ALCANZA"))</f>
        <v>RECTA</v>
      </c>
      <c r="D204" s="4" t="s">
        <v>12</v>
      </c>
      <c r="E204" s="5" t="s">
        <v>276</v>
      </c>
      <c r="F204" s="6" t="s">
        <v>604</v>
      </c>
    </row>
    <row r="205" spans="2:6" ht="27.75" customHeight="1" x14ac:dyDescent="0.3">
      <c r="B205" s="2" t="s">
        <v>616</v>
      </c>
      <c r="C205" s="11">
        <f>$C$12+16*$C$41+$C$14</f>
        <v>37.94</v>
      </c>
      <c r="D205" s="4" t="s">
        <v>137</v>
      </c>
      <c r="E205" s="5" t="s">
        <v>606</v>
      </c>
      <c r="F205" s="6" t="s">
        <v>607</v>
      </c>
    </row>
    <row r="206" spans="2:6" ht="27.75" customHeight="1" x14ac:dyDescent="0.3">
      <c r="B206" s="25" t="s">
        <v>617</v>
      </c>
      <c r="C206" s="26" t="str">
        <f>IF($C$204="NO ALCANZA","NO CUMPLE — agrandar la zapata o bajar el diámetro",IF($C$204="RECTA","CUMPLE — varilla recta",IF($C$205&lt;=$C$10*100,"CUMPLE — gancho estándar a 90° (12db) vertical","REVISAR — el gancho vertical no cabe en h: tiéndelo horizontal o baja el diámetro")))</f>
        <v>CUMPLE — varilla recta</v>
      </c>
      <c r="D206" s="4" t="s">
        <v>12</v>
      </c>
      <c r="E206" s="5" t="s">
        <v>609</v>
      </c>
      <c r="F206" s="6" t="s">
        <v>610</v>
      </c>
    </row>
    <row r="208" spans="2:6" ht="18" customHeight="1" x14ac:dyDescent="0.3">
      <c r="B208" s="38" t="s">
        <v>618</v>
      </c>
      <c r="C208" s="37"/>
      <c r="D208" s="37"/>
      <c r="E208" s="37"/>
      <c r="F208" s="37"/>
    </row>
    <row r="209" spans="2:6" x14ac:dyDescent="0.3"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</row>
    <row r="210" spans="2:6" ht="15.45" customHeight="1" x14ac:dyDescent="0.3">
      <c r="B210" s="2" t="s">
        <v>619</v>
      </c>
      <c r="C210" s="10">
        <f>DATOS!$C$64*DATOS!$C$65</f>
        <v>0.25</v>
      </c>
      <c r="D210" s="4" t="s">
        <v>257</v>
      </c>
      <c r="E210" s="5" t="s">
        <v>276</v>
      </c>
      <c r="F210" s="6" t="s">
        <v>620</v>
      </c>
    </row>
    <row r="211" spans="2:6" ht="27.75" customHeight="1" x14ac:dyDescent="0.3">
      <c r="B211" s="2" t="s">
        <v>621</v>
      </c>
      <c r="C211" s="10">
        <f>MIN($C$8,DATOS!$C$64+4*$C$10)*MIN($C$9,DATOS!$C$65+4*$C$10)</f>
        <v>4</v>
      </c>
      <c r="D211" s="4" t="s">
        <v>257</v>
      </c>
      <c r="E211" s="5" t="s">
        <v>622</v>
      </c>
      <c r="F211" s="6" t="s">
        <v>623</v>
      </c>
    </row>
    <row r="212" spans="2:6" ht="15.45" customHeight="1" x14ac:dyDescent="0.3">
      <c r="B212" s="2" t="s">
        <v>624</v>
      </c>
      <c r="C212" s="10">
        <f>MIN(SQRT($C$211/$C$210),2)</f>
        <v>2</v>
      </c>
      <c r="D212" s="4" t="s">
        <v>12</v>
      </c>
      <c r="E212" s="5" t="s">
        <v>276</v>
      </c>
      <c r="F212" s="6" t="s">
        <v>625</v>
      </c>
    </row>
    <row r="213" spans="2:6" ht="15.45" customHeight="1" x14ac:dyDescent="0.3">
      <c r="B213" s="2" t="s">
        <v>626</v>
      </c>
      <c r="C213" s="9">
        <f>DATOS!$C$88*0.85*DATOS!$C$15*$C$210*10000*$C$212/1000</f>
        <v>690.625</v>
      </c>
      <c r="D213" s="4" t="s">
        <v>96</v>
      </c>
      <c r="E213" s="5" t="s">
        <v>627</v>
      </c>
      <c r="F213" s="6" t="s">
        <v>628</v>
      </c>
    </row>
    <row r="214" spans="2:6" ht="15.45" customHeight="1" x14ac:dyDescent="0.3">
      <c r="B214" s="2" t="s">
        <v>629</v>
      </c>
      <c r="C214" s="9">
        <f>$C$65</f>
        <v>56.028</v>
      </c>
      <c r="D214" s="4" t="s">
        <v>96</v>
      </c>
      <c r="E214" s="5" t="s">
        <v>630</v>
      </c>
      <c r="F214" s="6" t="s">
        <v>426</v>
      </c>
    </row>
    <row r="215" spans="2:6" ht="15.45" customHeight="1" x14ac:dyDescent="0.3">
      <c r="B215" s="25" t="s">
        <v>631</v>
      </c>
      <c r="C215" s="26" t="str">
        <f>IF($C$213&gt;=$C$214,"CUMPLE","NO CUMPLE — dovelas por aplastamiento o dado mayor")</f>
        <v>CUMPLE</v>
      </c>
      <c r="D215" s="4" t="s">
        <v>12</v>
      </c>
      <c r="E215" s="5" t="s">
        <v>632</v>
      </c>
      <c r="F215" s="6" t="s">
        <v>633</v>
      </c>
    </row>
    <row r="216" spans="2:6" ht="15.45" customHeight="1" x14ac:dyDescent="0.3">
      <c r="B216" s="2" t="s">
        <v>634</v>
      </c>
      <c r="C216" s="9">
        <f>0.005*$C$210*10000</f>
        <v>12.5</v>
      </c>
      <c r="D216" s="4" t="s">
        <v>141</v>
      </c>
      <c r="E216" s="5" t="s">
        <v>276</v>
      </c>
      <c r="F216" s="6" t="s">
        <v>635</v>
      </c>
    </row>
    <row r="217" spans="2:6" ht="15.45" customHeight="1" x14ac:dyDescent="0.3">
      <c r="B217" s="2" t="s">
        <v>636</v>
      </c>
      <c r="C217" s="27">
        <f>MAX(4,CEILING($C$216/DATOS!$C$69,1))</f>
        <v>5</v>
      </c>
      <c r="D217" s="4" t="s">
        <v>507</v>
      </c>
      <c r="E217" s="5" t="s">
        <v>276</v>
      </c>
      <c r="F217" s="6" t="s">
        <v>635</v>
      </c>
    </row>
    <row r="218" spans="2:6" ht="27.75" customHeight="1" x14ac:dyDescent="0.3">
      <c r="B218" s="2" t="s">
        <v>637</v>
      </c>
      <c r="C218" s="11">
        <f>MAX(0.24*DATOS!$C$19/(DATOS!$C$23*DATOS!$C$17)*DATOS!$C$68,0.043*DATOS!$C$19*DATOS!$C$68,20)</f>
        <v>38.13145931978</v>
      </c>
      <c r="D218" s="4" t="s">
        <v>137</v>
      </c>
      <c r="E218" s="5" t="s">
        <v>638</v>
      </c>
      <c r="F218" s="6" t="s">
        <v>639</v>
      </c>
    </row>
    <row r="219" spans="2:6" ht="27.75" customHeight="1" x14ac:dyDescent="0.3">
      <c r="B219" s="2" t="s">
        <v>640</v>
      </c>
      <c r="C219" s="11">
        <f>$C$10*100-$C$12-$C$39-$C$41</f>
        <v>39.32</v>
      </c>
      <c r="D219" s="4" t="s">
        <v>137</v>
      </c>
      <c r="E219" s="5" t="s">
        <v>641</v>
      </c>
      <c r="F219" s="6" t="s">
        <v>259</v>
      </c>
    </row>
    <row r="220" spans="2:6" ht="27.75" customHeight="1" x14ac:dyDescent="0.3">
      <c r="B220" s="25" t="s">
        <v>642</v>
      </c>
      <c r="C220" s="26" t="str">
        <f>IF($C$219&gt;=$C$218,"CUMPLE","NO CUMPLE — aumentar h o usar dovelas más delgadas")</f>
        <v>CUMPLE</v>
      </c>
      <c r="D220" s="4" t="s">
        <v>12</v>
      </c>
      <c r="E220" s="5" t="s">
        <v>643</v>
      </c>
      <c r="F220" s="6" t="s">
        <v>644</v>
      </c>
    </row>
    <row r="221" spans="2:6" ht="15.45" customHeight="1" x14ac:dyDescent="0.3">
      <c r="B221" s="2" t="s">
        <v>645</v>
      </c>
      <c r="C221" s="11">
        <f>$C$218+$C$12+$C$39+$C$41</f>
        <v>48.81145931978</v>
      </c>
      <c r="D221" s="4" t="s">
        <v>137</v>
      </c>
      <c r="E221" s="5" t="s">
        <v>276</v>
      </c>
      <c r="F221" s="6" t="s">
        <v>259</v>
      </c>
    </row>
    <row r="222" spans="2:6" ht="27.75" customHeight="1" x14ac:dyDescent="0.3">
      <c r="B222" s="25" t="s">
        <v>646</v>
      </c>
      <c r="C222" s="26" t="str">
        <f>"mín. "&amp;$C$217&amp;" dovelas #"&amp;DATOS!$C$67&amp;" con gancho 90° apoyado en la parrilla inferior"</f>
        <v>mín. 5 dovelas #6 con gancho 90° apoyado en la parrilla inferior</v>
      </c>
      <c r="D222" s="4" t="s">
        <v>12</v>
      </c>
      <c r="E222" s="5" t="s">
        <v>647</v>
      </c>
      <c r="F222" s="6" t="s">
        <v>541</v>
      </c>
    </row>
    <row r="224" spans="2:6" ht="18" customHeight="1" x14ac:dyDescent="0.3">
      <c r="B224" s="38" t="s">
        <v>678</v>
      </c>
      <c r="C224" s="37"/>
      <c r="D224" s="37"/>
      <c r="E224" s="37"/>
      <c r="F224" s="37"/>
    </row>
    <row r="225" spans="2:6" x14ac:dyDescent="0.3">
      <c r="B225" s="1" t="s">
        <v>5</v>
      </c>
      <c r="C225" s="1" t="s">
        <v>6</v>
      </c>
      <c r="D225" s="1" t="s">
        <v>7</v>
      </c>
      <c r="E225" s="1" t="s">
        <v>8</v>
      </c>
      <c r="F225" s="1" t="s">
        <v>9</v>
      </c>
    </row>
    <row r="226" spans="2:6" ht="15.45" customHeight="1" x14ac:dyDescent="0.3">
      <c r="B226" s="2" t="s">
        <v>679</v>
      </c>
      <c r="C226" s="14">
        <v>0.3</v>
      </c>
      <c r="D226" s="4" t="s">
        <v>124</v>
      </c>
      <c r="E226" s="5" t="s">
        <v>53</v>
      </c>
      <c r="F226" s="6" t="s">
        <v>308</v>
      </c>
    </row>
    <row r="227" spans="2:6" ht="15.45" customHeight="1" x14ac:dyDescent="0.3">
      <c r="B227" s="2" t="s">
        <v>680</v>
      </c>
      <c r="C227" s="14">
        <v>0.6</v>
      </c>
      <c r="D227" s="4" t="s">
        <v>124</v>
      </c>
      <c r="E227" s="5" t="s">
        <v>53</v>
      </c>
      <c r="F227" s="6" t="s">
        <v>308</v>
      </c>
    </row>
    <row r="228" spans="2:6" ht="27.75" customHeight="1" x14ac:dyDescent="0.3">
      <c r="B228" s="2" t="s">
        <v>681</v>
      </c>
      <c r="C228" s="14">
        <v>5.5</v>
      </c>
      <c r="D228" s="4" t="s">
        <v>124</v>
      </c>
      <c r="E228" s="5" t="s">
        <v>53</v>
      </c>
      <c r="F228" s="6" t="s">
        <v>682</v>
      </c>
    </row>
    <row r="229" spans="2:6" ht="15.45" customHeight="1" x14ac:dyDescent="0.3">
      <c r="B229" s="2" t="s">
        <v>683</v>
      </c>
      <c r="C229" s="14">
        <v>5.5</v>
      </c>
      <c r="D229" s="4" t="s">
        <v>124</v>
      </c>
      <c r="E229" s="5" t="s">
        <v>53</v>
      </c>
      <c r="F229" s="6" t="s">
        <v>682</v>
      </c>
    </row>
    <row r="230" spans="2:6" ht="27.75" customHeight="1" x14ac:dyDescent="0.3">
      <c r="B230" s="2" t="s">
        <v>684</v>
      </c>
      <c r="C230" s="8">
        <v>1</v>
      </c>
      <c r="D230" s="4" t="s">
        <v>507</v>
      </c>
      <c r="E230" s="5" t="s">
        <v>685</v>
      </c>
      <c r="F230" s="6" t="s">
        <v>686</v>
      </c>
    </row>
    <row r="231" spans="2:6" ht="15.45" customHeight="1" x14ac:dyDescent="0.3">
      <c r="B231" s="2" t="s">
        <v>687</v>
      </c>
      <c r="C231" s="16">
        <v>5</v>
      </c>
      <c r="D231" s="4" t="s">
        <v>137</v>
      </c>
      <c r="E231" s="5" t="s">
        <v>688</v>
      </c>
      <c r="F231" s="6" t="s">
        <v>247</v>
      </c>
    </row>
    <row r="232" spans="2:6" ht="15.45" customHeight="1" x14ac:dyDescent="0.3">
      <c r="B232" s="2" t="s">
        <v>689</v>
      </c>
      <c r="C232" s="8">
        <v>6</v>
      </c>
      <c r="D232" s="4" t="s">
        <v>133</v>
      </c>
      <c r="E232" s="5" t="s">
        <v>307</v>
      </c>
      <c r="F232" s="6" t="s">
        <v>308</v>
      </c>
    </row>
    <row r="233" spans="2:6" ht="15.45" customHeight="1" x14ac:dyDescent="0.3">
      <c r="B233" s="2" t="s">
        <v>690</v>
      </c>
      <c r="C233" s="8">
        <v>3</v>
      </c>
      <c r="D233" s="4" t="s">
        <v>133</v>
      </c>
      <c r="E233" s="5" t="s">
        <v>307</v>
      </c>
      <c r="F233" s="6" t="s">
        <v>308</v>
      </c>
    </row>
    <row r="234" spans="2:6" ht="15.45" customHeight="1" x14ac:dyDescent="0.3">
      <c r="B234" s="2" t="s">
        <v>691</v>
      </c>
      <c r="C234" s="8">
        <v>2</v>
      </c>
      <c r="D234" s="4" t="s">
        <v>507</v>
      </c>
      <c r="E234" s="5" t="s">
        <v>53</v>
      </c>
      <c r="F234" s="6" t="s">
        <v>308</v>
      </c>
    </row>
    <row r="235" spans="2:6" ht="27.75" customHeight="1" x14ac:dyDescent="0.3">
      <c r="B235" s="2" t="s">
        <v>692</v>
      </c>
      <c r="C235" s="14">
        <v>0.1</v>
      </c>
      <c r="D235" s="4" t="s">
        <v>12</v>
      </c>
      <c r="E235" s="5" t="s">
        <v>693</v>
      </c>
      <c r="F235" s="6" t="s">
        <v>694</v>
      </c>
    </row>
    <row r="236" spans="2:6" ht="40.200000000000003" customHeight="1" x14ac:dyDescent="0.3">
      <c r="B236" s="2" t="s">
        <v>695</v>
      </c>
      <c r="C236" s="3" t="s">
        <v>171</v>
      </c>
      <c r="D236" s="4" t="s">
        <v>12</v>
      </c>
      <c r="E236" s="5" t="s">
        <v>696</v>
      </c>
      <c r="F236" s="6" t="s">
        <v>697</v>
      </c>
    </row>
    <row r="237" spans="2:6" ht="27.75" customHeight="1" x14ac:dyDescent="0.3">
      <c r="B237" s="2" t="s">
        <v>698</v>
      </c>
      <c r="C237" s="14">
        <v>0</v>
      </c>
      <c r="D237" s="4" t="s">
        <v>148</v>
      </c>
      <c r="E237" s="5" t="s">
        <v>699</v>
      </c>
      <c r="F237" s="6" t="s">
        <v>700</v>
      </c>
    </row>
    <row r="238" spans="2:6" ht="15.45" customHeight="1" x14ac:dyDescent="0.3">
      <c r="B238" s="2" t="s">
        <v>701</v>
      </c>
      <c r="C238" s="9">
        <f>INDEX(TABLAS!$C$6:$C$13,MATCH($C$232,TABLAS!$B$6:$B$13,0))</f>
        <v>1.91</v>
      </c>
      <c r="D238" s="4" t="s">
        <v>137</v>
      </c>
      <c r="E238" s="5" t="s">
        <v>276</v>
      </c>
      <c r="F238" s="6" t="s">
        <v>139</v>
      </c>
    </row>
    <row r="239" spans="2:6" ht="15.45" customHeight="1" x14ac:dyDescent="0.3">
      <c r="B239" s="2" t="s">
        <v>702</v>
      </c>
      <c r="C239" s="9">
        <f>INDEX(TABLAS!$D$6:$D$13,MATCH($C$232,TABLAS!$B$6:$B$13,0))</f>
        <v>2.85</v>
      </c>
      <c r="D239" s="4" t="s">
        <v>141</v>
      </c>
      <c r="E239" s="5" t="s">
        <v>276</v>
      </c>
      <c r="F239" s="6" t="s">
        <v>139</v>
      </c>
    </row>
    <row r="240" spans="2:6" ht="15.45" customHeight="1" x14ac:dyDescent="0.3">
      <c r="B240" s="2" t="s">
        <v>703</v>
      </c>
      <c r="C240" s="9">
        <f>INDEX(TABLAS!$C$6:$C$13,MATCH($C$233,TABLAS!$B$6:$B$13,0))</f>
        <v>0.95</v>
      </c>
      <c r="D240" s="4" t="s">
        <v>137</v>
      </c>
      <c r="E240" s="5" t="s">
        <v>276</v>
      </c>
      <c r="F240" s="6" t="s">
        <v>139</v>
      </c>
    </row>
    <row r="241" spans="2:6" ht="15.45" customHeight="1" x14ac:dyDescent="0.3">
      <c r="B241" s="2" t="s">
        <v>704</v>
      </c>
      <c r="C241" s="9">
        <f>INDEX(TABLAS!$D$6:$D$13,MATCH($C$233,TABLAS!$B$6:$B$13,0))</f>
        <v>0.71</v>
      </c>
      <c r="D241" s="4" t="s">
        <v>141</v>
      </c>
      <c r="E241" s="5" t="s">
        <v>276</v>
      </c>
      <c r="F241" s="6" t="s">
        <v>139</v>
      </c>
    </row>
    <row r="242" spans="2:6" ht="15.45" customHeight="1" x14ac:dyDescent="0.3">
      <c r="B242" s="2" t="s">
        <v>705</v>
      </c>
      <c r="C242" s="9">
        <f>$C$227*100-$C$231-$C$240-$C$238/2</f>
        <v>53.095</v>
      </c>
      <c r="D242" s="4" t="s">
        <v>137</v>
      </c>
      <c r="E242" s="5" t="s">
        <v>706</v>
      </c>
      <c r="F242" s="6" t="s">
        <v>259</v>
      </c>
    </row>
    <row r="243" spans="2:6" ht="15.45" customHeight="1" x14ac:dyDescent="0.3">
      <c r="B243" s="2" t="s">
        <v>707</v>
      </c>
      <c r="C243" s="10">
        <f>$C$226*$C$227*DATOS!$C$24+$C$237</f>
        <v>0.432</v>
      </c>
      <c r="D243" s="4" t="s">
        <v>148</v>
      </c>
      <c r="E243" s="5" t="s">
        <v>276</v>
      </c>
      <c r="F243" s="6" t="s">
        <v>259</v>
      </c>
    </row>
    <row r="244" spans="2:6" ht="27.75" customHeight="1" x14ac:dyDescent="0.3">
      <c r="B244" s="2" t="s">
        <v>708</v>
      </c>
      <c r="C244" s="9">
        <f>MAX(MAX($I$82:$M$82),MAX($I$85:$M$85))</f>
        <v>12.0928</v>
      </c>
      <c r="D244" s="4" t="s">
        <v>104</v>
      </c>
      <c r="E244" s="5" t="s">
        <v>709</v>
      </c>
      <c r="F244" s="6" t="s">
        <v>426</v>
      </c>
    </row>
    <row r="245" spans="2:6" ht="27.75" customHeight="1" x14ac:dyDescent="0.3">
      <c r="B245" s="2" t="s">
        <v>710</v>
      </c>
      <c r="C245" s="9">
        <f>MAX(MAX($I$83:$M$83),MAX($I$86:$M$86))</f>
        <v>9.4792</v>
      </c>
      <c r="D245" s="4" t="s">
        <v>104</v>
      </c>
      <c r="E245" s="5" t="s">
        <v>711</v>
      </c>
      <c r="F245" s="6" t="s">
        <v>426</v>
      </c>
    </row>
    <row r="246" spans="2:6" ht="15.45" customHeight="1" x14ac:dyDescent="0.3">
      <c r="B246" s="2" t="s">
        <v>712</v>
      </c>
      <c r="C246" s="9">
        <f>MAX(MAX($I$84:$M$84),MAX($I$87:$M$87))</f>
        <v>5.34778181818182</v>
      </c>
      <c r="D246" s="4" t="s">
        <v>96</v>
      </c>
      <c r="E246" s="5" t="s">
        <v>713</v>
      </c>
      <c r="F246" s="6" t="s">
        <v>426</v>
      </c>
    </row>
    <row r="247" spans="2:6" ht="15.45" customHeight="1" x14ac:dyDescent="0.3">
      <c r="B247" s="2" t="s">
        <v>714</v>
      </c>
      <c r="C247" s="9">
        <f>MAX($I$88:$M$88)</f>
        <v>5.6028</v>
      </c>
      <c r="D247" s="4" t="s">
        <v>96</v>
      </c>
      <c r="E247" s="5" t="s">
        <v>715</v>
      </c>
      <c r="F247" s="6" t="s">
        <v>716</v>
      </c>
    </row>
    <row r="248" spans="2:6" ht="27.75" customHeight="1" x14ac:dyDescent="0.3">
      <c r="B248" s="2" t="s">
        <v>717</v>
      </c>
      <c r="C248" s="9">
        <f>$C$247*1000/(DATOS!$C$86*DATOS!$C$18)</f>
        <v>1.48222222222222</v>
      </c>
      <c r="D248" s="4" t="s">
        <v>141</v>
      </c>
      <c r="E248" s="5" t="s">
        <v>718</v>
      </c>
      <c r="F248" s="6" t="s">
        <v>719</v>
      </c>
    </row>
    <row r="249" spans="2:6" ht="15.45" customHeight="1" x14ac:dyDescent="0.3">
      <c r="B249" s="2" t="s">
        <v>720</v>
      </c>
      <c r="C249" s="9">
        <f>IF($C$244&lt;=0,0,IF((1-2*$C$244*100000/(DATOS!$C$86*0.85*DATOS!$C$15*($C$226*100)*$C$242^2))&lt;0,9999,0.85*DATOS!$C$15*($C$226*100)/DATOS!$C$18*$C$242*(1-SQRT((1-2*$C$244*100000/(DATOS!$C$86*0.85*DATOS!$C$15*($C$226*100)*$C$242^2))))))</f>
        <v>6.26917952059873</v>
      </c>
      <c r="D249" s="4" t="s">
        <v>141</v>
      </c>
      <c r="E249" s="5" t="s">
        <v>721</v>
      </c>
      <c r="F249" s="6" t="s">
        <v>535</v>
      </c>
    </row>
    <row r="250" spans="2:6" ht="15.45" customHeight="1" x14ac:dyDescent="0.3">
      <c r="B250" s="2" t="s">
        <v>722</v>
      </c>
      <c r="C250" s="9">
        <f>IF($C$245&lt;=0,0,IF((1-2*$C$245*100000/(DATOS!$C$86*0.85*DATOS!$C$15*($C$226*100)*$C$242^2))&lt;0,9999,0.85*DATOS!$C$15*($C$226*100)/DATOS!$C$18*$C$242*(1-SQRT((1-2*$C$245*100000/(DATOS!$C$86*0.85*DATOS!$C$15*($C$226*100)*$C$242^2))))))</f>
        <v>4.87024982045344</v>
      </c>
      <c r="D250" s="4" t="s">
        <v>141</v>
      </c>
      <c r="E250" s="5" t="s">
        <v>276</v>
      </c>
      <c r="F250" s="6" t="s">
        <v>535</v>
      </c>
    </row>
    <row r="251" spans="2:6" ht="15.45" customHeight="1" x14ac:dyDescent="0.3">
      <c r="B251" s="2" t="s">
        <v>723</v>
      </c>
      <c r="C251" s="9">
        <f>MAX(0.25*DATOS!$C$17/DATOS!$C$19,1.4/DATOS!$C$19)*$C$226*100*$C$242</f>
        <v>5.41420334</v>
      </c>
      <c r="D251" s="4" t="s">
        <v>141</v>
      </c>
      <c r="E251" s="5" t="s">
        <v>724</v>
      </c>
      <c r="F251" s="6" t="s">
        <v>725</v>
      </c>
    </row>
    <row r="252" spans="2:6" ht="15.45" customHeight="1" x14ac:dyDescent="0.3">
      <c r="B252" s="2" t="s">
        <v>726</v>
      </c>
      <c r="C252" s="9">
        <f>MAX($C$249,$C$251)+$C$248/2</f>
        <v>7.01029063170984</v>
      </c>
      <c r="D252" s="4" t="s">
        <v>141</v>
      </c>
      <c r="E252" s="5" t="s">
        <v>276</v>
      </c>
      <c r="F252" s="6" t="s">
        <v>725</v>
      </c>
    </row>
    <row r="253" spans="2:6" ht="15.45" customHeight="1" x14ac:dyDescent="0.3">
      <c r="B253" s="2" t="s">
        <v>727</v>
      </c>
      <c r="C253" s="27">
        <f>MAX(2,CEILING($C$252/$C$239,1))</f>
        <v>3</v>
      </c>
      <c r="D253" s="4" t="s">
        <v>507</v>
      </c>
      <c r="E253" s="5" t="s">
        <v>728</v>
      </c>
      <c r="F253" s="6" t="s">
        <v>729</v>
      </c>
    </row>
    <row r="254" spans="2:6" ht="27.75" customHeight="1" x14ac:dyDescent="0.3">
      <c r="B254" s="2" t="s">
        <v>730</v>
      </c>
      <c r="C254" s="9">
        <f>MAX($C$250,$C$251,IF($C$236="SÍ",0.5*$C$253*$C$239,0))+$C$248/2</f>
        <v>6.15531445111111</v>
      </c>
      <c r="D254" s="4" t="s">
        <v>141</v>
      </c>
      <c r="E254" s="5" t="s">
        <v>731</v>
      </c>
      <c r="F254" s="6" t="s">
        <v>732</v>
      </c>
    </row>
    <row r="255" spans="2:6" ht="15.45" customHeight="1" x14ac:dyDescent="0.3">
      <c r="B255" s="2" t="s">
        <v>733</v>
      </c>
      <c r="C255" s="27">
        <f>MAX(2,CEILING($C$254/$C$239,1))</f>
        <v>3</v>
      </c>
      <c r="D255" s="4" t="s">
        <v>507</v>
      </c>
      <c r="E255" s="5" t="s">
        <v>276</v>
      </c>
      <c r="F255" s="6" t="s">
        <v>729</v>
      </c>
    </row>
    <row r="256" spans="2:6" ht="27.75" customHeight="1" x14ac:dyDescent="0.3">
      <c r="B256" s="2" t="s">
        <v>734</v>
      </c>
      <c r="C256" s="9">
        <f>($C$226*100-2*($C$231+$C$240)-MAX($C$253,$C$255)*$C$238)/MAX(1,MAX($C$253,$C$255)-1)</f>
        <v>6.185</v>
      </c>
      <c r="D256" s="4" t="s">
        <v>137</v>
      </c>
      <c r="E256" s="5" t="s">
        <v>276</v>
      </c>
      <c r="F256" s="6" t="s">
        <v>259</v>
      </c>
    </row>
    <row r="257" spans="2:6" ht="15.45" customHeight="1" x14ac:dyDescent="0.3">
      <c r="B257" s="25" t="s">
        <v>735</v>
      </c>
      <c r="C257" s="26" t="str">
        <f>IF($C$256&gt;=MAX(2.5,$C$238,4/3*DATOS!$C$25/10),"CUMPLE","NO CUMPLE — ancho mayor o varilla más gruesa")</f>
        <v>CUMPLE</v>
      </c>
      <c r="D257" s="4" t="s">
        <v>12</v>
      </c>
      <c r="E257" s="5" t="s">
        <v>736</v>
      </c>
      <c r="F257" s="6" t="s">
        <v>58</v>
      </c>
    </row>
    <row r="258" spans="2:6" ht="15.45" customHeight="1" x14ac:dyDescent="0.3">
      <c r="B258" s="2" t="s">
        <v>737</v>
      </c>
      <c r="C258" s="13">
        <f>$C$253*$C$239/($C$226*100*$C$242)</f>
        <v>0.00536773707505415</v>
      </c>
      <c r="D258" s="4" t="s">
        <v>12</v>
      </c>
      <c r="E258" s="5" t="s">
        <v>276</v>
      </c>
      <c r="F258" s="6" t="s">
        <v>729</v>
      </c>
    </row>
    <row r="259" spans="2:6" ht="15.45" customHeight="1" x14ac:dyDescent="0.3">
      <c r="B259" s="25" t="s">
        <v>738</v>
      </c>
      <c r="C259" s="26" t="str">
        <f>IF(OR($C$236="NO",$C$258&lt;=0.025),"CUMPLE","NO CUMPLE — aumentar la sección")</f>
        <v>CUMPLE</v>
      </c>
      <c r="D259" s="4" t="s">
        <v>12</v>
      </c>
      <c r="E259" s="5" t="s">
        <v>739</v>
      </c>
      <c r="F259" s="6" t="s">
        <v>729</v>
      </c>
    </row>
    <row r="260" spans="2:6" ht="27.75" customHeight="1" x14ac:dyDescent="0.3">
      <c r="B260" s="2" t="s">
        <v>740</v>
      </c>
      <c r="C260" s="9">
        <f>MAX(0.01,$C$253*$C$239-$C$248/2)*DATOS!$C$18/(0.85*DATOS!$C$15*$C$226*100)</f>
        <v>5.14467973856209</v>
      </c>
      <c r="D260" s="4" t="s">
        <v>137</v>
      </c>
      <c r="E260" s="5" t="s">
        <v>741</v>
      </c>
      <c r="F260" s="6" t="s">
        <v>742</v>
      </c>
    </row>
    <row r="261" spans="2:6" ht="15.45" customHeight="1" x14ac:dyDescent="0.3">
      <c r="B261" s="2" t="s">
        <v>743</v>
      </c>
      <c r="C261" s="15">
        <f>0.003*($C$242-$C$260/DATOS!$C$22)/($C$260/DATOS!$C$22)</f>
        <v>0.0233169442764656</v>
      </c>
      <c r="D261" s="4" t="s">
        <v>12</v>
      </c>
      <c r="E261" s="5" t="s">
        <v>276</v>
      </c>
      <c r="F261" s="6" t="s">
        <v>530</v>
      </c>
    </row>
    <row r="262" spans="2:6" ht="15.45" customHeight="1" x14ac:dyDescent="0.3">
      <c r="B262" s="2" t="s">
        <v>744</v>
      </c>
      <c r="C262" s="9">
        <f>IF($C$261&gt;=DATOS!$C$21+0.003,0.9,IF($C$261&lt;=DATOS!$C$21,0.65,0.65+0.25*($C$261-DATOS!$C$21)/0.003))*MAX(0.01,$C$253*$C$239-$C$248/2)*DATOS!$C$18*($C$242-$C$260/2)/100000</f>
        <v>14.9130767267451</v>
      </c>
      <c r="D262" s="4" t="s">
        <v>104</v>
      </c>
      <c r="E262" s="5" t="s">
        <v>276</v>
      </c>
      <c r="F262" s="6" t="s">
        <v>745</v>
      </c>
    </row>
    <row r="263" spans="2:6" ht="15.45" customHeight="1" x14ac:dyDescent="0.3">
      <c r="B263" s="25" t="s">
        <v>746</v>
      </c>
      <c r="C263" s="26" t="str">
        <f>IF($C$262&gt;=$C$244,"CUMPLE","NO CUMPLE — más varillas o sección mayor")</f>
        <v>CUMPLE</v>
      </c>
      <c r="D263" s="4" t="s">
        <v>12</v>
      </c>
      <c r="E263" s="5" t="s">
        <v>747</v>
      </c>
      <c r="F263" s="6" t="s">
        <v>748</v>
      </c>
    </row>
    <row r="264" spans="2:6" ht="27.75" customHeight="1" x14ac:dyDescent="0.3">
      <c r="B264" s="2" t="s">
        <v>749</v>
      </c>
      <c r="C264" s="9">
        <f>MAX(0.01,$C$255*$C$239-$C$248/2)*DATOS!$C$18/(0.85*DATOS!$C$15*$C$226*100)</f>
        <v>5.14467973856209</v>
      </c>
      <c r="D264" s="4" t="s">
        <v>137</v>
      </c>
      <c r="E264" s="5" t="s">
        <v>741</v>
      </c>
      <c r="F264" s="6" t="s">
        <v>742</v>
      </c>
    </row>
    <row r="265" spans="2:6" ht="15.45" customHeight="1" x14ac:dyDescent="0.3">
      <c r="B265" s="2" t="s">
        <v>750</v>
      </c>
      <c r="C265" s="15">
        <f>0.003*($C$242-$C$264/DATOS!$C$22)/($C$264/DATOS!$C$22)</f>
        <v>0.0233169442764656</v>
      </c>
      <c r="D265" s="4" t="s">
        <v>12</v>
      </c>
      <c r="E265" s="5" t="s">
        <v>276</v>
      </c>
      <c r="F265" s="6" t="s">
        <v>530</v>
      </c>
    </row>
    <row r="266" spans="2:6" ht="15.45" customHeight="1" x14ac:dyDescent="0.3">
      <c r="B266" s="2" t="s">
        <v>751</v>
      </c>
      <c r="C266" s="9">
        <f>IF($C$265&gt;=DATOS!$C$21+0.003,0.9,IF($C$265&lt;=DATOS!$C$21,0.65,0.65+0.25*($C$265-DATOS!$C$21)/0.003))*MAX(0.01,$C$255*$C$239-$C$248/2)*DATOS!$C$18*($C$242-$C$264/2)/100000</f>
        <v>14.9130767267451</v>
      </c>
      <c r="D266" s="4" t="s">
        <v>104</v>
      </c>
      <c r="E266" s="5" t="s">
        <v>276</v>
      </c>
      <c r="F266" s="6" t="s">
        <v>745</v>
      </c>
    </row>
    <row r="267" spans="2:6" ht="15.45" customHeight="1" x14ac:dyDescent="0.3">
      <c r="B267" s="25" t="s">
        <v>752</v>
      </c>
      <c r="C267" s="26" t="str">
        <f>IF($C$266&gt;=$C$245,"CUMPLE","NO CUMPLE — más varillas o sección mayor")</f>
        <v>CUMPLE</v>
      </c>
      <c r="D267" s="4" t="s">
        <v>12</v>
      </c>
      <c r="E267" s="5" t="s">
        <v>747</v>
      </c>
      <c r="F267" s="6" t="s">
        <v>748</v>
      </c>
    </row>
    <row r="268" spans="2:6" ht="15.45" customHeight="1" x14ac:dyDescent="0.3">
      <c r="B268" s="2" t="s">
        <v>753</v>
      </c>
      <c r="C268" s="9">
        <f>$C$253*$C$239*1.25*DATOS!$C$18*($C$242-$C$253*$C$239*1.25*DATOS!$C$18/(0.85*DATOS!$C$15*$C$226*100)/2)/100000</f>
        <v>22.2527140808824</v>
      </c>
      <c r="D268" s="4" t="s">
        <v>104</v>
      </c>
      <c r="E268" s="5" t="s">
        <v>276</v>
      </c>
      <c r="F268" s="6" t="s">
        <v>754</v>
      </c>
    </row>
    <row r="269" spans="2:6" ht="15.45" customHeight="1" x14ac:dyDescent="0.3">
      <c r="B269" s="2" t="s">
        <v>755</v>
      </c>
      <c r="C269" s="9">
        <f>$C$255*$C$239*1.25*DATOS!$C$18*($C$242-$C$255*$C$239*1.25*DATOS!$C$18/(0.85*DATOS!$C$15*$C$226*100)/2)/100000</f>
        <v>22.2527140808824</v>
      </c>
      <c r="D269" s="4" t="s">
        <v>104</v>
      </c>
      <c r="E269" s="5" t="s">
        <v>276</v>
      </c>
      <c r="F269" s="6" t="s">
        <v>754</v>
      </c>
    </row>
    <row r="270" spans="2:6" ht="15.45" customHeight="1" x14ac:dyDescent="0.3">
      <c r="B270" s="2" t="s">
        <v>756</v>
      </c>
      <c r="C270" s="9">
        <f>($C$268+$C$269)/MIN($C$228,$C$229)</f>
        <v>8.09189602941176</v>
      </c>
      <c r="D270" s="4" t="s">
        <v>96</v>
      </c>
      <c r="E270" s="5" t="s">
        <v>757</v>
      </c>
      <c r="F270" s="6" t="s">
        <v>754</v>
      </c>
    </row>
    <row r="271" spans="2:6" ht="15.45" customHeight="1" x14ac:dyDescent="0.3">
      <c r="B271" s="2" t="s">
        <v>758</v>
      </c>
      <c r="C271" s="9">
        <f>$C$270+1.2*$C$243*MAX($C$228,$C$229)/2</f>
        <v>9.51749602941176</v>
      </c>
      <c r="D271" s="4" t="s">
        <v>96</v>
      </c>
      <c r="E271" s="5" t="s">
        <v>276</v>
      </c>
      <c r="F271" s="6" t="s">
        <v>754</v>
      </c>
    </row>
    <row r="272" spans="2:6" ht="27.75" customHeight="1" x14ac:dyDescent="0.3">
      <c r="B272" s="2" t="s">
        <v>759</v>
      </c>
      <c r="C272" s="9">
        <f>IF($C$236="SÍ",MAX($C$271,$C$246),$C$246)</f>
        <v>9.51749602941176</v>
      </c>
      <c r="D272" s="4" t="s">
        <v>96</v>
      </c>
      <c r="E272" s="5" t="s">
        <v>760</v>
      </c>
      <c r="F272" s="6" t="s">
        <v>754</v>
      </c>
    </row>
    <row r="273" spans="2:6" ht="27.75" customHeight="1" x14ac:dyDescent="0.3">
      <c r="B273" s="2" t="s">
        <v>761</v>
      </c>
      <c r="C273" s="9">
        <f>MAX(0,0.17*DATOS!$C$23*DATOS!$C$17-$C$247*9806.65/(6*$C$226*$C$227*1000000))*DATOS!$C$89*$C$226*100*$C$242/1000</f>
        <v>12.8457317776623</v>
      </c>
      <c r="D273" s="4" t="s">
        <v>96</v>
      </c>
      <c r="E273" s="5" t="s">
        <v>762</v>
      </c>
      <c r="F273" s="6" t="s">
        <v>763</v>
      </c>
    </row>
    <row r="274" spans="2:6" ht="27.75" customHeight="1" x14ac:dyDescent="0.3">
      <c r="B274" s="2" t="s">
        <v>764</v>
      </c>
      <c r="C274" s="9">
        <f>IF(AND($C$236="SÍ",$C$270&gt;=0.5*$C$272),0,$C$273)</f>
        <v>0</v>
      </c>
      <c r="D274" s="4" t="s">
        <v>96</v>
      </c>
      <c r="E274" s="5" t="s">
        <v>765</v>
      </c>
      <c r="F274" s="6" t="s">
        <v>766</v>
      </c>
    </row>
    <row r="275" spans="2:6" ht="15.45" customHeight="1" x14ac:dyDescent="0.3">
      <c r="B275" s="2" t="s">
        <v>767</v>
      </c>
      <c r="C275" s="9">
        <f>MAX(0,$C$272/DATOS!$C$87-$C$274)</f>
        <v>12.6899947058824</v>
      </c>
      <c r="D275" s="4" t="s">
        <v>96</v>
      </c>
      <c r="E275" s="5" t="s">
        <v>768</v>
      </c>
      <c r="F275" s="6" t="s">
        <v>561</v>
      </c>
    </row>
    <row r="276" spans="2:6" ht="15.45" customHeight="1" x14ac:dyDescent="0.3">
      <c r="B276" s="25" t="s">
        <v>769</v>
      </c>
      <c r="C276" s="26" t="str">
        <f>IF($C$275&lt;=0.66*DATOS!$C$17*DATOS!$C$89*$C$226*100*$C$242/1000,"CUMPLE","NO CUMPLE — aumentar la sección")</f>
        <v>CUMPLE</v>
      </c>
      <c r="D276" s="4" t="s">
        <v>12</v>
      </c>
      <c r="E276" s="5" t="s">
        <v>770</v>
      </c>
      <c r="F276" s="6" t="s">
        <v>771</v>
      </c>
    </row>
    <row r="277" spans="2:6" ht="15.45" customHeight="1" x14ac:dyDescent="0.3">
      <c r="B277" s="2" t="s">
        <v>772</v>
      </c>
      <c r="C277" s="11">
        <f>IF($C$275&lt;=0,999,$C$234*$C$241*DATOS!$C$18*$C$242/($C$275*1000))</f>
        <v>24.9534052093194</v>
      </c>
      <c r="D277" s="4" t="s">
        <v>137</v>
      </c>
      <c r="E277" s="5" t="s">
        <v>773</v>
      </c>
      <c r="F277" s="6" t="s">
        <v>774</v>
      </c>
    </row>
    <row r="278" spans="2:6" ht="15.45" customHeight="1" x14ac:dyDescent="0.3">
      <c r="B278" s="2" t="s">
        <v>775</v>
      </c>
      <c r="C278" s="11">
        <f>$C$234*$C$241*DATOS!$C$19/(MAX(0.062*DATOS!$C$17,0.35)*$C$226*100)</f>
        <v>55.7015651355274</v>
      </c>
      <c r="D278" s="4" t="s">
        <v>137</v>
      </c>
      <c r="E278" s="5" t="s">
        <v>776</v>
      </c>
      <c r="F278" s="6" t="s">
        <v>777</v>
      </c>
    </row>
    <row r="279" spans="2:6" ht="15.45" customHeight="1" x14ac:dyDescent="0.3">
      <c r="B279" s="2" t="s">
        <v>778</v>
      </c>
      <c r="C279" s="11">
        <f>IF($C$275*1000&gt;0.33*DATOS!$C$17*DATOS!$C$89*$C$226*100*$C$242,MIN($C$242/4,30),MIN($C$242/2,60))</f>
        <v>26.5475</v>
      </c>
      <c r="D279" s="4" t="s">
        <v>137</v>
      </c>
      <c r="E279" s="5" t="s">
        <v>779</v>
      </c>
      <c r="F279" s="6" t="s">
        <v>780</v>
      </c>
    </row>
    <row r="280" spans="2:6" ht="15.45" customHeight="1" x14ac:dyDescent="0.3">
      <c r="B280" s="2" t="s">
        <v>781</v>
      </c>
      <c r="C280" s="11">
        <f>IF($C$236="SÍ",MIN(0.5*MIN($C$226,$C$227)*100,30),999)</f>
        <v>15</v>
      </c>
      <c r="D280" s="4" t="s">
        <v>137</v>
      </c>
      <c r="E280" s="5" t="s">
        <v>782</v>
      </c>
      <c r="F280" s="6" t="s">
        <v>783</v>
      </c>
    </row>
    <row r="281" spans="2:6" ht="15.45" customHeight="1" x14ac:dyDescent="0.3">
      <c r="B281" s="25" t="s">
        <v>784</v>
      </c>
      <c r="C281" s="28">
        <f>MAX(DATOS!$C$91,FLOOR(MIN($C$277,$C$278,$C$279,$C$280),DATOS!$C$91))</f>
        <v>15</v>
      </c>
      <c r="D281" s="4" t="s">
        <v>137</v>
      </c>
      <c r="E281" s="5" t="s">
        <v>276</v>
      </c>
      <c r="F281" s="6" t="s">
        <v>176</v>
      </c>
    </row>
    <row r="282" spans="2:6" ht="27.75" customHeight="1" x14ac:dyDescent="0.3">
      <c r="B282" s="25" t="s">
        <v>785</v>
      </c>
      <c r="C282" s="28">
        <f>IF($C$236="SÍ",MAX(DATOS!$C$91,FLOOR(MIN($C$281,$C$242/4,6*$C$238,15),DATOS!$C$91)),$C$281)</f>
        <v>10</v>
      </c>
      <c r="D282" s="4" t="s">
        <v>137</v>
      </c>
      <c r="E282" s="5" t="s">
        <v>786</v>
      </c>
      <c r="F282" s="6" t="s">
        <v>787</v>
      </c>
    </row>
    <row r="283" spans="2:6" ht="15.45" customHeight="1" x14ac:dyDescent="0.3">
      <c r="B283" s="2" t="s">
        <v>788</v>
      </c>
      <c r="C283" s="9">
        <f>2*$C$227</f>
        <v>1.2</v>
      </c>
      <c r="D283" s="4" t="s">
        <v>124</v>
      </c>
      <c r="E283" s="5" t="s">
        <v>789</v>
      </c>
      <c r="F283" s="6" t="s">
        <v>790</v>
      </c>
    </row>
    <row r="284" spans="2:6" ht="27.75" customHeight="1" x14ac:dyDescent="0.3">
      <c r="B284" s="25" t="s">
        <v>791</v>
      </c>
      <c r="C284" s="26" t="str">
        <f>IF($C$236="NO","CUMPLE — no aplica",IF(AND(MIN($C$226,$C$227)&gt;=MIN(MIN($C$228,$C$229)/20,0.45),$C$226*100&gt;=MIN(0.3*$C$227*100,25),MIN($C$228,$C$229)*100&gt;=4*$C$242),"CUMPLE","NO CUMPLE — revisar b, h o el claro"))</f>
        <v>CUMPLE</v>
      </c>
      <c r="D284" s="4" t="s">
        <v>12</v>
      </c>
      <c r="E284" s="5" t="s">
        <v>792</v>
      </c>
      <c r="F284" s="6" t="s">
        <v>793</v>
      </c>
    </row>
    <row r="285" spans="2:6" ht="27.75" customHeight="1" x14ac:dyDescent="0.3">
      <c r="B285" s="2" t="s">
        <v>794</v>
      </c>
      <c r="C285" s="11">
        <f>MAX(DATOS!$C$19/(1.1*DATOS!$C$23*DATOS!$C$17)*(IF($C$242&gt;30,1.3,1)*IF($C$232&lt;=6,0.8,1)*DATOS!$C$26)/MIN(2.5,MIN($C$231+$C$240+$C$238/2,($C$256+$C$238)/2)/$C$238)*$C$238,30)</f>
        <v>70.8858169023256</v>
      </c>
      <c r="D285" s="4" t="s">
        <v>137</v>
      </c>
      <c r="E285" s="5" t="s">
        <v>276</v>
      </c>
      <c r="F285" s="6" t="s">
        <v>596</v>
      </c>
    </row>
    <row r="286" spans="2:6" ht="27.75" customHeight="1" x14ac:dyDescent="0.3">
      <c r="B286" s="25" t="s">
        <v>795</v>
      </c>
      <c r="C286" s="26" t="str">
        <f>IF(DATOS!$C$64*100-5&gt;=$C$285,"CUMPLE — ancla recta dentro del dado","CUMPLE — pasar las varillas corridas a través del dado (liga continua)")</f>
        <v>CUMPLE — pasar las varillas corridas a través del dado (liga continua)</v>
      </c>
      <c r="D286" s="4" t="s">
        <v>12</v>
      </c>
      <c r="E286" s="5" t="s">
        <v>796</v>
      </c>
      <c r="F286" s="6" t="s">
        <v>797</v>
      </c>
    </row>
    <row r="287" spans="2:6" ht="15.45" customHeight="1" x14ac:dyDescent="0.3">
      <c r="B287" s="25" t="s">
        <v>798</v>
      </c>
      <c r="C287" s="26" t="str">
        <f>$C$253&amp;" #"&amp;$C$232&amp;" arriba + "&amp;$C$255&amp;" #"&amp;$C$232&amp;" abajo, corridas"</f>
        <v>3 #6 arriba + 3 #6 abajo, corridas</v>
      </c>
      <c r="D287" s="4" t="s">
        <v>12</v>
      </c>
      <c r="E287" s="5" t="s">
        <v>587</v>
      </c>
      <c r="F287" s="6" t="s">
        <v>541</v>
      </c>
    </row>
    <row r="288" spans="2:6" ht="15.45" customHeight="1" x14ac:dyDescent="0.3">
      <c r="B288" s="25" t="s">
        <v>799</v>
      </c>
      <c r="C288" s="26" t="str">
        <f>"E#"&amp;$C$233&amp;" ("&amp;$C$234&amp;" ramas) @ "&amp;TEXT($C$282,"0.0")&amp;" cm en "&amp;TEXT($C$283,"0.00")&amp;" m desde cada paño; resto @ "&amp;TEXT($C$281,"0.0")&amp;" cm"</f>
        <v>E#3 (2 ramas) @ 10.0 cm en 1.20 m desde cada paño; resto @ 15.0 cm</v>
      </c>
      <c r="D288" s="4" t="s">
        <v>12</v>
      </c>
      <c r="E288" s="5" t="s">
        <v>587</v>
      </c>
      <c r="F288" s="6" t="s">
        <v>541</v>
      </c>
    </row>
    <row r="290" spans="2:6" ht="18" customHeight="1" x14ac:dyDescent="0.3">
      <c r="B290" s="38" t="s">
        <v>800</v>
      </c>
      <c r="C290" s="37"/>
      <c r="D290" s="37"/>
      <c r="E290" s="37"/>
      <c r="F290" s="37"/>
    </row>
    <row r="291" spans="2:6" x14ac:dyDescent="0.3"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</row>
    <row r="292" spans="2:6" ht="15.45" customHeight="1" x14ac:dyDescent="0.3">
      <c r="B292" s="25" t="s">
        <v>649</v>
      </c>
      <c r="C292" s="26" t="str">
        <f>"Lx × Ly × h = "&amp;TEXT($C$8,"0.00")&amp;" × "&amp;TEXT($C$9,"0.00")&amp;" × "&amp;TEXT($C$10,"0.00")&amp;" m;  Df = "&amp;TEXT($C$11,"0.00")&amp;" m"</f>
        <v>Lx × Ly × h = 2.00 × 2.00 × 0.50 m;  Df = 1.50 m</v>
      </c>
      <c r="D292" s="4" t="s">
        <v>12</v>
      </c>
      <c r="E292" s="5" t="s">
        <v>587</v>
      </c>
      <c r="F292" s="6" t="s">
        <v>650</v>
      </c>
    </row>
    <row r="293" spans="2:6" ht="15.45" customHeight="1" x14ac:dyDescent="0.3">
      <c r="B293" s="25" t="s">
        <v>651</v>
      </c>
      <c r="C293" s="26" t="str">
        <f>"‖ X: "&amp;$C$133&amp;" · ‖ Y: "&amp;$C$157</f>
        <v>‖ X: #5 @ 20.0 cm  (10 pzas) · ‖ Y: #5 @ 20.0 cm  (10 pzas)</v>
      </c>
      <c r="D293" s="4" t="s">
        <v>12</v>
      </c>
      <c r="E293" s="5" t="s">
        <v>587</v>
      </c>
      <c r="F293" s="6" t="s">
        <v>652</v>
      </c>
    </row>
    <row r="294" spans="2:6" ht="15.45" customHeight="1" x14ac:dyDescent="0.3">
      <c r="B294" s="2" t="s">
        <v>653</v>
      </c>
      <c r="C294" s="7" t="str">
        <f>"‖ X: "&amp;$C$197&amp;" · ‖ Y: "&amp;$C$204</f>
        <v>‖ X: RECTA · ‖ Y: RECTA</v>
      </c>
      <c r="D294" s="4" t="s">
        <v>12</v>
      </c>
      <c r="E294" s="5" t="s">
        <v>587</v>
      </c>
      <c r="F294" s="6" t="s">
        <v>654</v>
      </c>
    </row>
    <row r="295" spans="2:6" ht="15.45" customHeight="1" x14ac:dyDescent="0.3">
      <c r="B295" s="2" t="s">
        <v>655</v>
      </c>
      <c r="C295" s="7" t="str">
        <f>$C$188</f>
        <v>No lleva</v>
      </c>
      <c r="D295" s="4" t="s">
        <v>12</v>
      </c>
      <c r="E295" s="5" t="s">
        <v>587</v>
      </c>
      <c r="F295" s="6" t="s">
        <v>656</v>
      </c>
    </row>
    <row r="296" spans="2:6" ht="15.45" customHeight="1" x14ac:dyDescent="0.3">
      <c r="B296" s="2" t="s">
        <v>657</v>
      </c>
      <c r="C296" s="7" t="str">
        <f>$C$222</f>
        <v>mín. 5 dovelas #6 con gancho 90° apoyado en la parrilla inferior</v>
      </c>
      <c r="D296" s="4" t="s">
        <v>12</v>
      </c>
      <c r="E296" s="5" t="s">
        <v>587</v>
      </c>
      <c r="F296" s="6" t="s">
        <v>658</v>
      </c>
    </row>
    <row r="297" spans="2:6" ht="15.45" customHeight="1" x14ac:dyDescent="0.3">
      <c r="B297" s="2" t="s">
        <v>659</v>
      </c>
      <c r="C297" s="27">
        <f ca="1">COUNTIF($C$1:$C$300,"NO CUMPLE*")</f>
        <v>0</v>
      </c>
      <c r="D297" s="4" t="s">
        <v>12</v>
      </c>
      <c r="E297" s="5" t="s">
        <v>660</v>
      </c>
      <c r="F297" s="6" t="s">
        <v>488</v>
      </c>
    </row>
  </sheetData>
  <mergeCells count="23">
    <mergeCell ref="B1:F1"/>
    <mergeCell ref="H78:N78"/>
    <mergeCell ref="B290:F290"/>
    <mergeCell ref="H1:N1"/>
    <mergeCell ref="B57:F57"/>
    <mergeCell ref="B69:F69"/>
    <mergeCell ref="H4:N4"/>
    <mergeCell ref="B30:F30"/>
    <mergeCell ref="B6:F6"/>
    <mergeCell ref="H2:N2"/>
    <mergeCell ref="B50:F50"/>
    <mergeCell ref="B135:F135"/>
    <mergeCell ref="H33:N33"/>
    <mergeCell ref="B176:F176"/>
    <mergeCell ref="B2:F2"/>
    <mergeCell ref="B86:F86"/>
    <mergeCell ref="B111:F111"/>
    <mergeCell ref="B4:F4"/>
    <mergeCell ref="B224:F224"/>
    <mergeCell ref="B3:F3"/>
    <mergeCell ref="B190:F190"/>
    <mergeCell ref="B208:F208"/>
    <mergeCell ref="B159:F159"/>
  </mergeCells>
  <conditionalFormatting sqref="C1:N300">
    <cfRule type="expression" dxfId="9" priority="1" stopIfTrue="1">
      <formula>OR(ISNUMBER(FIND("NO CUMPLE",C1)),ISNUMBER(FIND("REVISAR",C1)),ISNUMBER(FIND("NO ALCANZA",C1)),ISNUMBER(FIND("INESTABLE",C1)))</formula>
    </cfRule>
    <cfRule type="expression" dxfId="8" priority="2">
      <formula>ISNUMBER(FIND("CUMPLE",C1))</formula>
    </cfRule>
  </conditionalFormatting>
  <dataValidations count="6">
    <dataValidation type="list" errorTitle="Valor no válido" error="Escoge un valor de la lista" sqref="C232 C38 C32:C33" xr:uid="{00000000-0002-0000-0300-000000000000}">
      <formula1>"3,4,5,6,8,10,12"</formula1>
    </dataValidation>
    <dataValidation type="list" errorTitle="Valor no válido" error="Escoge un valor de la lista" sqref="C34" xr:uid="{00000000-0002-0000-0300-000002000000}">
      <formula1>"‖ X,‖ Y"</formula1>
    </dataValidation>
    <dataValidation type="list" errorTitle="Valor no válido" error="Escoge un valor de la lista" sqref="C37" xr:uid="{00000000-0002-0000-0300-000003000000}">
      <formula1>"NO,SÍ"</formula1>
    </dataValidation>
    <dataValidation type="list" errorTitle="Valor no válido" error="Escoge un valor de la lista" sqref="C230" xr:uid="{00000000-0002-0000-0300-000005000000}">
      <formula1>"1,2"</formula1>
    </dataValidation>
    <dataValidation type="list" errorTitle="Valor no válido" error="Escoge un valor de la lista" sqref="C233" xr:uid="{00000000-0002-0000-0300-000007000000}">
      <formula1>"2.5,3,4"</formula1>
    </dataValidation>
    <dataValidation type="list" errorTitle="Valor no válido" error="Escoge un valor de la lista" sqref="C236" xr:uid="{00000000-0002-0000-0300-000008000000}">
      <formula1>"SÍ,NO"</formula1>
    </dataValidation>
  </dataValidations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N132"/>
  <sheetViews>
    <sheetView showGridLines="0" topLeftCell="A55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801</v>
      </c>
      <c r="C1" s="37"/>
      <c r="D1" s="37"/>
      <c r="E1" s="37"/>
      <c r="F1" s="37"/>
      <c r="H1" s="44" t="s">
        <v>802</v>
      </c>
      <c r="I1" s="37"/>
      <c r="J1" s="37"/>
      <c r="K1" s="37"/>
      <c r="L1" s="37"/>
      <c r="M1" s="37"/>
      <c r="N1" s="37"/>
    </row>
    <row r="2" spans="2:14" ht="25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803</v>
      </c>
      <c r="I2" s="37"/>
      <c r="J2" s="37"/>
      <c r="K2" s="37"/>
      <c r="L2" s="37"/>
      <c r="M2" s="37"/>
      <c r="N2" s="37"/>
    </row>
    <row r="3" spans="2:14" ht="16.05" customHeight="1" x14ac:dyDescent="0.3">
      <c r="B3" s="40" t="s">
        <v>804</v>
      </c>
      <c r="C3" s="37"/>
      <c r="D3" s="37"/>
      <c r="E3" s="37"/>
      <c r="F3" s="37"/>
    </row>
    <row r="4" spans="2:14" ht="18" customHeight="1" x14ac:dyDescent="0.3">
      <c r="H4" s="44" t="s">
        <v>226</v>
      </c>
      <c r="I4" s="37"/>
      <c r="J4" s="37"/>
      <c r="K4" s="37"/>
      <c r="L4" s="37"/>
      <c r="M4" s="37"/>
      <c r="N4" s="37"/>
    </row>
    <row r="5" spans="2:14" ht="18" customHeight="1" x14ac:dyDescent="0.3">
      <c r="B5" s="38" t="s">
        <v>805</v>
      </c>
      <c r="C5" s="37"/>
      <c r="D5" s="37"/>
      <c r="E5" s="37"/>
      <c r="F5" s="37"/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22.8" x14ac:dyDescent="0.3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ht="27.75" customHeight="1" x14ac:dyDescent="0.3">
      <c r="B7" s="2" t="s">
        <v>806</v>
      </c>
      <c r="C7" s="14">
        <v>0.9</v>
      </c>
      <c r="D7" s="4" t="s">
        <v>124</v>
      </c>
      <c r="E7" s="5" t="s">
        <v>807</v>
      </c>
      <c r="F7" s="6" t="s">
        <v>231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15.45" customHeight="1" x14ac:dyDescent="0.3">
      <c r="B8" s="2" t="s">
        <v>808</v>
      </c>
      <c r="C8" s="14">
        <v>0.25</v>
      </c>
      <c r="D8" s="4" t="s">
        <v>124</v>
      </c>
      <c r="E8" s="5" t="s">
        <v>53</v>
      </c>
      <c r="F8" s="6" t="s">
        <v>809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</v>
      </c>
      <c r="L8" s="20">
        <f>COMBINACIONES!$G$9</f>
        <v>0.7</v>
      </c>
      <c r="M8" s="20">
        <f>COMBINACIONES!$G$10</f>
        <v>0.7</v>
      </c>
      <c r="N8" s="24"/>
    </row>
    <row r="9" spans="2:14" ht="15.45" customHeight="1" x14ac:dyDescent="0.3">
      <c r="B9" s="2" t="s">
        <v>237</v>
      </c>
      <c r="C9" s="14">
        <v>0.8</v>
      </c>
      <c r="D9" s="4" t="s">
        <v>124</v>
      </c>
      <c r="E9" s="5" t="s">
        <v>53</v>
      </c>
      <c r="F9" s="6" t="s">
        <v>239</v>
      </c>
      <c r="H9" s="5" t="s">
        <v>810</v>
      </c>
      <c r="I9" s="19">
        <f>COMBINACIONES!$E$32</f>
        <v>6.5</v>
      </c>
      <c r="J9" s="19">
        <f>COMBINACIONES!$E$33</f>
        <v>5.56</v>
      </c>
      <c r="K9" s="19">
        <f>COMBINACIONES!$E$34</f>
        <v>6.545</v>
      </c>
      <c r="L9" s="19">
        <f>COMBINACIONES!$E$35</f>
        <v>3.56</v>
      </c>
      <c r="M9" s="19">
        <f>COMBINACIONES!$E$36</f>
        <v>2.44</v>
      </c>
      <c r="N9" s="24" t="s">
        <v>148</v>
      </c>
    </row>
    <row r="10" spans="2:14" ht="27.75" customHeight="1" x14ac:dyDescent="0.3">
      <c r="B10" s="2" t="s">
        <v>811</v>
      </c>
      <c r="C10" s="14">
        <v>0.2</v>
      </c>
      <c r="D10" s="4" t="s">
        <v>124</v>
      </c>
      <c r="E10" s="5" t="s">
        <v>53</v>
      </c>
      <c r="F10" s="6" t="s">
        <v>10</v>
      </c>
      <c r="H10" s="5" t="s">
        <v>812</v>
      </c>
      <c r="I10" s="19">
        <f>COMBINACIONES!$F$32</f>
        <v>0</v>
      </c>
      <c r="J10" s="19">
        <f>COMBINACIONES!$F$33</f>
        <v>0.21</v>
      </c>
      <c r="K10" s="19">
        <f>COMBINACIONES!$F$34</f>
        <v>0.1575</v>
      </c>
      <c r="L10" s="19">
        <f>COMBINACIONES!$F$35</f>
        <v>0.21</v>
      </c>
      <c r="M10" s="19">
        <f>COMBINACIONES!$F$36</f>
        <v>0.21</v>
      </c>
      <c r="N10" s="24" t="s">
        <v>154</v>
      </c>
    </row>
    <row r="11" spans="2:14" ht="40.200000000000003" customHeight="1" x14ac:dyDescent="0.3">
      <c r="B11" s="2" t="s">
        <v>813</v>
      </c>
      <c r="C11" s="3" t="s">
        <v>814</v>
      </c>
      <c r="D11" s="4" t="s">
        <v>12</v>
      </c>
      <c r="E11" s="5" t="s">
        <v>815</v>
      </c>
      <c r="F11" s="6" t="s">
        <v>126</v>
      </c>
      <c r="H11" s="5" t="s">
        <v>816</v>
      </c>
      <c r="I11" s="19">
        <f>COMBINACIONES!$G$32</f>
        <v>0</v>
      </c>
      <c r="J11" s="19">
        <f>COMBINACIONES!$G$33</f>
        <v>0.28</v>
      </c>
      <c r="K11" s="19">
        <f>COMBINACIONES!$G$34</f>
        <v>0.21</v>
      </c>
      <c r="L11" s="19">
        <f>COMBINACIONES!$G$35</f>
        <v>0.28</v>
      </c>
      <c r="M11" s="19">
        <f>COMBINACIONES!$G$36</f>
        <v>0.28</v>
      </c>
      <c r="N11" s="24" t="s">
        <v>148</v>
      </c>
    </row>
    <row r="12" spans="2:14" ht="15.45" customHeight="1" x14ac:dyDescent="0.3">
      <c r="B12" s="2" t="s">
        <v>817</v>
      </c>
      <c r="C12" s="14">
        <v>2</v>
      </c>
      <c r="D12" s="4" t="s">
        <v>52</v>
      </c>
      <c r="E12" s="5" t="s">
        <v>818</v>
      </c>
      <c r="F12" s="6" t="s">
        <v>819</v>
      </c>
      <c r="H12" s="5" t="s">
        <v>820</v>
      </c>
      <c r="I12" s="19">
        <f>I7*$C$40</f>
        <v>1.376</v>
      </c>
      <c r="J12" s="19">
        <f>J7*$C$40</f>
        <v>1.376</v>
      </c>
      <c r="K12" s="19">
        <f>K7*$C$40</f>
        <v>1.376</v>
      </c>
      <c r="L12" s="19">
        <f>L7*$C$40</f>
        <v>0.8256</v>
      </c>
      <c r="M12" s="19">
        <f>M7*$C$40</f>
        <v>0.8256</v>
      </c>
      <c r="N12" s="24" t="s">
        <v>148</v>
      </c>
    </row>
    <row r="13" spans="2:14" ht="15.45" customHeight="1" x14ac:dyDescent="0.3">
      <c r="B13" s="2" t="s">
        <v>241</v>
      </c>
      <c r="C13" s="16">
        <v>7.5</v>
      </c>
      <c r="D13" s="4" t="s">
        <v>137</v>
      </c>
      <c r="E13" s="5" t="s">
        <v>821</v>
      </c>
      <c r="F13" s="6" t="s">
        <v>247</v>
      </c>
      <c r="H13" s="5" t="s">
        <v>822</v>
      </c>
      <c r="I13" s="19">
        <f>I9+I12</f>
        <v>7.876</v>
      </c>
      <c r="J13" s="19">
        <f>J9+J12</f>
        <v>6.936</v>
      </c>
      <c r="K13" s="19">
        <f>K9+K12</f>
        <v>7.921</v>
      </c>
      <c r="L13" s="19">
        <f>L9+L12</f>
        <v>4.3856</v>
      </c>
      <c r="M13" s="19">
        <f>M9+M12</f>
        <v>3.2656</v>
      </c>
      <c r="N13" s="24" t="s">
        <v>148</v>
      </c>
    </row>
    <row r="14" spans="2:14" ht="15.45" customHeight="1" x14ac:dyDescent="0.3">
      <c r="B14" s="2" t="s">
        <v>823</v>
      </c>
      <c r="C14" s="16">
        <v>7.5</v>
      </c>
      <c r="D14" s="4" t="s">
        <v>137</v>
      </c>
      <c r="E14" s="5" t="s">
        <v>53</v>
      </c>
      <c r="F14" s="6" t="s">
        <v>247</v>
      </c>
      <c r="H14" s="5" t="s">
        <v>824</v>
      </c>
      <c r="I14" s="19">
        <f>I10+I11*$C$20</f>
        <v>0</v>
      </c>
      <c r="J14" s="19">
        <f>J10+J11*$C$20</f>
        <v>0.434</v>
      </c>
      <c r="K14" s="19">
        <f>K10+K11*$C$20</f>
        <v>0.3255</v>
      </c>
      <c r="L14" s="19">
        <f>L10+L11*$C$20</f>
        <v>0.434</v>
      </c>
      <c r="M14" s="19">
        <f>M10+M11*$C$20</f>
        <v>0.434</v>
      </c>
      <c r="N14" s="24" t="s">
        <v>154</v>
      </c>
    </row>
    <row r="15" spans="2:14" ht="15.45" customHeight="1" x14ac:dyDescent="0.3">
      <c r="B15" s="2" t="s">
        <v>825</v>
      </c>
      <c r="C15" s="14">
        <v>2</v>
      </c>
      <c r="D15" s="4" t="s">
        <v>124</v>
      </c>
      <c r="E15" s="5" t="s">
        <v>826</v>
      </c>
      <c r="F15" s="6" t="s">
        <v>827</v>
      </c>
      <c r="H15" s="5" t="s">
        <v>828</v>
      </c>
      <c r="I15" s="20">
        <f>IF(I13&gt;0,I14/I13,99)</f>
        <v>0</v>
      </c>
      <c r="J15" s="20">
        <f>IF(J13&gt;0,J14/J13,99)</f>
        <v>0.0625720876585929</v>
      </c>
      <c r="K15" s="20">
        <f>IF(K13&gt;0,K14/K13,99)</f>
        <v>0.0410932963009721</v>
      </c>
      <c r="L15" s="20">
        <f>IF(L13&gt;0,L14/L13,99)</f>
        <v>0.0989602334914265</v>
      </c>
      <c r="M15" s="20">
        <f>IF(M13&gt;0,M14/M13,99)</f>
        <v>0.132900538951494</v>
      </c>
      <c r="N15" s="24" t="s">
        <v>124</v>
      </c>
    </row>
    <row r="16" spans="2:14" ht="15.45" customHeight="1" x14ac:dyDescent="0.3">
      <c r="B16" s="2" t="s">
        <v>261</v>
      </c>
      <c r="C16" s="9">
        <f>$C$9-$C$8</f>
        <v>0.55</v>
      </c>
      <c r="D16" s="4" t="s">
        <v>124</v>
      </c>
      <c r="E16" s="5" t="s">
        <v>262</v>
      </c>
      <c r="F16" s="6" t="s">
        <v>259</v>
      </c>
      <c r="H16" s="5" t="s">
        <v>289</v>
      </c>
      <c r="I16" s="19">
        <f>IF(I13&lt;=0,999,IF(I15&lt;=$C$7/6,I13/$C$7*(1+6*I15/$C$7),IF(I15&lt;$C$7/2,2*I13/(3*($C$7/2-I15)),999)))</f>
        <v>8.75111111111111</v>
      </c>
      <c r="J16" s="19">
        <f>IF(J13&lt;=0,999,IF(J15&lt;=$C$7/6,J13/$C$7*(1+6*J15/$C$7),IF(J15&lt;$C$7/2,2*J13/(3*($C$7/2-J15)),999)))</f>
        <v>10.9214814814815</v>
      </c>
      <c r="K16" s="19">
        <f>IF(K13&lt;=0,999,IF(K15&lt;=$C$7/6,K13/$C$7*(1+6*K15/$C$7),IF(K15&lt;$C$7/2,2*K13/(3*($C$7/2-K15)),999)))</f>
        <v>11.2122222222222</v>
      </c>
      <c r="L16" s="19">
        <f>IF(L13&lt;=0,999,IF(L15&lt;=$C$7/6,L13/$C$7*(1+6*L15/$C$7),IF(L15&lt;$C$7/2,2*L13/(3*($C$7/2-L15)),999)))</f>
        <v>8.08770370370371</v>
      </c>
      <c r="M16" s="19">
        <f>IF(M13&lt;=0,999,IF(M15&lt;=$C$7/6,M13/$C$7*(1+6*M15/$C$7),IF(M15&lt;$C$7/2,2*M13/(3*($C$7/2-M15)),999)))</f>
        <v>6.84325925925926</v>
      </c>
      <c r="N16" s="24" t="s">
        <v>64</v>
      </c>
    </row>
    <row r="17" spans="2:14" ht="27.75" customHeight="1" x14ac:dyDescent="0.3">
      <c r="B17" s="2" t="s">
        <v>829</v>
      </c>
      <c r="C17" s="10">
        <f>IF($C$11="MAMPOSTERÍA",$C$10/4,$C$10/2)</f>
        <v>0.05</v>
      </c>
      <c r="D17" s="4" t="s">
        <v>124</v>
      </c>
      <c r="E17" s="5" t="s">
        <v>830</v>
      </c>
      <c r="F17" s="6" t="s">
        <v>126</v>
      </c>
      <c r="H17" s="5" t="s">
        <v>831</v>
      </c>
      <c r="I17" s="19">
        <f>IF(I13&lt;=0,0,IF(I15&lt;=$C$7/6,I13/$C$7*(1-6*I15/$C$7),0))</f>
        <v>8.75111111111111</v>
      </c>
      <c r="J17" s="19">
        <f>IF(J13&lt;=0,0,IF(J15&lt;=$C$7/6,J13/$C$7*(1-6*J15/$C$7),0))</f>
        <v>4.49185185185185</v>
      </c>
      <c r="K17" s="19">
        <f>IF(K13&lt;=0,0,IF(K15&lt;=$C$7/6,K13/$C$7*(1-6*K15/$C$7),0))</f>
        <v>6.39</v>
      </c>
      <c r="L17" s="19">
        <f>IF(L13&lt;=0,0,IF(L15&lt;=$C$7/6,L13/$C$7*(1-6*L15/$C$7),0))</f>
        <v>1.65807407407407</v>
      </c>
      <c r="M17" s="19">
        <f>IF(M13&lt;=0,0,IF(M15&lt;=$C$7/6,M13/$C$7*(1-6*M15/$C$7),0))</f>
        <v>0.41362962962963</v>
      </c>
      <c r="N17" s="24" t="s">
        <v>64</v>
      </c>
    </row>
    <row r="18" spans="2:14" ht="15.45" customHeight="1" x14ac:dyDescent="0.3">
      <c r="B18" s="2" t="s">
        <v>832</v>
      </c>
      <c r="C18" s="10">
        <f>$C$7/2-$C$17</f>
        <v>0.4</v>
      </c>
      <c r="D18" s="4" t="s">
        <v>124</v>
      </c>
      <c r="E18" s="5" t="s">
        <v>276</v>
      </c>
      <c r="F18" s="6" t="s">
        <v>259</v>
      </c>
      <c r="H18" s="5" t="s">
        <v>295</v>
      </c>
      <c r="I18" s="18" t="str">
        <f>IF(I15&lt;=$C$7/6,"TOTAL","PARCIAL")</f>
        <v>TOTAL</v>
      </c>
      <c r="J18" s="18" t="str">
        <f>IF(J15&lt;=$C$7/6,"TOTAL","PARCIAL")</f>
        <v>TOTAL</v>
      </c>
      <c r="K18" s="18" t="str">
        <f>IF(K15&lt;=$C$7/6,"TOTAL","PARCIAL")</f>
        <v>TOTAL</v>
      </c>
      <c r="L18" s="18" t="str">
        <f>IF(L15&lt;=$C$7/6,"TOTAL","PARCIAL")</f>
        <v>TOTAL</v>
      </c>
      <c r="M18" s="18" t="str">
        <f>IF(M15&lt;=$C$7/6,"TOTAL","PARCIAL")</f>
        <v>TOTAL</v>
      </c>
      <c r="N18" s="24"/>
    </row>
    <row r="19" spans="2:14" ht="15.45" customHeight="1" x14ac:dyDescent="0.3">
      <c r="B19" s="2" t="s">
        <v>833</v>
      </c>
      <c r="C19" s="15">
        <f>$C$7^3/12</f>
        <v>0.06075</v>
      </c>
      <c r="D19" s="4" t="s">
        <v>834</v>
      </c>
      <c r="E19" s="5" t="s">
        <v>835</v>
      </c>
      <c r="F19" s="6" t="s">
        <v>282</v>
      </c>
      <c r="H19" s="5" t="s">
        <v>836</v>
      </c>
      <c r="I19" s="19">
        <f>DATOS!$C$30*IF(I8&gt;0,DATOS!$C$31,1)</f>
        <v>18</v>
      </c>
      <c r="J19" s="19">
        <f>DATOS!$C$30*IF(J8&gt;0,DATOS!$C$31,1)</f>
        <v>18</v>
      </c>
      <c r="K19" s="19">
        <f>DATOS!$C$30*IF(K8&gt;0,DATOS!$C$31,1)</f>
        <v>18</v>
      </c>
      <c r="L19" s="19">
        <f>DATOS!$C$30*IF(L8&gt;0,DATOS!$C$31,1)</f>
        <v>18</v>
      </c>
      <c r="M19" s="19">
        <f>DATOS!$C$30*IF(M8&gt;0,DATOS!$C$31,1)</f>
        <v>18</v>
      </c>
      <c r="N19" s="24" t="s">
        <v>64</v>
      </c>
    </row>
    <row r="20" spans="2:14" ht="15.45" customHeight="1" x14ac:dyDescent="0.3">
      <c r="B20" s="2" t="s">
        <v>267</v>
      </c>
      <c r="C20" s="9">
        <f>$C$9</f>
        <v>0.8</v>
      </c>
      <c r="D20" s="4" t="s">
        <v>124</v>
      </c>
      <c r="E20" s="5" t="s">
        <v>837</v>
      </c>
      <c r="F20" s="6" t="s">
        <v>273</v>
      </c>
      <c r="H20" s="5" t="s">
        <v>301</v>
      </c>
      <c r="I20" s="20">
        <f>I16/I19</f>
        <v>0.486172839506173</v>
      </c>
      <c r="J20" s="20">
        <f>J16/J19</f>
        <v>0.606748971193416</v>
      </c>
      <c r="K20" s="20">
        <f>K16/K19</f>
        <v>0.622901234567901</v>
      </c>
      <c r="L20" s="20">
        <f>L16/L19</f>
        <v>0.449316872427984</v>
      </c>
      <c r="M20" s="20">
        <f>M16/M19</f>
        <v>0.380181069958848</v>
      </c>
      <c r="N20" s="24" t="s">
        <v>12</v>
      </c>
    </row>
    <row r="21" spans="2:14" ht="15.45" customHeight="1" x14ac:dyDescent="0.3">
      <c r="B21" s="25" t="s">
        <v>299</v>
      </c>
      <c r="C21" s="26" t="str">
        <f>IF(AND($C$7&gt;$C$10,$C$16&gt;=0),"CUMPLE","NO CUMPLE — B debe ser mayor que t y Df ≥ h")</f>
        <v>CUMPLE</v>
      </c>
      <c r="D21" s="4" t="s">
        <v>12</v>
      </c>
      <c r="E21" s="5" t="s">
        <v>838</v>
      </c>
      <c r="F21" s="6" t="s">
        <v>259</v>
      </c>
      <c r="H21" s="5" t="s">
        <v>839</v>
      </c>
      <c r="I21" s="19">
        <f>IF(I15&gt;0.0001,$C$7/(2*I15),99)</f>
        <v>99</v>
      </c>
      <c r="J21" s="19">
        <f>IF(J15&gt;0.0001,$C$7/(2*J15),99)</f>
        <v>7.19170506912442</v>
      </c>
      <c r="K21" s="19">
        <f>IF(K15&gt;0.0001,$C$7/(2*K15),99)</f>
        <v>10.9506912442396</v>
      </c>
      <c r="L21" s="19">
        <f>IF(L15&gt;0.0001,$C$7/(2*L15),99)</f>
        <v>4.54728110599079</v>
      </c>
      <c r="M21" s="19">
        <f>IF(M15&gt;0.0001,$C$7/(2*M15),99)</f>
        <v>3.38599078341014</v>
      </c>
      <c r="N21" s="24" t="s">
        <v>12</v>
      </c>
    </row>
    <row r="22" spans="2:14" x14ac:dyDescent="0.3">
      <c r="H22" s="5" t="s">
        <v>840</v>
      </c>
      <c r="I22" s="19">
        <f>IF(I11&gt;0.0001,DATOS!$C$33*I13/I11,99)</f>
        <v>99</v>
      </c>
      <c r="J22" s="19">
        <f>IF(J11&gt;0.0001,DATOS!$C$33*J13/J11,99)</f>
        <v>11.1471428571429</v>
      </c>
      <c r="K22" s="19">
        <f>IF(K11&gt;0.0001,DATOS!$C$33*K13/K11,99)</f>
        <v>16.9735714285714</v>
      </c>
      <c r="L22" s="19">
        <f>IF(L11&gt;0.0001,DATOS!$C$33*L13/L11,99)</f>
        <v>7.04828571428572</v>
      </c>
      <c r="M22" s="19">
        <f>IF(M11&gt;0.0001,DATOS!$C$33*M13/M11,99)</f>
        <v>5.24828571428572</v>
      </c>
      <c r="N22" s="24" t="s">
        <v>12</v>
      </c>
    </row>
    <row r="23" spans="2:14" ht="18" customHeight="1" x14ac:dyDescent="0.3">
      <c r="B23" s="38" t="s">
        <v>841</v>
      </c>
      <c r="C23" s="37"/>
      <c r="D23" s="37"/>
      <c r="E23" s="37"/>
      <c r="F23" s="37"/>
    </row>
    <row r="24" spans="2:14" ht="18" customHeight="1" x14ac:dyDescent="0.3"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H24" s="44" t="s">
        <v>842</v>
      </c>
      <c r="I24" s="37"/>
      <c r="J24" s="37"/>
      <c r="K24" s="37"/>
      <c r="L24" s="37"/>
      <c r="M24" s="37"/>
      <c r="N24" s="37"/>
    </row>
    <row r="25" spans="2:14" ht="27.75" customHeight="1" x14ac:dyDescent="0.3">
      <c r="B25" s="2" t="s">
        <v>843</v>
      </c>
      <c r="C25" s="8">
        <v>4</v>
      </c>
      <c r="D25" s="4" t="s">
        <v>133</v>
      </c>
      <c r="E25" s="5" t="s">
        <v>307</v>
      </c>
      <c r="F25" s="6" t="s">
        <v>308</v>
      </c>
      <c r="H25" s="22" t="s">
        <v>181</v>
      </c>
      <c r="I25" s="1" t="str">
        <f>COMBINACIONES!$B$11</f>
        <v>U1</v>
      </c>
      <c r="J25" s="1" t="str">
        <f>COMBINACIONES!$B$12</f>
        <v>U2</v>
      </c>
      <c r="K25" s="1" t="str">
        <f>COMBINACIONES!$B$13</f>
        <v>U3</v>
      </c>
      <c r="L25" s="1" t="str">
        <f>COMBINACIONES!$B$14</f>
        <v>U4</v>
      </c>
      <c r="M25" s="1" t="str">
        <f>COMBINACIONES!$B$15</f>
        <v>U5</v>
      </c>
      <c r="N25" s="23"/>
    </row>
    <row r="26" spans="2:14" ht="27.75" customHeight="1" x14ac:dyDescent="0.3">
      <c r="B26" s="2" t="s">
        <v>844</v>
      </c>
      <c r="C26" s="8">
        <v>3</v>
      </c>
      <c r="D26" s="4" t="s">
        <v>133</v>
      </c>
      <c r="E26" s="5" t="s">
        <v>307</v>
      </c>
      <c r="F26" s="6" t="s">
        <v>308</v>
      </c>
      <c r="H26" s="5" t="s">
        <v>228</v>
      </c>
      <c r="I26" s="18" t="str">
        <f>COMBINACIONES!$C$11</f>
        <v>1.4D</v>
      </c>
      <c r="J26" s="18" t="str">
        <f>COMBINACIONES!$C$12</f>
        <v>1.2D + 1.6L</v>
      </c>
      <c r="K26" s="18" t="str">
        <f>COMBINACIONES!$C$13</f>
        <v>1.2D + 1.0L + 1.0E</v>
      </c>
      <c r="L26" s="18" t="str">
        <f>COMBINACIONES!$C$14</f>
        <v>0.9D + 1.0E  (P de A suma)</v>
      </c>
      <c r="M26" s="18" t="str">
        <f>COMBINACIONES!$C$15</f>
        <v>0.9D + 1.0E  (P de A resta)</v>
      </c>
      <c r="N26" s="24"/>
    </row>
    <row r="27" spans="2:14" ht="27.75" customHeight="1" x14ac:dyDescent="0.3">
      <c r="B27" s="2" t="s">
        <v>845</v>
      </c>
      <c r="C27" s="16">
        <v>0</v>
      </c>
      <c r="D27" s="4" t="s">
        <v>137</v>
      </c>
      <c r="E27" s="5" t="s">
        <v>53</v>
      </c>
      <c r="F27" s="6" t="s">
        <v>308</v>
      </c>
      <c r="H27" s="5" t="s">
        <v>183</v>
      </c>
      <c r="I27" s="19">
        <f>COMBINACIONES!$E$11</f>
        <v>1.4</v>
      </c>
      <c r="J27" s="19">
        <f>COMBINACIONES!$E$12</f>
        <v>1.2</v>
      </c>
      <c r="K27" s="19">
        <f>COMBINACIONES!$E$13</f>
        <v>1.2</v>
      </c>
      <c r="L27" s="19">
        <f>COMBINACIONES!$E$14</f>
        <v>0.9</v>
      </c>
      <c r="M27" s="19">
        <f>COMBINACIONES!$E$15</f>
        <v>0.9</v>
      </c>
      <c r="N27" s="24"/>
    </row>
    <row r="28" spans="2:14" ht="15.45" customHeight="1" x14ac:dyDescent="0.3">
      <c r="B28" s="2" t="s">
        <v>846</v>
      </c>
      <c r="C28" s="9">
        <f>INDEX(TABLAS!$C$6:$C$13,MATCH($C$25,TABLAS!$B$6:$B$13,0))</f>
        <v>1.27</v>
      </c>
      <c r="D28" s="4" t="s">
        <v>137</v>
      </c>
      <c r="E28" s="5" t="s">
        <v>276</v>
      </c>
      <c r="F28" s="6" t="s">
        <v>139</v>
      </c>
      <c r="H28" s="5" t="s">
        <v>847</v>
      </c>
      <c r="I28" s="19">
        <f>COMBINACIONES!$E$37</f>
        <v>7</v>
      </c>
      <c r="J28" s="19">
        <f>COMBINACIONES!$E$38</f>
        <v>8.4</v>
      </c>
      <c r="K28" s="19">
        <f>COMBINACIONES!$E$39</f>
        <v>8.3</v>
      </c>
      <c r="L28" s="19">
        <f>COMBINACIONES!$E$40</f>
        <v>5.3</v>
      </c>
      <c r="M28" s="19">
        <f>COMBINACIONES!$E$41</f>
        <v>3.7</v>
      </c>
      <c r="N28" s="24" t="s">
        <v>148</v>
      </c>
    </row>
    <row r="29" spans="2:14" ht="15.45" customHeight="1" x14ac:dyDescent="0.3">
      <c r="B29" s="2" t="s">
        <v>848</v>
      </c>
      <c r="C29" s="9">
        <f>INDEX(TABLAS!$D$6:$D$13,MATCH($C$25,TABLAS!$B$6:$B$13,0))</f>
        <v>1.27</v>
      </c>
      <c r="D29" s="4" t="s">
        <v>141</v>
      </c>
      <c r="E29" s="5" t="s">
        <v>276</v>
      </c>
      <c r="F29" s="6" t="s">
        <v>139</v>
      </c>
      <c r="H29" s="5" t="s">
        <v>849</v>
      </c>
      <c r="I29" s="19">
        <f>COMBINACIONES!$F$37</f>
        <v>0</v>
      </c>
      <c r="J29" s="19">
        <f>COMBINACIONES!$F$38</f>
        <v>0</v>
      </c>
      <c r="K29" s="19">
        <f>COMBINACIONES!$F$39</f>
        <v>0.3</v>
      </c>
      <c r="L29" s="19">
        <f>COMBINACIONES!$F$40</f>
        <v>0.3</v>
      </c>
      <c r="M29" s="19">
        <f>COMBINACIONES!$F$41</f>
        <v>0.3</v>
      </c>
      <c r="N29" s="24" t="s">
        <v>154</v>
      </c>
    </row>
    <row r="30" spans="2:14" ht="15.45" customHeight="1" x14ac:dyDescent="0.3">
      <c r="B30" s="2" t="s">
        <v>701</v>
      </c>
      <c r="C30" s="9">
        <f>INDEX(TABLAS!$C$6:$C$13,MATCH($C$26,TABLAS!$B$6:$B$13,0))</f>
        <v>0.95</v>
      </c>
      <c r="D30" s="4" t="s">
        <v>137</v>
      </c>
      <c r="E30" s="5" t="s">
        <v>276</v>
      </c>
      <c r="F30" s="6" t="s">
        <v>139</v>
      </c>
      <c r="H30" s="5" t="s">
        <v>850</v>
      </c>
      <c r="I30" s="19">
        <f>COMBINACIONES!$G$37</f>
        <v>0</v>
      </c>
      <c r="J30" s="19">
        <f>COMBINACIONES!$G$38</f>
        <v>0</v>
      </c>
      <c r="K30" s="19">
        <f>COMBINACIONES!$G$39</f>
        <v>0.4</v>
      </c>
      <c r="L30" s="19">
        <f>COMBINACIONES!$G$40</f>
        <v>0.4</v>
      </c>
      <c r="M30" s="19">
        <f>COMBINACIONES!$G$41</f>
        <v>0.4</v>
      </c>
      <c r="N30" s="24" t="s">
        <v>148</v>
      </c>
    </row>
    <row r="31" spans="2:14" ht="15.45" customHeight="1" x14ac:dyDescent="0.3">
      <c r="B31" s="2" t="s">
        <v>702</v>
      </c>
      <c r="C31" s="9">
        <f>INDEX(TABLAS!$D$6:$D$13,MATCH($C$26,TABLAS!$B$6:$B$13,0))</f>
        <v>0.71</v>
      </c>
      <c r="D31" s="4" t="s">
        <v>141</v>
      </c>
      <c r="E31" s="5" t="s">
        <v>276</v>
      </c>
      <c r="F31" s="6" t="s">
        <v>139</v>
      </c>
      <c r="H31" s="5" t="s">
        <v>851</v>
      </c>
      <c r="I31" s="19">
        <f>I28+I27*$C$39</f>
        <v>7.308</v>
      </c>
      <c r="J31" s="19">
        <f>J28+J27*$C$39</f>
        <v>8.664</v>
      </c>
      <c r="K31" s="19">
        <f>K28+K27*$C$39</f>
        <v>8.564</v>
      </c>
      <c r="L31" s="19">
        <f>L28+L27*$C$39</f>
        <v>5.498</v>
      </c>
      <c r="M31" s="19">
        <f>M28+M27*$C$39</f>
        <v>3.898</v>
      </c>
      <c r="N31" s="24" t="s">
        <v>148</v>
      </c>
    </row>
    <row r="32" spans="2:14" ht="15.45" customHeight="1" x14ac:dyDescent="0.3">
      <c r="B32" s="2" t="s">
        <v>852</v>
      </c>
      <c r="C32" s="9">
        <f>$C$8*100-$C$13-$C$28/2</f>
        <v>16.865</v>
      </c>
      <c r="D32" s="4" t="s">
        <v>137</v>
      </c>
      <c r="E32" s="5" t="s">
        <v>853</v>
      </c>
      <c r="F32" s="6" t="s">
        <v>259</v>
      </c>
      <c r="H32" s="5" t="s">
        <v>336</v>
      </c>
      <c r="I32" s="19">
        <f>I27*($C$37+$C$38)</f>
        <v>1.6184</v>
      </c>
      <c r="J32" s="19">
        <f>J27*($C$37+$C$38)</f>
        <v>1.3872</v>
      </c>
      <c r="K32" s="19">
        <f>K27*($C$37+$C$38)</f>
        <v>1.3872</v>
      </c>
      <c r="L32" s="19">
        <f>L27*($C$37+$C$38)</f>
        <v>1.0404</v>
      </c>
      <c r="M32" s="19">
        <f>M27*($C$37+$C$38)</f>
        <v>1.0404</v>
      </c>
      <c r="N32" s="24" t="s">
        <v>148</v>
      </c>
    </row>
    <row r="33" spans="2:14" ht="15.45" customHeight="1" x14ac:dyDescent="0.3">
      <c r="B33" s="25" t="s">
        <v>346</v>
      </c>
      <c r="C33" s="26" t="str">
        <f>IF($C$32&gt;=15,"CUMPLE","NO CUMPLE — aumentar h")</f>
        <v>CUMPLE</v>
      </c>
      <c r="D33" s="4" t="s">
        <v>12</v>
      </c>
      <c r="E33" s="5" t="s">
        <v>854</v>
      </c>
      <c r="F33" s="6" t="s">
        <v>348</v>
      </c>
      <c r="H33" s="5" t="s">
        <v>855</v>
      </c>
      <c r="I33" s="19">
        <f>I32/$C$7</f>
        <v>1.79822222222222</v>
      </c>
      <c r="J33" s="19">
        <f>J32/$C$7</f>
        <v>1.54133333333333</v>
      </c>
      <c r="K33" s="19">
        <f>K32/$C$7</f>
        <v>1.54133333333333</v>
      </c>
      <c r="L33" s="19">
        <f>L32/$C$7</f>
        <v>1.156</v>
      </c>
      <c r="M33" s="19">
        <f>M32/$C$7</f>
        <v>1.156</v>
      </c>
      <c r="N33" s="24" t="s">
        <v>64</v>
      </c>
    </row>
    <row r="34" spans="2:14" x14ac:dyDescent="0.3">
      <c r="H34" s="5" t="s">
        <v>856</v>
      </c>
      <c r="I34" s="19">
        <f>I31+I32</f>
        <v>8.9264</v>
      </c>
      <c r="J34" s="19">
        <f>J31+J32</f>
        <v>10.0512</v>
      </c>
      <c r="K34" s="19">
        <f>K31+K32</f>
        <v>9.9512</v>
      </c>
      <c r="L34" s="19">
        <f>L31+L32</f>
        <v>6.5384</v>
      </c>
      <c r="M34" s="19">
        <f>M31+M32</f>
        <v>4.9384</v>
      </c>
      <c r="N34" s="24" t="s">
        <v>148</v>
      </c>
    </row>
    <row r="35" spans="2:14" ht="18" customHeight="1" x14ac:dyDescent="0.3">
      <c r="B35" s="38" t="s">
        <v>857</v>
      </c>
      <c r="C35" s="37"/>
      <c r="D35" s="37"/>
      <c r="E35" s="37"/>
      <c r="F35" s="37"/>
      <c r="H35" s="5" t="s">
        <v>858</v>
      </c>
      <c r="I35" s="19">
        <f>I29+I30*$C$20</f>
        <v>0</v>
      </c>
      <c r="J35" s="19">
        <f>J29+J30*$C$20</f>
        <v>0</v>
      </c>
      <c r="K35" s="19">
        <f>K29+K30*$C$20</f>
        <v>0.62</v>
      </c>
      <c r="L35" s="19">
        <f>L29+L30*$C$20</f>
        <v>0.62</v>
      </c>
      <c r="M35" s="19">
        <f>M29+M30*$C$20</f>
        <v>0.62</v>
      </c>
      <c r="N35" s="24" t="s">
        <v>154</v>
      </c>
    </row>
    <row r="36" spans="2:14" x14ac:dyDescent="0.3">
      <c r="B36" s="1" t="s">
        <v>5</v>
      </c>
      <c r="C36" s="1" t="s">
        <v>6</v>
      </c>
      <c r="D36" s="1" t="s">
        <v>7</v>
      </c>
      <c r="E36" s="1" t="s">
        <v>8</v>
      </c>
      <c r="F36" s="1" t="s">
        <v>9</v>
      </c>
      <c r="H36" s="5" t="s">
        <v>350</v>
      </c>
      <c r="I36" s="20">
        <f>IF(I34&gt;0,I35/I34,99)</f>
        <v>0</v>
      </c>
      <c r="J36" s="20">
        <f>IF(J34&gt;0,J35/J34,99)</f>
        <v>0</v>
      </c>
      <c r="K36" s="20">
        <f>IF(K34&gt;0,K35/K34,99)</f>
        <v>0.0623040437334191</v>
      </c>
      <c r="L36" s="20">
        <f>IF(L34&gt;0,L35/L34,99)</f>
        <v>0.0948244218769118</v>
      </c>
      <c r="M36" s="20">
        <f>IF(M34&gt;0,M35/M34,99)</f>
        <v>0.12554673578487</v>
      </c>
      <c r="N36" s="24" t="s">
        <v>124</v>
      </c>
    </row>
    <row r="37" spans="2:14" ht="15.45" customHeight="1" x14ac:dyDescent="0.3">
      <c r="B37" s="2" t="s">
        <v>859</v>
      </c>
      <c r="C37" s="10">
        <f>$C$7*$C$8*DATOS!$C$24</f>
        <v>0.54</v>
      </c>
      <c r="D37" s="4" t="s">
        <v>148</v>
      </c>
      <c r="E37" s="5" t="s">
        <v>860</v>
      </c>
      <c r="F37" s="6" t="s">
        <v>259</v>
      </c>
      <c r="H37" s="5" t="s">
        <v>352</v>
      </c>
      <c r="I37" s="18" t="str">
        <f>IF(I36&lt;=$C$7/6,"TOTAL",IF(I36&lt;$C$7/2,"PARCIAL","INESTABLE"))</f>
        <v>TOTAL</v>
      </c>
      <c r="J37" s="18" t="str">
        <f>IF(J36&lt;=$C$7/6,"TOTAL",IF(J36&lt;$C$7/2,"PARCIAL","INESTABLE"))</f>
        <v>TOTAL</v>
      </c>
      <c r="K37" s="18" t="str">
        <f>IF(K36&lt;=$C$7/6,"TOTAL",IF(K36&lt;$C$7/2,"PARCIAL","INESTABLE"))</f>
        <v>TOTAL</v>
      </c>
      <c r="L37" s="18" t="str">
        <f>IF(L36&lt;=$C$7/6,"TOTAL",IF(L36&lt;$C$7/2,"PARCIAL","INESTABLE"))</f>
        <v>TOTAL</v>
      </c>
      <c r="M37" s="18" t="str">
        <f>IF(M36&lt;=$C$7/6,"TOTAL",IF(M36&lt;$C$7/2,"PARCIAL","INESTABLE"))</f>
        <v>TOTAL</v>
      </c>
      <c r="N37" s="24"/>
    </row>
    <row r="38" spans="2:14" ht="15.45" customHeight="1" x14ac:dyDescent="0.3">
      <c r="B38" s="2" t="s">
        <v>861</v>
      </c>
      <c r="C38" s="10">
        <f>($C$7-$C$10)*$C$16*DATOS!$C$32</f>
        <v>0.616</v>
      </c>
      <c r="D38" s="4" t="s">
        <v>148</v>
      </c>
      <c r="E38" s="5" t="s">
        <v>862</v>
      </c>
      <c r="F38" s="6" t="s">
        <v>259</v>
      </c>
      <c r="H38" s="5" t="s">
        <v>353</v>
      </c>
      <c r="I38" s="19">
        <f>IF(I36&lt;=$C$7/6,I34/($C$7*1)+I35*($C$7/2)/$C$19,IF(I36&lt;$C$7/2,2*I34/(3*1*($C$7/2-I36)),999))</f>
        <v>9.91822222222222</v>
      </c>
      <c r="J38" s="19">
        <f>IF(J36&lt;=$C$7/6,J34/($C$7*1)+J35*($C$7/2)/$C$19,IF(J36&lt;$C$7/2,2*J34/(3*1*($C$7/2-J36)),999))</f>
        <v>11.168</v>
      </c>
      <c r="K38" s="19">
        <f>IF(K36&lt;=$C$7/6,K34/($C$7*1)+K35*($C$7/2)/$C$19,IF(K36&lt;$C$7/2,2*K34/(3*1*($C$7/2-K36)),999))</f>
        <v>15.6494814814815</v>
      </c>
      <c r="L38" s="19">
        <f>IF(L36&lt;=$C$7/6,L34/($C$7*1)+L35*($C$7/2)/$C$19,IF(L36&lt;$C$7/2,2*L34/(3*1*($C$7/2-L36)),999))</f>
        <v>11.8574814814815</v>
      </c>
      <c r="M38" s="19">
        <f>IF(M36&lt;=$C$7/6,M34/($C$7*1)+M35*($C$7/2)/$C$19,IF(M36&lt;$C$7/2,2*M34/(3*1*($C$7/2-M36)),999))</f>
        <v>10.0797037037037</v>
      </c>
      <c r="N38" s="24" t="s">
        <v>64</v>
      </c>
    </row>
    <row r="39" spans="2:14" ht="15.45" customHeight="1" x14ac:dyDescent="0.3">
      <c r="B39" s="2" t="s">
        <v>863</v>
      </c>
      <c r="C39" s="10">
        <f>$C$10*$C$16*$C$12</f>
        <v>0.22</v>
      </c>
      <c r="D39" s="4" t="s">
        <v>148</v>
      </c>
      <c r="E39" s="5" t="s">
        <v>864</v>
      </c>
      <c r="F39" s="6" t="s">
        <v>259</v>
      </c>
      <c r="H39" s="5" t="s">
        <v>356</v>
      </c>
      <c r="I39" s="20">
        <f>IF(I36&lt;=$C$7/6,I35/$C$19,IF(I36&lt;$C$7/2,I38/(3*($C$7/2-I36)),0))</f>
        <v>0</v>
      </c>
      <c r="J39" s="20">
        <f>IF(J36&lt;=$C$7/6,J35/$C$19,IF(J36&lt;$C$7/2,J38/(3*($C$7/2-J36)),0))</f>
        <v>0</v>
      </c>
      <c r="K39" s="20">
        <f>IF(K36&lt;=$C$7/6,K35/$C$19,IF(K36&lt;$C$7/2,K38/(3*($C$7/2-K36)),0))</f>
        <v>10.2057613168724</v>
      </c>
      <c r="L39" s="20">
        <f>IF(L36&lt;=$C$7/6,L35/$C$19,IF(L36&lt;$C$7/2,L38/(3*($C$7/2-L36)),0))</f>
        <v>10.2057613168724</v>
      </c>
      <c r="M39" s="20">
        <f>IF(M36&lt;=$C$7/6,M35/$C$19,IF(M36&lt;$C$7/2,M38/(3*($C$7/2-M36)),0))</f>
        <v>10.2057613168724</v>
      </c>
      <c r="N39" s="24" t="s">
        <v>52</v>
      </c>
    </row>
    <row r="40" spans="2:14" ht="15.45" customHeight="1" x14ac:dyDescent="0.3">
      <c r="B40" s="2" t="s">
        <v>865</v>
      </c>
      <c r="C40" s="10">
        <f>$C$37+$C$38+$C$39</f>
        <v>1.376</v>
      </c>
      <c r="D40" s="4" t="s">
        <v>148</v>
      </c>
      <c r="E40" s="5" t="s">
        <v>866</v>
      </c>
      <c r="F40" s="6" t="s">
        <v>365</v>
      </c>
      <c r="H40" s="5" t="s">
        <v>359</v>
      </c>
      <c r="I40" s="19">
        <f>I38-I39*$C$7/2</f>
        <v>9.91822222222222</v>
      </c>
      <c r="J40" s="19">
        <f>J38-J39*$C$7/2</f>
        <v>11.168</v>
      </c>
      <c r="K40" s="19">
        <f>K38-K39*$C$7/2</f>
        <v>11.0568888888889</v>
      </c>
      <c r="L40" s="19">
        <f>L38-L39*$C$7/2</f>
        <v>7.26488888888889</v>
      </c>
      <c r="M40" s="19">
        <f>M38-M39*$C$7/2</f>
        <v>5.48711111111111</v>
      </c>
      <c r="N40" s="24" t="s">
        <v>64</v>
      </c>
    </row>
    <row r="41" spans="2:14" x14ac:dyDescent="0.3">
      <c r="H41" s="5" t="s">
        <v>362</v>
      </c>
      <c r="I41" s="20">
        <f>IF(I39&gt;0,MAX($C$17,-I40/I39),$C$17)</f>
        <v>0.05</v>
      </c>
      <c r="J41" s="20">
        <f>IF(J39&gt;0,MAX($C$17,-J40/J39),$C$17)</f>
        <v>0.05</v>
      </c>
      <c r="K41" s="20">
        <f>IF(K39&gt;0,MAX($C$17,-K40/K39),$C$17)</f>
        <v>0.05</v>
      </c>
      <c r="L41" s="20">
        <f>IF(L39&gt;0,MAX($C$17,-L40/L39),$C$17)</f>
        <v>0.05</v>
      </c>
      <c r="M41" s="20">
        <f>IF(M39&gt;0,MAX($C$17,-M40/M39),$C$17)</f>
        <v>0.05</v>
      </c>
      <c r="N41" s="24" t="s">
        <v>124</v>
      </c>
    </row>
    <row r="42" spans="2:14" ht="18" customHeight="1" x14ac:dyDescent="0.3">
      <c r="B42" s="38" t="s">
        <v>867</v>
      </c>
      <c r="C42" s="37"/>
      <c r="D42" s="37"/>
      <c r="E42" s="37"/>
      <c r="F42" s="37"/>
      <c r="H42" s="5" t="s">
        <v>366</v>
      </c>
      <c r="I42" s="19">
        <f>1*IF(I41&lt;$C$7/2,(I40-I39*$C$17)*(($C$7/2)^2-I41^2)/2+I39*(($C$7/2)^3-I41^3)/3-I40*$C$17*($C$7/2-I41),0)-I33*1*$C$18^2/2</f>
        <v>0.6496</v>
      </c>
      <c r="J42" s="19">
        <f>1*IF(J41&lt;$C$7/2,(J40-J39*$C$17)*(($C$7/2)^2-J41^2)/2+J39*(($C$7/2)^3-J41^3)/3-J40*$C$17*($C$7/2-J41),0)-J33*1*$C$18^2/2</f>
        <v>0.770133333333333</v>
      </c>
      <c r="K42" s="19">
        <f>1*IF(K41&lt;$C$7/2,(K40-K39*$C$17)*(($C$7/2)^2-K41^2)/2+K39*(($C$7/2)^3-K41^3)/3-K40*$C$17*($C$7/2-K41),0)-K33*1*$C$18^2/2</f>
        <v>1.01979039780521</v>
      </c>
      <c r="L42" s="19">
        <f>1*IF(L41&lt;$C$7/2,(L40-L39*$C$17)*(($C$7/2)^2-L41^2)/2+L39*(($C$7/2)^3-L41^3)/3-L40*$C$17*($C$7/2-L41),0)-L33*1*$C$18^2/2</f>
        <v>0.747257064471879</v>
      </c>
      <c r="M42" s="19">
        <f>1*IF(M41&lt;$C$7/2,(M40-M39*$C$17)*(($C$7/2)^2-M41^2)/2+M39*(($C$7/2)^3-M41^3)/3-M40*$C$17*($C$7/2-M41),0)-M33*1*$C$18^2/2</f>
        <v>0.605034842249657</v>
      </c>
      <c r="N42" s="24" t="s">
        <v>104</v>
      </c>
    </row>
    <row r="43" spans="2:14" x14ac:dyDescent="0.3"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H43" s="5" t="s">
        <v>367</v>
      </c>
      <c r="I43" s="20">
        <f>$C$17+$C$32/100</f>
        <v>0.21865</v>
      </c>
      <c r="J43" s="20">
        <f>$C$17+$C$32/100</f>
        <v>0.21865</v>
      </c>
      <c r="K43" s="20">
        <f>$C$17+$C$32/100</f>
        <v>0.21865</v>
      </c>
      <c r="L43" s="20">
        <f>$C$17+$C$32/100</f>
        <v>0.21865</v>
      </c>
      <c r="M43" s="20">
        <f>$C$17+$C$32/100</f>
        <v>0.21865</v>
      </c>
      <c r="N43" s="24" t="s">
        <v>124</v>
      </c>
    </row>
    <row r="44" spans="2:14" ht="15.45" customHeight="1" x14ac:dyDescent="0.3">
      <c r="B44" s="2" t="s">
        <v>868</v>
      </c>
      <c r="C44" s="9">
        <f>DATOS!$C$30-($C$8*DATOS!$C$24+$C$16*DATOS!$C$32)</f>
        <v>16.52</v>
      </c>
      <c r="D44" s="4" t="s">
        <v>64</v>
      </c>
      <c r="E44" s="5" t="s">
        <v>869</v>
      </c>
      <c r="F44" s="6" t="s">
        <v>373</v>
      </c>
      <c r="H44" s="5" t="s">
        <v>369</v>
      </c>
      <c r="I44" s="20">
        <f>IF(I39&gt;0,MAX(I43,-I40/I39),I43)</f>
        <v>0.21865</v>
      </c>
      <c r="J44" s="20">
        <f>IF(J39&gt;0,MAX(J43,-J40/J39),J43)</f>
        <v>0.21865</v>
      </c>
      <c r="K44" s="20">
        <f>IF(K39&gt;0,MAX(K43,-K40/K39),K43)</f>
        <v>0.21865</v>
      </c>
      <c r="L44" s="20">
        <f>IF(L39&gt;0,MAX(L43,-L40/L39),L43)</f>
        <v>0.21865</v>
      </c>
      <c r="M44" s="20">
        <f>IF(M39&gt;0,MAX(M43,-M40/M39),M43)</f>
        <v>0.21865</v>
      </c>
      <c r="N44" s="24" t="s">
        <v>124</v>
      </c>
    </row>
    <row r="45" spans="2:14" ht="15.45" customHeight="1" x14ac:dyDescent="0.3">
      <c r="B45" s="2" t="s">
        <v>870</v>
      </c>
      <c r="C45" s="9">
        <f>COMBINACIONES!$E$32+$C$39</f>
        <v>6.72</v>
      </c>
      <c r="D45" s="4" t="s">
        <v>148</v>
      </c>
      <c r="E45" s="5" t="s">
        <v>276</v>
      </c>
      <c r="F45" s="6" t="s">
        <v>871</v>
      </c>
      <c r="H45" s="5" t="s">
        <v>370</v>
      </c>
      <c r="I45" s="19">
        <f>IF(I43&gt;=1/2,0,MAX(0,1*IF(I44&lt;1/2,I40*(1/2-I44)+I39*((1/2)^2-I44^2)/2,0)-I33*1*(1/2-I43)))</f>
        <v>2.284562</v>
      </c>
      <c r="J45" s="19">
        <f>IF(J43&gt;=1/2,0,MAX(0,1*IF(J44&lt;1/2,J40*(1/2-J44)+J39*((1/2)^2-J44^2)/2,0)-J33*1*(1/2-J43)))</f>
        <v>2.70846266666667</v>
      </c>
      <c r="K45" s="19">
        <f>IF(K43&gt;=1/2,0,MAX(0,1*IF(K44&lt;1/2,K40*(1/2-K44)+K39*((1/2)^2-K44^2)/2,0)-K33*1*(1/2-K43)))</f>
        <v>3.70896410740741</v>
      </c>
      <c r="L45" s="19">
        <f>IF(L43&gt;=1/2,0,MAX(0,1*IF(L44&lt;1/2,L40*(1/2-L44)+L39*((1/2)^2-L44^2)/2,0)-L33*1*(1/2-L43)))</f>
        <v>2.75049844074074</v>
      </c>
      <c r="M45" s="19">
        <f>IF(M43&gt;=1/2,0,MAX(0,1*IF(M44&lt;1/2,M40*(1/2-M44)+M39*((1/2)^2-M44^2)/2,0)-M33*1*(1/2-M43)))</f>
        <v>2.25032066296296</v>
      </c>
      <c r="N45" s="24" t="s">
        <v>96</v>
      </c>
    </row>
    <row r="46" spans="2:14" ht="15.45" customHeight="1" x14ac:dyDescent="0.3">
      <c r="B46" s="2" t="s">
        <v>872</v>
      </c>
      <c r="C46" s="10">
        <f>IF($C$44&gt;0,$C$45/$C$44,999)</f>
        <v>0.406779661016949</v>
      </c>
      <c r="D46" s="4" t="s">
        <v>124</v>
      </c>
      <c r="E46" s="5" t="s">
        <v>873</v>
      </c>
      <c r="F46" s="6" t="s">
        <v>381</v>
      </c>
      <c r="H46" s="5" t="s">
        <v>374</v>
      </c>
      <c r="I46" s="20">
        <f>IF(I39&gt;0,MIN($C$7/2,I40/I39),$C$7/2)</f>
        <v>0.45</v>
      </c>
      <c r="J46" s="20">
        <f>IF(J39&gt;0,MIN($C$7/2,J40/J39),$C$7/2)</f>
        <v>0.45</v>
      </c>
      <c r="K46" s="20">
        <f>IF(K39&gt;0,MIN($C$7/2,K40/K39),$C$7/2)</f>
        <v>0.45</v>
      </c>
      <c r="L46" s="20">
        <f>IF(L39&gt;0,MIN($C$7/2,L40/L39),$C$7/2)</f>
        <v>0.45</v>
      </c>
      <c r="M46" s="20">
        <f>IF(M39&gt;0,MIN($C$7/2,M40/M39),$C$7/2)</f>
        <v>0.45</v>
      </c>
      <c r="N46" s="24" t="s">
        <v>124</v>
      </c>
    </row>
    <row r="47" spans="2:14" ht="27.75" customHeight="1" x14ac:dyDescent="0.3">
      <c r="B47" s="25" t="s">
        <v>874</v>
      </c>
      <c r="C47" s="26" t="str">
        <f>IF($C$7&gt;=$C$46,"CUMPLE","NO CUMPLE — aumentar B")</f>
        <v>CUMPLE</v>
      </c>
      <c r="D47" s="4" t="s">
        <v>12</v>
      </c>
      <c r="E47" s="5" t="s">
        <v>875</v>
      </c>
      <c r="F47" s="6" t="s">
        <v>381</v>
      </c>
      <c r="H47" s="5" t="s">
        <v>378</v>
      </c>
      <c r="I47" s="19">
        <f>I33*1*$C$18^2/2-1*IF(I46&gt;$C$17,(I40+I39*$C$17)*(I46^2-$C$17^2)/2-I39*(I46^3-$C$17^3)/3-I40*$C$17*(I46-$C$17),0)</f>
        <v>-0.6496</v>
      </c>
      <c r="J47" s="19">
        <f>J33*1*$C$18^2/2-1*IF(J46&gt;$C$17,(J40+J39*$C$17)*(J46^2-$C$17^2)/2-J39*(J46^3-$C$17^3)/3-J40*$C$17*(J46-$C$17),0)</f>
        <v>-0.770133333333333</v>
      </c>
      <c r="K47" s="19">
        <f>K33*1*$C$18^2/2-1*IF(K46&gt;$C$17,(K40+K39*$C$17)*(K46^2-$C$17^2)/2-K39*(K46^3-$C$17^3)/3-K40*$C$17*(K46-$C$17),0)</f>
        <v>-0.502698491083676</v>
      </c>
      <c r="L47" s="19">
        <f>L33*1*$C$18^2/2-1*IF(L46&gt;$C$17,(L40+L39*$C$17)*(L46^2-$C$17^2)/2-L39*(L46^3-$C$17^3)/3-L40*$C$17*(L46-$C$17),0)</f>
        <v>-0.230165157750343</v>
      </c>
      <c r="M47" s="19">
        <f>M33*1*$C$18^2/2-1*IF(M46&gt;$C$17,(M40+M39*$C$17)*(M46^2-$C$17^2)/2-M39*(M46^3-$C$17^3)/3-M40*$C$17*(M46-$C$17),0)</f>
        <v>-0.0879429355281206</v>
      </c>
      <c r="N47" s="24" t="s">
        <v>104</v>
      </c>
    </row>
    <row r="49" spans="2:6" ht="18" customHeight="1" x14ac:dyDescent="0.3">
      <c r="B49" s="38" t="s">
        <v>876</v>
      </c>
      <c r="C49" s="37"/>
      <c r="D49" s="37"/>
      <c r="E49" s="37"/>
      <c r="F49" s="37"/>
    </row>
    <row r="50" spans="2:6" x14ac:dyDescent="0.3"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</row>
    <row r="51" spans="2:6" ht="15.45" customHeight="1" x14ac:dyDescent="0.3">
      <c r="B51" s="2" t="s">
        <v>877</v>
      </c>
      <c r="C51" s="9">
        <f>MAX($I$16:$M$16)</f>
        <v>11.2122222222222</v>
      </c>
      <c r="D51" s="4" t="s">
        <v>64</v>
      </c>
      <c r="E51" s="5" t="s">
        <v>878</v>
      </c>
      <c r="F51" s="6" t="s">
        <v>879</v>
      </c>
    </row>
    <row r="52" spans="2:6" ht="15.45" customHeight="1" x14ac:dyDescent="0.3">
      <c r="B52" s="2" t="s">
        <v>407</v>
      </c>
      <c r="C52" s="7" t="str">
        <f>INDEX($I$5:$M$5,MATCH($C$51,$I$16:$M$16,0))</f>
        <v>S3</v>
      </c>
      <c r="D52" s="4" t="s">
        <v>12</v>
      </c>
      <c r="E52" s="5" t="s">
        <v>276</v>
      </c>
      <c r="F52" s="6" t="s">
        <v>408</v>
      </c>
    </row>
    <row r="53" spans="2:6" ht="15.45" customHeight="1" x14ac:dyDescent="0.3">
      <c r="B53" s="2" t="s">
        <v>410</v>
      </c>
      <c r="C53" s="10">
        <f>MAX($I$20:$M$20)</f>
        <v>0.622901234567901</v>
      </c>
      <c r="D53" s="4" t="s">
        <v>12</v>
      </c>
      <c r="E53" s="5" t="s">
        <v>276</v>
      </c>
      <c r="F53" s="6" t="s">
        <v>412</v>
      </c>
    </row>
    <row r="54" spans="2:6" ht="15.45" customHeight="1" x14ac:dyDescent="0.3">
      <c r="B54" s="25" t="s">
        <v>414</v>
      </c>
      <c r="C54" s="26" t="str">
        <f>IF($C$53&lt;=1,"CUMPLE","NO CUMPLE — aumentar B")</f>
        <v>CUMPLE</v>
      </c>
      <c r="D54" s="4" t="s">
        <v>12</v>
      </c>
      <c r="E54" s="5" t="s">
        <v>880</v>
      </c>
      <c r="F54" s="6" t="s">
        <v>381</v>
      </c>
    </row>
    <row r="55" spans="2:6" ht="15.45" customHeight="1" x14ac:dyDescent="0.3">
      <c r="B55" s="2" t="s">
        <v>881</v>
      </c>
      <c r="C55" s="9">
        <f>MIN($I$17:$M$17)</f>
        <v>0.41362962962963</v>
      </c>
      <c r="D55" s="4" t="s">
        <v>64</v>
      </c>
      <c r="E55" s="5" t="s">
        <v>276</v>
      </c>
      <c r="F55" s="6" t="s">
        <v>418</v>
      </c>
    </row>
    <row r="56" spans="2:6" ht="51.6" customHeight="1" x14ac:dyDescent="0.3">
      <c r="B56" s="25" t="s">
        <v>882</v>
      </c>
      <c r="C56" s="26" t="str">
        <f>IF(INDEX($I$15:$M$15,1)&lt;=$C$7/6,"CUMPLE — resultante dentro del tercio medio","NO CUMPLE — aumentar B")</f>
        <v>CUMPLE — resultante dentro del tercio medio</v>
      </c>
      <c r="D56" s="4" t="s">
        <v>12</v>
      </c>
      <c r="E56" s="5" t="s">
        <v>883</v>
      </c>
      <c r="F56" s="6" t="s">
        <v>418</v>
      </c>
    </row>
    <row r="57" spans="2:6" ht="15.45" customHeight="1" x14ac:dyDescent="0.3">
      <c r="B57" s="2" t="s">
        <v>884</v>
      </c>
      <c r="C57" s="9">
        <f>MIN($I$13:$M$13)</f>
        <v>3.2656</v>
      </c>
      <c r="D57" s="4" t="s">
        <v>148</v>
      </c>
      <c r="E57" s="5" t="s">
        <v>276</v>
      </c>
      <c r="F57" s="6" t="s">
        <v>426</v>
      </c>
    </row>
    <row r="58" spans="2:6" ht="47.4" customHeight="1" x14ac:dyDescent="0.3">
      <c r="B58" s="25" t="s">
        <v>429</v>
      </c>
      <c r="C58" s="26" t="str">
        <f>IF($C$57&gt;0,"CUMPLE — no hay levantamiento","NO CUMPLE — tensión neta")</f>
        <v>CUMPLE — no hay levantamiento</v>
      </c>
      <c r="D58" s="4" t="s">
        <v>12</v>
      </c>
      <c r="E58" s="5" t="s">
        <v>885</v>
      </c>
      <c r="F58" s="6" t="s">
        <v>431</v>
      </c>
    </row>
    <row r="59" spans="2:6" ht="15.45" customHeight="1" x14ac:dyDescent="0.3">
      <c r="B59" s="2" t="s">
        <v>886</v>
      </c>
      <c r="C59" s="9">
        <f>MIN($I$21:$M$21)</f>
        <v>3.38599078341014</v>
      </c>
      <c r="D59" s="4" t="s">
        <v>12</v>
      </c>
      <c r="E59" s="5" t="s">
        <v>276</v>
      </c>
      <c r="F59" s="6" t="s">
        <v>434</v>
      </c>
    </row>
    <row r="60" spans="2:6" ht="15.45" customHeight="1" x14ac:dyDescent="0.3">
      <c r="B60" s="25" t="s">
        <v>437</v>
      </c>
      <c r="C60" s="26" t="str">
        <f>IF($C$59&gt;=DATOS!$C$34,"CUMPLE","NO CUMPLE — aumentar B")</f>
        <v>CUMPLE</v>
      </c>
      <c r="D60" s="4" t="s">
        <v>12</v>
      </c>
      <c r="E60" s="5" t="s">
        <v>887</v>
      </c>
      <c r="F60" s="6" t="s">
        <v>431</v>
      </c>
    </row>
    <row r="61" spans="2:6" ht="15.45" customHeight="1" x14ac:dyDescent="0.3">
      <c r="B61" s="2" t="s">
        <v>888</v>
      </c>
      <c r="C61" s="9">
        <f>MIN($I$22:$M$22)</f>
        <v>5.24828571428572</v>
      </c>
      <c r="D61" s="4" t="s">
        <v>12</v>
      </c>
      <c r="E61" s="5" t="s">
        <v>889</v>
      </c>
      <c r="F61" s="6" t="s">
        <v>441</v>
      </c>
    </row>
    <row r="62" spans="2:6" ht="15.45" customHeight="1" x14ac:dyDescent="0.3">
      <c r="B62" s="25" t="s">
        <v>442</v>
      </c>
      <c r="C62" s="26" t="str">
        <f>IF($C$61&gt;=DATOS!$C$35,"CUMPLE","NO CUMPLE — dentellón o más peso")</f>
        <v>CUMPLE</v>
      </c>
      <c r="D62" s="4" t="s">
        <v>12</v>
      </c>
      <c r="E62" s="5" t="s">
        <v>887</v>
      </c>
      <c r="F62" s="6" t="s">
        <v>431</v>
      </c>
    </row>
    <row r="64" spans="2:6" ht="18" customHeight="1" x14ac:dyDescent="0.3">
      <c r="B64" s="38" t="s">
        <v>890</v>
      </c>
      <c r="C64" s="37"/>
      <c r="D64" s="37"/>
      <c r="E64" s="37"/>
      <c r="F64" s="37"/>
    </row>
    <row r="65" spans="2:6" x14ac:dyDescent="0.3">
      <c r="B65" s="1" t="s">
        <v>5</v>
      </c>
      <c r="C65" s="1" t="s">
        <v>6</v>
      </c>
      <c r="D65" s="1" t="s">
        <v>7</v>
      </c>
      <c r="E65" s="1" t="s">
        <v>8</v>
      </c>
      <c r="F65" s="1" t="s">
        <v>9</v>
      </c>
    </row>
    <row r="66" spans="2:6" ht="15.45" customHeight="1" x14ac:dyDescent="0.3">
      <c r="B66" s="2" t="s">
        <v>891</v>
      </c>
      <c r="C66" s="10">
        <f>MAX($I$42:$M$42)</f>
        <v>1.01979039780521</v>
      </c>
      <c r="D66" s="4" t="s">
        <v>154</v>
      </c>
      <c r="E66" s="5" t="s">
        <v>892</v>
      </c>
      <c r="F66" s="6" t="s">
        <v>495</v>
      </c>
    </row>
    <row r="67" spans="2:6" ht="15.45" customHeight="1" x14ac:dyDescent="0.3">
      <c r="B67" s="2" t="s">
        <v>486</v>
      </c>
      <c r="C67" s="7" t="str">
        <f>INDEX($I$25:$M$25,MATCH($C$66,$I$42:$M$42,0))</f>
        <v>U3</v>
      </c>
      <c r="D67" s="4" t="s">
        <v>12</v>
      </c>
      <c r="E67" s="5" t="s">
        <v>276</v>
      </c>
      <c r="F67" s="6" t="s">
        <v>408</v>
      </c>
    </row>
    <row r="68" spans="2:6" ht="15.45" customHeight="1" x14ac:dyDescent="0.3">
      <c r="B68" s="2" t="s">
        <v>893</v>
      </c>
      <c r="C68" s="9">
        <f>IF($C$66&lt;=0,0,IF((1-2*$C$66*100000/(DATOS!$C$86*0.85*DATOS!$C$15*100*$C$32^2))&lt;0,9999,0.85*DATOS!$C$15*100/DATOS!$C$18*$C$32*(1-SQRT((1-2*$C$66*100000/(DATOS!$C$86*0.85*DATOS!$C$15*100*$C$32^2))))))</f>
        <v>1.61496137706646</v>
      </c>
      <c r="D68" s="4" t="s">
        <v>576</v>
      </c>
      <c r="E68" s="5" t="s">
        <v>894</v>
      </c>
      <c r="F68" s="6" t="s">
        <v>535</v>
      </c>
    </row>
    <row r="69" ht="15.45" customHeight="1" x14ac:dyDescent="0.3">
      <c r="B69" s="2" t="inlineStr">
        <is>
          <t>As mínima = ρmín · b · h</t>
        </is>
      </c>
      <c r="C69" s="9">
        <f>DATOS!$C$92*100*$C$8*100</f>
        <v>4.5</v>
      </c>
      <c r="D69" s="4" t="s">
        <v>576</v>
      </c>
      <c r="E69" s="5" t="s">
        <v>276</v>
      </c>
      <c r="F69" s="6" t="s">
        <v>895</v>
      </c>
    </row>
    <row r="70" spans="2:6" ht="15.45" customHeight="1" x14ac:dyDescent="0.3">
      <c r="B70" s="2" t="s">
        <v>504</v>
      </c>
      <c r="C70" s="9">
        <f>MAX($C$68,$C$69)</f>
        <v>4.5</v>
      </c>
      <c r="D70" s="4" t="s">
        <v>576</v>
      </c>
      <c r="E70" s="5" t="s">
        <v>276</v>
      </c>
      <c r="F70" s="6" t="s">
        <v>895</v>
      </c>
    </row>
    <row r="71" spans="2:6" ht="15.45" customHeight="1" x14ac:dyDescent="0.3">
      <c r="B71" s="2" t="s">
        <v>509</v>
      </c>
      <c r="C71" s="11">
        <f>MAX(DATOS!$C$91,FLOOR($C$29/$C$70*100,DATOS!$C$91))</f>
        <v>27.5</v>
      </c>
      <c r="D71" s="4" t="s">
        <v>137</v>
      </c>
      <c r="E71" s="5" t="s">
        <v>896</v>
      </c>
      <c r="F71" s="6" t="s">
        <v>819</v>
      </c>
    </row>
    <row r="72" spans="2:6" ht="15.45" customHeight="1" x14ac:dyDescent="0.3">
      <c r="B72" s="2" t="s">
        <v>897</v>
      </c>
      <c r="C72" s="11">
        <f>MIN(3*$C$8*100,45)</f>
        <v>45</v>
      </c>
      <c r="D72" s="4" t="s">
        <v>137</v>
      </c>
      <c r="E72" s="5" t="s">
        <v>276</v>
      </c>
      <c r="F72" s="6" t="s">
        <v>898</v>
      </c>
    </row>
    <row r="73" spans="2:6" ht="15.45" customHeight="1" x14ac:dyDescent="0.3">
      <c r="B73" s="2" t="s">
        <v>513</v>
      </c>
      <c r="C73" s="11">
        <f>$C$28+MAX(2.5,$C$28,4/3*DATOS!$C$25/10)</f>
        <v>3.80333333333333</v>
      </c>
      <c r="D73" s="4" t="s">
        <v>137</v>
      </c>
      <c r="E73" s="5" t="s">
        <v>276</v>
      </c>
      <c r="F73" s="6" t="s">
        <v>58</v>
      </c>
    </row>
    <row r="74" spans="2:6" ht="15.45" customHeight="1" x14ac:dyDescent="0.3">
      <c r="B74" s="25" t="s">
        <v>515</v>
      </c>
      <c r="C74" s="28">
        <f>IF($C$27&gt;0,$C$27,MIN($C$71,FLOOR($C$72,DATOS!$C$91)))</f>
        <v>27.5</v>
      </c>
      <c r="D74" s="4" t="s">
        <v>137</v>
      </c>
      <c r="E74" s="5" t="s">
        <v>276</v>
      </c>
      <c r="F74" s="6" t="s">
        <v>819</v>
      </c>
    </row>
    <row r="75" spans="2:6" ht="15.45" customHeight="1" x14ac:dyDescent="0.3">
      <c r="B75" s="2" t="s">
        <v>519</v>
      </c>
      <c r="C75" s="9">
        <f>$C$29*100/$C$74</f>
        <v>4.61818181818182</v>
      </c>
      <c r="D75" s="4" t="s">
        <v>576</v>
      </c>
      <c r="E75" s="5" t="s">
        <v>276</v>
      </c>
      <c r="F75" s="6" t="s">
        <v>259</v>
      </c>
    </row>
    <row r="76" spans="2:6" ht="15.45" customHeight="1" x14ac:dyDescent="0.3">
      <c r="B76" s="25" t="s">
        <v>520</v>
      </c>
      <c r="C76" s="26" t="str">
        <f>IF($C$75&gt;=$C$70-0.0001,"CUMPLE","NO CUMPLE — cerrar la separación")</f>
        <v>CUMPLE</v>
      </c>
      <c r="D76" s="4" t="s">
        <v>12</v>
      </c>
      <c r="E76" s="5" t="s">
        <v>521</v>
      </c>
      <c r="F76" s="6" t="s">
        <v>895</v>
      </c>
    </row>
    <row r="77" spans="2:6" ht="15.45" customHeight="1" x14ac:dyDescent="0.3">
      <c r="B77" s="25" t="s">
        <v>523</v>
      </c>
      <c r="C77" s="26" t="str">
        <f>IF($C$74&gt;$C$72,"NO CUMPLE — mayor que la máxima",IF($C$74&lt;$C$73,"NO CUMPLE — muy juntas","CUMPLE"))</f>
        <v>CUMPLE</v>
      </c>
      <c r="D77" s="4" t="s">
        <v>12</v>
      </c>
      <c r="E77" s="5" t="s">
        <v>899</v>
      </c>
      <c r="F77" s="6" t="s">
        <v>900</v>
      </c>
    </row>
    <row r="78" spans="2:6" ht="15.45" customHeight="1" x14ac:dyDescent="0.3">
      <c r="B78" s="2" t="s">
        <v>901</v>
      </c>
      <c r="C78" s="9">
        <f>$C$75*DATOS!$C$18/(0.85*DATOS!$C$15*100)</f>
        <v>0.912770053475936</v>
      </c>
      <c r="D78" s="4" t="s">
        <v>137</v>
      </c>
      <c r="E78" s="5" t="s">
        <v>276</v>
      </c>
      <c r="F78" s="6" t="s">
        <v>527</v>
      </c>
    </row>
    <row r="79" spans="2:6" ht="15.45" customHeight="1" x14ac:dyDescent="0.3">
      <c r="B79" s="2" t="s">
        <v>902</v>
      </c>
      <c r="C79" s="15">
        <f>0.003*($C$32-$C$78/DATOS!$C$22)/($C$78/DATOS!$C$22)</f>
        <v>0.0441156452123172</v>
      </c>
      <c r="D79" s="4" t="s">
        <v>12</v>
      </c>
      <c r="E79" s="5" t="s">
        <v>276</v>
      </c>
      <c r="F79" s="6" t="s">
        <v>530</v>
      </c>
    </row>
    <row r="80" spans="2:6" ht="15.45" customHeight="1" x14ac:dyDescent="0.3">
      <c r="B80" s="2" t="s">
        <v>531</v>
      </c>
      <c r="C80" s="10">
        <f>IF($C$79&gt;=DATOS!$C$21+0.003,0.9,IF($C$79&lt;=DATOS!$C$21,0.65,0.65+0.25*($C$79-DATOS!$C$21)/0.003))</f>
        <v>0.9</v>
      </c>
      <c r="D80" s="4" t="s">
        <v>12</v>
      </c>
      <c r="E80" s="5" t="s">
        <v>276</v>
      </c>
      <c r="F80" s="6" t="s">
        <v>533</v>
      </c>
    </row>
    <row r="81" spans="2:6" ht="15.45" customHeight="1" x14ac:dyDescent="0.3">
      <c r="B81" s="2" t="s">
        <v>903</v>
      </c>
      <c r="C81" s="10">
        <f>$C$80*$C$75*DATOS!$C$18*($C$32-$C$78/2)/100000</f>
        <v>2.86440716511424</v>
      </c>
      <c r="D81" s="4" t="s">
        <v>154</v>
      </c>
      <c r="E81" s="5" t="s">
        <v>276</v>
      </c>
      <c r="F81" s="6" t="s">
        <v>535</v>
      </c>
    </row>
    <row r="82" spans="2:6" ht="15.45" customHeight="1" x14ac:dyDescent="0.3">
      <c r="B82" s="25" t="s">
        <v>904</v>
      </c>
      <c r="C82" s="26" t="str">
        <f>IF(AND($C$81&gt;=$C$66,$C$79&gt;=DATOS!$C$21+0.003),"CUMPLE","NO CUMPLE — aumentar h o el armado")</f>
        <v>CUMPLE</v>
      </c>
      <c r="D82" s="4" t="s">
        <v>12</v>
      </c>
      <c r="E82" s="5" t="s">
        <v>747</v>
      </c>
      <c r="F82" s="6" t="s">
        <v>905</v>
      </c>
    </row>
    <row r="83" spans="2:6" ht="15.45" customHeight="1" x14ac:dyDescent="0.3">
      <c r="B83" s="25" t="s">
        <v>906</v>
      </c>
      <c r="C83" s="26" t="str">
        <f>"#"&amp;$C$25&amp;" @ "&amp;TEXT($C$74,"0.0")&amp;" cm"</f>
        <v>#4 @ 27.5 cm</v>
      </c>
      <c r="D83" s="4" t="s">
        <v>12</v>
      </c>
      <c r="E83" s="5" t="s">
        <v>587</v>
      </c>
      <c r="F83" s="6" t="s">
        <v>541</v>
      </c>
    </row>
    <row r="85" spans="2:6" ht="18" customHeight="1" x14ac:dyDescent="0.3">
      <c r="B85" s="38" t="s">
        <v>907</v>
      </c>
      <c r="C85" s="37"/>
      <c r="D85" s="37"/>
      <c r="E85" s="37"/>
      <c r="F85" s="37"/>
    </row>
    <row r="86" spans="2:6" x14ac:dyDescent="0.3"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</row>
    <row r="87" spans="2:6" ht="15.45" customHeight="1" x14ac:dyDescent="0.3">
      <c r="B87" s="2" t="s">
        <v>908</v>
      </c>
      <c r="C87" s="9">
        <f>MAX($I$45:$M$45)</f>
        <v>3.70896410740741</v>
      </c>
      <c r="D87" s="4" t="s">
        <v>148</v>
      </c>
      <c r="E87" s="5" t="s">
        <v>276</v>
      </c>
      <c r="F87" s="6" t="s">
        <v>452</v>
      </c>
    </row>
    <row r="88" spans="2:6" ht="15.45" customHeight="1" x14ac:dyDescent="0.3">
      <c r="B88" s="2" t="s">
        <v>909</v>
      </c>
      <c r="C88" s="13">
        <f>$C$75/(100*$C$32)</f>
        <v>0.00273832304665391</v>
      </c>
      <c r="D88" s="4" t="s">
        <v>12</v>
      </c>
      <c r="E88" s="5" t="s">
        <v>276</v>
      </c>
      <c r="F88" s="6" t="s">
        <v>550</v>
      </c>
    </row>
    <row r="89" spans="2:6" ht="15.45" customHeight="1" x14ac:dyDescent="0.3">
      <c r="B89" s="2" t="s">
        <v>910</v>
      </c>
      <c r="C89" s="10">
        <f>IF(DATOS!$C$90="SÍ",1,MIN(1,SQRT(2/(1+0.004*$C$32*10))))</f>
        <v>1</v>
      </c>
      <c r="D89" s="4" t="s">
        <v>12</v>
      </c>
      <c r="E89" s="5" t="s">
        <v>276</v>
      </c>
      <c r="F89" s="6" t="s">
        <v>552</v>
      </c>
    </row>
    <row r="90" spans="2:6" ht="15.45" customHeight="1" x14ac:dyDescent="0.3">
      <c r="B90" s="2" t="s">
        <v>553</v>
      </c>
      <c r="C90" s="9">
        <f>0.66*$C$89*DATOS!$C$23*$C$88^(1/3)*DATOS!$C$17*DATOS!$C$89*100*$C$32/1000</f>
        <v>7.86265067806395</v>
      </c>
      <c r="D90" s="4" t="s">
        <v>148</v>
      </c>
      <c r="E90" s="5" t="s">
        <v>911</v>
      </c>
      <c r="F90" s="6" t="s">
        <v>555</v>
      </c>
    </row>
    <row r="91" spans="2:6" ht="15.45" customHeight="1" x14ac:dyDescent="0.3">
      <c r="B91" s="2" t="s">
        <v>556</v>
      </c>
      <c r="C91" s="9">
        <f>0.42*DATOS!$C$23*DATOS!$C$17*DATOS!$C$89*100*$C$32/1000</f>
        <v>35.7640018695164</v>
      </c>
      <c r="D91" s="4" t="s">
        <v>148</v>
      </c>
      <c r="E91" s="5" t="s">
        <v>276</v>
      </c>
      <c r="F91" s="6" t="s">
        <v>557</v>
      </c>
    </row>
    <row r="92" spans="2:6" ht="15.45" customHeight="1" x14ac:dyDescent="0.3">
      <c r="B92" s="2" t="s">
        <v>558</v>
      </c>
      <c r="C92" s="9">
        <f>DATOS!$C$87*MIN($C$90,$C$91)</f>
        <v>5.89698800854796</v>
      </c>
      <c r="D92" s="4" t="s">
        <v>148</v>
      </c>
      <c r="E92" s="5" t="s">
        <v>276</v>
      </c>
      <c r="F92" s="6" t="s">
        <v>166</v>
      </c>
    </row>
    <row r="93" spans="2:6" ht="15.45" customHeight="1" x14ac:dyDescent="0.3">
      <c r="B93" s="25" t="s">
        <v>912</v>
      </c>
      <c r="C93" s="26" t="str">
        <f>IF($C$92&gt;=$C$87,"CUMPLE","NO CUMPLE — aumentar h o el armado")</f>
        <v>CUMPLE</v>
      </c>
      <c r="D93" s="4" t="s">
        <v>12</v>
      </c>
      <c r="E93" s="5" t="s">
        <v>913</v>
      </c>
      <c r="F93" s="6" t="s">
        <v>561</v>
      </c>
    </row>
    <row r="94" spans="2:6" ht="15.45" customHeight="1" x14ac:dyDescent="0.3">
      <c r="B94" s="2" t="s">
        <v>914</v>
      </c>
      <c r="C94" s="10">
        <f>MAX(0,MAX($I$47:$M$47))</f>
        <v>0</v>
      </c>
      <c r="D94" s="4" t="s">
        <v>154</v>
      </c>
      <c r="E94" s="5" t="s">
        <v>915</v>
      </c>
      <c r="F94" s="6" t="s">
        <v>570</v>
      </c>
    </row>
    <row r="95" ht="27.75" customHeight="1" x14ac:dyDescent="0.3">
      <c r="B95" s="2" t="s">
        <v>916</v>
      </c>
      <c r="C95" s="9">
        <f>IF($C$94&lt;=0,0,IF((1-2*$C$94*100000/(DATOS!$C$86*0.85*DATOS!$C$15*100*($C$8*100-5-$C$28/2)^2))&lt;0,9999,0.85*DATOS!$C$15*100/DATOS!$C$18*($C$8*100-5-$C$28/2)*(1-SQRT((1-2*$C$94*100000/(DATOS!$C$86*0.85*DATOS!$C$15*100*($C$8*100-5-$C$28/2)^2))))))</f>
        <v>0</v>
      </c>
      <c r="D95" s="4" t="s">
        <v>576</v>
      </c>
      <c r="E95" s="5" t="inlineStr">
        <is>
          <t>CALCULADA con d = h − 5 cm − db/2. Si es mayor que cero, usa al menos ρmín b h arriba.</t>
        </is>
      </c>
      <c r="F95" s="6" t="s">
        <v>918</v>
      </c>
    </row>
    <row r="96" spans="2:6" ht="15.45" customHeight="1" x14ac:dyDescent="0.3">
      <c r="B96" s="25" t="s">
        <v>919</v>
      </c>
      <c r="C96" s="26" t="str">
        <f>IF($C$94&gt;0.001,"REVISAR — hay tensión arriba: agrega acero superior (ver renglón anterior)","CUMPLE — no hay tensión arriba")</f>
        <v>CUMPLE — no hay tensión arriba</v>
      </c>
      <c r="D96" s="4" t="s">
        <v>12</v>
      </c>
      <c r="E96" s="5" t="s">
        <v>920</v>
      </c>
      <c r="F96" s="6" t="s">
        <v>488</v>
      </c>
    </row>
    <row r="98" spans="2:6" ht="18" customHeight="1" x14ac:dyDescent="0.3">
      <c r="B98" s="38" t="s">
        <v>921</v>
      </c>
      <c r="C98" s="37"/>
      <c r="D98" s="37"/>
      <c r="E98" s="37"/>
      <c r="F98" s="37"/>
    </row>
    <row r="99" spans="2:6" x14ac:dyDescent="0.3">
      <c r="B99" s="1" t="s">
        <v>5</v>
      </c>
      <c r="C99" s="1" t="s">
        <v>6</v>
      </c>
      <c r="D99" s="1" t="s">
        <v>7</v>
      </c>
      <c r="E99" s="1" t="s">
        <v>8</v>
      </c>
      <c r="F99" s="1" t="s">
        <v>9</v>
      </c>
    </row>
    <row r="100" ht="15.45" customHeight="1" x14ac:dyDescent="0.3">
      <c r="B100" s="2" t="inlineStr">
        <is>
          <t>As longitudinal = ρmín · B · h</t>
        </is>
      </c>
      <c r="C100" s="9">
        <f>DATOS!$C$92*$C$7*100*$C$8*100</f>
        <v>4.05</v>
      </c>
      <c r="D100" s="4" t="s">
        <v>141</v>
      </c>
      <c r="E100" s="5" t="s">
        <v>923</v>
      </c>
      <c r="F100" s="6" t="s">
        <v>924</v>
      </c>
    </row>
    <row r="101" spans="2:6" ht="15.45" customHeight="1" x14ac:dyDescent="0.3">
      <c r="B101" s="2" t="s">
        <v>925</v>
      </c>
      <c r="C101" s="11">
        <f>MIN(5*$C$8*100,45)</f>
        <v>45</v>
      </c>
      <c r="D101" s="4" t="s">
        <v>137</v>
      </c>
      <c r="E101" s="5" t="s">
        <v>276</v>
      </c>
      <c r="F101" s="6" t="s">
        <v>926</v>
      </c>
    </row>
    <row r="102" spans="2:6" ht="15.45" customHeight="1" x14ac:dyDescent="0.3">
      <c r="B102" s="2" t="s">
        <v>927</v>
      </c>
      <c r="C102" s="27">
        <f>MAX(2,CEILING($C$100/$C$31,1),CEILING(($C$7*100-2*$C$14-$C$30)/$C$101,1)+1)</f>
        <v>6</v>
      </c>
      <c r="D102" s="4" t="s">
        <v>507</v>
      </c>
      <c r="E102" s="5" t="s">
        <v>276</v>
      </c>
      <c r="F102" s="6" t="s">
        <v>928</v>
      </c>
    </row>
    <row r="103" spans="2:6" ht="15.45" customHeight="1" x14ac:dyDescent="0.3">
      <c r="B103" s="2" t="s">
        <v>929</v>
      </c>
      <c r="C103" s="11">
        <f>($C$7*100-2*$C$14-$C$30)/($C$102-1)</f>
        <v>14.81</v>
      </c>
      <c r="D103" s="4" t="s">
        <v>137</v>
      </c>
      <c r="E103" s="5" t="s">
        <v>930</v>
      </c>
      <c r="F103" s="6" t="s">
        <v>931</v>
      </c>
    </row>
    <row r="104" spans="2:6" ht="15.45" customHeight="1" x14ac:dyDescent="0.3">
      <c r="B104" s="25" t="s">
        <v>932</v>
      </c>
      <c r="C104" s="26" t="str">
        <f>IF(AND($C$102*$C$31&gt;=$C$100,$C$103&lt;=$C$101),"CUMPLE","NO CUMPLE — más varillas")</f>
        <v>CUMPLE</v>
      </c>
      <c r="D104" s="4" t="s">
        <v>12</v>
      </c>
      <c r="E104" s="5" t="s">
        <v>933</v>
      </c>
      <c r="F104" s="6" t="s">
        <v>934</v>
      </c>
    </row>
    <row r="105" spans="2:6" ht="15.45" customHeight="1" x14ac:dyDescent="0.3">
      <c r="B105" s="25" t="s">
        <v>935</v>
      </c>
      <c r="C105" s="26" t="str">
        <f>$C$102&amp;" #"&amp;$C$26&amp;" corridas @ "&amp;TEXT($C$103,"0.0")&amp;" cm"</f>
        <v>6 #3 corridas @ 14.8 cm</v>
      </c>
      <c r="D105" s="4" t="s">
        <v>12</v>
      </c>
      <c r="E105" s="5" t="s">
        <v>587</v>
      </c>
      <c r="F105" s="6" t="s">
        <v>541</v>
      </c>
    </row>
    <row r="107" spans="2:6" ht="18" customHeight="1" x14ac:dyDescent="0.3">
      <c r="B107" s="38" t="s">
        <v>936</v>
      </c>
      <c r="C107" s="37"/>
      <c r="D107" s="37"/>
      <c r="E107" s="37"/>
      <c r="F107" s="37"/>
    </row>
    <row r="108" spans="2:6" x14ac:dyDescent="0.3">
      <c r="B108" s="1" t="s">
        <v>5</v>
      </c>
      <c r="C108" s="1" t="s">
        <v>6</v>
      </c>
      <c r="D108" s="1" t="s">
        <v>7</v>
      </c>
      <c r="E108" s="1" t="s">
        <v>8</v>
      </c>
      <c r="F108" s="1" t="s">
        <v>9</v>
      </c>
    </row>
    <row r="109" spans="2:6" ht="15.45" customHeight="1" x14ac:dyDescent="0.3">
      <c r="B109" s="2" t="s">
        <v>937</v>
      </c>
      <c r="C109" s="11">
        <f>$C$18*100-$C$14</f>
        <v>32.5</v>
      </c>
      <c r="D109" s="4" t="s">
        <v>137</v>
      </c>
      <c r="E109" s="5" t="s">
        <v>276</v>
      </c>
      <c r="F109" s="6" t="s">
        <v>593</v>
      </c>
    </row>
    <row r="110" spans="2:6" ht="15.45" customHeight="1" x14ac:dyDescent="0.3">
      <c r="B110" s="2" t="s">
        <v>938</v>
      </c>
      <c r="C110" s="9">
        <f>MIN($C$8*100-$C$32,$C$74/2,$C$14+$C$28/2)</f>
        <v>8.135</v>
      </c>
      <c r="D110" s="4" t="s">
        <v>137</v>
      </c>
      <c r="E110" s="5" t="s">
        <v>276</v>
      </c>
      <c r="F110" s="6" t="s">
        <v>596</v>
      </c>
    </row>
    <row r="111" spans="2:6" ht="15.45" customHeight="1" x14ac:dyDescent="0.3">
      <c r="B111" s="2" t="s">
        <v>939</v>
      </c>
      <c r="C111" s="11">
        <f>MAX(DATOS!$C$19/(1.1*DATOS!$C$23*DATOS!$C$17)*(IF($C$25&lt;=6,0.8,1)*DATOS!$C$26)/MIN(2.5,$C$110/$C$28)*$C$28,30)</f>
        <v>30.7326373702178</v>
      </c>
      <c r="D111" s="4" t="s">
        <v>137</v>
      </c>
      <c r="E111" s="5" t="s">
        <v>940</v>
      </c>
      <c r="F111" s="6" t="s">
        <v>599</v>
      </c>
    </row>
    <row r="112" spans="2:6" ht="15.45" customHeight="1" x14ac:dyDescent="0.3">
      <c r="B112" s="2" t="s">
        <v>941</v>
      </c>
      <c r="C112" s="10">
        <f>IF(DATOS!$C$16&lt;40,DATOS!$C$16/105+0.6,1)</f>
        <v>0.833490799528535</v>
      </c>
      <c r="D112" s="4" t="s">
        <v>12</v>
      </c>
      <c r="E112" s="5" t="s">
        <v>276</v>
      </c>
      <c r="F112" s="6" t="s">
        <v>590</v>
      </c>
    </row>
    <row r="113" spans="2:6" ht="15.45" customHeight="1" x14ac:dyDescent="0.3">
      <c r="B113" s="2" t="s">
        <v>942</v>
      </c>
      <c r="C113" s="11">
        <f>MAX(DATOS!$C$19*IF($C$74&gt;=6*$C$28,1,1.6)*IF($C$14&gt;=6*$C$28,1,1.25)*$C$112/(23*DATOS!$C$23*DATOS!$C$17)*($C$28*10)^1.5/10,8*$C$28,15)</f>
        <v>17.054044272194</v>
      </c>
      <c r="D113" s="4" t="s">
        <v>137</v>
      </c>
      <c r="E113" s="5" t="s">
        <v>276</v>
      </c>
      <c r="F113" s="6" t="s">
        <v>943</v>
      </c>
    </row>
    <row r="114" spans="2:6" ht="15.45" customHeight="1" x14ac:dyDescent="0.3">
      <c r="B114" s="2" t="s">
        <v>944</v>
      </c>
      <c r="C114" s="7" t="str">
        <f>IF($C$109&gt;=$C$111,"RECTA",IF($C$109&gt;=$C$113,"GANCHO 90°","NO ALCANZA"))</f>
        <v>RECTA</v>
      </c>
      <c r="D114" s="4" t="s">
        <v>12</v>
      </c>
      <c r="E114" s="5" t="s">
        <v>276</v>
      </c>
      <c r="F114" s="6" t="s">
        <v>604</v>
      </c>
    </row>
    <row r="115" spans="2:6" ht="27.75" customHeight="1" x14ac:dyDescent="0.3">
      <c r="B115" s="2" t="s">
        <v>945</v>
      </c>
      <c r="C115" s="11">
        <f>$C$13+16*$C$28+5</f>
        <v>32.82</v>
      </c>
      <c r="D115" s="4" t="s">
        <v>137</v>
      </c>
      <c r="E115" s="5" t="s">
        <v>946</v>
      </c>
      <c r="F115" s="6" t="s">
        <v>607</v>
      </c>
    </row>
    <row r="116" spans="2:6" ht="15.45" customHeight="1" x14ac:dyDescent="0.3">
      <c r="B116" s="25" t="s">
        <v>947</v>
      </c>
      <c r="C116" s="26" t="str">
        <f>IF($C$114="NO ALCANZA","NO CUMPLE — ancho mayor o varilla más delgada",IF($C$114="RECTA","CUMPLE — varilla recta",IF($C$115&lt;=$C$8*100,"CUMPLE — gancho estándar a 90° (12db) vertical","REVISAR — el gancho no cabe vertical en h: tiéndelo horizontal (a 90° en planta) o baja el diámetro")))</f>
        <v>CUMPLE — varilla recta</v>
      </c>
      <c r="D116" s="4" t="s">
        <v>12</v>
      </c>
      <c r="E116" s="5" t="s">
        <v>948</v>
      </c>
      <c r="F116" s="6" t="s">
        <v>949</v>
      </c>
    </row>
    <row r="118" spans="2:6" ht="18" customHeight="1" x14ac:dyDescent="0.3">
      <c r="B118" s="38" t="s">
        <v>950</v>
      </c>
      <c r="C118" s="37"/>
      <c r="D118" s="37"/>
      <c r="E118" s="37"/>
      <c r="F118" s="37"/>
    </row>
    <row r="119" spans="2:6" x14ac:dyDescent="0.3">
      <c r="B119" s="1" t="s">
        <v>5</v>
      </c>
      <c r="C119" s="1" t="s">
        <v>6</v>
      </c>
      <c r="D119" s="1" t="s">
        <v>7</v>
      </c>
      <c r="E119" s="1" t="s">
        <v>8</v>
      </c>
      <c r="F119" s="1" t="s">
        <v>9</v>
      </c>
    </row>
    <row r="120" spans="2:6" ht="15.45" customHeight="1" x14ac:dyDescent="0.3">
      <c r="B120" s="2" t="s">
        <v>951</v>
      </c>
      <c r="C120" s="10">
        <f>$C$10*1</f>
        <v>0.2</v>
      </c>
      <c r="D120" s="4" t="s">
        <v>952</v>
      </c>
      <c r="E120" s="5" t="s">
        <v>276</v>
      </c>
      <c r="F120" s="6" t="s">
        <v>620</v>
      </c>
    </row>
    <row r="121" spans="2:6" ht="15.45" customHeight="1" x14ac:dyDescent="0.3">
      <c r="B121" s="2" t="s">
        <v>953</v>
      </c>
      <c r="C121" s="10">
        <f>MIN($C$7,$C$10+4*$C$8)*1</f>
        <v>0.9</v>
      </c>
      <c r="D121" s="4" t="s">
        <v>952</v>
      </c>
      <c r="E121" s="5" t="s">
        <v>276</v>
      </c>
      <c r="F121" s="6" t="s">
        <v>625</v>
      </c>
    </row>
    <row r="122" spans="2:6" ht="15.45" customHeight="1" x14ac:dyDescent="0.3">
      <c r="B122" s="2" t="s">
        <v>954</v>
      </c>
      <c r="C122" s="9">
        <f>DATOS!$C$88*0.85*DATOS!$C$15*$C$120*10000*MIN(SQRT($C$121/$C$120),2)/1000</f>
        <v>552.5</v>
      </c>
      <c r="D122" s="4" t="s">
        <v>148</v>
      </c>
      <c r="E122" s="5" t="s">
        <v>955</v>
      </c>
      <c r="F122" s="6" t="s">
        <v>620</v>
      </c>
    </row>
    <row r="123" spans="2:6" ht="15.45" customHeight="1" x14ac:dyDescent="0.3">
      <c r="B123" s="2" t="s">
        <v>956</v>
      </c>
      <c r="C123" s="9">
        <f>MAX($I$31:$M$31)</f>
        <v>8.664</v>
      </c>
      <c r="D123" s="4" t="s">
        <v>148</v>
      </c>
      <c r="E123" s="5" t="s">
        <v>276</v>
      </c>
      <c r="F123" s="6" t="s">
        <v>426</v>
      </c>
    </row>
    <row r="124" spans="2:6" ht="15.45" customHeight="1" x14ac:dyDescent="0.3">
      <c r="B124" s="25" t="s">
        <v>957</v>
      </c>
      <c r="C124" s="26" t="str">
        <f>IF($C$122&gt;=$C$123,"CUMPLE","NO CUMPLE — muro más ancho")</f>
        <v>CUMPLE</v>
      </c>
      <c r="D124" s="4" t="s">
        <v>12</v>
      </c>
      <c r="E124" s="5" t="s">
        <v>958</v>
      </c>
      <c r="F124" s="6" t="s">
        <v>959</v>
      </c>
    </row>
    <row r="125" spans="2:6" ht="15.45" customHeight="1" x14ac:dyDescent="0.3">
      <c r="B125" s="2" t="s">
        <v>960</v>
      </c>
      <c r="C125" s="7" t="str">
        <f>IF($C$11="CONCRETO","Dovelas = refuerzo vertical mínimo del muro (ACI 16.3.4.2)","Castillos anclados en la zapata según la norma de mampostería")</f>
        <v>Castillos anclados en la zapata según la norma de mampostería</v>
      </c>
      <c r="D125" s="4" t="s">
        <v>12</v>
      </c>
      <c r="E125" s="5" t="s">
        <v>961</v>
      </c>
      <c r="F125" s="6" t="s">
        <v>962</v>
      </c>
    </row>
    <row r="127" spans="2:6" ht="18" customHeight="1" x14ac:dyDescent="0.3">
      <c r="B127" s="38" t="s">
        <v>963</v>
      </c>
      <c r="C127" s="37"/>
      <c r="D127" s="37"/>
      <c r="E127" s="37"/>
      <c r="F127" s="37"/>
    </row>
    <row r="128" spans="2:6" x14ac:dyDescent="0.3"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</row>
    <row r="129" spans="2:6" ht="15.45" customHeight="1" x14ac:dyDescent="0.3">
      <c r="B129" s="25" t="s">
        <v>964</v>
      </c>
      <c r="C129" s="26" t="str">
        <f>"B × h = "&amp;TEXT($C$7,"0.00")&amp;" × "&amp;TEXT($C$8,"0.00")&amp;" m;  Df = "&amp;TEXT($C$9,"0.00")&amp;" m;  muro t = "&amp;TEXT($C$10,"0.00")&amp;" m"</f>
        <v>B × h = 0.90 × 0.25 m;  Df = 0.80 m;  muro t = 0.20 m</v>
      </c>
      <c r="D129" s="4" t="s">
        <v>12</v>
      </c>
      <c r="E129" s="5" t="s">
        <v>587</v>
      </c>
      <c r="F129" s="6" t="s">
        <v>650</v>
      </c>
    </row>
    <row r="130" spans="2:6" ht="15.45" customHeight="1" x14ac:dyDescent="0.3">
      <c r="B130" s="25" t="s">
        <v>965</v>
      </c>
      <c r="C130" s="26" t="str">
        <f>$C$83&amp;" · remate: "&amp;$C$114</f>
        <v>#4 @ 27.5 cm · remate: RECTA</v>
      </c>
      <c r="D130" s="4" t="s">
        <v>12</v>
      </c>
      <c r="E130" s="5" t="s">
        <v>587</v>
      </c>
      <c r="F130" s="6" t="s">
        <v>966</v>
      </c>
    </row>
    <row r="131" spans="2:6" ht="15.45" customHeight="1" x14ac:dyDescent="0.3">
      <c r="B131" s="25" t="s">
        <v>967</v>
      </c>
      <c r="C131" s="26" t="str">
        <f>$C$105</f>
        <v>6 #3 corridas @ 14.8 cm</v>
      </c>
      <c r="D131" s="4" t="s">
        <v>12</v>
      </c>
      <c r="E131" s="5" t="s">
        <v>587</v>
      </c>
      <c r="F131" s="6" t="s">
        <v>968</v>
      </c>
    </row>
    <row r="132" spans="2:6" ht="15.45" customHeight="1" x14ac:dyDescent="0.3">
      <c r="B132" s="2" t="s">
        <v>659</v>
      </c>
      <c r="C132" s="27">
        <f ca="1">COUNTIF($C$1:$C$135,"NO CUMPLE*")</f>
        <v>0</v>
      </c>
      <c r="D132" s="4" t="s">
        <v>12</v>
      </c>
      <c r="E132" s="5" t="s">
        <v>276</v>
      </c>
      <c r="F132" s="6" t="s">
        <v>488</v>
      </c>
    </row>
  </sheetData>
  <mergeCells count="18">
    <mergeCell ref="B107:F107"/>
    <mergeCell ref="B127:F127"/>
    <mergeCell ref="B118:F118"/>
    <mergeCell ref="B35:F35"/>
    <mergeCell ref="B98:F98"/>
    <mergeCell ref="H24:N24"/>
    <mergeCell ref="H1:N1"/>
    <mergeCell ref="B23:F23"/>
    <mergeCell ref="B85:F85"/>
    <mergeCell ref="B1:F1"/>
    <mergeCell ref="H4:N4"/>
    <mergeCell ref="B2:F2"/>
    <mergeCell ref="B64:F64"/>
    <mergeCell ref="B49:F49"/>
    <mergeCell ref="B42:F42"/>
    <mergeCell ref="H2:N2"/>
    <mergeCell ref="B3:F3"/>
    <mergeCell ref="B5:F5"/>
  </mergeCells>
  <conditionalFormatting sqref="C1:N135">
    <cfRule type="expression" dxfId="7" priority="1" stopIfTrue="1">
      <formula>OR(ISNUMBER(FIND("NO CUMPLE",C1)),ISNUMBER(FIND("REVISAR",C1)),ISNUMBER(FIND("NO ALCANZA",C1)),ISNUMBER(FIND("INESTABLE",C1)))</formula>
    </cfRule>
    <cfRule type="expression" dxfId="6" priority="2">
      <formula>ISNUMBER(FIND("CUMPLE",C1))</formula>
    </cfRule>
  </conditionalFormatting>
  <dataValidations count="2">
    <dataValidation type="list" errorTitle="Valor no válido" error="Escoge un valor de la lista" sqref="C11" xr:uid="{00000000-0002-0000-0400-000000000000}">
      <formula1>"MAMPOSTERÍA,CONCRETO"</formula1>
    </dataValidation>
    <dataValidation type="list" errorTitle="Valor no válido" error="Escoge un valor de la lista" sqref="C25:C26" xr:uid="{00000000-0002-0000-0400-000001000000}">
      <formula1>"3,4,5,6,8,10,12"</formula1>
    </dataValidation>
  </dataValidations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17"/>
  <sheetViews>
    <sheetView showGridLines="0" zoomScale="85" workbookViewId="0">
      <selection activeCell="H8" sqref="H8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969</v>
      </c>
      <c r="C1" s="37"/>
      <c r="D1" s="37"/>
      <c r="E1" s="37"/>
      <c r="F1" s="37"/>
    </row>
    <row r="2" spans="2:6" ht="16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970</v>
      </c>
      <c r="C3" s="37"/>
      <c r="D3" s="37"/>
      <c r="E3" s="37"/>
      <c r="F3" s="37"/>
    </row>
    <row r="4" ht="28.95" customHeight="1" x14ac:dyDescent="0.3">
      <c r="B4" s="36" t="inlineStr">
        <is>
          <t>CÓMO SE LEE: gris oscuro grueso = concreto; ROJO = varillas del lecho inferior, dovelas y contratrabe (punto rojo = varilla cortada); AZUL = parrilla superior; VERDE = estribos del dado y de la contratrabe; café = terreno; gris punteado = plantilla; raya-punto gris = eje; azul claro = cotas; azul marino = rótulos con flecha. El corte A-A es a lo largo de X por el eje del dado (en la corrida, a través del ancho B).</t>
        </is>
      </c>
      <c r="C4" s="37"/>
      <c r="D4" s="37"/>
      <c r="E4" s="37"/>
      <c r="F4" s="37"/>
    </row>
    <row r="6" spans="2:6" ht="18" customHeight="1" x14ac:dyDescent="0.3">
      <c r="B6" s="38" t="s">
        <v>972</v>
      </c>
      <c r="C6" s="37"/>
      <c r="D6" s="37"/>
      <c r="E6" s="37"/>
      <c r="F6" s="37"/>
    </row>
    <row r="7" spans="2:6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2:6" ht="48" customHeight="1" x14ac:dyDescent="0.3">
      <c r="B8" s="2" t="s">
        <v>973</v>
      </c>
      <c r="C8" s="3" t="s">
        <v>974</v>
      </c>
      <c r="D8" s="4" t="s">
        <v>12</v>
      </c>
      <c r="E8" s="5" t="s">
        <v>307</v>
      </c>
      <c r="F8" s="6" t="s">
        <v>975</v>
      </c>
    </row>
    <row r="9" spans="2:6" ht="16.05" customHeight="1" x14ac:dyDescent="0.3">
      <c r="B9" s="25" t="s">
        <v>976</v>
      </c>
      <c r="C9" s="48" t="str">
        <f>CHOOSE(VALUE(LEFT($C$8,1)),AISLADA!$C$225,AISLADA_CT!$C$292,CORRIDA!$C$129)</f>
        <v>Lx × Ly × h = 2.60 × 2.60 × 0.50 m;  Df = 1.50 m</v>
      </c>
      <c r="D9" s="47"/>
      <c r="E9" s="47"/>
      <c r="F9" s="47"/>
    </row>
    <row r="10" spans="2:6" ht="16.05" customHeight="1" x14ac:dyDescent="0.3">
      <c r="B10" s="25" t="s">
        <v>651</v>
      </c>
      <c r="C10" s="48" t="str">
        <f>CHOOSE(VALUE(LEFT($C$8,1)),AISLADA!$C$226,AISLADA_CT!$C$293,"Transversal: "&amp;CORRIDA!$C$130&amp;" · longitudinal: "&amp;CORRIDA!$C$131)</f>
        <v>‖ X: #5 @ 20.0 cm  (13 pzas) · ‖ Y: #5 @ 20.0 cm  (13 pzas)</v>
      </c>
      <c r="D10" s="47"/>
      <c r="E10" s="47"/>
      <c r="F10" s="47"/>
    </row>
    <row r="11" spans="2:6" ht="16.05" customHeight="1" x14ac:dyDescent="0.3">
      <c r="B11" s="2" t="s">
        <v>977</v>
      </c>
      <c r="C11" s="46" t="str">
        <f>CHOOSE(VALUE(LEFT($C$8,1)),AISLADA!$C$227&amp;" · parrilla sup.: "&amp;AISLADA!$C$228,AISLADA_CT!$C$294&amp;" · parrilla sup.: "&amp;AISLADA_CT!$C$295,"Remate: "&amp;CORRIDA!$C$114)</f>
        <v>‖ X: RECTA · ‖ Y: RECTA · parrilla sup.: No lleva</v>
      </c>
      <c r="D11" s="47"/>
      <c r="E11" s="47"/>
      <c r="F11" s="47"/>
    </row>
    <row r="12" spans="2:6" ht="16.05" customHeight="1" x14ac:dyDescent="0.3">
      <c r="B12" s="2" t="s">
        <v>978</v>
      </c>
      <c r="C12" s="46" t="str">
        <f>CHOOSE(VALUE(LEFT($C$8,1)),AISLADA!$C$229,AISLADA_CT!$C$296,CORRIDA!$C$125)</f>
        <v>mín. 5 dovelas #6 con gancho 90° apoyado en la parrilla inferior</v>
      </c>
      <c r="D12" s="47"/>
      <c r="E12" s="47"/>
      <c r="F12" s="47"/>
    </row>
    <row r="13" spans="2:6" ht="28.95" customHeight="1" x14ac:dyDescent="0.3">
      <c r="B13" s="2" t="s">
        <v>979</v>
      </c>
      <c r="C13" s="46" t="str">
        <f>IF(VALUE(LEFT($C$8,1))=2,AISLADA_CT!$C$287&amp;" · "&amp;AISLADA_CT!$C$288,"No lleva")</f>
        <v>No lleva</v>
      </c>
      <c r="D13" s="47"/>
      <c r="E13" s="47"/>
      <c r="F13" s="47"/>
    </row>
    <row r="14" spans="2:6" ht="27.75" customHeight="1" x14ac:dyDescent="0.3">
      <c r="B14" s="2" t="s">
        <v>980</v>
      </c>
      <c r="C14" s="27">
        <f ca="1">CHOOSE(VALUE(LEFT($C$8,1)),AISLADA!$C$230,AISLADA_CT!$C$297,CORRIDA!$C$132)</f>
        <v>0</v>
      </c>
      <c r="D14" s="4" t="s">
        <v>12</v>
      </c>
      <c r="E14" s="5" t="s">
        <v>981</v>
      </c>
      <c r="F14" s="6" t="s">
        <v>982</v>
      </c>
    </row>
    <row r="15" spans="2:6" ht="16.05" customHeight="1" x14ac:dyDescent="0.3">
      <c r="B15" s="25" t="s">
        <v>983</v>
      </c>
      <c r="C15" s="48" t="str">
        <f ca="1">IF($C$14=0,"CUMPLE — todas las revisiones de la hoja","NO CUMPLE — hay revisiones en rojo en la hoja del tipo elegido")</f>
        <v>CUMPLE — todas las revisiones de la hoja</v>
      </c>
      <c r="D15" s="47"/>
      <c r="E15" s="47"/>
      <c r="F15" s="47"/>
    </row>
    <row r="17" spans="2:6" ht="18" customHeight="1" x14ac:dyDescent="0.3">
      <c r="B17" s="38" t="s">
        <v>984</v>
      </c>
      <c r="C17" s="37"/>
      <c r="D17" s="37"/>
      <c r="E17" s="37"/>
      <c r="F17" s="37"/>
    </row>
  </sheetData>
  <mergeCells count="12">
    <mergeCell ref="C15:F15"/>
    <mergeCell ref="B1:F1"/>
    <mergeCell ref="C11:F11"/>
    <mergeCell ref="C10:F10"/>
    <mergeCell ref="B17:F17"/>
    <mergeCell ref="B4:F4"/>
    <mergeCell ref="C13:F13"/>
    <mergeCell ref="C9:F9"/>
    <mergeCell ref="B6:F6"/>
    <mergeCell ref="B2:F2"/>
    <mergeCell ref="C12:F12"/>
    <mergeCell ref="B3:F3"/>
  </mergeCells>
  <conditionalFormatting sqref="C1:N130">
    <cfRule type="expression" dxfId="5" priority="1" stopIfTrue="1">
      <formula>OR(ISNUMBER(FIND("NO CUMPLE",C1)),ISNUMBER(FIND("REVISAR",C1)),ISNUMBER(FIND("NO ALCANZA",C1)),ISNUMBER(FIND("INESTABLE",C1)))</formula>
    </cfRule>
    <cfRule type="expression" dxfId="4" priority="2">
      <formula>ISNUMBER(FIND("CUMPLE",C1))</formula>
    </cfRule>
  </conditionalFormatting>
  <dataValidations count="1">
    <dataValidation type="list" errorTitle="Valor no válido" error="Escoge un valor de la lista" sqref="C8" xr:uid="{00000000-0002-0000-0500-000000000000}">
      <formula1>"1 · ZAPATA AISLADA,2 · AISLADA CON CONTRATRABES,3 · ZAPATA CORRIDA"</formula1>
    </dataValidation>
  </dataValidations>
  <pageMargins left="0.75" right="0.75" top="1" bottom="1" header="0.5" footer="0.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91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inlineStr">
        <is>
          <t>RESUMEN — LOS CUATRO TIPOS DE CIMENTACIÓN</t>
        </is>
      </c>
      <c r="C1" s="37"/>
      <c r="D1" s="37"/>
      <c r="E1" s="37"/>
      <c r="F1" s="37"/>
    </row>
    <row r="2" spans="2:6" ht="16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986</v>
      </c>
      <c r="C3" s="37"/>
      <c r="D3" s="37"/>
      <c r="E3" s="37"/>
      <c r="F3" s="37"/>
    </row>
    <row r="4" spans="2:6" ht="28.95" customHeight="1" x14ac:dyDescent="0.3">
      <c r="B4" s="36" t="s">
        <v>987</v>
      </c>
      <c r="C4" s="37"/>
      <c r="D4" s="37"/>
      <c r="E4" s="37"/>
      <c r="F4" s="37"/>
    </row>
    <row r="6" spans="2:6" ht="18" customHeight="1" x14ac:dyDescent="0.3">
      <c r="B6" s="38" t="s">
        <v>988</v>
      </c>
      <c r="C6" s="37"/>
      <c r="D6" s="37"/>
      <c r="E6" s="37"/>
      <c r="F6" s="37"/>
    </row>
    <row r="7" spans="2:6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2:6" ht="16.05" customHeight="1" x14ac:dyDescent="0.3">
      <c r="B8" s="2" t="s">
        <v>989</v>
      </c>
      <c r="C8" s="46" t="str">
        <f>"f'c = "&amp;DATOS!$C$15&amp;" kg/cm²  ·  fy = "&amp;DATOS!$C$18&amp;" kg/cm²  ·  γc = "&amp;TEXT(DATOS!$C$24,"0.00")&amp;" t/m³"</f>
        <v>f'c = 250 kg/cm²  ·  fy = 4200 kg/cm²  ·  γc = 2.40 t/m³</v>
      </c>
      <c r="D8" s="47"/>
      <c r="E8" s="47"/>
      <c r="F8" s="47"/>
    </row>
    <row r="9" spans="2:6" ht="16.05" customHeight="1" x14ac:dyDescent="0.3">
      <c r="B9" s="2" t="s">
        <v>990</v>
      </c>
      <c r="C9" s="46" t="str">
        <f>"qa = "&amp;TEXT(DATOS!$C$30,"0.0")&amp;" t/m²  ·  γs = "&amp;TEXT(DATOS!$C$32,"0.00")&amp;" t/m³  ·  μ = "&amp;TEXT(DATOS!$C$33,"0.00")&amp;"  ·  FS volteo = "&amp;TEXT(DATOS!$C$34,"0.0")&amp;"  ·  FS deslizamiento = "&amp;TEXT(DATOS!$C$35,"0.0")</f>
        <v>qa = 18.0 t/m²  ·  γs = 1.60 t/m³  ·  μ = 0.45  ·  FS volteo = 1.5  ·  FS deslizamiento = 1.5</v>
      </c>
      <c r="D9" s="47"/>
      <c r="E9" s="47"/>
      <c r="F9" s="47"/>
    </row>
    <row r="10" spans="2:6" ht="16.05" customHeight="1" x14ac:dyDescent="0.3">
      <c r="B10" s="2" t="s">
        <v>991</v>
      </c>
      <c r="C10" s="46" t="str">
        <f>DATOS!$C$39&amp;"  ·  combinaciones ASCE/SEI 7-16 y ACI 318-19 Tabla 5.3.1 (hoja COMBINACIONES)"</f>
        <v>SISMO  ·  combinaciones ASCE/SEI 7-16 y ACI 318-19 Tabla 5.3.1 (hoja COMBINACIONES)</v>
      </c>
      <c r="D10" s="47"/>
      <c r="E10" s="47"/>
      <c r="F10" s="47"/>
    </row>
    <row r="11" spans="2:6" ht="16.05" customHeight="1" x14ac:dyDescent="0.3">
      <c r="B11" s="25" t="s">
        <v>992</v>
      </c>
      <c r="C11" s="48" t="str">
        <f>CROQUIS!$C$8</f>
        <v>1 · ZAPATA AISLADA</v>
      </c>
      <c r="D11" s="47"/>
      <c r="E11" s="47"/>
      <c r="F11" s="47"/>
    </row>
    <row r="13" spans="2:6" ht="18" customHeight="1" x14ac:dyDescent="0.3">
      <c r="B13" s="38" t="s">
        <v>993</v>
      </c>
      <c r="C13" s="37"/>
      <c r="D13" s="37"/>
      <c r="E13" s="37"/>
      <c r="F13" s="37"/>
    </row>
    <row r="14" spans="2:6" x14ac:dyDescent="0.3"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2:6" ht="16.05" customHeight="1" x14ac:dyDescent="0.3">
      <c r="B15" s="25" t="s">
        <v>649</v>
      </c>
      <c r="C15" s="48" t="str">
        <f>AISLADA!$C$225</f>
        <v>Lx × Ly × h = 2.60 × 2.60 × 0.50 m;  Df = 1.50 m</v>
      </c>
      <c r="D15" s="47"/>
      <c r="E15" s="47"/>
      <c r="F15" s="47"/>
    </row>
    <row r="16" spans="2:6" ht="16.05" customHeight="1" x14ac:dyDescent="0.3">
      <c r="B16" s="25" t="s">
        <v>651</v>
      </c>
      <c r="C16" s="48" t="str">
        <f>AISLADA!$C$226</f>
        <v>‖ X: #5 @ 20.0 cm  (13 pzas) · ‖ Y: #5 @ 20.0 cm  (13 pzas)</v>
      </c>
      <c r="D16" s="47"/>
      <c r="E16" s="47"/>
      <c r="F16" s="47"/>
    </row>
    <row r="17" spans="2:6" ht="16.05" customHeight="1" x14ac:dyDescent="0.3">
      <c r="B17" s="2" t="s">
        <v>994</v>
      </c>
      <c r="C17" s="46" t="str">
        <f>AISLADA!$C$227</f>
        <v>‖ X: RECTA · ‖ Y: RECTA</v>
      </c>
      <c r="D17" s="47"/>
      <c r="E17" s="47"/>
      <c r="F17" s="47"/>
    </row>
    <row r="18" spans="2:6" ht="16.05" customHeight="1" x14ac:dyDescent="0.3">
      <c r="B18" s="2" t="s">
        <v>655</v>
      </c>
      <c r="C18" s="46" t="str">
        <f>AISLADA!$C$228</f>
        <v>No lleva</v>
      </c>
      <c r="D18" s="47"/>
      <c r="E18" s="47"/>
      <c r="F18" s="47"/>
    </row>
    <row r="19" spans="2:6" ht="16.05" customHeight="1" x14ac:dyDescent="0.3">
      <c r="B19" s="2" t="s">
        <v>657</v>
      </c>
      <c r="C19" s="46" t="str">
        <f>AISLADA!$C$229</f>
        <v>mín. 5 dovelas #6 con gancho 90° apoyado en la parrilla inferior</v>
      </c>
      <c r="D19" s="47"/>
      <c r="E19" s="47"/>
      <c r="F19" s="47"/>
    </row>
    <row r="20" spans="2:6" ht="15.45" customHeight="1" x14ac:dyDescent="0.3">
      <c r="B20" s="2" t="s">
        <v>995</v>
      </c>
      <c r="C20" s="9">
        <f>AISLADA!$C$72</f>
        <v>0.75459765210135</v>
      </c>
      <c r="D20" s="4" t="s">
        <v>12</v>
      </c>
      <c r="E20" s="5" t="s">
        <v>996</v>
      </c>
      <c r="F20" s="6" t="s">
        <v>997</v>
      </c>
    </row>
    <row r="21" spans="2:6" ht="15.45" customHeight="1" x14ac:dyDescent="0.3">
      <c r="B21" s="2" t="s">
        <v>998</v>
      </c>
      <c r="C21" s="9">
        <f>MIN(10,MIN(AISLADA!$C$79,AISLADA!$C$80)/DATOS!$C$34)</f>
        <v>2.74571446438622</v>
      </c>
      <c r="D21" s="4" t="s">
        <v>12</v>
      </c>
      <c r="E21" s="5" t="s">
        <v>999</v>
      </c>
      <c r="F21" s="6" t="s">
        <v>997</v>
      </c>
    </row>
    <row r="22" spans="2:6" ht="15.45" customHeight="1" x14ac:dyDescent="0.3">
      <c r="B22" s="2" t="s">
        <v>1000</v>
      </c>
      <c r="C22" s="9">
        <f>MIN(10,AISLADA!$C$82/DATOS!$C$35)</f>
        <v>3.104110351206</v>
      </c>
      <c r="D22" s="4" t="s">
        <v>12</v>
      </c>
      <c r="E22" s="5" t="s">
        <v>999</v>
      </c>
      <c r="F22" s="6" t="s">
        <v>997</v>
      </c>
    </row>
    <row r="23" spans="2:6" ht="15.45" customHeight="1" x14ac:dyDescent="0.3">
      <c r="B23" s="2" t="s">
        <v>1001</v>
      </c>
      <c r="C23" s="9">
        <f>AISLADA!$C$107</f>
        <v>0.397245766210046</v>
      </c>
      <c r="D23" s="4" t="s">
        <v>12</v>
      </c>
      <c r="E23" s="5" t="s">
        <v>1002</v>
      </c>
      <c r="F23" s="6" t="s">
        <v>1003</v>
      </c>
    </row>
    <row r="24" spans="2:6" ht="27.75" customHeight="1" x14ac:dyDescent="0.3">
      <c r="B24" s="2" t="s">
        <v>1004</v>
      </c>
      <c r="C24" s="9">
        <f>MAX(AISLADA!$C$160/AISLADA!$C$165,AISLADA!$C$167/AISLADA!$C$172)</f>
        <v>0.522380451818951</v>
      </c>
      <c r="D24" s="4" t="s">
        <v>12</v>
      </c>
      <c r="E24" s="5" t="s">
        <v>1002</v>
      </c>
      <c r="F24" s="6" t="s">
        <v>1005</v>
      </c>
    </row>
    <row r="25" spans="2:6" ht="15.45" customHeight="1" x14ac:dyDescent="0.3">
      <c r="B25" s="2" t="s">
        <v>1006</v>
      </c>
      <c r="C25" s="9">
        <f>MAX(AISLADA!$C$112/AISLADA!$C$130,AISLADA!$C$136/AISLADA!$C$154)</f>
        <v>0.407802329147185</v>
      </c>
      <c r="D25" s="4" t="s">
        <v>12</v>
      </c>
      <c r="E25" s="5" t="s">
        <v>1002</v>
      </c>
      <c r="F25" s="6" t="s">
        <v>1007</v>
      </c>
    </row>
    <row r="26" spans="2:6" ht="15.45" customHeight="1" x14ac:dyDescent="0.3">
      <c r="B26" s="2" t="s">
        <v>1008</v>
      </c>
      <c r="C26" s="9">
        <f>AISLADA!$C$217/AISLADA!$C$218</f>
        <v>0.969772617491862</v>
      </c>
      <c r="D26" s="4" t="s">
        <v>12</v>
      </c>
      <c r="E26" s="5" t="s">
        <v>1002</v>
      </c>
      <c r="F26" s="6" t="s">
        <v>1009</v>
      </c>
    </row>
    <row r="27" spans="2:6" ht="15.45" customHeight="1" x14ac:dyDescent="0.3">
      <c r="B27" s="2" t="s">
        <v>1010</v>
      </c>
      <c r="C27" s="9">
        <f>AISLADA!$C$7*AISLADA!$C$8*AISLADA!$C$9</f>
        <v>3.38</v>
      </c>
      <c r="D27" s="4" t="s">
        <v>1011</v>
      </c>
      <c r="E27" s="5" t="s">
        <v>1012</v>
      </c>
      <c r="F27" s="6" t="s">
        <v>1013</v>
      </c>
    </row>
    <row r="28" spans="2:6" ht="15.45" customHeight="1" x14ac:dyDescent="0.3">
      <c r="B28" s="2" t="s">
        <v>1014</v>
      </c>
      <c r="C28" s="9">
        <f>DATOS!$C$64*DATOS!$C$65*AISLADA!$C$17</f>
        <v>0.2875</v>
      </c>
      <c r="D28" s="4" t="s">
        <v>1011</v>
      </c>
      <c r="E28" s="5" t="s">
        <v>1015</v>
      </c>
      <c r="F28" s="6" t="s">
        <v>1013</v>
      </c>
    </row>
    <row r="29" spans="2:6" ht="27.75" customHeight="1" x14ac:dyDescent="0.3">
      <c r="B29" s="2" t="s">
        <v>1016</v>
      </c>
      <c r="C29" s="11">
        <f>AISLADA!$C$123*(AISLADA!$C$7-2*AISLADA!$C$12/100+IF(AISLADA!$C$196="GANCHO 90°",2*12*AISLADA!$C$38/100,0))*INDEX(TABLAS!$E$6:$E$13,MATCH(AISLADA!$C$31,TABLAS!$B$6:$B$13,0))+AISLADA!$C$147*(AISLADA!$C$8-2*AISLADA!$C$12/100+IF(AISLADA!$C$203="GANCHO 90°",2*12*AISLADA!$C$40/100,0))*INDEX(TABLAS!$E$6:$E$13,MATCH(AISLADA!$C$32,TABLAS!$B$6:$B$13,0))+AISLADA!$C$184*(AISLADA!$C$7-2*AISLADA!$C$12/100)*INDEX(TABLAS!$E$6:$E$13,MATCH(AISLADA!$C$37,TABLAS!$B$6:$B$13,0))+AISLADA!$C$185*(AISLADA!$C$8-2*AISLADA!$C$12/100)*INDEX(TABLAS!$E$6:$E$13,MATCH(AISLADA!$C$37,TABLAS!$B$6:$B$13,0))</f>
        <v>98.8624</v>
      </c>
      <c r="D29" s="4" t="s">
        <v>1017</v>
      </c>
      <c r="E29" s="5" t="s">
        <v>1018</v>
      </c>
      <c r="F29" s="6" t="s">
        <v>139</v>
      </c>
    </row>
    <row r="30" spans="2:6" ht="16.05" customHeight="1" x14ac:dyDescent="0.3">
      <c r="B30" s="25" t="s">
        <v>1019</v>
      </c>
      <c r="C30" s="48" t="str">
        <f ca="1">IF(AISLADA!$C$230=0,"CUMPLE — todas las revisiones","NO CUMPLE — "&amp;AISLADA!$C$230&amp;" revisión(es) en rojo en la hoja AISLADA")</f>
        <v>CUMPLE — todas las revisiones</v>
      </c>
      <c r="D30" s="47"/>
      <c r="E30" s="47"/>
      <c r="F30" s="47"/>
    </row>
    <row r="32" spans="2:6" ht="18" customHeight="1" x14ac:dyDescent="0.3">
      <c r="B32" s="38" t="s">
        <v>1020</v>
      </c>
      <c r="C32" s="37"/>
      <c r="D32" s="37"/>
      <c r="E32" s="37"/>
      <c r="F32" s="37"/>
    </row>
    <row r="33" spans="2:6" x14ac:dyDescent="0.3"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</row>
    <row r="34" spans="2:6" ht="16.05" customHeight="1" x14ac:dyDescent="0.3">
      <c r="B34" s="25" t="s">
        <v>649</v>
      </c>
      <c r="C34" s="48" t="str">
        <f>AISLADA_CT!$C$292</f>
        <v>Lx × Ly × h = 2.00 × 2.00 × 0.50 m;  Df = 1.50 m</v>
      </c>
      <c r="D34" s="47"/>
      <c r="E34" s="47"/>
      <c r="F34" s="47"/>
    </row>
    <row r="35" spans="2:6" ht="16.05" customHeight="1" x14ac:dyDescent="0.3">
      <c r="B35" s="25" t="s">
        <v>651</v>
      </c>
      <c r="C35" s="48" t="str">
        <f>AISLADA_CT!$C$293</f>
        <v>‖ X: #5 @ 20.0 cm  (10 pzas) · ‖ Y: #5 @ 20.0 cm  (10 pzas)</v>
      </c>
      <c r="D35" s="47"/>
      <c r="E35" s="47"/>
      <c r="F35" s="47"/>
    </row>
    <row r="36" spans="2:6" ht="16.05" customHeight="1" x14ac:dyDescent="0.3">
      <c r="B36" s="2" t="s">
        <v>994</v>
      </c>
      <c r="C36" s="46" t="str">
        <f>AISLADA_CT!$C$294</f>
        <v>‖ X: RECTA · ‖ Y: RECTA</v>
      </c>
      <c r="D36" s="47"/>
      <c r="E36" s="47"/>
      <c r="F36" s="47"/>
    </row>
    <row r="37" spans="2:6" ht="16.05" customHeight="1" x14ac:dyDescent="0.3">
      <c r="B37" s="2" t="s">
        <v>655</v>
      </c>
      <c r="C37" s="46" t="str">
        <f>AISLADA_CT!$C$295</f>
        <v>No lleva</v>
      </c>
      <c r="D37" s="47"/>
      <c r="E37" s="47"/>
      <c r="F37" s="47"/>
    </row>
    <row r="38" spans="2:6" ht="16.05" customHeight="1" x14ac:dyDescent="0.3">
      <c r="B38" s="2" t="s">
        <v>657</v>
      </c>
      <c r="C38" s="46" t="str">
        <f>AISLADA_CT!$C$296</f>
        <v>mín. 5 dovelas #6 con gancho 90° apoyado en la parrilla inferior</v>
      </c>
      <c r="D38" s="47"/>
      <c r="E38" s="47"/>
      <c r="F38" s="47"/>
    </row>
    <row r="39" spans="2:6" ht="16.05" customHeight="1" x14ac:dyDescent="0.3">
      <c r="B39" s="25" t="s">
        <v>1021</v>
      </c>
      <c r="C39" s="48" t="str">
        <f>AISLADA_CT!$C$287</f>
        <v>3 #6 arriba + 3 #6 abajo, corridas</v>
      </c>
      <c r="D39" s="47"/>
      <c r="E39" s="47"/>
      <c r="F39" s="47"/>
    </row>
    <row r="40" spans="2:6" ht="16.05" customHeight="1" x14ac:dyDescent="0.3">
      <c r="B40" s="25" t="s">
        <v>1022</v>
      </c>
      <c r="C40" s="48" t="str">
        <f>AISLADA_CT!$C$288</f>
        <v>E#3 (2 ramas) @ 10.0 cm en 1.20 m desde cada paño; resto @ 15.0 cm</v>
      </c>
      <c r="D40" s="47"/>
      <c r="E40" s="47"/>
      <c r="F40" s="47"/>
    </row>
    <row r="41" spans="2:6" ht="15.45" customHeight="1" x14ac:dyDescent="0.3">
      <c r="B41" s="2" t="s">
        <v>995</v>
      </c>
      <c r="C41" s="9">
        <f>AISLADA_CT!$C$73</f>
        <v>0.745</v>
      </c>
      <c r="D41" s="4" t="s">
        <v>12</v>
      </c>
      <c r="E41" s="5" t="s">
        <v>996</v>
      </c>
      <c r="F41" s="6" t="s">
        <v>1023</v>
      </c>
    </row>
    <row r="42" spans="2:6" ht="15.45" customHeight="1" x14ac:dyDescent="0.3">
      <c r="B42" s="2" t="s">
        <v>998</v>
      </c>
      <c r="C42" s="9">
        <f>MIN(10,MIN(AISLADA_CT!$C$80,AISLADA_CT!$C$81)/DATOS!$C$34)</f>
        <v>10</v>
      </c>
      <c r="D42" s="4" t="s">
        <v>12</v>
      </c>
      <c r="E42" s="5" t="s">
        <v>999</v>
      </c>
      <c r="F42" s="6" t="s">
        <v>1023</v>
      </c>
    </row>
    <row r="43" spans="2:6" ht="15.45" customHeight="1" x14ac:dyDescent="0.3">
      <c r="B43" s="2" t="s">
        <v>1000</v>
      </c>
      <c r="C43" s="9">
        <f>MIN(10,AISLADA_CT!$C$83/DATOS!$C$35)</f>
        <v>10</v>
      </c>
      <c r="D43" s="4" t="s">
        <v>12</v>
      </c>
      <c r="E43" s="5" t="s">
        <v>999</v>
      </c>
      <c r="F43" s="6" t="s">
        <v>1023</v>
      </c>
    </row>
    <row r="44" spans="2:6" ht="15.45" customHeight="1" x14ac:dyDescent="0.3">
      <c r="B44" s="2" t="s">
        <v>1001</v>
      </c>
      <c r="C44" s="9">
        <f>AISLADA_CT!$C$108</f>
        <v>0.239112299434185</v>
      </c>
      <c r="D44" s="4" t="s">
        <v>12</v>
      </c>
      <c r="E44" s="5" t="s">
        <v>1002</v>
      </c>
      <c r="F44" s="6" t="s">
        <v>1024</v>
      </c>
    </row>
    <row r="45" spans="2:6" ht="27.75" customHeight="1" x14ac:dyDescent="0.3">
      <c r="B45" s="2" t="s">
        <v>1004</v>
      </c>
      <c r="C45" s="9">
        <f>MAX(AISLADA_CT!$C$161/AISLADA_CT!$C$166,AISLADA_CT!$C$168/AISLADA_CT!$C$173)</f>
        <v>0.360649433893002</v>
      </c>
      <c r="D45" s="4" t="s">
        <v>12</v>
      </c>
      <c r="E45" s="5" t="s">
        <v>1002</v>
      </c>
      <c r="F45" s="6" t="s">
        <v>1025</v>
      </c>
    </row>
    <row r="46" spans="2:6" ht="15.45" customHeight="1" x14ac:dyDescent="0.3">
      <c r="B46" s="2" t="s">
        <v>1006</v>
      </c>
      <c r="C46" s="9">
        <f>MAX(AISLADA_CT!$C$113/AISLADA_CT!$C$131,AISLADA_CT!$C$137/AISLADA_CT!$C$155)</f>
        <v>0.268984372851968</v>
      </c>
      <c r="D46" s="4" t="s">
        <v>12</v>
      </c>
      <c r="E46" s="5" t="s">
        <v>1002</v>
      </c>
      <c r="F46" s="6" t="s">
        <v>1026</v>
      </c>
    </row>
    <row r="47" spans="2:6" ht="15.45" customHeight="1" x14ac:dyDescent="0.3">
      <c r="B47" s="2" t="s">
        <v>1008</v>
      </c>
      <c r="C47" s="9">
        <f>AISLADA_CT!$C$218/AISLADA_CT!$C$219</f>
        <v>0.969772617491862</v>
      </c>
      <c r="D47" s="4" t="s">
        <v>12</v>
      </c>
      <c r="E47" s="5" t="s">
        <v>1002</v>
      </c>
      <c r="F47" s="6" t="s">
        <v>1027</v>
      </c>
    </row>
    <row r="48" spans="2:6" ht="15.45" customHeight="1" x14ac:dyDescent="0.3">
      <c r="B48" s="2" t="s">
        <v>1010</v>
      </c>
      <c r="C48" s="9">
        <f>AISLADA_CT!$C$8*AISLADA_CT!$C$9*AISLADA_CT!$C$10</f>
        <v>2</v>
      </c>
      <c r="D48" s="4" t="s">
        <v>1011</v>
      </c>
      <c r="E48" s="5" t="s">
        <v>1012</v>
      </c>
      <c r="F48" s="6" t="s">
        <v>1013</v>
      </c>
    </row>
    <row r="49" spans="2:6" ht="15.45" customHeight="1" x14ac:dyDescent="0.3">
      <c r="B49" s="2" t="s">
        <v>1014</v>
      </c>
      <c r="C49" s="9">
        <f>DATOS!$C$64*DATOS!$C$65*AISLADA_CT!$C$18</f>
        <v>0.2875</v>
      </c>
      <c r="D49" s="4" t="s">
        <v>1011</v>
      </c>
      <c r="E49" s="5" t="s">
        <v>1015</v>
      </c>
      <c r="F49" s="6" t="s">
        <v>1013</v>
      </c>
    </row>
    <row r="50" spans="2:6" ht="27.75" customHeight="1" x14ac:dyDescent="0.3">
      <c r="B50" s="2" t="s">
        <v>1016</v>
      </c>
      <c r="C50" s="11">
        <f>AISLADA_CT!$C$124*(AISLADA_CT!$C$8-2*AISLADA_CT!$C$13/100+IF(AISLADA_CT!$C$197="GANCHO 90°",2*12*AISLADA_CT!$C$39/100,0))*INDEX(TABLAS!$E$6:$E$13,MATCH(AISLADA_CT!$C$32,TABLAS!$B$6:$B$13,0))+AISLADA_CT!$C$148*(AISLADA_CT!$C$9-2*AISLADA_CT!$C$13/100+IF(AISLADA_CT!$C$204="GANCHO 90°",2*12*AISLADA_CT!$C$41/100,0))*INDEX(TABLAS!$E$6:$E$13,MATCH(AISLADA_CT!$C$33,TABLAS!$B$6:$B$13,0))+AISLADA_CT!$C$185*(AISLADA_CT!$C$8-2*AISLADA_CT!$C$13/100)*INDEX(TABLAS!$E$6:$E$13,MATCH(AISLADA_CT!$C$38,TABLAS!$B$6:$B$13,0))+AISLADA_CT!$C$186*(AISLADA_CT!$C$9-2*AISLADA_CT!$C$13/100)*INDEX(TABLAS!$E$6:$E$13,MATCH(AISLADA_CT!$C$38,TABLAS!$B$6:$B$13,0))</f>
        <v>57.424</v>
      </c>
      <c r="D50" s="4" t="s">
        <v>1017</v>
      </c>
      <c r="E50" s="5" t="s">
        <v>1018</v>
      </c>
      <c r="F50" s="6" t="s">
        <v>139</v>
      </c>
    </row>
    <row r="51" spans="2:6" ht="15.45" customHeight="1" x14ac:dyDescent="0.3">
      <c r="B51" s="2" t="s">
        <v>1028</v>
      </c>
      <c r="C51" s="10">
        <f>AISLADA_CT!$C$226*AISLADA_CT!$C$227</f>
        <v>0.18</v>
      </c>
      <c r="D51" s="4" t="s">
        <v>1029</v>
      </c>
      <c r="E51" s="5" t="s">
        <v>1030</v>
      </c>
      <c r="F51" s="6" t="s">
        <v>1013</v>
      </c>
    </row>
    <row r="52" spans="2:6" ht="27.75" customHeight="1" x14ac:dyDescent="0.3">
      <c r="B52" s="2" t="s">
        <v>1031</v>
      </c>
      <c r="C52" s="11">
        <f>(AISLADA_CT!$C$253+AISLADA_CT!$C$255)*INDEX(TABLAS!$E$6:$E$13,MATCH(AISLADA_CT!$C$232,TABLAS!$B$6:$B$13,0))+(AISLADA_CT!$C$234*(AISLADA_CT!$C$227-2*AISLADA_CT!$C$231/100)+2*(AISLADA_CT!$C$226-2*AISLADA_CT!$C$231/100)+0.2)*INDEX(TABLAS!$E$6:$E$13,MATCH(AISLADA_CT!$C$233,TABLAS!$B$6:$B$13,0))*100/AISLADA_CT!$C$281</f>
        <v>19.3726666666667</v>
      </c>
      <c r="D52" s="4" t="s">
        <v>1032</v>
      </c>
      <c r="E52" s="5" t="s">
        <v>1033</v>
      </c>
      <c r="F52" s="6" t="s">
        <v>139</v>
      </c>
    </row>
    <row r="53" spans="2:6" ht="16.05" customHeight="1" x14ac:dyDescent="0.3">
      <c r="B53" s="25" t="s">
        <v>1019</v>
      </c>
      <c r="C53" s="48" t="str">
        <f ca="1">IF(AISLADA_CT!$C$297=0,"CUMPLE — todas las revisiones","NO CUMPLE — "&amp;AISLADA_CT!$C$297&amp;" revisión(es) en rojo en la hoja AISLADA_CT")</f>
        <v>CUMPLE — todas las revisiones</v>
      </c>
      <c r="D53" s="47"/>
      <c r="E53" s="47"/>
      <c r="F53" s="47"/>
    </row>
    <row r="55" spans="2:6" ht="18" customHeight="1" x14ac:dyDescent="0.3">
      <c r="B55" s="38" t="s">
        <v>1034</v>
      </c>
      <c r="C55" s="37"/>
      <c r="D55" s="37"/>
      <c r="E55" s="37"/>
      <c r="F55" s="37"/>
    </row>
    <row r="56" spans="2:6" x14ac:dyDescent="0.3">
      <c r="B56" s="1" t="s">
        <v>5</v>
      </c>
      <c r="C56" s="1" t="s">
        <v>6</v>
      </c>
      <c r="D56" s="1" t="s">
        <v>7</v>
      </c>
      <c r="E56" s="1" t="s">
        <v>8</v>
      </c>
      <c r="F56" s="1" t="s">
        <v>9</v>
      </c>
    </row>
    <row r="57" spans="2:6" ht="16.05" customHeight="1" x14ac:dyDescent="0.3">
      <c r="B57" s="25" t="s">
        <v>649</v>
      </c>
      <c r="C57" s="48" t="str">
        <f>CORRIDA!$C$129</f>
        <v>B × h = 0.90 × 0.25 m;  Df = 0.80 m;  muro t = 0.20 m</v>
      </c>
      <c r="D57" s="47"/>
      <c r="E57" s="47"/>
      <c r="F57" s="47"/>
    </row>
    <row r="58" spans="2:6" ht="16.05" customHeight="1" x14ac:dyDescent="0.3">
      <c r="B58" s="25" t="s">
        <v>965</v>
      </c>
      <c r="C58" s="48" t="str">
        <f>CORRIDA!$C$130</f>
        <v>#4 @ 27.5 cm · remate: RECTA</v>
      </c>
      <c r="D58" s="47"/>
      <c r="E58" s="47"/>
      <c r="F58" s="47"/>
    </row>
    <row r="59" spans="2:6" ht="16.05" customHeight="1" x14ac:dyDescent="0.3">
      <c r="B59" s="25" t="s">
        <v>967</v>
      </c>
      <c r="C59" s="48" t="str">
        <f>CORRIDA!$C$131</f>
        <v>6 #3 corridas @ 14.8 cm</v>
      </c>
      <c r="D59" s="47"/>
      <c r="E59" s="47"/>
      <c r="F59" s="47"/>
    </row>
    <row r="60" spans="2:6" ht="15.45" customHeight="1" x14ac:dyDescent="0.3">
      <c r="B60" s="2" t="s">
        <v>995</v>
      </c>
      <c r="C60" s="9">
        <f>CORRIDA!$C$53</f>
        <v>0.622901234567901</v>
      </c>
      <c r="D60" s="4" t="s">
        <v>12</v>
      </c>
      <c r="E60" s="5" t="s">
        <v>996</v>
      </c>
      <c r="F60" s="6" t="s">
        <v>1035</v>
      </c>
    </row>
    <row r="61" spans="2:6" ht="15.45" customHeight="1" x14ac:dyDescent="0.3">
      <c r="B61" s="2" t="s">
        <v>998</v>
      </c>
      <c r="C61" s="9">
        <f>MIN(10,CORRIDA!$C$59/DATOS!$C$34)</f>
        <v>2.25732718894009</v>
      </c>
      <c r="D61" s="4" t="s">
        <v>12</v>
      </c>
      <c r="E61" s="5" t="s">
        <v>999</v>
      </c>
      <c r="F61" s="6" t="s">
        <v>1035</v>
      </c>
    </row>
    <row r="62" spans="2:6" ht="15.45" customHeight="1" x14ac:dyDescent="0.3">
      <c r="B62" s="2" t="s">
        <v>1000</v>
      </c>
      <c r="C62" s="9">
        <f>MIN(10,CORRIDA!$C$61/DATOS!$C$35)</f>
        <v>3.49885714285714</v>
      </c>
      <c r="D62" s="4" t="s">
        <v>12</v>
      </c>
      <c r="E62" s="5" t="s">
        <v>999</v>
      </c>
      <c r="F62" s="6" t="s">
        <v>1035</v>
      </c>
    </row>
    <row r="63" spans="2:6" ht="15.45" customHeight="1" x14ac:dyDescent="0.3">
      <c r="B63" s="2" t="s">
        <v>1036</v>
      </c>
      <c r="C63" s="9">
        <f>CORRIDA!$C$87/CORRIDA!$C$92</f>
        <v>0.628959072331687</v>
      </c>
      <c r="D63" s="4" t="s">
        <v>12</v>
      </c>
      <c r="E63" s="5" t="s">
        <v>1002</v>
      </c>
      <c r="F63" s="6" t="s">
        <v>1037</v>
      </c>
    </row>
    <row r="64" spans="2:6" ht="15.45" customHeight="1" x14ac:dyDescent="0.3">
      <c r="B64" s="2" t="s">
        <v>1038</v>
      </c>
      <c r="C64" s="9">
        <f>CORRIDA!$C$66/CORRIDA!$C$81</f>
        <v>0.356021451916924</v>
      </c>
      <c r="D64" s="4" t="s">
        <v>12</v>
      </c>
      <c r="E64" s="5" t="s">
        <v>1002</v>
      </c>
      <c r="F64" s="6" t="s">
        <v>1039</v>
      </c>
    </row>
    <row r="65" spans="2:6" ht="15.45" customHeight="1" x14ac:dyDescent="0.3">
      <c r="B65" s="2" t="s">
        <v>1040</v>
      </c>
      <c r="C65" s="10">
        <f>CORRIDA!$C$7*CORRIDA!$C$8</f>
        <v>0.225</v>
      </c>
      <c r="D65" s="4" t="s">
        <v>1029</v>
      </c>
      <c r="E65" s="5" t="s">
        <v>1041</v>
      </c>
      <c r="F65" s="6" t="s">
        <v>1013</v>
      </c>
    </row>
    <row r="66" spans="2:6" ht="15.45" customHeight="1" x14ac:dyDescent="0.3">
      <c r="B66" s="2" t="s">
        <v>1042</v>
      </c>
      <c r="C66" s="9">
        <f>100/CORRIDA!$C$74*(CORRIDA!$C$7-2*CORRIDA!$C$14/100+IF(CORRIDA!$C$114="GANCHO 90°",2*12*CORRIDA!$C$28/100,0))*INDEX(TABLAS!$E$6:$E$13,MATCH(CORRIDA!$C$25,TABLAS!$B$6:$B$13,0))+CORRIDA!$C$102*INDEX(TABLAS!$E$6:$E$13,MATCH(CORRIDA!$C$26,TABLAS!$B$6:$B$13,0))</f>
        <v>6.06490909090909</v>
      </c>
      <c r="D66" s="4" t="s">
        <v>1032</v>
      </c>
      <c r="E66" s="5" t="s">
        <v>1043</v>
      </c>
      <c r="F66" s="6" t="s">
        <v>139</v>
      </c>
    </row>
    <row r="67" spans="2:6" ht="16.05" customHeight="1" x14ac:dyDescent="0.3">
      <c r="B67" s="25" t="s">
        <v>1019</v>
      </c>
      <c r="C67" s="48" t="str">
        <f ca="1">IF(CORRIDA!$C$132=0,"CUMPLE — todas las revisiones","NO CUMPLE — "&amp;CORRIDA!$C$132&amp;" revisión(es) en rojo en la hoja CORRIDA")</f>
        <v>CUMPLE — todas las revisiones</v>
      </c>
      <c r="D67" s="47"/>
      <c r="E67" s="47"/>
      <c r="F67" s="47"/>
    </row>
    <row r="69" spans="2:6" ht="18" customHeight="1" x14ac:dyDescent="0.3">
      <c r="B69" s="38" t="inlineStr">
        <is>
          <t>4. ZAPATA DE LINDERO (dado al paño del lindero)</t>
        </is>
      </c>
      <c r="C69" s="37"/>
      <c r="D69" s="37"/>
      <c r="E69" s="37"/>
      <c r="F69" s="37"/>
    </row>
    <row r="70" spans="2:6" x14ac:dyDescent="0.3">
      <c r="B70" s="1" t="inlineStr">
        <is>
          <t>Concepto</t>
        </is>
      </c>
      <c r="C70" s="1" t="inlineStr">
        <is>
          <t>Valor</t>
        </is>
      </c>
      <c r="D70" s="1" t="inlineStr">
        <is>
          <t>Unidad</t>
        </is>
      </c>
      <c r="E70" s="1" t="inlineStr">
        <is>
          <t>Cómo se calcula / de dónde sale</t>
        </is>
      </c>
      <c r="F70" s="1" t="inlineStr">
        <is>
          <t>Referencia</t>
        </is>
      </c>
    </row>
    <row r="71" spans="2:6" ht="16.05" customHeight="1" x14ac:dyDescent="0.3">
      <c r="B71" s="25" t="inlineStr">
        <is>
          <t>Zapata</t>
        </is>
      </c>
      <c r="C71" s="48" t="str">
        <f>LINDERO!$C$302</f>
        <v>Lx × Ly × h = 1.80 × 2.60 × 0.50 m;  Df = 1.50 m;  dado al paño del lindero</v>
      </c>
      <c r="D71" s="47"/>
      <c r="E71" s="47"/>
      <c r="F71" s="47"/>
    </row>
    <row r="72" spans="2:6" ht="16.05" customHeight="1" x14ac:dyDescent="0.3">
      <c r="B72" s="25" t="inlineStr">
        <is>
          <t>Lecho inferior</t>
        </is>
      </c>
      <c r="C72" s="48" t="str">
        <f>LINDERO!$C$303</f>
        <v>‖ X: #5 @ 20.0 cm  (13 pzas) · ‖ Y: #5 @ 20.0 cm  (9 pzas)</v>
      </c>
      <c r="D72" s="47"/>
      <c r="E72" s="47"/>
      <c r="F72" s="47"/>
    </row>
    <row r="73" spans="2:6" ht="16.05" customHeight="1" x14ac:dyDescent="0.3">
      <c r="B73" s="25" t="inlineStr">
        <is>
          <t>Remate de las varillas</t>
        </is>
      </c>
      <c r="C73" s="48" t="str">
        <f>LINDERO!$C$304</f>
        <v>‖ X: RECTA en el lindero, RECTA adentro · ‖ Y: RECTA</v>
      </c>
      <c r="D73" s="47"/>
      <c r="E73" s="47"/>
      <c r="F73" s="47"/>
    </row>
    <row r="74" spans="2:6" ht="16.05" customHeight="1" x14ac:dyDescent="0.3">
      <c r="B74" s="25" t="inlineStr">
        <is>
          <t>Parrilla superior</t>
        </is>
      </c>
      <c r="C74" s="48" t="str">
        <f>LINDERO!$C$305</f>
        <v>No lleva</v>
      </c>
      <c r="D74" s="47"/>
      <c r="E74" s="47"/>
      <c r="F74" s="47"/>
    </row>
    <row r="75" spans="2:6" ht="16.05" customHeight="1" x14ac:dyDescent="0.3">
      <c r="B75" s="25" t="inlineStr">
        <is>
          <t>Dovelas</t>
        </is>
      </c>
      <c r="C75" s="48" t="str">
        <f>LINDERO!$C$306</f>
        <v>mín. 5 dovelas #6 con gancho 90° apoyado en la parrilla inferior</v>
      </c>
      <c r="D75" s="47"/>
      <c r="E75" s="47"/>
      <c r="F75" s="47"/>
    </row>
    <row r="76" spans="2:6" ht="16.05" customHeight="1" x14ac:dyDescent="0.3">
      <c r="B76" s="25" t="inlineStr">
        <is>
          <t>Contratrabe de equilibrio — longitudinal</t>
        </is>
      </c>
      <c r="C76" s="48" t="str">
        <f>LINDERO!$C$307</f>
        <v>6 #6 arriba + 5 #6 abajo, corridas</v>
      </c>
      <c r="D76" s="47"/>
      <c r="E76" s="47"/>
      <c r="F76" s="47"/>
    </row>
    <row r="77" spans="2:6" ht="16.05" customHeight="1" x14ac:dyDescent="0.3">
      <c r="B77" s="25" t="inlineStr">
        <is>
          <t>Contratrabe de equilibrio — estribos</t>
        </is>
      </c>
      <c r="C77" s="48" t="str">
        <f>LINDERO!$C$308</f>
        <v>E#4 (2 ramas) @ 10.0 cm en 1.80 m desde cada paño; resto @ 15.0 cm</v>
      </c>
      <c r="D77" s="47"/>
      <c r="E77" s="47"/>
      <c r="F77" s="47"/>
    </row>
    <row r="78" spans="2:6" ht="15.45" customHeight="1" x14ac:dyDescent="0.3">
      <c r="B78" s="2" t="inlineStr">
        <is>
          <t>q_máx / q_adm</t>
        </is>
      </c>
      <c r="C78" s="9">
        <f>LINDERO!$C$77</f>
        <v>0.9100000392565691</v>
      </c>
      <c r="D78" s="4" t="inlineStr">
        <is>
          <t>—</t>
        </is>
      </c>
      <c r="E78" s="5" t="inlineStr">
        <is>
          <t>Presión de servicio contra la admisible.</t>
        </is>
      </c>
      <c r="F78" s="6" t="inlineStr">
        <is>
          <t>Hoja LINDERO, sección 5</t>
        </is>
      </c>
    </row>
    <row r="79" spans="2:6" ht="15.45" customHeight="1" x14ac:dyDescent="0.3">
      <c r="B79" s="2" t="inlineStr">
        <is>
          <t>FS mínimo al volteo / FS exigido</t>
        </is>
      </c>
      <c r="C79" s="9">
        <f>MIN(10,MIN(LINDERO!$C$84,LINDERO!$C$85)/DATOS!$C$34)</f>
        <v>3.13057197914295</v>
      </c>
      <c r="D79" s="4" t="inlineStr">
        <is>
          <t>—</t>
        </is>
      </c>
      <c r="E79" s="5" t="inlineStr">
        <is>
          <t>≥ 1.00 cumple (se muestra hasta 10).</t>
        </is>
      </c>
      <c r="F79" s="6" t="inlineStr">
        <is>
          <t>Hoja LINDERO, sección 5</t>
        </is>
      </c>
    </row>
    <row r="80" spans="2:6" ht="15.45" customHeight="1" x14ac:dyDescent="0.3">
      <c r="B80" s="2" t="inlineStr">
        <is>
          <t>FS mínimo al deslizamiento / FS exigido</t>
        </is>
      </c>
      <c r="C80" s="9">
        <f>MIN(10,LINDERO!$C$87/DATOS!$C$35)</f>
        <v>3.070658651968333</v>
      </c>
      <c r="D80" s="4" t="inlineStr">
        <is>
          <t>—</t>
        </is>
      </c>
      <c r="E80" s="5" t="inlineStr">
        <is>
          <t>≥ 1.00 cumple (se muestra hasta 10).</t>
        </is>
      </c>
      <c r="F80" s="6" t="inlineStr">
        <is>
          <t>Hoja LINDERO, sección 5</t>
        </is>
      </c>
    </row>
    <row r="81" spans="2:6" ht="15.45" customHeight="1" x14ac:dyDescent="0.3">
      <c r="B81" s="2" t="inlineStr">
        <is>
          <t>Penetración: vu / φvc (columna de borde)</t>
        </is>
      </c>
      <c r="C81" s="9">
        <f>LINDERO!$C$118</f>
        <v>0.7586884102729171</v>
      </c>
      <c r="D81" s="4" t="inlineStr">
        <is>
          <t>—</t>
        </is>
      </c>
      <c r="E81" s="5" t="inlineStr">
        <is>
          <t>≤ 1.00 cumple.</t>
        </is>
      </c>
      <c r="F81" s="6" t="inlineStr">
        <is>
          <t>Hoja LINDERO, sección 6 · ACI 318-19, 22.6</t>
        </is>
      </c>
    </row>
    <row r="82" spans="2:6" ht="15.45" customHeight="1" x14ac:dyDescent="0.3">
      <c r="B82" s="2" t="inlineStr">
        <is>
          <t>Cortante en una dirección: Vu / φVc (la peor)</t>
        </is>
      </c>
      <c r="C82" s="9">
        <f>MAX(LINDERO!$C$171/LINDERO!$C$176,LINDERO!$C$178/LINDERO!$C$183)</f>
        <v>0.8642764290051683</v>
      </c>
      <c r="D82" s="4" t="inlineStr">
        <is>
          <t>—</t>
        </is>
      </c>
      <c r="E82" s="5" t="inlineStr">
        <is>
          <t>≤ 1.00 cumple.</t>
        </is>
      </c>
      <c r="F82" s="6" t="inlineStr">
        <is>
          <t>Hoja LINDERO, sección 9 · ACI 318-19, Tabla 22.5.5.1</t>
        </is>
      </c>
    </row>
    <row r="83" spans="2:6" ht="15.45" customHeight="1" x14ac:dyDescent="0.3">
      <c r="B83" s="2" t="inlineStr">
        <is>
          <t>Flexión de la zapata: Mu / φMn (la peor)</t>
        </is>
      </c>
      <c r="C83" s="9">
        <f>MAX(LINDERO!$C$123/LINDERO!$C$141,LINDERO!$C$147/LINDERO!$C$165)</f>
        <v>0.6943581318006903</v>
      </c>
      <c r="D83" s="4" t="inlineStr">
        <is>
          <t>—</t>
        </is>
      </c>
      <c r="E83" s="5" t="inlineStr">
        <is>
          <t>≤ 1.00 cumple.</t>
        </is>
      </c>
      <c r="F83" s="6" t="inlineStr">
        <is>
          <t>Hoja LINDERO, secciones 7 y 8</t>
        </is>
      </c>
    </row>
    <row r="84" spans="2:6" ht="15.45" customHeight="1" x14ac:dyDescent="0.3">
      <c r="B84" s="2" t="inlineStr">
        <is>
          <t>Contratrabe: Mu / φMn (la peor)</t>
        </is>
      </c>
      <c r="C84" s="9">
        <f>IF(LINDERO!$C$15="SÍ",MAX(LINDERO!$C$253/LINDERO!$C$272,LINDERO!$C$254/LINDERO!$C$276),0)</f>
        <v>0.8405759376002614</v>
      </c>
      <c r="D84" s="4" t="inlineStr">
        <is>
          <t>—</t>
        </is>
      </c>
      <c r="E84" s="5" t="inlineStr">
        <is>
          <t>≤ 1.00 cumple. 0 si no lleva contratrabe.</t>
        </is>
      </c>
      <c r="F84" s="6" t="inlineStr">
        <is>
          <t>Hoja LINDERO, sección 13</t>
        </is>
      </c>
    </row>
    <row r="85" spans="2:6" ht="15.45" customHeight="1" x14ac:dyDescent="0.3">
      <c r="B85" s="2" t="inlineStr">
        <is>
          <t>Dovelas: ldc / peralte disponible</t>
        </is>
      </c>
      <c r="C85" s="9">
        <f>LINDERO!$C$230/LINDERO!$C$231</f>
        <v>0.9697726174918624</v>
      </c>
      <c r="D85" s="4" t="inlineStr">
        <is>
          <t>—</t>
        </is>
      </c>
      <c r="E85" s="5" t="inlineStr">
        <is>
          <t>≤ 1.00 cumple.</t>
        </is>
      </c>
      <c r="F85" s="6" t="inlineStr">
        <is>
          <t>Hoja LINDERO, sección 12 · ACI 318-19, 25.4.9</t>
        </is>
      </c>
    </row>
    <row r="86" spans="2:6" ht="15.45" customHeight="1" x14ac:dyDescent="0.3">
      <c r="B86" s="2" t="inlineStr">
        <is>
          <t>Concreto de la zapata</t>
        </is>
      </c>
      <c r="C86" s="10">
        <f>LINDERO!$C$8*LINDERO!$C$9*LINDERO!$C$10</f>
        <v>2.3400000000000003</v>
      </c>
      <c r="D86" s="4" t="inlineStr">
        <is>
          <t>m³</t>
        </is>
      </c>
      <c r="E86" s="5" t="inlineStr">
        <is>
          <t>Lx · Ly · h.</t>
        </is>
      </c>
      <c r="F86" s="6" t="inlineStr">
        <is>
          <t>Cuantificación</t>
        </is>
      </c>
    </row>
    <row r="87" spans="2:6" ht="15.45" customHeight="1" x14ac:dyDescent="0.3">
      <c r="B87" s="2" t="inlineStr">
        <is>
          <t>Concreto del dado</t>
        </is>
      </c>
      <c r="C87" s="10">
        <f>DATOS!$C$64*DATOS!$C$65*LINDERO!$C$21</f>
        <v>0.2875</v>
      </c>
      <c r="D87" s="4" t="inlineStr">
        <is>
          <t>m³</t>
        </is>
      </c>
      <c r="E87" s="5" t="inlineStr">
        <is>
          <t>cx · cy · H_dado.</t>
        </is>
      </c>
      <c r="F87" s="6" t="inlineStr">
        <is>
          <t>Cuantificación</t>
        </is>
      </c>
    </row>
    <row r="88" spans="2:6" ht="27.75" customHeight="1" x14ac:dyDescent="0.3">
      <c r="B88" s="2" t="inlineStr">
        <is>
          <t>Acero de la zapata (lechos inferior y superior)</t>
        </is>
      </c>
      <c r="C88" s="11">
        <f>LINDERO!$C$134*(LINDERO!$C$8-2*LINDERO!$C$13/100+IF(LINDERO!$C$209="GANCHO 90°",12*LINDERO!$C$42/100,0)+IF(LINDERO!$C$207="GANCHO 90°",12*LINDERO!$C$42/100,0))*INDEX(TABLAS!$E$6:$E$13,MATCH(LINDERO!$C$35,TABLAS!$B$6:$B$13,0))+LINDERO!$C$158*(LINDERO!$C$9-2*LINDERO!$C$13/100+IF(LINDERO!$C$216="GANCHO 90°",2*12*LINDERO!$C$44/100,0))*INDEX(TABLAS!$E$6:$E$13,MATCH(LINDERO!$C$36,TABLAS!$B$6:$B$13,0))+LINDERO!$C$195*(LINDERO!$C$8-2*LINDERO!$C$13/100)*INDEX(TABLAS!$E$6:$E$13,MATCH(LINDERO!$C$41,TABLAS!$B$6:$B$13,0))+LINDERO!$C$196*(LINDERO!$C$9-2*LINDERO!$C$13/100)*INDEX(TABLAS!$E$6:$E$13,MATCH(LINDERO!$C$41,TABLAS!$B$6:$B$13,0))</f>
        <v>67.512</v>
      </c>
      <c r="D88" s="4" t="inlineStr">
        <is>
          <t>kg</t>
        </is>
      </c>
      <c r="E88" s="5" t="inlineStr">
        <is>
          <t>Varillas × longitud (con ganchos si los lleva) × peso lineal. No incluye dovelas ni traslapes.</t>
        </is>
      </c>
      <c r="F88" s="6" t="inlineStr">
        <is>
          <t>TABLAS, tabla 1</t>
        </is>
      </c>
    </row>
    <row r="89" spans="2:6" ht="15.45" customHeight="1" x14ac:dyDescent="0.3">
      <c r="B89" s="2" t="inlineStr">
        <is>
          <t>Contratrabe: concreto por metro</t>
        </is>
      </c>
      <c r="C89" s="10">
        <f>IF(LINDERO!$C$15="SÍ",LINDERO!$C$238*LINDERO!$C$239,0)</f>
        <v>0.36000000000000004</v>
      </c>
      <c r="D89" s="4" t="inlineStr">
        <is>
          <t>m³/m</t>
        </is>
      </c>
      <c r="E89" s="5" t="inlineStr">
        <is>
          <t>b · h.</t>
        </is>
      </c>
      <c r="F89" s="6" t="inlineStr">
        <is>
          <t>Cuantificación</t>
        </is>
      </c>
    </row>
    <row r="90" spans="2:6" ht="27.75" customHeight="1" x14ac:dyDescent="0.3">
      <c r="B90" s="2" t="inlineStr">
        <is>
          <t>Contratrabe: acero por metro (aprox.)</t>
        </is>
      </c>
      <c r="C90" s="11">
        <f>IF(LINDERO!$C$15="SÍ",(LINDERO!$C$263+LINDERO!$C$265)*INDEX(TABLAS!$E$6:$E$13,MATCH(LINDERO!$C$241,TABLAS!$B$6:$B$13,0))+(LINDERO!$C$243*(LINDERO!$C$239-2*LINDERO!$C$240/100)+2*(LINDERO!$C$238-2*LINDERO!$C$240/100)+0.2)*INDEX(TABLAS!$E$6:$E$13,MATCH(LINDERO!$C$242,TABLAS!$B$6:$B$13,0))*100/LINDERO!$C$291,0)</f>
        <v>40.489</v>
      </c>
      <c r="D90" s="4" t="inlineStr">
        <is>
          <t>kg/m</t>
        </is>
      </c>
      <c r="E90" s="5" t="inlineStr">
        <is>
          <t>Longitudinal + estribos con la separación del centro (la zona confinada lleva un poco más).</t>
        </is>
      </c>
      <c r="F90" s="6" t="inlineStr">
        <is>
          <t>TABLAS, tabla 1</t>
        </is>
      </c>
    </row>
    <row r="91" spans="2:6" ht="16.05" customHeight="1" x14ac:dyDescent="0.3">
      <c r="B91" s="25" t="inlineStr">
        <is>
          <t>ESTADO</t>
        </is>
      </c>
      <c r="C91" s="48" t="str">
        <f>IF(LINDERO!$C$309=0,"CUMPLE — todas las revisiones","NO CUMPLE — "&amp;LINDERO!$C$309&amp;" revisión(es) en rojo en la hoja LINDERO")</f>
        <v>CUMPLE — todas las revisiones</v>
      </c>
      <c r="D91" s="47"/>
      <c r="E91" s="47"/>
      <c r="F91" s="47"/>
    </row>
  </sheetData>
  <mergeCells count="39">
    <mergeCell ref="B2:F2"/>
    <mergeCell ref="C34:F34"/>
    <mergeCell ref="C30:F30"/>
    <mergeCell ref="C15:F15"/>
    <mergeCell ref="B1:F1"/>
    <mergeCell ref="B13:F13"/>
    <mergeCell ref="C16:F16"/>
    <mergeCell ref="C10:F10"/>
    <mergeCell ref="C9:F9"/>
    <mergeCell ref="B6:F6"/>
    <mergeCell ref="C11:F11"/>
    <mergeCell ref="B32:F32"/>
    <mergeCell ref="C67:F67"/>
    <mergeCell ref="C19:F19"/>
    <mergeCell ref="C37:F37"/>
    <mergeCell ref="C57:F57"/>
    <mergeCell ref="C18:F18"/>
    <mergeCell ref="C53:F53"/>
    <mergeCell ref="C58:F58"/>
    <mergeCell ref="C35:F35"/>
    <mergeCell ref="C40:F40"/>
    <mergeCell ref="B55:F55"/>
    <mergeCell ref="C59:F59"/>
    <mergeCell ref="C36:F36"/>
    <mergeCell ref="B4:F4"/>
    <mergeCell ref="C17:F17"/>
    <mergeCell ref="C39:F39"/>
    <mergeCell ref="C8:F8"/>
    <mergeCell ref="B3:F3"/>
    <mergeCell ref="C38:F38"/>
    <mergeCell ref="B69:F69"/>
    <mergeCell ref="C71:F71"/>
    <mergeCell ref="C72:F72"/>
    <mergeCell ref="C73:F73"/>
    <mergeCell ref="C74:F74"/>
    <mergeCell ref="C75:F75"/>
    <mergeCell ref="C76:F76"/>
    <mergeCell ref="C77:F77"/>
    <mergeCell ref="C91:F91"/>
  </mergeCells>
  <conditionalFormatting sqref="C1:N93">
    <cfRule type="expression" dxfId="3" priority="1" stopIfTrue="1">
      <formula>OR(ISNUMBER(FIND("NO CUMPLE",C1)),ISNUMBER(FIND("REVISAR",C1)),ISNUMBER(FIND("NO ALCANZA",C1)),ISNUMBER(FIND("INESTABLE",C1)))</formula>
    </cfRule>
    <cfRule type="expression" dxfId="2" priority="2">
      <formula>ISNUMBER(FIND("CUMPLE",C1))</formula>
    </cfRule>
  </conditionalFormatting>
  <pageMargins left="0.75" right="0.7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62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12" customWidth="1"/>
    <col min="5" max="5" width="18" customWidth="1"/>
    <col min="6" max="6" width="44" customWidth="1"/>
  </cols>
  <sheetData>
    <row r="1" spans="2:6" ht="25.95" customHeight="1" x14ac:dyDescent="0.3">
      <c r="B1" s="41" t="s">
        <v>1044</v>
      </c>
      <c r="C1" s="37"/>
      <c r="D1" s="37"/>
      <c r="E1" s="37"/>
      <c r="F1" s="37"/>
    </row>
    <row r="2" spans="2:6" ht="25.95" customHeight="1" x14ac:dyDescent="0.3">
      <c r="B2" s="39" t="s">
        <v>1045</v>
      </c>
      <c r="C2" s="37"/>
      <c r="D2" s="37"/>
      <c r="E2" s="37"/>
      <c r="F2" s="37"/>
    </row>
    <row r="4" spans="2:6" ht="18" customHeight="1" x14ac:dyDescent="0.3">
      <c r="B4" s="42" t="s">
        <v>1046</v>
      </c>
      <c r="C4" s="37"/>
      <c r="D4" s="37"/>
      <c r="E4" s="37"/>
      <c r="F4" s="37"/>
    </row>
    <row r="5" spans="2:6" ht="25.95" customHeight="1" x14ac:dyDescent="0.3">
      <c r="B5" s="1" t="s">
        <v>1047</v>
      </c>
      <c r="C5" s="1" t="s">
        <v>1048</v>
      </c>
      <c r="D5" s="1" t="s">
        <v>1049</v>
      </c>
      <c r="E5" s="1" t="s">
        <v>1050</v>
      </c>
      <c r="F5" s="1" t="s">
        <v>1051</v>
      </c>
    </row>
    <row r="6" spans="2:6" ht="15.45" customHeight="1" x14ac:dyDescent="0.3">
      <c r="B6" s="18">
        <v>2.5</v>
      </c>
      <c r="C6" s="19">
        <v>0.79</v>
      </c>
      <c r="D6" s="19">
        <v>0.49</v>
      </c>
      <c r="E6" s="20">
        <v>0.38400000000000001</v>
      </c>
      <c r="F6" s="6" t="s">
        <v>1052</v>
      </c>
    </row>
    <row r="7" spans="2:6" ht="15.45" customHeight="1" x14ac:dyDescent="0.3">
      <c r="B7" s="18">
        <v>3</v>
      </c>
      <c r="C7" s="19">
        <v>0.95</v>
      </c>
      <c r="D7" s="19">
        <v>0.71</v>
      </c>
      <c r="E7" s="20">
        <v>0.55900000000000005</v>
      </c>
      <c r="F7" s="6" t="s">
        <v>1053</v>
      </c>
    </row>
    <row r="8" spans="2:6" ht="15.45" customHeight="1" x14ac:dyDescent="0.3">
      <c r="B8" s="18">
        <v>4</v>
      </c>
      <c r="C8" s="19">
        <v>1.27</v>
      </c>
      <c r="D8" s="19">
        <v>1.27</v>
      </c>
      <c r="E8" s="20">
        <v>0.99399999999999999</v>
      </c>
      <c r="F8" s="6" t="s">
        <v>1054</v>
      </c>
    </row>
    <row r="9" spans="2:6" ht="15.45" customHeight="1" x14ac:dyDescent="0.3">
      <c r="B9" s="18">
        <v>5</v>
      </c>
      <c r="C9" s="19">
        <v>1.59</v>
      </c>
      <c r="D9" s="19">
        <v>1.98</v>
      </c>
      <c r="E9" s="20">
        <v>1.552</v>
      </c>
      <c r="F9" s="6" t="s">
        <v>1055</v>
      </c>
    </row>
    <row r="10" spans="2:6" ht="15.45" customHeight="1" x14ac:dyDescent="0.3">
      <c r="B10" s="18">
        <v>6</v>
      </c>
      <c r="C10" s="19">
        <v>1.91</v>
      </c>
      <c r="D10" s="19">
        <v>2.85</v>
      </c>
      <c r="E10" s="20">
        <v>2.2349999999999999</v>
      </c>
      <c r="F10" s="6" t="s">
        <v>1056</v>
      </c>
    </row>
    <row r="11" spans="2:6" ht="15.45" customHeight="1" x14ac:dyDescent="0.3">
      <c r="B11" s="18">
        <v>8</v>
      </c>
      <c r="C11" s="19">
        <v>2.54</v>
      </c>
      <c r="D11" s="19">
        <v>5.07</v>
      </c>
      <c r="E11" s="20">
        <v>3.9729999999999999</v>
      </c>
      <c r="F11" s="6" t="s">
        <v>1057</v>
      </c>
    </row>
    <row r="12" spans="2:6" ht="15.45" customHeight="1" x14ac:dyDescent="0.3">
      <c r="B12" s="18">
        <v>10</v>
      </c>
      <c r="C12" s="19">
        <v>3.18</v>
      </c>
      <c r="D12" s="19">
        <v>7.92</v>
      </c>
      <c r="E12" s="20">
        <v>6.2249999999999996</v>
      </c>
      <c r="F12" s="6" t="s">
        <v>1058</v>
      </c>
    </row>
    <row r="13" spans="2:6" ht="15.45" customHeight="1" x14ac:dyDescent="0.3">
      <c r="B13" s="18">
        <v>12</v>
      </c>
      <c r="C13" s="19">
        <v>3.81</v>
      </c>
      <c r="D13" s="19">
        <v>11.4</v>
      </c>
      <c r="E13" s="20">
        <v>8.9380000000000006</v>
      </c>
      <c r="F13" s="6" t="s">
        <v>1059</v>
      </c>
    </row>
    <row r="14" spans="2:6" ht="18" customHeight="1" x14ac:dyDescent="0.3">
      <c r="B14" s="36" t="s">
        <v>1060</v>
      </c>
      <c r="C14" s="37"/>
      <c r="D14" s="37"/>
      <c r="E14" s="37"/>
      <c r="F14" s="37"/>
    </row>
    <row r="16" spans="2:6" ht="18" customHeight="1" x14ac:dyDescent="0.3">
      <c r="B16" s="42" t="s">
        <v>1061</v>
      </c>
      <c r="C16" s="37"/>
      <c r="D16" s="37"/>
      <c r="E16" s="37"/>
      <c r="F16" s="37"/>
    </row>
    <row r="17" spans="2:6" ht="25.95" customHeight="1" x14ac:dyDescent="0.3">
      <c r="B17" s="1" t="s">
        <v>1062</v>
      </c>
      <c r="C17" s="1" t="s">
        <v>1063</v>
      </c>
      <c r="D17" s="1" t="s">
        <v>1064</v>
      </c>
      <c r="E17" s="1" t="s">
        <v>1065</v>
      </c>
      <c r="F17" s="1" t="s">
        <v>1066</v>
      </c>
    </row>
    <row r="18" spans="2:6" ht="28.05" customHeight="1" x14ac:dyDescent="0.3">
      <c r="B18" s="5" t="s">
        <v>1067</v>
      </c>
      <c r="C18" s="18" t="s">
        <v>1068</v>
      </c>
      <c r="D18" s="18" t="s">
        <v>1068</v>
      </c>
      <c r="E18" s="21">
        <v>75</v>
      </c>
      <c r="F18" s="6" t="inlineStr">
        <is>
          <t>Lecho inferior y caras laterales de zapatas (AISLADA, AISLADA_CT, CORRIDA, LINDERO)</t>
        </is>
      </c>
    </row>
    <row r="19" spans="2:6" ht="28.05" customHeight="1" x14ac:dyDescent="0.3">
      <c r="B19" s="5" t="s">
        <v>1070</v>
      </c>
      <c r="C19" s="18" t="s">
        <v>1068</v>
      </c>
      <c r="D19" s="18" t="s">
        <v>1071</v>
      </c>
      <c r="E19" s="21">
        <v>50</v>
      </c>
      <c r="F19" s="6" t="s">
        <v>1072</v>
      </c>
    </row>
    <row r="20" spans="2:6" ht="28.05" customHeight="1" x14ac:dyDescent="0.3">
      <c r="B20" s="5" t="s">
        <v>1070</v>
      </c>
      <c r="C20" s="18" t="s">
        <v>1068</v>
      </c>
      <c r="D20" s="18" t="s">
        <v>1073</v>
      </c>
      <c r="E20" s="21">
        <v>40</v>
      </c>
      <c r="F20" s="6" t="s">
        <v>1074</v>
      </c>
    </row>
    <row r="21" spans="2:6" ht="28.05" customHeight="1" x14ac:dyDescent="0.3">
      <c r="B21" s="5" t="s">
        <v>1075</v>
      </c>
      <c r="C21" s="18" t="s">
        <v>1076</v>
      </c>
      <c r="D21" s="18" t="s">
        <v>1077</v>
      </c>
      <c r="E21" s="21">
        <v>40</v>
      </c>
      <c r="F21" s="6" t="s">
        <v>1078</v>
      </c>
    </row>
    <row r="23" spans="2:6" ht="18" customHeight="1" x14ac:dyDescent="0.3">
      <c r="B23" s="42" t="s">
        <v>1079</v>
      </c>
      <c r="C23" s="37"/>
      <c r="D23" s="37"/>
      <c r="E23" s="37"/>
      <c r="F23" s="37"/>
    </row>
    <row r="24" spans="2:6" ht="25.95" customHeight="1" x14ac:dyDescent="0.3">
      <c r="B24" s="1" t="s">
        <v>1080</v>
      </c>
      <c r="C24" s="1" t="s">
        <v>1081</v>
      </c>
      <c r="D24" s="1" t="s">
        <v>1082</v>
      </c>
      <c r="E24" s="1" t="s">
        <v>1083</v>
      </c>
      <c r="F24" s="1" t="s">
        <v>1084</v>
      </c>
    </row>
    <row r="25" spans="2:6" ht="25.95" customHeight="1" x14ac:dyDescent="0.3">
      <c r="B25" s="5" t="s">
        <v>1085</v>
      </c>
      <c r="C25" s="18" t="s">
        <v>1086</v>
      </c>
      <c r="D25" s="18" t="s">
        <v>1087</v>
      </c>
      <c r="E25" s="29">
        <v>80</v>
      </c>
      <c r="F25" s="29">
        <f t="shared" ref="F25:F45" si="0">E25*9.765</f>
        <v>781.2</v>
      </c>
    </row>
    <row r="26" spans="2:6" ht="25.95" customHeight="1" x14ac:dyDescent="0.3">
      <c r="B26" s="5" t="s">
        <v>1088</v>
      </c>
      <c r="C26" s="18" t="s">
        <v>1089</v>
      </c>
      <c r="D26" s="18" t="s">
        <v>1090</v>
      </c>
      <c r="E26" s="29">
        <v>35</v>
      </c>
      <c r="F26" s="29">
        <f t="shared" si="0"/>
        <v>341.775</v>
      </c>
    </row>
    <row r="27" spans="2:6" ht="25.95" customHeight="1" x14ac:dyDescent="0.3">
      <c r="B27" s="5" t="s">
        <v>1091</v>
      </c>
      <c r="C27" s="18" t="s">
        <v>1089</v>
      </c>
      <c r="D27" s="18" t="s">
        <v>1092</v>
      </c>
      <c r="E27" s="29">
        <v>20</v>
      </c>
      <c r="F27" s="29">
        <f t="shared" si="0"/>
        <v>195.3</v>
      </c>
    </row>
    <row r="28" spans="2:6" ht="25.95" customHeight="1" x14ac:dyDescent="0.3">
      <c r="B28" s="5" t="s">
        <v>1093</v>
      </c>
      <c r="C28" s="18" t="s">
        <v>1094</v>
      </c>
      <c r="D28" s="18" t="s">
        <v>1095</v>
      </c>
      <c r="E28" s="29">
        <v>10</v>
      </c>
      <c r="F28" s="29">
        <f t="shared" si="0"/>
        <v>97.65</v>
      </c>
    </row>
    <row r="29" spans="2:6" ht="25.95" customHeight="1" x14ac:dyDescent="0.3">
      <c r="B29" s="5" t="s">
        <v>1096</v>
      </c>
      <c r="C29" s="18" t="s">
        <v>1094</v>
      </c>
      <c r="D29" s="18" t="s">
        <v>1095</v>
      </c>
      <c r="E29" s="29">
        <v>10</v>
      </c>
      <c r="F29" s="29">
        <f t="shared" si="0"/>
        <v>97.65</v>
      </c>
    </row>
    <row r="30" spans="2:6" ht="25.95" customHeight="1" x14ac:dyDescent="0.3">
      <c r="B30" s="5" t="s">
        <v>1097</v>
      </c>
      <c r="C30" s="18" t="s">
        <v>1098</v>
      </c>
      <c r="D30" s="18" t="s">
        <v>1095</v>
      </c>
      <c r="E30" s="29">
        <v>10</v>
      </c>
      <c r="F30" s="29">
        <f t="shared" si="0"/>
        <v>97.65</v>
      </c>
    </row>
    <row r="31" spans="2:6" ht="25.95" customHeight="1" x14ac:dyDescent="0.3">
      <c r="B31" s="5" t="s">
        <v>1099</v>
      </c>
      <c r="C31" s="18" t="s">
        <v>1098</v>
      </c>
      <c r="D31" s="18" t="s">
        <v>1100</v>
      </c>
      <c r="E31" s="29">
        <v>7</v>
      </c>
      <c r="F31" s="29">
        <f t="shared" si="0"/>
        <v>68.355</v>
      </c>
    </row>
    <row r="32" spans="2:6" ht="25.95" customHeight="1" x14ac:dyDescent="0.3">
      <c r="B32" s="5" t="s">
        <v>1099</v>
      </c>
      <c r="C32" s="18" t="s">
        <v>1101</v>
      </c>
      <c r="D32" s="18" t="s">
        <v>1102</v>
      </c>
      <c r="E32" s="29">
        <v>5</v>
      </c>
      <c r="F32" s="29">
        <f t="shared" si="0"/>
        <v>48.825</v>
      </c>
    </row>
    <row r="33" spans="2:6" ht="25.95" customHeight="1" x14ac:dyDescent="0.3">
      <c r="B33" s="5" t="s">
        <v>1099</v>
      </c>
      <c r="C33" s="18" t="s">
        <v>1103</v>
      </c>
      <c r="D33" s="18" t="s">
        <v>1104</v>
      </c>
      <c r="E33" s="29">
        <v>3</v>
      </c>
      <c r="F33" s="29">
        <f t="shared" si="0"/>
        <v>29.295</v>
      </c>
    </row>
    <row r="34" spans="2:6" ht="25.95" customHeight="1" x14ac:dyDescent="0.3">
      <c r="B34" s="5" t="s">
        <v>1105</v>
      </c>
      <c r="C34" s="18" t="s">
        <v>1098</v>
      </c>
      <c r="D34" s="18" t="s">
        <v>1106</v>
      </c>
      <c r="E34" s="29">
        <v>4</v>
      </c>
      <c r="F34" s="29">
        <f t="shared" si="0"/>
        <v>39.06</v>
      </c>
    </row>
    <row r="35" spans="2:6" ht="25.95" customHeight="1" x14ac:dyDescent="0.3">
      <c r="B35" s="5" t="s">
        <v>1105</v>
      </c>
      <c r="C35" s="18" t="s">
        <v>1101</v>
      </c>
      <c r="D35" s="18" t="s">
        <v>1107</v>
      </c>
      <c r="E35" s="29">
        <v>3</v>
      </c>
      <c r="F35" s="29">
        <f t="shared" si="0"/>
        <v>29.295</v>
      </c>
    </row>
    <row r="36" spans="2:6" ht="25.95" customHeight="1" x14ac:dyDescent="0.3">
      <c r="B36" s="5" t="s">
        <v>1105</v>
      </c>
      <c r="C36" s="18" t="s">
        <v>1103</v>
      </c>
      <c r="D36" s="18" t="s">
        <v>1108</v>
      </c>
      <c r="E36" s="29">
        <v>1.5</v>
      </c>
      <c r="F36" s="29">
        <f t="shared" si="0"/>
        <v>14.6475</v>
      </c>
    </row>
    <row r="37" spans="2:6" ht="25.95" customHeight="1" x14ac:dyDescent="0.3">
      <c r="B37" s="5" t="s">
        <v>1109</v>
      </c>
      <c r="C37" s="18" t="s">
        <v>1098</v>
      </c>
      <c r="D37" s="18" t="s">
        <v>1110</v>
      </c>
      <c r="E37" s="29">
        <v>3</v>
      </c>
      <c r="F37" s="29">
        <f t="shared" si="0"/>
        <v>29.295</v>
      </c>
    </row>
    <row r="38" spans="2:6" ht="25.95" customHeight="1" x14ac:dyDescent="0.3">
      <c r="B38" s="5" t="s">
        <v>1109</v>
      </c>
      <c r="C38" s="18" t="s">
        <v>1101</v>
      </c>
      <c r="D38" s="18" t="s">
        <v>1107</v>
      </c>
      <c r="E38" s="29">
        <v>2.5</v>
      </c>
      <c r="F38" s="29">
        <f t="shared" si="0"/>
        <v>24.4125</v>
      </c>
    </row>
    <row r="39" spans="2:6" ht="25.95" customHeight="1" x14ac:dyDescent="0.3">
      <c r="B39" s="5" t="s">
        <v>1109</v>
      </c>
      <c r="C39" s="18" t="s">
        <v>1103</v>
      </c>
      <c r="D39" s="18" t="s">
        <v>1111</v>
      </c>
      <c r="E39" s="29">
        <v>1.5</v>
      </c>
      <c r="F39" s="29">
        <f t="shared" si="0"/>
        <v>14.6475</v>
      </c>
    </row>
    <row r="40" spans="2:6" ht="25.95" customHeight="1" x14ac:dyDescent="0.3">
      <c r="B40" s="5" t="s">
        <v>1112</v>
      </c>
      <c r="C40" s="18" t="s">
        <v>1113</v>
      </c>
      <c r="D40" s="18" t="s">
        <v>1114</v>
      </c>
      <c r="E40" s="29">
        <v>4</v>
      </c>
      <c r="F40" s="29">
        <f t="shared" si="0"/>
        <v>39.06</v>
      </c>
    </row>
    <row r="41" spans="2:6" ht="25.95" customHeight="1" x14ac:dyDescent="0.3">
      <c r="B41" s="5" t="s">
        <v>1112</v>
      </c>
      <c r="C41" s="18" t="s">
        <v>1115</v>
      </c>
      <c r="D41" s="18" t="s">
        <v>1108</v>
      </c>
      <c r="E41" s="29">
        <v>2</v>
      </c>
      <c r="F41" s="29">
        <f t="shared" si="0"/>
        <v>19.53</v>
      </c>
    </row>
    <row r="42" spans="2:6" ht="25.95" customHeight="1" x14ac:dyDescent="0.3">
      <c r="B42" s="5" t="s">
        <v>1112</v>
      </c>
      <c r="C42" s="18" t="s">
        <v>1116</v>
      </c>
      <c r="D42" s="18" t="s">
        <v>1117</v>
      </c>
      <c r="E42" s="29">
        <v>0.5</v>
      </c>
      <c r="F42" s="29">
        <f t="shared" si="0"/>
        <v>4.8825</v>
      </c>
    </row>
    <row r="43" spans="2:6" ht="25.95" customHeight="1" x14ac:dyDescent="0.3">
      <c r="B43" s="5" t="s">
        <v>1118</v>
      </c>
      <c r="C43" s="18" t="s">
        <v>1113</v>
      </c>
      <c r="D43" s="18" t="s">
        <v>1107</v>
      </c>
      <c r="E43" s="29">
        <v>3</v>
      </c>
      <c r="F43" s="29">
        <f t="shared" si="0"/>
        <v>29.295</v>
      </c>
    </row>
    <row r="44" spans="2:6" ht="25.95" customHeight="1" x14ac:dyDescent="0.3">
      <c r="B44" s="5" t="s">
        <v>1118</v>
      </c>
      <c r="C44" s="18" t="s">
        <v>1115</v>
      </c>
      <c r="D44" s="18" t="s">
        <v>1108</v>
      </c>
      <c r="E44" s="29">
        <v>1.5</v>
      </c>
      <c r="F44" s="29">
        <f t="shared" si="0"/>
        <v>14.6475</v>
      </c>
    </row>
    <row r="45" spans="2:6" ht="25.95" customHeight="1" x14ac:dyDescent="0.3">
      <c r="B45" s="5" t="s">
        <v>1118</v>
      </c>
      <c r="C45" s="18" t="s">
        <v>1116</v>
      </c>
      <c r="D45" s="18" t="s">
        <v>1117</v>
      </c>
      <c r="E45" s="29">
        <v>0.5</v>
      </c>
      <c r="F45" s="29">
        <f t="shared" si="0"/>
        <v>4.8825</v>
      </c>
    </row>
    <row r="46" spans="2:6" ht="40.049999999999997" customHeight="1" x14ac:dyDescent="0.3">
      <c r="B46" s="36" t="s">
        <v>1119</v>
      </c>
      <c r="C46" s="37"/>
      <c r="D46" s="37"/>
      <c r="E46" s="37"/>
      <c r="F46" s="37"/>
    </row>
    <row r="48" spans="2:6" ht="18" customHeight="1" x14ac:dyDescent="0.3">
      <c r="B48" s="42" t="s">
        <v>1120</v>
      </c>
      <c r="C48" s="37"/>
      <c r="D48" s="37"/>
      <c r="E48" s="37"/>
      <c r="F48" s="37"/>
    </row>
    <row r="49" spans="2:6" ht="25.95" customHeight="1" x14ac:dyDescent="0.3">
      <c r="B49" s="1" t="s">
        <v>1121</v>
      </c>
      <c r="C49" s="1" t="s">
        <v>1122</v>
      </c>
      <c r="D49" s="1" t="s">
        <v>1123</v>
      </c>
      <c r="E49" s="1" t="s">
        <v>1124</v>
      </c>
      <c r="F49" s="1" t="s">
        <v>1125</v>
      </c>
    </row>
    <row r="50" spans="2:6" ht="25.95" customHeight="1" x14ac:dyDescent="0.3">
      <c r="B50" s="5" t="s">
        <v>1126</v>
      </c>
      <c r="C50" s="18" t="s">
        <v>1127</v>
      </c>
      <c r="D50" s="18" t="s">
        <v>1128</v>
      </c>
      <c r="E50" s="19">
        <v>0.7</v>
      </c>
      <c r="F50" s="6" t="s">
        <v>1129</v>
      </c>
    </row>
    <row r="51" spans="2:6" ht="25.95" customHeight="1" x14ac:dyDescent="0.3">
      <c r="B51" s="5" t="s">
        <v>1130</v>
      </c>
      <c r="C51" s="18" t="s">
        <v>1131</v>
      </c>
      <c r="D51" s="18" t="s">
        <v>1132</v>
      </c>
      <c r="E51" s="19">
        <v>0.55000000000000004</v>
      </c>
      <c r="F51" s="6" t="s">
        <v>1133</v>
      </c>
    </row>
    <row r="52" spans="2:6" ht="25.95" customHeight="1" x14ac:dyDescent="0.3">
      <c r="B52" s="5" t="s">
        <v>1134</v>
      </c>
      <c r="C52" s="18" t="s">
        <v>1135</v>
      </c>
      <c r="D52" s="18" t="s">
        <v>1136</v>
      </c>
      <c r="E52" s="19">
        <v>0.45</v>
      </c>
      <c r="F52" s="6" t="s">
        <v>1133</v>
      </c>
    </row>
    <row r="53" spans="2:6" ht="25.95" customHeight="1" x14ac:dyDescent="0.3">
      <c r="B53" s="5" t="s">
        <v>1137</v>
      </c>
      <c r="C53" s="18" t="s">
        <v>1138</v>
      </c>
      <c r="D53" s="18" t="s">
        <v>1139</v>
      </c>
      <c r="E53" s="19">
        <v>0.35</v>
      </c>
      <c r="F53" s="6" t="s">
        <v>1133</v>
      </c>
    </row>
    <row r="54" spans="2:6" ht="25.95" customHeight="1" x14ac:dyDescent="0.3">
      <c r="B54" s="5" t="s">
        <v>1140</v>
      </c>
      <c r="C54" s="18" t="s">
        <v>1141</v>
      </c>
      <c r="D54" s="18" t="s">
        <v>1142</v>
      </c>
      <c r="E54" s="19">
        <v>0.3</v>
      </c>
      <c r="F54" s="6" t="s">
        <v>1133</v>
      </c>
    </row>
    <row r="55" spans="2:6" ht="25.95" customHeight="1" x14ac:dyDescent="0.3">
      <c r="B55" s="5" t="s">
        <v>1143</v>
      </c>
      <c r="C55" s="18" t="s">
        <v>1144</v>
      </c>
      <c r="D55" s="18" t="s">
        <v>1145</v>
      </c>
      <c r="E55" s="19">
        <v>0.4</v>
      </c>
      <c r="F55" s="6" t="s">
        <v>1133</v>
      </c>
    </row>
    <row r="56" spans="2:6" ht="25.95" customHeight="1" x14ac:dyDescent="0.3">
      <c r="B56" s="5" t="s">
        <v>1146</v>
      </c>
      <c r="C56" s="18" t="s">
        <v>1141</v>
      </c>
      <c r="D56" s="18" t="s">
        <v>1142</v>
      </c>
      <c r="E56" s="19">
        <v>0.3</v>
      </c>
      <c r="F56" s="6" t="s">
        <v>1133</v>
      </c>
    </row>
    <row r="58" spans="2:6" ht="18" customHeight="1" x14ac:dyDescent="0.3">
      <c r="B58" s="42" t="s">
        <v>1147</v>
      </c>
      <c r="C58" s="37"/>
      <c r="D58" s="37"/>
      <c r="E58" s="37"/>
      <c r="F58" s="37"/>
    </row>
    <row r="59" spans="2:6" ht="25.95" customHeight="1" x14ac:dyDescent="0.3">
      <c r="B59" s="1" t="s">
        <v>1148</v>
      </c>
      <c r="C59" s="1" t="s">
        <v>1149</v>
      </c>
      <c r="D59" s="1" t="s">
        <v>12</v>
      </c>
      <c r="E59" s="1" t="s">
        <v>12</v>
      </c>
      <c r="F59" s="1" t="s">
        <v>1150</v>
      </c>
    </row>
    <row r="60" spans="2:6" ht="18" customHeight="1" x14ac:dyDescent="0.3">
      <c r="B60" s="5" t="s">
        <v>1151</v>
      </c>
      <c r="C60" s="21">
        <v>40</v>
      </c>
      <c r="D60" s="18" t="s">
        <v>12</v>
      </c>
      <c r="E60" s="18" t="s">
        <v>12</v>
      </c>
      <c r="F60" s="6" t="s">
        <v>1152</v>
      </c>
    </row>
    <row r="61" spans="2:6" ht="18" customHeight="1" x14ac:dyDescent="0.3">
      <c r="B61" s="5" t="s">
        <v>1153</v>
      </c>
      <c r="C61" s="21">
        <v>30</v>
      </c>
      <c r="D61" s="18" t="s">
        <v>12</v>
      </c>
      <c r="E61" s="18" t="s">
        <v>12</v>
      </c>
      <c r="F61" s="6" t="inlineStr">
        <is>
          <t>LINDERO: dado al paño del lindero, perímetro de 3 lados</t>
        </is>
      </c>
    </row>
    <row r="62" spans="2:6" ht="18" customHeight="1" x14ac:dyDescent="0.3">
      <c r="B62" s="5" t="s">
        <v>1155</v>
      </c>
      <c r="C62" s="21">
        <v>20</v>
      </c>
      <c r="D62" s="18" t="s">
        <v>12</v>
      </c>
      <c r="E62" s="18" t="s">
        <v>12</v>
      </c>
      <c r="F62" s="6" t="inlineStr">
        <is>
          <t>No se usa (zapata de esquina fuera de alcance)</t>
        </is>
      </c>
    </row>
  </sheetData>
  <mergeCells count="9">
    <mergeCell ref="B1:F1"/>
    <mergeCell ref="B14:F14"/>
    <mergeCell ref="B58:F58"/>
    <mergeCell ref="B4:F4"/>
    <mergeCell ref="B2:F2"/>
    <mergeCell ref="B16:F16"/>
    <mergeCell ref="B48:F48"/>
    <mergeCell ref="B23:F23"/>
    <mergeCell ref="B46:F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78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1157</v>
      </c>
      <c r="C1" s="37"/>
      <c r="D1" s="37"/>
      <c r="E1" s="37"/>
      <c r="F1" s="37"/>
    </row>
    <row r="2" spans="2:6" ht="16.05" customHeight="1" x14ac:dyDescent="0.3">
      <c r="B2" s="39" t="str">
        <f>"Libro de cimentaciones superficiales por ACI 318-19"</f>
        <v>Libro de cimentaciones superficiales por ACI 318-19</v>
      </c>
      <c r="C2" s="37"/>
      <c r="D2" s="37"/>
      <c r="E2" s="37"/>
      <c r="F2" s="37"/>
    </row>
    <row r="3" spans="2:6" ht="16.05" customHeight="1" x14ac:dyDescent="0.3">
      <c r="B3" s="40" t="s">
        <v>1158</v>
      </c>
      <c r="C3" s="37"/>
      <c r="D3" s="37"/>
      <c r="E3" s="37"/>
      <c r="F3" s="37"/>
    </row>
    <row r="6" spans="2:6" ht="18" customHeight="1" x14ac:dyDescent="0.3">
      <c r="B6" s="38" t="s">
        <v>1159</v>
      </c>
      <c r="C6" s="37"/>
      <c r="D6" s="37"/>
      <c r="E6" s="37"/>
      <c r="F6" s="37"/>
    </row>
    <row r="7" spans="2:6" x14ac:dyDescent="0.3">
      <c r="B7" s="1" t="s">
        <v>1160</v>
      </c>
      <c r="C7" s="1" t="s">
        <v>1161</v>
      </c>
      <c r="D7" s="1" t="s">
        <v>1162</v>
      </c>
      <c r="E7" s="1" t="s">
        <v>1163</v>
      </c>
      <c r="F7" s="1" t="s">
        <v>1066</v>
      </c>
    </row>
    <row r="8" spans="2:6" ht="15.45" customHeight="1" x14ac:dyDescent="0.3">
      <c r="B8" s="2" t="s">
        <v>1164</v>
      </c>
      <c r="C8" s="18" t="s">
        <v>1165</v>
      </c>
      <c r="D8" s="17" t="s">
        <v>1166</v>
      </c>
      <c r="E8" s="5" t="s">
        <v>1167</v>
      </c>
      <c r="F8" s="6" t="s">
        <v>1168</v>
      </c>
    </row>
    <row r="9" spans="2:6" ht="15.45" customHeight="1" x14ac:dyDescent="0.3">
      <c r="B9" s="2" t="s">
        <v>1169</v>
      </c>
      <c r="C9" s="18" t="s">
        <v>1165</v>
      </c>
      <c r="D9" s="17" t="s">
        <v>1170</v>
      </c>
      <c r="E9" s="5" t="s">
        <v>1171</v>
      </c>
      <c r="F9" s="6" t="s">
        <v>1172</v>
      </c>
    </row>
    <row r="10" spans="2:6" ht="15.45" customHeight="1" x14ac:dyDescent="0.3">
      <c r="B10" s="2" t="s">
        <v>1173</v>
      </c>
      <c r="C10" s="18" t="s">
        <v>1165</v>
      </c>
      <c r="D10" s="17" t="s">
        <v>1170</v>
      </c>
      <c r="E10" s="5" t="s">
        <v>1174</v>
      </c>
      <c r="F10" s="6" t="s">
        <v>1175</v>
      </c>
    </row>
    <row r="11" spans="2:6" ht="27.75" customHeight="1" x14ac:dyDescent="0.3">
      <c r="B11" s="2" t="s">
        <v>1176</v>
      </c>
      <c r="C11" s="18" t="s">
        <v>1165</v>
      </c>
      <c r="D11" s="17" t="s">
        <v>1177</v>
      </c>
      <c r="E11" s="5" t="s">
        <v>1178</v>
      </c>
      <c r="F11" s="6" t="s">
        <v>1179</v>
      </c>
    </row>
    <row r="12" spans="2:6" ht="15.45" customHeight="1" x14ac:dyDescent="0.3">
      <c r="B12" s="2" t="s">
        <v>1180</v>
      </c>
      <c r="C12" s="18" t="s">
        <v>1165</v>
      </c>
      <c r="D12" s="17" t="s">
        <v>1181</v>
      </c>
      <c r="E12" s="5" t="s">
        <v>1182</v>
      </c>
      <c r="F12" s="6" t="s">
        <v>1183</v>
      </c>
    </row>
    <row r="13" spans="2:6" ht="27.75" customHeight="1" x14ac:dyDescent="0.3">
      <c r="B13" s="2" t="s">
        <v>1184</v>
      </c>
      <c r="C13" s="18" t="s">
        <v>1165</v>
      </c>
      <c r="D13" s="17" t="s">
        <v>1181</v>
      </c>
      <c r="E13" s="5" t="s">
        <v>1185</v>
      </c>
      <c r="F13" s="6" t="s">
        <v>1186</v>
      </c>
    </row>
    <row r="14" spans="2:6" ht="15.45" customHeight="1" x14ac:dyDescent="0.3">
      <c r="B14" s="2" t="s">
        <v>1187</v>
      </c>
      <c r="C14" s="18" t="s">
        <v>1165</v>
      </c>
      <c r="D14" s="17" t="s">
        <v>1188</v>
      </c>
      <c r="E14" s="5" t="s">
        <v>1189</v>
      </c>
      <c r="F14" s="6" t="s">
        <v>1190</v>
      </c>
    </row>
    <row r="15" spans="2:6" ht="27.75" customHeight="1" x14ac:dyDescent="0.3">
      <c r="B15" s="2" t="s">
        <v>1191</v>
      </c>
      <c r="C15" s="18" t="s">
        <v>1165</v>
      </c>
      <c r="D15" s="17" t="s">
        <v>1192</v>
      </c>
      <c r="E15" s="5" t="s">
        <v>1193</v>
      </c>
      <c r="F15" s="6" t="s">
        <v>1194</v>
      </c>
    </row>
    <row r="16" spans="2:6" ht="15.45" customHeight="1" x14ac:dyDescent="0.3">
      <c r="B16" s="2" t="s">
        <v>1195</v>
      </c>
      <c r="C16" s="18" t="s">
        <v>1165</v>
      </c>
      <c r="D16" s="17" t="s">
        <v>1192</v>
      </c>
      <c r="E16" s="5" t="s">
        <v>1196</v>
      </c>
      <c r="F16" s="6" t="s">
        <v>1197</v>
      </c>
    </row>
    <row r="17" spans="2:6" ht="15.45" customHeight="1" x14ac:dyDescent="0.3">
      <c r="B17" s="2" t="s">
        <v>1198</v>
      </c>
      <c r="C17" s="18" t="s">
        <v>1165</v>
      </c>
      <c r="D17" s="17" t="s">
        <v>1199</v>
      </c>
      <c r="E17" s="5" t="s">
        <v>1200</v>
      </c>
      <c r="F17" s="6" t="s">
        <v>1201</v>
      </c>
    </row>
    <row r="18" spans="2:6" ht="15.45" customHeight="1" x14ac:dyDescent="0.3">
      <c r="B18" s="2" t="s">
        <v>1202</v>
      </c>
      <c r="C18" s="18" t="s">
        <v>1165</v>
      </c>
      <c r="D18" s="17" t="s">
        <v>1199</v>
      </c>
      <c r="E18" s="5" t="s">
        <v>1203</v>
      </c>
      <c r="F18" s="6" t="s">
        <v>1204</v>
      </c>
    </row>
    <row r="19" spans="2:6" ht="15.45" customHeight="1" x14ac:dyDescent="0.3">
      <c r="B19" s="2" t="s">
        <v>1205</v>
      </c>
      <c r="C19" s="18" t="s">
        <v>1165</v>
      </c>
      <c r="D19" s="17" t="s">
        <v>1199</v>
      </c>
      <c r="E19" s="5" t="s">
        <v>1206</v>
      </c>
      <c r="F19" s="6" t="s">
        <v>1207</v>
      </c>
    </row>
    <row r="20" spans="2:6" ht="15.45" customHeight="1" x14ac:dyDescent="0.3">
      <c r="B20" s="2" t="s">
        <v>1208</v>
      </c>
      <c r="C20" s="18" t="s">
        <v>1165</v>
      </c>
      <c r="D20" s="17" t="s">
        <v>1199</v>
      </c>
      <c r="E20" s="5" t="s">
        <v>1209</v>
      </c>
      <c r="F20" s="6" t="s">
        <v>1210</v>
      </c>
    </row>
    <row r="21" spans="2:6" ht="27.75" customHeight="1" x14ac:dyDescent="0.3">
      <c r="B21" s="2" t="s">
        <v>1211</v>
      </c>
      <c r="C21" s="18" t="s">
        <v>1165</v>
      </c>
      <c r="D21" s="17" t="s">
        <v>1212</v>
      </c>
      <c r="E21" s="5" t="s">
        <v>1213</v>
      </c>
      <c r="F21" s="6" t="s">
        <v>652</v>
      </c>
    </row>
    <row r="23" spans="2:6" ht="18" customHeight="1" x14ac:dyDescent="0.3">
      <c r="B23" s="38" t="s">
        <v>1214</v>
      </c>
      <c r="C23" s="37"/>
      <c r="D23" s="37"/>
      <c r="E23" s="37"/>
      <c r="F23" s="37"/>
    </row>
    <row r="24" spans="2:6" x14ac:dyDescent="0.3">
      <c r="B24" s="1" t="s">
        <v>1160</v>
      </c>
      <c r="C24" s="1" t="s">
        <v>1161</v>
      </c>
      <c r="D24" s="1" t="s">
        <v>1162</v>
      </c>
      <c r="E24" s="1" t="s">
        <v>1163</v>
      </c>
      <c r="F24" s="1" t="s">
        <v>1066</v>
      </c>
    </row>
    <row r="25" spans="2:6" ht="15.45" customHeight="1" x14ac:dyDescent="0.3">
      <c r="B25" s="2" t="s">
        <v>1215</v>
      </c>
      <c r="C25" s="18" t="s">
        <v>1165</v>
      </c>
      <c r="D25" s="17" t="s">
        <v>12</v>
      </c>
      <c r="E25" s="5" t="s">
        <v>1216</v>
      </c>
      <c r="F25" s="6" t="s">
        <v>408</v>
      </c>
    </row>
    <row r="26" ht="27.75" customHeight="1" x14ac:dyDescent="0.3">
      <c r="B26" s="2" t="inlineStr">
        <is>
          <t>Refuerzo mínimo de losas y zapatas: 0.0018 Ag con fy ≥ 420 MPa (0.0020 Ag con fy &lt; 420 MPa) — DATOS C92</t>
        </is>
      </c>
      <c r="C26" s="18" t="s">
        <v>1165</v>
      </c>
      <c r="D26" s="17" t="s">
        <v>12</v>
      </c>
      <c r="E26" s="5" t="s">
        <v>1218</v>
      </c>
      <c r="F26" s="6" t="s">
        <v>1219</v>
      </c>
    </row>
    <row r="27" spans="2:6" ht="15.45" customHeight="1" x14ac:dyDescent="0.3">
      <c r="B27" s="2" t="s">
        <v>1220</v>
      </c>
      <c r="C27" s="18" t="s">
        <v>1165</v>
      </c>
      <c r="D27" s="17" t="s">
        <v>12</v>
      </c>
      <c r="E27" s="5" t="s">
        <v>1221</v>
      </c>
      <c r="F27" s="6" t="s">
        <v>1219</v>
      </c>
    </row>
    <row r="28" spans="2:6" ht="27.75" customHeight="1" x14ac:dyDescent="0.3">
      <c r="B28" s="2" t="s">
        <v>1222</v>
      </c>
      <c r="C28" s="18" t="s">
        <v>1165</v>
      </c>
      <c r="D28" s="17" t="s">
        <v>12</v>
      </c>
      <c r="E28" s="5" t="s">
        <v>1223</v>
      </c>
      <c r="F28" s="6" t="s">
        <v>1224</v>
      </c>
    </row>
    <row r="29" spans="2:6" ht="27.75" customHeight="1" x14ac:dyDescent="0.3">
      <c r="B29" s="2" t="s">
        <v>1225</v>
      </c>
      <c r="C29" s="18" t="s">
        <v>1165</v>
      </c>
      <c r="D29" s="17" t="s">
        <v>12</v>
      </c>
      <c r="E29" s="5" t="s">
        <v>1226</v>
      </c>
      <c r="F29" s="6" t="s">
        <v>979</v>
      </c>
    </row>
    <row r="30" spans="2:6" ht="15.45" customHeight="1" x14ac:dyDescent="0.3">
      <c r="B30" s="2" t="s">
        <v>1227</v>
      </c>
      <c r="C30" s="18" t="s">
        <v>1165</v>
      </c>
      <c r="D30" s="17" t="s">
        <v>12</v>
      </c>
      <c r="E30" s="5" t="s">
        <v>1228</v>
      </c>
      <c r="F30" s="6" t="s">
        <v>658</v>
      </c>
    </row>
    <row r="31" spans="2:6" ht="27.75" customHeight="1" x14ac:dyDescent="0.3">
      <c r="B31" s="2" t="s">
        <v>1229</v>
      </c>
      <c r="C31" s="18" t="s">
        <v>1165</v>
      </c>
      <c r="D31" s="17" t="s">
        <v>12</v>
      </c>
      <c r="E31" s="5" t="s">
        <v>1230</v>
      </c>
      <c r="F31" s="6" t="s">
        <v>979</v>
      </c>
    </row>
    <row r="32" spans="2:6" ht="15.45" customHeight="1" x14ac:dyDescent="0.3">
      <c r="B32" s="2" t="s">
        <v>1231</v>
      </c>
      <c r="C32" s="18" t="s">
        <v>1165</v>
      </c>
      <c r="D32" s="17" t="s">
        <v>12</v>
      </c>
      <c r="E32" s="5" t="s">
        <v>1232</v>
      </c>
      <c r="F32" s="6" t="s">
        <v>1233</v>
      </c>
    </row>
    <row r="33" spans="2:6" ht="15.45" customHeight="1" x14ac:dyDescent="0.3">
      <c r="B33" s="2" t="s">
        <v>1234</v>
      </c>
      <c r="C33" s="18" t="s">
        <v>1165</v>
      </c>
      <c r="D33" s="17" t="s">
        <v>12</v>
      </c>
      <c r="E33" s="5" t="s">
        <v>1235</v>
      </c>
      <c r="F33" s="6" t="s">
        <v>1236</v>
      </c>
    </row>
    <row r="34" spans="2:6" ht="15.45" customHeight="1" x14ac:dyDescent="0.3">
      <c r="B34" s="2" t="s">
        <v>1237</v>
      </c>
      <c r="C34" s="18" t="s">
        <v>1165</v>
      </c>
      <c r="D34" s="17" t="s">
        <v>12</v>
      </c>
      <c r="E34" s="5" t="s">
        <v>1238</v>
      </c>
      <c r="F34" s="6" t="s">
        <v>1239</v>
      </c>
    </row>
    <row r="35" spans="2:6" ht="15.45" customHeight="1" x14ac:dyDescent="0.3">
      <c r="B35" s="2" t="s">
        <v>1240</v>
      </c>
      <c r="C35" s="18" t="s">
        <v>1165</v>
      </c>
      <c r="D35" s="17" t="s">
        <v>12</v>
      </c>
      <c r="E35" s="5" t="s">
        <v>1241</v>
      </c>
      <c r="F35" s="6" t="s">
        <v>1233</v>
      </c>
    </row>
    <row r="36" spans="2:6" ht="27.75" customHeight="1" x14ac:dyDescent="0.3">
      <c r="B36" s="2" t="s">
        <v>1242</v>
      </c>
      <c r="C36" s="18" t="s">
        <v>1165</v>
      </c>
      <c r="D36" s="17" t="s">
        <v>12</v>
      </c>
      <c r="E36" s="5" t="s">
        <v>1243</v>
      </c>
      <c r="F36" s="6" t="s">
        <v>1244</v>
      </c>
    </row>
    <row r="37" spans="2:6" ht="27.75" customHeight="1" x14ac:dyDescent="0.3">
      <c r="B37" s="2" t="s">
        <v>1245</v>
      </c>
      <c r="C37" s="18" t="s">
        <v>1165</v>
      </c>
      <c r="D37" s="17" t="s">
        <v>12</v>
      </c>
      <c r="E37" s="5" t="s">
        <v>1246</v>
      </c>
      <c r="F37" s="6" t="s">
        <v>1224</v>
      </c>
    </row>
    <row r="38" spans="2:6" ht="15.45" customHeight="1" x14ac:dyDescent="0.3">
      <c r="B38" s="2" t="s">
        <v>1247</v>
      </c>
      <c r="C38" s="18" t="s">
        <v>1165</v>
      </c>
      <c r="D38" s="17" t="s">
        <v>12</v>
      </c>
      <c r="E38" s="5" t="s">
        <v>1248</v>
      </c>
      <c r="F38" s="6" t="s">
        <v>1249</v>
      </c>
    </row>
    <row r="39" spans="2:6" ht="15.45" customHeight="1" x14ac:dyDescent="0.3">
      <c r="B39" s="2" t="s">
        <v>1250</v>
      </c>
      <c r="C39" s="18" t="s">
        <v>1165</v>
      </c>
      <c r="D39" s="17" t="s">
        <v>12</v>
      </c>
      <c r="E39" s="5" t="s">
        <v>1251</v>
      </c>
      <c r="F39" s="6" t="s">
        <v>1252</v>
      </c>
    </row>
    <row r="40" spans="2:6" ht="15.45" customHeight="1" x14ac:dyDescent="0.3">
      <c r="B40" s="2" t="s">
        <v>1253</v>
      </c>
      <c r="C40" s="18" t="s">
        <v>1165</v>
      </c>
      <c r="D40" s="17" t="s">
        <v>12</v>
      </c>
      <c r="E40" s="5" t="s">
        <v>1254</v>
      </c>
      <c r="F40" s="6" t="s">
        <v>1255</v>
      </c>
    </row>
    <row r="41" spans="2:6" ht="15.45" customHeight="1" x14ac:dyDescent="0.3">
      <c r="B41" s="2" t="s">
        <v>1256</v>
      </c>
      <c r="C41" s="18" t="s">
        <v>1165</v>
      </c>
      <c r="D41" s="17" t="s">
        <v>12</v>
      </c>
      <c r="E41" s="5" t="s">
        <v>1257</v>
      </c>
      <c r="F41" s="6" t="s">
        <v>1258</v>
      </c>
    </row>
    <row r="43" spans="2:6" ht="18" customHeight="1" x14ac:dyDescent="0.3">
      <c r="B43" s="38" t="s">
        <v>1259</v>
      </c>
      <c r="C43" s="37"/>
      <c r="D43" s="37"/>
      <c r="E43" s="37"/>
      <c r="F43" s="37"/>
    </row>
    <row r="44" spans="2:6" x14ac:dyDescent="0.3">
      <c r="B44" s="1" t="s">
        <v>1160</v>
      </c>
      <c r="C44" s="1" t="s">
        <v>1161</v>
      </c>
      <c r="D44" s="1" t="s">
        <v>1162</v>
      </c>
      <c r="E44" s="1" t="s">
        <v>1163</v>
      </c>
      <c r="F44" s="1" t="s">
        <v>1066</v>
      </c>
    </row>
    <row r="45" spans="2:6" ht="27.75" customHeight="1" x14ac:dyDescent="0.3">
      <c r="B45" s="2" t="s">
        <v>1260</v>
      </c>
      <c r="C45" s="18" t="s">
        <v>1261</v>
      </c>
      <c r="D45" s="17" t="s">
        <v>1262</v>
      </c>
      <c r="E45" s="5" t="s">
        <v>1263</v>
      </c>
      <c r="F45" s="6" t="s">
        <v>1264</v>
      </c>
    </row>
    <row r="46" spans="2:6" ht="15.45" customHeight="1" x14ac:dyDescent="0.3">
      <c r="B46" s="2" t="s">
        <v>1265</v>
      </c>
      <c r="C46" s="18" t="s">
        <v>1261</v>
      </c>
      <c r="D46" s="17" t="s">
        <v>1266</v>
      </c>
      <c r="E46" s="5" t="s">
        <v>1267</v>
      </c>
      <c r="F46" s="6" t="s">
        <v>1268</v>
      </c>
    </row>
    <row r="47" spans="2:6" ht="15.45" customHeight="1" x14ac:dyDescent="0.3">
      <c r="B47" s="2" t="s">
        <v>1269</v>
      </c>
      <c r="C47" s="18" t="s">
        <v>1261</v>
      </c>
      <c r="D47" s="17" t="s">
        <v>1270</v>
      </c>
      <c r="E47" s="5" t="s">
        <v>1271</v>
      </c>
      <c r="F47" s="6" t="s">
        <v>1272</v>
      </c>
    </row>
    <row r="48" spans="2:6" ht="15.45" customHeight="1" x14ac:dyDescent="0.3">
      <c r="B48" s="2" t="s">
        <v>1273</v>
      </c>
      <c r="C48" s="18" t="s">
        <v>1261</v>
      </c>
      <c r="D48" s="17" t="s">
        <v>1274</v>
      </c>
      <c r="E48" s="5" t="s">
        <v>1275</v>
      </c>
      <c r="F48" s="6" t="s">
        <v>652</v>
      </c>
    </row>
    <row r="49" spans="2:6" ht="27.75" customHeight="1" x14ac:dyDescent="0.3">
      <c r="B49" s="2" t="s">
        <v>1276</v>
      </c>
      <c r="C49" s="18" t="s">
        <v>1261</v>
      </c>
      <c r="D49" s="17" t="s">
        <v>1277</v>
      </c>
      <c r="E49" s="5" t="s">
        <v>1278</v>
      </c>
      <c r="F49" s="6" t="s">
        <v>1279</v>
      </c>
    </row>
    <row r="50" spans="2:6" ht="15.45" customHeight="1" x14ac:dyDescent="0.3">
      <c r="B50" s="2" t="s">
        <v>1280</v>
      </c>
      <c r="C50" s="18" t="s">
        <v>1261</v>
      </c>
      <c r="D50" s="17" t="s">
        <v>1281</v>
      </c>
      <c r="E50" s="5" t="s">
        <v>1282</v>
      </c>
      <c r="F50" s="6" t="s">
        <v>1210</v>
      </c>
    </row>
    <row r="52" spans="2:6" ht="18" customHeight="1" x14ac:dyDescent="0.3">
      <c r="B52" s="38" t="s">
        <v>1283</v>
      </c>
      <c r="C52" s="37"/>
      <c r="D52" s="37"/>
      <c r="E52" s="37"/>
      <c r="F52" s="37"/>
    </row>
    <row r="53" spans="2:6" x14ac:dyDescent="0.3">
      <c r="B53" s="1" t="s">
        <v>1160</v>
      </c>
      <c r="C53" s="1" t="s">
        <v>1161</v>
      </c>
      <c r="D53" s="1" t="s">
        <v>1162</v>
      </c>
      <c r="E53" s="1" t="s">
        <v>1163</v>
      </c>
      <c r="F53" s="1" t="s">
        <v>1066</v>
      </c>
    </row>
    <row r="54" spans="2:6" ht="15.45" customHeight="1" x14ac:dyDescent="0.3">
      <c r="B54" s="2" t="s">
        <v>1284</v>
      </c>
      <c r="C54" s="18" t="s">
        <v>1283</v>
      </c>
      <c r="D54" s="17" t="s">
        <v>1285</v>
      </c>
      <c r="E54" s="5" t="s">
        <v>1286</v>
      </c>
      <c r="F54" s="6" t="s">
        <v>1287</v>
      </c>
    </row>
    <row r="55" spans="2:6" ht="27.75" customHeight="1" x14ac:dyDescent="0.3">
      <c r="B55" s="2" t="s">
        <v>1288</v>
      </c>
      <c r="C55" s="18" t="s">
        <v>1283</v>
      </c>
      <c r="D55" s="17" t="s">
        <v>1289</v>
      </c>
      <c r="E55" s="5" t="s">
        <v>1290</v>
      </c>
      <c r="F55" s="6" t="s">
        <v>1291</v>
      </c>
    </row>
    <row r="57" spans="2:6" ht="18" customHeight="1" x14ac:dyDescent="0.3">
      <c r="B57" s="38" t="s">
        <v>1292</v>
      </c>
      <c r="C57" s="37"/>
      <c r="D57" s="37"/>
      <c r="E57" s="37"/>
      <c r="F57" s="37"/>
    </row>
    <row r="58" spans="2:6" x14ac:dyDescent="0.3">
      <c r="B58" s="1" t="s">
        <v>1160</v>
      </c>
      <c r="C58" s="1" t="s">
        <v>1161</v>
      </c>
      <c r="D58" s="1" t="s">
        <v>1162</v>
      </c>
      <c r="E58" s="1" t="s">
        <v>1163</v>
      </c>
      <c r="F58" s="1" t="s">
        <v>1066</v>
      </c>
    </row>
    <row r="59" spans="2:6" ht="15.45" customHeight="1" x14ac:dyDescent="0.3">
      <c r="B59" s="2" t="s">
        <v>1293</v>
      </c>
      <c r="C59" s="18" t="s">
        <v>1292</v>
      </c>
      <c r="D59" s="17" t="s">
        <v>12</v>
      </c>
      <c r="E59" s="5" t="s">
        <v>1294</v>
      </c>
      <c r="F59" s="6" t="s">
        <v>1295</v>
      </c>
    </row>
    <row r="60" spans="2:6" ht="27.75" customHeight="1" x14ac:dyDescent="0.3">
      <c r="B60" s="2" t="s">
        <v>1296</v>
      </c>
      <c r="C60" s="18" t="s">
        <v>1292</v>
      </c>
      <c r="D60" s="17" t="s">
        <v>12</v>
      </c>
      <c r="E60" s="5" t="s">
        <v>1297</v>
      </c>
      <c r="F60" s="6" t="s">
        <v>1298</v>
      </c>
    </row>
    <row r="62" spans="2:6" ht="18" customHeight="1" x14ac:dyDescent="0.3">
      <c r="B62" s="38" t="s">
        <v>1299</v>
      </c>
      <c r="C62" s="37"/>
      <c r="D62" s="37"/>
      <c r="E62" s="37"/>
      <c r="F62" s="37"/>
    </row>
    <row r="63" spans="2:6" x14ac:dyDescent="0.3">
      <c r="B63" s="1" t="s">
        <v>1160</v>
      </c>
      <c r="C63" s="1" t="s">
        <v>1161</v>
      </c>
      <c r="D63" s="1" t="s">
        <v>1162</v>
      </c>
      <c r="E63" s="1" t="s">
        <v>1163</v>
      </c>
      <c r="F63" s="1" t="s">
        <v>1066</v>
      </c>
    </row>
    <row r="64" spans="2:6" ht="40.200000000000003" customHeight="1" x14ac:dyDescent="0.3">
      <c r="B64" s="2" t="s">
        <v>1300</v>
      </c>
      <c r="C64" s="18" t="s">
        <v>1301</v>
      </c>
      <c r="D64" s="17" t="s">
        <v>12</v>
      </c>
      <c r="E64" s="5" t="s">
        <v>1302</v>
      </c>
      <c r="F64" s="6" t="s">
        <v>1303</v>
      </c>
    </row>
    <row r="65" spans="2:6" ht="52.65" customHeight="1" x14ac:dyDescent="0.3">
      <c r="B65" s="2" t="s">
        <v>1304</v>
      </c>
      <c r="C65" s="18" t="s">
        <v>1301</v>
      </c>
      <c r="D65" s="17" t="s">
        <v>12</v>
      </c>
      <c r="E65" s="5" t="s">
        <v>1305</v>
      </c>
      <c r="F65" s="6" t="s">
        <v>1306</v>
      </c>
    </row>
    <row r="66" spans="2:6" ht="27.75" customHeight="1" x14ac:dyDescent="0.3">
      <c r="B66" s="2" t="s">
        <v>1307</v>
      </c>
      <c r="C66" s="18" t="s">
        <v>1301</v>
      </c>
      <c r="D66" s="17" t="s">
        <v>12</v>
      </c>
      <c r="E66" s="5" t="s">
        <v>1308</v>
      </c>
      <c r="F66" s="6" t="s">
        <v>1309</v>
      </c>
    </row>
    <row r="68" spans="2:6" ht="18" customHeight="1" x14ac:dyDescent="0.3">
      <c r="B68" s="38" t="inlineStr">
        <is>
          <t>ZAPATA DE LINDERO (hoja LINDERO)</t>
        </is>
      </c>
      <c r="C68" s="37"/>
      <c r="D68" s="37"/>
      <c r="E68" s="37"/>
      <c r="F68" s="37"/>
    </row>
    <row r="69" spans="2:6" x14ac:dyDescent="0.3">
      <c r="B69" s="1" t="inlineStr">
        <is>
          <t>Tema</t>
        </is>
      </c>
      <c r="C69" s="1" t="inlineStr">
        <is>
          <t>Documento</t>
        </is>
      </c>
      <c r="D69" s="1" t="inlineStr">
        <is>
          <t>Página</t>
        </is>
      </c>
      <c r="E69" s="1" t="inlineStr">
        <is>
          <t>Sección / tabla / nota</t>
        </is>
      </c>
      <c r="F69" s="1" t="inlineStr">
        <is>
          <t>Dónde se usa en este libro</t>
        </is>
      </c>
    </row>
    <row r="70" spans="2:6" ht="27.75" customHeight="1" x14ac:dyDescent="0.3">
      <c r="B70" s="2" t="inlineStr">
        <is>
          <t>Diseño por equilibrio y compatibilidad (contratrabe de equilibrio)</t>
        </is>
      </c>
      <c r="C70" s="18" t="inlineStr">
        <is>
          <t>ACI 318-19</t>
        </is>
      </c>
      <c r="D70" s="17" t="inlineStr">
        <is>
          <t>200</t>
        </is>
      </c>
      <c r="E70" s="5" t="inlineStr">
        <is>
          <t>13.2.6.4 y R13.2.6.4</t>
        </is>
      </c>
      <c r="F70" s="6" t="inlineStr">
        <is>
          <t>LINDERO, secciones 1, 4, 5 y 13</t>
        </is>
      </c>
    </row>
    <row r="71" spans="2:6" ht="27.75" customHeight="1" x14ac:dyDescent="0.3">
      <c r="B71" s="2" t="inlineStr">
        <is>
          <t>Presiones con carga excéntrica y cargas factorizadas</t>
        </is>
      </c>
      <c r="C71" s="18" t="inlineStr">
        <is>
          <t>ACI 318-19</t>
        </is>
      </c>
      <c r="D71" s="17" t="inlineStr">
        <is>
          <t>200</t>
        </is>
      </c>
      <c r="E71" s="5" t="inlineStr">
        <is>
          <t>13.2.6.3 y R13.2.6.3</t>
        </is>
      </c>
      <c r="F71" s="6" t="inlineStr">
        <is>
          <t>LINDERO, bloques S y U</t>
        </is>
      </c>
    </row>
    <row r="72" spans="2:6" ht="27.75" customHeight="1" x14ac:dyDescent="0.3">
      <c r="B72" s="2" t="inlineStr">
        <is>
          <t>Momento por un plano vertical (volado de la zapata de lindero)</t>
        </is>
      </c>
      <c r="C72" s="18" t="inlineStr">
        <is>
          <t>ACI 318-19</t>
        </is>
      </c>
      <c r="D72" s="17" t="inlineStr">
        <is>
          <t>201</t>
        </is>
      </c>
      <c r="E72" s="5" t="inlineStr">
        <is>
          <t>13.2.6.6</t>
        </is>
      </c>
      <c r="F72" s="6" t="inlineStr">
        <is>
          <t>LINDERO, secciones 7, 8 y 10</t>
        </is>
      </c>
    </row>
    <row r="73" spans="2:6" ht="27.75" customHeight="1" x14ac:dyDescent="0.3">
      <c r="B73" s="2" t="inlineStr">
        <is>
          <t>Con contratrabe la zapata trabaja en una dirección; acero repartido parejo</t>
        </is>
      </c>
      <c r="C73" s="18" t="inlineStr">
        <is>
          <t>ACI 318-19</t>
        </is>
      </c>
      <c r="D73" s="17" t="inlineStr">
        <is>
          <t>203</t>
        </is>
      </c>
      <c r="E73" s="5" t="inlineStr">
        <is>
          <t>13.3.2.1 y 13.3.2.2</t>
        </is>
      </c>
      <c r="F73" s="6" t="inlineStr">
        <is>
          <t>LINDERO, secciones 7 y 8</t>
        </is>
      </c>
    </row>
    <row r="74" spans="2:6" ht="27.75" customHeight="1" x14ac:dyDescent="0.3">
      <c r="B74" s="2" t="inlineStr">
        <is>
          <t>Penetración en columna de borde: αs = 30 y perímetro de 3 lados</t>
        </is>
      </c>
      <c r="C74" s="18" t="inlineStr">
        <is>
          <t>ACI 318-19</t>
        </is>
      </c>
      <c r="D74" s="17" t="inlineStr">
        <is>
          <t>—</t>
        </is>
      </c>
      <c r="E74" s="5" t="inlineStr">
        <is>
          <t>22.6.4.1 y Tabla 22.6.5.2</t>
        </is>
      </c>
      <c r="F74" s="6" t="inlineStr">
        <is>
          <t>LINDERO, sección 6</t>
        </is>
      </c>
    </row>
    <row r="75" spans="2:6" ht="27.75" customHeight="1" x14ac:dyDescent="0.3">
      <c r="B75" s="2" t="inlineStr">
        <is>
          <t>Momento transferido en columna de borde (γf, γv, Jc)</t>
        </is>
      </c>
      <c r="C75" s="18" t="inlineStr">
        <is>
          <t>ACI 318-19</t>
        </is>
      </c>
      <c r="D75" s="17" t="inlineStr">
        <is>
          <t>—</t>
        </is>
      </c>
      <c r="E75" s="5" t="inlineStr">
        <is>
          <t>8.4.2.2.2, 8.4.4.2.2, 8.4.4.2.3 y R8.4.4.2.3</t>
        </is>
      </c>
      <c r="F75" s="6" t="inlineStr">
        <is>
          <t>LINDERO, sección 6</t>
        </is>
      </c>
    </row>
    <row r="76" spans="2:6" ht="27.75" customHeight="1" x14ac:dyDescent="0.3">
      <c r="B76" s="2" t="inlineStr">
        <is>
          <t>Aplastamiento con el dado al paño del lindero: A₂ = A₁</t>
        </is>
      </c>
      <c r="C76" s="18" t="inlineStr">
        <is>
          <t>ACI 318-19</t>
        </is>
      </c>
      <c r="D76" s="17" t="inlineStr">
        <is>
          <t>—</t>
        </is>
      </c>
      <c r="E76" s="5" t="inlineStr">
        <is>
          <t>22.8.3.2</t>
        </is>
      </c>
      <c r="F76" s="6" t="inlineStr">
        <is>
          <t>LINDERO, sección 12</t>
        </is>
      </c>
    </row>
    <row r="77" spans="2:6" ht="27.75" customHeight="1" x14ac:dyDescent="0.3">
      <c r="B77" s="2" t="inlineStr">
        <is>
          <t>Contratrabe que toma momento de columnas sismorresistentes</t>
        </is>
      </c>
      <c r="C77" s="18" t="inlineStr">
        <is>
          <t>ACI 318-19</t>
        </is>
      </c>
      <c r="D77" s="17" t="inlineStr">
        <is>
          <t>—</t>
        </is>
      </c>
      <c r="E77" s="5" t="inlineStr">
        <is>
          <t>18.13.3 y 18.6.2 a 18.6.5</t>
        </is>
      </c>
      <c r="F77" s="6" t="inlineStr">
        <is>
          <t>LINDERO, sección 13</t>
        </is>
      </c>
    </row>
    <row r="78" spans="2:6" ht="27.75" customHeight="1" x14ac:dyDescent="0.3">
      <c r="B78" s="2" t="inlineStr">
        <is>
          <t>Zapatas con contratrabe de equilibrio (strap footings): R = P·Ls/(Ls − e)</t>
        </is>
      </c>
      <c r="C78" s="18" t="inlineStr">
        <is>
          <t>Bowles 5ª ed.</t>
        </is>
      </c>
      <c r="D78" s="17" t="inlineStr">
        <is>
          <t>—</t>
        </is>
      </c>
      <c r="E78" s="5" t="inlineStr">
        <is>
          <t>§9.4</t>
        </is>
      </c>
      <c r="F78" s="6" t="inlineStr">
        <is>
          <t>LINDERO, secciones 4, 5 y 13</t>
        </is>
      </c>
    </row>
  </sheetData>
  <mergeCells count="10">
    <mergeCell ref="B1:F1"/>
    <mergeCell ref="B57:F57"/>
    <mergeCell ref="B52:F52"/>
    <mergeCell ref="B43:F43"/>
    <mergeCell ref="B6:F6"/>
    <mergeCell ref="B2:F2"/>
    <mergeCell ref="B62:F62"/>
    <mergeCell ref="B3:F3"/>
    <mergeCell ref="B23:F23"/>
    <mergeCell ref="B68:F68"/>
  </mergeCells>
  <conditionalFormatting sqref="C1:N80">
    <cfRule type="expression" dxfId="1" priority="1" stopIfTrue="1">
      <formula>OR(ISNUMBER(FIND("NO CUMPLE",C1)),ISNUMBER(FIND("REVISAR",C1)),ISNUMBER(FIND("NO ALCANZA",C1)),ISNUMBER(FIND("INESTABLE",C1)))</formula>
    </cfRule>
    <cfRule type="expression" dxfId="0" priority="2">
      <formula>ISNUMBER(FIND("CUMPLE",C1))</formula>
    </cfRule>
  </conditionalFormatting>
  <pageMargins left="0.75" right="0.7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I323"/>
  <sheetViews>
    <sheetView showGridLines="0" workbookViewId="0"/>
  </sheetViews>
  <sheetFormatPr baseColWidth="10" defaultColWidth="8.88671875" defaultRowHeight="14.4" x14ac:dyDescent="0.3"/>
  <cols>
    <col min="1" max="1" width="34" customWidth="1"/>
    <col min="2" max="2" width="12" customWidth="1"/>
  </cols>
  <sheetData>
    <row r="1" x14ac:dyDescent="0.3">
      <c r="A1" s="30" t="s">
        <v>1310</v>
      </c>
      <c r="D1" s="31" t="s">
        <v>1311</v>
      </c>
      <c r="F1" s="31" t="s">
        <v>1312</v>
      </c>
      <c r="H1" s="31" t="s">
        <v>1313</v>
      </c>
      <c r="J1" s="31" t="s">
        <v>1314</v>
      </c>
      <c r="L1" s="31" t="s">
        <v>1315</v>
      </c>
      <c r="N1" s="31" t="s">
        <v>1316</v>
      </c>
      <c r="P1" s="31" t="s">
        <v>1317</v>
      </c>
      <c r="R1" s="31" t="s">
        <v>1318</v>
      </c>
      <c r="T1" s="31" t="s">
        <v>1319</v>
      </c>
      <c r="V1" s="31" t="s">
        <v>1320</v>
      </c>
      <c r="X1" s="31" t="s">
        <v>1321</v>
      </c>
      <c r="Z1" s="31" t="s">
        <v>1322</v>
      </c>
      <c r="AB1" s="31" t="s">
        <v>1323</v>
      </c>
      <c r="AD1" s="31" t="s">
        <v>1324</v>
      </c>
      <c r="AF1" s="31" t="s">
        <v>1325</v>
      </c>
      <c r="AH1" s="31" t="s">
        <v>1326</v>
      </c>
      <c r="AJ1" s="31" t="s">
        <v>1327</v>
      </c>
      <c r="AL1" s="31" t="s">
        <v>1328</v>
      </c>
      <c r="AN1" s="31" t="s">
        <v>1329</v>
      </c>
      <c r="AP1" s="31" t="s">
        <v>1330</v>
      </c>
      <c r="AR1" s="31" t="s">
        <v>1331</v>
      </c>
      <c r="AT1" s="31" t="s">
        <v>1332</v>
      </c>
      <c r="AV1" s="31" t="s">
        <v>1333</v>
      </c>
      <c r="AX1" s="31" t="s">
        <v>1334</v>
      </c>
      <c r="AZ1" s="31" t="s">
        <v>1335</v>
      </c>
      <c r="BB1" s="31" t="s">
        <v>1336</v>
      </c>
      <c r="BD1" s="31" t="s">
        <v>1337</v>
      </c>
      <c r="BF1" s="31" t="s">
        <v>1338</v>
      </c>
      <c r="BH1" s="31" t="s">
        <v>1339</v>
      </c>
      <c r="BJ1" s="31" t="s">
        <v>1340</v>
      </c>
      <c r="BL1" s="31" t="s">
        <v>1341</v>
      </c>
      <c r="BN1" s="31" t="s">
        <v>1342</v>
      </c>
      <c r="BP1" s="31" t="s">
        <v>1343</v>
      </c>
      <c r="BR1" s="31" t="s">
        <v>1344</v>
      </c>
      <c r="BT1" s="31" t="s">
        <v>1345</v>
      </c>
      <c r="BV1" s="31" t="s">
        <v>1346</v>
      </c>
      <c r="BX1" s="31" t="s">
        <v>1347</v>
      </c>
      <c r="BZ1" s="31" t="s">
        <v>1348</v>
      </c>
      <c r="CB1" s="31" t="s">
        <v>1349</v>
      </c>
      <c r="CD1" s="31" t="s">
        <v>1350</v>
      </c>
      <c r="CF1" s="31" t="s">
        <v>1351</v>
      </c>
      <c r="CH1" s="31" t="s">
        <v>1352</v>
      </c>
      <c r="CJ1" s="31" t="s">
        <v>1353</v>
      </c>
      <c r="CL1" s="31" t="s">
        <v>1354</v>
      </c>
      <c r="CN1" s="31" t="s">
        <v>1355</v>
      </c>
      <c r="CP1" s="31" t="s">
        <v>1356</v>
      </c>
      <c r="CR1" s="31" t="s">
        <v>1357</v>
      </c>
      <c r="CT1" s="31" t="s">
        <v>1358</v>
      </c>
      <c r="CV1" s="31" t="s">
        <v>1359</v>
      </c>
      <c r="CX1" s="31" t="s">
        <v>1360</v>
      </c>
      <c r="CZ1" s="31" t="s">
        <v>1361</v>
      </c>
      <c r="DB1" s="31" t="s">
        <v>1362</v>
      </c>
      <c r="DD1" s="31" t="s">
        <v>1363</v>
      </c>
      <c r="DF1" s="31" t="s">
        <v>1364</v>
      </c>
      <c r="DH1" s="31" t="s">
        <v>1365</v>
      </c>
      <c r="DJ1" s="31" t="s">
        <v>1366</v>
      </c>
      <c r="DL1" s="31" t="s">
        <v>1367</v>
      </c>
      <c r="DN1" s="31" t="s">
        <v>1368</v>
      </c>
      <c r="DP1" s="31" t="s">
        <v>1369</v>
      </c>
      <c r="DR1" s="31" t="s">
        <v>1370</v>
      </c>
      <c r="DT1" s="31" t="s">
        <v>1371</v>
      </c>
      <c r="DV1" s="31" t="s">
        <v>1372</v>
      </c>
      <c r="DX1" s="31" t="s">
        <v>1373</v>
      </c>
      <c r="DZ1" s="31" t="s">
        <v>1374</v>
      </c>
      <c r="EB1" s="31" t="s">
        <v>1375</v>
      </c>
      <c r="ED1" s="31" t="s">
        <v>1376</v>
      </c>
      <c r="EF1" s="31" t="s">
        <v>1377</v>
      </c>
      <c r="EH1" s="31" t="s">
        <v>1378</v>
      </c>
      <c r="EJ1" s="31" t="s">
        <v>1379</v>
      </c>
      <c r="EL1" s="31" t="s">
        <v>1380</v>
      </c>
      <c r="EN1" s="31" t="s">
        <v>1381</v>
      </c>
      <c r="EP1" s="31" t="s">
        <v>1382</v>
      </c>
      <c r="ER1" s="31" t="s">
        <v>1383</v>
      </c>
      <c r="ET1" s="31" t="s">
        <v>1384</v>
      </c>
      <c r="EV1" s="31" t="s">
        <v>1385</v>
      </c>
      <c r="EX1" s="31" t="s">
        <v>1386</v>
      </c>
      <c r="EZ1" s="31" t="s">
        <v>1387</v>
      </c>
      <c r="FB1" s="31" t="s">
        <v>1388</v>
      </c>
      <c r="FD1" s="31" t="s">
        <v>1389</v>
      </c>
      <c r="FF1" s="31" t="s">
        <v>1390</v>
      </c>
      <c r="FH1" s="31" t="s">
        <v>1391</v>
      </c>
      <c r="FJ1" s="31" t="s">
        <v>1392</v>
      </c>
      <c r="FL1" s="31" t="s">
        <v>1393</v>
      </c>
      <c r="FN1" s="31" t="s">
        <v>1394</v>
      </c>
      <c r="FP1" s="31" t="s">
        <v>1395</v>
      </c>
      <c r="FR1" s="31" t="s">
        <v>1396</v>
      </c>
      <c r="FT1" s="31" t="s">
        <v>1397</v>
      </c>
      <c r="FV1" s="31" t="s">
        <v>1398</v>
      </c>
      <c r="FX1" s="31" t="s">
        <v>1399</v>
      </c>
      <c r="FZ1" s="31" t="inlineStr">
        <is>
          <t>planta_armado·pdv</t>
        </is>
      </c>
      <c r="GB1" s="31" t="inlineStr">
        <is>
          <t>planta_armado·ped</t>
        </is>
      </c>
      <c r="GD1" s="31" t="inlineStr">
        <is>
          <t>planta_armado·pl7</t>
        </is>
      </c>
      <c r="GF1" s="31" t="inlineStr">
        <is>
          <t>corte_armado·sed</t>
        </is>
      </c>
      <c r="GH1" s="31" t="inlineStr">
        <is>
          <t>corte_armado·sl10</t>
        </is>
      </c>
    </row>
    <row r="2" x14ac:dyDescent="0.3">
      <c r="D2" s="32" t="str">
        <f>"Zapata"</f>
        <v>Zapata</v>
      </c>
      <c r="F2" s="32" t="str">
        <f>"Dado o muro"</f>
        <v>Dado o muro</v>
      </c>
      <c r="H2" s="32" t="str">
        <f>"Contratrabe"</f>
        <v>Contratrabe</v>
      </c>
      <c r="J2" s="32" t="str">
        <f>"Contratrabe"</f>
        <v>Contratrabe</v>
      </c>
      <c r="L2" s="32" t="str">
        <f>"Contratrabe"</f>
        <v>Contratrabe</v>
      </c>
      <c r="N2" s="32" t="str">
        <f>"Contratrabe"</f>
        <v>Contratrabe</v>
      </c>
      <c r="P2" s="32" t="str">
        <f>"Varillas ‖ X"</f>
        <v>Varillas ‖ X</v>
      </c>
      <c r="R2" s="32" t="str">
        <f>"Varillas ‖ Y"</f>
        <v>Varillas ‖ Y</v>
      </c>
      <c r="T2" s="32" t="str">
        <f>"Parrilla sup ‖ X"</f>
        <v>Parrilla sup ‖ X</v>
      </c>
      <c r="V2" s="32" t="str">
        <f>"Parrilla sup ‖ Y"</f>
        <v>Parrilla sup ‖ Y</v>
      </c>
      <c r="X2" s="32" t="str">
        <f>"Eje X"</f>
        <v>Eje X</v>
      </c>
      <c r="Z2" s="32" t="str">
        <f>"Eje Y"</f>
        <v>Eje Y</v>
      </c>
      <c r="AB2" s="32" t="str">
        <f>"A"</f>
        <v>A</v>
      </c>
      <c r="AD2" s="32" t="str">
        <f>"A"</f>
        <v>A</v>
      </c>
      <c r="AF2" s="32" t="str">
        <f>"X"</f>
        <v>X</v>
      </c>
      <c r="AH2" s="32" t="str">
        <f>"Y"</f>
        <v>Y</v>
      </c>
      <c r="AJ2" s="32" t="str">
        <f>$B$62</f>
        <v>Lecho inferior ‖ X: #5 @ 20.0 cm</v>
      </c>
      <c r="AL2" s="32" t="str">
        <f>$B$64</f>
        <v/>
      </c>
      <c r="AN2" s="32" t="str">
        <f>$B$65</f>
        <v>Dado 0.50 × 0.50 m</v>
      </c>
      <c r="AP2" s="32" t="str">
        <f>$B$66</f>
        <v/>
      </c>
      <c r="AR2" s="32" t="str">
        <f>$B$63</f>
        <v>Lecho inferior ‖ Y: #5 @ 20.0 cm</v>
      </c>
      <c r="AT2" s="32" t="str">
        <f>$B$67</f>
        <v>Zapata 2.60 × 2.60 m, h = 0.50 m</v>
      </c>
      <c r="AV2" s="32" t="str">
        <f>"Zapata"</f>
        <v>Zapata</v>
      </c>
      <c r="AX2" s="32" t="str">
        <f>"Dado o muro"</f>
        <v>Dado o muro</v>
      </c>
      <c r="AZ2" s="32" t="str">
        <f>"Contratrabe"</f>
        <v>Contratrabe</v>
      </c>
      <c r="BB2" s="32" t="str">
        <f>"Contratrabe"</f>
        <v>Contratrabe</v>
      </c>
      <c r="BD2" s="32" t="str">
        <f>"Contratrabe"</f>
        <v>Contratrabe</v>
      </c>
      <c r="BF2" s="32" t="str">
        <f>"Contratrabe"</f>
        <v>Contratrabe</v>
      </c>
      <c r="BH2" s="32" t="str">
        <f>"Eje X"</f>
        <v>Eje X</v>
      </c>
      <c r="BJ2" s="32" t="str">
        <f>"Eje Y"</f>
        <v>Eje Y</v>
      </c>
      <c r="BL2" s="32" t="str">
        <f>IF($B$3=3,"B = ","Lx = ")&amp;TEXT($B$4,"0.00")</f>
        <v>Lx = 2.60</v>
      </c>
      <c r="BN2" s="32" t="str">
        <f>IF($B$3=3,"tramo ","Ly = ")&amp;TEXT($B$5,"0.00")</f>
        <v>Ly = 2.60</v>
      </c>
      <c r="BP2" s="32" t="str">
        <f>TEXT(($B$4-$B$8)/2,"0.00")</f>
        <v>1.05</v>
      </c>
      <c r="BR2" s="32" t="str">
        <f>IF($B$3=3,"t = ","")&amp;TEXT($B$8,"0.00")</f>
        <v>0.50</v>
      </c>
      <c r="BT2" s="32" t="str">
        <f>TEXT(($B$4-$B$8)/2,"0.00")</f>
        <v>1.05</v>
      </c>
      <c r="BV2" s="32" t="str">
        <f>TEXT(($B$5-$B$9)/2,"0.00")</f>
        <v>1.05</v>
      </c>
      <c r="BX2" s="32" t="str">
        <f>TEXT($B$9,"0.00")</f>
        <v>0.50</v>
      </c>
      <c r="BZ2" s="32" t="str">
        <f>TEXT(($B$5-$B$9)/2,"0.00")</f>
        <v>1.05</v>
      </c>
      <c r="CB2" s="32" t="str">
        <f>"X"</f>
        <v>X</v>
      </c>
      <c r="CD2" s="32" t="str">
        <f>"Y"</f>
        <v>Y</v>
      </c>
      <c r="CF2" s="32" t="str">
        <f>"Zapata"</f>
        <v>Zapata</v>
      </c>
      <c r="CH2" s="32" t="str">
        <f>"Dado o muro"</f>
        <v>Dado o muro</v>
      </c>
      <c r="CJ2" s="32" t="str">
        <f>"Plantilla"</f>
        <v>Plantilla</v>
      </c>
      <c r="CL2" s="32" t="str">
        <f>"Terreno"</f>
        <v>Terreno</v>
      </c>
      <c r="CN2" s="32" t="str">
        <f>"Terreno"</f>
        <v>Terreno</v>
      </c>
      <c r="CP2" s="32" t="str">
        <f>"Contratrabe"</f>
        <v>Contratrabe</v>
      </c>
      <c r="CR2" s="32" t="str">
        <f>"Contratrabe"</f>
        <v>Contratrabe</v>
      </c>
      <c r="CT2" s="32" t="str">
        <f>"Varilla ‖ X"</f>
        <v>Varilla ‖ X</v>
      </c>
      <c r="CV2" s="32" t="str">
        <f>"Varillas ‖ Y"</f>
        <v>Varillas ‖ Y</v>
      </c>
      <c r="CX2" s="32" t="str">
        <f>"Parrilla sup ‖ X"</f>
        <v>Parrilla sup ‖ X</v>
      </c>
      <c r="CZ2" s="32" t="str">
        <f>"Parrilla sup ‖ Y"</f>
        <v>Parrilla sup ‖ Y</v>
      </c>
      <c r="DB2" s="32" t="str">
        <f>"Dovela"</f>
        <v>Dovela</v>
      </c>
      <c r="DD2" s="32" t="str">
        <f>"Dovela"</f>
        <v>Dovela</v>
      </c>
      <c r="DF2" s="32" t="str">
        <f>"CT arriba"</f>
        <v>CT arriba</v>
      </c>
      <c r="DH2" s="32" t="str">
        <f>"CT abajo"</f>
        <v>CT abajo</v>
      </c>
      <c r="DJ2" s="32" t="str">
        <f>"Estribos CT"</f>
        <v>Estribos CT</v>
      </c>
      <c r="DL2" s="32" t="str">
        <f>"Estribos CT"</f>
        <v>Estribos CT</v>
      </c>
      <c r="DN2" s="32" t="str">
        <f>$B$65</f>
        <v>Dado 0.50 × 0.50 m</v>
      </c>
      <c r="DP2" s="32" t="str">
        <f>$B$71</f>
        <v>Nivel de terreno natural</v>
      </c>
      <c r="DR2" s="32" t="str">
        <f>$B$68</f>
        <v>Dovelas: mín. 5 #6, gancho 90° sobre la parrilla</v>
      </c>
      <c r="DT2" s="32" t="str">
        <f>$B$72</f>
        <v>Relleno compactado</v>
      </c>
      <c r="DV2" s="32" t="str">
        <f>$B$69</f>
        <v/>
      </c>
      <c r="DX2" s="32" t="str">
        <f>$B$64</f>
        <v/>
      </c>
      <c r="DZ2" s="32" t="str">
        <f>$B$62</f>
        <v>Lecho inferior ‖ X: #5 @ 20.0 cm</v>
      </c>
      <c r="EB2" s="32" t="str">
        <f>$B$63</f>
        <v>Lecho inferior ‖ Y: #5 @ 20.0 cm</v>
      </c>
      <c r="ED2" s="32" t="str">
        <f>$B$70</f>
        <v>Plantilla de concreto pobre, e = 5 cm</v>
      </c>
      <c r="EF2" s="32" t="str">
        <f>"Zapata"</f>
        <v>Zapata</v>
      </c>
      <c r="EH2" s="32" t="str">
        <f>"Dado o muro"</f>
        <v>Dado o muro</v>
      </c>
      <c r="EJ2" s="32" t="str">
        <f>"Plantilla"</f>
        <v>Plantilla</v>
      </c>
      <c r="EL2" s="32" t="str">
        <f>"Terreno"</f>
        <v>Terreno</v>
      </c>
      <c r="EN2" s="32" t="str">
        <f>"Terreno"</f>
        <v>Terreno</v>
      </c>
      <c r="EP2" s="32" t="str">
        <f>"Contratrabe"</f>
        <v>Contratrabe</v>
      </c>
      <c r="ER2" s="32" t="str">
        <f>"Contratrabe"</f>
        <v>Contratrabe</v>
      </c>
      <c r="ET2" s="32" t="str">
        <f>IF($B$3=3,"B = ","Lx = ")&amp;TEXT($B$4,"0.00")</f>
        <v>Lx = 2.60</v>
      </c>
      <c r="EV2" s="32" t="str">
        <f>"Df = "&amp;TEXT($B$7,"0.00")</f>
        <v>Df = 1.50</v>
      </c>
      <c r="EX2" s="32" t="str">
        <f>"h = "&amp;TEXT($B$6,"0.00")</f>
        <v>h = 0.50</v>
      </c>
      <c r="EZ2" s="32" t="str">
        <f>"H dado = "&amp;TEXT($B$11,"0.00")</f>
        <v>H dado = 1.15</v>
      </c>
      <c r="FB2" s="32" t="str">
        <f>IF($B$3=3,"t = ","c = ")&amp;TEXT($B$8,"0.00")</f>
        <v>c = 0.50</v>
      </c>
      <c r="FD2" s="32" t="str">
        <f>"h CT = "&amp;TEXT($B$41,"0.00")</f>
        <v>h CT = 0.60</v>
      </c>
      <c r="FF2" s="32" t="str">
        <f>"Contratrabe"</f>
        <v>Contratrabe</v>
      </c>
      <c r="FH2" s="32" t="str">
        <f>"Estribo"</f>
        <v>Estribo</v>
      </c>
      <c r="FJ2" s="32" t="str">
        <f>"Varillas CT"</f>
        <v>Varillas CT</v>
      </c>
      <c r="FL2" s="32" t="str">
        <f>"Varillas CT"</f>
        <v>Varillas CT</v>
      </c>
      <c r="FN2" s="32" t="str">
        <f>"b = "&amp;TEXT($B$40,"0.00")</f>
        <v>b = 0.30</v>
      </c>
      <c r="FP2" s="32" t="str">
        <f>"h = "&amp;TEXT($B$41,"0.00")</f>
        <v>h = 0.60</v>
      </c>
      <c r="FR2" s="32" t="str">
        <f>$B$73</f>
        <v/>
      </c>
      <c r="FT2" s="32" t="str">
        <f>$B$75</f>
        <v/>
      </c>
      <c r="FV2" s="32" t="str">
        <f>$B$74</f>
        <v/>
      </c>
      <c r="FX2" s="32" t="str">
        <f>$B$76</f>
        <v>NO APLICA: el tipo elegido no lleva contratrabe</v>
      </c>
      <c r="FZ2" s="32" t="str">
        <f>"Dovelas"</f>
        <v>Dovelas</v>
      </c>
      <c r="GB2" s="32" t="str">
        <f>"Estribo del dado"</f>
        <v>Estribo del dado</v>
      </c>
      <c r="GD2" s="32" t="str">
        <f>$B$84</f>
        <v>Dovelas: 8 #6 (mín. 5) + estribo E#3 del dado</v>
      </c>
      <c r="GF2" s="32" t="str">
        <f>"Estribos del dado"</f>
        <v>Estribos del dado</v>
      </c>
      <c r="GH2" s="32" t="str">
        <f>$B$83</f>
        <v>Estribos del dado: E#3 @ 30 cm (ACI 25.7.2.1)</v>
      </c>
    </row>
    <row r="3" x14ac:dyDescent="0.3">
      <c r="A3" s="33" t="s">
        <v>1400</v>
      </c>
      <c r="B3" s="34">
        <f>VALUE(LEFT(CROQUIS!$C$8,1))</f>
        <v>1</v>
      </c>
      <c r="D3" s="31" t="s">
        <v>1401</v>
      </c>
      <c r="E3" s="31" t="s">
        <v>1402</v>
      </c>
      <c r="F3" s="31" t="s">
        <v>1401</v>
      </c>
      <c r="G3" s="31" t="s">
        <v>1402</v>
      </c>
      <c r="H3" s="31" t="s">
        <v>1401</v>
      </c>
      <c r="I3" s="31" t="s">
        <v>1402</v>
      </c>
      <c r="J3" s="31" t="s">
        <v>1401</v>
      </c>
      <c r="K3" s="31" t="s">
        <v>1402</v>
      </c>
      <c r="L3" s="31" t="s">
        <v>1401</v>
      </c>
      <c r="M3" s="31" t="s">
        <v>1402</v>
      </c>
      <c r="N3" s="31" t="s">
        <v>1401</v>
      </c>
      <c r="O3" s="31" t="s">
        <v>1402</v>
      </c>
      <c r="P3" s="31" t="s">
        <v>1401</v>
      </c>
      <c r="Q3" s="31" t="s">
        <v>1402</v>
      </c>
      <c r="R3" s="31" t="s">
        <v>1401</v>
      </c>
      <c r="S3" s="31" t="s">
        <v>1402</v>
      </c>
      <c r="T3" s="31" t="s">
        <v>1401</v>
      </c>
      <c r="U3" s="31" t="s">
        <v>1402</v>
      </c>
      <c r="V3" s="31" t="s">
        <v>1401</v>
      </c>
      <c r="W3" s="31" t="s">
        <v>1402</v>
      </c>
      <c r="X3" s="31" t="s">
        <v>1401</v>
      </c>
      <c r="Y3" s="31" t="s">
        <v>1402</v>
      </c>
      <c r="Z3" s="31" t="s">
        <v>1401</v>
      </c>
      <c r="AA3" s="31" t="s">
        <v>1402</v>
      </c>
      <c r="AB3" s="31" t="s">
        <v>1401</v>
      </c>
      <c r="AC3" s="31" t="s">
        <v>1402</v>
      </c>
      <c r="AD3" s="31" t="s">
        <v>1401</v>
      </c>
      <c r="AE3" s="31" t="s">
        <v>1402</v>
      </c>
      <c r="AF3" s="31" t="s">
        <v>1401</v>
      </c>
      <c r="AG3" s="31" t="s">
        <v>1402</v>
      </c>
      <c r="AH3" s="31" t="s">
        <v>1401</v>
      </c>
      <c r="AI3" s="31" t="s">
        <v>1402</v>
      </c>
      <c r="AJ3" s="31" t="s">
        <v>1401</v>
      </c>
      <c r="AK3" s="31" t="s">
        <v>1402</v>
      </c>
      <c r="AL3" s="31" t="s">
        <v>1401</v>
      </c>
      <c r="AM3" s="31" t="s">
        <v>1402</v>
      </c>
      <c r="AN3" s="31" t="s">
        <v>1401</v>
      </c>
      <c r="AO3" s="31" t="s">
        <v>1402</v>
      </c>
      <c r="AP3" s="31" t="s">
        <v>1401</v>
      </c>
      <c r="AQ3" s="31" t="s">
        <v>1402</v>
      </c>
      <c r="AR3" s="31" t="s">
        <v>1401</v>
      </c>
      <c r="AS3" s="31" t="s">
        <v>1402</v>
      </c>
      <c r="AT3" s="31" t="s">
        <v>1401</v>
      </c>
      <c r="AU3" s="31" t="s">
        <v>1402</v>
      </c>
      <c r="AV3" s="31" t="s">
        <v>1401</v>
      </c>
      <c r="AW3" s="31" t="s">
        <v>1402</v>
      </c>
      <c r="AX3" s="31" t="s">
        <v>1401</v>
      </c>
      <c r="AY3" s="31" t="s">
        <v>1402</v>
      </c>
      <c r="AZ3" s="31" t="s">
        <v>1401</v>
      </c>
      <c r="BA3" s="31" t="s">
        <v>1402</v>
      </c>
      <c r="BB3" s="31" t="s">
        <v>1401</v>
      </c>
      <c r="BC3" s="31" t="s">
        <v>1402</v>
      </c>
      <c r="BD3" s="31" t="s">
        <v>1401</v>
      </c>
      <c r="BE3" s="31" t="s">
        <v>1402</v>
      </c>
      <c r="BF3" s="31" t="s">
        <v>1401</v>
      </c>
      <c r="BG3" s="31" t="s">
        <v>1402</v>
      </c>
      <c r="BH3" s="31" t="s">
        <v>1401</v>
      </c>
      <c r="BI3" s="31" t="s">
        <v>1402</v>
      </c>
      <c r="BJ3" s="31" t="s">
        <v>1401</v>
      </c>
      <c r="BK3" s="31" t="s">
        <v>1402</v>
      </c>
      <c r="BL3" s="31" t="s">
        <v>1401</v>
      </c>
      <c r="BM3" s="31" t="s">
        <v>1402</v>
      </c>
      <c r="BN3" s="31" t="s">
        <v>1401</v>
      </c>
      <c r="BO3" s="31" t="s">
        <v>1402</v>
      </c>
      <c r="BP3" s="31" t="s">
        <v>1401</v>
      </c>
      <c r="BQ3" s="31" t="s">
        <v>1402</v>
      </c>
      <c r="BR3" s="31" t="s">
        <v>1401</v>
      </c>
      <c r="BS3" s="31" t="s">
        <v>1402</v>
      </c>
      <c r="BT3" s="31" t="s">
        <v>1401</v>
      </c>
      <c r="BU3" s="31" t="s">
        <v>1402</v>
      </c>
      <c r="BV3" s="31" t="s">
        <v>1401</v>
      </c>
      <c r="BW3" s="31" t="s">
        <v>1402</v>
      </c>
      <c r="BX3" s="31" t="s">
        <v>1401</v>
      </c>
      <c r="BY3" s="31" t="s">
        <v>1402</v>
      </c>
      <c r="BZ3" s="31" t="s">
        <v>1401</v>
      </c>
      <c r="CA3" s="31" t="s">
        <v>1402</v>
      </c>
      <c r="CB3" s="31" t="s">
        <v>1401</v>
      </c>
      <c r="CC3" s="31" t="s">
        <v>1402</v>
      </c>
      <c r="CD3" s="31" t="s">
        <v>1401</v>
      </c>
      <c r="CE3" s="31" t="s">
        <v>1402</v>
      </c>
      <c r="CF3" s="31" t="s">
        <v>1401</v>
      </c>
      <c r="CG3" s="31" t="s">
        <v>1402</v>
      </c>
      <c r="CH3" s="31" t="s">
        <v>1401</v>
      </c>
      <c r="CI3" s="31" t="s">
        <v>1402</v>
      </c>
      <c r="CJ3" s="31" t="s">
        <v>1401</v>
      </c>
      <c r="CK3" s="31" t="s">
        <v>1402</v>
      </c>
      <c r="CL3" s="31" t="s">
        <v>1401</v>
      </c>
      <c r="CM3" s="31" t="s">
        <v>1402</v>
      </c>
      <c r="CN3" s="31" t="s">
        <v>1401</v>
      </c>
      <c r="CO3" s="31" t="s">
        <v>1402</v>
      </c>
      <c r="CP3" s="31" t="s">
        <v>1401</v>
      </c>
      <c r="CQ3" s="31" t="s">
        <v>1402</v>
      </c>
      <c r="CR3" s="31" t="s">
        <v>1401</v>
      </c>
      <c r="CS3" s="31" t="s">
        <v>1402</v>
      </c>
      <c r="CT3" s="31" t="s">
        <v>1401</v>
      </c>
      <c r="CU3" s="31" t="s">
        <v>1402</v>
      </c>
      <c r="CV3" s="31" t="s">
        <v>1401</v>
      </c>
      <c r="CW3" s="31" t="s">
        <v>1402</v>
      </c>
      <c r="CX3" s="31" t="s">
        <v>1401</v>
      </c>
      <c r="CY3" s="31" t="s">
        <v>1402</v>
      </c>
      <c r="CZ3" s="31" t="s">
        <v>1401</v>
      </c>
      <c r="DA3" s="31" t="s">
        <v>1402</v>
      </c>
      <c r="DB3" s="31" t="s">
        <v>1401</v>
      </c>
      <c r="DC3" s="31" t="s">
        <v>1402</v>
      </c>
      <c r="DD3" s="31" t="s">
        <v>1401</v>
      </c>
      <c r="DE3" s="31" t="s">
        <v>1402</v>
      </c>
      <c r="DF3" s="31" t="s">
        <v>1401</v>
      </c>
      <c r="DG3" s="31" t="s">
        <v>1402</v>
      </c>
      <c r="DH3" s="31" t="s">
        <v>1401</v>
      </c>
      <c r="DI3" s="31" t="s">
        <v>1402</v>
      </c>
      <c r="DJ3" s="31" t="s">
        <v>1401</v>
      </c>
      <c r="DK3" s="31" t="s">
        <v>1402</v>
      </c>
      <c r="DL3" s="31" t="s">
        <v>1401</v>
      </c>
      <c r="DM3" s="31" t="s">
        <v>1402</v>
      </c>
      <c r="DN3" s="31" t="s">
        <v>1401</v>
      </c>
      <c r="DO3" s="31" t="s">
        <v>1402</v>
      </c>
      <c r="DP3" s="31" t="s">
        <v>1401</v>
      </c>
      <c r="DQ3" s="31" t="s">
        <v>1402</v>
      </c>
      <c r="DR3" s="31" t="s">
        <v>1401</v>
      </c>
      <c r="DS3" s="31" t="s">
        <v>1402</v>
      </c>
      <c r="DT3" s="31" t="s">
        <v>1401</v>
      </c>
      <c r="DU3" s="31" t="s">
        <v>1402</v>
      </c>
      <c r="DV3" s="31" t="s">
        <v>1401</v>
      </c>
      <c r="DW3" s="31" t="s">
        <v>1402</v>
      </c>
      <c r="DX3" s="31" t="s">
        <v>1401</v>
      </c>
      <c r="DY3" s="31" t="s">
        <v>1402</v>
      </c>
      <c r="DZ3" s="31" t="s">
        <v>1401</v>
      </c>
      <c r="EA3" s="31" t="s">
        <v>1402</v>
      </c>
      <c r="EB3" s="31" t="s">
        <v>1401</v>
      </c>
      <c r="EC3" s="31" t="s">
        <v>1402</v>
      </c>
      <c r="ED3" s="31" t="s">
        <v>1401</v>
      </c>
      <c r="EE3" s="31" t="s">
        <v>1402</v>
      </c>
      <c r="EF3" s="31" t="s">
        <v>1401</v>
      </c>
      <c r="EG3" s="31" t="s">
        <v>1402</v>
      </c>
      <c r="EH3" s="31" t="s">
        <v>1401</v>
      </c>
      <c r="EI3" s="31" t="s">
        <v>1402</v>
      </c>
      <c r="EJ3" s="31" t="s">
        <v>1401</v>
      </c>
      <c r="EK3" s="31" t="s">
        <v>1402</v>
      </c>
      <c r="EL3" s="31" t="s">
        <v>1401</v>
      </c>
      <c r="EM3" s="31" t="s">
        <v>1402</v>
      </c>
      <c r="EN3" s="31" t="s">
        <v>1401</v>
      </c>
      <c r="EO3" s="31" t="s">
        <v>1402</v>
      </c>
      <c r="EP3" s="31" t="s">
        <v>1401</v>
      </c>
      <c r="EQ3" s="31" t="s">
        <v>1402</v>
      </c>
      <c r="ER3" s="31" t="s">
        <v>1401</v>
      </c>
      <c r="ES3" s="31" t="s">
        <v>1402</v>
      </c>
      <c r="ET3" s="31" t="s">
        <v>1401</v>
      </c>
      <c r="EU3" s="31" t="s">
        <v>1402</v>
      </c>
      <c r="EV3" s="31" t="s">
        <v>1401</v>
      </c>
      <c r="EW3" s="31" t="s">
        <v>1402</v>
      </c>
      <c r="EX3" s="31" t="s">
        <v>1401</v>
      </c>
      <c r="EY3" s="31" t="s">
        <v>1402</v>
      </c>
      <c r="EZ3" s="31" t="s">
        <v>1401</v>
      </c>
      <c r="FA3" s="31" t="s">
        <v>1402</v>
      </c>
      <c r="FB3" s="31" t="s">
        <v>1401</v>
      </c>
      <c r="FC3" s="31" t="s">
        <v>1402</v>
      </c>
      <c r="FD3" s="31" t="s">
        <v>1401</v>
      </c>
      <c r="FE3" s="31" t="s">
        <v>1402</v>
      </c>
      <c r="FF3" s="31" t="s">
        <v>1401</v>
      </c>
      <c r="FG3" s="31" t="s">
        <v>1402</v>
      </c>
      <c r="FH3" s="31" t="s">
        <v>1401</v>
      </c>
      <c r="FI3" s="31" t="s">
        <v>1402</v>
      </c>
      <c r="FJ3" s="31" t="s">
        <v>1401</v>
      </c>
      <c r="FK3" s="31" t="s">
        <v>1402</v>
      </c>
      <c r="FL3" s="31" t="s">
        <v>1401</v>
      </c>
      <c r="FM3" s="31" t="s">
        <v>1402</v>
      </c>
      <c r="FN3" s="31" t="s">
        <v>1401</v>
      </c>
      <c r="FO3" s="31" t="s">
        <v>1402</v>
      </c>
      <c r="FP3" s="31" t="s">
        <v>1401</v>
      </c>
      <c r="FQ3" s="31" t="s">
        <v>1402</v>
      </c>
      <c r="FR3" s="31" t="s">
        <v>1401</v>
      </c>
      <c r="FS3" s="31" t="s">
        <v>1402</v>
      </c>
      <c r="FT3" s="31" t="s">
        <v>1401</v>
      </c>
      <c r="FU3" s="31" t="s">
        <v>1402</v>
      </c>
      <c r="FV3" s="31" t="s">
        <v>1401</v>
      </c>
      <c r="FW3" s="31" t="s">
        <v>1402</v>
      </c>
      <c r="FX3" s="31" t="s">
        <v>1401</v>
      </c>
      <c r="FY3" s="31" t="s">
        <v>1402</v>
      </c>
      <c r="FZ3" s="31" t="inlineStr">
        <is>
          <t>x</t>
        </is>
      </c>
      <c r="GA3" s="31" t="inlineStr">
        <is>
          <t>y</t>
        </is>
      </c>
      <c r="GB3" s="31" t="inlineStr">
        <is>
          <t>x</t>
        </is>
      </c>
      <c r="GC3" s="31" t="inlineStr">
        <is>
          <t>y</t>
        </is>
      </c>
      <c r="GD3" s="31" t="inlineStr">
        <is>
          <t>x</t>
        </is>
      </c>
      <c r="GE3" s="31" t="inlineStr">
        <is>
          <t>y</t>
        </is>
      </c>
      <c r="GF3" s="31" t="inlineStr">
        <is>
          <t>x</t>
        </is>
      </c>
      <c r="GG3" s="31" t="inlineStr">
        <is>
          <t>y</t>
        </is>
      </c>
      <c r="GH3" s="31" t="inlineStr">
        <is>
          <t>x</t>
        </is>
      </c>
      <c r="GI3" s="31" t="inlineStr">
        <is>
          <t>y</t>
        </is>
      </c>
    </row>
    <row r="4" x14ac:dyDescent="0.3">
      <c r="A4" s="33" t="s">
        <v>1403</v>
      </c>
      <c r="B4" s="34">
        <f>CHOOSE($B$3,AISLADA!$C$7,AISLADA_CT!$C$8,CORRIDA!$C$7)</f>
        <v>2.6</v>
      </c>
      <c r="D4" s="35">
        <f>(-$B$4/2)*$B$53+(-38)</f>
        <v>-67</v>
      </c>
      <c r="E4" s="35">
        <f>(-$B$5/2)*$B$53+(0)</f>
        <v>-29</v>
      </c>
      <c r="F4" s="35">
        <f>(-$B$8/2)*$B$53+(-38)</f>
        <v>-43.5769230769231</v>
      </c>
      <c r="G4" s="35">
        <f>(-$B$9/2)*$B$53+(0)</f>
        <v>-5.57692307692308</v>
      </c>
      <c r="H4" s="35">
        <f>IF($B$39=1,(-$B$4/2-$B$50)*$B$53+(-38),999)</f>
        <v>999</v>
      </c>
      <c r="I4" s="35">
        <f>IF($B$39=1,($B$40/2)*$B$53+(0),999)</f>
        <v>999</v>
      </c>
      <c r="J4" s="35">
        <f>IF($B$39=1,($B$4/2+$B$50)*$B$53+(-38),999)</f>
        <v>999</v>
      </c>
      <c r="K4" s="35">
        <f>IF($B$39=1,($B$40/2)*$B$53+(0),999)</f>
        <v>999</v>
      </c>
      <c r="L4" s="35">
        <f>IF($B$39=1,($B$40/2)*$B$53+(-38),999)</f>
        <v>999</v>
      </c>
      <c r="M4" s="35">
        <f>IF($B$39=1,(-$B$5/2-$B$50)*$B$53+(0),999)</f>
        <v>999</v>
      </c>
      <c r="N4" s="35">
        <f>IF($B$39=1,($B$40/2)*$B$53+(-38),999)</f>
        <v>999</v>
      </c>
      <c r="O4" s="35">
        <f>IF($B$39=1,($B$5/2+$B$50)*$B$53+(0),999)</f>
        <v>999</v>
      </c>
      <c r="P4" s="35">
        <f>IF(AND($B$18&gt;0),(IF(0&lt;$B$18,(-(($B$22-1)/2*$B$21)),IF(MOD($B$18-1,2)=0,(($B$22-1)/2*$B$21),(-(($B$22-1)/2*$B$21)))))*$B$53+(-38),999)</f>
        <v>-64.7692307692308</v>
      </c>
      <c r="Q4" s="35">
        <f>IF(AND($B$18&gt;0),(IF(0&lt;$B$18,(0-($B$18-1)/2)*$B$17,(($B$18-1)-($B$18-1)/2)*$B$17))*$B$53+(0),999)</f>
        <v>-26.7692307692308</v>
      </c>
      <c r="R4" s="35">
        <f>IF(AND($B$22&gt;0),(IF(0&lt;$B$22,(0-($B$22-1)/2)*$B$21,(($B$22-1)-($B$22-1)/2)*$B$21))*$B$53+(-38),999)</f>
        <v>-64.7692307692308</v>
      </c>
      <c r="S4" s="35">
        <f>IF(AND($B$22&gt;0),(IF(0&lt;$B$22,(-(($B$18-1)/2*$B$17)),IF(MOD($B$22-1,2)=0,(($B$18-1)/2*$B$17),(-(($B$18-1)/2*$B$17)))))*$B$53+(0),999)</f>
        <v>-26.7692307692308</v>
      </c>
      <c r="T4" s="35">
        <f>IF(AND($B$30&gt;0,$B$29&gt;0),(IF(0&lt;$B$30,(-(($B$31-1)/2*$B$29)),IF(MOD($B$30-1,2)=0,(($B$31-1)/2*$B$29),(-(($B$31-1)/2*$B$29)))))*$B$53+(-38),999)</f>
        <v>999</v>
      </c>
      <c r="U4" s="35">
        <f>IF(AND($B$30&gt;0,$B$29&gt;0),(IF(0&lt;$B$30,(0-($B$30-1)/2)*$B$29,(($B$30-1)-($B$30-1)/2)*$B$29))*$B$53+(0),999)</f>
        <v>999</v>
      </c>
      <c r="V4" s="35">
        <f>IF(AND($B$31&gt;0,$B$29&gt;0),(IF(0&lt;$B$31,(0-($B$31-1)/2)*$B$29,(($B$31-1)-($B$31-1)/2)*$B$29))*$B$53+(-38),999)</f>
        <v>999</v>
      </c>
      <c r="W4" s="35">
        <f>IF(AND($B$31&gt;0,$B$29&gt;0),(IF(0&lt;$B$31,(-(($B$30-1)/2*$B$29)),IF(MOD($B$31-1,2)=0,(($B$30-1)/2*$B$29),(-(($B$30-1)/2*$B$29)))))*$B$53+(0),999)</f>
        <v>999</v>
      </c>
      <c r="X4" s="35">
        <f>(-$B$4/2-0.12*$B$52)*$B$53+(-38)</f>
        <v>-73.96</v>
      </c>
      <c r="Y4" s="35">
        <f>(0)*$B$53+(0)</f>
        <v>0</v>
      </c>
      <c r="Z4" s="35">
        <f>(0)*$B$53+(-38)</f>
        <v>-38</v>
      </c>
      <c r="AA4" s="35">
        <f>(-$B$5/2-0.12*$B$52)*$B$53+(0)</f>
        <v>-35.96</v>
      </c>
      <c r="AB4" s="35">
        <f>(-$B$4/2-$B$50)*$B$53+(-38)-2</f>
        <v>-69</v>
      </c>
      <c r="AC4" s="35">
        <f>0</f>
        <v>0</v>
      </c>
      <c r="AD4" s="35">
        <f>($B$4/2+$B$50)*$B$53+(-38)+2</f>
        <v>-7</v>
      </c>
      <c r="AE4" s="35">
        <f>0</f>
        <v>0</v>
      </c>
      <c r="AF4" s="35">
        <f>-72</f>
        <v>-72</v>
      </c>
      <c r="AG4" s="35">
        <f>-46</f>
        <v>-46</v>
      </c>
      <c r="AH4" s="35">
        <f>-72</f>
        <v>-72</v>
      </c>
      <c r="AI4" s="35">
        <f>-46</f>
        <v>-46</v>
      </c>
      <c r="AJ4" s="35">
        <f>4</f>
        <v>4</v>
      </c>
      <c r="AK4" s="35">
        <f>42</f>
        <v>42</v>
      </c>
      <c r="AL4" s="35">
        <f>IF($B$29&gt;0,4,999)</f>
        <v>999</v>
      </c>
      <c r="AM4" s="35">
        <f>IF($B$29&gt;0,30,999)</f>
        <v>999</v>
      </c>
      <c r="AN4" s="35">
        <f>4</f>
        <v>4</v>
      </c>
      <c r="AO4" s="35">
        <f>18</f>
        <v>18</v>
      </c>
      <c r="AP4" s="35">
        <f>IF($B$39=1,4,999)</f>
        <v>999</v>
      </c>
      <c r="AQ4" s="35">
        <f>IF($B$39=1,6,999)</f>
        <v>999</v>
      </c>
      <c r="AR4" s="35">
        <f>4</f>
        <v>4</v>
      </c>
      <c r="AS4" s="35">
        <f>-6</f>
        <v>-6</v>
      </c>
      <c r="AT4" s="35">
        <f>4</f>
        <v>4</v>
      </c>
      <c r="AU4" s="35">
        <f>-18</f>
        <v>-18</v>
      </c>
      <c r="AV4" s="35">
        <f>(-$B$4/2)*$B$54+(0)</f>
        <v>-28</v>
      </c>
      <c r="AW4" s="35">
        <f>(-$B$5/2)*$B$54+(0)</f>
        <v>-28</v>
      </c>
      <c r="AX4" s="35">
        <f>(-$B$8/2)*$B$54+(0)</f>
        <v>-5.38461538461538</v>
      </c>
      <c r="AY4" s="35">
        <f>(-$B$9/2)*$B$54+(0)</f>
        <v>-5.38461538461538</v>
      </c>
      <c r="AZ4" s="35">
        <f>IF($B$39=1,(-$B$4/2-$B$50)*$B$54+(0),999)</f>
        <v>999</v>
      </c>
      <c r="BA4" s="35">
        <f>IF($B$39=1,($B$40/2)*$B$54+(0),999)</f>
        <v>999</v>
      </c>
      <c r="BB4" s="35">
        <f>IF($B$39=1,($B$4/2+$B$50)*$B$54+(0),999)</f>
        <v>999</v>
      </c>
      <c r="BC4" s="35">
        <f>IF($B$39=1,($B$40/2)*$B$54+(0),999)</f>
        <v>999</v>
      </c>
      <c r="BD4" s="35">
        <f>IF($B$39=1,($B$40/2)*$B$54+(0),999)</f>
        <v>999</v>
      </c>
      <c r="BE4" s="35">
        <f>IF($B$39=1,(-$B$5/2-$B$50)*$B$54+(0),999)</f>
        <v>999</v>
      </c>
      <c r="BF4" s="35">
        <f>IF($B$39=1,($B$40/2)*$B$54+(0),999)</f>
        <v>999</v>
      </c>
      <c r="BG4" s="35">
        <f>IF($B$39=1,($B$5/2+$B$50)*$B$54+(0),999)</f>
        <v>999</v>
      </c>
      <c r="BH4" s="35">
        <f>(-$B$4/2-0.08*$B$52)*$B$54+(0)</f>
        <v>-32.48</v>
      </c>
      <c r="BI4" s="35">
        <f>(0)*$B$54+(0)</f>
        <v>0</v>
      </c>
      <c r="BJ4" s="35">
        <f>(0)*$B$54+(0)</f>
        <v>0</v>
      </c>
      <c r="BK4" s="35">
        <f>(-$B$5/2-0.08*$B$52)*$B$54+(0)</f>
        <v>-32.48</v>
      </c>
      <c r="BL4" s="35">
        <f>(-$B$4/2)*$B$54+(0)</f>
        <v>-28</v>
      </c>
      <c r="BM4" s="35">
        <f>(-$B$5/2)*$B$54+(0)</f>
        <v>-28</v>
      </c>
      <c r="BN4" s="35">
        <f>(-$B$4/2)*$B$54+(0)</f>
        <v>-28</v>
      </c>
      <c r="BO4" s="35">
        <f>(-$B$5/2)*$B$54+(0)</f>
        <v>-28</v>
      </c>
      <c r="BP4" s="35">
        <f>(-$B$4/2)*$B$54+(0)</f>
        <v>-28</v>
      </c>
      <c r="BQ4" s="35">
        <f>($B$5/2)*$B$54+(0)</f>
        <v>28</v>
      </c>
      <c r="BR4" s="35">
        <f>(-$B$8/2)*$B$54+(0)</f>
        <v>-5.38461538461538</v>
      </c>
      <c r="BS4" s="35">
        <f>($B$9/2)*$B$54+(0)</f>
        <v>5.38461538461538</v>
      </c>
      <c r="BT4" s="35">
        <f>($B$8/2)*$B$54+(0)</f>
        <v>5.38461538461538</v>
      </c>
      <c r="BU4" s="35">
        <f>($B$9/2)*$B$54+(0)</f>
        <v>5.38461538461538</v>
      </c>
      <c r="BV4" s="35">
        <f>IF($B$38=1,($B$4/2)*$B$54+(0),999)</f>
        <v>28</v>
      </c>
      <c r="BW4" s="35">
        <f>IF($B$38=1,(-$B$5/2)*$B$54+(0),999)</f>
        <v>-28</v>
      </c>
      <c r="BX4" s="35">
        <f>IF($B$38=1,($B$8/2)*$B$54+(0),999)</f>
        <v>5.38461538461538</v>
      </c>
      <c r="BY4" s="35">
        <f>IF($B$38=1,(-$B$9/2)*$B$54+(0),999)</f>
        <v>-5.38461538461538</v>
      </c>
      <c r="BZ4" s="35">
        <f>IF($B$38=1,($B$8/2)*$B$54+(0),999)</f>
        <v>5.38461538461538</v>
      </c>
      <c r="CA4" s="35">
        <f>IF($B$38=1,($B$9/2)*$B$54+(0),999)</f>
        <v>5.38461538461538</v>
      </c>
      <c r="CB4" s="35">
        <f>-47</f>
        <v>-47</v>
      </c>
      <c r="CC4" s="35">
        <f>-47</f>
        <v>-47</v>
      </c>
      <c r="CD4" s="35">
        <f>-47</f>
        <v>-47</v>
      </c>
      <c r="CE4" s="35">
        <f>-47</f>
        <v>-47</v>
      </c>
      <c r="CF4" s="35">
        <f>(-$B$4/2)*$B$57+(-37)</f>
        <v>-64.34375</v>
      </c>
      <c r="CG4" s="35">
        <f>((0)-$B$59)*$B$57+(0)</f>
        <v>-16.8269230769231</v>
      </c>
      <c r="CH4" s="35">
        <f>(-$B$8/2)*$B$57+(-37)</f>
        <v>-42.2584134615385</v>
      </c>
      <c r="CI4" s="35">
        <f>(($B$6)-$B$59)*$B$57+(0)</f>
        <v>-6.31009615384615</v>
      </c>
      <c r="CJ4" s="35">
        <f>(-$B$4/2-0.05)*$B$57+(-37)</f>
        <v>-65.3954326923077</v>
      </c>
      <c r="CK4" s="35">
        <f>((-0.05)-$B$59)*$B$57+(0)</f>
        <v>-17.8786057692308</v>
      </c>
      <c r="CL4" s="35">
        <f>((-$B$4/2-$B$51)+(-$B$8/2-(-$B$4/2-$B$51))*0/10)*$B$57+(-37)</f>
        <v>-72</v>
      </c>
      <c r="CM4" s="35">
        <f>(($B$7)-$B$59)*$B$57+(0)</f>
        <v>14.7235576923077</v>
      </c>
      <c r="CN4" s="35">
        <f>(($B$8/2)+($B$4/2+$B$51-($B$8/2))*0/10)*$B$57+(-37)</f>
        <v>-31.7415865384615</v>
      </c>
      <c r="CO4" s="35">
        <f>(($B$7)-$B$59)*$B$57+(0)</f>
        <v>14.7235576923077</v>
      </c>
      <c r="CP4" s="35">
        <f>IF($B$39=1,(-($B$4/2+$B$50))*$B$57+(-37),999)</f>
        <v>999</v>
      </c>
      <c r="CQ4" s="35">
        <f>IF($B$39=1,(($B$6+$B$41)-$B$59)*$B$57+(0),999)</f>
        <v>999</v>
      </c>
      <c r="CR4" s="35">
        <f>IF($B$39=1,(($B$4/2+$B$50))*$B$57+(-37),999)</f>
        <v>999</v>
      </c>
      <c r="CS4" s="35">
        <f>IF($B$39=1,(($B$6+$B$41)-$B$59)*$B$57+(0),999)</f>
        <v>999</v>
      </c>
      <c r="CT4" s="35">
        <f>(-$B$4/2+$B$13)*$B$57+(-37)</f>
        <v>-62.7662259615385</v>
      </c>
      <c r="CU4" s="35">
        <f>(($B$23+$B$25)-$B$59)*$B$57+(0)</f>
        <v>-15.0821814903846</v>
      </c>
      <c r="CV4" s="35">
        <f>IF(AND(0&lt;$B$22),((0-($B$22-1)/2)*$B$21)*$B$57+(-37),999)</f>
        <v>-62.2403846153846</v>
      </c>
      <c r="CW4" s="35">
        <f>IF(AND(0&lt;$B$22),(($B$24)-$B$59)*$B$57+(0),999)</f>
        <v>-14.7477463942308</v>
      </c>
      <c r="CX4" s="35">
        <f>IF($B$29&gt;0,(-$B$4/2+$B$13)*$B$57+(-37),999)</f>
        <v>999</v>
      </c>
      <c r="CY4" s="35">
        <f>IF($B$29&gt;0,(($B$32)-$B$59)*$B$57+(0),999)</f>
        <v>999</v>
      </c>
      <c r="CZ4" s="35">
        <f>IF(AND(0&lt;$B$31,$B$29&gt;0),((0-($B$31-1)/2)*$B$29)*$B$57+(-37),999)</f>
        <v>999</v>
      </c>
      <c r="DA4" s="35">
        <f>IF(AND(0&lt;$B$31,$B$29&gt;0),(($B$33)-$B$59)*$B$57+(0),999)</f>
        <v>999</v>
      </c>
      <c r="DB4" s="35">
        <f>IF($B$38=1,(-$B$37)*$B$57+(-37),999)</f>
        <v>-41.005859375</v>
      </c>
      <c r="DC4" s="35">
        <f>IF($B$38=1,(($B$6+$B$11-0.05)-$B$59)*$B$57+(0),999)</f>
        <v>16.8269230769231</v>
      </c>
      <c r="DD4" s="35">
        <f>IF($B$38=1,($B$37)*$B$57+(-37),999)</f>
        <v>-32.994140625</v>
      </c>
      <c r="DE4" s="35">
        <f>IF($B$38=1,(($B$6+$B$11-0.05)-$B$59)*$B$57+(0),999)</f>
        <v>16.8269230769231</v>
      </c>
      <c r="DF4" s="35">
        <f>IF($B$39=1,(-$B$4/2-$B$50)*$B$57+(-37),999)</f>
        <v>999</v>
      </c>
      <c r="DG4" s="35">
        <f>IF($B$39=1,(($B$6+$B$41-$B$42-$B$44-$B$43/2)-$B$59)*$B$57+(0),999)</f>
        <v>999</v>
      </c>
      <c r="DH4" s="35">
        <f>IF($B$39=1,(-$B$4/2-$B$50)*$B$57+(-37),999)</f>
        <v>999</v>
      </c>
      <c r="DI4" s="35">
        <f>IF($B$39=1,(($B$6+$B$42+$B$44+$B$43/2)-$B$59)*$B$57+(0),999)</f>
        <v>999</v>
      </c>
      <c r="DJ4" s="35">
        <f>IF($B$39=1,((-1)*MIN($B$8/2+0.05+IF(0&lt;INT(($B$49-0.05)/$B$47)+1,0*$B$47,INT(($B$49-0.05)/$B$47)*$B$47+(0-INT(($B$49-0.05)/$B$47))*$B$48),$B$4/2+$B$50-0.05))*$B$57+(-37),999)</f>
        <v>999</v>
      </c>
      <c r="DK4" s="35">
        <f>IF($B$39=1,(($B$6+$B$42)-$B$59)*$B$57+(0),999)</f>
        <v>999</v>
      </c>
      <c r="DL4" s="35">
        <f>IF($B$39=1,((1)*MIN($B$8/2+0.05+IF(0&lt;INT(($B$49-0.05)/$B$47)+1,0*$B$47,INT(($B$49-0.05)/$B$47)*$B$47+(0-INT(($B$49-0.05)/$B$47))*$B$48),$B$4/2+$B$50-0.05))*$B$57+(-37),999)</f>
        <v>999</v>
      </c>
      <c r="DM4" s="35">
        <f>IF($B$39=1,(($B$6+$B$42)-$B$59)*$B$57+(0),999)</f>
        <v>999</v>
      </c>
      <c r="DN4" s="35">
        <f>4</f>
        <v>4</v>
      </c>
      <c r="DO4" s="35">
        <f>44</f>
        <v>44</v>
      </c>
      <c r="DP4" s="35">
        <f>4</f>
        <v>4</v>
      </c>
      <c r="DQ4" s="35">
        <f>33</f>
        <v>33</v>
      </c>
      <c r="DR4" s="35">
        <f>IF($B$38=1,4,999)</f>
        <v>4</v>
      </c>
      <c r="DS4" s="35">
        <f>IF($B$38=1,22,999)</f>
        <v>22</v>
      </c>
      <c r="DT4" s="35">
        <f>4</f>
        <v>4</v>
      </c>
      <c r="DU4" s="35">
        <f>11</f>
        <v>11</v>
      </c>
      <c r="DV4" s="35">
        <f>IF($B$39=1,4,999)</f>
        <v>999</v>
      </c>
      <c r="DW4" s="35">
        <f>IF($B$39=1,0,999)</f>
        <v>999</v>
      </c>
      <c r="DX4" s="35">
        <f>IF($B$29&gt;0,4,999)</f>
        <v>999</v>
      </c>
      <c r="DY4" s="35">
        <f>IF($B$29&gt;0,-11,999)</f>
        <v>999</v>
      </c>
      <c r="DZ4" s="35">
        <f>4</f>
        <v>4</v>
      </c>
      <c r="EA4" s="35">
        <f>-22</f>
        <v>-22</v>
      </c>
      <c r="EB4" s="35">
        <f>4</f>
        <v>4</v>
      </c>
      <c r="EC4" s="35">
        <f>-33</f>
        <v>-33</v>
      </c>
      <c r="ED4" s="35">
        <f>4</f>
        <v>4</v>
      </c>
      <c r="EE4" s="35">
        <f>-44</f>
        <v>-44</v>
      </c>
      <c r="EF4" s="35">
        <f>(-$B$4/2)*$B$58+(0)</f>
        <v>-21.875</v>
      </c>
      <c r="EG4" s="35">
        <f>((0)-$B$59)*$B$58+(0)</f>
        <v>-13.4615384615385</v>
      </c>
      <c r="EH4" s="35">
        <f>(-$B$8/2)*$B$58+(0)</f>
        <v>-4.20673076923077</v>
      </c>
      <c r="EI4" s="35">
        <f>(($B$6)-$B$59)*$B$58+(0)</f>
        <v>-5.04807692307692</v>
      </c>
      <c r="EJ4" s="35">
        <f>(-$B$4/2-0.05)*$B$58+(0)</f>
        <v>-22.7163461538462</v>
      </c>
      <c r="EK4" s="35">
        <f>((-0.05)-$B$59)*$B$58+(0)</f>
        <v>-14.3028846153846</v>
      </c>
      <c r="EL4" s="35">
        <f>((-$B$4/2-$B$51)+(-$B$8/2-(-$B$4/2-$B$51))*0/10)*$B$58+(0)</f>
        <v>-28</v>
      </c>
      <c r="EM4" s="35">
        <f>(($B$7)-$B$59)*$B$58+(0)</f>
        <v>11.7788461538462</v>
      </c>
      <c r="EN4" s="35">
        <f>(($B$8/2)+($B$4/2+$B$51-($B$8/2))*0/10)*$B$58+(0)</f>
        <v>4.20673076923077</v>
      </c>
      <c r="EO4" s="35">
        <f>(($B$7)-$B$59)*$B$58+(0)</f>
        <v>11.7788461538462</v>
      </c>
      <c r="EP4" s="35">
        <f>IF($B$39=1,(-($B$4/2+$B$50))*$B$58+(0),999)</f>
        <v>999</v>
      </c>
      <c r="EQ4" s="35">
        <f>IF($B$39=1,(($B$6+$B$41)-$B$59)*$B$58+(0),999)</f>
        <v>999</v>
      </c>
      <c r="ER4" s="35">
        <f>IF($B$39=1,(($B$4/2+$B$50))*$B$58+(0),999)</f>
        <v>999</v>
      </c>
      <c r="ES4" s="35">
        <f>IF($B$39=1,(($B$6+$B$41)-$B$59)*$B$58+(0),999)</f>
        <v>999</v>
      </c>
      <c r="ET4" s="35">
        <f>(-$B$4/2)*$B$58+(0)</f>
        <v>-21.875</v>
      </c>
      <c r="EU4" s="35">
        <f>((0)-$B$59)*$B$58+(0)</f>
        <v>-13.4615384615385</v>
      </c>
      <c r="EV4" s="35">
        <f>(-$B$4/2)*$B$58+(0)</f>
        <v>-21.875</v>
      </c>
      <c r="EW4" s="35">
        <f>((0)-$B$59)*$B$58+(0)</f>
        <v>-13.4615384615385</v>
      </c>
      <c r="EX4" s="35">
        <f>($B$4/2)*$B$58+(0)</f>
        <v>21.875</v>
      </c>
      <c r="EY4" s="35">
        <f>((0)-$B$59)*$B$58+(0)</f>
        <v>-13.4615384615385</v>
      </c>
      <c r="EZ4" s="35">
        <f>IF($B$38=1,($B$8/2)*$B$58+(0),999)</f>
        <v>4.20673076923077</v>
      </c>
      <c r="FA4" s="35">
        <f>IF($B$38=1,(($B$6)-$B$59)*$B$58+(0),999)</f>
        <v>-5.04807692307692</v>
      </c>
      <c r="FB4" s="35">
        <f>(-$B$8/2)*$B$58+(0)</f>
        <v>-4.20673076923077</v>
      </c>
      <c r="FC4" s="35">
        <f>(($B$6+$B$11)-$B$59)*$B$58+(0)</f>
        <v>14.3028846153846</v>
      </c>
      <c r="FD4" s="35">
        <f>IF($B$39=1,($B$4/2+$B$50)*$B$58+(0),999)</f>
        <v>999</v>
      </c>
      <c r="FE4" s="35">
        <f>IF($B$39=1,(($B$6)-$B$59)*$B$58+(0),999)</f>
        <v>999</v>
      </c>
      <c r="FF4" s="35">
        <f>IF($B$39=1,(-$B$40/2)*$B$60+(-40),999)</f>
        <v>999</v>
      </c>
      <c r="FG4" s="35">
        <f>IF($B$39=1,((0)-$B$61)*$B$60+(0),999)</f>
        <v>999</v>
      </c>
      <c r="FH4" s="35">
        <f>IF($B$39=1,(-$B$40/2+($B$42+$B$44/2)+0.07)*$B$60+(-40),999)</f>
        <v>999</v>
      </c>
      <c r="FI4" s="35">
        <f>IF($B$39=1,(($B$41-($B$42+$B$44/2)-0.05)-$B$61)*$B$60+(0),999)</f>
        <v>999</v>
      </c>
      <c r="FJ4" s="35">
        <f>IF(AND(0&lt;$B$45,$B$39=1),((0-($B$45-1)/2)*(2*($B$40/2-$B$42-$B$44-$B$43/2)/MAX(1,$B$45-1)))*$B$60+(-40),999)</f>
        <v>999</v>
      </c>
      <c r="FK4" s="35">
        <f>IF(AND(0&lt;$B$45,$B$39=1),(($B$41-$B$42-$B$44-$B$43/2)-$B$61)*$B$60+(0),999)</f>
        <v>999</v>
      </c>
      <c r="FL4" s="35">
        <f>IF(AND(0&lt;$B$46,$B$39=1),((0-($B$46-1)/2)*(2*($B$40/2-$B$42-$B$44-$B$43/2)/MAX(1,$B$46-1)))*$B$60+(-40),999)</f>
        <v>999</v>
      </c>
      <c r="FM4" s="35">
        <f>IF(AND(0&lt;$B$46,$B$39=1),(($B$42+$B$44+$B$43/2)-$B$61)*$B$60+(0),999)</f>
        <v>999</v>
      </c>
      <c r="FN4" s="35">
        <f>IF($B$39=1,(-$B$40/2)*$B$60+(-40),999)</f>
        <v>999</v>
      </c>
      <c r="FO4" s="35">
        <f>IF($B$39=1,((0)-$B$61)*$B$60+(0),999)</f>
        <v>999</v>
      </c>
      <c r="FP4" s="35">
        <f>IF($B$39=1,(-$B$40/2)*$B$60+(-40),999)</f>
        <v>999</v>
      </c>
      <c r="FQ4" s="35">
        <f>IF($B$39=1,((0)-$B$61)*$B$60+(0),999)</f>
        <v>999</v>
      </c>
      <c r="FR4" s="35">
        <f>IF($B$39=1,4,999)</f>
        <v>999</v>
      </c>
      <c r="FS4" s="35">
        <f>IF($B$39=1,30,999)</f>
        <v>999</v>
      </c>
      <c r="FT4" s="35">
        <f>IF($B$39=1,4,999)</f>
        <v>999</v>
      </c>
      <c r="FU4" s="35">
        <f>IF($B$39=1,0,999)</f>
        <v>999</v>
      </c>
      <c r="FV4" s="35">
        <f>IF($B$39=1,4,999)</f>
        <v>999</v>
      </c>
      <c r="FW4" s="35">
        <f>IF($B$39=1,-30,999)</f>
        <v>999</v>
      </c>
      <c r="FX4" s="35">
        <f>IF($B$39=1,999,-60)</f>
        <v>-60</v>
      </c>
      <c r="FY4" s="35">
        <f>IF($B$39=1,999,0)</f>
        <v>0</v>
      </c>
      <c r="FZ4" s="35">
        <f>IF(0&lt;$B$81,CHOOSE(INT(0/($B$81/4))+1,-$B$37+2*$B$37*MOD(0,($B$81/4))/($B$81/4),$B$37,$B$37-2*$B$37*MOD(0,($B$81/4))/($B$81/4),-$B$37)*$B$53+(-38),999)</f>
        <v>-42.2485</v>
      </c>
      <c r="GA4" s="35">
        <f>IF(0&lt;$B$81,CHOOSE(INT(0/($B$81/4))+1,-$B$82,-$B$82+2*$B$82*MOD(0,($B$81/4))/($B$81/4),$B$82,$B$82-2*$B$82*MOD(0,($B$81/4))/($B$81/4))*$B$53+(0),999)</f>
        <v>-4.2485</v>
      </c>
      <c r="GB4" s="35">
        <f>IF($B$38=1,(-1*($B$37+0.025))*$B$53+(-38),999)</f>
        <v>-42.8061923076923</v>
      </c>
      <c r="GC4" s="35">
        <f>IF($B$38=1,(-1*($B$82+0.025))*$B$53+(0),999)</f>
        <v>-4.80619230769231</v>
      </c>
      <c r="GD4" s="35">
        <f>IF($B$38=1,4,999)</f>
        <v>4</v>
      </c>
      <c r="GE4" s="35">
        <f>IF($B$38=1,-30,999)</f>
        <v>-30</v>
      </c>
      <c r="GF4" s="35">
        <f>IF($B$80&gt;0,(IF(MOD(MIN(INT(0/2),$B$80-1),2)=0,1,-1)*IF(IF(INT(0/2)&gt;$B$80-1,1,MOD(0,2))=0,-1,1)*$B$37)*$B$57+(-37),999)</f>
        <v>-41.005859375</v>
      </c>
      <c r="GG4" s="35">
        <f>IF($B$80&gt;0,(($B$6+0.05+MIN(INT(0/2),$B$80-1)*$B$79)-$B$59)*$B$57+(0),999)</f>
        <v>-5.25841346153846</v>
      </c>
      <c r="GH4" s="35">
        <f>IF($B$80&gt;0,4,999)</f>
        <v>4</v>
      </c>
      <c r="GI4" s="35">
        <f>IF($B$80&gt;0,5.5,999)</f>
        <v>5.5</v>
      </c>
    </row>
    <row r="5" x14ac:dyDescent="0.3">
      <c r="A5" s="33" t="s">
        <v>1404</v>
      </c>
      <c r="B5" s="34">
        <f>CHOOSE($B$3,AISLADA!$C$8,AISLADA_CT!$C$9,CORRIDA!$C$15)</f>
        <v>2.6</v>
      </c>
      <c r="D5" s="35">
        <f>($B$4/2)*$B$53+(-38)</f>
        <v>-9</v>
      </c>
      <c r="E5" s="35">
        <f>(-$B$5/2)*$B$53+(0)</f>
        <v>-29</v>
      </c>
      <c r="F5" s="35">
        <f>($B$8/2)*$B$53+(-38)</f>
        <v>-32.4230769230769</v>
      </c>
      <c r="G5" s="35">
        <f>(-$B$9/2)*$B$53+(0)</f>
        <v>-5.57692307692308</v>
      </c>
      <c r="H5" s="35">
        <f>IF($B$39=1,(-$B$8/2)*$B$53+(-38),999)</f>
        <v>999</v>
      </c>
      <c r="I5" s="35">
        <f>IF($B$39=1,($B$40/2)*$B$53+(0),999)</f>
        <v>999</v>
      </c>
      <c r="J5" s="35">
        <f>IF($B$39=1,($B$8/2)*$B$53+(-38),999)</f>
        <v>999</v>
      </c>
      <c r="K5" s="35">
        <f>IF($B$39=1,($B$40/2)*$B$53+(0),999)</f>
        <v>999</v>
      </c>
      <c r="L5" s="35">
        <f>IF($B$39=1,($B$40/2)*$B$53+(-38),999)</f>
        <v>999</v>
      </c>
      <c r="M5" s="35">
        <f>IF($B$39=1,(-$B$9/2)*$B$53+(0),999)</f>
        <v>999</v>
      </c>
      <c r="N5" s="35">
        <f>IF($B$39=1,($B$40/2)*$B$53+(-38),999)</f>
        <v>999</v>
      </c>
      <c r="O5" s="35">
        <f>IF($B$39=1,($B$9/2)*$B$53+(0),999)</f>
        <v>999</v>
      </c>
      <c r="P5" s="35">
        <f>IF(AND($B$18&gt;0),(IF(0&lt;$B$18,(-$B$4/2+$B$13),IF(MOD($B$18-1,2)=0,(($B$22-1)/2*$B$21),(-(($B$22-1)/2*$B$21)))))*$B$53+(-38),999)</f>
        <v>-65.3269230769231</v>
      </c>
      <c r="Q5" s="35">
        <f>IF(AND($B$18&gt;0),(IF(0&lt;$B$18,(0-($B$18-1)/2)*$B$17,(($B$18-1)-($B$18-1)/2)*$B$17))*$B$53+(0),999)</f>
        <v>-26.7692307692308</v>
      </c>
      <c r="R5" s="35">
        <f>IF(AND($B$22&gt;0),(IF(0&lt;$B$22,(0-($B$22-1)/2)*$B$21,(($B$22-1)-($B$22-1)/2)*$B$21))*$B$53+(-38),999)</f>
        <v>-64.7692307692308</v>
      </c>
      <c r="S5" s="35">
        <f>IF(AND($B$22&gt;0),(IF(0&lt;$B$22,(-$B$5/2+IF($B$3=3,0,$B$13)),IF(MOD($B$22-1,2)=0,(($B$18-1)/2*$B$17),(-(($B$18-1)/2*$B$17)))))*$B$53+(0),999)</f>
        <v>-27.3269230769231</v>
      </c>
      <c r="T5" s="35">
        <f>IF(AND($B$30&gt;0,$B$29&gt;0),(IF(0&lt;$B$30,(-$B$4/2+$B$13),IF(MOD($B$30-1,2)=0,(($B$31-1)/2*$B$29),(-(($B$31-1)/2*$B$29)))))*$B$53+(-38),999)</f>
        <v>999</v>
      </c>
      <c r="U5" s="35">
        <f>IF(AND($B$30&gt;0,$B$29&gt;0),(IF(0&lt;$B$30,(0-($B$30-1)/2)*$B$29,(($B$30-1)-($B$30-1)/2)*$B$29))*$B$53+(0),999)</f>
        <v>999</v>
      </c>
      <c r="V5" s="35">
        <f>IF(AND($B$31&gt;0,$B$29&gt;0),(IF(0&lt;$B$31,(0-($B$31-1)/2)*$B$29,(($B$31-1)-($B$31-1)/2)*$B$29))*$B$53+(-38),999)</f>
        <v>999</v>
      </c>
      <c r="W5" s="35">
        <f>IF(AND($B$31&gt;0,$B$29&gt;0),(IF(0&lt;$B$31,(-$B$5/2+$B$13),IF(MOD($B$31-1,2)=0,(($B$30-1)/2*$B$29),(-(($B$30-1)/2*$B$29)))))*$B$53+(0),999)</f>
        <v>999</v>
      </c>
      <c r="X5" s="35">
        <f>($B$4/2+0.12*$B$52)*$B$53+(-38)</f>
        <v>-2.04</v>
      </c>
      <c r="Y5" s="35">
        <f>(0)*$B$53+(0)</f>
        <v>0</v>
      </c>
      <c r="Z5" s="35">
        <f>(0)*$B$53+(-38)</f>
        <v>-38</v>
      </c>
      <c r="AA5" s="35">
        <f>($B$5/2+0.12*$B$52)*$B$53+(0)</f>
        <v>35.96</v>
      </c>
      <c r="AB5" s="35">
        <f>(-$B$4/2-$B$50)*$B$53+(-38)-5</f>
        <v>-72</v>
      </c>
      <c r="AC5" s="35">
        <f>0</f>
        <v>0</v>
      </c>
      <c r="AD5" s="35">
        <f>($B$4/2+$B$50)*$B$53+(-38)+5</f>
        <v>-4</v>
      </c>
      <c r="AE5" s="35">
        <f>0</f>
        <v>0</v>
      </c>
      <c r="AF5" s="35">
        <f>-63</f>
        <v>-63</v>
      </c>
      <c r="AG5" s="35">
        <f>-46</f>
        <v>-46</v>
      </c>
      <c r="AH5" s="35">
        <f>-72</f>
        <v>-72</v>
      </c>
      <c r="AI5" s="35">
        <f>-37</f>
        <v>-37</v>
      </c>
      <c r="AJ5" s="35">
        <f>($B$4/2-$B$13-0.12*$B$4)*$B$53+(-38)</f>
        <v>-17.6330769230769</v>
      </c>
      <c r="AK5" s="35">
        <f>((MAX(0,$B$18-2)-($B$18-1)/2)*$B$17)*$B$53+(0)</f>
        <v>22.3076923076923</v>
      </c>
      <c r="AL5" s="35">
        <f>IF($B$29&gt;0,($B$4/2-$B$13-0.3*$B$4)*$B$53+(-38),999)</f>
        <v>999</v>
      </c>
      <c r="AM5" s="35">
        <f>IF($B$29&gt;0,((MAX(0,$B$30-4)-($B$30-1)/2)*$B$29)*$B$53+(0),999)</f>
        <v>999</v>
      </c>
      <c r="AN5" s="35">
        <f>($B$8/2)*$B$53+(-38)</f>
        <v>-32.4230769230769</v>
      </c>
      <c r="AO5" s="35">
        <f>(IF($B$3=3,0.3*$B$5,$B$9/2))*$B$53+(0)</f>
        <v>5.57692307692308</v>
      </c>
      <c r="AP5" s="35">
        <f>IF($B$39=1,($B$4/2+$B$50*0.6)*$B$53+(-38),999)</f>
        <v>999</v>
      </c>
      <c r="AQ5" s="35">
        <f>IF($B$39=1,($B$40/2)*$B$53+(0),999)</f>
        <v>999</v>
      </c>
      <c r="AR5" s="35">
        <f>((MAX(0,$B$22-2)-($B$22-1)/2)*$B$21)*$B$53+(-38)</f>
        <v>-15.6923076923077</v>
      </c>
      <c r="AS5" s="35">
        <f>(-$B$5/2+0.25*$B$5)*$B$53+(0)</f>
        <v>-14.5</v>
      </c>
      <c r="AT5" s="35">
        <f>($B$4/2)*$B$53+(-38)</f>
        <v>-9</v>
      </c>
      <c r="AU5" s="35">
        <f>(-$B$5/2+0.08*$B$5)*$B$53+(0)</f>
        <v>-24.36</v>
      </c>
      <c r="AV5" s="35">
        <f>($B$4/2)*$B$54+(0)</f>
        <v>28</v>
      </c>
      <c r="AW5" s="35">
        <f>(-$B$5/2)*$B$54+(0)</f>
        <v>-28</v>
      </c>
      <c r="AX5" s="35">
        <f>($B$8/2)*$B$54+(0)</f>
        <v>5.38461538461538</v>
      </c>
      <c r="AY5" s="35">
        <f>(-$B$9/2)*$B$54+(0)</f>
        <v>-5.38461538461538</v>
      </c>
      <c r="AZ5" s="35">
        <f>IF($B$39=1,(-$B$8/2)*$B$54+(0),999)</f>
        <v>999</v>
      </c>
      <c r="BA5" s="35">
        <f>IF($B$39=1,($B$40/2)*$B$54+(0),999)</f>
        <v>999</v>
      </c>
      <c r="BB5" s="35">
        <f>IF($B$39=1,($B$8/2)*$B$54+(0),999)</f>
        <v>999</v>
      </c>
      <c r="BC5" s="35">
        <f>IF($B$39=1,($B$40/2)*$B$54+(0),999)</f>
        <v>999</v>
      </c>
      <c r="BD5" s="35">
        <f>IF($B$39=1,($B$40/2)*$B$54+(0),999)</f>
        <v>999</v>
      </c>
      <c r="BE5" s="35">
        <f>IF($B$39=1,(-$B$9/2)*$B$54+(0),999)</f>
        <v>999</v>
      </c>
      <c r="BF5" s="35">
        <f>IF($B$39=1,($B$40/2)*$B$54+(0),999)</f>
        <v>999</v>
      </c>
      <c r="BG5" s="35">
        <f>IF($B$39=1,($B$9/2)*$B$54+(0),999)</f>
        <v>999</v>
      </c>
      <c r="BH5" s="35">
        <f>($B$4/2+0.08*$B$52)*$B$54+(0)</f>
        <v>32.48</v>
      </c>
      <c r="BI5" s="35">
        <f>(0)*$B$54+(0)</f>
        <v>0</v>
      </c>
      <c r="BJ5" s="35">
        <f>(0)*$B$54+(0)</f>
        <v>0</v>
      </c>
      <c r="BK5" s="35">
        <f>($B$5/2+0.08*$B$52)*$B$54+(0)</f>
        <v>32.48</v>
      </c>
      <c r="BL5" s="35">
        <f>(-$B$4/2)*$B$54+(0)</f>
        <v>-28</v>
      </c>
      <c r="BM5" s="35">
        <f>((-($B$5/2+$B$50)*$B$54-6)+(-1)*1.5)</f>
        <v>-35.5</v>
      </c>
      <c r="BN5" s="35">
        <f>((-($B$4/2+$B$50)*$B$54-6)+(-1)*1.5)</f>
        <v>-35.5</v>
      </c>
      <c r="BO5" s="35">
        <f>(-$B$5/2)*$B$54+(0)</f>
        <v>-28</v>
      </c>
      <c r="BP5" s="35">
        <f>(-$B$4/2)*$B$54+(0)</f>
        <v>-28</v>
      </c>
      <c r="BQ5" s="35">
        <f>((($B$5/2+$B$50)*$B$54+5)+(1)*1.5)</f>
        <v>34.5</v>
      </c>
      <c r="BR5" s="35">
        <f>(-$B$8/2)*$B$54+(0)</f>
        <v>-5.38461538461538</v>
      </c>
      <c r="BS5" s="35">
        <f>((($B$5/2+$B$50)*$B$54+5)+(1)*1.5)</f>
        <v>34.5</v>
      </c>
      <c r="BT5" s="35">
        <f>($B$8/2)*$B$54+(0)</f>
        <v>5.38461538461538</v>
      </c>
      <c r="BU5" s="35">
        <f>((($B$5/2+$B$50)*$B$54+5)+(1)*1.5)</f>
        <v>34.5</v>
      </c>
      <c r="BV5" s="35">
        <f>IF($B$38=1,((($B$4/2+$B$50)*$B$54+5)+(1)*1.5),999)</f>
        <v>34.5</v>
      </c>
      <c r="BW5" s="35">
        <f>IF($B$38=1,(-$B$5/2)*$B$54+(0),999)</f>
        <v>-28</v>
      </c>
      <c r="BX5" s="35">
        <f>IF($B$38=1,((($B$4/2+$B$50)*$B$54+5)+(1)*1.5),999)</f>
        <v>34.5</v>
      </c>
      <c r="BY5" s="35">
        <f>IF($B$38=1,(-$B$9/2)*$B$54+(0),999)</f>
        <v>-5.38461538461538</v>
      </c>
      <c r="BZ5" s="35">
        <f>IF($B$38=1,((($B$4/2+$B$50)*$B$54+5)+(1)*1.5),999)</f>
        <v>34.5</v>
      </c>
      <c r="CA5" s="35">
        <f>IF($B$38=1,($B$9/2)*$B$54+(0),999)</f>
        <v>5.38461538461538</v>
      </c>
      <c r="CB5" s="35">
        <f>-40</f>
        <v>-40</v>
      </c>
      <c r="CC5" s="35">
        <f>-47</f>
        <v>-47</v>
      </c>
      <c r="CD5" s="35">
        <f>-47</f>
        <v>-47</v>
      </c>
      <c r="CE5" s="35">
        <f>-40</f>
        <v>-40</v>
      </c>
      <c r="CF5" s="35">
        <f>($B$4/2)*$B$57+(-37)</f>
        <v>-9.65625</v>
      </c>
      <c r="CG5" s="35">
        <f>((0)-$B$59)*$B$57+(0)</f>
        <v>-16.8269230769231</v>
      </c>
      <c r="CH5" s="35">
        <f>($B$8/2)*$B$57+(-37)</f>
        <v>-31.7415865384615</v>
      </c>
      <c r="CI5" s="35">
        <f>(($B$6)-$B$59)*$B$57+(0)</f>
        <v>-6.31009615384615</v>
      </c>
      <c r="CJ5" s="35">
        <f>($B$4/2+0.05)*$B$57+(-37)</f>
        <v>-8.60456730769231</v>
      </c>
      <c r="CK5" s="35">
        <f>((-0.05)-$B$59)*$B$57+(0)</f>
        <v>-17.8786057692308</v>
      </c>
      <c r="CL5" s="35">
        <f>((-$B$4/2-$B$51)+(-$B$8/2-(-$B$4/2-$B$51))*0/10)*$B$57+(-37)-1.2</f>
        <v>-73.2</v>
      </c>
      <c r="CM5" s="35">
        <f>(($B$7)-$B$59)*$B$57+(0)-1.2</f>
        <v>13.5235576923077</v>
      </c>
      <c r="CN5" s="35">
        <f>(($B$8/2)+($B$4/2+$B$51-($B$8/2))*0/10)*$B$57+(-37)-1.2</f>
        <v>-32.9415865384615</v>
      </c>
      <c r="CO5" s="35">
        <f>(($B$7)-$B$59)*$B$57+(0)-1.2</f>
        <v>13.5235576923077</v>
      </c>
      <c r="CP5" s="35">
        <f>IF($B$39=1,(-$B$8/2)*$B$57+(-37),999)</f>
        <v>999</v>
      </c>
      <c r="CQ5" s="35">
        <f>IF($B$39=1,(($B$6+$B$41)-$B$59)*$B$57+(0),999)</f>
        <v>999</v>
      </c>
      <c r="CR5" s="35">
        <f>IF($B$39=1,($B$8/2)*$B$57+(-37),999)</f>
        <v>999</v>
      </c>
      <c r="CS5" s="35">
        <f>IF($B$39=1,(($B$6+$B$41)-$B$59)*$B$57+(0),999)</f>
        <v>999</v>
      </c>
      <c r="CT5" s="35">
        <f>(-$B$4/2+$B$13)*$B$57+(-37)</f>
        <v>-62.7662259615385</v>
      </c>
      <c r="CU5" s="35">
        <f>(($B$23)-$B$59)*$B$57+(0)</f>
        <v>-15.0821814903846</v>
      </c>
      <c r="CV5" s="35">
        <f>IF(AND(1&lt;$B$22),((1-($B$22-1)/2)*$B$21)*$B$57+(-37),999)</f>
        <v>-58.0336538461538</v>
      </c>
      <c r="CW5" s="35">
        <f>IF(AND(1&lt;$B$22),(($B$24)-$B$59)*$B$57+(0),999)</f>
        <v>-14.7477463942308</v>
      </c>
      <c r="CX5" s="35">
        <f>IF($B$29&gt;0,($B$4/2-$B$13)*$B$57+(-37),999)</f>
        <v>999</v>
      </c>
      <c r="CY5" s="35">
        <f>IF($B$29&gt;0,(($B$32)-$B$59)*$B$57+(0),999)</f>
        <v>999</v>
      </c>
      <c r="CZ5" s="35">
        <f>IF(AND(1&lt;$B$31,$B$29&gt;0),((1-($B$31-1)/2)*$B$29)*$B$57+(-37),999)</f>
        <v>999</v>
      </c>
      <c r="DA5" s="35">
        <f>IF(AND(1&lt;$B$31,$B$29&gt;0),(($B$33)-$B$59)*$B$57+(0),999)</f>
        <v>999</v>
      </c>
      <c r="DB5" s="35">
        <f>IF($B$38=1,(-$B$37)*$B$57+(-37),999)</f>
        <v>-41.005859375</v>
      </c>
      <c r="DC5" s="35">
        <f>IF($B$38=1,(($B$36)-$B$59)*$B$57+(0),999)</f>
        <v>-14.3796574519231</v>
      </c>
      <c r="DD5" s="35">
        <f>IF($B$38=1,($B$37)*$B$57+(-37),999)</f>
        <v>-32.994140625</v>
      </c>
      <c r="DE5" s="35">
        <f>IF($B$38=1,(($B$36)-$B$59)*$B$57+(0),999)</f>
        <v>-14.3796574519231</v>
      </c>
      <c r="DF5" s="35">
        <f>IF($B$39=1,($B$4/2+$B$50)*$B$57+(-37),999)</f>
        <v>999</v>
      </c>
      <c r="DG5" s="35">
        <f>IF($B$39=1,(($B$6+$B$41-$B$42-$B$44-$B$43/2)-$B$59)*$B$57+(0),999)</f>
        <v>999</v>
      </c>
      <c r="DH5" s="35">
        <f>IF($B$39=1,($B$4/2+$B$50)*$B$57+(-37),999)</f>
        <v>999</v>
      </c>
      <c r="DI5" s="35">
        <f>IF($B$39=1,(($B$6+$B$42+$B$44+$B$43/2)-$B$59)*$B$57+(0),999)</f>
        <v>999</v>
      </c>
      <c r="DJ5" s="35">
        <f>IF($B$39=1,((-1)*MIN($B$8/2+0.05+IF(0&lt;INT(($B$49-0.05)/$B$47)+1,0*$B$47,INT(($B$49-0.05)/$B$47)*$B$47+(0-INT(($B$49-0.05)/$B$47))*$B$48),$B$4/2+$B$50-0.05))*$B$57+(-37),999)</f>
        <v>999</v>
      </c>
      <c r="DK5" s="35">
        <f>IF($B$39=1,(($B$6+$B$41-$B$42)-$B$59)*$B$57+(0),999)</f>
        <v>999</v>
      </c>
      <c r="DL5" s="35">
        <f>IF($B$39=1,((1)*MIN($B$8/2+0.05+IF(0&lt;INT(($B$49-0.05)/$B$47)+1,0*$B$47,INT(($B$49-0.05)/$B$47)*$B$47+(0-INT(($B$49-0.05)/$B$47))*$B$48),$B$4/2+$B$50-0.05))*$B$57+(-37),999)</f>
        <v>999</v>
      </c>
      <c r="DM5" s="35">
        <f>IF($B$39=1,(($B$6+$B$41-$B$42)-$B$59)*$B$57+(0),999)</f>
        <v>999</v>
      </c>
      <c r="DN5" s="35">
        <f>($B$8/2)*$B$57+(-37)</f>
        <v>-31.7415865384615</v>
      </c>
      <c r="DO5" s="35">
        <f>(($B$6+0.85*$B$11)-$B$59)*$B$57+(0)</f>
        <v>14.2503004807692</v>
      </c>
      <c r="DP5" s="35">
        <f>($B$4/2+0.6*$B$51)*$B$57+(-37)</f>
        <v>-5.0625</v>
      </c>
      <c r="DQ5" s="35">
        <f>(($B$7)-$B$59)*$B$57+(0)</f>
        <v>14.7235576923077</v>
      </c>
      <c r="DR5" s="35">
        <f>IF($B$38=1,($B$37)*$B$57+(-37),999)</f>
        <v>-32.994140625</v>
      </c>
      <c r="DS5" s="35">
        <f>IF($B$38=1,(($B$6+0.45*$B$11)-$B$59)*$B$57+(0),999)</f>
        <v>4.57481971153846</v>
      </c>
      <c r="DT5" s="35">
        <f>($B$4/2-0.15*$B$4)*$B$57+(-37)</f>
        <v>-17.859375</v>
      </c>
      <c r="DU5" s="35">
        <f>((IF($B$39=1,($B$6+$B$41+$B$7)/2,($B$6+$B$7)/2))-$B$59)*$B$57+(0)</f>
        <v>4.20673076923077</v>
      </c>
      <c r="DV5" s="35">
        <f>IF($B$39=1,($B$4/2+0.6*$B$50)*$B$57+(-37),999)</f>
        <v>999</v>
      </c>
      <c r="DW5" s="35">
        <f>IF($B$39=1,(($B$6+$B$41)-$B$59)*$B$57+(0),999)</f>
        <v>999</v>
      </c>
      <c r="DX5" s="35">
        <f>IF($B$29&gt;0,($B$4/2-$B$13-0.1*$B$4)*$B$57+(-37),999)</f>
        <v>999</v>
      </c>
      <c r="DY5" s="35">
        <f>IF($B$29&gt;0,(($B$32)-$B$59)*$B$57+(0),999)</f>
        <v>999</v>
      </c>
      <c r="DZ5" s="35">
        <f>($B$4/2-$B$13-0.04*$B$4)*$B$57+(-37)</f>
        <v>-13.4212740384615</v>
      </c>
      <c r="EA5" s="35">
        <f>(($B$23)-$B$59)*$B$57+(0)</f>
        <v>-15.0821814903846</v>
      </c>
      <c r="EB5" s="35">
        <f>((MAX(0,$B$22-2)-($B$22-1)/2)*$B$21)*$B$57+(-37)</f>
        <v>-15.9663461538462</v>
      </c>
      <c r="EC5" s="35">
        <f>(($B$24)-$B$59)*$B$57+(0)</f>
        <v>-14.7477463942308</v>
      </c>
      <c r="ED5" s="35">
        <f>($B$4/2-0.05*$B$4)*$B$57+(-37)</f>
        <v>-12.390625</v>
      </c>
      <c r="EE5" s="35">
        <f>((-0.025)-$B$59)*$B$57+(0)</f>
        <v>-17.3527644230769</v>
      </c>
      <c r="EF5" s="35">
        <f>($B$4/2)*$B$58+(0)</f>
        <v>21.875</v>
      </c>
      <c r="EG5" s="35">
        <f>((0)-$B$59)*$B$58+(0)</f>
        <v>-13.4615384615385</v>
      </c>
      <c r="EH5" s="35">
        <f>($B$8/2)*$B$58+(0)</f>
        <v>4.20673076923077</v>
      </c>
      <c r="EI5" s="35">
        <f>(($B$6)-$B$59)*$B$58+(0)</f>
        <v>-5.04807692307692</v>
      </c>
      <c r="EJ5" s="35">
        <f>($B$4/2+0.05)*$B$58+(0)</f>
        <v>22.7163461538462</v>
      </c>
      <c r="EK5" s="35">
        <f>((-0.05)-$B$59)*$B$58+(0)</f>
        <v>-14.3028846153846</v>
      </c>
      <c r="EL5" s="35">
        <f>((-$B$4/2-$B$51)+(-$B$8/2-(-$B$4/2-$B$51))*0/10)*$B$58+(0)-1.2</f>
        <v>-29.2</v>
      </c>
      <c r="EM5" s="35">
        <f>(($B$7)-$B$59)*$B$58+(0)-1.2</f>
        <v>10.5788461538462</v>
      </c>
      <c r="EN5" s="35">
        <f>(($B$8/2)+($B$4/2+$B$51-($B$8/2))*0/10)*$B$58+(0)-1.2</f>
        <v>3.00673076923077</v>
      </c>
      <c r="EO5" s="35">
        <f>(($B$7)-$B$59)*$B$58+(0)-1.2</f>
        <v>10.5788461538462</v>
      </c>
      <c r="EP5" s="35">
        <f>IF($B$39=1,(-$B$8/2)*$B$58+(0),999)</f>
        <v>999</v>
      </c>
      <c r="EQ5" s="35">
        <f>IF($B$39=1,(($B$6+$B$41)-$B$59)*$B$58+(0),999)</f>
        <v>999</v>
      </c>
      <c r="ER5" s="35">
        <f>IF($B$39=1,($B$8/2)*$B$58+(0),999)</f>
        <v>999</v>
      </c>
      <c r="ES5" s="35">
        <f>IF($B$39=1,(($B$6+$B$41)-$B$59)*$B$58+(0),999)</f>
        <v>999</v>
      </c>
      <c r="ET5" s="35">
        <f>(-$B$4/2)*$B$58+(0)</f>
        <v>-21.875</v>
      </c>
      <c r="EU5" s="35">
        <f>(((-0.05-$B$59)*$B$58-6)+(-1)*1.5)</f>
        <v>-21.8028846153846</v>
      </c>
      <c r="EV5" s="35">
        <f>((-($B$4/2+$B$51)*$B$58-5)+(-1)*1.5)</f>
        <v>-34.5</v>
      </c>
      <c r="EW5" s="35">
        <f>((0)-$B$59)*$B$58+(0)</f>
        <v>-13.4615384615385</v>
      </c>
      <c r="EX5" s="35">
        <f>((($B$4/2+$B$51)*$B$58+5)+(1)*1.5)</f>
        <v>34.5</v>
      </c>
      <c r="EY5" s="35">
        <f>((0)-$B$59)*$B$58+(0)</f>
        <v>-13.4615384615385</v>
      </c>
      <c r="EZ5" s="35">
        <f>IF($B$38=1,(($B$8/2*$B$58+5)+(1)*1.5),999)</f>
        <v>10.7067307692308</v>
      </c>
      <c r="FA5" s="35">
        <f>IF($B$38=1,(($B$6)-$B$59)*$B$58+(0),999)</f>
        <v>-5.04807692307692</v>
      </c>
      <c r="FB5" s="35">
        <f>(-$B$8/2)*$B$58+(0)</f>
        <v>-4.20673076923077</v>
      </c>
      <c r="FC5" s="35">
        <f>((($B$6+$B$11-$B$59)*$B$58+5)+(1)*1.5)</f>
        <v>20.8028846153846</v>
      </c>
      <c r="FD5" s="35">
        <f>IF($B$39=1,((($B$4/2+$B$50)*$B$58+4)+(1)*1.5),999)</f>
        <v>999</v>
      </c>
      <c r="FE5" s="35">
        <f>IF($B$39=1,(($B$6)-$B$59)*$B$58+(0),999)</f>
        <v>999</v>
      </c>
      <c r="FF5" s="35">
        <f>IF($B$39=1,($B$40/2)*$B$60+(-40),999)</f>
        <v>999</v>
      </c>
      <c r="FG5" s="35">
        <f>IF($B$39=1,((0)-$B$61)*$B$60+(0),999)</f>
        <v>999</v>
      </c>
      <c r="FH5" s="35">
        <f>IF($B$39=1,(-$B$40/2+($B$42+$B$44/2))*$B$60+(-40),999)</f>
        <v>999</v>
      </c>
      <c r="FI5" s="35">
        <f>IF($B$39=1,(($B$41-($B$42+$B$44/2))-$B$61)*$B$60+(0),999)</f>
        <v>999</v>
      </c>
      <c r="FJ5" s="35">
        <f>IF(AND(1&lt;$B$45,$B$39=1),((1-($B$45-1)/2)*(2*($B$40/2-$B$42-$B$44-$B$43/2)/MAX(1,$B$45-1)))*$B$60+(-40),999)</f>
        <v>999</v>
      </c>
      <c r="FK5" s="35">
        <f>IF(AND(1&lt;$B$45,$B$39=1),(($B$41-$B$42-$B$44-$B$43/2)-$B$61)*$B$60+(0),999)</f>
        <v>999</v>
      </c>
      <c r="FL5" s="35">
        <f>IF(AND(1&lt;$B$46,$B$39=1),((1-($B$46-1)/2)*(2*($B$40/2-$B$42-$B$44-$B$43/2)/MAX(1,$B$46-1)))*$B$60+(-40),999)</f>
        <v>999</v>
      </c>
      <c r="FM5" s="35">
        <f>IF(AND(1&lt;$B$46,$B$39=1),(($B$42+$B$44+$B$43/2)-$B$61)*$B$60+(0),999)</f>
        <v>999</v>
      </c>
      <c r="FN5" s="35">
        <f>IF($B$39=1,(-$B$40/2)*$B$60+(-40),999)</f>
        <v>999</v>
      </c>
      <c r="FO5" s="35">
        <f>IF($B$39=1,(((0-$B$61)*$B$60-6)+(-1)*1.5),999)</f>
        <v>999</v>
      </c>
      <c r="FP5" s="35">
        <f>IF($B$39=1,((-$B$40/2*$B$60-40-6)+(-1)*1.5),999)</f>
        <v>999</v>
      </c>
      <c r="FQ5" s="35">
        <f>IF($B$39=1,((0)-$B$61)*$B$60+(0),999)</f>
        <v>999</v>
      </c>
      <c r="FR5" s="35">
        <f>IF($B$39=1,($B$40/2-$B$42-$B$44-$B$43/2)*$B$60+(-40),999)</f>
        <v>999</v>
      </c>
      <c r="FS5" s="35">
        <f>IF($B$39=1,(($B$41-$B$42-$B$44-$B$43/2)-$B$61)*$B$60+(0),999)</f>
        <v>999</v>
      </c>
      <c r="FT5" s="35">
        <f>IF($B$39=1,($B$40/2-$B$42-$B$44/2)*$B$60+(-40),999)</f>
        <v>999</v>
      </c>
      <c r="FU5" s="35">
        <f>IF($B$39=1,(($B$41/2)-$B$61)*$B$60+(0),999)</f>
        <v>999</v>
      </c>
      <c r="FV5" s="35">
        <f>IF($B$39=1,($B$40/2-$B$42-$B$44-$B$43/2)*$B$60+(-40),999)</f>
        <v>999</v>
      </c>
      <c r="FW5" s="35">
        <f>IF($B$39=1,(($B$42+$B$44+$B$43/2)-$B$61)*$B$60+(0),999)</f>
        <v>999</v>
      </c>
      <c r="FZ5" s="35">
        <f>IF(1&lt;$B$81,CHOOSE(INT(1/($B$81/4))+1,-$B$37+2*$B$37*MOD(1,($B$81/4))/($B$81/4),$B$37,$B$37-2*$B$37*MOD(1,($B$81/4))/($B$81/4),-$B$37)*$B$53+(-38),999)</f>
        <v>-38</v>
      </c>
      <c r="GA5" s="35">
        <f>IF(1&lt;$B$81,CHOOSE(INT(1/($B$81/4))+1,-$B$82,-$B$82+2*$B$82*MOD(1,($B$81/4))/($B$81/4),$B$82,$B$82-2*$B$82*MOD(1,($B$81/4))/($B$81/4))*$B$53+(0),999)</f>
        <v>-4.2485</v>
      </c>
      <c r="GB5" s="35">
        <f>IF($B$38=1,(1*($B$37+0.025))*$B$53+(-38),999)</f>
        <v>-33.1938076923077</v>
      </c>
      <c r="GC5" s="35">
        <f>IF($B$38=1,(-1*($B$82+0.025))*$B$53+(0),999)</f>
        <v>-4.80619230769231</v>
      </c>
      <c r="GD5" s="35">
        <f>IF($B$38=1,$B$37*$B$53+(-38),999)</f>
        <v>-33.7515</v>
      </c>
      <c r="GE5" s="35">
        <f>IF($B$38=1,(-$B$82)*$B$53+(0),999)</f>
        <v>-4.2485</v>
      </c>
      <c r="GF5" s="35">
        <f>IF($B$80&gt;0,(IF(MOD(MIN(INT(1/2),$B$80-1),2)=0,1,-1)*IF(IF(INT(1/2)&gt;$B$80-1,1,MOD(1,2))=0,-1,1)*$B$37)*$B$57+(-37),999)</f>
        <v>-32.994140625</v>
      </c>
      <c r="GG5" s="35">
        <f>IF($B$80&gt;0,(($B$6+0.05+MIN(INT(1/2),$B$80-1)*$B$79)-$B$59)*$B$57+(0),999)</f>
        <v>-5.25841346153846</v>
      </c>
      <c r="GH5" s="35">
        <f>IF($B$80&gt;0,$B$37*$B$57+(-37),999)</f>
        <v>-32.994140625</v>
      </c>
      <c r="GI5" s="35">
        <f>IF($B$80&gt;0,(($B$6+0.05+($B$80-1)*$B$79)-$B$59)*$B$57+(0),999)</f>
        <v>13.671875</v>
      </c>
    </row>
    <row r="6" x14ac:dyDescent="0.3">
      <c r="A6" s="33" t="s">
        <v>1405</v>
      </c>
      <c r="B6" s="34">
        <f>CHOOSE($B$3,AISLADA!$C$9,AISLADA_CT!$C$10,CORRIDA!$C$8)</f>
        <v>0.5</v>
      </c>
      <c r="D6" s="35">
        <f>($B$4/2)*$B$53+(-38)</f>
        <v>-9</v>
      </c>
      <c r="E6" s="35">
        <f>($B$5/2)*$B$53+(0)</f>
        <v>29</v>
      </c>
      <c r="F6" s="35">
        <f>($B$8/2)*$B$53+(-38)</f>
        <v>-32.4230769230769</v>
      </c>
      <c r="G6" s="35">
        <f>($B$9/2)*$B$53+(0)</f>
        <v>5.57692307692308</v>
      </c>
      <c r="H6" s="35">
        <f>IF($B$39=1,(-$B$8/2)*$B$53+(-38),999)</f>
        <v>999</v>
      </c>
      <c r="I6" s="35">
        <f>IF($B$39=1,(-$B$40/2)*$B$53+(0),999)</f>
        <v>999</v>
      </c>
      <c r="J6" s="35">
        <f>IF($B$39=1,($B$8/2)*$B$53+(-38),999)</f>
        <v>999</v>
      </c>
      <c r="K6" s="35">
        <f>IF($B$39=1,(-$B$40/2)*$B$53+(0),999)</f>
        <v>999</v>
      </c>
      <c r="L6" s="35">
        <f>IF($B$39=1,(-$B$40/2)*$B$53+(-38),999)</f>
        <v>999</v>
      </c>
      <c r="M6" s="35">
        <f>IF($B$39=1,(-$B$9/2)*$B$53+(0),999)</f>
        <v>999</v>
      </c>
      <c r="N6" s="35">
        <f>IF($B$39=1,(-$B$40/2)*$B$53+(-38),999)</f>
        <v>999</v>
      </c>
      <c r="O6" s="35">
        <f>IF($B$39=1,($B$9/2)*$B$53+(0),999)</f>
        <v>999</v>
      </c>
      <c r="P6" s="35">
        <f>IF(AND($B$18&gt;0),(IF(0&lt;$B$18,($B$4/2-$B$13),IF(MOD($B$18-1,2)=0,(($B$22-1)/2*$B$21),(-(($B$22-1)/2*$B$21)))))*$B$53+(-38),999)</f>
        <v>-10.6730769230769</v>
      </c>
      <c r="Q6" s="35">
        <f>IF(AND($B$18&gt;0),(IF(0&lt;$B$18,(0-($B$18-1)/2)*$B$17,(($B$18-1)-($B$18-1)/2)*$B$17))*$B$53+(0),999)</f>
        <v>-26.7692307692308</v>
      </c>
      <c r="R6" s="35">
        <f>IF(AND($B$22&gt;0),(IF(0&lt;$B$22,(0-($B$22-1)/2)*$B$21,(($B$22-1)-($B$22-1)/2)*$B$21))*$B$53+(-38),999)</f>
        <v>-64.7692307692308</v>
      </c>
      <c r="S6" s="35">
        <f>IF(AND($B$22&gt;0),(IF(0&lt;$B$22,($B$5/2-IF($B$3=3,0,$B$13)),IF(MOD($B$22-1,2)=0,(($B$18-1)/2*$B$17),(-(($B$18-1)/2*$B$17)))))*$B$53+(0),999)</f>
        <v>27.3269230769231</v>
      </c>
      <c r="T6" s="35">
        <f>IF(AND($B$30&gt;0,$B$29&gt;0),(IF(0&lt;$B$30,($B$4/2-$B$13),IF(MOD($B$30-1,2)=0,(($B$31-1)/2*$B$29),(-(($B$31-1)/2*$B$29)))))*$B$53+(-38),999)</f>
        <v>999</v>
      </c>
      <c r="U6" s="35">
        <f>IF(AND($B$30&gt;0,$B$29&gt;0),(IF(0&lt;$B$30,(0-($B$30-1)/2)*$B$29,(($B$30-1)-($B$30-1)/2)*$B$29))*$B$53+(0),999)</f>
        <v>999</v>
      </c>
      <c r="V6" s="35">
        <f>IF(AND($B$31&gt;0,$B$29&gt;0),(IF(0&lt;$B$31,(0-($B$31-1)/2)*$B$29,(($B$31-1)-($B$31-1)/2)*$B$29))*$B$53+(-38),999)</f>
        <v>999</v>
      </c>
      <c r="W6" s="35">
        <f>IF(AND($B$31&gt;0,$B$29&gt;0),(IF(0&lt;$B$31,($B$5/2-$B$13),IF(MOD($B$31-1,2)=0,(($B$30-1)/2*$B$29),(-(($B$30-1)/2*$B$29)))))*$B$53+(0),999)</f>
        <v>999</v>
      </c>
      <c r="AV6" s="35">
        <f>($B$4/2)*$B$54+(0)</f>
        <v>28</v>
      </c>
      <c r="AW6" s="35">
        <f>($B$5/2)*$B$54+(0)</f>
        <v>28</v>
      </c>
      <c r="AX6" s="35">
        <f>($B$8/2)*$B$54+(0)</f>
        <v>5.38461538461538</v>
      </c>
      <c r="AY6" s="35">
        <f>($B$9/2)*$B$54+(0)</f>
        <v>5.38461538461538</v>
      </c>
      <c r="AZ6" s="35">
        <f>IF($B$39=1,(-$B$8/2)*$B$54+(0),999)</f>
        <v>999</v>
      </c>
      <c r="BA6" s="35">
        <f>IF($B$39=1,(-$B$40/2)*$B$54+(0),999)</f>
        <v>999</v>
      </c>
      <c r="BB6" s="35">
        <f>IF($B$39=1,($B$8/2)*$B$54+(0),999)</f>
        <v>999</v>
      </c>
      <c r="BC6" s="35">
        <f>IF($B$39=1,(-$B$40/2)*$B$54+(0),999)</f>
        <v>999</v>
      </c>
      <c r="BD6" s="35">
        <f>IF($B$39=1,(-$B$40/2)*$B$54+(0),999)</f>
        <v>999</v>
      </c>
      <c r="BE6" s="35">
        <f>IF($B$39=1,(-$B$9/2)*$B$54+(0),999)</f>
        <v>999</v>
      </c>
      <c r="BF6" s="35">
        <f>IF($B$39=1,(-$B$40/2)*$B$54+(0),999)</f>
        <v>999</v>
      </c>
      <c r="BG6" s="35">
        <f>IF($B$39=1,($B$9/2)*$B$54+(0),999)</f>
        <v>999</v>
      </c>
      <c r="BL6" s="35">
        <f>(-$B$4/2)*$B$54+(0)</f>
        <v>-28</v>
      </c>
      <c r="BM6" s="35">
        <f>(-($B$5/2+$B$50)*$B$54-6)</f>
        <v>-34</v>
      </c>
      <c r="BN6" s="35">
        <f>(-($B$4/2+$B$50)*$B$54-6)</f>
        <v>-34</v>
      </c>
      <c r="BO6" s="35">
        <f>(-$B$5/2)*$B$54+(0)</f>
        <v>-28</v>
      </c>
      <c r="BP6" s="35">
        <f>(-$B$4/2)*$B$54+(0)</f>
        <v>-28</v>
      </c>
      <c r="BQ6" s="35">
        <f>(($B$5/2+$B$50)*$B$54+5)</f>
        <v>33</v>
      </c>
      <c r="BR6" s="35">
        <f>(-$B$8/2)*$B$54+(0)</f>
        <v>-5.38461538461538</v>
      </c>
      <c r="BS6" s="35">
        <f>(($B$5/2+$B$50)*$B$54+5)</f>
        <v>33</v>
      </c>
      <c r="BT6" s="35">
        <f>($B$8/2)*$B$54+(0)</f>
        <v>5.38461538461538</v>
      </c>
      <c r="BU6" s="35">
        <f>(($B$5/2+$B$50)*$B$54+5)</f>
        <v>33</v>
      </c>
      <c r="BV6" s="35">
        <f>IF($B$38=1,(($B$4/2+$B$50)*$B$54+5),999)</f>
        <v>33</v>
      </c>
      <c r="BW6" s="35">
        <f>IF($B$38=1,(-$B$5/2)*$B$54+(0),999)</f>
        <v>-28</v>
      </c>
      <c r="BX6" s="35">
        <f>IF($B$38=1,(($B$4/2+$B$50)*$B$54+5),999)</f>
        <v>33</v>
      </c>
      <c r="BY6" s="35">
        <f>IF($B$38=1,(-$B$9/2)*$B$54+(0),999)</f>
        <v>-5.38461538461538</v>
      </c>
      <c r="BZ6" s="35">
        <f>IF($B$38=1,(($B$4/2+$B$50)*$B$54+5),999)</f>
        <v>33</v>
      </c>
      <c r="CA6" s="35">
        <f>IF($B$38=1,($B$9/2)*$B$54+(0),999)</f>
        <v>5.38461538461538</v>
      </c>
      <c r="CF6" s="35">
        <f>($B$4/2)*$B$57+(-37)</f>
        <v>-9.65625</v>
      </c>
      <c r="CG6" s="35">
        <f>(($B$6)-$B$59)*$B$57+(0)</f>
        <v>-6.31009615384615</v>
      </c>
      <c r="CH6" s="35">
        <f>($B$8/2)*$B$57+(-37)</f>
        <v>-31.7415865384615</v>
      </c>
      <c r="CI6" s="35">
        <f>(($B$6+$B$11)-$B$59)*$B$57+(0)</f>
        <v>17.8786057692308</v>
      </c>
      <c r="CJ6" s="35">
        <f>($B$4/2+0.05)*$B$57+(-37)</f>
        <v>-8.60456730769231</v>
      </c>
      <c r="CK6" s="35">
        <f>((0)-$B$59)*$B$57+(0)</f>
        <v>-16.8269230769231</v>
      </c>
      <c r="CL6" s="35">
        <f>((-$B$4/2-$B$51)+(-$B$8/2-(-$B$4/2-$B$51))*0/10)*$B$57+(-37)</f>
        <v>-72</v>
      </c>
      <c r="CM6" s="35">
        <f>(($B$7)-$B$59)*$B$57+(0)</f>
        <v>14.7235576923077</v>
      </c>
      <c r="CN6" s="35">
        <f>(($B$8/2)+($B$4/2+$B$51-($B$8/2))*0/10)*$B$57+(-37)</f>
        <v>-31.7415865384615</v>
      </c>
      <c r="CO6" s="35">
        <f>(($B$7)-$B$59)*$B$57+(0)</f>
        <v>14.7235576923077</v>
      </c>
      <c r="CP6" s="35">
        <f>IF($B$39=1,(-$B$8/2)*$B$57+(-37),999)</f>
        <v>999</v>
      </c>
      <c r="CQ6" s="35">
        <f>IF($B$39=1,(($B$6)-$B$59)*$B$57+(0),999)</f>
        <v>999</v>
      </c>
      <c r="CR6" s="35">
        <f>IF($B$39=1,($B$8/2)*$B$57+(-37),999)</f>
        <v>999</v>
      </c>
      <c r="CS6" s="35">
        <f>IF($B$39=1,(($B$6)-$B$59)*$B$57+(0),999)</f>
        <v>999</v>
      </c>
      <c r="CT6" s="35">
        <f>($B$4/2-$B$13)*$B$57+(-37)</f>
        <v>-11.2337740384615</v>
      </c>
      <c r="CU6" s="35">
        <f>(($B$23)-$B$59)*$B$57+(0)</f>
        <v>-15.0821814903846</v>
      </c>
      <c r="CV6" s="35">
        <f>IF(AND(2&lt;$B$22),((2-($B$22-1)/2)*$B$21)*$B$57+(-37),999)</f>
        <v>-53.8269230769231</v>
      </c>
      <c r="CW6" s="35">
        <f>IF(AND(2&lt;$B$22),(($B$24)-$B$59)*$B$57+(0),999)</f>
        <v>-14.7477463942308</v>
      </c>
      <c r="CZ6" s="35">
        <f>IF(AND(2&lt;$B$31,$B$29&gt;0),((2-($B$31-1)/2)*$B$29)*$B$57+(-37),999)</f>
        <v>999</v>
      </c>
      <c r="DA6" s="35">
        <f>IF(AND(2&lt;$B$31,$B$29&gt;0),(($B$33)-$B$59)*$B$57+(0),999)</f>
        <v>999</v>
      </c>
      <c r="DB6" s="35">
        <f>IF($B$38=1,(-($B$37+12*$B$34))*$B$57+(-37),999)</f>
        <v>-45.8267728365385</v>
      </c>
      <c r="DC6" s="35">
        <f>IF($B$38=1,(($B$36)-$B$59)*$B$57+(0),999)</f>
        <v>-14.3796574519231</v>
      </c>
      <c r="DD6" s="35">
        <f>IF($B$38=1,(($B$37+12*$B$34))*$B$57+(-37),999)</f>
        <v>-28.1732271634615</v>
      </c>
      <c r="DE6" s="35">
        <f>IF($B$38=1,(($B$36)-$B$59)*$B$57+(0),999)</f>
        <v>-14.3796574519231</v>
      </c>
      <c r="DJ6" s="35">
        <f>IF($B$39=1,((-1)*MIN($B$8/2+0.05+IF(1&lt;INT(($B$49-0.05)/$B$47)+1,1*$B$47,INT(($B$49-0.05)/$B$47)*$B$47+(1-INT(($B$49-0.05)/$B$47))*$B$48),$B$4/2+$B$50-0.05))*$B$57+(-37),999)</f>
        <v>999</v>
      </c>
      <c r="DK6" s="35">
        <f>IF($B$39=1,(($B$6+$B$41-$B$42)-$B$59)*$B$57+(0),999)</f>
        <v>999</v>
      </c>
      <c r="DL6" s="35">
        <f>IF($B$39=1,((1)*MIN($B$8/2+0.05+IF(1&lt;INT(($B$49-0.05)/$B$47)+1,1*$B$47,INT(($B$49-0.05)/$B$47)*$B$47+(1-INT(($B$49-0.05)/$B$47))*$B$48),$B$4/2+$B$50-0.05))*$B$57+(-37),999)</f>
        <v>999</v>
      </c>
      <c r="DM6" s="35">
        <f>IF($B$39=1,(($B$6+$B$41-$B$42)-$B$59)*$B$57+(0),999)</f>
        <v>999</v>
      </c>
      <c r="EF6" s="35">
        <f>($B$4/2)*$B$58+(0)</f>
        <v>21.875</v>
      </c>
      <c r="EG6" s="35">
        <f>(($B$6)-$B$59)*$B$58+(0)</f>
        <v>-5.04807692307692</v>
      </c>
      <c r="EH6" s="35">
        <f>($B$8/2)*$B$58+(0)</f>
        <v>4.20673076923077</v>
      </c>
      <c r="EI6" s="35">
        <f>(($B$6+$B$11)-$B$59)*$B$58+(0)</f>
        <v>14.3028846153846</v>
      </c>
      <c r="EJ6" s="35">
        <f>($B$4/2+0.05)*$B$58+(0)</f>
        <v>22.7163461538462</v>
      </c>
      <c r="EK6" s="35">
        <f>((0)-$B$59)*$B$58+(0)</f>
        <v>-13.4615384615385</v>
      </c>
      <c r="EL6" s="35">
        <f>((-$B$4/2-$B$51)+(-$B$8/2-(-$B$4/2-$B$51))*0/10)*$B$58+(0)</f>
        <v>-28</v>
      </c>
      <c r="EM6" s="35">
        <f>(($B$7)-$B$59)*$B$58+(0)</f>
        <v>11.7788461538462</v>
      </c>
      <c r="EN6" s="35">
        <f>(($B$8/2)+($B$4/2+$B$51-($B$8/2))*0/10)*$B$58+(0)</f>
        <v>4.20673076923077</v>
      </c>
      <c r="EO6" s="35">
        <f>(($B$7)-$B$59)*$B$58+(0)</f>
        <v>11.7788461538462</v>
      </c>
      <c r="EP6" s="35">
        <f>IF($B$39=1,(-$B$8/2)*$B$58+(0),999)</f>
        <v>999</v>
      </c>
      <c r="EQ6" s="35">
        <f>IF($B$39=1,(($B$6)-$B$59)*$B$58+(0),999)</f>
        <v>999</v>
      </c>
      <c r="ER6" s="35">
        <f>IF($B$39=1,($B$8/2)*$B$58+(0),999)</f>
        <v>999</v>
      </c>
      <c r="ES6" s="35">
        <f>IF($B$39=1,(($B$6)-$B$59)*$B$58+(0),999)</f>
        <v>999</v>
      </c>
      <c r="ET6" s="35">
        <f>(-$B$4/2)*$B$58+(0)</f>
        <v>-21.875</v>
      </c>
      <c r="EU6" s="35">
        <f>((-0.05-$B$59)*$B$58-6)</f>
        <v>-20.3028846153846</v>
      </c>
      <c r="EV6" s="35">
        <f>(-($B$4/2+$B$51)*$B$58-5)</f>
        <v>-33</v>
      </c>
      <c r="EW6" s="35">
        <f>((0)-$B$59)*$B$58+(0)</f>
        <v>-13.4615384615385</v>
      </c>
      <c r="EX6" s="35">
        <f>(($B$4/2+$B$51)*$B$58+5)</f>
        <v>33</v>
      </c>
      <c r="EY6" s="35">
        <f>((0)-$B$59)*$B$58+(0)</f>
        <v>-13.4615384615385</v>
      </c>
      <c r="EZ6" s="35">
        <f>IF($B$38=1,($B$8/2*$B$58+5),999)</f>
        <v>9.20673076923077</v>
      </c>
      <c r="FA6" s="35">
        <f>IF($B$38=1,(($B$6)-$B$59)*$B$58+(0),999)</f>
        <v>-5.04807692307692</v>
      </c>
      <c r="FB6" s="35">
        <f>(-$B$8/2)*$B$58+(0)</f>
        <v>-4.20673076923077</v>
      </c>
      <c r="FC6" s="35">
        <f>(($B$6+$B$11-$B$59)*$B$58+5)</f>
        <v>19.3028846153846</v>
      </c>
      <c r="FD6" s="35">
        <f>IF($B$39=1,(($B$4/2+$B$50)*$B$58+4),999)</f>
        <v>999</v>
      </c>
      <c r="FE6" s="35">
        <f>IF($B$39=1,(($B$6)-$B$59)*$B$58+(0),999)</f>
        <v>999</v>
      </c>
      <c r="FF6" s="35">
        <f>IF($B$39=1,($B$40/2)*$B$60+(-40),999)</f>
        <v>999</v>
      </c>
      <c r="FG6" s="35">
        <f>IF($B$39=1,(($B$41)-$B$61)*$B$60+(0),999)</f>
        <v>999</v>
      </c>
      <c r="FH6" s="35">
        <f>IF($B$39=1,($B$40/2-($B$42+$B$44/2))*$B$60+(-40),999)</f>
        <v>999</v>
      </c>
      <c r="FI6" s="35">
        <f>IF($B$39=1,(($B$41-($B$42+$B$44/2))-$B$61)*$B$60+(0),999)</f>
        <v>999</v>
      </c>
      <c r="FJ6" s="35">
        <f>IF(AND(2&lt;$B$45,$B$39=1),((2-($B$45-1)/2)*(2*($B$40/2-$B$42-$B$44-$B$43/2)/MAX(1,$B$45-1)))*$B$60+(-40),999)</f>
        <v>999</v>
      </c>
      <c r="FK6" s="35">
        <f>IF(AND(2&lt;$B$45,$B$39=1),(($B$41-$B$42-$B$44-$B$43/2)-$B$61)*$B$60+(0),999)</f>
        <v>999</v>
      </c>
      <c r="FL6" s="35">
        <f>IF(AND(2&lt;$B$46,$B$39=1),((2-($B$46-1)/2)*(2*($B$40/2-$B$42-$B$44-$B$43/2)/MAX(1,$B$46-1)))*$B$60+(-40),999)</f>
        <v>999</v>
      </c>
      <c r="FM6" s="35">
        <f>IF(AND(2&lt;$B$46,$B$39=1),(($B$42+$B$44+$B$43/2)-$B$61)*$B$60+(0),999)</f>
        <v>999</v>
      </c>
      <c r="FN6" s="35">
        <f>IF($B$39=1,(-$B$40/2)*$B$60+(-40),999)</f>
        <v>999</v>
      </c>
      <c r="FO6" s="35">
        <f>IF($B$39=1,((0-$B$61)*$B$60-6),999)</f>
        <v>999</v>
      </c>
      <c r="FP6" s="35">
        <f>IF($B$39=1,(-$B$40/2*$B$60-40-6),999)</f>
        <v>999</v>
      </c>
      <c r="FQ6" s="35">
        <f>IF($B$39=1,((0)-$B$61)*$B$60+(0),999)</f>
        <v>999</v>
      </c>
      <c r="FZ6" s="35">
        <f>IF(2&lt;$B$81,CHOOSE(INT(2/($B$81/4))+1,-$B$37+2*$B$37*MOD(2,($B$81/4))/($B$81/4),$B$37,$B$37-2*$B$37*MOD(2,($B$81/4))/($B$81/4),-$B$37)*$B$53+(-38),999)</f>
        <v>-33.7515</v>
      </c>
      <c r="GA6" s="35">
        <f>IF(2&lt;$B$81,CHOOSE(INT(2/($B$81/4))+1,-$B$82,-$B$82+2*$B$82*MOD(2,($B$81/4))/($B$81/4),$B$82,$B$82-2*$B$82*MOD(2,($B$81/4))/($B$81/4))*$B$53+(0),999)</f>
        <v>-4.2485</v>
      </c>
      <c r="GB6" s="35">
        <f>IF($B$38=1,(1*($B$37+0.025))*$B$53+(-38),999)</f>
        <v>-33.1938076923077</v>
      </c>
      <c r="GC6" s="35">
        <f>IF($B$38=1,(1*($B$82+0.025))*$B$53+(0),999)</f>
        <v>4.80619230769231</v>
      </c>
      <c r="GF6" s="35">
        <f>IF($B$80&gt;0,(IF(MOD(MIN(INT(2/2),$B$80-1),2)=0,1,-1)*IF(IF(INT(2/2)&gt;$B$80-1,1,MOD(2,2))=0,-1,1)*$B$37)*$B$57+(-37),999)</f>
        <v>-32.994140625</v>
      </c>
      <c r="GG6" s="35">
        <f>IF($B$80&gt;0,(($B$6+0.05+MIN(INT(2/2),$B$80-1)*$B$79)-$B$59)*$B$57+(0),999)</f>
        <v>1.0516826923077</v>
      </c>
    </row>
    <row r="7" x14ac:dyDescent="0.3">
      <c r="A7" s="33" t="s">
        <v>1406</v>
      </c>
      <c r="B7" s="34">
        <f>CHOOSE($B$3,AISLADA!$C$10,AISLADA_CT!$C$11,CORRIDA!$C$9)</f>
        <v>1.5</v>
      </c>
      <c r="D7" s="35">
        <f>(-$B$4/2)*$B$53+(-38)</f>
        <v>-67</v>
      </c>
      <c r="E7" s="35">
        <f>($B$5/2)*$B$53+(0)</f>
        <v>29</v>
      </c>
      <c r="F7" s="35">
        <f>(-$B$8/2)*$B$53+(-38)</f>
        <v>-43.5769230769231</v>
      </c>
      <c r="G7" s="35">
        <f>($B$9/2)*$B$53+(0)</f>
        <v>5.57692307692308</v>
      </c>
      <c r="H7" s="35">
        <f>IF($B$39=1,(-$B$4/2-$B$50)*$B$53+(-38),999)</f>
        <v>999</v>
      </c>
      <c r="I7" s="35">
        <f>IF($B$39=1,(-$B$40/2)*$B$53+(0),999)</f>
        <v>999</v>
      </c>
      <c r="J7" s="35">
        <f>IF($B$39=1,($B$4/2+$B$50)*$B$53+(-38),999)</f>
        <v>999</v>
      </c>
      <c r="K7" s="35">
        <f>IF($B$39=1,(-$B$40/2)*$B$53+(0),999)</f>
        <v>999</v>
      </c>
      <c r="L7" s="35">
        <f>IF($B$39=1,(-$B$40/2)*$B$53+(-38),999)</f>
        <v>999</v>
      </c>
      <c r="M7" s="35">
        <f>IF($B$39=1,(-$B$5/2-$B$50)*$B$53+(0),999)</f>
        <v>999</v>
      </c>
      <c r="N7" s="35">
        <f>IF($B$39=1,(-$B$40/2)*$B$53+(-38),999)</f>
        <v>999</v>
      </c>
      <c r="O7" s="35">
        <f>IF($B$39=1,($B$5/2+$B$50)*$B$53+(0),999)</f>
        <v>999</v>
      </c>
      <c r="P7" s="35">
        <f>IF(AND($B$18&gt;0),(IF(0&lt;$B$18,(($B$22-1)/2*$B$21),IF(MOD($B$18-1,2)=0,(($B$22-1)/2*$B$21),(-(($B$22-1)/2*$B$21)))))*$B$53+(-38),999)</f>
        <v>-11.2307692307692</v>
      </c>
      <c r="Q7" s="35">
        <f>IF(AND($B$18&gt;0),(IF(0&lt;$B$18,(0-($B$18-1)/2)*$B$17,(($B$18-1)-($B$18-1)/2)*$B$17))*$B$53+(0),999)</f>
        <v>-26.7692307692308</v>
      </c>
      <c r="R7" s="35">
        <f>IF(AND($B$22&gt;0),(IF(0&lt;$B$22,(0-($B$22-1)/2)*$B$21,(($B$22-1)-($B$22-1)/2)*$B$21))*$B$53+(-38),999)</f>
        <v>-64.7692307692308</v>
      </c>
      <c r="S7" s="35">
        <f>IF(AND($B$22&gt;0),(IF(0&lt;$B$22,(($B$18-1)/2*$B$17),IF(MOD($B$22-1,2)=0,(($B$18-1)/2*$B$17),(-(($B$18-1)/2*$B$17)))))*$B$53+(0),999)</f>
        <v>26.7692307692308</v>
      </c>
      <c r="T7" s="35">
        <f>IF(AND($B$30&gt;0,$B$29&gt;0),(IF(0&lt;$B$30,(($B$31-1)/2*$B$29),IF(MOD($B$30-1,2)=0,(($B$31-1)/2*$B$29),(-(($B$31-1)/2*$B$29)))))*$B$53+(-38),999)</f>
        <v>999</v>
      </c>
      <c r="U7" s="35">
        <f>IF(AND($B$30&gt;0,$B$29&gt;0),(IF(0&lt;$B$30,(0-($B$30-1)/2)*$B$29,(($B$30-1)-($B$30-1)/2)*$B$29))*$B$53+(0),999)</f>
        <v>999</v>
      </c>
      <c r="V7" s="35">
        <f>IF(AND($B$31&gt;0,$B$29&gt;0),(IF(0&lt;$B$31,(0-($B$31-1)/2)*$B$29,(($B$31-1)-($B$31-1)/2)*$B$29))*$B$53+(-38),999)</f>
        <v>999</v>
      </c>
      <c r="W7" s="35">
        <f>IF(AND($B$31&gt;0,$B$29&gt;0),(IF(0&lt;$B$31,(($B$30-1)/2*$B$29),IF(MOD($B$31-1,2)=0,(($B$30-1)/2*$B$29),(-(($B$30-1)/2*$B$29)))))*$B$53+(0),999)</f>
        <v>999</v>
      </c>
      <c r="AV7" s="35">
        <f>(-$B$4/2)*$B$54+(0)</f>
        <v>-28</v>
      </c>
      <c r="AW7" s="35">
        <f>($B$5/2)*$B$54+(0)</f>
        <v>28</v>
      </c>
      <c r="AX7" s="35">
        <f>(-$B$8/2)*$B$54+(0)</f>
        <v>-5.38461538461538</v>
      </c>
      <c r="AY7" s="35">
        <f>($B$9/2)*$B$54+(0)</f>
        <v>5.38461538461538</v>
      </c>
      <c r="AZ7" s="35">
        <f>IF($B$39=1,(-$B$4/2-$B$50)*$B$54+(0),999)</f>
        <v>999</v>
      </c>
      <c r="BA7" s="35">
        <f>IF($B$39=1,(-$B$40/2)*$B$54+(0),999)</f>
        <v>999</v>
      </c>
      <c r="BB7" s="35">
        <f>IF($B$39=1,($B$4/2+$B$50)*$B$54+(0),999)</f>
        <v>999</v>
      </c>
      <c r="BC7" s="35">
        <f>IF($B$39=1,(-$B$40/2)*$B$54+(0),999)</f>
        <v>999</v>
      </c>
      <c r="BD7" s="35">
        <f>IF($B$39=1,(-$B$40/2)*$B$54+(0),999)</f>
        <v>999</v>
      </c>
      <c r="BE7" s="35">
        <f>IF($B$39=1,(-$B$5/2-$B$50)*$B$54+(0),999)</f>
        <v>999</v>
      </c>
      <c r="BF7" s="35">
        <f>IF($B$39=1,(-$B$40/2)*$B$54+(0),999)</f>
        <v>999</v>
      </c>
      <c r="BG7" s="35">
        <f>IF($B$39=1,($B$5/2+$B$50)*$B$54+(0),999)</f>
        <v>999</v>
      </c>
      <c r="BL7" s="35">
        <f>(-$B$4/2)*$B$54+(0)-1</f>
        <v>-29</v>
      </c>
      <c r="BM7" s="35">
        <f>(-($B$5/2+$B$50)*$B$54-6)-1</f>
        <v>-35</v>
      </c>
      <c r="BN7" s="35">
        <f>(-($B$4/2+$B$50)*$B$54-6)-1</f>
        <v>-35</v>
      </c>
      <c r="BO7" s="35">
        <f>(-$B$5/2)*$B$54+(0)-1</f>
        <v>-29</v>
      </c>
      <c r="BP7" s="35">
        <f>(-$B$4/2)*$B$54+(0)-1</f>
        <v>-29</v>
      </c>
      <c r="BQ7" s="35">
        <f>(($B$5/2+$B$50)*$B$54+5)-1</f>
        <v>32</v>
      </c>
      <c r="BR7" s="35">
        <f>(-$B$8/2)*$B$54+(0)-1</f>
        <v>-6.38461538461538</v>
      </c>
      <c r="BS7" s="35">
        <f>(($B$5/2+$B$50)*$B$54+5)-1</f>
        <v>32</v>
      </c>
      <c r="BT7" s="35">
        <f>($B$8/2)*$B$54+(0)-1</f>
        <v>4.38461538461538</v>
      </c>
      <c r="BU7" s="35">
        <f>(($B$5/2+$B$50)*$B$54+5)-1</f>
        <v>32</v>
      </c>
      <c r="BV7" s="35">
        <f>IF($B$38=1,(($B$4/2+$B$50)*$B$54+5)-1,999)</f>
        <v>32</v>
      </c>
      <c r="BW7" s="35">
        <f>IF($B$38=1,(-$B$5/2)*$B$54+(0)-1,999)</f>
        <v>-29</v>
      </c>
      <c r="BX7" s="35">
        <f>IF($B$38=1,(($B$4/2+$B$50)*$B$54+5)-1,999)</f>
        <v>32</v>
      </c>
      <c r="BY7" s="35">
        <f>IF($B$38=1,(-$B$9/2)*$B$54+(0)-1,999)</f>
        <v>-6.38461538461538</v>
      </c>
      <c r="BZ7" s="35">
        <f>IF($B$38=1,(($B$4/2+$B$50)*$B$54+5)-1,999)</f>
        <v>32</v>
      </c>
      <c r="CA7" s="35">
        <f>IF($B$38=1,($B$9/2)*$B$54+(0)-1,999)</f>
        <v>4.38461538461538</v>
      </c>
      <c r="CF7" s="35">
        <f>(-$B$4/2)*$B$57+(-37)</f>
        <v>-64.34375</v>
      </c>
      <c r="CG7" s="35">
        <f>(($B$6)-$B$59)*$B$57+(0)</f>
        <v>-6.31009615384615</v>
      </c>
      <c r="CH7" s="35">
        <f>(-$B$8/2)*$B$57+(-37)</f>
        <v>-42.2584134615385</v>
      </c>
      <c r="CI7" s="35">
        <f>(($B$6+$B$11)-$B$59)*$B$57+(0)</f>
        <v>17.8786057692308</v>
      </c>
      <c r="CJ7" s="35">
        <f>(-$B$4/2-0.05)*$B$57+(-37)</f>
        <v>-65.3954326923077</v>
      </c>
      <c r="CK7" s="35">
        <f>((0)-$B$59)*$B$57+(0)</f>
        <v>-16.8269230769231</v>
      </c>
      <c r="CL7" s="35">
        <f>((-$B$4/2-$B$51)+(-$B$8/2-(-$B$4/2-$B$51))*1/10)*$B$57+(-37)</f>
        <v>-69.0258413461538</v>
      </c>
      <c r="CM7" s="35">
        <f>(($B$7)-$B$59)*$B$57+(0)</f>
        <v>14.7235576923077</v>
      </c>
      <c r="CN7" s="35">
        <f>(($B$8/2)+($B$4/2+$B$51-($B$8/2))*1/10)*$B$57+(-37)</f>
        <v>-28.7674278846154</v>
      </c>
      <c r="CO7" s="35">
        <f>(($B$7)-$B$59)*$B$57+(0)</f>
        <v>14.7235576923077</v>
      </c>
      <c r="CP7" s="35">
        <f>IF($B$39=1,(-($B$4/2+$B$50))*$B$57+(-37),999)</f>
        <v>999</v>
      </c>
      <c r="CQ7" s="35">
        <f>IF($B$39=1,(($B$6)-$B$59)*$B$57+(0),999)</f>
        <v>999</v>
      </c>
      <c r="CR7" s="35">
        <f>IF($B$39=1,(($B$4/2+$B$50))*$B$57+(-37),999)</f>
        <v>999</v>
      </c>
      <c r="CS7" s="35">
        <f>IF($B$39=1,(($B$6)-$B$59)*$B$57+(0),999)</f>
        <v>999</v>
      </c>
      <c r="CT7" s="35">
        <f>($B$4/2-$B$13)*$B$57+(-37)</f>
        <v>-11.2337740384615</v>
      </c>
      <c r="CU7" s="35">
        <f>(($B$23+$B$25)-$B$59)*$B$57+(0)</f>
        <v>-15.0821814903846</v>
      </c>
      <c r="CV7" s="35">
        <f>IF(AND(3&lt;$B$22),((3-($B$22-1)/2)*$B$21)*$B$57+(-37),999)</f>
        <v>-49.6201923076923</v>
      </c>
      <c r="CW7" s="35">
        <f>IF(AND(3&lt;$B$22),(($B$24)-$B$59)*$B$57+(0),999)</f>
        <v>-14.7477463942308</v>
      </c>
      <c r="CZ7" s="35">
        <f>IF(AND(3&lt;$B$31,$B$29&gt;0),((3-($B$31-1)/2)*$B$29)*$B$57+(-37),999)</f>
        <v>999</v>
      </c>
      <c r="DA7" s="35">
        <f>IF(AND(3&lt;$B$31,$B$29&gt;0),(($B$33)-$B$59)*$B$57+(0),999)</f>
        <v>999</v>
      </c>
      <c r="DJ7" s="35">
        <f>IF($B$39=1,((-1)*MIN($B$8/2+0.05+IF(1&lt;INT(($B$49-0.05)/$B$47)+1,1*$B$47,INT(($B$49-0.05)/$B$47)*$B$47+(1-INT(($B$49-0.05)/$B$47))*$B$48),$B$4/2+$B$50-0.05))*$B$57+(-37),999)</f>
        <v>999</v>
      </c>
      <c r="DK7" s="35">
        <f>IF($B$39=1,(($B$6+$B$42)-$B$59)*$B$57+(0),999)</f>
        <v>999</v>
      </c>
      <c r="DL7" s="35">
        <f>IF($B$39=1,((1)*MIN($B$8/2+0.05+IF(1&lt;INT(($B$49-0.05)/$B$47)+1,1*$B$47,INT(($B$49-0.05)/$B$47)*$B$47+(1-INT(($B$49-0.05)/$B$47))*$B$48),$B$4/2+$B$50-0.05))*$B$57+(-37),999)</f>
        <v>999</v>
      </c>
      <c r="DM7" s="35">
        <f>IF($B$39=1,(($B$6+$B$42)-$B$59)*$B$57+(0),999)</f>
        <v>999</v>
      </c>
      <c r="EF7" s="35">
        <f>(-$B$4/2)*$B$58+(0)</f>
        <v>-21.875</v>
      </c>
      <c r="EG7" s="35">
        <f>(($B$6)-$B$59)*$B$58+(0)</f>
        <v>-5.04807692307692</v>
      </c>
      <c r="EH7" s="35">
        <f>(-$B$8/2)*$B$58+(0)</f>
        <v>-4.20673076923077</v>
      </c>
      <c r="EI7" s="35">
        <f>(($B$6+$B$11)-$B$59)*$B$58+(0)</f>
        <v>14.3028846153846</v>
      </c>
      <c r="EJ7" s="35">
        <f>(-$B$4/2-0.05)*$B$58+(0)</f>
        <v>-22.7163461538462</v>
      </c>
      <c r="EK7" s="35">
        <f>((0)-$B$59)*$B$58+(0)</f>
        <v>-13.4615384615385</v>
      </c>
      <c r="EL7" s="35">
        <f>((-$B$4/2-$B$51)+(-$B$8/2-(-$B$4/2-$B$51))*1/10)*$B$58+(0)</f>
        <v>-25.6206730769231</v>
      </c>
      <c r="EM7" s="35">
        <f>(($B$7)-$B$59)*$B$58+(0)</f>
        <v>11.7788461538462</v>
      </c>
      <c r="EN7" s="35">
        <f>(($B$8/2)+($B$4/2+$B$51-($B$8/2))*1/10)*$B$58+(0)</f>
        <v>6.58605769230769</v>
      </c>
      <c r="EO7" s="35">
        <f>(($B$7)-$B$59)*$B$58+(0)</f>
        <v>11.7788461538462</v>
      </c>
      <c r="EP7" s="35">
        <f>IF($B$39=1,(-($B$4/2+$B$50))*$B$58+(0),999)</f>
        <v>999</v>
      </c>
      <c r="EQ7" s="35">
        <f>IF($B$39=1,(($B$6)-$B$59)*$B$58+(0),999)</f>
        <v>999</v>
      </c>
      <c r="ER7" s="35">
        <f>IF($B$39=1,(($B$4/2+$B$50))*$B$58+(0),999)</f>
        <v>999</v>
      </c>
      <c r="ES7" s="35">
        <f>IF($B$39=1,(($B$6)-$B$59)*$B$58+(0),999)</f>
        <v>999</v>
      </c>
      <c r="ET7" s="35">
        <f>(-$B$4/2)*$B$58+(0)-1</f>
        <v>-22.875</v>
      </c>
      <c r="EU7" s="35">
        <f>((-0.05-$B$59)*$B$58-6)-1</f>
        <v>-21.3028846153846</v>
      </c>
      <c r="EV7" s="35">
        <f>(-($B$4/2+$B$51)*$B$58-5)-1</f>
        <v>-34</v>
      </c>
      <c r="EW7" s="35">
        <f>((0)-$B$59)*$B$58+(0)-1</f>
        <v>-14.4615384615385</v>
      </c>
      <c r="EX7" s="35">
        <f>(($B$4/2+$B$51)*$B$58+5)-1</f>
        <v>32</v>
      </c>
      <c r="EY7" s="35">
        <f>((0)-$B$59)*$B$58+(0)-1</f>
        <v>-14.4615384615385</v>
      </c>
      <c r="EZ7" s="35">
        <f>IF($B$38=1,($B$8/2*$B$58+5)-1,999)</f>
        <v>8.20673076923077</v>
      </c>
      <c r="FA7" s="35">
        <f>IF($B$38=1,(($B$6)-$B$59)*$B$58+(0)-1,999)</f>
        <v>-6.04807692307692</v>
      </c>
      <c r="FB7" s="35">
        <f>(-$B$8/2)*$B$58+(0)-1</f>
        <v>-5.20673076923077</v>
      </c>
      <c r="FC7" s="35">
        <f>(($B$6+$B$11-$B$59)*$B$58+5)-1</f>
        <v>18.3028846153846</v>
      </c>
      <c r="FD7" s="35">
        <f>IF($B$39=1,(($B$4/2+$B$50)*$B$58+4)-1,999)</f>
        <v>999</v>
      </c>
      <c r="FE7" s="35">
        <f>IF($B$39=1,(($B$6)-$B$59)*$B$58+(0)-1,999)</f>
        <v>999</v>
      </c>
      <c r="FF7" s="35">
        <f>IF($B$39=1,(-$B$40/2)*$B$60+(-40),999)</f>
        <v>999</v>
      </c>
      <c r="FG7" s="35">
        <f>IF($B$39=1,(($B$41)-$B$61)*$B$60+(0),999)</f>
        <v>999</v>
      </c>
      <c r="FH7" s="35">
        <f>IF($B$39=1,($B$40/2-($B$42+$B$44/2))*$B$60+(-40),999)</f>
        <v>999</v>
      </c>
      <c r="FI7" s="35">
        <f>IF($B$39=1,((($B$42+$B$44/2))-$B$61)*$B$60+(0),999)</f>
        <v>999</v>
      </c>
      <c r="FJ7" s="35">
        <f>IF(AND(3&lt;$B$45,$B$39=1),((3-($B$45-1)/2)*(2*($B$40/2-$B$42-$B$44-$B$43/2)/MAX(1,$B$45-1)))*$B$60+(-40),999)</f>
        <v>999</v>
      </c>
      <c r="FK7" s="35">
        <f>IF(AND(3&lt;$B$45,$B$39=1),(($B$41-$B$42-$B$44-$B$43/2)-$B$61)*$B$60+(0),999)</f>
        <v>999</v>
      </c>
      <c r="FL7" s="35">
        <f>IF(AND(3&lt;$B$46,$B$39=1),((3-($B$46-1)/2)*(2*($B$40/2-$B$42-$B$44-$B$43/2)/MAX(1,$B$46-1)))*$B$60+(-40),999)</f>
        <v>999</v>
      </c>
      <c r="FM7" s="35">
        <f>IF(AND(3&lt;$B$46,$B$39=1),(($B$42+$B$44+$B$43/2)-$B$61)*$B$60+(0),999)</f>
        <v>999</v>
      </c>
      <c r="FN7" s="35">
        <f>IF($B$39=1,(-$B$40/2)*$B$60+(-40)-1,999)</f>
        <v>999</v>
      </c>
      <c r="FO7" s="35">
        <f>IF($B$39=1,((0-$B$61)*$B$60-6)-1,999)</f>
        <v>999</v>
      </c>
      <c r="FP7" s="35">
        <f>IF($B$39=1,(-$B$40/2*$B$60-40-6)-1,999)</f>
        <v>999</v>
      </c>
      <c r="FQ7" s="35">
        <f>IF($B$39=1,((0)-$B$61)*$B$60+(0)-1,999)</f>
        <v>999</v>
      </c>
      <c r="FZ7" s="35">
        <f>IF(3&lt;$B$81,CHOOSE(INT(3/($B$81/4))+1,-$B$37+2*$B$37*MOD(3,($B$81/4))/($B$81/4),$B$37,$B$37-2*$B$37*MOD(3,($B$81/4))/($B$81/4),-$B$37)*$B$53+(-38),999)</f>
        <v>-33.7515</v>
      </c>
      <c r="GA7" s="35">
        <f>IF(3&lt;$B$81,CHOOSE(INT(3/($B$81/4))+1,-$B$82,-$B$82+2*$B$82*MOD(3,($B$81/4))/($B$81/4),$B$82,$B$82-2*$B$82*MOD(3,($B$81/4))/($B$81/4))*$B$53+(0),999)</f>
        <v>0</v>
      </c>
      <c r="GB7" s="35">
        <f>IF($B$38=1,(-1*($B$37+0.025))*$B$53+(-38),999)</f>
        <v>-42.8061923076923</v>
      </c>
      <c r="GC7" s="35">
        <f>IF($B$38=1,(1*($B$82+0.025))*$B$53+(0),999)</f>
        <v>4.80619230769231</v>
      </c>
      <c r="GF7" s="35">
        <f>IF($B$80&gt;0,(IF(MOD(MIN(INT(3/2),$B$80-1),2)=0,1,-1)*IF(IF(INT(3/2)&gt;$B$80-1,1,MOD(3,2))=0,-1,1)*$B$37)*$B$57+(-37),999)</f>
        <v>-41.005859375</v>
      </c>
      <c r="GG7" s="35">
        <f>IF($B$80&gt;0,(($B$6+0.05+MIN(INT(3/2),$B$80-1)*$B$79)-$B$59)*$B$57+(0),999)</f>
        <v>1.0516826923077</v>
      </c>
    </row>
    <row r="8" x14ac:dyDescent="0.3">
      <c r="A8" s="33" t="s">
        <v>1407</v>
      </c>
      <c r="B8" s="34">
        <f>CHOOSE($B$3,DATOS!$C$64,DATOS!$C$64,CORRIDA!$C$10)</f>
        <v>0.5</v>
      </c>
      <c r="D8" s="35">
        <f>(-$B$4/2)*$B$53+(-38)</f>
        <v>-67</v>
      </c>
      <c r="E8" s="35">
        <f>(-$B$5/2)*$B$53+(0)</f>
        <v>-29</v>
      </c>
      <c r="F8" s="35">
        <f>(-$B$8/2)*$B$53+(-38)</f>
        <v>-43.5769230769231</v>
      </c>
      <c r="G8" s="35">
        <f>(-$B$9/2)*$B$53+(0)</f>
        <v>-5.57692307692308</v>
      </c>
      <c r="P8" s="35">
        <f>IF(AND($B$18&gt;0),(IF(1&lt;$B$18,(($B$22-1)/2*$B$21),IF(MOD($B$18-1,2)=0,(($B$22-1)/2*$B$21),(-(($B$22-1)/2*$B$21)))))*$B$53+(-38),999)</f>
        <v>-11.2307692307692</v>
      </c>
      <c r="Q8" s="35">
        <f>IF(AND($B$18&gt;0),(IF(1&lt;$B$18,(1-($B$18-1)/2)*$B$17,(($B$18-1)-($B$18-1)/2)*$B$17))*$B$53+(0),999)</f>
        <v>-22.3076923076923</v>
      </c>
      <c r="R8" s="35">
        <f>IF(AND($B$22&gt;0),(IF(1&lt;$B$22,(1-($B$22-1)/2)*$B$21,(($B$22-1)-($B$22-1)/2)*$B$21))*$B$53+(-38),999)</f>
        <v>-60.3076923076923</v>
      </c>
      <c r="S8" s="35">
        <f>IF(AND($B$22&gt;0),(IF(1&lt;$B$22,(($B$18-1)/2*$B$17),IF(MOD($B$22-1,2)=0,(($B$18-1)/2*$B$17),(-(($B$18-1)/2*$B$17)))))*$B$53+(0),999)</f>
        <v>26.7692307692308</v>
      </c>
      <c r="T8" s="35">
        <f>IF(AND($B$30&gt;0,$B$29&gt;0),(IF(1&lt;$B$30,(($B$31-1)/2*$B$29),IF(MOD($B$30-1,2)=0,(($B$31-1)/2*$B$29),(-(($B$31-1)/2*$B$29)))))*$B$53+(-38),999)</f>
        <v>999</v>
      </c>
      <c r="U8" s="35">
        <f>IF(AND($B$30&gt;0,$B$29&gt;0),(IF(1&lt;$B$30,(1-($B$30-1)/2)*$B$29,(($B$30-1)-($B$30-1)/2)*$B$29))*$B$53+(0),999)</f>
        <v>999</v>
      </c>
      <c r="V8" s="35">
        <f>IF(AND($B$31&gt;0,$B$29&gt;0),(IF(1&lt;$B$31,(1-($B$31-1)/2)*$B$29,(($B$31-1)-($B$31-1)/2)*$B$29))*$B$53+(-38),999)</f>
        <v>999</v>
      </c>
      <c r="W8" s="35">
        <f>IF(AND($B$31&gt;0,$B$29&gt;0),(IF(1&lt;$B$31,(($B$30-1)/2*$B$29),IF(MOD($B$31-1,2)=0,(($B$30-1)/2*$B$29),(-(($B$30-1)/2*$B$29)))))*$B$53+(0),999)</f>
        <v>999</v>
      </c>
      <c r="AV8" s="35">
        <f>(-$B$4/2)*$B$54+(0)</f>
        <v>-28</v>
      </c>
      <c r="AW8" s="35">
        <f>(-$B$5/2)*$B$54+(0)</f>
        <v>-28</v>
      </c>
      <c r="AX8" s="35">
        <f>(-$B$8/2)*$B$54+(0)</f>
        <v>-5.38461538461538</v>
      </c>
      <c r="AY8" s="35">
        <f>(-$B$9/2)*$B$54+(0)</f>
        <v>-5.38461538461538</v>
      </c>
      <c r="BL8" s="35">
        <f>(-$B$4/2)*$B$54+(0)+1</f>
        <v>-27</v>
      </c>
      <c r="BM8" s="35">
        <f>(-($B$5/2+$B$50)*$B$54-6)+1</f>
        <v>-33</v>
      </c>
      <c r="BN8" s="35">
        <f>(-($B$4/2+$B$50)*$B$54-6)+1</f>
        <v>-33</v>
      </c>
      <c r="BO8" s="35">
        <f>(-$B$5/2)*$B$54+(0)+1</f>
        <v>-27</v>
      </c>
      <c r="BP8" s="35">
        <f>(-$B$4/2)*$B$54+(0)+1</f>
        <v>-27</v>
      </c>
      <c r="BQ8" s="35">
        <f>(($B$5/2+$B$50)*$B$54+5)+1</f>
        <v>34</v>
      </c>
      <c r="BR8" s="35">
        <f>(-$B$8/2)*$B$54+(0)+1</f>
        <v>-4.38461538461538</v>
      </c>
      <c r="BS8" s="35">
        <f>(($B$5/2+$B$50)*$B$54+5)+1</f>
        <v>34</v>
      </c>
      <c r="BT8" s="35">
        <f>($B$8/2)*$B$54+(0)+1</f>
        <v>6.38461538461538</v>
      </c>
      <c r="BU8" s="35">
        <f>(($B$5/2+$B$50)*$B$54+5)+1</f>
        <v>34</v>
      </c>
      <c r="BV8" s="35">
        <f>IF($B$38=1,(($B$4/2+$B$50)*$B$54+5)+1,999)</f>
        <v>34</v>
      </c>
      <c r="BW8" s="35">
        <f>IF($B$38=1,(-$B$5/2)*$B$54+(0)+1,999)</f>
        <v>-27</v>
      </c>
      <c r="BX8" s="35">
        <f>IF($B$38=1,(($B$4/2+$B$50)*$B$54+5)+1,999)</f>
        <v>34</v>
      </c>
      <c r="BY8" s="35">
        <f>IF($B$38=1,(-$B$9/2)*$B$54+(0)+1,999)</f>
        <v>-4.38461538461538</v>
      </c>
      <c r="BZ8" s="35">
        <f>IF($B$38=1,(($B$4/2+$B$50)*$B$54+5)+1,999)</f>
        <v>34</v>
      </c>
      <c r="CA8" s="35">
        <f>IF($B$38=1,($B$9/2)*$B$54+(0)+1,999)</f>
        <v>6.38461538461538</v>
      </c>
      <c r="CF8" s="35">
        <f>(-$B$4/2)*$B$57+(-37)</f>
        <v>-64.34375</v>
      </c>
      <c r="CG8" s="35">
        <f>((0)-$B$59)*$B$57+(0)</f>
        <v>-16.8269230769231</v>
      </c>
      <c r="CH8" s="35">
        <f>(-$B$8/2)*$B$57+(-37)</f>
        <v>-42.2584134615385</v>
      </c>
      <c r="CI8" s="35">
        <f>(($B$6)-$B$59)*$B$57+(0)</f>
        <v>-6.31009615384615</v>
      </c>
      <c r="CJ8" s="35">
        <f>(-$B$4/2-0.05)*$B$57+(-37)</f>
        <v>-65.3954326923077</v>
      </c>
      <c r="CK8" s="35">
        <f>((-0.05)-$B$59)*$B$57+(0)</f>
        <v>-17.8786057692308</v>
      </c>
      <c r="CL8" s="35">
        <f>((-$B$4/2-$B$51)+(-$B$8/2-(-$B$4/2-$B$51))*1/10)*$B$57+(-37)-1.2</f>
        <v>-70.2258413461538</v>
      </c>
      <c r="CM8" s="35">
        <f>(($B$7)-$B$59)*$B$57+(0)-1.2</f>
        <v>13.5235576923077</v>
      </c>
      <c r="CN8" s="35">
        <f>(($B$8/2)+($B$4/2+$B$51-($B$8/2))*1/10)*$B$57+(-37)-1.2</f>
        <v>-29.9674278846154</v>
      </c>
      <c r="CO8" s="35">
        <f>(($B$7)-$B$59)*$B$57+(0)-1.2</f>
        <v>13.5235576923077</v>
      </c>
      <c r="CP8" s="35">
        <f>IF($B$39=1,(-($B$4/2+$B$50))*$B$57+(-37),999)</f>
        <v>999</v>
      </c>
      <c r="CQ8" s="35">
        <f>IF($B$39=1,(($B$6+0.4*$B$41)-$B$59)*$B$57+(0),999)</f>
        <v>999</v>
      </c>
      <c r="CR8" s="35">
        <f>IF($B$39=1,(($B$4/2+$B$50))*$B$57+(-37),999)</f>
        <v>999</v>
      </c>
      <c r="CS8" s="35">
        <f>IF($B$39=1,(($B$6+0.4*$B$41)-$B$59)*$B$57+(0),999)</f>
        <v>999</v>
      </c>
      <c r="CV8" s="35">
        <f>IF(AND(4&lt;$B$22),((4-($B$22-1)/2)*$B$21)*$B$57+(-37),999)</f>
        <v>-45.4134615384615</v>
      </c>
      <c r="CW8" s="35">
        <f>IF(AND(4&lt;$B$22),(($B$24)-$B$59)*$B$57+(0),999)</f>
        <v>-14.7477463942308</v>
      </c>
      <c r="CZ8" s="35">
        <f>IF(AND(4&lt;$B$31,$B$29&gt;0),((4-($B$31-1)/2)*$B$29)*$B$57+(-37),999)</f>
        <v>999</v>
      </c>
      <c r="DA8" s="35">
        <f>IF(AND(4&lt;$B$31,$B$29&gt;0),(($B$33)-$B$59)*$B$57+(0),999)</f>
        <v>999</v>
      </c>
      <c r="DJ8" s="35">
        <f>IF($B$39=1,((-1)*MIN($B$8/2+0.05+IF(2&lt;INT(($B$49-0.05)/$B$47)+1,2*$B$47,INT(($B$49-0.05)/$B$47)*$B$47+(2-INT(($B$49-0.05)/$B$47))*$B$48),$B$4/2+$B$50-0.05))*$B$57+(-37),999)</f>
        <v>999</v>
      </c>
      <c r="DK8" s="35">
        <f>IF($B$39=1,(($B$6+$B$42)-$B$59)*$B$57+(0),999)</f>
        <v>999</v>
      </c>
      <c r="DL8" s="35">
        <f>IF($B$39=1,((1)*MIN($B$8/2+0.05+IF(2&lt;INT(($B$49-0.05)/$B$47)+1,2*$B$47,INT(($B$49-0.05)/$B$47)*$B$47+(2-INT(($B$49-0.05)/$B$47))*$B$48),$B$4/2+$B$50-0.05))*$B$57+(-37),999)</f>
        <v>999</v>
      </c>
      <c r="DM8" s="35">
        <f>IF($B$39=1,(($B$6+$B$42)-$B$59)*$B$57+(0),999)</f>
        <v>999</v>
      </c>
      <c r="EF8" s="35">
        <f>(-$B$4/2)*$B$58+(0)</f>
        <v>-21.875</v>
      </c>
      <c r="EG8" s="35">
        <f>((0)-$B$59)*$B$58+(0)</f>
        <v>-13.4615384615385</v>
      </c>
      <c r="EH8" s="35">
        <f>(-$B$8/2)*$B$58+(0)</f>
        <v>-4.20673076923077</v>
      </c>
      <c r="EI8" s="35">
        <f>(($B$6)-$B$59)*$B$58+(0)</f>
        <v>-5.04807692307692</v>
      </c>
      <c r="EJ8" s="35">
        <f>(-$B$4/2-0.05)*$B$58+(0)</f>
        <v>-22.7163461538462</v>
      </c>
      <c r="EK8" s="35">
        <f>((-0.05)-$B$59)*$B$58+(0)</f>
        <v>-14.3028846153846</v>
      </c>
      <c r="EL8" s="35">
        <f>((-$B$4/2-$B$51)+(-$B$8/2-(-$B$4/2-$B$51))*1/10)*$B$58+(0)-1.2</f>
        <v>-26.8206730769231</v>
      </c>
      <c r="EM8" s="35">
        <f>(($B$7)-$B$59)*$B$58+(0)-1.2</f>
        <v>10.5788461538462</v>
      </c>
      <c r="EN8" s="35">
        <f>(($B$8/2)+($B$4/2+$B$51-($B$8/2))*1/10)*$B$58+(0)-1.2</f>
        <v>5.38605769230769</v>
      </c>
      <c r="EO8" s="35">
        <f>(($B$7)-$B$59)*$B$58+(0)-1.2</f>
        <v>10.5788461538462</v>
      </c>
      <c r="EP8" s="35">
        <f>IF($B$39=1,(-($B$4/2+$B$50))*$B$58+(0),999)</f>
        <v>999</v>
      </c>
      <c r="EQ8" s="35">
        <f>IF($B$39=1,(($B$6+$B$41)-$B$59)*$B$58+(0),999)</f>
        <v>999</v>
      </c>
      <c r="ER8" s="35">
        <f>IF($B$39=1,(($B$4/2+$B$50))*$B$58+(0),999)</f>
        <v>999</v>
      </c>
      <c r="ES8" s="35">
        <f>IF($B$39=1,(($B$6+$B$41)-$B$59)*$B$58+(0),999)</f>
        <v>999</v>
      </c>
      <c r="ET8" s="35">
        <f>(-$B$4/2)*$B$58+(0)+1</f>
        <v>-20.875</v>
      </c>
      <c r="EU8" s="35">
        <f>((-0.05-$B$59)*$B$58-6)+1</f>
        <v>-19.3028846153846</v>
      </c>
      <c r="EV8" s="35">
        <f>(-($B$4/2+$B$51)*$B$58-5)+1</f>
        <v>-32</v>
      </c>
      <c r="EW8" s="35">
        <f>((0)-$B$59)*$B$58+(0)+1</f>
        <v>-12.4615384615385</v>
      </c>
      <c r="EX8" s="35">
        <f>(($B$4/2+$B$51)*$B$58+5)+1</f>
        <v>34</v>
      </c>
      <c r="EY8" s="35">
        <f>((0)-$B$59)*$B$58+(0)+1</f>
        <v>-12.4615384615385</v>
      </c>
      <c r="EZ8" s="35">
        <f>IF($B$38=1,($B$8/2*$B$58+5)+1,999)</f>
        <v>10.2067307692308</v>
      </c>
      <c r="FA8" s="35">
        <f>IF($B$38=1,(($B$6)-$B$59)*$B$58+(0)+1,999)</f>
        <v>-4.04807692307692</v>
      </c>
      <c r="FB8" s="35">
        <f>(-$B$8/2)*$B$58+(0)+1</f>
        <v>-3.20673076923077</v>
      </c>
      <c r="FC8" s="35">
        <f>(($B$6+$B$11-$B$59)*$B$58+5)+1</f>
        <v>20.3028846153846</v>
      </c>
      <c r="FD8" s="35">
        <f>IF($B$39=1,(($B$4/2+$B$50)*$B$58+4)+1,999)</f>
        <v>999</v>
      </c>
      <c r="FE8" s="35">
        <f>IF($B$39=1,(($B$6)-$B$59)*$B$58+(0)+1,999)</f>
        <v>999</v>
      </c>
      <c r="FF8" s="35">
        <f>IF($B$39=1,(-$B$40/2)*$B$60+(-40),999)</f>
        <v>999</v>
      </c>
      <c r="FG8" s="35">
        <f>IF($B$39=1,((0)-$B$61)*$B$60+(0),999)</f>
        <v>999</v>
      </c>
      <c r="FH8" s="35">
        <f>IF($B$39=1,(-$B$40/2+($B$42+$B$44/2))*$B$60+(-40),999)</f>
        <v>999</v>
      </c>
      <c r="FI8" s="35">
        <f>IF($B$39=1,((($B$42+$B$44/2))-$B$61)*$B$60+(0),999)</f>
        <v>999</v>
      </c>
      <c r="FJ8" s="35">
        <f>IF(AND(4&lt;$B$45,$B$39=1),((4-($B$45-1)/2)*(2*($B$40/2-$B$42-$B$44-$B$43/2)/MAX(1,$B$45-1)))*$B$60+(-40),999)</f>
        <v>999</v>
      </c>
      <c r="FK8" s="35">
        <f>IF(AND(4&lt;$B$45,$B$39=1),(($B$41-$B$42-$B$44-$B$43/2)-$B$61)*$B$60+(0),999)</f>
        <v>999</v>
      </c>
      <c r="FL8" s="35">
        <f>IF(AND(4&lt;$B$46,$B$39=1),((4-($B$46-1)/2)*(2*($B$40/2-$B$42-$B$44-$B$43/2)/MAX(1,$B$46-1)))*$B$60+(-40),999)</f>
        <v>999</v>
      </c>
      <c r="FM8" s="35">
        <f>IF(AND(4&lt;$B$46,$B$39=1),(($B$42+$B$44+$B$43/2)-$B$61)*$B$60+(0),999)</f>
        <v>999</v>
      </c>
      <c r="FN8" s="35">
        <f>IF($B$39=1,(-$B$40/2)*$B$60+(-40)+1,999)</f>
        <v>999</v>
      </c>
      <c r="FO8" s="35">
        <f>IF($B$39=1,((0-$B$61)*$B$60-6)+1,999)</f>
        <v>999</v>
      </c>
      <c r="FP8" s="35">
        <f>IF($B$39=1,(-$B$40/2*$B$60-40-6)+1,999)</f>
        <v>999</v>
      </c>
      <c r="FQ8" s="35">
        <f>IF($B$39=1,((0)-$B$61)*$B$60+(0)+1,999)</f>
        <v>999</v>
      </c>
      <c r="FZ8" s="35">
        <f>IF(4&lt;$B$81,CHOOSE(INT(4/($B$81/4))+1,-$B$37+2*$B$37*MOD(4,($B$81/4))/($B$81/4),$B$37,$B$37-2*$B$37*MOD(4,($B$81/4))/($B$81/4),-$B$37)*$B$53+(-38),999)</f>
        <v>-33.7515</v>
      </c>
      <c r="GA8" s="35">
        <f>IF(4&lt;$B$81,CHOOSE(INT(4/($B$81/4))+1,-$B$82,-$B$82+2*$B$82*MOD(4,($B$81/4))/($B$81/4),$B$82,$B$82-2*$B$82*MOD(4,($B$81/4))/($B$81/4))*$B$53+(0),999)</f>
        <v>4.2485</v>
      </c>
      <c r="GB8" s="35">
        <f>IF($B$38=1,(-1*($B$37+0.025))*$B$53+(-38),999)</f>
        <v>-42.8061923076923</v>
      </c>
      <c r="GC8" s="35">
        <f>IF($B$38=1,(-1*($B$82+0.025))*$B$53+(0),999)</f>
        <v>-4.80619230769231</v>
      </c>
      <c r="GF8" s="35">
        <f>IF($B$80&gt;0,(IF(MOD(MIN(INT(4/2),$B$80-1),2)=0,1,-1)*IF(IF(INT(4/2)&gt;$B$80-1,1,MOD(4,2))=0,-1,1)*$B$37)*$B$57+(-37),999)</f>
        <v>-41.005859375</v>
      </c>
      <c r="GG8" s="35">
        <f>IF($B$80&gt;0,(($B$6+0.05+MIN(INT(4/2),$B$80-1)*$B$79)-$B$59)*$B$57+(0),999)</f>
        <v>7.36177884615385</v>
      </c>
    </row>
    <row r="9" x14ac:dyDescent="0.3">
      <c r="A9" s="33" t="s">
        <v>1408</v>
      </c>
      <c r="B9" s="34">
        <f>CHOOSE($B$3,DATOS!$C$65,DATOS!$C$65,CORRIDA!$C$15)</f>
        <v>0.5</v>
      </c>
      <c r="P9" s="35">
        <f>IF(AND($B$18&gt;0),(IF(1&lt;$B$18,($B$4/2-$B$13),IF(MOD($B$18-1,2)=0,(($B$22-1)/2*$B$21),(-(($B$22-1)/2*$B$21)))))*$B$53+(-38),999)</f>
        <v>-10.6730769230769</v>
      </c>
      <c r="Q9" s="35">
        <f>IF(AND($B$18&gt;0),(IF(1&lt;$B$18,(1-($B$18-1)/2)*$B$17,(($B$18-1)-($B$18-1)/2)*$B$17))*$B$53+(0),999)</f>
        <v>-22.3076923076923</v>
      </c>
      <c r="R9" s="35">
        <f>IF(AND($B$22&gt;0),(IF(1&lt;$B$22,(1-($B$22-1)/2)*$B$21,(($B$22-1)-($B$22-1)/2)*$B$21))*$B$53+(-38),999)</f>
        <v>-60.3076923076923</v>
      </c>
      <c r="S9" s="35">
        <f>IF(AND($B$22&gt;0),(IF(1&lt;$B$22,($B$5/2-IF($B$3=3,0,$B$13)),IF(MOD($B$22-1,2)=0,(($B$18-1)/2*$B$17),(-(($B$18-1)/2*$B$17)))))*$B$53+(0),999)</f>
        <v>27.3269230769231</v>
      </c>
      <c r="T9" s="35">
        <f>IF(AND($B$30&gt;0,$B$29&gt;0),(IF(1&lt;$B$30,($B$4/2-$B$13),IF(MOD($B$30-1,2)=0,(($B$31-1)/2*$B$29),(-(($B$31-1)/2*$B$29)))))*$B$53+(-38),999)</f>
        <v>999</v>
      </c>
      <c r="U9" s="35">
        <f>IF(AND($B$30&gt;0,$B$29&gt;0),(IF(1&lt;$B$30,(1-($B$30-1)/2)*$B$29,(($B$30-1)-($B$30-1)/2)*$B$29))*$B$53+(0),999)</f>
        <v>999</v>
      </c>
      <c r="V9" s="35">
        <f>IF(AND($B$31&gt;0,$B$29&gt;0),(IF(1&lt;$B$31,(1-($B$31-1)/2)*$B$29,(($B$31-1)-($B$31-1)/2)*$B$29))*$B$53+(-38),999)</f>
        <v>999</v>
      </c>
      <c r="W9" s="35">
        <f>IF(AND($B$31&gt;0,$B$29&gt;0),(IF(1&lt;$B$31,($B$5/2-$B$13),IF(MOD($B$31-1,2)=0,(($B$30-1)/2*$B$29),(-(($B$30-1)/2*$B$29)))))*$B$53+(0),999)</f>
        <v>999</v>
      </c>
      <c r="BL9" s="35">
        <f>(-$B$4/2)*$B$54+(0)</f>
        <v>-28</v>
      </c>
      <c r="BM9" s="35">
        <f>(-($B$5/2+$B$50)*$B$54-6)</f>
        <v>-34</v>
      </c>
      <c r="BN9" s="35">
        <f>(-($B$4/2+$B$50)*$B$54-6)</f>
        <v>-34</v>
      </c>
      <c r="BO9" s="35">
        <f>(-$B$5/2)*$B$54+(0)</f>
        <v>-28</v>
      </c>
      <c r="BP9" s="35">
        <f>(-$B$4/2)*$B$54+(0)</f>
        <v>-28</v>
      </c>
      <c r="BQ9" s="35">
        <f>(($B$5/2+$B$50)*$B$54+5)</f>
        <v>33</v>
      </c>
      <c r="BR9" s="35">
        <f>(-$B$8/2)*$B$54+(0)</f>
        <v>-5.38461538461538</v>
      </c>
      <c r="BS9" s="35">
        <f>(($B$5/2+$B$50)*$B$54+5)</f>
        <v>33</v>
      </c>
      <c r="BT9" s="35">
        <f>($B$8/2)*$B$54+(0)</f>
        <v>5.38461538461538</v>
      </c>
      <c r="BU9" s="35">
        <f>(($B$5/2+$B$50)*$B$54+5)</f>
        <v>33</v>
      </c>
      <c r="BV9" s="35">
        <f>IF($B$38=1,(($B$4/2+$B$50)*$B$54+5),999)</f>
        <v>33</v>
      </c>
      <c r="BW9" s="35">
        <f>IF($B$38=1,(-$B$5/2)*$B$54+(0),999)</f>
        <v>-28</v>
      </c>
      <c r="BX9" s="35">
        <f>IF($B$38=1,(($B$4/2+$B$50)*$B$54+5),999)</f>
        <v>33</v>
      </c>
      <c r="BY9" s="35">
        <f>IF($B$38=1,(-$B$9/2)*$B$54+(0),999)</f>
        <v>-5.38461538461538</v>
      </c>
      <c r="BZ9" s="35">
        <f>IF($B$38=1,(($B$4/2+$B$50)*$B$54+5),999)</f>
        <v>33</v>
      </c>
      <c r="CA9" s="35">
        <f>IF($B$38=1,($B$9/2)*$B$54+(0),999)</f>
        <v>5.38461538461538</v>
      </c>
      <c r="CL9" s="35">
        <f>((-$B$4/2-$B$51)+(-$B$8/2-(-$B$4/2-$B$51))*1/10)*$B$57+(-37)</f>
        <v>-69.0258413461538</v>
      </c>
      <c r="CM9" s="35">
        <f>(($B$7)-$B$59)*$B$57+(0)</f>
        <v>14.7235576923077</v>
      </c>
      <c r="CN9" s="35">
        <f>(($B$8/2)+($B$4/2+$B$51-($B$8/2))*1/10)*$B$57+(-37)</f>
        <v>-28.7674278846154</v>
      </c>
      <c r="CO9" s="35">
        <f>(($B$7)-$B$59)*$B$57+(0)</f>
        <v>14.7235576923077</v>
      </c>
      <c r="CP9" s="35">
        <f>IF($B$39=1,(-($B$4/2+$B$50)+1.2/$B$57)*$B$57+(-37),999)</f>
        <v>999</v>
      </c>
      <c r="CQ9" s="35">
        <f>IF($B$39=1,(($B$6+0.47*$B$41)-$B$59)*$B$57+(0),999)</f>
        <v>999</v>
      </c>
      <c r="CR9" s="35">
        <f>IF($B$39=1,(($B$4/2+$B$50)+-1.2/$B$57)*$B$57+(-37),999)</f>
        <v>999</v>
      </c>
      <c r="CS9" s="35">
        <f>IF($B$39=1,(($B$6+0.47*$B$41)-$B$59)*$B$57+(0),999)</f>
        <v>999</v>
      </c>
      <c r="CV9" s="35">
        <f>IF(AND(5&lt;$B$22),((5-($B$22-1)/2)*$B$21)*$B$57+(-37),999)</f>
        <v>-41.2067307692308</v>
      </c>
      <c r="CW9" s="35">
        <f>IF(AND(5&lt;$B$22),(($B$24)-$B$59)*$B$57+(0),999)</f>
        <v>-14.7477463942308</v>
      </c>
      <c r="CZ9" s="35">
        <f>IF(AND(5&lt;$B$31,$B$29&gt;0),((5-($B$31-1)/2)*$B$29)*$B$57+(-37),999)</f>
        <v>999</v>
      </c>
      <c r="DA9" s="35">
        <f>IF(AND(5&lt;$B$31,$B$29&gt;0),(($B$33)-$B$59)*$B$57+(0),999)</f>
        <v>999</v>
      </c>
      <c r="DJ9" s="35">
        <f>IF($B$39=1,((-1)*MIN($B$8/2+0.05+IF(2&lt;INT(($B$49-0.05)/$B$47)+1,2*$B$47,INT(($B$49-0.05)/$B$47)*$B$47+(2-INT(($B$49-0.05)/$B$47))*$B$48),$B$4/2+$B$50-0.05))*$B$57+(-37),999)</f>
        <v>999</v>
      </c>
      <c r="DK9" s="35">
        <f>IF($B$39=1,(($B$6+$B$41-$B$42)-$B$59)*$B$57+(0),999)</f>
        <v>999</v>
      </c>
      <c r="DL9" s="35">
        <f>IF($B$39=1,((1)*MIN($B$8/2+0.05+IF(2&lt;INT(($B$49-0.05)/$B$47)+1,2*$B$47,INT(($B$49-0.05)/$B$47)*$B$47+(2-INT(($B$49-0.05)/$B$47))*$B$48),$B$4/2+$B$50-0.05))*$B$57+(-37),999)</f>
        <v>999</v>
      </c>
      <c r="DM9" s="35">
        <f>IF($B$39=1,(($B$6+$B$41-$B$42)-$B$59)*$B$57+(0),999)</f>
        <v>999</v>
      </c>
      <c r="EL9" s="35">
        <f>((-$B$4/2-$B$51)+(-$B$8/2-(-$B$4/2-$B$51))*1/10)*$B$58+(0)</f>
        <v>-25.6206730769231</v>
      </c>
      <c r="EM9" s="35">
        <f>(($B$7)-$B$59)*$B$58+(0)</f>
        <v>11.7788461538462</v>
      </c>
      <c r="EN9" s="35">
        <f>(($B$8/2)+($B$4/2+$B$51-($B$8/2))*1/10)*$B$58+(0)</f>
        <v>6.58605769230769</v>
      </c>
      <c r="EO9" s="35">
        <f>(($B$7)-$B$59)*$B$58+(0)</f>
        <v>11.7788461538462</v>
      </c>
      <c r="ET9" s="35">
        <f>(-$B$4/2)*$B$58+(0)</f>
        <v>-21.875</v>
      </c>
      <c r="EU9" s="35">
        <f>((-0.05-$B$59)*$B$58-6)</f>
        <v>-20.3028846153846</v>
      </c>
      <c r="EV9" s="35">
        <f>(-($B$4/2+$B$51)*$B$58-5)</f>
        <v>-33</v>
      </c>
      <c r="EW9" s="35">
        <f>((0)-$B$59)*$B$58+(0)</f>
        <v>-13.4615384615385</v>
      </c>
      <c r="EX9" s="35">
        <f>(($B$4/2+$B$51)*$B$58+5)</f>
        <v>33</v>
      </c>
      <c r="EY9" s="35">
        <f>((0)-$B$59)*$B$58+(0)</f>
        <v>-13.4615384615385</v>
      </c>
      <c r="EZ9" s="35">
        <f>IF($B$38=1,($B$8/2*$B$58+5),999)</f>
        <v>9.20673076923077</v>
      </c>
      <c r="FA9" s="35">
        <f>IF($B$38=1,(($B$6)-$B$59)*$B$58+(0),999)</f>
        <v>-5.04807692307692</v>
      </c>
      <c r="FB9" s="35">
        <f>(-$B$8/2)*$B$58+(0)</f>
        <v>-4.20673076923077</v>
      </c>
      <c r="FC9" s="35">
        <f>(($B$6+$B$11-$B$59)*$B$58+5)</f>
        <v>19.3028846153846</v>
      </c>
      <c r="FD9" s="35">
        <f>IF($B$39=1,(($B$4/2+$B$50)*$B$58+4),999)</f>
        <v>999</v>
      </c>
      <c r="FE9" s="35">
        <f>IF($B$39=1,(($B$6)-$B$59)*$B$58+(0),999)</f>
        <v>999</v>
      </c>
      <c r="FH9" s="35">
        <f>IF($B$39=1,(-$B$40/2+($B$42+$B$44/2))*$B$60+(-40),999)</f>
        <v>999</v>
      </c>
      <c r="FI9" s="35">
        <f>IF($B$39=1,(($B$41-($B$42+$B$44/2))-$B$61)*$B$60+(0),999)</f>
        <v>999</v>
      </c>
      <c r="FJ9" s="35">
        <f>IF(AND(5&lt;$B$45,$B$39=1),((5-($B$45-1)/2)*(2*($B$40/2-$B$42-$B$44-$B$43/2)/MAX(1,$B$45-1)))*$B$60+(-40),999)</f>
        <v>999</v>
      </c>
      <c r="FK9" s="35">
        <f>IF(AND(5&lt;$B$45,$B$39=1),(($B$41-$B$42-$B$44-$B$43/2)-$B$61)*$B$60+(0),999)</f>
        <v>999</v>
      </c>
      <c r="FL9" s="35">
        <f>IF(AND(5&lt;$B$46,$B$39=1),((5-($B$46-1)/2)*(2*($B$40/2-$B$42-$B$44-$B$43/2)/MAX(1,$B$46-1)))*$B$60+(-40),999)</f>
        <v>999</v>
      </c>
      <c r="FM9" s="35">
        <f>IF(AND(5&lt;$B$46,$B$39=1),(($B$42+$B$44+$B$43/2)-$B$61)*$B$60+(0),999)</f>
        <v>999</v>
      </c>
      <c r="FN9" s="35">
        <f>IF($B$39=1,(-$B$40/2)*$B$60+(-40),999)</f>
        <v>999</v>
      </c>
      <c r="FO9" s="35">
        <f>IF($B$39=1,((0-$B$61)*$B$60-6),999)</f>
        <v>999</v>
      </c>
      <c r="FP9" s="35">
        <f>IF($B$39=1,(-$B$40/2*$B$60-40-6),999)</f>
        <v>999</v>
      </c>
      <c r="FQ9" s="35">
        <f>IF($B$39=1,((0)-$B$61)*$B$60+(0),999)</f>
        <v>999</v>
      </c>
      <c r="FZ9" s="35">
        <f>IF(5&lt;$B$81,CHOOSE(INT(5/($B$81/4))+1,-$B$37+2*$B$37*MOD(5,($B$81/4))/($B$81/4),$B$37,$B$37-2*$B$37*MOD(5,($B$81/4))/($B$81/4),-$B$37)*$B$53+(-38),999)</f>
        <v>-38</v>
      </c>
      <c r="GA9" s="35">
        <f>IF(5&lt;$B$81,CHOOSE(INT(5/($B$81/4))+1,-$B$82,-$B$82+2*$B$82*MOD(5,($B$81/4))/($B$81/4),$B$82,$B$82-2*$B$82*MOD(5,($B$81/4))/($B$81/4))*$B$53+(0),999)</f>
        <v>4.2485</v>
      </c>
      <c r="GF9" s="35">
        <f>IF($B$80&gt;0,(IF(MOD(MIN(INT(5/2),$B$80-1),2)=0,1,-1)*IF(IF(INT(5/2)&gt;$B$80-1,1,MOD(5,2))=0,-1,1)*$B$37)*$B$57+(-37),999)</f>
        <v>-32.994140625</v>
      </c>
      <c r="GG9" s="35">
        <f>IF($B$80&gt;0,(($B$6+0.05+MIN(INT(5/2),$B$80-1)*$B$79)-$B$59)*$B$57+(0),999)</f>
        <v>7.36177884615385</v>
      </c>
    </row>
    <row r="10" x14ac:dyDescent="0.3">
      <c r="A10" s="33" t="s">
        <v>1409</v>
      </c>
      <c r="B10" s="34">
        <f>CHOOSE($B$3,DATOS!$C$66,DATOS!$C$66,0.4)</f>
        <v>0.15</v>
      </c>
      <c r="P10" s="35">
        <f>IF(AND($B$18&gt;0),(IF(1&lt;$B$18,(-$B$4/2+$B$13),IF(MOD($B$18-1,2)=0,(($B$22-1)/2*$B$21),(-(($B$22-1)/2*$B$21)))))*$B$53+(-38),999)</f>
        <v>-65.3269230769231</v>
      </c>
      <c r="Q10" s="35">
        <f>IF(AND($B$18&gt;0),(IF(1&lt;$B$18,(1-($B$18-1)/2)*$B$17,(($B$18-1)-($B$18-1)/2)*$B$17))*$B$53+(0),999)</f>
        <v>-22.3076923076923</v>
      </c>
      <c r="R10" s="35">
        <f>IF(AND($B$22&gt;0),(IF(1&lt;$B$22,(1-($B$22-1)/2)*$B$21,(($B$22-1)-($B$22-1)/2)*$B$21))*$B$53+(-38),999)</f>
        <v>-60.3076923076923</v>
      </c>
      <c r="S10" s="35">
        <f>IF(AND($B$22&gt;0),(IF(1&lt;$B$22,(-$B$5/2+IF($B$3=3,0,$B$13)),IF(MOD($B$22-1,2)=0,(($B$18-1)/2*$B$17),(-(($B$18-1)/2*$B$17)))))*$B$53+(0),999)</f>
        <v>-27.3269230769231</v>
      </c>
      <c r="T10" s="35">
        <f>IF(AND($B$30&gt;0,$B$29&gt;0),(IF(1&lt;$B$30,(-$B$4/2+$B$13),IF(MOD($B$30-1,2)=0,(($B$31-1)/2*$B$29),(-(($B$31-1)/2*$B$29)))))*$B$53+(-38),999)</f>
        <v>999</v>
      </c>
      <c r="U10" s="35">
        <f>IF(AND($B$30&gt;0,$B$29&gt;0),(IF(1&lt;$B$30,(1-($B$30-1)/2)*$B$29,(($B$30-1)-($B$30-1)/2)*$B$29))*$B$53+(0),999)</f>
        <v>999</v>
      </c>
      <c r="V10" s="35">
        <f>IF(AND($B$31&gt;0,$B$29&gt;0),(IF(1&lt;$B$31,(1-($B$31-1)/2)*$B$29,(($B$31-1)-($B$31-1)/2)*$B$29))*$B$53+(-38),999)</f>
        <v>999</v>
      </c>
      <c r="W10" s="35">
        <f>IF(AND($B$31&gt;0,$B$29&gt;0),(IF(1&lt;$B$31,(-$B$5/2+$B$13),IF(MOD($B$31-1,2)=0,(($B$30-1)/2*$B$29),(-(($B$30-1)/2*$B$29)))))*$B$53+(0),999)</f>
        <v>999</v>
      </c>
      <c r="BL10" s="35">
        <f>((-$B$4/2)*$B$54+(0)+($B$4/2)*$B$54+(0))/2</f>
        <v>0</v>
      </c>
      <c r="BM10" s="35">
        <f>(-($B$5/2+$B$50)*$B$54-6)</f>
        <v>-34</v>
      </c>
      <c r="BN10" s="35">
        <f>(-($B$4/2+$B$50)*$B$54-6)</f>
        <v>-34</v>
      </c>
      <c r="BO10" s="35">
        <f>((-$B$5/2)*$B$54+(0)+($B$5/2)*$B$54+(0))/2</f>
        <v>0</v>
      </c>
      <c r="BP10" s="35">
        <f>((-$B$4/2)*$B$54+(0)+(-$B$8/2)*$B$54+(0))/2</f>
        <v>-16.6923076923077</v>
      </c>
      <c r="BQ10" s="35">
        <f>(($B$5/2+$B$50)*$B$54+5)</f>
        <v>33</v>
      </c>
      <c r="BR10" s="35">
        <f>((-$B$8/2)*$B$54+(0)+($B$8/2)*$B$54+(0))/2</f>
        <v>0</v>
      </c>
      <c r="BS10" s="35">
        <f>(($B$5/2+$B$50)*$B$54+5)</f>
        <v>33</v>
      </c>
      <c r="BT10" s="35">
        <f>(($B$8/2)*$B$54+(0)+($B$4/2)*$B$54+(0))/2</f>
        <v>16.6923076923077</v>
      </c>
      <c r="BU10" s="35">
        <f>(($B$5/2+$B$50)*$B$54+5)</f>
        <v>33</v>
      </c>
      <c r="BV10" s="35">
        <f>IF($B$38=1,(($B$4/2+$B$50)*$B$54+5),999)</f>
        <v>33</v>
      </c>
      <c r="BW10" s="35">
        <f>IF($B$38=1,((-$B$5/2)*$B$54+(0)+(-$B$9/2)*$B$54+(0))/2,999)</f>
        <v>-16.6923076923077</v>
      </c>
      <c r="BX10" s="35">
        <f>IF($B$38=1,(($B$4/2+$B$50)*$B$54+5),999)</f>
        <v>33</v>
      </c>
      <c r="BY10" s="35">
        <f>IF($B$38=1,((-$B$9/2)*$B$54+(0)+($B$9/2)*$B$54+(0))/2,999)</f>
        <v>0</v>
      </c>
      <c r="BZ10" s="35">
        <f>IF($B$38=1,(($B$4/2+$B$50)*$B$54+5),999)</f>
        <v>33</v>
      </c>
      <c r="CA10" s="35">
        <f>IF($B$38=1,(($B$9/2)*$B$54+(0)+($B$5/2)*$B$54+(0))/2,999)</f>
        <v>16.6923076923077</v>
      </c>
      <c r="CL10" s="35">
        <f>((-$B$4/2-$B$51)+(-$B$8/2-(-$B$4/2-$B$51))*2/10)*$B$57+(-37)</f>
        <v>-66.0516826923077</v>
      </c>
      <c r="CM10" s="35">
        <f>(($B$7)-$B$59)*$B$57+(0)</f>
        <v>14.7235576923077</v>
      </c>
      <c r="CN10" s="35">
        <f>(($B$8/2)+($B$4/2+$B$51-($B$8/2))*2/10)*$B$57+(-37)</f>
        <v>-25.7932692307692</v>
      </c>
      <c r="CO10" s="35">
        <f>(($B$7)-$B$59)*$B$57+(0)</f>
        <v>14.7235576923077</v>
      </c>
      <c r="CP10" s="35">
        <f>IF($B$39=1,(-($B$4/2+$B$50)-1.2/$B$57)*$B$57+(-37),999)</f>
        <v>999</v>
      </c>
      <c r="CQ10" s="35">
        <f>IF($B$39=1,(($B$6+0.53*$B$41)-$B$59)*$B$57+(0),999)</f>
        <v>999</v>
      </c>
      <c r="CR10" s="35">
        <f>IF($B$39=1,(($B$4/2+$B$50)--1.2/$B$57)*$B$57+(-37),999)</f>
        <v>999</v>
      </c>
      <c r="CS10" s="35">
        <f>IF($B$39=1,(($B$6+0.53*$B$41)-$B$59)*$B$57+(0),999)</f>
        <v>999</v>
      </c>
      <c r="CV10" s="35">
        <f>IF(AND(6&lt;$B$22),((6-($B$22-1)/2)*$B$21)*$B$57+(-37),999)</f>
        <v>-37</v>
      </c>
      <c r="CW10" s="35">
        <f>IF(AND(6&lt;$B$22),(($B$24)-$B$59)*$B$57+(0),999)</f>
        <v>-14.7477463942308</v>
      </c>
      <c r="CZ10" s="35">
        <f>IF(AND(6&lt;$B$31,$B$29&gt;0),((6-($B$31-1)/2)*$B$29)*$B$57+(-37),999)</f>
        <v>999</v>
      </c>
      <c r="DA10" s="35">
        <f>IF(AND(6&lt;$B$31,$B$29&gt;0),(($B$33)-$B$59)*$B$57+(0),999)</f>
        <v>999</v>
      </c>
      <c r="DJ10" s="35">
        <f>IF($B$39=1,((-1)*MIN($B$8/2+0.05+IF(3&lt;INT(($B$49-0.05)/$B$47)+1,3*$B$47,INT(($B$49-0.05)/$B$47)*$B$47+(3-INT(($B$49-0.05)/$B$47))*$B$48),$B$4/2+$B$50-0.05))*$B$57+(-37),999)</f>
        <v>999</v>
      </c>
      <c r="DK10" s="35">
        <f>IF($B$39=1,(($B$6+$B$41-$B$42)-$B$59)*$B$57+(0),999)</f>
        <v>999</v>
      </c>
      <c r="DL10" s="35">
        <f>IF($B$39=1,((1)*MIN($B$8/2+0.05+IF(3&lt;INT(($B$49-0.05)/$B$47)+1,3*$B$47,INT(($B$49-0.05)/$B$47)*$B$47+(3-INT(($B$49-0.05)/$B$47))*$B$48),$B$4/2+$B$50-0.05))*$B$57+(-37),999)</f>
        <v>999</v>
      </c>
      <c r="DM10" s="35">
        <f>IF($B$39=1,(($B$6+$B$41-$B$42)-$B$59)*$B$57+(0),999)</f>
        <v>999</v>
      </c>
      <c r="EL10" s="35">
        <f>((-$B$4/2-$B$51)+(-$B$8/2-(-$B$4/2-$B$51))*2/10)*$B$58+(0)</f>
        <v>-23.2413461538462</v>
      </c>
      <c r="EM10" s="35">
        <f>(($B$7)-$B$59)*$B$58+(0)</f>
        <v>11.7788461538462</v>
      </c>
      <c r="EN10" s="35">
        <f>(($B$8/2)+($B$4/2+$B$51-($B$8/2))*2/10)*$B$58+(0)</f>
        <v>8.96538461538462</v>
      </c>
      <c r="EO10" s="35">
        <f>(($B$7)-$B$59)*$B$58+(0)</f>
        <v>11.7788461538462</v>
      </c>
      <c r="ET10" s="35">
        <f>((-$B$4/2)*$B$58+(0)+($B$4/2)*$B$58+(0))/2</f>
        <v>0</v>
      </c>
      <c r="EU10" s="35">
        <f>((-0.05-$B$59)*$B$58-6)</f>
        <v>-20.3028846153846</v>
      </c>
      <c r="EV10" s="35">
        <f>(-($B$4/2+$B$51)*$B$58-5)</f>
        <v>-33</v>
      </c>
      <c r="EW10" s="35">
        <f>(((0)-$B$59)*$B$58+(0)+(($B$7)-$B$59)*$B$58+(0))/2</f>
        <v>-0.841346153846152</v>
      </c>
      <c r="EX10" s="35">
        <f>(($B$4/2+$B$51)*$B$58+5)</f>
        <v>33</v>
      </c>
      <c r="EY10" s="35">
        <f>(((0)-$B$59)*$B$58+(0)+(($B$6)-$B$59)*$B$58+(0))/2</f>
        <v>-9.25480769230769</v>
      </c>
      <c r="EZ10" s="35">
        <f>IF($B$38=1,($B$8/2*$B$58+5),999)</f>
        <v>9.20673076923077</v>
      </c>
      <c r="FA10" s="35">
        <f>IF($B$38=1,((($B$6)-$B$59)*$B$58+(0)+(($B$6+$B$11)-$B$59)*$B$58+(0))/2,999)</f>
        <v>4.62740384615385</v>
      </c>
      <c r="FB10" s="35">
        <f>((-$B$8/2)*$B$58+(0)+($B$8/2)*$B$58+(0))/2</f>
        <v>0</v>
      </c>
      <c r="FC10" s="35">
        <f>(($B$6+$B$11-$B$59)*$B$58+5)</f>
        <v>19.3028846153846</v>
      </c>
      <c r="FD10" s="35">
        <f>IF($B$39=1,(($B$4/2+$B$50)*$B$58+4),999)</f>
        <v>999</v>
      </c>
      <c r="FE10" s="35">
        <f>IF($B$39=1,((($B$6)-$B$59)*$B$58+(0)+(($B$6+$B$41)-$B$59)*$B$58+(0))/2,999)</f>
        <v>999</v>
      </c>
      <c r="FH10" s="35">
        <f>IF($B$39=1,(-$B$40/2+($B$42+$B$44/2)+0.05)*$B$60+(-40),999)</f>
        <v>999</v>
      </c>
      <c r="FI10" s="35">
        <f>IF($B$39=1,(($B$41-($B$42+$B$44/2)-0.07)-$B$61)*$B$60+(0),999)</f>
        <v>999</v>
      </c>
      <c r="FJ10" s="35">
        <f>IF(AND(6&lt;$B$45,$B$39=1),((6-($B$45-1)/2)*(2*($B$40/2-$B$42-$B$44-$B$43/2)/MAX(1,$B$45-1)))*$B$60+(-40),999)</f>
        <v>999</v>
      </c>
      <c r="FK10" s="35">
        <f>IF(AND(6&lt;$B$45,$B$39=1),(($B$41-$B$42-$B$44-$B$43/2)-$B$61)*$B$60+(0),999)</f>
        <v>999</v>
      </c>
      <c r="FL10" s="35">
        <f>IF(AND(6&lt;$B$46,$B$39=1),((6-($B$46-1)/2)*(2*($B$40/2-$B$42-$B$44-$B$43/2)/MAX(1,$B$46-1)))*$B$60+(-40),999)</f>
        <v>999</v>
      </c>
      <c r="FM10" s="35">
        <f>IF(AND(6&lt;$B$46,$B$39=1),(($B$42+$B$44+$B$43/2)-$B$61)*$B$60+(0),999)</f>
        <v>999</v>
      </c>
      <c r="FN10" s="35">
        <f>IF($B$39=1,((-$B$40/2)*$B$60+(-40)+($B$40/2)*$B$60+(-40))/2,999)</f>
        <v>999</v>
      </c>
      <c r="FO10" s="35">
        <f>IF($B$39=1,((0-$B$61)*$B$60-6),999)</f>
        <v>999</v>
      </c>
      <c r="FP10" s="35">
        <f>IF($B$39=1,(-$B$40/2*$B$60-40-6),999)</f>
        <v>999</v>
      </c>
      <c r="FQ10" s="35">
        <f>IF($B$39=1,(((0)-$B$61)*$B$60+(0)+(($B$41)-$B$61)*$B$60+(0))/2,999)</f>
        <v>999</v>
      </c>
      <c r="FZ10" s="35">
        <f>IF(6&lt;$B$81,CHOOSE(INT(6/($B$81/4))+1,-$B$37+2*$B$37*MOD(6,($B$81/4))/($B$81/4),$B$37,$B$37-2*$B$37*MOD(6,($B$81/4))/($B$81/4),-$B$37)*$B$53+(-38),999)</f>
        <v>-42.2485</v>
      </c>
      <c r="GA10" s="35">
        <f>IF(6&lt;$B$81,CHOOSE(INT(6/($B$81/4))+1,-$B$82,-$B$82+2*$B$82*MOD(6,($B$81/4))/($B$81/4),$B$82,$B$82-2*$B$82*MOD(6,($B$81/4))/($B$81/4))*$B$53+(0),999)</f>
        <v>4.2485</v>
      </c>
      <c r="GF10" s="35">
        <f>IF($B$80&gt;0,(IF(MOD(MIN(INT(6/2),$B$80-1),2)=0,1,-1)*IF(IF(INT(6/2)&gt;$B$80-1,1,MOD(6,2))=0,-1,1)*$B$37)*$B$57+(-37),999)</f>
        <v>-32.994140625</v>
      </c>
      <c r="GG10" s="35">
        <f>IF($B$80&gt;0,(($B$6+0.05+MIN(INT(6/2),$B$80-1)*$B$79)-$B$59)*$B$57+(0),999)</f>
        <v>13.671875</v>
      </c>
    </row>
    <row r="11" x14ac:dyDescent="0.3">
      <c r="A11" s="33" t="s">
        <v>1410</v>
      </c>
      <c r="B11" s="34">
        <f>$B$7-$B$6+$B$10</f>
        <v>1.15</v>
      </c>
      <c r="P11" s="35">
        <f>IF(AND($B$18&gt;0),(IF(1&lt;$B$18,(-(($B$22-1)/2*$B$21)),IF(MOD($B$18-1,2)=0,(($B$22-1)/2*$B$21),(-(($B$22-1)/2*$B$21)))))*$B$53+(-38),999)</f>
        <v>-64.7692307692308</v>
      </c>
      <c r="Q11" s="35">
        <f>IF(AND($B$18&gt;0),(IF(1&lt;$B$18,(1-($B$18-1)/2)*$B$17,(($B$18-1)-($B$18-1)/2)*$B$17))*$B$53+(0),999)</f>
        <v>-22.3076923076923</v>
      </c>
      <c r="R11" s="35">
        <f>IF(AND($B$22&gt;0),(IF(1&lt;$B$22,(1-($B$22-1)/2)*$B$21,(($B$22-1)-($B$22-1)/2)*$B$21))*$B$53+(-38),999)</f>
        <v>-60.3076923076923</v>
      </c>
      <c r="S11" s="35">
        <f>IF(AND($B$22&gt;0),(IF(1&lt;$B$22,(-(($B$18-1)/2*$B$17)),IF(MOD($B$22-1,2)=0,(($B$18-1)/2*$B$17),(-(($B$18-1)/2*$B$17)))))*$B$53+(0),999)</f>
        <v>-26.7692307692308</v>
      </c>
      <c r="T11" s="35">
        <f>IF(AND($B$30&gt;0,$B$29&gt;0),(IF(1&lt;$B$30,(-(($B$31-1)/2*$B$29)),IF(MOD($B$30-1,2)=0,(($B$31-1)/2*$B$29),(-(($B$31-1)/2*$B$29)))))*$B$53+(-38),999)</f>
        <v>999</v>
      </c>
      <c r="U11" s="35">
        <f>IF(AND($B$30&gt;0,$B$29&gt;0),(IF(1&lt;$B$30,(1-($B$30-1)/2)*$B$29,(($B$30-1)-($B$30-1)/2)*$B$29))*$B$53+(0),999)</f>
        <v>999</v>
      </c>
      <c r="V11" s="35">
        <f>IF(AND($B$31&gt;0,$B$29&gt;0),(IF(1&lt;$B$31,(1-($B$31-1)/2)*$B$29,(($B$31-1)-($B$31-1)/2)*$B$29))*$B$53+(-38),999)</f>
        <v>999</v>
      </c>
      <c r="W11" s="35">
        <f>IF(AND($B$31&gt;0,$B$29&gt;0),(IF(1&lt;$B$31,(-(($B$30-1)/2*$B$29)),IF(MOD($B$31-1,2)=0,(($B$30-1)/2*$B$29),(-(($B$30-1)/2*$B$29)))))*$B$53+(0),999)</f>
        <v>999</v>
      </c>
      <c r="BL11" s="35">
        <f>($B$4/2)*$B$54+(0)</f>
        <v>28</v>
      </c>
      <c r="BM11" s="35">
        <f>(-($B$5/2+$B$50)*$B$54-6)</f>
        <v>-34</v>
      </c>
      <c r="BN11" s="35">
        <f>(-($B$4/2+$B$50)*$B$54-6)</f>
        <v>-34</v>
      </c>
      <c r="BO11" s="35">
        <f>($B$5/2)*$B$54+(0)</f>
        <v>28</v>
      </c>
      <c r="BP11" s="35">
        <f>(-$B$8/2)*$B$54+(0)</f>
        <v>-5.38461538461538</v>
      </c>
      <c r="BQ11" s="35">
        <f>(($B$5/2+$B$50)*$B$54+5)</f>
        <v>33</v>
      </c>
      <c r="BR11" s="35">
        <f>($B$8/2)*$B$54+(0)</f>
        <v>5.38461538461538</v>
      </c>
      <c r="BS11" s="35">
        <f>(($B$5/2+$B$50)*$B$54+5)</f>
        <v>33</v>
      </c>
      <c r="BT11" s="35">
        <f>($B$4/2)*$B$54+(0)</f>
        <v>28</v>
      </c>
      <c r="BU11" s="35">
        <f>(($B$5/2+$B$50)*$B$54+5)</f>
        <v>33</v>
      </c>
      <c r="BV11" s="35">
        <f>IF($B$38=1,(($B$4/2+$B$50)*$B$54+5),999)</f>
        <v>33</v>
      </c>
      <c r="BW11" s="35">
        <f>IF($B$38=1,(-$B$9/2)*$B$54+(0),999)</f>
        <v>-5.38461538461538</v>
      </c>
      <c r="BX11" s="35">
        <f>IF($B$38=1,(($B$4/2+$B$50)*$B$54+5),999)</f>
        <v>33</v>
      </c>
      <c r="BY11" s="35">
        <f>IF($B$38=1,($B$9/2)*$B$54+(0),999)</f>
        <v>5.38461538461538</v>
      </c>
      <c r="BZ11" s="35">
        <f>IF($B$38=1,(($B$4/2+$B$50)*$B$54+5),999)</f>
        <v>33</v>
      </c>
      <c r="CA11" s="35">
        <f>IF($B$38=1,($B$5/2)*$B$54+(0),999)</f>
        <v>28</v>
      </c>
      <c r="CL11" s="35">
        <f>((-$B$4/2-$B$51)+(-$B$8/2-(-$B$4/2-$B$51))*2/10)*$B$57+(-37)-1.2</f>
        <v>-67.2516826923077</v>
      </c>
      <c r="CM11" s="35">
        <f>(($B$7)-$B$59)*$B$57+(0)-1.2</f>
        <v>13.5235576923077</v>
      </c>
      <c r="CN11" s="35">
        <f>(($B$8/2)+($B$4/2+$B$51-($B$8/2))*2/10)*$B$57+(-37)-1.2</f>
        <v>-26.9932692307692</v>
      </c>
      <c r="CO11" s="35">
        <f>(($B$7)-$B$59)*$B$57+(0)-1.2</f>
        <v>13.5235576923077</v>
      </c>
      <c r="CP11" s="35">
        <f>IF($B$39=1,(-($B$4/2+$B$50))*$B$57+(-37),999)</f>
        <v>999</v>
      </c>
      <c r="CQ11" s="35">
        <f>IF($B$39=1,(($B$6+0.6*$B$41)-$B$59)*$B$57+(0),999)</f>
        <v>999</v>
      </c>
      <c r="CR11" s="35">
        <f>IF($B$39=1,(($B$4/2+$B$50))*$B$57+(-37),999)</f>
        <v>999</v>
      </c>
      <c r="CS11" s="35">
        <f>IF($B$39=1,(($B$6+0.6*$B$41)-$B$59)*$B$57+(0),999)</f>
        <v>999</v>
      </c>
      <c r="CV11" s="35">
        <f>IF(AND(7&lt;$B$22),((7-($B$22-1)/2)*$B$21)*$B$57+(-37),999)</f>
        <v>-32.7932692307692</v>
      </c>
      <c r="CW11" s="35">
        <f>IF(AND(7&lt;$B$22),(($B$24)-$B$59)*$B$57+(0),999)</f>
        <v>-14.7477463942308</v>
      </c>
      <c r="CZ11" s="35">
        <f>IF(AND(7&lt;$B$31,$B$29&gt;0),((7-($B$31-1)/2)*$B$29)*$B$57+(-37),999)</f>
        <v>999</v>
      </c>
      <c r="DA11" s="35">
        <f>IF(AND(7&lt;$B$31,$B$29&gt;0),(($B$33)-$B$59)*$B$57+(0),999)</f>
        <v>999</v>
      </c>
      <c r="DJ11" s="35">
        <f>IF($B$39=1,((-1)*MIN($B$8/2+0.05+IF(3&lt;INT(($B$49-0.05)/$B$47)+1,3*$B$47,INT(($B$49-0.05)/$B$47)*$B$47+(3-INT(($B$49-0.05)/$B$47))*$B$48),$B$4/2+$B$50-0.05))*$B$57+(-37),999)</f>
        <v>999</v>
      </c>
      <c r="DK11" s="35">
        <f>IF($B$39=1,(($B$6+$B$42)-$B$59)*$B$57+(0),999)</f>
        <v>999</v>
      </c>
      <c r="DL11" s="35">
        <f>IF($B$39=1,((1)*MIN($B$8/2+0.05+IF(3&lt;INT(($B$49-0.05)/$B$47)+1,3*$B$47,INT(($B$49-0.05)/$B$47)*$B$47+(3-INT(($B$49-0.05)/$B$47))*$B$48),$B$4/2+$B$50-0.05))*$B$57+(-37),999)</f>
        <v>999</v>
      </c>
      <c r="DM11" s="35">
        <f>IF($B$39=1,(($B$6+$B$42)-$B$59)*$B$57+(0),999)</f>
        <v>999</v>
      </c>
      <c r="EL11" s="35">
        <f>((-$B$4/2-$B$51)+(-$B$8/2-(-$B$4/2-$B$51))*2/10)*$B$58+(0)-1.2</f>
        <v>-24.4413461538462</v>
      </c>
      <c r="EM11" s="35">
        <f>(($B$7)-$B$59)*$B$58+(0)-1.2</f>
        <v>10.5788461538462</v>
      </c>
      <c r="EN11" s="35">
        <f>(($B$8/2)+($B$4/2+$B$51-($B$8/2))*2/10)*$B$58+(0)-1.2</f>
        <v>7.76538461538462</v>
      </c>
      <c r="EO11" s="35">
        <f>(($B$7)-$B$59)*$B$58+(0)-1.2</f>
        <v>10.5788461538462</v>
      </c>
      <c r="ET11" s="35">
        <f>($B$4/2)*$B$58+(0)</f>
        <v>21.875</v>
      </c>
      <c r="EU11" s="35">
        <f>((-0.05-$B$59)*$B$58-6)</f>
        <v>-20.3028846153846</v>
      </c>
      <c r="EV11" s="35">
        <f>(-($B$4/2+$B$51)*$B$58-5)</f>
        <v>-33</v>
      </c>
      <c r="EW11" s="35">
        <f>(($B$7)-$B$59)*$B$58+(0)</f>
        <v>11.7788461538462</v>
      </c>
      <c r="EX11" s="35">
        <f>(($B$4/2+$B$51)*$B$58+5)</f>
        <v>33</v>
      </c>
      <c r="EY11" s="35">
        <f>(($B$6)-$B$59)*$B$58+(0)</f>
        <v>-5.04807692307692</v>
      </c>
      <c r="EZ11" s="35">
        <f>IF($B$38=1,($B$8/2*$B$58+5),999)</f>
        <v>9.20673076923077</v>
      </c>
      <c r="FA11" s="35">
        <f>IF($B$38=1,(($B$6+$B$11)-$B$59)*$B$58+(0),999)</f>
        <v>14.3028846153846</v>
      </c>
      <c r="FB11" s="35">
        <f>($B$8/2)*$B$58+(0)</f>
        <v>4.20673076923077</v>
      </c>
      <c r="FC11" s="35">
        <f>(($B$6+$B$11-$B$59)*$B$58+5)</f>
        <v>19.3028846153846</v>
      </c>
      <c r="FD11" s="35">
        <f>IF($B$39=1,(($B$4/2+$B$50)*$B$58+4),999)</f>
        <v>999</v>
      </c>
      <c r="FE11" s="35">
        <f>IF($B$39=1,(($B$6+$B$41)-$B$59)*$B$58+(0),999)</f>
        <v>999</v>
      </c>
      <c r="FJ11" s="35">
        <f>IF(AND(7&lt;$B$45,$B$39=1),((7-($B$45-1)/2)*(2*($B$40/2-$B$42-$B$44-$B$43/2)/MAX(1,$B$45-1)))*$B$60+(-40),999)</f>
        <v>999</v>
      </c>
      <c r="FK11" s="35">
        <f>IF(AND(7&lt;$B$45,$B$39=1),(($B$41-$B$42-$B$44-$B$43/2)-$B$61)*$B$60+(0),999)</f>
        <v>999</v>
      </c>
      <c r="FL11" s="35">
        <f>IF(AND(7&lt;$B$46,$B$39=1),((7-($B$46-1)/2)*(2*($B$40/2-$B$42-$B$44-$B$43/2)/MAX(1,$B$46-1)))*$B$60+(-40),999)</f>
        <v>999</v>
      </c>
      <c r="FM11" s="35">
        <f>IF(AND(7&lt;$B$46,$B$39=1),(($B$42+$B$44+$B$43/2)-$B$61)*$B$60+(0),999)</f>
        <v>999</v>
      </c>
      <c r="FN11" s="35">
        <f>IF($B$39=1,($B$40/2)*$B$60+(-40),999)</f>
        <v>999</v>
      </c>
      <c r="FO11" s="35">
        <f>IF($B$39=1,((0-$B$61)*$B$60-6),999)</f>
        <v>999</v>
      </c>
      <c r="FP11" s="35">
        <f>IF($B$39=1,(-$B$40/2*$B$60-40-6),999)</f>
        <v>999</v>
      </c>
      <c r="FQ11" s="35">
        <f>IF($B$39=1,(($B$41)-$B$61)*$B$60+(0),999)</f>
        <v>999</v>
      </c>
      <c r="FZ11" s="35">
        <f>IF(7&lt;$B$81,CHOOSE(INT(7/($B$81/4))+1,-$B$37+2*$B$37*MOD(7,($B$81/4))/($B$81/4),$B$37,$B$37-2*$B$37*MOD(7,($B$81/4))/($B$81/4),-$B$37)*$B$53+(-38),999)</f>
        <v>-42.2485</v>
      </c>
      <c r="GA11" s="35">
        <f>IF(7&lt;$B$81,CHOOSE(INT(7/($B$81/4))+1,-$B$82,-$B$82+2*$B$82*MOD(7,($B$81/4))/($B$81/4),$B$82,$B$82-2*$B$82*MOD(7,($B$81/4))/($B$81/4))*$B$53+(0),999)</f>
        <v>0</v>
      </c>
      <c r="GF11" s="35">
        <f>IF($B$80&gt;0,(IF(MOD(MIN(INT(7/2),$B$80-1),2)=0,1,-1)*IF(IF(INT(7/2)&gt;$B$80-1,1,MOD(7,2))=0,-1,1)*$B$37)*$B$57+(-37),999)</f>
        <v>-41.005859375</v>
      </c>
      <c r="GG11" s="35">
        <f>IF($B$80&gt;0,(($B$6+0.05+MIN(INT(7/2),$B$80-1)*$B$79)-$B$59)*$B$57+(0),999)</f>
        <v>13.671875</v>
      </c>
    </row>
    <row r="12" x14ac:dyDescent="0.3">
      <c r="A12" s="33" t="s">
        <v>1411</v>
      </c>
      <c r="B12" s="34">
        <f>CHOOSE($B$3,AISLADA!$C$11,AISLADA_CT!$C$12,CORRIDA!$C$13)/100</f>
        <v>0.075</v>
      </c>
      <c r="P12" s="35">
        <f>IF(AND($B$18&gt;0),(IF(2&lt;$B$18,(-(($B$22-1)/2*$B$21)),IF(MOD($B$18-1,2)=0,(($B$22-1)/2*$B$21),(-(($B$22-1)/2*$B$21)))))*$B$53+(-38),999)</f>
        <v>-64.7692307692308</v>
      </c>
      <c r="Q12" s="35">
        <f>IF(AND($B$18&gt;0),(IF(2&lt;$B$18,(2-($B$18-1)/2)*$B$17,(($B$18-1)-($B$18-1)/2)*$B$17))*$B$53+(0),999)</f>
        <v>-17.8461538461538</v>
      </c>
      <c r="R12" s="35">
        <f>IF(AND($B$22&gt;0),(IF(2&lt;$B$22,(2-($B$22-1)/2)*$B$21,(($B$22-1)-($B$22-1)/2)*$B$21))*$B$53+(-38),999)</f>
        <v>-55.8461538461539</v>
      </c>
      <c r="S12" s="35">
        <f>IF(AND($B$22&gt;0),(IF(2&lt;$B$22,(-(($B$18-1)/2*$B$17)),IF(MOD($B$22-1,2)=0,(($B$18-1)/2*$B$17),(-(($B$18-1)/2*$B$17)))))*$B$53+(0),999)</f>
        <v>-26.7692307692308</v>
      </c>
      <c r="T12" s="35">
        <f>IF(AND($B$30&gt;0,$B$29&gt;0),(IF(2&lt;$B$30,(-(($B$31-1)/2*$B$29)),IF(MOD($B$30-1,2)=0,(($B$31-1)/2*$B$29),(-(($B$31-1)/2*$B$29)))))*$B$53+(-38),999)</f>
        <v>999</v>
      </c>
      <c r="U12" s="35">
        <f>IF(AND($B$30&gt;0,$B$29&gt;0),(IF(2&lt;$B$30,(2-($B$30-1)/2)*$B$29,(($B$30-1)-($B$30-1)/2)*$B$29))*$B$53+(0),999)</f>
        <v>999</v>
      </c>
      <c r="V12" s="35">
        <f>IF(AND($B$31&gt;0,$B$29&gt;0),(IF(2&lt;$B$31,(2-($B$31-1)/2)*$B$29,(($B$31-1)-($B$31-1)/2)*$B$29))*$B$53+(-38),999)</f>
        <v>999</v>
      </c>
      <c r="W12" s="35">
        <f>IF(AND($B$31&gt;0,$B$29&gt;0),(IF(2&lt;$B$31,(-(($B$30-1)/2*$B$29)),IF(MOD($B$31-1,2)=0,(($B$30-1)/2*$B$29),(-(($B$30-1)/2*$B$29)))))*$B$53+(0),999)</f>
        <v>999</v>
      </c>
      <c r="BL12" s="35">
        <f>($B$4/2)*$B$54+(0)-1</f>
        <v>27</v>
      </c>
      <c r="BM12" s="35">
        <f>(-($B$5/2+$B$50)*$B$54-6)-1</f>
        <v>-35</v>
      </c>
      <c r="BN12" s="35">
        <f>(-($B$4/2+$B$50)*$B$54-6)-1</f>
        <v>-35</v>
      </c>
      <c r="BO12" s="35">
        <f>($B$5/2)*$B$54+(0)-1</f>
        <v>27</v>
      </c>
      <c r="BP12" s="35">
        <f>(-$B$8/2)*$B$54+(0)-1</f>
        <v>-6.38461538461538</v>
      </c>
      <c r="BQ12" s="35">
        <f>(($B$5/2+$B$50)*$B$54+5)-1</f>
        <v>32</v>
      </c>
      <c r="BR12" s="35">
        <f>($B$8/2)*$B$54+(0)-1</f>
        <v>4.38461538461538</v>
      </c>
      <c r="BS12" s="35">
        <f>(($B$5/2+$B$50)*$B$54+5)-1</f>
        <v>32</v>
      </c>
      <c r="BT12" s="35">
        <f>($B$4/2)*$B$54+(0)-1</f>
        <v>27</v>
      </c>
      <c r="BU12" s="35">
        <f>(($B$5/2+$B$50)*$B$54+5)-1</f>
        <v>32</v>
      </c>
      <c r="BV12" s="35">
        <f>IF($B$38=1,(($B$4/2+$B$50)*$B$54+5)-1,999)</f>
        <v>32</v>
      </c>
      <c r="BW12" s="35">
        <f>IF($B$38=1,(-$B$9/2)*$B$54+(0)-1,999)</f>
        <v>-6.38461538461538</v>
      </c>
      <c r="BX12" s="35">
        <f>IF($B$38=1,(($B$4/2+$B$50)*$B$54+5)-1,999)</f>
        <v>32</v>
      </c>
      <c r="BY12" s="35">
        <f>IF($B$38=1,($B$9/2)*$B$54+(0)-1,999)</f>
        <v>4.38461538461538</v>
      </c>
      <c r="BZ12" s="35">
        <f>IF($B$38=1,(($B$4/2+$B$50)*$B$54+5)-1,999)</f>
        <v>32</v>
      </c>
      <c r="CA12" s="35">
        <f>IF($B$38=1,($B$5/2)*$B$54+(0)-1,999)</f>
        <v>27</v>
      </c>
      <c r="CL12" s="35">
        <f>((-$B$4/2-$B$51)+(-$B$8/2-(-$B$4/2-$B$51))*2/10)*$B$57+(-37)</f>
        <v>-66.0516826923077</v>
      </c>
      <c r="CM12" s="35">
        <f>(($B$7)-$B$59)*$B$57+(0)</f>
        <v>14.7235576923077</v>
      </c>
      <c r="CN12" s="35">
        <f>(($B$8/2)+($B$4/2+$B$51-($B$8/2))*2/10)*$B$57+(-37)</f>
        <v>-25.7932692307692</v>
      </c>
      <c r="CO12" s="35">
        <f>(($B$7)-$B$59)*$B$57+(0)</f>
        <v>14.7235576923077</v>
      </c>
      <c r="CP12" s="35">
        <f>IF($B$39=1,(-($B$4/2+$B$50))*$B$57+(-37),999)</f>
        <v>999</v>
      </c>
      <c r="CQ12" s="35">
        <f>IF($B$39=1,(($B$6+$B$41)-$B$59)*$B$57+(0),999)</f>
        <v>999</v>
      </c>
      <c r="CR12" s="35">
        <f>IF($B$39=1,(($B$4/2+$B$50))*$B$57+(-37),999)</f>
        <v>999</v>
      </c>
      <c r="CS12" s="35">
        <f>IF($B$39=1,(($B$6+$B$41)-$B$59)*$B$57+(0),999)</f>
        <v>999</v>
      </c>
      <c r="CV12" s="35">
        <f>IF(AND(8&lt;$B$22),((8-($B$22-1)/2)*$B$21)*$B$57+(-37),999)</f>
        <v>-28.5865384615385</v>
      </c>
      <c r="CW12" s="35">
        <f>IF(AND(8&lt;$B$22),(($B$24)-$B$59)*$B$57+(0),999)</f>
        <v>-14.7477463942308</v>
      </c>
      <c r="CZ12" s="35">
        <f>IF(AND(8&lt;$B$31,$B$29&gt;0),((8-($B$31-1)/2)*$B$29)*$B$57+(-37),999)</f>
        <v>999</v>
      </c>
      <c r="DA12" s="35">
        <f>IF(AND(8&lt;$B$31,$B$29&gt;0),(($B$33)-$B$59)*$B$57+(0),999)</f>
        <v>999</v>
      </c>
      <c r="DJ12" s="35">
        <f>IF($B$39=1,((-1)*MIN($B$8/2+0.05+IF(4&lt;INT(($B$49-0.05)/$B$47)+1,4*$B$47,INT(($B$49-0.05)/$B$47)*$B$47+(4-INT(($B$49-0.05)/$B$47))*$B$48),$B$4/2+$B$50-0.05))*$B$57+(-37),999)</f>
        <v>999</v>
      </c>
      <c r="DK12" s="35">
        <f>IF($B$39=1,(($B$6+$B$42)-$B$59)*$B$57+(0),999)</f>
        <v>999</v>
      </c>
      <c r="DL12" s="35">
        <f>IF($B$39=1,((1)*MIN($B$8/2+0.05+IF(4&lt;INT(($B$49-0.05)/$B$47)+1,4*$B$47,INT(($B$49-0.05)/$B$47)*$B$47+(4-INT(($B$49-0.05)/$B$47))*$B$48),$B$4/2+$B$50-0.05))*$B$57+(-37),999)</f>
        <v>999</v>
      </c>
      <c r="DM12" s="35">
        <f>IF($B$39=1,(($B$6+$B$42)-$B$59)*$B$57+(0),999)</f>
        <v>999</v>
      </c>
      <c r="EL12" s="35">
        <f>((-$B$4/2-$B$51)+(-$B$8/2-(-$B$4/2-$B$51))*2/10)*$B$58+(0)</f>
        <v>-23.2413461538462</v>
      </c>
      <c r="EM12" s="35">
        <f>(($B$7)-$B$59)*$B$58+(0)</f>
        <v>11.7788461538462</v>
      </c>
      <c r="EN12" s="35">
        <f>(($B$8/2)+($B$4/2+$B$51-($B$8/2))*2/10)*$B$58+(0)</f>
        <v>8.96538461538462</v>
      </c>
      <c r="EO12" s="35">
        <f>(($B$7)-$B$59)*$B$58+(0)</f>
        <v>11.7788461538462</v>
      </c>
      <c r="ET12" s="35">
        <f>($B$4/2)*$B$58+(0)-1</f>
        <v>20.875</v>
      </c>
      <c r="EU12" s="35">
        <f>((-0.05-$B$59)*$B$58-6)-1</f>
        <v>-21.3028846153846</v>
      </c>
      <c r="EV12" s="35">
        <f>(-($B$4/2+$B$51)*$B$58-5)-1</f>
        <v>-34</v>
      </c>
      <c r="EW12" s="35">
        <f>(($B$7)-$B$59)*$B$58+(0)-1</f>
        <v>10.7788461538462</v>
      </c>
      <c r="EX12" s="35">
        <f>(($B$4/2+$B$51)*$B$58+5)-1</f>
        <v>32</v>
      </c>
      <c r="EY12" s="35">
        <f>(($B$6)-$B$59)*$B$58+(0)-1</f>
        <v>-6.04807692307692</v>
      </c>
      <c r="EZ12" s="35">
        <f>IF($B$38=1,($B$8/2*$B$58+5)-1,999)</f>
        <v>8.20673076923077</v>
      </c>
      <c r="FA12" s="35">
        <f>IF($B$38=1,(($B$6+$B$11)-$B$59)*$B$58+(0)-1,999)</f>
        <v>13.3028846153846</v>
      </c>
      <c r="FB12" s="35">
        <f>($B$8/2)*$B$58+(0)-1</f>
        <v>3.20673076923077</v>
      </c>
      <c r="FC12" s="35">
        <f>(($B$6+$B$11-$B$59)*$B$58+5)-1</f>
        <v>18.3028846153846</v>
      </c>
      <c r="FD12" s="35">
        <f>IF($B$39=1,(($B$4/2+$B$50)*$B$58+4)-1,999)</f>
        <v>999</v>
      </c>
      <c r="FE12" s="35">
        <f>IF($B$39=1,(($B$6+$B$41)-$B$59)*$B$58+(0)-1,999)</f>
        <v>999</v>
      </c>
      <c r="FJ12" s="35">
        <f>IF(AND(8&lt;$B$45,$B$39=1),((8-($B$45-1)/2)*(2*($B$40/2-$B$42-$B$44-$B$43/2)/MAX(1,$B$45-1)))*$B$60+(-40),999)</f>
        <v>999</v>
      </c>
      <c r="FK12" s="35">
        <f>IF(AND(8&lt;$B$45,$B$39=1),(($B$41-$B$42-$B$44-$B$43/2)-$B$61)*$B$60+(0),999)</f>
        <v>999</v>
      </c>
      <c r="FL12" s="35">
        <f>IF(AND(8&lt;$B$46,$B$39=1),((8-($B$46-1)/2)*(2*($B$40/2-$B$42-$B$44-$B$43/2)/MAX(1,$B$46-1)))*$B$60+(-40),999)</f>
        <v>999</v>
      </c>
      <c r="FM12" s="35">
        <f>IF(AND(8&lt;$B$46,$B$39=1),(($B$42+$B$44+$B$43/2)-$B$61)*$B$60+(0),999)</f>
        <v>999</v>
      </c>
      <c r="FN12" s="35">
        <f>IF($B$39=1,($B$40/2)*$B$60+(-40)-1,999)</f>
        <v>999</v>
      </c>
      <c r="FO12" s="35">
        <f>IF($B$39=1,((0-$B$61)*$B$60-6)-1,999)</f>
        <v>999</v>
      </c>
      <c r="FP12" s="35">
        <f>IF($B$39=1,(-$B$40/2*$B$60-40-6)-1,999)</f>
        <v>999</v>
      </c>
      <c r="FQ12" s="35">
        <f>IF($B$39=1,(($B$41)-$B$61)*$B$60+(0)-1,999)</f>
        <v>999</v>
      </c>
      <c r="FZ12" s="35">
        <f>IF(8&lt;$B$81,CHOOSE(INT(8/($B$81/4))+1,-$B$37+2*$B$37*MOD(8,($B$81/4))/($B$81/4),$B$37,$B$37-2*$B$37*MOD(8,($B$81/4))/($B$81/4),-$B$37)*$B$53+(-38),999)</f>
        <v>999</v>
      </c>
      <c r="GA12" s="35">
        <f>IF(8&lt;$B$81,CHOOSE(INT(8/($B$81/4))+1,-$B$82,-$B$82+2*$B$82*MOD(8,($B$81/4))/($B$81/4),$B$82,$B$82-2*$B$82*MOD(8,($B$81/4))/($B$81/4))*$B$53+(0),999)</f>
        <v>999</v>
      </c>
      <c r="GF12" s="35">
        <f>IF($B$80&gt;0,(IF(MOD(MIN(INT(8/2),$B$80-1),2)=0,1,-1)*IF(IF(INT(8/2)&gt;$B$80-1,1,MOD(8,2))=0,-1,1)*$B$37)*$B$57+(-37),999)</f>
        <v>-41.005859375</v>
      </c>
      <c r="GG12" s="35">
        <f>IF($B$80&gt;0,(($B$6+0.05+MIN(INT(8/2),$B$80-1)*$B$79)-$B$59)*$B$57+(0),999)</f>
        <v>13.671875</v>
      </c>
    </row>
    <row r="13" x14ac:dyDescent="0.3">
      <c r="A13" s="33" t="s">
        <v>1412</v>
      </c>
      <c r="B13" s="34">
        <f>CHOOSE($B$3,AISLADA!$C$12,AISLADA_CT!$C$13,CORRIDA!$C$14)/100</f>
        <v>0.075</v>
      </c>
      <c r="P13" s="35">
        <f>IF(AND($B$18&gt;0),(IF(2&lt;$B$18,(-$B$4/2+$B$13),IF(MOD($B$18-1,2)=0,(($B$22-1)/2*$B$21),(-(($B$22-1)/2*$B$21)))))*$B$53+(-38),999)</f>
        <v>-65.3269230769231</v>
      </c>
      <c r="Q13" s="35">
        <f>IF(AND($B$18&gt;0),(IF(2&lt;$B$18,(2-($B$18-1)/2)*$B$17,(($B$18-1)-($B$18-1)/2)*$B$17))*$B$53+(0),999)</f>
        <v>-17.8461538461538</v>
      </c>
      <c r="R13" s="35">
        <f>IF(AND($B$22&gt;0),(IF(2&lt;$B$22,(2-($B$22-1)/2)*$B$21,(($B$22-1)-($B$22-1)/2)*$B$21))*$B$53+(-38),999)</f>
        <v>-55.8461538461539</v>
      </c>
      <c r="S13" s="35">
        <f>IF(AND($B$22&gt;0),(IF(2&lt;$B$22,(-$B$5/2+IF($B$3=3,0,$B$13)),IF(MOD($B$22-1,2)=0,(($B$18-1)/2*$B$17),(-(($B$18-1)/2*$B$17)))))*$B$53+(0),999)</f>
        <v>-27.3269230769231</v>
      </c>
      <c r="T13" s="35">
        <f>IF(AND($B$30&gt;0,$B$29&gt;0),(IF(2&lt;$B$30,(-$B$4/2+$B$13),IF(MOD($B$30-1,2)=0,(($B$31-1)/2*$B$29),(-(($B$31-1)/2*$B$29)))))*$B$53+(-38),999)</f>
        <v>999</v>
      </c>
      <c r="U13" s="35">
        <f>IF(AND($B$30&gt;0,$B$29&gt;0),(IF(2&lt;$B$30,(2-($B$30-1)/2)*$B$29,(($B$30-1)-($B$30-1)/2)*$B$29))*$B$53+(0),999)</f>
        <v>999</v>
      </c>
      <c r="V13" s="35">
        <f>IF(AND($B$31&gt;0,$B$29&gt;0),(IF(2&lt;$B$31,(2-($B$31-1)/2)*$B$29,(($B$31-1)-($B$31-1)/2)*$B$29))*$B$53+(-38),999)</f>
        <v>999</v>
      </c>
      <c r="W13" s="35">
        <f>IF(AND($B$31&gt;0,$B$29&gt;0),(IF(2&lt;$B$31,(-$B$5/2+$B$13),IF(MOD($B$31-1,2)=0,(($B$30-1)/2*$B$29),(-(($B$30-1)/2*$B$29)))))*$B$53+(0),999)</f>
        <v>999</v>
      </c>
      <c r="BL13" s="35">
        <f>($B$4/2)*$B$54+(0)+1</f>
        <v>29</v>
      </c>
      <c r="BM13" s="35">
        <f>(-($B$5/2+$B$50)*$B$54-6)+1</f>
        <v>-33</v>
      </c>
      <c r="BN13" s="35">
        <f>(-($B$4/2+$B$50)*$B$54-6)+1</f>
        <v>-33</v>
      </c>
      <c r="BO13" s="35">
        <f>($B$5/2)*$B$54+(0)+1</f>
        <v>29</v>
      </c>
      <c r="BP13" s="35">
        <f>(-$B$8/2)*$B$54+(0)+1</f>
        <v>-4.38461538461538</v>
      </c>
      <c r="BQ13" s="35">
        <f>(($B$5/2+$B$50)*$B$54+5)+1</f>
        <v>34</v>
      </c>
      <c r="BR13" s="35">
        <f>($B$8/2)*$B$54+(0)+1</f>
        <v>6.38461538461538</v>
      </c>
      <c r="BS13" s="35">
        <f>(($B$5/2+$B$50)*$B$54+5)+1</f>
        <v>34</v>
      </c>
      <c r="BT13" s="35">
        <f>($B$4/2)*$B$54+(0)+1</f>
        <v>29</v>
      </c>
      <c r="BU13" s="35">
        <f>(($B$5/2+$B$50)*$B$54+5)+1</f>
        <v>34</v>
      </c>
      <c r="BV13" s="35">
        <f>IF($B$38=1,(($B$4/2+$B$50)*$B$54+5)+1,999)</f>
        <v>34</v>
      </c>
      <c r="BW13" s="35">
        <f>IF($B$38=1,(-$B$9/2)*$B$54+(0)+1,999)</f>
        <v>-4.38461538461538</v>
      </c>
      <c r="BX13" s="35">
        <f>IF($B$38=1,(($B$4/2+$B$50)*$B$54+5)+1,999)</f>
        <v>34</v>
      </c>
      <c r="BY13" s="35">
        <f>IF($B$38=1,($B$9/2)*$B$54+(0)+1,999)</f>
        <v>6.38461538461538</v>
      </c>
      <c r="BZ13" s="35">
        <f>IF($B$38=1,(($B$4/2+$B$50)*$B$54+5)+1,999)</f>
        <v>34</v>
      </c>
      <c r="CA13" s="35">
        <f>IF($B$38=1,($B$5/2)*$B$54+(0)+1,999)</f>
        <v>29</v>
      </c>
      <c r="CL13" s="35">
        <f>((-$B$4/2-$B$51)+(-$B$8/2-(-$B$4/2-$B$51))*3/10)*$B$57+(-37)</f>
        <v>-63.0775240384615</v>
      </c>
      <c r="CM13" s="35">
        <f>(($B$7)-$B$59)*$B$57+(0)</f>
        <v>14.7235576923077</v>
      </c>
      <c r="CN13" s="35">
        <f>(($B$8/2)+($B$4/2+$B$51-($B$8/2))*3/10)*$B$57+(-37)</f>
        <v>-22.8191105769231</v>
      </c>
      <c r="CO13" s="35">
        <f>(($B$7)-$B$59)*$B$57+(0)</f>
        <v>14.7235576923077</v>
      </c>
      <c r="CV13" s="35">
        <f>IF(AND(9&lt;$B$22),((9-($B$22-1)/2)*$B$21)*$B$57+(-37),999)</f>
        <v>-24.3798076923077</v>
      </c>
      <c r="CW13" s="35">
        <f>IF(AND(9&lt;$B$22),(($B$24)-$B$59)*$B$57+(0),999)</f>
        <v>-14.7477463942308</v>
      </c>
      <c r="CZ13" s="35">
        <f>IF(AND(9&lt;$B$31,$B$29&gt;0),((9-($B$31-1)/2)*$B$29)*$B$57+(-37),999)</f>
        <v>999</v>
      </c>
      <c r="DA13" s="35">
        <f>IF(AND(9&lt;$B$31,$B$29&gt;0),(($B$33)-$B$59)*$B$57+(0),999)</f>
        <v>999</v>
      </c>
      <c r="DJ13" s="35">
        <f>IF($B$39=1,((-1)*MIN($B$8/2+0.05+IF(4&lt;INT(($B$49-0.05)/$B$47)+1,4*$B$47,INT(($B$49-0.05)/$B$47)*$B$47+(4-INT(($B$49-0.05)/$B$47))*$B$48),$B$4/2+$B$50-0.05))*$B$57+(-37),999)</f>
        <v>999</v>
      </c>
      <c r="DK13" s="35">
        <f>IF($B$39=1,(($B$6+$B$41-$B$42)-$B$59)*$B$57+(0),999)</f>
        <v>999</v>
      </c>
      <c r="DL13" s="35">
        <f>IF($B$39=1,((1)*MIN($B$8/2+0.05+IF(4&lt;INT(($B$49-0.05)/$B$47)+1,4*$B$47,INT(($B$49-0.05)/$B$47)*$B$47+(4-INT(($B$49-0.05)/$B$47))*$B$48),$B$4/2+$B$50-0.05))*$B$57+(-37),999)</f>
        <v>999</v>
      </c>
      <c r="DM13" s="35">
        <f>IF($B$39=1,(($B$6+$B$41-$B$42)-$B$59)*$B$57+(0),999)</f>
        <v>999</v>
      </c>
      <c r="EL13" s="35">
        <f>((-$B$4/2-$B$51)+(-$B$8/2-(-$B$4/2-$B$51))*3/10)*$B$58+(0)</f>
        <v>-20.8620192307692</v>
      </c>
      <c r="EM13" s="35">
        <f>(($B$7)-$B$59)*$B$58+(0)</f>
        <v>11.7788461538462</v>
      </c>
      <c r="EN13" s="35">
        <f>(($B$8/2)+($B$4/2+$B$51-($B$8/2))*3/10)*$B$58+(0)</f>
        <v>11.3447115384615</v>
      </c>
      <c r="EO13" s="35">
        <f>(($B$7)-$B$59)*$B$58+(0)</f>
        <v>11.7788461538462</v>
      </c>
      <c r="ET13" s="35">
        <f>($B$4/2)*$B$58+(0)+1</f>
        <v>22.875</v>
      </c>
      <c r="EU13" s="35">
        <f>((-0.05-$B$59)*$B$58-6)+1</f>
        <v>-19.3028846153846</v>
      </c>
      <c r="EV13" s="35">
        <f>(-($B$4/2+$B$51)*$B$58-5)+1</f>
        <v>-32</v>
      </c>
      <c r="EW13" s="35">
        <f>(($B$7)-$B$59)*$B$58+(0)+1</f>
        <v>12.7788461538462</v>
      </c>
      <c r="EX13" s="35">
        <f>(($B$4/2+$B$51)*$B$58+5)+1</f>
        <v>34</v>
      </c>
      <c r="EY13" s="35">
        <f>(($B$6)-$B$59)*$B$58+(0)+1</f>
        <v>-4.04807692307692</v>
      </c>
      <c r="EZ13" s="35">
        <f>IF($B$38=1,($B$8/2*$B$58+5)+1,999)</f>
        <v>10.2067307692308</v>
      </c>
      <c r="FA13" s="35">
        <f>IF($B$38=1,(($B$6+$B$11)-$B$59)*$B$58+(0)+1,999)</f>
        <v>15.3028846153846</v>
      </c>
      <c r="FB13" s="35">
        <f>($B$8/2)*$B$58+(0)+1</f>
        <v>5.20673076923077</v>
      </c>
      <c r="FC13" s="35">
        <f>(($B$6+$B$11-$B$59)*$B$58+5)+1</f>
        <v>20.3028846153846</v>
      </c>
      <c r="FD13" s="35">
        <f>IF($B$39=1,(($B$4/2+$B$50)*$B$58+4)+1,999)</f>
        <v>999</v>
      </c>
      <c r="FE13" s="35">
        <f>IF($B$39=1,(($B$6+$B$41)-$B$59)*$B$58+(0)+1,999)</f>
        <v>999</v>
      </c>
      <c r="FJ13" s="35">
        <f>IF(AND(9&lt;$B$45,$B$39=1),((9-($B$45-1)/2)*(2*($B$40/2-$B$42-$B$44-$B$43/2)/MAX(1,$B$45-1)))*$B$60+(-40),999)</f>
        <v>999</v>
      </c>
      <c r="FK13" s="35">
        <f>IF(AND(9&lt;$B$45,$B$39=1),(($B$41-$B$42-$B$44-$B$43/2)-$B$61)*$B$60+(0),999)</f>
        <v>999</v>
      </c>
      <c r="FL13" s="35">
        <f>IF(AND(9&lt;$B$46,$B$39=1),((9-($B$46-1)/2)*(2*($B$40/2-$B$42-$B$44-$B$43/2)/MAX(1,$B$46-1)))*$B$60+(-40),999)</f>
        <v>999</v>
      </c>
      <c r="FM13" s="35">
        <f>IF(AND(9&lt;$B$46,$B$39=1),(($B$42+$B$44+$B$43/2)-$B$61)*$B$60+(0),999)</f>
        <v>999</v>
      </c>
      <c r="FN13" s="35">
        <f>IF($B$39=1,($B$40/2)*$B$60+(-40)+1,999)</f>
        <v>999</v>
      </c>
      <c r="FO13" s="35">
        <f>IF($B$39=1,((0-$B$61)*$B$60-6)+1,999)</f>
        <v>999</v>
      </c>
      <c r="FP13" s="35">
        <f>IF($B$39=1,(-$B$40/2*$B$60-40-6)+1,999)</f>
        <v>999</v>
      </c>
      <c r="FQ13" s="35">
        <f>IF($B$39=1,(($B$41)-$B$61)*$B$60+(0)+1,999)</f>
        <v>999</v>
      </c>
      <c r="FZ13" s="35">
        <f>IF(9&lt;$B$81,CHOOSE(INT(9/($B$81/4))+1,-$B$37+2*$B$37*MOD(9,($B$81/4))/($B$81/4),$B$37,$B$37-2*$B$37*MOD(9,($B$81/4))/($B$81/4),-$B$37)*$B$53+(-38),999)</f>
        <v>999</v>
      </c>
      <c r="GA13" s="35">
        <f>IF(9&lt;$B$81,CHOOSE(INT(9/($B$81/4))+1,-$B$82,-$B$82+2*$B$82*MOD(9,($B$81/4))/($B$81/4),$B$82,$B$82-2*$B$82*MOD(9,($B$81/4))/($B$81/4))*$B$53+(0),999)</f>
        <v>999</v>
      </c>
      <c r="GF13" s="35">
        <f>IF($B$80&gt;0,(IF(MOD(MIN(INT(9/2),$B$80-1),2)=0,1,-1)*IF(IF(INT(9/2)&gt;$B$80-1,1,MOD(9,2))=0,-1,1)*$B$37)*$B$57+(-37),999)</f>
        <v>-41.005859375</v>
      </c>
      <c r="GG13" s="35">
        <f>IF($B$80&gt;0,(($B$6+0.05+MIN(INT(9/2),$B$80-1)*$B$79)-$B$59)*$B$57+(0),999)</f>
        <v>13.671875</v>
      </c>
    </row>
    <row r="14" x14ac:dyDescent="0.3">
      <c r="A14" s="33" t="s">
        <v>1413</v>
      </c>
      <c r="B14" s="34">
        <f>CHOOSE($B$3,AISLADA!$C$13,AISLADA_CT!$C$14,5)/100</f>
        <v>0.05</v>
      </c>
      <c r="P14" s="35">
        <f>IF(AND($B$18&gt;0),(IF(2&lt;$B$18,($B$4/2-$B$13),IF(MOD($B$18-1,2)=0,(($B$22-1)/2*$B$21),(-(($B$22-1)/2*$B$21)))))*$B$53+(-38),999)</f>
        <v>-10.6730769230769</v>
      </c>
      <c r="Q14" s="35">
        <f>IF(AND($B$18&gt;0),(IF(2&lt;$B$18,(2-($B$18-1)/2)*$B$17,(($B$18-1)-($B$18-1)/2)*$B$17))*$B$53+(0),999)</f>
        <v>-17.8461538461538</v>
      </c>
      <c r="R14" s="35">
        <f>IF(AND($B$22&gt;0),(IF(2&lt;$B$22,(2-($B$22-1)/2)*$B$21,(($B$22-1)-($B$22-1)/2)*$B$21))*$B$53+(-38),999)</f>
        <v>-55.8461538461539</v>
      </c>
      <c r="S14" s="35">
        <f>IF(AND($B$22&gt;0),(IF(2&lt;$B$22,($B$5/2-IF($B$3=3,0,$B$13)),IF(MOD($B$22-1,2)=0,(($B$18-1)/2*$B$17),(-(($B$18-1)/2*$B$17)))))*$B$53+(0),999)</f>
        <v>27.3269230769231</v>
      </c>
      <c r="T14" s="35">
        <f>IF(AND($B$30&gt;0,$B$29&gt;0),(IF(2&lt;$B$30,($B$4/2-$B$13),IF(MOD($B$30-1,2)=0,(($B$31-1)/2*$B$29),(-(($B$31-1)/2*$B$29)))))*$B$53+(-38),999)</f>
        <v>999</v>
      </c>
      <c r="U14" s="35">
        <f>IF(AND($B$30&gt;0,$B$29&gt;0),(IF(2&lt;$B$30,(2-($B$30-1)/2)*$B$29,(($B$30-1)-($B$30-1)/2)*$B$29))*$B$53+(0),999)</f>
        <v>999</v>
      </c>
      <c r="V14" s="35">
        <f>IF(AND($B$31&gt;0,$B$29&gt;0),(IF(2&lt;$B$31,(2-($B$31-1)/2)*$B$29,(($B$31-1)-($B$31-1)/2)*$B$29))*$B$53+(-38),999)</f>
        <v>999</v>
      </c>
      <c r="W14" s="35">
        <f>IF(AND($B$31&gt;0,$B$29&gt;0),(IF(2&lt;$B$31,($B$5/2-$B$13),IF(MOD($B$31-1,2)=0,(($B$30-1)/2*$B$29),(-(($B$30-1)/2*$B$29)))))*$B$53+(0),999)</f>
        <v>999</v>
      </c>
      <c r="BL14" s="35">
        <f>($B$4/2)*$B$54+(0)</f>
        <v>28</v>
      </c>
      <c r="BM14" s="35">
        <f>(-($B$5/2+$B$50)*$B$54-6)</f>
        <v>-34</v>
      </c>
      <c r="BN14" s="35">
        <f>(-($B$4/2+$B$50)*$B$54-6)</f>
        <v>-34</v>
      </c>
      <c r="BO14" s="35">
        <f>($B$5/2)*$B$54+(0)</f>
        <v>28</v>
      </c>
      <c r="BP14" s="35">
        <f>(-$B$8/2)*$B$54+(0)</f>
        <v>-5.38461538461538</v>
      </c>
      <c r="BQ14" s="35">
        <f>(($B$5/2+$B$50)*$B$54+5)</f>
        <v>33</v>
      </c>
      <c r="BR14" s="35">
        <f>($B$8/2)*$B$54+(0)</f>
        <v>5.38461538461538</v>
      </c>
      <c r="BS14" s="35">
        <f>(($B$5/2+$B$50)*$B$54+5)</f>
        <v>33</v>
      </c>
      <c r="BT14" s="35">
        <f>($B$4/2)*$B$54+(0)</f>
        <v>28</v>
      </c>
      <c r="BU14" s="35">
        <f>(($B$5/2+$B$50)*$B$54+5)</f>
        <v>33</v>
      </c>
      <c r="BV14" s="35">
        <f>IF($B$38=1,(($B$4/2+$B$50)*$B$54+5),999)</f>
        <v>33</v>
      </c>
      <c r="BW14" s="35">
        <f>IF($B$38=1,(-$B$9/2)*$B$54+(0),999)</f>
        <v>-5.38461538461538</v>
      </c>
      <c r="BX14" s="35">
        <f>IF($B$38=1,(($B$4/2+$B$50)*$B$54+5),999)</f>
        <v>33</v>
      </c>
      <c r="BY14" s="35">
        <f>IF($B$38=1,($B$9/2)*$B$54+(0),999)</f>
        <v>5.38461538461538</v>
      </c>
      <c r="BZ14" s="35">
        <f>IF($B$38=1,(($B$4/2+$B$50)*$B$54+5),999)</f>
        <v>33</v>
      </c>
      <c r="CA14" s="35">
        <f>IF($B$38=1,($B$5/2)*$B$54+(0),999)</f>
        <v>28</v>
      </c>
      <c r="CL14" s="35">
        <f>((-$B$4/2-$B$51)+(-$B$8/2-(-$B$4/2-$B$51))*3/10)*$B$57+(-37)-1.2</f>
        <v>-64.2775240384615</v>
      </c>
      <c r="CM14" s="35">
        <f>(($B$7)-$B$59)*$B$57+(0)-1.2</f>
        <v>13.5235576923077</v>
      </c>
      <c r="CN14" s="35">
        <f>(($B$8/2)+($B$4/2+$B$51-($B$8/2))*3/10)*$B$57+(-37)-1.2</f>
        <v>-24.0191105769231</v>
      </c>
      <c r="CO14" s="35">
        <f>(($B$7)-$B$59)*$B$57+(0)-1.2</f>
        <v>13.5235576923077</v>
      </c>
      <c r="CV14" s="35">
        <f>IF(AND(10&lt;$B$22),((10-($B$22-1)/2)*$B$21)*$B$57+(-37),999)</f>
        <v>-20.1730769230769</v>
      </c>
      <c r="CW14" s="35">
        <f>IF(AND(10&lt;$B$22),(($B$24)-$B$59)*$B$57+(0),999)</f>
        <v>-14.7477463942308</v>
      </c>
      <c r="CZ14" s="35">
        <f>IF(AND(10&lt;$B$31,$B$29&gt;0),((10-($B$31-1)/2)*$B$29)*$B$57+(-37),999)</f>
        <v>999</v>
      </c>
      <c r="DA14" s="35">
        <f>IF(AND(10&lt;$B$31,$B$29&gt;0),(($B$33)-$B$59)*$B$57+(0),999)</f>
        <v>999</v>
      </c>
      <c r="DJ14" s="35">
        <f>IF($B$39=1,((-1)*MIN($B$8/2+0.05+IF(5&lt;INT(($B$49-0.05)/$B$47)+1,5*$B$47,INT(($B$49-0.05)/$B$47)*$B$47+(5-INT(($B$49-0.05)/$B$47))*$B$48),$B$4/2+$B$50-0.05))*$B$57+(-37),999)</f>
        <v>999</v>
      </c>
      <c r="DK14" s="35">
        <f>IF($B$39=1,(($B$6+$B$41-$B$42)-$B$59)*$B$57+(0),999)</f>
        <v>999</v>
      </c>
      <c r="DL14" s="35">
        <f>IF($B$39=1,((1)*MIN($B$8/2+0.05+IF(5&lt;INT(($B$49-0.05)/$B$47)+1,5*$B$47,INT(($B$49-0.05)/$B$47)*$B$47+(5-INT(($B$49-0.05)/$B$47))*$B$48),$B$4/2+$B$50-0.05))*$B$57+(-37),999)</f>
        <v>999</v>
      </c>
      <c r="DM14" s="35">
        <f>IF($B$39=1,(($B$6+$B$41-$B$42)-$B$59)*$B$57+(0),999)</f>
        <v>999</v>
      </c>
      <c r="EL14" s="35">
        <f>((-$B$4/2-$B$51)+(-$B$8/2-(-$B$4/2-$B$51))*3/10)*$B$58+(0)-1.2</f>
        <v>-22.0620192307692</v>
      </c>
      <c r="EM14" s="35">
        <f>(($B$7)-$B$59)*$B$58+(0)-1.2</f>
        <v>10.5788461538462</v>
      </c>
      <c r="EN14" s="35">
        <f>(($B$8/2)+($B$4/2+$B$51-($B$8/2))*3/10)*$B$58+(0)-1.2</f>
        <v>10.1447115384615</v>
      </c>
      <c r="EO14" s="35">
        <f>(($B$7)-$B$59)*$B$58+(0)-1.2</f>
        <v>10.5788461538462</v>
      </c>
      <c r="ET14" s="35">
        <f>($B$4/2)*$B$58+(0)</f>
        <v>21.875</v>
      </c>
      <c r="EU14" s="35">
        <f>((-0.05-$B$59)*$B$58-6)</f>
        <v>-20.3028846153846</v>
      </c>
      <c r="EV14" s="35">
        <f>(-($B$4/2+$B$51)*$B$58-5)</f>
        <v>-33</v>
      </c>
      <c r="EW14" s="35">
        <f>(($B$7)-$B$59)*$B$58+(0)</f>
        <v>11.7788461538462</v>
      </c>
      <c r="EX14" s="35">
        <f>(($B$4/2+$B$51)*$B$58+5)</f>
        <v>33</v>
      </c>
      <c r="EY14" s="35">
        <f>(($B$6)-$B$59)*$B$58+(0)</f>
        <v>-5.04807692307692</v>
      </c>
      <c r="EZ14" s="35">
        <f>IF($B$38=1,($B$8/2*$B$58+5),999)</f>
        <v>9.20673076923077</v>
      </c>
      <c r="FA14" s="35">
        <f>IF($B$38=1,(($B$6+$B$11)-$B$59)*$B$58+(0),999)</f>
        <v>14.3028846153846</v>
      </c>
      <c r="FB14" s="35">
        <f>($B$8/2)*$B$58+(0)</f>
        <v>4.20673076923077</v>
      </c>
      <c r="FC14" s="35">
        <f>(($B$6+$B$11-$B$59)*$B$58+5)</f>
        <v>19.3028846153846</v>
      </c>
      <c r="FD14" s="35">
        <f>IF($B$39=1,(($B$4/2+$B$50)*$B$58+4),999)</f>
        <v>999</v>
      </c>
      <c r="FE14" s="35">
        <f>IF($B$39=1,(($B$6+$B$41)-$B$59)*$B$58+(0),999)</f>
        <v>999</v>
      </c>
      <c r="FJ14" s="35">
        <f>IF(AND(10&lt;$B$45,$B$39=1),((10-($B$45-1)/2)*(2*($B$40/2-$B$42-$B$44-$B$43/2)/MAX(1,$B$45-1)))*$B$60+(-40),999)</f>
        <v>999</v>
      </c>
      <c r="FK14" s="35">
        <f>IF(AND(10&lt;$B$45,$B$39=1),(($B$41-$B$42-$B$44-$B$43/2)-$B$61)*$B$60+(0),999)</f>
        <v>999</v>
      </c>
      <c r="FL14" s="35">
        <f>IF(AND(10&lt;$B$46,$B$39=1),((10-($B$46-1)/2)*(2*($B$40/2-$B$42-$B$44-$B$43/2)/MAX(1,$B$46-1)))*$B$60+(-40),999)</f>
        <v>999</v>
      </c>
      <c r="FM14" s="35">
        <f>IF(AND(10&lt;$B$46,$B$39=1),(($B$42+$B$44+$B$43/2)-$B$61)*$B$60+(0),999)</f>
        <v>999</v>
      </c>
      <c r="FN14" s="35">
        <f>IF($B$39=1,($B$40/2)*$B$60+(-40),999)</f>
        <v>999</v>
      </c>
      <c r="FO14" s="35">
        <f>IF($B$39=1,((0-$B$61)*$B$60-6),999)</f>
        <v>999</v>
      </c>
      <c r="FP14" s="35">
        <f>IF($B$39=1,(-$B$40/2*$B$60-40-6),999)</f>
        <v>999</v>
      </c>
      <c r="FQ14" s="35">
        <f>IF($B$39=1,(($B$41)-$B$61)*$B$60+(0),999)</f>
        <v>999</v>
      </c>
      <c r="FZ14" s="35">
        <f>IF(10&lt;$B$81,CHOOSE(INT(10/($B$81/4))+1,-$B$37+2*$B$37*MOD(10,($B$81/4))/($B$81/4),$B$37,$B$37-2*$B$37*MOD(10,($B$81/4))/($B$81/4),-$B$37)*$B$53+(-38),999)</f>
        <v>999</v>
      </c>
      <c r="GA14" s="35">
        <f>IF(10&lt;$B$81,CHOOSE(INT(10/($B$81/4))+1,-$B$82,-$B$82+2*$B$82*MOD(10,($B$81/4))/($B$81/4),$B$82,$B$82-2*$B$82*MOD(10,($B$81/4))/($B$81/4))*$B$53+(0),999)</f>
        <v>999</v>
      </c>
      <c r="GF14" s="35">
        <f>IF($B$80&gt;0,(IF(MOD(MIN(INT(10/2),$B$80-1),2)=0,1,-1)*IF(IF(INT(10/2)&gt;$B$80-1,1,MOD(10,2))=0,-1,1)*$B$37)*$B$57+(-37),999)</f>
        <v>-41.005859375</v>
      </c>
      <c r="GG14" s="35">
        <f>IF($B$80&gt;0,(($B$6+0.05+MIN(INT(10/2),$B$80-1)*$B$79)-$B$59)*$B$57+(0),999)</f>
        <v>13.671875</v>
      </c>
    </row>
    <row r="15" x14ac:dyDescent="0.3">
      <c r="A15" s="33" t="s">
        <v>1414</v>
      </c>
      <c r="B15" s="34">
        <f>CHOOSE($B$3,AISLADA!$C$31,AISLADA_CT!$C$32,CORRIDA!$C$25)</f>
        <v>5</v>
      </c>
      <c r="P15" s="35">
        <f>IF(AND($B$18&gt;0),(IF(2&lt;$B$18,(($B$22-1)/2*$B$21),IF(MOD($B$18-1,2)=0,(($B$22-1)/2*$B$21),(-(($B$22-1)/2*$B$21)))))*$B$53+(-38),999)</f>
        <v>-11.2307692307692</v>
      </c>
      <c r="Q15" s="35">
        <f>IF(AND($B$18&gt;0),(IF(2&lt;$B$18,(2-($B$18-1)/2)*$B$17,(($B$18-1)-($B$18-1)/2)*$B$17))*$B$53+(0),999)</f>
        <v>-17.8461538461538</v>
      </c>
      <c r="R15" s="35">
        <f>IF(AND($B$22&gt;0),(IF(2&lt;$B$22,(2-($B$22-1)/2)*$B$21,(($B$22-1)-($B$22-1)/2)*$B$21))*$B$53+(-38),999)</f>
        <v>-55.8461538461539</v>
      </c>
      <c r="S15" s="35">
        <f>IF(AND($B$22&gt;0),(IF(2&lt;$B$22,(($B$18-1)/2*$B$17),IF(MOD($B$22-1,2)=0,(($B$18-1)/2*$B$17),(-(($B$18-1)/2*$B$17)))))*$B$53+(0),999)</f>
        <v>26.7692307692308</v>
      </c>
      <c r="T15" s="35">
        <f>IF(AND($B$30&gt;0,$B$29&gt;0),(IF(2&lt;$B$30,(($B$31-1)/2*$B$29),IF(MOD($B$30-1,2)=0,(($B$31-1)/2*$B$29),(-(($B$31-1)/2*$B$29)))))*$B$53+(-38),999)</f>
        <v>999</v>
      </c>
      <c r="U15" s="35">
        <f>IF(AND($B$30&gt;0,$B$29&gt;0),(IF(2&lt;$B$30,(2-($B$30-1)/2)*$B$29,(($B$30-1)-($B$30-1)/2)*$B$29))*$B$53+(0),999)</f>
        <v>999</v>
      </c>
      <c r="V15" s="35">
        <f>IF(AND($B$31&gt;0,$B$29&gt;0),(IF(2&lt;$B$31,(2-($B$31-1)/2)*$B$29,(($B$31-1)-($B$31-1)/2)*$B$29))*$B$53+(-38),999)</f>
        <v>999</v>
      </c>
      <c r="W15" s="35">
        <f>IF(AND($B$31&gt;0,$B$29&gt;0),(IF(2&lt;$B$31,(($B$30-1)/2*$B$29),IF(MOD($B$31-1,2)=0,(($B$30-1)/2*$B$29),(-(($B$30-1)/2*$B$29)))))*$B$53+(0),999)</f>
        <v>999</v>
      </c>
      <c r="BL15" s="35">
        <f>($B$4/2)*$B$54+(0)</f>
        <v>28</v>
      </c>
      <c r="BM15" s="35">
        <f>((-($B$5/2+$B$50)*$B$54-6)+(-1)*1.5)</f>
        <v>-35.5</v>
      </c>
      <c r="BN15" s="35">
        <f>((-($B$4/2+$B$50)*$B$54-6)+(-1)*1.5)</f>
        <v>-35.5</v>
      </c>
      <c r="BO15" s="35">
        <f>($B$5/2)*$B$54+(0)</f>
        <v>28</v>
      </c>
      <c r="BP15" s="35">
        <f>(-$B$8/2)*$B$54+(0)</f>
        <v>-5.38461538461538</v>
      </c>
      <c r="BQ15" s="35">
        <f>((($B$5/2+$B$50)*$B$54+5)+(1)*1.5)</f>
        <v>34.5</v>
      </c>
      <c r="BR15" s="35">
        <f>($B$8/2)*$B$54+(0)</f>
        <v>5.38461538461538</v>
      </c>
      <c r="BS15" s="35">
        <f>((($B$5/2+$B$50)*$B$54+5)+(1)*1.5)</f>
        <v>34.5</v>
      </c>
      <c r="BT15" s="35">
        <f>($B$4/2)*$B$54+(0)</f>
        <v>28</v>
      </c>
      <c r="BU15" s="35">
        <f>((($B$5/2+$B$50)*$B$54+5)+(1)*1.5)</f>
        <v>34.5</v>
      </c>
      <c r="BV15" s="35">
        <f>IF($B$38=1,((($B$4/2+$B$50)*$B$54+5)+(1)*1.5),999)</f>
        <v>34.5</v>
      </c>
      <c r="BW15" s="35">
        <f>IF($B$38=1,(-$B$9/2)*$B$54+(0),999)</f>
        <v>-5.38461538461538</v>
      </c>
      <c r="BX15" s="35">
        <f>IF($B$38=1,((($B$4/2+$B$50)*$B$54+5)+(1)*1.5),999)</f>
        <v>34.5</v>
      </c>
      <c r="BY15" s="35">
        <f>IF($B$38=1,($B$9/2)*$B$54+(0),999)</f>
        <v>5.38461538461538</v>
      </c>
      <c r="BZ15" s="35">
        <f>IF($B$38=1,((($B$4/2+$B$50)*$B$54+5)+(1)*1.5),999)</f>
        <v>34.5</v>
      </c>
      <c r="CA15" s="35">
        <f>IF($B$38=1,($B$5/2)*$B$54+(0),999)</f>
        <v>28</v>
      </c>
      <c r="CL15" s="35">
        <f>((-$B$4/2-$B$51)+(-$B$8/2-(-$B$4/2-$B$51))*3/10)*$B$57+(-37)</f>
        <v>-63.0775240384615</v>
      </c>
      <c r="CM15" s="35">
        <f>(($B$7)-$B$59)*$B$57+(0)</f>
        <v>14.7235576923077</v>
      </c>
      <c r="CN15" s="35">
        <f>(($B$8/2)+($B$4/2+$B$51-($B$8/2))*3/10)*$B$57+(-37)</f>
        <v>-22.8191105769231</v>
      </c>
      <c r="CO15" s="35">
        <f>(($B$7)-$B$59)*$B$57+(0)</f>
        <v>14.7235576923077</v>
      </c>
      <c r="CV15" s="35">
        <f>IF(AND(11&lt;$B$22),((11-($B$22-1)/2)*$B$21)*$B$57+(-37),999)</f>
        <v>-15.9663461538462</v>
      </c>
      <c r="CW15" s="35">
        <f>IF(AND(11&lt;$B$22),(($B$24)-$B$59)*$B$57+(0),999)</f>
        <v>-14.7477463942308</v>
      </c>
      <c r="CZ15" s="35">
        <f>IF(AND(11&lt;$B$31,$B$29&gt;0),((11-($B$31-1)/2)*$B$29)*$B$57+(-37),999)</f>
        <v>999</v>
      </c>
      <c r="DA15" s="35">
        <f>IF(AND(11&lt;$B$31,$B$29&gt;0),(($B$33)-$B$59)*$B$57+(0),999)</f>
        <v>999</v>
      </c>
      <c r="DJ15" s="35">
        <f>IF($B$39=1,((-1)*MIN($B$8/2+0.05+IF(5&lt;INT(($B$49-0.05)/$B$47)+1,5*$B$47,INT(($B$49-0.05)/$B$47)*$B$47+(5-INT(($B$49-0.05)/$B$47))*$B$48),$B$4/2+$B$50-0.05))*$B$57+(-37),999)</f>
        <v>999</v>
      </c>
      <c r="DK15" s="35">
        <f>IF($B$39=1,(($B$6+$B$42)-$B$59)*$B$57+(0),999)</f>
        <v>999</v>
      </c>
      <c r="DL15" s="35">
        <f>IF($B$39=1,((1)*MIN($B$8/2+0.05+IF(5&lt;INT(($B$49-0.05)/$B$47)+1,5*$B$47,INT(($B$49-0.05)/$B$47)*$B$47+(5-INT(($B$49-0.05)/$B$47))*$B$48),$B$4/2+$B$50-0.05))*$B$57+(-37),999)</f>
        <v>999</v>
      </c>
      <c r="DM15" s="35">
        <f>IF($B$39=1,(($B$6+$B$42)-$B$59)*$B$57+(0),999)</f>
        <v>999</v>
      </c>
      <c r="EL15" s="35">
        <f>((-$B$4/2-$B$51)+(-$B$8/2-(-$B$4/2-$B$51))*3/10)*$B$58+(0)</f>
        <v>-20.8620192307692</v>
      </c>
      <c r="EM15" s="35">
        <f>(($B$7)-$B$59)*$B$58+(0)</f>
        <v>11.7788461538462</v>
      </c>
      <c r="EN15" s="35">
        <f>(($B$8/2)+($B$4/2+$B$51-($B$8/2))*3/10)*$B$58+(0)</f>
        <v>11.3447115384615</v>
      </c>
      <c r="EO15" s="35">
        <f>(($B$7)-$B$59)*$B$58+(0)</f>
        <v>11.7788461538462</v>
      </c>
      <c r="ET15" s="35">
        <f>($B$4/2)*$B$58+(0)</f>
        <v>21.875</v>
      </c>
      <c r="EU15" s="35">
        <f>(((-0.05-$B$59)*$B$58-6)+(-1)*1.5)</f>
        <v>-21.8028846153846</v>
      </c>
      <c r="EV15" s="35">
        <f>((-($B$4/2+$B$51)*$B$58-5)+(-1)*1.5)</f>
        <v>-34.5</v>
      </c>
      <c r="EW15" s="35">
        <f>(($B$7)-$B$59)*$B$58+(0)</f>
        <v>11.7788461538462</v>
      </c>
      <c r="EX15" s="35">
        <f>((($B$4/2+$B$51)*$B$58+5)+(1)*1.5)</f>
        <v>34.5</v>
      </c>
      <c r="EY15" s="35">
        <f>(($B$6)-$B$59)*$B$58+(0)</f>
        <v>-5.04807692307692</v>
      </c>
      <c r="EZ15" s="35">
        <f>IF($B$38=1,(($B$8/2*$B$58+5)+(1)*1.5),999)</f>
        <v>10.7067307692308</v>
      </c>
      <c r="FA15" s="35">
        <f>IF($B$38=1,(($B$6+$B$11)-$B$59)*$B$58+(0),999)</f>
        <v>14.3028846153846</v>
      </c>
      <c r="FB15" s="35">
        <f>($B$8/2)*$B$58+(0)</f>
        <v>4.20673076923077</v>
      </c>
      <c r="FC15" s="35">
        <f>((($B$6+$B$11-$B$59)*$B$58+5)+(1)*1.5)</f>
        <v>20.8028846153846</v>
      </c>
      <c r="FD15" s="35">
        <f>IF($B$39=1,((($B$4/2+$B$50)*$B$58+4)+(1)*1.5),999)</f>
        <v>999</v>
      </c>
      <c r="FE15" s="35">
        <f>IF($B$39=1,(($B$6+$B$41)-$B$59)*$B$58+(0),999)</f>
        <v>999</v>
      </c>
      <c r="FJ15" s="35">
        <f>IF(AND(11&lt;$B$45,$B$39=1),((11-($B$45-1)/2)*(2*($B$40/2-$B$42-$B$44-$B$43/2)/MAX(1,$B$45-1)))*$B$60+(-40),999)</f>
        <v>999</v>
      </c>
      <c r="FK15" s="35">
        <f>IF(AND(11&lt;$B$45,$B$39=1),(($B$41-$B$42-$B$44-$B$43/2)-$B$61)*$B$60+(0),999)</f>
        <v>999</v>
      </c>
      <c r="FL15" s="35">
        <f>IF(AND(11&lt;$B$46,$B$39=1),((11-($B$46-1)/2)*(2*($B$40/2-$B$42-$B$44-$B$43/2)/MAX(1,$B$46-1)))*$B$60+(-40),999)</f>
        <v>999</v>
      </c>
      <c r="FM15" s="35">
        <f>IF(AND(11&lt;$B$46,$B$39=1),(($B$42+$B$44+$B$43/2)-$B$61)*$B$60+(0),999)</f>
        <v>999</v>
      </c>
      <c r="FN15" s="35">
        <f>IF($B$39=1,($B$40/2)*$B$60+(-40),999)</f>
        <v>999</v>
      </c>
      <c r="FO15" s="35">
        <f>IF($B$39=1,(((0-$B$61)*$B$60-6)+(-1)*1.5),999)</f>
        <v>999</v>
      </c>
      <c r="FP15" s="35">
        <f>IF($B$39=1,((-$B$40/2*$B$60-40-6)+(-1)*1.5),999)</f>
        <v>999</v>
      </c>
      <c r="FQ15" s="35">
        <f>IF($B$39=1,(($B$41)-$B$61)*$B$60+(0),999)</f>
        <v>999</v>
      </c>
      <c r="FZ15" s="35">
        <f>IF(11&lt;$B$81,CHOOSE(INT(11/($B$81/4))+1,-$B$37+2*$B$37*MOD(11,($B$81/4))/($B$81/4),$B$37,$B$37-2*$B$37*MOD(11,($B$81/4))/($B$81/4),-$B$37)*$B$53+(-38),999)</f>
        <v>999</v>
      </c>
      <c r="GA15" s="35">
        <f>IF(11&lt;$B$81,CHOOSE(INT(11/($B$81/4))+1,-$B$82,-$B$82+2*$B$82*MOD(11,($B$81/4))/($B$81/4),$B$82,$B$82-2*$B$82*MOD(11,($B$81/4))/($B$81/4))*$B$53+(0),999)</f>
        <v>999</v>
      </c>
      <c r="GF15" s="35">
        <f>IF($B$80&gt;0,(IF(MOD(MIN(INT(11/2),$B$80-1),2)=0,1,-1)*IF(IF(INT(11/2)&gt;$B$80-1,1,MOD(11,2))=0,-1,1)*$B$37)*$B$57+(-37),999)</f>
        <v>-41.005859375</v>
      </c>
      <c r="GG15" s="35">
        <f>IF($B$80&gt;0,(($B$6+0.05+MIN(INT(11/2),$B$80-1)*$B$79)-$B$59)*$B$57+(0),999)</f>
        <v>13.671875</v>
      </c>
    </row>
    <row r="16" x14ac:dyDescent="0.3">
      <c r="A16" s="33" t="s">
        <v>1415</v>
      </c>
      <c r="B16" s="34">
        <f>CHOOSE($B$3,AISLADA!$C$38,AISLADA_CT!$C$39,CORRIDA!$C$28)/100</f>
        <v>0.0159</v>
      </c>
      <c r="P16" s="35">
        <f>IF(AND($B$18&gt;0),(IF(3&lt;$B$18,(($B$22-1)/2*$B$21),IF(MOD($B$18-1,2)=0,(($B$22-1)/2*$B$21),(-(($B$22-1)/2*$B$21)))))*$B$53+(-38),999)</f>
        <v>-11.2307692307692</v>
      </c>
      <c r="Q16" s="35">
        <f>IF(AND($B$18&gt;0),(IF(3&lt;$B$18,(3-($B$18-1)/2)*$B$17,(($B$18-1)-($B$18-1)/2)*$B$17))*$B$53+(0),999)</f>
        <v>-13.3846153846154</v>
      </c>
      <c r="R16" s="35">
        <f>IF(AND($B$22&gt;0),(IF(3&lt;$B$22,(3-($B$22-1)/2)*$B$21,(($B$22-1)-($B$22-1)/2)*$B$21))*$B$53+(-38),999)</f>
        <v>-51.3846153846154</v>
      </c>
      <c r="S16" s="35">
        <f>IF(AND($B$22&gt;0),(IF(3&lt;$B$22,(($B$18-1)/2*$B$17),IF(MOD($B$22-1,2)=0,(($B$18-1)/2*$B$17),(-(($B$18-1)/2*$B$17)))))*$B$53+(0),999)</f>
        <v>26.7692307692308</v>
      </c>
      <c r="T16" s="35">
        <f>IF(AND($B$30&gt;0,$B$29&gt;0),(IF(3&lt;$B$30,(($B$31-1)/2*$B$29),IF(MOD($B$30-1,2)=0,(($B$31-1)/2*$B$29),(-(($B$31-1)/2*$B$29)))))*$B$53+(-38),999)</f>
        <v>999</v>
      </c>
      <c r="U16" s="35">
        <f>IF(AND($B$30&gt;0,$B$29&gt;0),(IF(3&lt;$B$30,(3-($B$30-1)/2)*$B$29,(($B$30-1)-($B$30-1)/2)*$B$29))*$B$53+(0),999)</f>
        <v>999</v>
      </c>
      <c r="V16" s="35">
        <f>IF(AND($B$31&gt;0,$B$29&gt;0),(IF(3&lt;$B$31,(3-($B$31-1)/2)*$B$29,(($B$31-1)-($B$31-1)/2)*$B$29))*$B$53+(-38),999)</f>
        <v>999</v>
      </c>
      <c r="W16" s="35">
        <f>IF(AND($B$31&gt;0,$B$29&gt;0),(IF(3&lt;$B$31,(($B$30-1)/2*$B$29),IF(MOD($B$31-1,2)=0,(($B$30-1)/2*$B$29),(-(($B$30-1)/2*$B$29)))))*$B$53+(0),999)</f>
        <v>999</v>
      </c>
      <c r="BL16" s="35">
        <f>($B$4/2)*$B$54+(0)</f>
        <v>28</v>
      </c>
      <c r="BM16" s="35">
        <f>(-$B$5/2)*$B$54+(0)</f>
        <v>-28</v>
      </c>
      <c r="BN16" s="35">
        <f>(-$B$4/2)*$B$54+(0)</f>
        <v>-28</v>
      </c>
      <c r="BO16" s="35">
        <f>($B$5/2)*$B$54+(0)</f>
        <v>28</v>
      </c>
      <c r="BP16" s="35">
        <f>(-$B$8/2)*$B$54+(0)</f>
        <v>-5.38461538461538</v>
      </c>
      <c r="BQ16" s="35">
        <f>($B$9/2)*$B$54+(0)</f>
        <v>5.38461538461538</v>
      </c>
      <c r="BR16" s="35">
        <f>($B$8/2)*$B$54+(0)</f>
        <v>5.38461538461538</v>
      </c>
      <c r="BS16" s="35">
        <f>($B$9/2)*$B$54+(0)</f>
        <v>5.38461538461538</v>
      </c>
      <c r="BT16" s="35">
        <f>($B$4/2)*$B$54+(0)</f>
        <v>28</v>
      </c>
      <c r="BU16" s="35">
        <f>($B$5/2)*$B$54+(0)</f>
        <v>28</v>
      </c>
      <c r="BV16" s="35">
        <f>IF($B$38=1,($B$8/2)*$B$54+(0),999)</f>
        <v>5.38461538461538</v>
      </c>
      <c r="BW16" s="35">
        <f>IF($B$38=1,(-$B$9/2)*$B$54+(0),999)</f>
        <v>-5.38461538461538</v>
      </c>
      <c r="BX16" s="35">
        <f>IF($B$38=1,($B$8/2)*$B$54+(0),999)</f>
        <v>5.38461538461538</v>
      </c>
      <c r="BY16" s="35">
        <f>IF($B$38=1,($B$9/2)*$B$54+(0),999)</f>
        <v>5.38461538461538</v>
      </c>
      <c r="BZ16" s="35">
        <f>IF($B$38=1,($B$4/2)*$B$54+(0),999)</f>
        <v>28</v>
      </c>
      <c r="CA16" s="35">
        <f>IF($B$38=1,($B$5/2)*$B$54+(0),999)</f>
        <v>28</v>
      </c>
      <c r="CL16" s="35">
        <f>((-$B$4/2-$B$51)+(-$B$8/2-(-$B$4/2-$B$51))*4/10)*$B$57+(-37)</f>
        <v>-60.1033653846154</v>
      </c>
      <c r="CM16" s="35">
        <f>(($B$7)-$B$59)*$B$57+(0)</f>
        <v>14.7235576923077</v>
      </c>
      <c r="CN16" s="35">
        <f>(($B$8/2)+($B$4/2+$B$51-($B$8/2))*4/10)*$B$57+(-37)</f>
        <v>-19.8449519230769</v>
      </c>
      <c r="CO16" s="35">
        <f>(($B$7)-$B$59)*$B$57+(0)</f>
        <v>14.7235576923077</v>
      </c>
      <c r="CV16" s="35">
        <f>IF(AND(12&lt;$B$22),((12-($B$22-1)/2)*$B$21)*$B$57+(-37),999)</f>
        <v>-11.7596153846154</v>
      </c>
      <c r="CW16" s="35">
        <f>IF(AND(12&lt;$B$22),(($B$24)-$B$59)*$B$57+(0),999)</f>
        <v>-14.7477463942308</v>
      </c>
      <c r="CZ16" s="35">
        <f>IF(AND(12&lt;$B$31,$B$29&gt;0),((12-($B$31-1)/2)*$B$29)*$B$57+(-37),999)</f>
        <v>999</v>
      </c>
      <c r="DA16" s="35">
        <f>IF(AND(12&lt;$B$31,$B$29&gt;0),(($B$33)-$B$59)*$B$57+(0),999)</f>
        <v>999</v>
      </c>
      <c r="DJ16" s="35">
        <f>IF($B$39=1,((-1)*MIN($B$8/2+0.05+IF(6&lt;INT(($B$49-0.05)/$B$47)+1,6*$B$47,INT(($B$49-0.05)/$B$47)*$B$47+(6-INT(($B$49-0.05)/$B$47))*$B$48),$B$4/2+$B$50-0.05))*$B$57+(-37),999)</f>
        <v>999</v>
      </c>
      <c r="DK16" s="35">
        <f>IF($B$39=1,(($B$6+$B$42)-$B$59)*$B$57+(0),999)</f>
        <v>999</v>
      </c>
      <c r="DL16" s="35">
        <f>IF($B$39=1,((1)*MIN($B$8/2+0.05+IF(6&lt;INT(($B$49-0.05)/$B$47)+1,6*$B$47,INT(($B$49-0.05)/$B$47)*$B$47+(6-INT(($B$49-0.05)/$B$47))*$B$48),$B$4/2+$B$50-0.05))*$B$57+(-37),999)</f>
        <v>999</v>
      </c>
      <c r="DM16" s="35">
        <f>IF($B$39=1,(($B$6+$B$42)-$B$59)*$B$57+(0),999)</f>
        <v>999</v>
      </c>
      <c r="EL16" s="35">
        <f>((-$B$4/2-$B$51)+(-$B$8/2-(-$B$4/2-$B$51))*4/10)*$B$58+(0)</f>
        <v>-18.4826923076923</v>
      </c>
      <c r="EM16" s="35">
        <f>(($B$7)-$B$59)*$B$58+(0)</f>
        <v>11.7788461538462</v>
      </c>
      <c r="EN16" s="35">
        <f>(($B$8/2)+($B$4/2+$B$51-($B$8/2))*4/10)*$B$58+(0)</f>
        <v>13.7240384615385</v>
      </c>
      <c r="EO16" s="35">
        <f>(($B$7)-$B$59)*$B$58+(0)</f>
        <v>11.7788461538462</v>
      </c>
      <c r="ET16" s="35">
        <f>($B$4/2)*$B$58+(0)</f>
        <v>21.875</v>
      </c>
      <c r="EU16" s="35">
        <f>((0)-$B$59)*$B$58+(0)</f>
        <v>-13.4615384615385</v>
      </c>
      <c r="EV16" s="35">
        <f>(-$B$4/2-$B$51)*$B$58+(0)</f>
        <v>-28</v>
      </c>
      <c r="EW16" s="35">
        <f>(($B$7)-$B$59)*$B$58+(0)</f>
        <v>11.7788461538462</v>
      </c>
      <c r="EX16" s="35">
        <f>($B$4/2)*$B$58+(0)</f>
        <v>21.875</v>
      </c>
      <c r="EY16" s="35">
        <f>(($B$6)-$B$59)*$B$58+(0)</f>
        <v>-5.04807692307692</v>
      </c>
      <c r="EZ16" s="35">
        <f>IF($B$38=1,($B$8/2)*$B$58+(0),999)</f>
        <v>4.20673076923077</v>
      </c>
      <c r="FA16" s="35">
        <f>IF($B$38=1,(($B$6+$B$11)-$B$59)*$B$58+(0),999)</f>
        <v>14.3028846153846</v>
      </c>
      <c r="FB16" s="35">
        <f>($B$8/2)*$B$58+(0)</f>
        <v>4.20673076923077</v>
      </c>
      <c r="FC16" s="35">
        <f>(($B$6+$B$11)-$B$59)*$B$58+(0)</f>
        <v>14.3028846153846</v>
      </c>
      <c r="FD16" s="35">
        <f>IF($B$39=1,($B$4/2+$B$50)*$B$58+(0),999)</f>
        <v>999</v>
      </c>
      <c r="FE16" s="35">
        <f>IF($B$39=1,(($B$6+$B$41)-$B$59)*$B$58+(0),999)</f>
        <v>999</v>
      </c>
      <c r="FN16" s="35">
        <f>IF($B$39=1,($B$40/2)*$B$60+(-40),999)</f>
        <v>999</v>
      </c>
      <c r="FO16" s="35">
        <f>IF($B$39=1,((0)-$B$61)*$B$60+(0),999)</f>
        <v>999</v>
      </c>
      <c r="FP16" s="35">
        <f>IF($B$39=1,(-$B$40/2)*$B$60+(-40),999)</f>
        <v>999</v>
      </c>
      <c r="FQ16" s="35">
        <f>IF($B$39=1,(($B$41)-$B$61)*$B$60+(0),999)</f>
        <v>999</v>
      </c>
      <c r="GF16" s="35">
        <f>IF($B$80&gt;0,(IF(MOD(MIN(INT(12/2),$B$80-1),2)=0,1,-1)*IF(IF(INT(12/2)&gt;$B$80-1,1,MOD(12,2))=0,-1,1)*$B$37)*$B$57+(-37),999)</f>
        <v>-41.005859375</v>
      </c>
      <c r="GG16" s="35">
        <f>IF($B$80&gt;0,(($B$6+0.05+MIN(INT(12/2),$B$80-1)*$B$79)-$B$59)*$B$57+(0),999)</f>
        <v>13.671875</v>
      </c>
    </row>
    <row r="17" x14ac:dyDescent="0.3">
      <c r="A17" s="33" t="s">
        <v>1416</v>
      </c>
      <c r="B17" s="34">
        <f>CHOOSE($B$3,AISLADA!$C$122,AISLADA_CT!$C$123,CORRIDA!$C$74)/100</f>
        <v>0.2</v>
      </c>
      <c r="P17" s="35">
        <f>IF(AND($B$18&gt;0),(IF(3&lt;$B$18,($B$4/2-$B$13),IF(MOD($B$18-1,2)=0,(($B$22-1)/2*$B$21),(-(($B$22-1)/2*$B$21)))))*$B$53+(-38),999)</f>
        <v>-10.6730769230769</v>
      </c>
      <c r="Q17" s="35">
        <f>IF(AND($B$18&gt;0),(IF(3&lt;$B$18,(3-($B$18-1)/2)*$B$17,(($B$18-1)-($B$18-1)/2)*$B$17))*$B$53+(0),999)</f>
        <v>-13.3846153846154</v>
      </c>
      <c r="R17" s="35">
        <f>IF(AND($B$22&gt;0),(IF(3&lt;$B$22,(3-($B$22-1)/2)*$B$21,(($B$22-1)-($B$22-1)/2)*$B$21))*$B$53+(-38),999)</f>
        <v>-51.3846153846154</v>
      </c>
      <c r="S17" s="35">
        <f>IF(AND($B$22&gt;0),(IF(3&lt;$B$22,($B$5/2-IF($B$3=3,0,$B$13)),IF(MOD($B$22-1,2)=0,(($B$18-1)/2*$B$17),(-(($B$18-1)/2*$B$17)))))*$B$53+(0),999)</f>
        <v>27.3269230769231</v>
      </c>
      <c r="T17" s="35">
        <f>IF(AND($B$30&gt;0,$B$29&gt;0),(IF(3&lt;$B$30,($B$4/2-$B$13),IF(MOD($B$30-1,2)=0,(($B$31-1)/2*$B$29),(-(($B$31-1)/2*$B$29)))))*$B$53+(-38),999)</f>
        <v>999</v>
      </c>
      <c r="U17" s="35">
        <f>IF(AND($B$30&gt;0,$B$29&gt;0),(IF(3&lt;$B$30,(3-($B$30-1)/2)*$B$29,(($B$30-1)-($B$30-1)/2)*$B$29))*$B$53+(0),999)</f>
        <v>999</v>
      </c>
      <c r="V17" s="35">
        <f>IF(AND($B$31&gt;0,$B$29&gt;0),(IF(3&lt;$B$31,(3-($B$31-1)/2)*$B$29,(($B$31-1)-($B$31-1)/2)*$B$29))*$B$53+(-38),999)</f>
        <v>999</v>
      </c>
      <c r="W17" s="35">
        <f>IF(AND($B$31&gt;0,$B$29&gt;0),(IF(3&lt;$B$31,($B$5/2-$B$13),IF(MOD($B$31-1,2)=0,(($B$30-1)/2*$B$29),(-(($B$30-1)/2*$B$29)))))*$B$53+(0),999)</f>
        <v>999</v>
      </c>
      <c r="CL17" s="35">
        <f>((-$B$4/2-$B$51)+(-$B$8/2-(-$B$4/2-$B$51))*4/10)*$B$57+(-37)-1.2</f>
        <v>-61.3033653846154</v>
      </c>
      <c r="CM17" s="35">
        <f>(($B$7)-$B$59)*$B$57+(0)-1.2</f>
        <v>13.5235576923077</v>
      </c>
      <c r="CN17" s="35">
        <f>(($B$8/2)+($B$4/2+$B$51-($B$8/2))*4/10)*$B$57+(-37)-1.2</f>
        <v>-21.0449519230769</v>
      </c>
      <c r="CO17" s="35">
        <f>(($B$7)-$B$59)*$B$57+(0)-1.2</f>
        <v>13.5235576923077</v>
      </c>
      <c r="CV17" s="35">
        <f>IF(AND(13&lt;$B$22),((13-($B$22-1)/2)*$B$21)*$B$57+(-37),999)</f>
        <v>999</v>
      </c>
      <c r="CW17" s="35">
        <f>IF(AND(13&lt;$B$22),(($B$24)-$B$59)*$B$57+(0),999)</f>
        <v>999</v>
      </c>
      <c r="CZ17" s="35">
        <f>IF(AND(13&lt;$B$31,$B$29&gt;0),((13-($B$31-1)/2)*$B$29)*$B$57+(-37),999)</f>
        <v>999</v>
      </c>
      <c r="DA17" s="35">
        <f>IF(AND(13&lt;$B$31,$B$29&gt;0),(($B$33)-$B$59)*$B$57+(0),999)</f>
        <v>999</v>
      </c>
      <c r="DJ17" s="35">
        <f>IF($B$39=1,((-1)*MIN($B$8/2+0.05+IF(6&lt;INT(($B$49-0.05)/$B$47)+1,6*$B$47,INT(($B$49-0.05)/$B$47)*$B$47+(6-INT(($B$49-0.05)/$B$47))*$B$48),$B$4/2+$B$50-0.05))*$B$57+(-37),999)</f>
        <v>999</v>
      </c>
      <c r="DK17" s="35">
        <f>IF($B$39=1,(($B$6+$B$41-$B$42)-$B$59)*$B$57+(0),999)</f>
        <v>999</v>
      </c>
      <c r="DL17" s="35">
        <f>IF($B$39=1,((1)*MIN($B$8/2+0.05+IF(6&lt;INT(($B$49-0.05)/$B$47)+1,6*$B$47,INT(($B$49-0.05)/$B$47)*$B$47+(6-INT(($B$49-0.05)/$B$47))*$B$48),$B$4/2+$B$50-0.05))*$B$57+(-37),999)</f>
        <v>999</v>
      </c>
      <c r="DM17" s="35">
        <f>IF($B$39=1,(($B$6+$B$41-$B$42)-$B$59)*$B$57+(0),999)</f>
        <v>999</v>
      </c>
      <c r="EL17" s="35">
        <f>((-$B$4/2-$B$51)+(-$B$8/2-(-$B$4/2-$B$51))*4/10)*$B$58+(0)-1.2</f>
        <v>-19.6826923076923</v>
      </c>
      <c r="EM17" s="35">
        <f>(($B$7)-$B$59)*$B$58+(0)-1.2</f>
        <v>10.5788461538462</v>
      </c>
      <c r="EN17" s="35">
        <f>(($B$8/2)+($B$4/2+$B$51-($B$8/2))*4/10)*$B$58+(0)-1.2</f>
        <v>12.5240384615385</v>
      </c>
      <c r="EO17" s="35">
        <f>(($B$7)-$B$59)*$B$58+(0)-1.2</f>
        <v>10.5788461538462</v>
      </c>
      <c r="GF17" s="35">
        <f>IF($B$80&gt;0,(IF(MOD(MIN(INT(13/2),$B$80-1),2)=0,1,-1)*IF(IF(INT(13/2)&gt;$B$80-1,1,MOD(13,2))=0,-1,1)*$B$37)*$B$57+(-37),999)</f>
        <v>-41.005859375</v>
      </c>
      <c r="GG17" s="35">
        <f>IF($B$80&gt;0,(($B$6+0.05+MIN(INT(13/2),$B$80-1)*$B$79)-$B$59)*$B$57+(0),999)</f>
        <v>13.671875</v>
      </c>
    </row>
    <row r="18" x14ac:dyDescent="0.3">
      <c r="A18" s="33" t="s">
        <v>1417</v>
      </c>
      <c r="B18" s="34">
        <f>MIN(80,CHOOSE($B$3,AISLADA!$C$123,AISLADA_CT!$C$124,INT((CORRIDA!$C$15*100-2*CORRIDA!$C$14-CORRIDA!$C$28)/CORRIDA!$C$74)+1))</f>
        <v>13</v>
      </c>
      <c r="P18" s="35">
        <f>IF(AND($B$18&gt;0),(IF(3&lt;$B$18,(-$B$4/2+$B$13),IF(MOD($B$18-1,2)=0,(($B$22-1)/2*$B$21),(-(($B$22-1)/2*$B$21)))))*$B$53+(-38),999)</f>
        <v>-65.3269230769231</v>
      </c>
      <c r="Q18" s="35">
        <f>IF(AND($B$18&gt;0),(IF(3&lt;$B$18,(3-($B$18-1)/2)*$B$17,(($B$18-1)-($B$18-1)/2)*$B$17))*$B$53+(0),999)</f>
        <v>-13.3846153846154</v>
      </c>
      <c r="R18" s="35">
        <f>IF(AND($B$22&gt;0),(IF(3&lt;$B$22,(3-($B$22-1)/2)*$B$21,(($B$22-1)-($B$22-1)/2)*$B$21))*$B$53+(-38),999)</f>
        <v>-51.3846153846154</v>
      </c>
      <c r="S18" s="35">
        <f>IF(AND($B$22&gt;0),(IF(3&lt;$B$22,(-$B$5/2+IF($B$3=3,0,$B$13)),IF(MOD($B$22-1,2)=0,(($B$18-1)/2*$B$17),(-(($B$18-1)/2*$B$17)))))*$B$53+(0),999)</f>
        <v>-27.3269230769231</v>
      </c>
      <c r="T18" s="35">
        <f>IF(AND($B$30&gt;0,$B$29&gt;0),(IF(3&lt;$B$30,(-$B$4/2+$B$13),IF(MOD($B$30-1,2)=0,(($B$31-1)/2*$B$29),(-(($B$31-1)/2*$B$29)))))*$B$53+(-38),999)</f>
        <v>999</v>
      </c>
      <c r="U18" s="35">
        <f>IF(AND($B$30&gt;0,$B$29&gt;0),(IF(3&lt;$B$30,(3-($B$30-1)/2)*$B$29,(($B$30-1)-($B$30-1)/2)*$B$29))*$B$53+(0),999)</f>
        <v>999</v>
      </c>
      <c r="V18" s="35">
        <f>IF(AND($B$31&gt;0,$B$29&gt;0),(IF(3&lt;$B$31,(3-($B$31-1)/2)*$B$29,(($B$31-1)-($B$31-1)/2)*$B$29))*$B$53+(-38),999)</f>
        <v>999</v>
      </c>
      <c r="W18" s="35">
        <f>IF(AND($B$31&gt;0,$B$29&gt;0),(IF(3&lt;$B$31,(-$B$5/2+$B$13),IF(MOD($B$31-1,2)=0,(($B$30-1)/2*$B$29),(-(($B$30-1)/2*$B$29)))))*$B$53+(0),999)</f>
        <v>999</v>
      </c>
      <c r="CL18" s="35">
        <f>((-$B$4/2-$B$51)+(-$B$8/2-(-$B$4/2-$B$51))*4/10)*$B$57+(-37)</f>
        <v>-60.1033653846154</v>
      </c>
      <c r="CM18" s="35">
        <f>(($B$7)-$B$59)*$B$57+(0)</f>
        <v>14.7235576923077</v>
      </c>
      <c r="CN18" s="35">
        <f>(($B$8/2)+($B$4/2+$B$51-($B$8/2))*4/10)*$B$57+(-37)</f>
        <v>-19.8449519230769</v>
      </c>
      <c r="CO18" s="35">
        <f>(($B$7)-$B$59)*$B$57+(0)</f>
        <v>14.7235576923077</v>
      </c>
      <c r="CV18" s="35">
        <f>IF(AND(14&lt;$B$22),((14-($B$22-1)/2)*$B$21)*$B$57+(-37),999)</f>
        <v>999</v>
      </c>
      <c r="CW18" s="35">
        <f>IF(AND(14&lt;$B$22),(($B$24)-$B$59)*$B$57+(0),999)</f>
        <v>999</v>
      </c>
      <c r="CZ18" s="35">
        <f>IF(AND(14&lt;$B$31,$B$29&gt;0),((14-($B$31-1)/2)*$B$29)*$B$57+(-37),999)</f>
        <v>999</v>
      </c>
      <c r="DA18" s="35">
        <f>IF(AND(14&lt;$B$31,$B$29&gt;0),(($B$33)-$B$59)*$B$57+(0),999)</f>
        <v>999</v>
      </c>
      <c r="DJ18" s="35">
        <f>IF($B$39=1,((-1)*MIN($B$8/2+0.05+IF(7&lt;INT(($B$49-0.05)/$B$47)+1,7*$B$47,INT(($B$49-0.05)/$B$47)*$B$47+(7-INT(($B$49-0.05)/$B$47))*$B$48),$B$4/2+$B$50-0.05))*$B$57+(-37),999)</f>
        <v>999</v>
      </c>
      <c r="DK18" s="35">
        <f>IF($B$39=1,(($B$6+$B$41-$B$42)-$B$59)*$B$57+(0),999)</f>
        <v>999</v>
      </c>
      <c r="DL18" s="35">
        <f>IF($B$39=1,((1)*MIN($B$8/2+0.05+IF(7&lt;INT(($B$49-0.05)/$B$47)+1,7*$B$47,INT(($B$49-0.05)/$B$47)*$B$47+(7-INT(($B$49-0.05)/$B$47))*$B$48),$B$4/2+$B$50-0.05))*$B$57+(-37),999)</f>
        <v>999</v>
      </c>
      <c r="DM18" s="35">
        <f>IF($B$39=1,(($B$6+$B$41-$B$42)-$B$59)*$B$57+(0),999)</f>
        <v>999</v>
      </c>
      <c r="EL18" s="35">
        <f>((-$B$4/2-$B$51)+(-$B$8/2-(-$B$4/2-$B$51))*4/10)*$B$58+(0)</f>
        <v>-18.4826923076923</v>
      </c>
      <c r="EM18" s="35">
        <f>(($B$7)-$B$59)*$B$58+(0)</f>
        <v>11.7788461538462</v>
      </c>
      <c r="EN18" s="35">
        <f>(($B$8/2)+($B$4/2+$B$51-($B$8/2))*4/10)*$B$58+(0)</f>
        <v>13.7240384615385</v>
      </c>
      <c r="EO18" s="35">
        <f>(($B$7)-$B$59)*$B$58+(0)</f>
        <v>11.7788461538462</v>
      </c>
      <c r="GF18" s="35">
        <f>IF($B$80&gt;0,(IF(MOD(MIN(INT(14/2),$B$80-1),2)=0,1,-1)*IF(IF(INT(14/2)&gt;$B$80-1,1,MOD(14,2))=0,-1,1)*$B$37)*$B$57+(-37),999)</f>
        <v>-41.005859375</v>
      </c>
      <c r="GG18" s="35">
        <f>IF($B$80&gt;0,(($B$6+0.05+MIN(INT(14/2),$B$80-1)*$B$79)-$B$59)*$B$57+(0),999)</f>
        <v>13.671875</v>
      </c>
    </row>
    <row r="19" x14ac:dyDescent="0.3">
      <c r="A19" s="33" t="s">
        <v>1418</v>
      </c>
      <c r="B19" s="34">
        <f>CHOOSE($B$3,AISLADA!$C$32,AISLADA_CT!$C$33,CORRIDA!$C$26)</f>
        <v>5</v>
      </c>
      <c r="P19" s="35">
        <f>IF(AND($B$18&gt;0),(IF(3&lt;$B$18,(-(($B$22-1)/2*$B$21)),IF(MOD($B$18-1,2)=0,(($B$22-1)/2*$B$21),(-(($B$22-1)/2*$B$21)))))*$B$53+(-38),999)</f>
        <v>-64.7692307692308</v>
      </c>
      <c r="Q19" s="35">
        <f>IF(AND($B$18&gt;0),(IF(3&lt;$B$18,(3-($B$18-1)/2)*$B$17,(($B$18-1)-($B$18-1)/2)*$B$17))*$B$53+(0),999)</f>
        <v>-13.3846153846154</v>
      </c>
      <c r="R19" s="35">
        <f>IF(AND($B$22&gt;0),(IF(3&lt;$B$22,(3-($B$22-1)/2)*$B$21,(($B$22-1)-($B$22-1)/2)*$B$21))*$B$53+(-38),999)</f>
        <v>-51.3846153846154</v>
      </c>
      <c r="S19" s="35">
        <f>IF(AND($B$22&gt;0),(IF(3&lt;$B$22,(-(($B$18-1)/2*$B$17)),IF(MOD($B$22-1,2)=0,(($B$18-1)/2*$B$17),(-(($B$18-1)/2*$B$17)))))*$B$53+(0),999)</f>
        <v>-26.7692307692308</v>
      </c>
      <c r="T19" s="35">
        <f>IF(AND($B$30&gt;0,$B$29&gt;0),(IF(3&lt;$B$30,(-(($B$31-1)/2*$B$29)),IF(MOD($B$30-1,2)=0,(($B$31-1)/2*$B$29),(-(($B$31-1)/2*$B$29)))))*$B$53+(-38),999)</f>
        <v>999</v>
      </c>
      <c r="U19" s="35">
        <f>IF(AND($B$30&gt;0,$B$29&gt;0),(IF(3&lt;$B$30,(3-($B$30-1)/2)*$B$29,(($B$30-1)-($B$30-1)/2)*$B$29))*$B$53+(0),999)</f>
        <v>999</v>
      </c>
      <c r="V19" s="35">
        <f>IF(AND($B$31&gt;0,$B$29&gt;0),(IF(3&lt;$B$31,(3-($B$31-1)/2)*$B$29,(($B$31-1)-($B$31-1)/2)*$B$29))*$B$53+(-38),999)</f>
        <v>999</v>
      </c>
      <c r="W19" s="35">
        <f>IF(AND($B$31&gt;0,$B$29&gt;0),(IF(3&lt;$B$31,(-(($B$30-1)/2*$B$29)),IF(MOD($B$31-1,2)=0,(($B$30-1)/2*$B$29),(-(($B$30-1)/2*$B$29)))))*$B$53+(0),999)</f>
        <v>999</v>
      </c>
      <c r="CL19" s="35">
        <f>((-$B$4/2-$B$51)+(-$B$8/2-(-$B$4/2-$B$51))*5/10)*$B$57+(-37)</f>
        <v>-57.1292067307692</v>
      </c>
      <c r="CM19" s="35">
        <f>(($B$7)-$B$59)*$B$57+(0)</f>
        <v>14.7235576923077</v>
      </c>
      <c r="CN19" s="35">
        <f>(($B$8/2)+($B$4/2+$B$51-($B$8/2))*5/10)*$B$57+(-37)</f>
        <v>-16.8707932692308</v>
      </c>
      <c r="CO19" s="35">
        <f>(($B$7)-$B$59)*$B$57+(0)</f>
        <v>14.7235576923077</v>
      </c>
      <c r="CV19" s="35">
        <f>IF(AND(15&lt;$B$22),((15-($B$22-1)/2)*$B$21)*$B$57+(-37),999)</f>
        <v>999</v>
      </c>
      <c r="CW19" s="35">
        <f>IF(AND(15&lt;$B$22),(($B$24)-$B$59)*$B$57+(0),999)</f>
        <v>999</v>
      </c>
      <c r="CZ19" s="35">
        <f>IF(AND(15&lt;$B$31,$B$29&gt;0),((15-($B$31-1)/2)*$B$29)*$B$57+(-37),999)</f>
        <v>999</v>
      </c>
      <c r="DA19" s="35">
        <f>IF(AND(15&lt;$B$31,$B$29&gt;0),(($B$33)-$B$59)*$B$57+(0),999)</f>
        <v>999</v>
      </c>
      <c r="DJ19" s="35">
        <f>IF($B$39=1,((-1)*MIN($B$8/2+0.05+IF(7&lt;INT(($B$49-0.05)/$B$47)+1,7*$B$47,INT(($B$49-0.05)/$B$47)*$B$47+(7-INT(($B$49-0.05)/$B$47))*$B$48),$B$4/2+$B$50-0.05))*$B$57+(-37),999)</f>
        <v>999</v>
      </c>
      <c r="DK19" s="35">
        <f>IF($B$39=1,(($B$6+$B$42)-$B$59)*$B$57+(0),999)</f>
        <v>999</v>
      </c>
      <c r="DL19" s="35">
        <f>IF($B$39=1,((1)*MIN($B$8/2+0.05+IF(7&lt;INT(($B$49-0.05)/$B$47)+1,7*$B$47,INT(($B$49-0.05)/$B$47)*$B$47+(7-INT(($B$49-0.05)/$B$47))*$B$48),$B$4/2+$B$50-0.05))*$B$57+(-37),999)</f>
        <v>999</v>
      </c>
      <c r="DM19" s="35">
        <f>IF($B$39=1,(($B$6+$B$42)-$B$59)*$B$57+(0),999)</f>
        <v>999</v>
      </c>
      <c r="EL19" s="35">
        <f>((-$B$4/2-$B$51)+(-$B$8/2-(-$B$4/2-$B$51))*5/10)*$B$58+(0)</f>
        <v>-16.1033653846154</v>
      </c>
      <c r="EM19" s="35">
        <f>(($B$7)-$B$59)*$B$58+(0)</f>
        <v>11.7788461538462</v>
      </c>
      <c r="EN19" s="35">
        <f>(($B$8/2)+($B$4/2+$B$51-($B$8/2))*5/10)*$B$58+(0)</f>
        <v>16.1033653846154</v>
      </c>
      <c r="EO19" s="35">
        <f>(($B$7)-$B$59)*$B$58+(0)</f>
        <v>11.7788461538462</v>
      </c>
      <c r="GF19" s="35">
        <f>IF($B$80&gt;0,(IF(MOD(MIN(INT(15/2),$B$80-1),2)=0,1,-1)*IF(IF(INT(15/2)&gt;$B$80-1,1,MOD(15,2))=0,-1,1)*$B$37)*$B$57+(-37),999)</f>
        <v>-41.005859375</v>
      </c>
      <c r="GG19" s="35">
        <f>IF($B$80&gt;0,(($B$6+0.05+MIN(INT(15/2),$B$80-1)*$B$79)-$B$59)*$B$57+(0),999)</f>
        <v>13.671875</v>
      </c>
    </row>
    <row r="20" x14ac:dyDescent="0.3">
      <c r="A20" s="33" t="s">
        <v>1419</v>
      </c>
      <c r="B20" s="34">
        <f>CHOOSE($B$3,AISLADA!$C$40,AISLADA_CT!$C$41,CORRIDA!$C$30)/100</f>
        <v>0.0159</v>
      </c>
      <c r="P20" s="35">
        <f>IF(AND($B$18&gt;0),(IF(4&lt;$B$18,(-(($B$22-1)/2*$B$21)),IF(MOD($B$18-1,2)=0,(($B$22-1)/2*$B$21),(-(($B$22-1)/2*$B$21)))))*$B$53+(-38),999)</f>
        <v>-64.7692307692308</v>
      </c>
      <c r="Q20" s="35">
        <f>IF(AND($B$18&gt;0),(IF(4&lt;$B$18,(4-($B$18-1)/2)*$B$17,(($B$18-1)-($B$18-1)/2)*$B$17))*$B$53+(0),999)</f>
        <v>-8.92307692307692</v>
      </c>
      <c r="R20" s="35">
        <f>IF(AND($B$22&gt;0),(IF(4&lt;$B$22,(4-($B$22-1)/2)*$B$21,(($B$22-1)-($B$22-1)/2)*$B$21))*$B$53+(-38),999)</f>
        <v>-46.9230769230769</v>
      </c>
      <c r="S20" s="35">
        <f>IF(AND($B$22&gt;0),(IF(4&lt;$B$22,(-(($B$18-1)/2*$B$17)),IF(MOD($B$22-1,2)=0,(($B$18-1)/2*$B$17),(-(($B$18-1)/2*$B$17)))))*$B$53+(0),999)</f>
        <v>-26.7692307692308</v>
      </c>
      <c r="T20" s="35">
        <f>IF(AND($B$30&gt;0,$B$29&gt;0),(IF(4&lt;$B$30,(-(($B$31-1)/2*$B$29)),IF(MOD($B$30-1,2)=0,(($B$31-1)/2*$B$29),(-(($B$31-1)/2*$B$29)))))*$B$53+(-38),999)</f>
        <v>999</v>
      </c>
      <c r="U20" s="35">
        <f>IF(AND($B$30&gt;0,$B$29&gt;0),(IF(4&lt;$B$30,(4-($B$30-1)/2)*$B$29,(($B$30-1)-($B$30-1)/2)*$B$29))*$B$53+(0),999)</f>
        <v>999</v>
      </c>
      <c r="V20" s="35">
        <f>IF(AND($B$31&gt;0,$B$29&gt;0),(IF(4&lt;$B$31,(4-($B$31-1)/2)*$B$29,(($B$31-1)-($B$31-1)/2)*$B$29))*$B$53+(-38),999)</f>
        <v>999</v>
      </c>
      <c r="W20" s="35">
        <f>IF(AND($B$31&gt;0,$B$29&gt;0),(IF(4&lt;$B$31,(-(($B$30-1)/2*$B$29)),IF(MOD($B$31-1,2)=0,(($B$30-1)/2*$B$29),(-(($B$30-1)/2*$B$29)))))*$B$53+(0),999)</f>
        <v>999</v>
      </c>
      <c r="CL20" s="35">
        <f>((-$B$4/2-$B$51)+(-$B$8/2-(-$B$4/2-$B$51))*5/10)*$B$57+(-37)-1.2</f>
        <v>-58.3292067307692</v>
      </c>
      <c r="CM20" s="35">
        <f>(($B$7)-$B$59)*$B$57+(0)-1.2</f>
        <v>13.5235576923077</v>
      </c>
      <c r="CN20" s="35">
        <f>(($B$8/2)+($B$4/2+$B$51-($B$8/2))*5/10)*$B$57+(-37)-1.2</f>
        <v>-18.0707932692308</v>
      </c>
      <c r="CO20" s="35">
        <f>(($B$7)-$B$59)*$B$57+(0)-1.2</f>
        <v>13.5235576923077</v>
      </c>
      <c r="CV20" s="35">
        <f>IF(AND(16&lt;$B$22),((16-($B$22-1)/2)*$B$21)*$B$57+(-37),999)</f>
        <v>999</v>
      </c>
      <c r="CW20" s="35">
        <f>IF(AND(16&lt;$B$22),(($B$24)-$B$59)*$B$57+(0),999)</f>
        <v>999</v>
      </c>
      <c r="CZ20" s="35">
        <f>IF(AND(16&lt;$B$31,$B$29&gt;0),((16-($B$31-1)/2)*$B$29)*$B$57+(-37),999)</f>
        <v>999</v>
      </c>
      <c r="DA20" s="35">
        <f>IF(AND(16&lt;$B$31,$B$29&gt;0),(($B$33)-$B$59)*$B$57+(0),999)</f>
        <v>999</v>
      </c>
      <c r="DJ20" s="35">
        <f>IF($B$39=1,((-1)*MIN($B$8/2+0.05+IF(8&lt;INT(($B$49-0.05)/$B$47)+1,8*$B$47,INT(($B$49-0.05)/$B$47)*$B$47+(8-INT(($B$49-0.05)/$B$47))*$B$48),$B$4/2+$B$50-0.05))*$B$57+(-37),999)</f>
        <v>999</v>
      </c>
      <c r="DK20" s="35">
        <f>IF($B$39=1,(($B$6+$B$42)-$B$59)*$B$57+(0),999)</f>
        <v>999</v>
      </c>
      <c r="DL20" s="35">
        <f>IF($B$39=1,((1)*MIN($B$8/2+0.05+IF(8&lt;INT(($B$49-0.05)/$B$47)+1,8*$B$47,INT(($B$49-0.05)/$B$47)*$B$47+(8-INT(($B$49-0.05)/$B$47))*$B$48),$B$4/2+$B$50-0.05))*$B$57+(-37),999)</f>
        <v>999</v>
      </c>
      <c r="DM20" s="35">
        <f>IF($B$39=1,(($B$6+$B$42)-$B$59)*$B$57+(0),999)</f>
        <v>999</v>
      </c>
      <c r="EL20" s="35">
        <f>((-$B$4/2-$B$51)+(-$B$8/2-(-$B$4/2-$B$51))*5/10)*$B$58+(0)-1.2</f>
        <v>-17.3033653846154</v>
      </c>
      <c r="EM20" s="35">
        <f>(($B$7)-$B$59)*$B$58+(0)-1.2</f>
        <v>10.5788461538462</v>
      </c>
      <c r="EN20" s="35">
        <f>(($B$8/2)+($B$4/2+$B$51-($B$8/2))*5/10)*$B$58+(0)-1.2</f>
        <v>14.9033653846154</v>
      </c>
      <c r="EO20" s="35">
        <f>(($B$7)-$B$59)*$B$58+(0)-1.2</f>
        <v>10.5788461538462</v>
      </c>
      <c r="GF20" s="35">
        <f>IF($B$80&gt;0,(IF(MOD(MIN(INT(16/2),$B$80-1),2)=0,1,-1)*IF(IF(INT(16/2)&gt;$B$80-1,1,MOD(16,2))=0,-1,1)*$B$37)*$B$57+(-37),999)</f>
        <v>-41.005859375</v>
      </c>
      <c r="GG20" s="35">
        <f>IF($B$80&gt;0,(($B$6+0.05+MIN(INT(16/2),$B$80-1)*$B$79)-$B$59)*$B$57+(0),999)</f>
        <v>13.671875</v>
      </c>
    </row>
    <row r="21" x14ac:dyDescent="0.3">
      <c r="A21" s="33" t="s">
        <v>1420</v>
      </c>
      <c r="B21" s="34">
        <f>CHOOSE($B$3,AISLADA!$C$146,AISLADA_CT!$C$147,CORRIDA!$C$103)/100</f>
        <v>0.2</v>
      </c>
      <c r="P21" s="35">
        <f>IF(AND($B$18&gt;0),(IF(4&lt;$B$18,(-$B$4/2+$B$13),IF(MOD($B$18-1,2)=0,(($B$22-1)/2*$B$21),(-(($B$22-1)/2*$B$21)))))*$B$53+(-38),999)</f>
        <v>-65.3269230769231</v>
      </c>
      <c r="Q21" s="35">
        <f>IF(AND($B$18&gt;0),(IF(4&lt;$B$18,(4-($B$18-1)/2)*$B$17,(($B$18-1)-($B$18-1)/2)*$B$17))*$B$53+(0),999)</f>
        <v>-8.92307692307692</v>
      </c>
      <c r="R21" s="35">
        <f>IF(AND($B$22&gt;0),(IF(4&lt;$B$22,(4-($B$22-1)/2)*$B$21,(($B$22-1)-($B$22-1)/2)*$B$21))*$B$53+(-38),999)</f>
        <v>-46.9230769230769</v>
      </c>
      <c r="S21" s="35">
        <f>IF(AND($B$22&gt;0),(IF(4&lt;$B$22,(-$B$5/2+IF($B$3=3,0,$B$13)),IF(MOD($B$22-1,2)=0,(($B$18-1)/2*$B$17),(-(($B$18-1)/2*$B$17)))))*$B$53+(0),999)</f>
        <v>-27.3269230769231</v>
      </c>
      <c r="T21" s="35">
        <f>IF(AND($B$30&gt;0,$B$29&gt;0),(IF(4&lt;$B$30,(-$B$4/2+$B$13),IF(MOD($B$30-1,2)=0,(($B$31-1)/2*$B$29),(-(($B$31-1)/2*$B$29)))))*$B$53+(-38),999)</f>
        <v>999</v>
      </c>
      <c r="U21" s="35">
        <f>IF(AND($B$30&gt;0,$B$29&gt;0),(IF(4&lt;$B$30,(4-($B$30-1)/2)*$B$29,(($B$30-1)-($B$30-1)/2)*$B$29))*$B$53+(0),999)</f>
        <v>999</v>
      </c>
      <c r="V21" s="35">
        <f>IF(AND($B$31&gt;0,$B$29&gt;0),(IF(4&lt;$B$31,(4-($B$31-1)/2)*$B$29,(($B$31-1)-($B$31-1)/2)*$B$29))*$B$53+(-38),999)</f>
        <v>999</v>
      </c>
      <c r="W21" s="35">
        <f>IF(AND($B$31&gt;0,$B$29&gt;0),(IF(4&lt;$B$31,(-$B$5/2+$B$13),IF(MOD($B$31-1,2)=0,(($B$30-1)/2*$B$29),(-(($B$30-1)/2*$B$29)))))*$B$53+(0),999)</f>
        <v>999</v>
      </c>
      <c r="CL21" s="35">
        <f>((-$B$4/2-$B$51)+(-$B$8/2-(-$B$4/2-$B$51))*5/10)*$B$57+(-37)</f>
        <v>-57.1292067307692</v>
      </c>
      <c r="CM21" s="35">
        <f>(($B$7)-$B$59)*$B$57+(0)</f>
        <v>14.7235576923077</v>
      </c>
      <c r="CN21" s="35">
        <f>(($B$8/2)+($B$4/2+$B$51-($B$8/2))*5/10)*$B$57+(-37)</f>
        <v>-16.8707932692308</v>
      </c>
      <c r="CO21" s="35">
        <f>(($B$7)-$B$59)*$B$57+(0)</f>
        <v>14.7235576923077</v>
      </c>
      <c r="CV21" s="35">
        <f>IF(AND(17&lt;$B$22),((17-($B$22-1)/2)*$B$21)*$B$57+(-37),999)</f>
        <v>999</v>
      </c>
      <c r="CW21" s="35">
        <f>IF(AND(17&lt;$B$22),(($B$24)-$B$59)*$B$57+(0),999)</f>
        <v>999</v>
      </c>
      <c r="CZ21" s="35">
        <f>IF(AND(17&lt;$B$31,$B$29&gt;0),((17-($B$31-1)/2)*$B$29)*$B$57+(-37),999)</f>
        <v>999</v>
      </c>
      <c r="DA21" s="35">
        <f>IF(AND(17&lt;$B$31,$B$29&gt;0),(($B$33)-$B$59)*$B$57+(0),999)</f>
        <v>999</v>
      </c>
      <c r="DJ21" s="35">
        <f>IF($B$39=1,((-1)*MIN($B$8/2+0.05+IF(8&lt;INT(($B$49-0.05)/$B$47)+1,8*$B$47,INT(($B$49-0.05)/$B$47)*$B$47+(8-INT(($B$49-0.05)/$B$47))*$B$48),$B$4/2+$B$50-0.05))*$B$57+(-37),999)</f>
        <v>999</v>
      </c>
      <c r="DK21" s="35">
        <f>IF($B$39=1,(($B$6+$B$41-$B$42)-$B$59)*$B$57+(0),999)</f>
        <v>999</v>
      </c>
      <c r="DL21" s="35">
        <f>IF($B$39=1,((1)*MIN($B$8/2+0.05+IF(8&lt;INT(($B$49-0.05)/$B$47)+1,8*$B$47,INT(($B$49-0.05)/$B$47)*$B$47+(8-INT(($B$49-0.05)/$B$47))*$B$48),$B$4/2+$B$50-0.05))*$B$57+(-37),999)</f>
        <v>999</v>
      </c>
      <c r="DM21" s="35">
        <f>IF($B$39=1,(($B$6+$B$41-$B$42)-$B$59)*$B$57+(0),999)</f>
        <v>999</v>
      </c>
      <c r="EL21" s="35">
        <f>((-$B$4/2-$B$51)+(-$B$8/2-(-$B$4/2-$B$51))*5/10)*$B$58+(0)</f>
        <v>-16.1033653846154</v>
      </c>
      <c r="EM21" s="35">
        <f>(($B$7)-$B$59)*$B$58+(0)</f>
        <v>11.7788461538462</v>
      </c>
      <c r="EN21" s="35">
        <f>(($B$8/2)+($B$4/2+$B$51-($B$8/2))*5/10)*$B$58+(0)</f>
        <v>16.1033653846154</v>
      </c>
      <c r="EO21" s="35">
        <f>(($B$7)-$B$59)*$B$58+(0)</f>
        <v>11.7788461538462</v>
      </c>
      <c r="GF21" s="35">
        <f>IF($B$80&gt;0,(IF(MOD(MIN(INT(17/2),$B$80-1),2)=0,1,-1)*IF(IF(INT(17/2)&gt;$B$80-1,1,MOD(17,2))=0,-1,1)*$B$37)*$B$57+(-37),999)</f>
        <v>-41.005859375</v>
      </c>
      <c r="GG21" s="35">
        <f>IF($B$80&gt;0,(($B$6+0.05+MIN(INT(17/2),$B$80-1)*$B$79)-$B$59)*$B$57+(0),999)</f>
        <v>13.671875</v>
      </c>
    </row>
    <row r="22" x14ac:dyDescent="0.3">
      <c r="A22" s="33" t="s">
        <v>1421</v>
      </c>
      <c r="B22" s="34">
        <f>MIN(80,CHOOSE($B$3,AISLADA!$C$147,AISLADA_CT!$C$148,CORRIDA!$C$102))</f>
        <v>13</v>
      </c>
      <c r="P22" s="35">
        <f>IF(AND($B$18&gt;0),(IF(4&lt;$B$18,($B$4/2-$B$13),IF(MOD($B$18-1,2)=0,(($B$22-1)/2*$B$21),(-(($B$22-1)/2*$B$21)))))*$B$53+(-38),999)</f>
        <v>-10.6730769230769</v>
      </c>
      <c r="Q22" s="35">
        <f>IF(AND($B$18&gt;0),(IF(4&lt;$B$18,(4-($B$18-1)/2)*$B$17,(($B$18-1)-($B$18-1)/2)*$B$17))*$B$53+(0),999)</f>
        <v>-8.92307692307692</v>
      </c>
      <c r="R22" s="35">
        <f>IF(AND($B$22&gt;0),(IF(4&lt;$B$22,(4-($B$22-1)/2)*$B$21,(($B$22-1)-($B$22-1)/2)*$B$21))*$B$53+(-38),999)</f>
        <v>-46.9230769230769</v>
      </c>
      <c r="S22" s="35">
        <f>IF(AND($B$22&gt;0),(IF(4&lt;$B$22,($B$5/2-IF($B$3=3,0,$B$13)),IF(MOD($B$22-1,2)=0,(($B$18-1)/2*$B$17),(-(($B$18-1)/2*$B$17)))))*$B$53+(0),999)</f>
        <v>27.3269230769231</v>
      </c>
      <c r="T22" s="35">
        <f>IF(AND($B$30&gt;0,$B$29&gt;0),(IF(4&lt;$B$30,($B$4/2-$B$13),IF(MOD($B$30-1,2)=0,(($B$31-1)/2*$B$29),(-(($B$31-1)/2*$B$29)))))*$B$53+(-38),999)</f>
        <v>999</v>
      </c>
      <c r="U22" s="35">
        <f>IF(AND($B$30&gt;0,$B$29&gt;0),(IF(4&lt;$B$30,(4-($B$30-1)/2)*$B$29,(($B$30-1)-($B$30-1)/2)*$B$29))*$B$53+(0),999)</f>
        <v>999</v>
      </c>
      <c r="V22" s="35">
        <f>IF(AND($B$31&gt;0,$B$29&gt;0),(IF(4&lt;$B$31,(4-($B$31-1)/2)*$B$29,(($B$31-1)-($B$31-1)/2)*$B$29))*$B$53+(-38),999)</f>
        <v>999</v>
      </c>
      <c r="W22" s="35">
        <f>IF(AND($B$31&gt;0,$B$29&gt;0),(IF(4&lt;$B$31,($B$5/2-$B$13),IF(MOD($B$31-1,2)=0,(($B$30-1)/2*$B$29),(-(($B$30-1)/2*$B$29)))))*$B$53+(0),999)</f>
        <v>999</v>
      </c>
      <c r="CL22" s="35">
        <f>((-$B$4/2-$B$51)+(-$B$8/2-(-$B$4/2-$B$51))*6/10)*$B$57+(-37)</f>
        <v>-54.1550480769231</v>
      </c>
      <c r="CM22" s="35">
        <f>(($B$7)-$B$59)*$B$57+(0)</f>
        <v>14.7235576923077</v>
      </c>
      <c r="CN22" s="35">
        <f>(($B$8/2)+($B$4/2+$B$51-($B$8/2))*6/10)*$B$57+(-37)</f>
        <v>-13.8966346153846</v>
      </c>
      <c r="CO22" s="35">
        <f>(($B$7)-$B$59)*$B$57+(0)</f>
        <v>14.7235576923077</v>
      </c>
      <c r="CV22" s="35">
        <f>IF(AND(18&lt;$B$22),((18-($B$22-1)/2)*$B$21)*$B$57+(-37),999)</f>
        <v>999</v>
      </c>
      <c r="CW22" s="35">
        <f>IF(AND(18&lt;$B$22),(($B$24)-$B$59)*$B$57+(0),999)</f>
        <v>999</v>
      </c>
      <c r="CZ22" s="35">
        <f>IF(AND(18&lt;$B$31,$B$29&gt;0),((18-($B$31-1)/2)*$B$29)*$B$57+(-37),999)</f>
        <v>999</v>
      </c>
      <c r="DA22" s="35">
        <f>IF(AND(18&lt;$B$31,$B$29&gt;0),(($B$33)-$B$59)*$B$57+(0),999)</f>
        <v>999</v>
      </c>
      <c r="DJ22" s="35">
        <f>IF($B$39=1,((-1)*MIN($B$8/2+0.05+IF(9&lt;INT(($B$49-0.05)/$B$47)+1,9*$B$47,INT(($B$49-0.05)/$B$47)*$B$47+(9-INT(($B$49-0.05)/$B$47))*$B$48),$B$4/2+$B$50-0.05))*$B$57+(-37),999)</f>
        <v>999</v>
      </c>
      <c r="DK22" s="35">
        <f>IF($B$39=1,(($B$6+$B$41-$B$42)-$B$59)*$B$57+(0),999)</f>
        <v>999</v>
      </c>
      <c r="DL22" s="35">
        <f>IF($B$39=1,((1)*MIN($B$8/2+0.05+IF(9&lt;INT(($B$49-0.05)/$B$47)+1,9*$B$47,INT(($B$49-0.05)/$B$47)*$B$47+(9-INT(($B$49-0.05)/$B$47))*$B$48),$B$4/2+$B$50-0.05))*$B$57+(-37),999)</f>
        <v>999</v>
      </c>
      <c r="DM22" s="35">
        <f>IF($B$39=1,(($B$6+$B$41-$B$42)-$B$59)*$B$57+(0),999)</f>
        <v>999</v>
      </c>
      <c r="EL22" s="35">
        <f>((-$B$4/2-$B$51)+(-$B$8/2-(-$B$4/2-$B$51))*6/10)*$B$58+(0)</f>
        <v>-13.7240384615385</v>
      </c>
      <c r="EM22" s="35">
        <f>(($B$7)-$B$59)*$B$58+(0)</f>
        <v>11.7788461538462</v>
      </c>
      <c r="EN22" s="35">
        <f>(($B$8/2)+($B$4/2+$B$51-($B$8/2))*6/10)*$B$58+(0)</f>
        <v>18.4826923076923</v>
      </c>
      <c r="EO22" s="35">
        <f>(($B$7)-$B$59)*$B$58+(0)</f>
        <v>11.7788461538462</v>
      </c>
      <c r="GF22" s="35">
        <f>IF($B$80&gt;0,(IF(MOD(MIN(INT(18/2),$B$80-1),2)=0,1,-1)*IF(IF(INT(18/2)&gt;$B$80-1,1,MOD(18,2))=0,-1,1)*$B$37)*$B$57+(-37),999)</f>
        <v>-41.005859375</v>
      </c>
      <c r="GG22" s="35">
        <f>IF($B$80&gt;0,(($B$6+0.05+MIN(INT(18/2),$B$80-1)*$B$79)-$B$59)*$B$57+(0),999)</f>
        <v>13.671875</v>
      </c>
    </row>
    <row r="23" x14ac:dyDescent="0.3">
      <c r="A23" s="33" t="s">
        <v>1422</v>
      </c>
      <c r="B23" s="34">
        <f>CHOOSE($B$3,(AISLADA!$C$9*100-AISLADA!$C$44)/100,(AISLADA_CT!$C$10*100-AISLADA_CT!$C$45)/100,(CORRIDA!$C$8*100-CORRIDA!$C$32)/100)</f>
        <v>0.08295</v>
      </c>
      <c r="P23" s="35">
        <f>IF(AND($B$18&gt;0),(IF(4&lt;$B$18,(($B$22-1)/2*$B$21),IF(MOD($B$18-1,2)=0,(($B$22-1)/2*$B$21),(-(($B$22-1)/2*$B$21)))))*$B$53+(-38),999)</f>
        <v>-11.2307692307692</v>
      </c>
      <c r="Q23" s="35">
        <f>IF(AND($B$18&gt;0),(IF(4&lt;$B$18,(4-($B$18-1)/2)*$B$17,(($B$18-1)-($B$18-1)/2)*$B$17))*$B$53+(0),999)</f>
        <v>-8.92307692307692</v>
      </c>
      <c r="R23" s="35">
        <f>IF(AND($B$22&gt;0),(IF(4&lt;$B$22,(4-($B$22-1)/2)*$B$21,(($B$22-1)-($B$22-1)/2)*$B$21))*$B$53+(-38),999)</f>
        <v>-46.9230769230769</v>
      </c>
      <c r="S23" s="35">
        <f>IF(AND($B$22&gt;0),(IF(4&lt;$B$22,(($B$18-1)/2*$B$17),IF(MOD($B$22-1,2)=0,(($B$18-1)/2*$B$17),(-(($B$18-1)/2*$B$17)))))*$B$53+(0),999)</f>
        <v>26.7692307692308</v>
      </c>
      <c r="T23" s="35">
        <f>IF(AND($B$30&gt;0,$B$29&gt;0),(IF(4&lt;$B$30,(($B$31-1)/2*$B$29),IF(MOD($B$30-1,2)=0,(($B$31-1)/2*$B$29),(-(($B$31-1)/2*$B$29)))))*$B$53+(-38),999)</f>
        <v>999</v>
      </c>
      <c r="U23" s="35">
        <f>IF(AND($B$30&gt;0,$B$29&gt;0),(IF(4&lt;$B$30,(4-($B$30-1)/2)*$B$29,(($B$30-1)-($B$30-1)/2)*$B$29))*$B$53+(0),999)</f>
        <v>999</v>
      </c>
      <c r="V23" s="35">
        <f>IF(AND($B$31&gt;0,$B$29&gt;0),(IF(4&lt;$B$31,(4-($B$31-1)/2)*$B$29,(($B$31-1)-($B$31-1)/2)*$B$29))*$B$53+(-38),999)</f>
        <v>999</v>
      </c>
      <c r="W23" s="35">
        <f>IF(AND($B$31&gt;0,$B$29&gt;0),(IF(4&lt;$B$31,(($B$30-1)/2*$B$29),IF(MOD($B$31-1,2)=0,(($B$30-1)/2*$B$29),(-(($B$30-1)/2*$B$29)))))*$B$53+(0),999)</f>
        <v>999</v>
      </c>
      <c r="CL23" s="35">
        <f>((-$B$4/2-$B$51)+(-$B$8/2-(-$B$4/2-$B$51))*6/10)*$B$57+(-37)-1.2</f>
        <v>-55.3550480769231</v>
      </c>
      <c r="CM23" s="35">
        <f>(($B$7)-$B$59)*$B$57+(0)-1.2</f>
        <v>13.5235576923077</v>
      </c>
      <c r="CN23" s="35">
        <f>(($B$8/2)+($B$4/2+$B$51-($B$8/2))*6/10)*$B$57+(-37)-1.2</f>
        <v>-15.0966346153846</v>
      </c>
      <c r="CO23" s="35">
        <f>(($B$7)-$B$59)*$B$57+(0)-1.2</f>
        <v>13.5235576923077</v>
      </c>
      <c r="CV23" s="35">
        <f>IF(AND(19&lt;$B$22),((19-($B$22-1)/2)*$B$21)*$B$57+(-37),999)</f>
        <v>999</v>
      </c>
      <c r="CW23" s="35">
        <f>IF(AND(19&lt;$B$22),(($B$24)-$B$59)*$B$57+(0),999)</f>
        <v>999</v>
      </c>
      <c r="CZ23" s="35">
        <f>IF(AND(19&lt;$B$31,$B$29&gt;0),((19-($B$31-1)/2)*$B$29)*$B$57+(-37),999)</f>
        <v>999</v>
      </c>
      <c r="DA23" s="35">
        <f>IF(AND(19&lt;$B$31,$B$29&gt;0),(($B$33)-$B$59)*$B$57+(0),999)</f>
        <v>999</v>
      </c>
      <c r="DJ23" s="35">
        <f>IF($B$39=1,((-1)*MIN($B$8/2+0.05+IF(9&lt;INT(($B$49-0.05)/$B$47)+1,9*$B$47,INT(($B$49-0.05)/$B$47)*$B$47+(9-INT(($B$49-0.05)/$B$47))*$B$48),$B$4/2+$B$50-0.05))*$B$57+(-37),999)</f>
        <v>999</v>
      </c>
      <c r="DK23" s="35">
        <f>IF($B$39=1,(($B$6+$B$42)-$B$59)*$B$57+(0),999)</f>
        <v>999</v>
      </c>
      <c r="DL23" s="35">
        <f>IF($B$39=1,((1)*MIN($B$8/2+0.05+IF(9&lt;INT(($B$49-0.05)/$B$47)+1,9*$B$47,INT(($B$49-0.05)/$B$47)*$B$47+(9-INT(($B$49-0.05)/$B$47))*$B$48),$B$4/2+$B$50-0.05))*$B$57+(-37),999)</f>
        <v>999</v>
      </c>
      <c r="DM23" s="35">
        <f>IF($B$39=1,(($B$6+$B$42)-$B$59)*$B$57+(0),999)</f>
        <v>999</v>
      </c>
      <c r="EL23" s="35">
        <f>((-$B$4/2-$B$51)+(-$B$8/2-(-$B$4/2-$B$51))*6/10)*$B$58+(0)-1.2</f>
        <v>-14.9240384615385</v>
      </c>
      <c r="EM23" s="35">
        <f>(($B$7)-$B$59)*$B$58+(0)-1.2</f>
        <v>10.5788461538462</v>
      </c>
      <c r="EN23" s="35">
        <f>(($B$8/2)+($B$4/2+$B$51-($B$8/2))*6/10)*$B$58+(0)-1.2</f>
        <v>17.2826923076923</v>
      </c>
      <c r="EO23" s="35">
        <f>(($B$7)-$B$59)*$B$58+(0)-1.2</f>
        <v>10.5788461538462</v>
      </c>
      <c r="GF23" s="35">
        <f>IF($B$80&gt;0,(IF(MOD(MIN(INT(19/2),$B$80-1),2)=0,1,-1)*IF(IF(INT(19/2)&gt;$B$80-1,1,MOD(19,2))=0,-1,1)*$B$37)*$B$57+(-37),999)</f>
        <v>-41.005859375</v>
      </c>
      <c r="GG23" s="35">
        <f>IF($B$80&gt;0,(($B$6+0.05+MIN(INT(19/2),$B$80-1)*$B$79)-$B$59)*$B$57+(0),999)</f>
        <v>13.671875</v>
      </c>
    </row>
    <row r="24" x14ac:dyDescent="0.3">
      <c r="A24" s="33" t="s">
        <v>1423</v>
      </c>
      <c r="B24" s="34">
        <f>CHOOSE($B$3,(AISLADA!$C$9*100-AISLADA!$C$45)/100,(AISLADA_CT!$C$10*100-AISLADA_CT!$C$46)/100,(CORRIDA!$C$13+CORRIDA!$C$28+CORRIDA!$C$30/2)/100)</f>
        <v>0.09885</v>
      </c>
      <c r="P24" s="35">
        <f>IF(AND($B$18&gt;0),(IF(5&lt;$B$18,(($B$22-1)/2*$B$21),IF(MOD($B$18-1,2)=0,(($B$22-1)/2*$B$21),(-(($B$22-1)/2*$B$21)))))*$B$53+(-38),999)</f>
        <v>-11.2307692307692</v>
      </c>
      <c r="Q24" s="35">
        <f>IF(AND($B$18&gt;0),(IF(5&lt;$B$18,(5-($B$18-1)/2)*$B$17,(($B$18-1)-($B$18-1)/2)*$B$17))*$B$53+(0),999)</f>
        <v>-4.46153846153846</v>
      </c>
      <c r="R24" s="35">
        <f>IF(AND($B$22&gt;0),(IF(5&lt;$B$22,(5-($B$22-1)/2)*$B$21,(($B$22-1)-($B$22-1)/2)*$B$21))*$B$53+(-38),999)</f>
        <v>-42.4615384615385</v>
      </c>
      <c r="S24" s="35">
        <f>IF(AND($B$22&gt;0),(IF(5&lt;$B$22,(($B$18-1)/2*$B$17),IF(MOD($B$22-1,2)=0,(($B$18-1)/2*$B$17),(-(($B$18-1)/2*$B$17)))))*$B$53+(0),999)</f>
        <v>26.7692307692308</v>
      </c>
      <c r="T24" s="35">
        <f>IF(AND($B$30&gt;0,$B$29&gt;0),(IF(5&lt;$B$30,(($B$31-1)/2*$B$29),IF(MOD($B$30-1,2)=0,(($B$31-1)/2*$B$29),(-(($B$31-1)/2*$B$29)))))*$B$53+(-38),999)</f>
        <v>999</v>
      </c>
      <c r="U24" s="35">
        <f>IF(AND($B$30&gt;0,$B$29&gt;0),(IF(5&lt;$B$30,(5-($B$30-1)/2)*$B$29,(($B$30-1)-($B$30-1)/2)*$B$29))*$B$53+(0),999)</f>
        <v>999</v>
      </c>
      <c r="V24" s="35">
        <f>IF(AND($B$31&gt;0,$B$29&gt;0),(IF(5&lt;$B$31,(5-($B$31-1)/2)*$B$29,(($B$31-1)-($B$31-1)/2)*$B$29))*$B$53+(-38),999)</f>
        <v>999</v>
      </c>
      <c r="W24" s="35">
        <f>IF(AND($B$31&gt;0,$B$29&gt;0),(IF(5&lt;$B$31,(($B$30-1)/2*$B$29),IF(MOD($B$31-1,2)=0,(($B$30-1)/2*$B$29),(-(($B$30-1)/2*$B$29)))))*$B$53+(0),999)</f>
        <v>999</v>
      </c>
      <c r="CL24" s="35">
        <f>((-$B$4/2-$B$51)+(-$B$8/2-(-$B$4/2-$B$51))*6/10)*$B$57+(-37)</f>
        <v>-54.1550480769231</v>
      </c>
      <c r="CM24" s="35">
        <f>(($B$7)-$B$59)*$B$57+(0)</f>
        <v>14.7235576923077</v>
      </c>
      <c r="CN24" s="35">
        <f>(($B$8/2)+($B$4/2+$B$51-($B$8/2))*6/10)*$B$57+(-37)</f>
        <v>-13.8966346153846</v>
      </c>
      <c r="CO24" s="35">
        <f>(($B$7)-$B$59)*$B$57+(0)</f>
        <v>14.7235576923077</v>
      </c>
      <c r="CV24" s="35">
        <f>IF(AND(20&lt;$B$22),((20-($B$22-1)/2)*$B$21)*$B$57+(-37),999)</f>
        <v>999</v>
      </c>
      <c r="CW24" s="35">
        <f>IF(AND(20&lt;$B$22),(($B$24)-$B$59)*$B$57+(0),999)</f>
        <v>999</v>
      </c>
      <c r="CZ24" s="35">
        <f>IF(AND(20&lt;$B$31,$B$29&gt;0),((20-($B$31-1)/2)*$B$29)*$B$57+(-37),999)</f>
        <v>999</v>
      </c>
      <c r="DA24" s="35">
        <f>IF(AND(20&lt;$B$31,$B$29&gt;0),(($B$33)-$B$59)*$B$57+(0),999)</f>
        <v>999</v>
      </c>
      <c r="DJ24" s="35">
        <f>IF($B$39=1,((-1)*MIN($B$8/2+0.05+IF(10&lt;INT(($B$49-0.05)/$B$47)+1,10*$B$47,INT(($B$49-0.05)/$B$47)*$B$47+(10-INT(($B$49-0.05)/$B$47))*$B$48),$B$4/2+$B$50-0.05))*$B$57+(-37),999)</f>
        <v>999</v>
      </c>
      <c r="DK24" s="35">
        <f>IF($B$39=1,(($B$6+$B$42)-$B$59)*$B$57+(0),999)</f>
        <v>999</v>
      </c>
      <c r="DL24" s="35">
        <f>IF($B$39=1,((1)*MIN($B$8/2+0.05+IF(10&lt;INT(($B$49-0.05)/$B$47)+1,10*$B$47,INT(($B$49-0.05)/$B$47)*$B$47+(10-INT(($B$49-0.05)/$B$47))*$B$48),$B$4/2+$B$50-0.05))*$B$57+(-37),999)</f>
        <v>999</v>
      </c>
      <c r="DM24" s="35">
        <f>IF($B$39=1,(($B$6+$B$42)-$B$59)*$B$57+(0),999)</f>
        <v>999</v>
      </c>
      <c r="EL24" s="35">
        <f>((-$B$4/2-$B$51)+(-$B$8/2-(-$B$4/2-$B$51))*6/10)*$B$58+(0)</f>
        <v>-13.7240384615385</v>
      </c>
      <c r="EM24" s="35">
        <f>(($B$7)-$B$59)*$B$58+(0)</f>
        <v>11.7788461538462</v>
      </c>
      <c r="EN24" s="35">
        <f>(($B$8/2)+($B$4/2+$B$51-($B$8/2))*6/10)*$B$58+(0)</f>
        <v>18.4826923076923</v>
      </c>
      <c r="EO24" s="35">
        <f>(($B$7)-$B$59)*$B$58+(0)</f>
        <v>11.7788461538462</v>
      </c>
      <c r="GF24" s="35">
        <f>IF($B$80&gt;0,(IF(MOD(MIN(INT(20/2),$B$80-1),2)=0,1,-1)*IF(IF(INT(20/2)&gt;$B$80-1,1,MOD(20,2))=0,-1,1)*$B$37)*$B$57+(-37),999)</f>
        <v>-41.005859375</v>
      </c>
      <c r="GG24" s="35">
        <f>IF($B$80&gt;0,(($B$6+0.05+MIN(INT(20/2),$B$80-1)*$B$79)-$B$59)*$B$57+(0),999)</f>
        <v>13.671875</v>
      </c>
    </row>
    <row r="25" x14ac:dyDescent="0.3">
      <c r="A25" s="33" t="s">
        <v>1424</v>
      </c>
      <c r="B25" s="34">
        <f>IF(CHOOSE($B$3,AISLADA!$C$196,AISLADA_CT!$C$197,CORRIDA!$C$114)="GANCHO 90°",12*$B$16,0)</f>
        <v>0</v>
      </c>
      <c r="P25" s="35">
        <f>IF(AND($B$18&gt;0),(IF(5&lt;$B$18,($B$4/2-$B$13),IF(MOD($B$18-1,2)=0,(($B$22-1)/2*$B$21),(-(($B$22-1)/2*$B$21)))))*$B$53+(-38),999)</f>
        <v>-10.6730769230769</v>
      </c>
      <c r="Q25" s="35">
        <f>IF(AND($B$18&gt;0),(IF(5&lt;$B$18,(5-($B$18-1)/2)*$B$17,(($B$18-1)-($B$18-1)/2)*$B$17))*$B$53+(0),999)</f>
        <v>-4.46153846153846</v>
      </c>
      <c r="R25" s="35">
        <f>IF(AND($B$22&gt;0),(IF(5&lt;$B$22,(5-($B$22-1)/2)*$B$21,(($B$22-1)-($B$22-1)/2)*$B$21))*$B$53+(-38),999)</f>
        <v>-42.4615384615385</v>
      </c>
      <c r="S25" s="35">
        <f>IF(AND($B$22&gt;0),(IF(5&lt;$B$22,($B$5/2-IF($B$3=3,0,$B$13)),IF(MOD($B$22-1,2)=0,(($B$18-1)/2*$B$17),(-(($B$18-1)/2*$B$17)))))*$B$53+(0),999)</f>
        <v>27.3269230769231</v>
      </c>
      <c r="T25" s="35">
        <f>IF(AND($B$30&gt;0,$B$29&gt;0),(IF(5&lt;$B$30,($B$4/2-$B$13),IF(MOD($B$30-1,2)=0,(($B$31-1)/2*$B$29),(-(($B$31-1)/2*$B$29)))))*$B$53+(-38),999)</f>
        <v>999</v>
      </c>
      <c r="U25" s="35">
        <f>IF(AND($B$30&gt;0,$B$29&gt;0),(IF(5&lt;$B$30,(5-($B$30-1)/2)*$B$29,(($B$30-1)-($B$30-1)/2)*$B$29))*$B$53+(0),999)</f>
        <v>999</v>
      </c>
      <c r="V25" s="35">
        <f>IF(AND($B$31&gt;0,$B$29&gt;0),(IF(5&lt;$B$31,(5-($B$31-1)/2)*$B$29,(($B$31-1)-($B$31-1)/2)*$B$29))*$B$53+(-38),999)</f>
        <v>999</v>
      </c>
      <c r="W25" s="35">
        <f>IF(AND($B$31&gt;0,$B$29&gt;0),(IF(5&lt;$B$31,($B$5/2-$B$13),IF(MOD($B$31-1,2)=0,(($B$30-1)/2*$B$29),(-(($B$30-1)/2*$B$29)))))*$B$53+(0),999)</f>
        <v>999</v>
      </c>
      <c r="CL25" s="35">
        <f>((-$B$4/2-$B$51)+(-$B$8/2-(-$B$4/2-$B$51))*7/10)*$B$57+(-37)</f>
        <v>-51.1808894230769</v>
      </c>
      <c r="CM25" s="35">
        <f>(($B$7)-$B$59)*$B$57+(0)</f>
        <v>14.7235576923077</v>
      </c>
      <c r="CN25" s="35">
        <f>(($B$8/2)+($B$4/2+$B$51-($B$8/2))*7/10)*$B$57+(-37)</f>
        <v>-10.9224759615385</v>
      </c>
      <c r="CO25" s="35">
        <f>(($B$7)-$B$59)*$B$57+(0)</f>
        <v>14.7235576923077</v>
      </c>
      <c r="CV25" s="35">
        <f>IF(AND(21&lt;$B$22),((21-($B$22-1)/2)*$B$21)*$B$57+(-37),999)</f>
        <v>999</v>
      </c>
      <c r="CW25" s="35">
        <f>IF(AND(21&lt;$B$22),(($B$24)-$B$59)*$B$57+(0),999)</f>
        <v>999</v>
      </c>
      <c r="CZ25" s="35">
        <f>IF(AND(21&lt;$B$31,$B$29&gt;0),((21-($B$31-1)/2)*$B$29)*$B$57+(-37),999)</f>
        <v>999</v>
      </c>
      <c r="DA25" s="35">
        <f>IF(AND(21&lt;$B$31,$B$29&gt;0),(($B$33)-$B$59)*$B$57+(0),999)</f>
        <v>999</v>
      </c>
      <c r="DJ25" s="35">
        <f>IF($B$39=1,((-1)*MIN($B$8/2+0.05+IF(10&lt;INT(($B$49-0.05)/$B$47)+1,10*$B$47,INT(($B$49-0.05)/$B$47)*$B$47+(10-INT(($B$49-0.05)/$B$47))*$B$48),$B$4/2+$B$50-0.05))*$B$57+(-37),999)</f>
        <v>999</v>
      </c>
      <c r="DK25" s="35">
        <f>IF($B$39=1,(($B$6+$B$41-$B$42)-$B$59)*$B$57+(0),999)</f>
        <v>999</v>
      </c>
      <c r="DL25" s="35">
        <f>IF($B$39=1,((1)*MIN($B$8/2+0.05+IF(10&lt;INT(($B$49-0.05)/$B$47)+1,10*$B$47,INT(($B$49-0.05)/$B$47)*$B$47+(10-INT(($B$49-0.05)/$B$47))*$B$48),$B$4/2+$B$50-0.05))*$B$57+(-37),999)</f>
        <v>999</v>
      </c>
      <c r="DM25" s="35">
        <f>IF($B$39=1,(($B$6+$B$41-$B$42)-$B$59)*$B$57+(0),999)</f>
        <v>999</v>
      </c>
      <c r="EL25" s="35">
        <f>((-$B$4/2-$B$51)+(-$B$8/2-(-$B$4/2-$B$51))*7/10)*$B$58+(0)</f>
        <v>-11.3447115384615</v>
      </c>
      <c r="EM25" s="35">
        <f>(($B$7)-$B$59)*$B$58+(0)</f>
        <v>11.7788461538462</v>
      </c>
      <c r="EN25" s="35">
        <f>(($B$8/2)+($B$4/2+$B$51-($B$8/2))*7/10)*$B$58+(0)</f>
        <v>20.8620192307692</v>
      </c>
      <c r="EO25" s="35">
        <f>(($B$7)-$B$59)*$B$58+(0)</f>
        <v>11.7788461538462</v>
      </c>
      <c r="GF25" s="35">
        <f>IF($B$80&gt;0,(IF(MOD(MIN(INT(21/2),$B$80-1),2)=0,1,-1)*IF(IF(INT(21/2)&gt;$B$80-1,1,MOD(21,2))=0,-1,1)*$B$37)*$B$57+(-37),999)</f>
        <v>-41.005859375</v>
      </c>
      <c r="GG25" s="35">
        <f>IF($B$80&gt;0,(($B$6+0.05+MIN(INT(21/2),$B$80-1)*$B$79)-$B$59)*$B$57+(0),999)</f>
        <v>13.671875</v>
      </c>
    </row>
    <row r="26" x14ac:dyDescent="0.3">
      <c r="A26" s="33" t="s">
        <v>1425</v>
      </c>
      <c r="B26" s="34">
        <f>IF(CHOOSE($B$3,AISLADA!$C$203,AISLADA_CT!$C$204,"RECTA")="GANCHO 90°",12*$B$20,0)</f>
        <v>0</v>
      </c>
      <c r="P26" s="35">
        <f>IF(AND($B$18&gt;0),(IF(5&lt;$B$18,(-$B$4/2+$B$13),IF(MOD($B$18-1,2)=0,(($B$22-1)/2*$B$21),(-(($B$22-1)/2*$B$21)))))*$B$53+(-38),999)</f>
        <v>-65.3269230769231</v>
      </c>
      <c r="Q26" s="35">
        <f>IF(AND($B$18&gt;0),(IF(5&lt;$B$18,(5-($B$18-1)/2)*$B$17,(($B$18-1)-($B$18-1)/2)*$B$17))*$B$53+(0),999)</f>
        <v>-4.46153846153846</v>
      </c>
      <c r="R26" s="35">
        <f>IF(AND($B$22&gt;0),(IF(5&lt;$B$22,(5-($B$22-1)/2)*$B$21,(($B$22-1)-($B$22-1)/2)*$B$21))*$B$53+(-38),999)</f>
        <v>-42.4615384615385</v>
      </c>
      <c r="S26" s="35">
        <f>IF(AND($B$22&gt;0),(IF(5&lt;$B$22,(-$B$5/2+IF($B$3=3,0,$B$13)),IF(MOD($B$22-1,2)=0,(($B$18-1)/2*$B$17),(-(($B$18-1)/2*$B$17)))))*$B$53+(0),999)</f>
        <v>-27.3269230769231</v>
      </c>
      <c r="T26" s="35">
        <f>IF(AND($B$30&gt;0,$B$29&gt;0),(IF(5&lt;$B$30,(-$B$4/2+$B$13),IF(MOD($B$30-1,2)=0,(($B$31-1)/2*$B$29),(-(($B$31-1)/2*$B$29)))))*$B$53+(-38),999)</f>
        <v>999</v>
      </c>
      <c r="U26" s="35">
        <f>IF(AND($B$30&gt;0,$B$29&gt;0),(IF(5&lt;$B$30,(5-($B$30-1)/2)*$B$29,(($B$30-1)-($B$30-1)/2)*$B$29))*$B$53+(0),999)</f>
        <v>999</v>
      </c>
      <c r="V26" s="35">
        <f>IF(AND($B$31&gt;0,$B$29&gt;0),(IF(5&lt;$B$31,(5-($B$31-1)/2)*$B$29,(($B$31-1)-($B$31-1)/2)*$B$29))*$B$53+(-38),999)</f>
        <v>999</v>
      </c>
      <c r="W26" s="35">
        <f>IF(AND($B$31&gt;0,$B$29&gt;0),(IF(5&lt;$B$31,(-$B$5/2+$B$13),IF(MOD($B$31-1,2)=0,(($B$30-1)/2*$B$29),(-(($B$30-1)/2*$B$29)))))*$B$53+(0),999)</f>
        <v>999</v>
      </c>
      <c r="CL26" s="35">
        <f>((-$B$4/2-$B$51)+(-$B$8/2-(-$B$4/2-$B$51))*7/10)*$B$57+(-37)-1.2</f>
        <v>-52.3808894230769</v>
      </c>
      <c r="CM26" s="35">
        <f>(($B$7)-$B$59)*$B$57+(0)-1.2</f>
        <v>13.5235576923077</v>
      </c>
      <c r="CN26" s="35">
        <f>(($B$8/2)+($B$4/2+$B$51-($B$8/2))*7/10)*$B$57+(-37)-1.2</f>
        <v>-12.1224759615385</v>
      </c>
      <c r="CO26" s="35">
        <f>(($B$7)-$B$59)*$B$57+(0)-1.2</f>
        <v>13.5235576923077</v>
      </c>
      <c r="CV26" s="35">
        <f>IF(AND(22&lt;$B$22),((22-($B$22-1)/2)*$B$21)*$B$57+(-37),999)</f>
        <v>999</v>
      </c>
      <c r="CW26" s="35">
        <f>IF(AND(22&lt;$B$22),(($B$24)-$B$59)*$B$57+(0),999)</f>
        <v>999</v>
      </c>
      <c r="CZ26" s="35">
        <f>IF(AND(22&lt;$B$31,$B$29&gt;0),((22-($B$31-1)/2)*$B$29)*$B$57+(-37),999)</f>
        <v>999</v>
      </c>
      <c r="DA26" s="35">
        <f>IF(AND(22&lt;$B$31,$B$29&gt;0),(($B$33)-$B$59)*$B$57+(0),999)</f>
        <v>999</v>
      </c>
      <c r="DJ26" s="35">
        <f>IF($B$39=1,((-1)*MIN($B$8/2+0.05+IF(11&lt;INT(($B$49-0.05)/$B$47)+1,11*$B$47,INT(($B$49-0.05)/$B$47)*$B$47+(11-INT(($B$49-0.05)/$B$47))*$B$48),$B$4/2+$B$50-0.05))*$B$57+(-37),999)</f>
        <v>999</v>
      </c>
      <c r="DK26" s="35">
        <f>IF($B$39=1,(($B$6+$B$41-$B$42)-$B$59)*$B$57+(0),999)</f>
        <v>999</v>
      </c>
      <c r="DL26" s="35">
        <f>IF($B$39=1,((1)*MIN($B$8/2+0.05+IF(11&lt;INT(($B$49-0.05)/$B$47)+1,11*$B$47,INT(($B$49-0.05)/$B$47)*$B$47+(11-INT(($B$49-0.05)/$B$47))*$B$48),$B$4/2+$B$50-0.05))*$B$57+(-37),999)</f>
        <v>999</v>
      </c>
      <c r="DM26" s="35">
        <f>IF($B$39=1,(($B$6+$B$41-$B$42)-$B$59)*$B$57+(0),999)</f>
        <v>999</v>
      </c>
      <c r="EL26" s="35">
        <f>((-$B$4/2-$B$51)+(-$B$8/2-(-$B$4/2-$B$51))*7/10)*$B$58+(0)-1.2</f>
        <v>-12.5447115384615</v>
      </c>
      <c r="EM26" s="35">
        <f>(($B$7)-$B$59)*$B$58+(0)-1.2</f>
        <v>10.5788461538462</v>
      </c>
      <c r="EN26" s="35">
        <f>(($B$8/2)+($B$4/2+$B$51-($B$8/2))*7/10)*$B$58+(0)-1.2</f>
        <v>19.6620192307692</v>
      </c>
      <c r="EO26" s="35">
        <f>(($B$7)-$B$59)*$B$58+(0)-1.2</f>
        <v>10.5788461538462</v>
      </c>
      <c r="GF26" s="35">
        <f>IF($B$80&gt;0,(IF(MOD(MIN(INT(22/2),$B$80-1),2)=0,1,-1)*IF(IF(INT(22/2)&gt;$B$80-1,1,MOD(22,2))=0,-1,1)*$B$37)*$B$57+(-37),999)</f>
        <v>-41.005859375</v>
      </c>
      <c r="GG26" s="35">
        <f>IF($B$80&gt;0,(($B$6+0.05+MIN(INT(22/2),$B$80-1)*$B$79)-$B$59)*$B$57+(0),999)</f>
        <v>13.671875</v>
      </c>
    </row>
    <row r="27" x14ac:dyDescent="0.3">
      <c r="A27" s="33" t="s">
        <v>1426</v>
      </c>
      <c r="B27" s="34">
        <f>CHOOSE($B$3,AISLADA!$C$37,AISLADA_CT!$C$38,0)</f>
        <v>4</v>
      </c>
      <c r="P27" s="35">
        <f>IF(AND($B$18&gt;0),(IF(5&lt;$B$18,(-(($B$22-1)/2*$B$21)),IF(MOD($B$18-1,2)=0,(($B$22-1)/2*$B$21),(-(($B$22-1)/2*$B$21)))))*$B$53+(-38),999)</f>
        <v>-64.7692307692308</v>
      </c>
      <c r="Q27" s="35">
        <f>IF(AND($B$18&gt;0),(IF(5&lt;$B$18,(5-($B$18-1)/2)*$B$17,(($B$18-1)-($B$18-1)/2)*$B$17))*$B$53+(0),999)</f>
        <v>-4.46153846153846</v>
      </c>
      <c r="R27" s="35">
        <f>IF(AND($B$22&gt;0),(IF(5&lt;$B$22,(5-($B$22-1)/2)*$B$21,(($B$22-1)-($B$22-1)/2)*$B$21))*$B$53+(-38),999)</f>
        <v>-42.4615384615385</v>
      </c>
      <c r="S27" s="35">
        <f>IF(AND($B$22&gt;0),(IF(5&lt;$B$22,(-(($B$18-1)/2*$B$17)),IF(MOD($B$22-1,2)=0,(($B$18-1)/2*$B$17),(-(($B$18-1)/2*$B$17)))))*$B$53+(0),999)</f>
        <v>-26.7692307692308</v>
      </c>
      <c r="T27" s="35">
        <f>IF(AND($B$30&gt;0,$B$29&gt;0),(IF(5&lt;$B$30,(-(($B$31-1)/2*$B$29)),IF(MOD($B$30-1,2)=0,(($B$31-1)/2*$B$29),(-(($B$31-1)/2*$B$29)))))*$B$53+(-38),999)</f>
        <v>999</v>
      </c>
      <c r="U27" s="35">
        <f>IF(AND($B$30&gt;0,$B$29&gt;0),(IF(5&lt;$B$30,(5-($B$30-1)/2)*$B$29,(($B$30-1)-($B$30-1)/2)*$B$29))*$B$53+(0),999)</f>
        <v>999</v>
      </c>
      <c r="V27" s="35">
        <f>IF(AND($B$31&gt;0,$B$29&gt;0),(IF(5&lt;$B$31,(5-($B$31-1)/2)*$B$29,(($B$31-1)-($B$31-1)/2)*$B$29))*$B$53+(-38),999)</f>
        <v>999</v>
      </c>
      <c r="W27" s="35">
        <f>IF(AND($B$31&gt;0,$B$29&gt;0),(IF(5&lt;$B$31,(-(($B$30-1)/2*$B$29)),IF(MOD($B$31-1,2)=0,(($B$30-1)/2*$B$29),(-(($B$30-1)/2*$B$29)))))*$B$53+(0),999)</f>
        <v>999</v>
      </c>
      <c r="CL27" s="35">
        <f>((-$B$4/2-$B$51)+(-$B$8/2-(-$B$4/2-$B$51))*7/10)*$B$57+(-37)</f>
        <v>-51.1808894230769</v>
      </c>
      <c r="CM27" s="35">
        <f>(($B$7)-$B$59)*$B$57+(0)</f>
        <v>14.7235576923077</v>
      </c>
      <c r="CN27" s="35">
        <f>(($B$8/2)+($B$4/2+$B$51-($B$8/2))*7/10)*$B$57+(-37)</f>
        <v>-10.9224759615385</v>
      </c>
      <c r="CO27" s="35">
        <f>(($B$7)-$B$59)*$B$57+(0)</f>
        <v>14.7235576923077</v>
      </c>
      <c r="CV27" s="35">
        <f>IF(AND(23&lt;$B$22),((23-($B$22-1)/2)*$B$21)*$B$57+(-37),999)</f>
        <v>999</v>
      </c>
      <c r="CW27" s="35">
        <f>IF(AND(23&lt;$B$22),(($B$24)-$B$59)*$B$57+(0),999)</f>
        <v>999</v>
      </c>
      <c r="CZ27" s="35">
        <f>IF(AND(23&lt;$B$31,$B$29&gt;0),((23-($B$31-1)/2)*$B$29)*$B$57+(-37),999)</f>
        <v>999</v>
      </c>
      <c r="DA27" s="35">
        <f>IF(AND(23&lt;$B$31,$B$29&gt;0),(($B$33)-$B$59)*$B$57+(0),999)</f>
        <v>999</v>
      </c>
      <c r="DJ27" s="35">
        <f>IF($B$39=1,((-1)*MIN($B$8/2+0.05+IF(11&lt;INT(($B$49-0.05)/$B$47)+1,11*$B$47,INT(($B$49-0.05)/$B$47)*$B$47+(11-INT(($B$49-0.05)/$B$47))*$B$48),$B$4/2+$B$50-0.05))*$B$57+(-37),999)</f>
        <v>999</v>
      </c>
      <c r="DK27" s="35">
        <f>IF($B$39=1,(($B$6+$B$42)-$B$59)*$B$57+(0),999)</f>
        <v>999</v>
      </c>
      <c r="DL27" s="35">
        <f>IF($B$39=1,((1)*MIN($B$8/2+0.05+IF(11&lt;INT(($B$49-0.05)/$B$47)+1,11*$B$47,INT(($B$49-0.05)/$B$47)*$B$47+(11-INT(($B$49-0.05)/$B$47))*$B$48),$B$4/2+$B$50-0.05))*$B$57+(-37),999)</f>
        <v>999</v>
      </c>
      <c r="DM27" s="35">
        <f>IF($B$39=1,(($B$6+$B$42)-$B$59)*$B$57+(0),999)</f>
        <v>999</v>
      </c>
      <c r="EL27" s="35">
        <f>((-$B$4/2-$B$51)+(-$B$8/2-(-$B$4/2-$B$51))*7/10)*$B$58+(0)</f>
        <v>-11.3447115384615</v>
      </c>
      <c r="EM27" s="35">
        <f>(($B$7)-$B$59)*$B$58+(0)</f>
        <v>11.7788461538462</v>
      </c>
      <c r="EN27" s="35">
        <f>(($B$8/2)+($B$4/2+$B$51-($B$8/2))*7/10)*$B$58+(0)</f>
        <v>20.8620192307692</v>
      </c>
      <c r="EO27" s="35">
        <f>(($B$7)-$B$59)*$B$58+(0)</f>
        <v>11.7788461538462</v>
      </c>
      <c r="GF27" s="35">
        <f>IF($B$80&gt;0,(IF(MOD(MIN(INT(23/2),$B$80-1),2)=0,1,-1)*IF(IF(INT(23/2)&gt;$B$80-1,1,MOD(23,2))=0,-1,1)*$B$37)*$B$57+(-37),999)</f>
        <v>-41.005859375</v>
      </c>
      <c r="GG27" s="35">
        <f>IF($B$80&gt;0,(($B$6+0.05+MIN(INT(23/2),$B$80-1)*$B$79)-$B$59)*$B$57+(0),999)</f>
        <v>13.671875</v>
      </c>
    </row>
    <row r="28" x14ac:dyDescent="0.3">
      <c r="A28" s="33" t="s">
        <v>1427</v>
      </c>
      <c r="B28" s="34">
        <f>CHOOSE($B$3,AISLADA!$C$42,AISLADA_CT!$C$43,1.27)/100</f>
        <v>0.0127</v>
      </c>
      <c r="P28" s="35">
        <f>IF(AND($B$18&gt;0),(IF(6&lt;$B$18,(-(($B$22-1)/2*$B$21)),IF(MOD($B$18-1,2)=0,(($B$22-1)/2*$B$21),(-(($B$22-1)/2*$B$21)))))*$B$53+(-38),999)</f>
        <v>-64.7692307692308</v>
      </c>
      <c r="Q28" s="35">
        <f>IF(AND($B$18&gt;0),(IF(6&lt;$B$18,(6-($B$18-1)/2)*$B$17,(($B$18-1)-($B$18-1)/2)*$B$17))*$B$53+(0),999)</f>
        <v>0</v>
      </c>
      <c r="R28" s="35">
        <f>IF(AND($B$22&gt;0),(IF(6&lt;$B$22,(6-($B$22-1)/2)*$B$21,(($B$22-1)-($B$22-1)/2)*$B$21))*$B$53+(-38),999)</f>
        <v>-38</v>
      </c>
      <c r="S28" s="35">
        <f>IF(AND($B$22&gt;0),(IF(6&lt;$B$22,(-(($B$18-1)/2*$B$17)),IF(MOD($B$22-1,2)=0,(($B$18-1)/2*$B$17),(-(($B$18-1)/2*$B$17)))))*$B$53+(0),999)</f>
        <v>-26.7692307692308</v>
      </c>
      <c r="T28" s="35">
        <f>IF(AND($B$30&gt;0,$B$29&gt;0),(IF(6&lt;$B$30,(-(($B$31-1)/2*$B$29)),IF(MOD($B$30-1,2)=0,(($B$31-1)/2*$B$29),(-(($B$31-1)/2*$B$29)))))*$B$53+(-38),999)</f>
        <v>999</v>
      </c>
      <c r="U28" s="35">
        <f>IF(AND($B$30&gt;0,$B$29&gt;0),(IF(6&lt;$B$30,(6-($B$30-1)/2)*$B$29,(($B$30-1)-($B$30-1)/2)*$B$29))*$B$53+(0),999)</f>
        <v>999</v>
      </c>
      <c r="V28" s="35">
        <f>IF(AND($B$31&gt;0,$B$29&gt;0),(IF(6&lt;$B$31,(6-($B$31-1)/2)*$B$29,(($B$31-1)-($B$31-1)/2)*$B$29))*$B$53+(-38),999)</f>
        <v>999</v>
      </c>
      <c r="W28" s="35">
        <f>IF(AND($B$31&gt;0,$B$29&gt;0),(IF(6&lt;$B$31,(-(($B$30-1)/2*$B$29)),IF(MOD($B$31-1,2)=0,(($B$30-1)/2*$B$29),(-(($B$30-1)/2*$B$29)))))*$B$53+(0),999)</f>
        <v>999</v>
      </c>
      <c r="CL28" s="35">
        <f>((-$B$4/2-$B$51)+(-$B$8/2-(-$B$4/2-$B$51))*8/10)*$B$57+(-37)</f>
        <v>-48.2067307692308</v>
      </c>
      <c r="CM28" s="35">
        <f>(($B$7)-$B$59)*$B$57+(0)</f>
        <v>14.7235576923077</v>
      </c>
      <c r="CN28" s="35">
        <f>(($B$8/2)+($B$4/2+$B$51-($B$8/2))*8/10)*$B$57+(-37)</f>
        <v>-7.94831730769231</v>
      </c>
      <c r="CO28" s="35">
        <f>(($B$7)-$B$59)*$B$57+(0)</f>
        <v>14.7235576923077</v>
      </c>
      <c r="CV28" s="35">
        <f>IF(AND(24&lt;$B$22),((24-($B$22-1)/2)*$B$21)*$B$57+(-37),999)</f>
        <v>999</v>
      </c>
      <c r="CW28" s="35">
        <f>IF(AND(24&lt;$B$22),(($B$24)-$B$59)*$B$57+(0),999)</f>
        <v>999</v>
      </c>
      <c r="CZ28" s="35">
        <f>IF(AND(24&lt;$B$31,$B$29&gt;0),((24-($B$31-1)/2)*$B$29)*$B$57+(-37),999)</f>
        <v>999</v>
      </c>
      <c r="DA28" s="35">
        <f>IF(AND(24&lt;$B$31,$B$29&gt;0),(($B$33)-$B$59)*$B$57+(0),999)</f>
        <v>999</v>
      </c>
      <c r="DJ28" s="35">
        <f>IF($B$39=1,((-1)*MIN($B$8/2+0.05+IF(12&lt;INT(($B$49-0.05)/$B$47)+1,12*$B$47,INT(($B$49-0.05)/$B$47)*$B$47+(12-INT(($B$49-0.05)/$B$47))*$B$48),$B$4/2+$B$50-0.05))*$B$57+(-37),999)</f>
        <v>999</v>
      </c>
      <c r="DK28" s="35">
        <f>IF($B$39=1,(($B$6+$B$42)-$B$59)*$B$57+(0),999)</f>
        <v>999</v>
      </c>
      <c r="DL28" s="35">
        <f>IF($B$39=1,((1)*MIN($B$8/2+0.05+IF(12&lt;INT(($B$49-0.05)/$B$47)+1,12*$B$47,INT(($B$49-0.05)/$B$47)*$B$47+(12-INT(($B$49-0.05)/$B$47))*$B$48),$B$4/2+$B$50-0.05))*$B$57+(-37),999)</f>
        <v>999</v>
      </c>
      <c r="DM28" s="35">
        <f>IF($B$39=1,(($B$6+$B$42)-$B$59)*$B$57+(0),999)</f>
        <v>999</v>
      </c>
      <c r="EL28" s="35">
        <f>((-$B$4/2-$B$51)+(-$B$8/2-(-$B$4/2-$B$51))*8/10)*$B$58+(0)</f>
        <v>-8.96538461538462</v>
      </c>
      <c r="EM28" s="35">
        <f>(($B$7)-$B$59)*$B$58+(0)</f>
        <v>11.7788461538462</v>
      </c>
      <c r="EN28" s="35">
        <f>(($B$8/2)+($B$4/2+$B$51-($B$8/2))*8/10)*$B$58+(0)</f>
        <v>23.2413461538462</v>
      </c>
      <c r="EO28" s="35">
        <f>(($B$7)-$B$59)*$B$58+(0)</f>
        <v>11.7788461538462</v>
      </c>
      <c r="GF28" s="35">
        <f>IF($B$80&gt;0,(IF(MOD(MIN(INT(24/2),$B$80-1),2)=0,1,-1)*IF(IF(INT(24/2)&gt;$B$80-1,1,MOD(24,2))=0,-1,1)*$B$37)*$B$57+(-37),999)</f>
        <v>-41.005859375</v>
      </c>
      <c r="GG28" s="35">
        <f>IF($B$80&gt;0,(($B$6+0.05+MIN(INT(24/2),$B$80-1)*$B$79)-$B$59)*$B$57+(0),999)</f>
        <v>13.671875</v>
      </c>
    </row>
    <row r="29" x14ac:dyDescent="0.3">
      <c r="A29" s="33" t="s">
        <v>1428</v>
      </c>
      <c r="B29" s="34">
        <f>CHOOSE($B$3,AISLADA!$C$183,AISLADA_CT!$C$184,0)/100</f>
        <v>0</v>
      </c>
      <c r="P29" s="35">
        <f>IF(AND($B$18&gt;0),(IF(6&lt;$B$18,(-$B$4/2+$B$13),IF(MOD($B$18-1,2)=0,(($B$22-1)/2*$B$21),(-(($B$22-1)/2*$B$21)))))*$B$53+(-38),999)</f>
        <v>-65.3269230769231</v>
      </c>
      <c r="Q29" s="35">
        <f>IF(AND($B$18&gt;0),(IF(6&lt;$B$18,(6-($B$18-1)/2)*$B$17,(($B$18-1)-($B$18-1)/2)*$B$17))*$B$53+(0),999)</f>
        <v>0</v>
      </c>
      <c r="R29" s="35">
        <f>IF(AND($B$22&gt;0),(IF(6&lt;$B$22,(6-($B$22-1)/2)*$B$21,(($B$22-1)-($B$22-1)/2)*$B$21))*$B$53+(-38),999)</f>
        <v>-38</v>
      </c>
      <c r="S29" s="35">
        <f>IF(AND($B$22&gt;0),(IF(6&lt;$B$22,(-$B$5/2+IF($B$3=3,0,$B$13)),IF(MOD($B$22-1,2)=0,(($B$18-1)/2*$B$17),(-(($B$18-1)/2*$B$17)))))*$B$53+(0),999)</f>
        <v>-27.3269230769231</v>
      </c>
      <c r="T29" s="35">
        <f>IF(AND($B$30&gt;0,$B$29&gt;0),(IF(6&lt;$B$30,(-$B$4/2+$B$13),IF(MOD($B$30-1,2)=0,(($B$31-1)/2*$B$29),(-(($B$31-1)/2*$B$29)))))*$B$53+(-38),999)</f>
        <v>999</v>
      </c>
      <c r="U29" s="35">
        <f>IF(AND($B$30&gt;0,$B$29&gt;0),(IF(6&lt;$B$30,(6-($B$30-1)/2)*$B$29,(($B$30-1)-($B$30-1)/2)*$B$29))*$B$53+(0),999)</f>
        <v>999</v>
      </c>
      <c r="V29" s="35">
        <f>IF(AND($B$31&gt;0,$B$29&gt;0),(IF(6&lt;$B$31,(6-($B$31-1)/2)*$B$29,(($B$31-1)-($B$31-1)/2)*$B$29))*$B$53+(-38),999)</f>
        <v>999</v>
      </c>
      <c r="W29" s="35">
        <f>IF(AND($B$31&gt;0,$B$29&gt;0),(IF(6&lt;$B$31,(-$B$5/2+$B$13),IF(MOD($B$31-1,2)=0,(($B$30-1)/2*$B$29),(-(($B$30-1)/2*$B$29)))))*$B$53+(0),999)</f>
        <v>999</v>
      </c>
      <c r="CL29" s="35">
        <f>((-$B$4/2-$B$51)+(-$B$8/2-(-$B$4/2-$B$51))*8/10)*$B$57+(-37)-1.2</f>
        <v>-49.4067307692308</v>
      </c>
      <c r="CM29" s="35">
        <f>(($B$7)-$B$59)*$B$57+(0)-1.2</f>
        <v>13.5235576923077</v>
      </c>
      <c r="CN29" s="35">
        <f>(($B$8/2)+($B$4/2+$B$51-($B$8/2))*8/10)*$B$57+(-37)-1.2</f>
        <v>-9.14831730769231</v>
      </c>
      <c r="CO29" s="35">
        <f>(($B$7)-$B$59)*$B$57+(0)-1.2</f>
        <v>13.5235576923077</v>
      </c>
      <c r="CV29" s="35">
        <f>IF(AND(25&lt;$B$22),((25-($B$22-1)/2)*$B$21)*$B$57+(-37),999)</f>
        <v>999</v>
      </c>
      <c r="CW29" s="35">
        <f>IF(AND(25&lt;$B$22),(($B$24)-$B$59)*$B$57+(0),999)</f>
        <v>999</v>
      </c>
      <c r="CZ29" s="35">
        <f>IF(AND(25&lt;$B$31,$B$29&gt;0),((25-($B$31-1)/2)*$B$29)*$B$57+(-37),999)</f>
        <v>999</v>
      </c>
      <c r="DA29" s="35">
        <f>IF(AND(25&lt;$B$31,$B$29&gt;0),(($B$33)-$B$59)*$B$57+(0),999)</f>
        <v>999</v>
      </c>
      <c r="DJ29" s="35">
        <f>IF($B$39=1,((-1)*MIN($B$8/2+0.05+IF(12&lt;INT(($B$49-0.05)/$B$47)+1,12*$B$47,INT(($B$49-0.05)/$B$47)*$B$47+(12-INT(($B$49-0.05)/$B$47))*$B$48),$B$4/2+$B$50-0.05))*$B$57+(-37),999)</f>
        <v>999</v>
      </c>
      <c r="DK29" s="35">
        <f>IF($B$39=1,(($B$6+$B$41-$B$42)-$B$59)*$B$57+(0),999)</f>
        <v>999</v>
      </c>
      <c r="DL29" s="35">
        <f>IF($B$39=1,((1)*MIN($B$8/2+0.05+IF(12&lt;INT(($B$49-0.05)/$B$47)+1,12*$B$47,INT(($B$49-0.05)/$B$47)*$B$47+(12-INT(($B$49-0.05)/$B$47))*$B$48),$B$4/2+$B$50-0.05))*$B$57+(-37),999)</f>
        <v>999</v>
      </c>
      <c r="DM29" s="35">
        <f>IF($B$39=1,(($B$6+$B$41-$B$42)-$B$59)*$B$57+(0),999)</f>
        <v>999</v>
      </c>
      <c r="EL29" s="35">
        <f>((-$B$4/2-$B$51)+(-$B$8/2-(-$B$4/2-$B$51))*8/10)*$B$58+(0)-1.2</f>
        <v>-10.1653846153846</v>
      </c>
      <c r="EM29" s="35">
        <f>(($B$7)-$B$59)*$B$58+(0)-1.2</f>
        <v>10.5788461538462</v>
      </c>
      <c r="EN29" s="35">
        <f>(($B$8/2)+($B$4/2+$B$51-($B$8/2))*8/10)*$B$58+(0)-1.2</f>
        <v>22.0413461538462</v>
      </c>
      <c r="EO29" s="35">
        <f>(($B$7)-$B$59)*$B$58+(0)-1.2</f>
        <v>10.5788461538462</v>
      </c>
      <c r="GF29" s="35">
        <f>IF($B$80&gt;0,(IF(MOD(MIN(INT(25/2),$B$80-1),2)=0,1,-1)*IF(IF(INT(25/2)&gt;$B$80-1,1,MOD(25,2))=0,-1,1)*$B$37)*$B$57+(-37),999)</f>
        <v>-41.005859375</v>
      </c>
      <c r="GG29" s="35">
        <f>IF($B$80&gt;0,(($B$6+0.05+MIN(INT(25/2),$B$80-1)*$B$79)-$B$59)*$B$57+(0),999)</f>
        <v>13.671875</v>
      </c>
    </row>
    <row r="30" x14ac:dyDescent="0.3">
      <c r="A30" s="33" t="s">
        <v>1429</v>
      </c>
      <c r="B30" s="34">
        <f>MIN(80,CHOOSE($B$3,AISLADA!$C$184,AISLADA_CT!$C$185,0))</f>
        <v>0</v>
      </c>
      <c r="P30" s="35">
        <f>IF(AND($B$18&gt;0),(IF(6&lt;$B$18,($B$4/2-$B$13),IF(MOD($B$18-1,2)=0,(($B$22-1)/2*$B$21),(-(($B$22-1)/2*$B$21)))))*$B$53+(-38),999)</f>
        <v>-10.6730769230769</v>
      </c>
      <c r="Q30" s="35">
        <f>IF(AND($B$18&gt;0),(IF(6&lt;$B$18,(6-($B$18-1)/2)*$B$17,(($B$18-1)-($B$18-1)/2)*$B$17))*$B$53+(0),999)</f>
        <v>0</v>
      </c>
      <c r="R30" s="35">
        <f>IF(AND($B$22&gt;0),(IF(6&lt;$B$22,(6-($B$22-1)/2)*$B$21,(($B$22-1)-($B$22-1)/2)*$B$21))*$B$53+(-38),999)</f>
        <v>-38</v>
      </c>
      <c r="S30" s="35">
        <f>IF(AND($B$22&gt;0),(IF(6&lt;$B$22,($B$5/2-IF($B$3=3,0,$B$13)),IF(MOD($B$22-1,2)=0,(($B$18-1)/2*$B$17),(-(($B$18-1)/2*$B$17)))))*$B$53+(0),999)</f>
        <v>27.3269230769231</v>
      </c>
      <c r="T30" s="35">
        <f>IF(AND($B$30&gt;0,$B$29&gt;0),(IF(6&lt;$B$30,($B$4/2-$B$13),IF(MOD($B$30-1,2)=0,(($B$31-1)/2*$B$29),(-(($B$31-1)/2*$B$29)))))*$B$53+(-38),999)</f>
        <v>999</v>
      </c>
      <c r="U30" s="35">
        <f>IF(AND($B$30&gt;0,$B$29&gt;0),(IF(6&lt;$B$30,(6-($B$30-1)/2)*$B$29,(($B$30-1)-($B$30-1)/2)*$B$29))*$B$53+(0),999)</f>
        <v>999</v>
      </c>
      <c r="V30" s="35">
        <f>IF(AND($B$31&gt;0,$B$29&gt;0),(IF(6&lt;$B$31,(6-($B$31-1)/2)*$B$29,(($B$31-1)-($B$31-1)/2)*$B$29))*$B$53+(-38),999)</f>
        <v>999</v>
      </c>
      <c r="W30" s="35">
        <f>IF(AND($B$31&gt;0,$B$29&gt;0),(IF(6&lt;$B$31,($B$5/2-$B$13),IF(MOD($B$31-1,2)=0,(($B$30-1)/2*$B$29),(-(($B$30-1)/2*$B$29)))))*$B$53+(0),999)</f>
        <v>999</v>
      </c>
      <c r="CL30" s="35">
        <f>((-$B$4/2-$B$51)+(-$B$8/2-(-$B$4/2-$B$51))*8/10)*$B$57+(-37)</f>
        <v>-48.2067307692308</v>
      </c>
      <c r="CM30" s="35">
        <f>(($B$7)-$B$59)*$B$57+(0)</f>
        <v>14.7235576923077</v>
      </c>
      <c r="CN30" s="35">
        <f>(($B$8/2)+($B$4/2+$B$51-($B$8/2))*8/10)*$B$57+(-37)</f>
        <v>-7.94831730769231</v>
      </c>
      <c r="CO30" s="35">
        <f>(($B$7)-$B$59)*$B$57+(0)</f>
        <v>14.7235576923077</v>
      </c>
      <c r="CV30" s="35">
        <f>IF(AND(26&lt;$B$22),((26-($B$22-1)/2)*$B$21)*$B$57+(-37),999)</f>
        <v>999</v>
      </c>
      <c r="CW30" s="35">
        <f>IF(AND(26&lt;$B$22),(($B$24)-$B$59)*$B$57+(0),999)</f>
        <v>999</v>
      </c>
      <c r="CZ30" s="35">
        <f>IF(AND(26&lt;$B$31,$B$29&gt;0),((26-($B$31-1)/2)*$B$29)*$B$57+(-37),999)</f>
        <v>999</v>
      </c>
      <c r="DA30" s="35">
        <f>IF(AND(26&lt;$B$31,$B$29&gt;0),(($B$33)-$B$59)*$B$57+(0),999)</f>
        <v>999</v>
      </c>
      <c r="DJ30" s="35">
        <f>IF($B$39=1,((-1)*MIN($B$8/2+0.05+IF(13&lt;INT(($B$49-0.05)/$B$47)+1,13*$B$47,INT(($B$49-0.05)/$B$47)*$B$47+(13-INT(($B$49-0.05)/$B$47))*$B$48),$B$4/2+$B$50-0.05))*$B$57+(-37),999)</f>
        <v>999</v>
      </c>
      <c r="DK30" s="35">
        <f>IF($B$39=1,(($B$6+$B$41-$B$42)-$B$59)*$B$57+(0),999)</f>
        <v>999</v>
      </c>
      <c r="DL30" s="35">
        <f>IF($B$39=1,((1)*MIN($B$8/2+0.05+IF(13&lt;INT(($B$49-0.05)/$B$47)+1,13*$B$47,INT(($B$49-0.05)/$B$47)*$B$47+(13-INT(($B$49-0.05)/$B$47))*$B$48),$B$4/2+$B$50-0.05))*$B$57+(-37),999)</f>
        <v>999</v>
      </c>
      <c r="DM30" s="35">
        <f>IF($B$39=1,(($B$6+$B$41-$B$42)-$B$59)*$B$57+(0),999)</f>
        <v>999</v>
      </c>
      <c r="EL30" s="35">
        <f>((-$B$4/2-$B$51)+(-$B$8/2-(-$B$4/2-$B$51))*8/10)*$B$58+(0)</f>
        <v>-8.96538461538462</v>
      </c>
      <c r="EM30" s="35">
        <f>(($B$7)-$B$59)*$B$58+(0)</f>
        <v>11.7788461538462</v>
      </c>
      <c r="EN30" s="35">
        <f>(($B$8/2)+($B$4/2+$B$51-($B$8/2))*8/10)*$B$58+(0)</f>
        <v>23.2413461538462</v>
      </c>
      <c r="EO30" s="35">
        <f>(($B$7)-$B$59)*$B$58+(0)</f>
        <v>11.7788461538462</v>
      </c>
      <c r="GF30" s="35">
        <f>IF($B$80&gt;0,(IF(MOD(MIN(INT(26/2),$B$80-1),2)=0,1,-1)*IF(IF(INT(26/2)&gt;$B$80-1,1,MOD(26,2))=0,-1,1)*$B$37)*$B$57+(-37),999)</f>
        <v>-41.005859375</v>
      </c>
      <c r="GG30" s="35">
        <f>IF($B$80&gt;0,(($B$6+0.05+MIN(INT(26/2),$B$80-1)*$B$79)-$B$59)*$B$57+(0),999)</f>
        <v>13.671875</v>
      </c>
    </row>
    <row r="31" x14ac:dyDescent="0.3">
      <c r="A31" s="33" t="s">
        <v>1430</v>
      </c>
      <c r="B31" s="34">
        <f>MIN(80,CHOOSE($B$3,AISLADA!$C$185,AISLADA_CT!$C$186,0))</f>
        <v>0</v>
      </c>
      <c r="P31" s="35">
        <f>IF(AND($B$18&gt;0),(IF(6&lt;$B$18,(($B$22-1)/2*$B$21),IF(MOD($B$18-1,2)=0,(($B$22-1)/2*$B$21),(-(($B$22-1)/2*$B$21)))))*$B$53+(-38),999)</f>
        <v>-11.2307692307692</v>
      </c>
      <c r="Q31" s="35">
        <f>IF(AND($B$18&gt;0),(IF(6&lt;$B$18,(6-($B$18-1)/2)*$B$17,(($B$18-1)-($B$18-1)/2)*$B$17))*$B$53+(0),999)</f>
        <v>0</v>
      </c>
      <c r="R31" s="35">
        <f>IF(AND($B$22&gt;0),(IF(6&lt;$B$22,(6-($B$22-1)/2)*$B$21,(($B$22-1)-($B$22-1)/2)*$B$21))*$B$53+(-38),999)</f>
        <v>-38</v>
      </c>
      <c r="S31" s="35">
        <f>IF(AND($B$22&gt;0),(IF(6&lt;$B$22,(($B$18-1)/2*$B$17),IF(MOD($B$22-1,2)=0,(($B$18-1)/2*$B$17),(-(($B$18-1)/2*$B$17)))))*$B$53+(0),999)</f>
        <v>26.7692307692308</v>
      </c>
      <c r="T31" s="35">
        <f>IF(AND($B$30&gt;0,$B$29&gt;0),(IF(6&lt;$B$30,(($B$31-1)/2*$B$29),IF(MOD($B$30-1,2)=0,(($B$31-1)/2*$B$29),(-(($B$31-1)/2*$B$29)))))*$B$53+(-38),999)</f>
        <v>999</v>
      </c>
      <c r="U31" s="35">
        <f>IF(AND($B$30&gt;0,$B$29&gt;0),(IF(6&lt;$B$30,(6-($B$30-1)/2)*$B$29,(($B$30-1)-($B$30-1)/2)*$B$29))*$B$53+(0),999)</f>
        <v>999</v>
      </c>
      <c r="V31" s="35">
        <f>IF(AND($B$31&gt;0,$B$29&gt;0),(IF(6&lt;$B$31,(6-($B$31-1)/2)*$B$29,(($B$31-1)-($B$31-1)/2)*$B$29))*$B$53+(-38),999)</f>
        <v>999</v>
      </c>
      <c r="W31" s="35">
        <f>IF(AND($B$31&gt;0,$B$29&gt;0),(IF(6&lt;$B$31,(($B$30-1)/2*$B$29),IF(MOD($B$31-1,2)=0,(($B$30-1)/2*$B$29),(-(($B$30-1)/2*$B$29)))))*$B$53+(0),999)</f>
        <v>999</v>
      </c>
      <c r="CL31" s="35">
        <f>((-$B$4/2-$B$51)+(-$B$8/2-(-$B$4/2-$B$51))*9/10)*$B$57+(-37)</f>
        <v>-45.2325721153846</v>
      </c>
      <c r="CM31" s="35">
        <f>(($B$7)-$B$59)*$B$57+(0)</f>
        <v>14.7235576923077</v>
      </c>
      <c r="CN31" s="35">
        <f>(($B$8/2)+($B$4/2+$B$51-($B$8/2))*9/10)*$B$57+(-37)</f>
        <v>-4.97415865384615</v>
      </c>
      <c r="CO31" s="35">
        <f>(($B$7)-$B$59)*$B$57+(0)</f>
        <v>14.7235576923077</v>
      </c>
      <c r="CV31" s="35">
        <f>IF(AND(27&lt;$B$22),((27-($B$22-1)/2)*$B$21)*$B$57+(-37),999)</f>
        <v>999</v>
      </c>
      <c r="CW31" s="35">
        <f>IF(AND(27&lt;$B$22),(($B$24)-$B$59)*$B$57+(0),999)</f>
        <v>999</v>
      </c>
      <c r="CZ31" s="35">
        <f>IF(AND(27&lt;$B$31,$B$29&gt;0),((27-($B$31-1)/2)*$B$29)*$B$57+(-37),999)</f>
        <v>999</v>
      </c>
      <c r="DA31" s="35">
        <f>IF(AND(27&lt;$B$31,$B$29&gt;0),(($B$33)-$B$59)*$B$57+(0),999)</f>
        <v>999</v>
      </c>
      <c r="DJ31" s="35">
        <f>IF($B$39=1,((-1)*MIN($B$8/2+0.05+IF(13&lt;INT(($B$49-0.05)/$B$47)+1,13*$B$47,INT(($B$49-0.05)/$B$47)*$B$47+(13-INT(($B$49-0.05)/$B$47))*$B$48),$B$4/2+$B$50-0.05))*$B$57+(-37),999)</f>
        <v>999</v>
      </c>
      <c r="DK31" s="35">
        <f>IF($B$39=1,(($B$6+$B$42)-$B$59)*$B$57+(0),999)</f>
        <v>999</v>
      </c>
      <c r="DL31" s="35">
        <f>IF($B$39=1,((1)*MIN($B$8/2+0.05+IF(13&lt;INT(($B$49-0.05)/$B$47)+1,13*$B$47,INT(($B$49-0.05)/$B$47)*$B$47+(13-INT(($B$49-0.05)/$B$47))*$B$48),$B$4/2+$B$50-0.05))*$B$57+(-37),999)</f>
        <v>999</v>
      </c>
      <c r="DM31" s="35">
        <f>IF($B$39=1,(($B$6+$B$42)-$B$59)*$B$57+(0),999)</f>
        <v>999</v>
      </c>
      <c r="EL31" s="35">
        <f>((-$B$4/2-$B$51)+(-$B$8/2-(-$B$4/2-$B$51))*9/10)*$B$58+(0)</f>
        <v>-6.58605769230769</v>
      </c>
      <c r="EM31" s="35">
        <f>(($B$7)-$B$59)*$B$58+(0)</f>
        <v>11.7788461538462</v>
      </c>
      <c r="EN31" s="35">
        <f>(($B$8/2)+($B$4/2+$B$51-($B$8/2))*9/10)*$B$58+(0)</f>
        <v>25.6206730769231</v>
      </c>
      <c r="EO31" s="35">
        <f>(($B$7)-$B$59)*$B$58+(0)</f>
        <v>11.7788461538462</v>
      </c>
      <c r="GF31" s="35">
        <f>IF($B$80&gt;0,(IF(MOD(MIN(INT(27/2),$B$80-1),2)=0,1,-1)*IF(IF(INT(27/2)&gt;$B$80-1,1,MOD(27,2))=0,-1,1)*$B$37)*$B$57+(-37),999)</f>
        <v>-41.005859375</v>
      </c>
      <c r="GG31" s="35">
        <f>IF($B$80&gt;0,(($B$6+0.05+MIN(INT(27/2),$B$80-1)*$B$79)-$B$59)*$B$57+(0),999)</f>
        <v>13.671875</v>
      </c>
    </row>
    <row r="32" x14ac:dyDescent="0.3">
      <c r="A32" s="33" t="s">
        <v>1431</v>
      </c>
      <c r="B32" s="34">
        <f>$B$6-$B$14-1.5*$B$28</f>
        <v>0.43095</v>
      </c>
      <c r="P32" s="35">
        <f>IF(AND($B$18&gt;0),(IF(7&lt;$B$18,(($B$22-1)/2*$B$21),IF(MOD($B$18-1,2)=0,(($B$22-1)/2*$B$21),(-(($B$22-1)/2*$B$21)))))*$B$53+(-38),999)</f>
        <v>-11.2307692307692</v>
      </c>
      <c r="Q32" s="35">
        <f>IF(AND($B$18&gt;0),(IF(7&lt;$B$18,(7-($B$18-1)/2)*$B$17,(($B$18-1)-($B$18-1)/2)*$B$17))*$B$53+(0),999)</f>
        <v>4.46153846153846</v>
      </c>
      <c r="R32" s="35">
        <f>IF(AND($B$22&gt;0),(IF(7&lt;$B$22,(7-($B$22-1)/2)*$B$21,(($B$22-1)-($B$22-1)/2)*$B$21))*$B$53+(-38),999)</f>
        <v>-33.5384615384615</v>
      </c>
      <c r="S32" s="35">
        <f>IF(AND($B$22&gt;0),(IF(7&lt;$B$22,(($B$18-1)/2*$B$17),IF(MOD($B$22-1,2)=0,(($B$18-1)/2*$B$17),(-(($B$18-1)/2*$B$17)))))*$B$53+(0),999)</f>
        <v>26.7692307692308</v>
      </c>
      <c r="T32" s="35">
        <f>IF(AND($B$30&gt;0,$B$29&gt;0),(IF(7&lt;$B$30,(($B$31-1)/2*$B$29),IF(MOD($B$30-1,2)=0,(($B$31-1)/2*$B$29),(-(($B$31-1)/2*$B$29)))))*$B$53+(-38),999)</f>
        <v>999</v>
      </c>
      <c r="U32" s="35">
        <f>IF(AND($B$30&gt;0,$B$29&gt;0),(IF(7&lt;$B$30,(7-($B$30-1)/2)*$B$29,(($B$30-1)-($B$30-1)/2)*$B$29))*$B$53+(0),999)</f>
        <v>999</v>
      </c>
      <c r="V32" s="35">
        <f>IF(AND($B$31&gt;0,$B$29&gt;0),(IF(7&lt;$B$31,(7-($B$31-1)/2)*$B$29,(($B$31-1)-($B$31-1)/2)*$B$29))*$B$53+(-38),999)</f>
        <v>999</v>
      </c>
      <c r="W32" s="35">
        <f>IF(AND($B$31&gt;0,$B$29&gt;0),(IF(7&lt;$B$31,(($B$30-1)/2*$B$29),IF(MOD($B$31-1,2)=0,(($B$30-1)/2*$B$29),(-(($B$30-1)/2*$B$29)))))*$B$53+(0),999)</f>
        <v>999</v>
      </c>
      <c r="CL32" s="35">
        <f>((-$B$4/2-$B$51)+(-$B$8/2-(-$B$4/2-$B$51))*9/10)*$B$57+(-37)-1.2</f>
        <v>-46.4325721153846</v>
      </c>
      <c r="CM32" s="35">
        <f>(($B$7)-$B$59)*$B$57+(0)-1.2</f>
        <v>13.5235576923077</v>
      </c>
      <c r="CN32" s="35">
        <f>(($B$8/2)+($B$4/2+$B$51-($B$8/2))*9/10)*$B$57+(-37)-1.2</f>
        <v>-6.17415865384615</v>
      </c>
      <c r="CO32" s="35">
        <f>(($B$7)-$B$59)*$B$57+(0)-1.2</f>
        <v>13.5235576923077</v>
      </c>
      <c r="CV32" s="35">
        <f>IF(AND(28&lt;$B$22),((28-($B$22-1)/2)*$B$21)*$B$57+(-37),999)</f>
        <v>999</v>
      </c>
      <c r="CW32" s="35">
        <f>IF(AND(28&lt;$B$22),(($B$24)-$B$59)*$B$57+(0),999)</f>
        <v>999</v>
      </c>
      <c r="CZ32" s="35">
        <f>IF(AND(28&lt;$B$31,$B$29&gt;0),((28-($B$31-1)/2)*$B$29)*$B$57+(-37),999)</f>
        <v>999</v>
      </c>
      <c r="DA32" s="35">
        <f>IF(AND(28&lt;$B$31,$B$29&gt;0),(($B$33)-$B$59)*$B$57+(0),999)</f>
        <v>999</v>
      </c>
      <c r="DJ32" s="35">
        <f>IF($B$39=1,((-1)*MIN($B$8/2+0.05+IF(14&lt;INT(($B$49-0.05)/$B$47)+1,14*$B$47,INT(($B$49-0.05)/$B$47)*$B$47+(14-INT(($B$49-0.05)/$B$47))*$B$48),$B$4/2+$B$50-0.05))*$B$57+(-37),999)</f>
        <v>999</v>
      </c>
      <c r="DK32" s="35">
        <f>IF($B$39=1,(($B$6+$B$42)-$B$59)*$B$57+(0),999)</f>
        <v>999</v>
      </c>
      <c r="DL32" s="35">
        <f>IF($B$39=1,((1)*MIN($B$8/2+0.05+IF(14&lt;INT(($B$49-0.05)/$B$47)+1,14*$B$47,INT(($B$49-0.05)/$B$47)*$B$47+(14-INT(($B$49-0.05)/$B$47))*$B$48),$B$4/2+$B$50-0.05))*$B$57+(-37),999)</f>
        <v>999</v>
      </c>
      <c r="DM32" s="35">
        <f>IF($B$39=1,(($B$6+$B$42)-$B$59)*$B$57+(0),999)</f>
        <v>999</v>
      </c>
      <c r="EL32" s="35">
        <f>((-$B$4/2-$B$51)+(-$B$8/2-(-$B$4/2-$B$51))*9/10)*$B$58+(0)-1.2</f>
        <v>-7.78605769230769</v>
      </c>
      <c r="EM32" s="35">
        <f>(($B$7)-$B$59)*$B$58+(0)-1.2</f>
        <v>10.5788461538462</v>
      </c>
      <c r="EN32" s="35">
        <f>(($B$8/2)+($B$4/2+$B$51-($B$8/2))*9/10)*$B$58+(0)-1.2</f>
        <v>24.4206730769231</v>
      </c>
      <c r="EO32" s="35">
        <f>(($B$7)-$B$59)*$B$58+(0)-1.2</f>
        <v>10.5788461538462</v>
      </c>
      <c r="GF32" s="35">
        <f>IF($B$80&gt;0,(IF(MOD(MIN(INT(28/2),$B$80-1),2)=0,1,-1)*IF(IF(INT(28/2)&gt;$B$80-1,1,MOD(28,2))=0,-1,1)*$B$37)*$B$57+(-37),999)</f>
        <v>-41.005859375</v>
      </c>
      <c r="GG32" s="35">
        <f>IF($B$80&gt;0,(($B$6+0.05+MIN(INT(28/2),$B$80-1)*$B$79)-$B$59)*$B$57+(0),999)</f>
        <v>13.671875</v>
      </c>
    </row>
    <row r="33" x14ac:dyDescent="0.3">
      <c r="A33" s="33" t="s">
        <v>1432</v>
      </c>
      <c r="B33" s="34">
        <f>$B$6-$B$14-0.5*$B$28</f>
        <v>0.44365</v>
      </c>
      <c r="P33" s="35">
        <f>IF(AND($B$18&gt;0),(IF(7&lt;$B$18,($B$4/2-$B$13),IF(MOD($B$18-1,2)=0,(($B$22-1)/2*$B$21),(-(($B$22-1)/2*$B$21)))))*$B$53+(-38),999)</f>
        <v>-10.6730769230769</v>
      </c>
      <c r="Q33" s="35">
        <f>IF(AND($B$18&gt;0),(IF(7&lt;$B$18,(7-($B$18-1)/2)*$B$17,(($B$18-1)-($B$18-1)/2)*$B$17))*$B$53+(0),999)</f>
        <v>4.46153846153846</v>
      </c>
      <c r="R33" s="35">
        <f>IF(AND($B$22&gt;0),(IF(7&lt;$B$22,(7-($B$22-1)/2)*$B$21,(($B$22-1)-($B$22-1)/2)*$B$21))*$B$53+(-38),999)</f>
        <v>-33.5384615384615</v>
      </c>
      <c r="S33" s="35">
        <f>IF(AND($B$22&gt;0),(IF(7&lt;$B$22,($B$5/2-IF($B$3=3,0,$B$13)),IF(MOD($B$22-1,2)=0,(($B$18-1)/2*$B$17),(-(($B$18-1)/2*$B$17)))))*$B$53+(0),999)</f>
        <v>27.3269230769231</v>
      </c>
      <c r="T33" s="35">
        <f>IF(AND($B$30&gt;0,$B$29&gt;0),(IF(7&lt;$B$30,($B$4/2-$B$13),IF(MOD($B$30-1,2)=0,(($B$31-1)/2*$B$29),(-(($B$31-1)/2*$B$29)))))*$B$53+(-38),999)</f>
        <v>999</v>
      </c>
      <c r="U33" s="35">
        <f>IF(AND($B$30&gt;0,$B$29&gt;0),(IF(7&lt;$B$30,(7-($B$30-1)/2)*$B$29,(($B$30-1)-($B$30-1)/2)*$B$29))*$B$53+(0),999)</f>
        <v>999</v>
      </c>
      <c r="V33" s="35">
        <f>IF(AND($B$31&gt;0,$B$29&gt;0),(IF(7&lt;$B$31,(7-($B$31-1)/2)*$B$29,(($B$31-1)-($B$31-1)/2)*$B$29))*$B$53+(-38),999)</f>
        <v>999</v>
      </c>
      <c r="W33" s="35">
        <f>IF(AND($B$31&gt;0,$B$29&gt;0),(IF(7&lt;$B$31,($B$5/2-$B$13),IF(MOD($B$31-1,2)=0,(($B$30-1)/2*$B$29),(-(($B$30-1)/2*$B$29)))))*$B$53+(0),999)</f>
        <v>999</v>
      </c>
      <c r="CL33" s="35">
        <f>((-$B$4/2-$B$51)+(-$B$8/2-(-$B$4/2-$B$51))*9/10)*$B$57+(-37)</f>
        <v>-45.2325721153846</v>
      </c>
      <c r="CM33" s="35">
        <f>(($B$7)-$B$59)*$B$57+(0)</f>
        <v>14.7235576923077</v>
      </c>
      <c r="CN33" s="35">
        <f>(($B$8/2)+($B$4/2+$B$51-($B$8/2))*9/10)*$B$57+(-37)</f>
        <v>-4.97415865384615</v>
      </c>
      <c r="CO33" s="35">
        <f>(($B$7)-$B$59)*$B$57+(0)</f>
        <v>14.7235576923077</v>
      </c>
      <c r="CV33" s="35">
        <f>IF(AND(29&lt;$B$22),((29-($B$22-1)/2)*$B$21)*$B$57+(-37),999)</f>
        <v>999</v>
      </c>
      <c r="CW33" s="35">
        <f>IF(AND(29&lt;$B$22),(($B$24)-$B$59)*$B$57+(0),999)</f>
        <v>999</v>
      </c>
      <c r="CZ33" s="35">
        <f>IF(AND(29&lt;$B$31,$B$29&gt;0),((29-($B$31-1)/2)*$B$29)*$B$57+(-37),999)</f>
        <v>999</v>
      </c>
      <c r="DA33" s="35">
        <f>IF(AND(29&lt;$B$31,$B$29&gt;0),(($B$33)-$B$59)*$B$57+(0),999)</f>
        <v>999</v>
      </c>
      <c r="DJ33" s="35">
        <f>IF($B$39=1,((-1)*MIN($B$8/2+0.05+IF(14&lt;INT(($B$49-0.05)/$B$47)+1,14*$B$47,INT(($B$49-0.05)/$B$47)*$B$47+(14-INT(($B$49-0.05)/$B$47))*$B$48),$B$4/2+$B$50-0.05))*$B$57+(-37),999)</f>
        <v>999</v>
      </c>
      <c r="DK33" s="35">
        <f>IF($B$39=1,(($B$6+$B$41-$B$42)-$B$59)*$B$57+(0),999)</f>
        <v>999</v>
      </c>
      <c r="DL33" s="35">
        <f>IF($B$39=1,((1)*MIN($B$8/2+0.05+IF(14&lt;INT(($B$49-0.05)/$B$47)+1,14*$B$47,INT(($B$49-0.05)/$B$47)*$B$47+(14-INT(($B$49-0.05)/$B$47))*$B$48),$B$4/2+$B$50-0.05))*$B$57+(-37),999)</f>
        <v>999</v>
      </c>
      <c r="DM33" s="35">
        <f>IF($B$39=1,(($B$6+$B$41-$B$42)-$B$59)*$B$57+(0),999)</f>
        <v>999</v>
      </c>
      <c r="EL33" s="35">
        <f>((-$B$4/2-$B$51)+(-$B$8/2-(-$B$4/2-$B$51))*9/10)*$B$58+(0)</f>
        <v>-6.58605769230769</v>
      </c>
      <c r="EM33" s="35">
        <f>(($B$7)-$B$59)*$B$58+(0)</f>
        <v>11.7788461538462</v>
      </c>
      <c r="EN33" s="35">
        <f>(($B$8/2)+($B$4/2+$B$51-($B$8/2))*9/10)*$B$58+(0)</f>
        <v>25.6206730769231</v>
      </c>
      <c r="EO33" s="35">
        <f>(($B$7)-$B$59)*$B$58+(0)</f>
        <v>11.7788461538462</v>
      </c>
      <c r="GF33" s="35">
        <f>IF($B$80&gt;0,(IF(MOD(MIN(INT(29/2),$B$80-1),2)=0,1,-1)*IF(IF(INT(29/2)&gt;$B$80-1,1,MOD(29,2))=0,-1,1)*$B$37)*$B$57+(-37),999)</f>
        <v>-41.005859375</v>
      </c>
      <c r="GG33" s="35">
        <f>IF($B$80&gt;0,(($B$6+0.05+MIN(INT(29/2),$B$80-1)*$B$79)-$B$59)*$B$57+(0),999)</f>
        <v>13.671875</v>
      </c>
    </row>
    <row r="34" spans="1:145" x14ac:dyDescent="0.3">
      <c r="A34" s="33" t="s">
        <v>1433</v>
      </c>
      <c r="B34" s="34">
        <f>DATOS!$C$68/100</f>
        <v>0.0191</v>
      </c>
      <c r="P34" s="35">
        <f>IF(AND($B$18&gt;0),(IF(7&lt;$B$18,(-$B$4/2+$B$13),IF(MOD($B$18-1,2)=0,(($B$22-1)/2*$B$21),(-(($B$22-1)/2*$B$21)))))*$B$53+(-38),999)</f>
        <v>-65.3269230769231</v>
      </c>
      <c r="Q34" s="35">
        <f>IF(AND($B$18&gt;0),(IF(7&lt;$B$18,(7-($B$18-1)/2)*$B$17,(($B$18-1)-($B$18-1)/2)*$B$17))*$B$53+(0),999)</f>
        <v>4.46153846153846</v>
      </c>
      <c r="R34" s="35">
        <f>IF(AND($B$22&gt;0),(IF(7&lt;$B$22,(7-($B$22-1)/2)*$B$21,(($B$22-1)-($B$22-1)/2)*$B$21))*$B$53+(-38),999)</f>
        <v>-33.5384615384615</v>
      </c>
      <c r="S34" s="35">
        <f>IF(AND($B$22&gt;0),(IF(7&lt;$B$22,(-$B$5/2+IF($B$3=3,0,$B$13)),IF(MOD($B$22-1,2)=0,(($B$18-1)/2*$B$17),(-(($B$18-1)/2*$B$17)))))*$B$53+(0),999)</f>
        <v>-27.3269230769231</v>
      </c>
      <c r="T34" s="35">
        <f>IF(AND($B$30&gt;0,$B$29&gt;0),(IF(7&lt;$B$30,(-$B$4/2+$B$13),IF(MOD($B$30-1,2)=0,(($B$31-1)/2*$B$29),(-(($B$31-1)/2*$B$29)))))*$B$53+(-38),999)</f>
        <v>999</v>
      </c>
      <c r="U34" s="35">
        <f>IF(AND($B$30&gt;0,$B$29&gt;0),(IF(7&lt;$B$30,(7-($B$30-1)/2)*$B$29,(($B$30-1)-($B$30-1)/2)*$B$29))*$B$53+(0),999)</f>
        <v>999</v>
      </c>
      <c r="V34" s="35">
        <f>IF(AND($B$31&gt;0,$B$29&gt;0),(IF(7&lt;$B$31,(7-($B$31-1)/2)*$B$29,(($B$31-1)-($B$31-1)/2)*$B$29))*$B$53+(-38),999)</f>
        <v>999</v>
      </c>
      <c r="W34" s="35">
        <f>IF(AND($B$31&gt;0,$B$29&gt;0),(IF(7&lt;$B$31,(-$B$5/2+$B$13),IF(MOD($B$31-1,2)=0,(($B$30-1)/2*$B$29),(-(($B$30-1)/2*$B$29)))))*$B$53+(0),999)</f>
        <v>999</v>
      </c>
      <c r="CL34" s="35">
        <f>((-$B$4/2-$B$51)+(-$B$8/2-(-$B$4/2-$B$51))*10/10)*$B$57+(-37)</f>
        <v>-42.2584134615385</v>
      </c>
      <c r="CM34" s="35">
        <f>(($B$7)-$B$59)*$B$57+(0)</f>
        <v>14.7235576923077</v>
      </c>
      <c r="CN34" s="35">
        <f>(($B$8/2)+($B$4/2+$B$51-($B$8/2))*10/10)*$B$57+(-37)</f>
        <v>-2</v>
      </c>
      <c r="CO34" s="35">
        <f>(($B$7)-$B$59)*$B$57+(0)</f>
        <v>14.7235576923077</v>
      </c>
      <c r="CV34" s="35">
        <f>IF(AND(30&lt;$B$22),((30-($B$22-1)/2)*$B$21)*$B$57+(-37),999)</f>
        <v>999</v>
      </c>
      <c r="CW34" s="35">
        <f>IF(AND(30&lt;$B$22),(($B$24)-$B$59)*$B$57+(0),999)</f>
        <v>999</v>
      </c>
      <c r="CZ34" s="35">
        <f>IF(AND(30&lt;$B$31,$B$29&gt;0),((30-($B$31-1)/2)*$B$29)*$B$57+(-37),999)</f>
        <v>999</v>
      </c>
      <c r="DA34" s="35">
        <f>IF(AND(30&lt;$B$31,$B$29&gt;0),(($B$33)-$B$59)*$B$57+(0),999)</f>
        <v>999</v>
      </c>
      <c r="DJ34" s="35">
        <f>IF($B$39=1,((-1)*MIN($B$8/2+0.05+IF(15&lt;INT(($B$49-0.05)/$B$47)+1,15*$B$47,INT(($B$49-0.05)/$B$47)*$B$47+(15-INT(($B$49-0.05)/$B$47))*$B$48),$B$4/2+$B$50-0.05))*$B$57+(-37),999)</f>
        <v>999</v>
      </c>
      <c r="DK34" s="35">
        <f>IF($B$39=1,(($B$6+$B$41-$B$42)-$B$59)*$B$57+(0),999)</f>
        <v>999</v>
      </c>
      <c r="DL34" s="35">
        <f>IF($B$39=1,((1)*MIN($B$8/2+0.05+IF(15&lt;INT(($B$49-0.05)/$B$47)+1,15*$B$47,INT(($B$49-0.05)/$B$47)*$B$47+(15-INT(($B$49-0.05)/$B$47))*$B$48),$B$4/2+$B$50-0.05))*$B$57+(-37),999)</f>
        <v>999</v>
      </c>
      <c r="DM34" s="35">
        <f>IF($B$39=1,(($B$6+$B$41-$B$42)-$B$59)*$B$57+(0),999)</f>
        <v>999</v>
      </c>
      <c r="EL34" s="35">
        <f>((-$B$4/2-$B$51)+(-$B$8/2-(-$B$4/2-$B$51))*10/10)*$B$58+(0)</f>
        <v>-4.20673076923077</v>
      </c>
      <c r="EM34" s="35">
        <f>(($B$7)-$B$59)*$B$58+(0)</f>
        <v>11.7788461538462</v>
      </c>
      <c r="EN34" s="35">
        <f>(($B$8/2)+($B$4/2+$B$51-($B$8/2))*10/10)*$B$58+(0)</f>
        <v>28</v>
      </c>
      <c r="EO34" s="35">
        <f>(($B$7)-$B$59)*$B$58+(0)</f>
        <v>11.7788461538462</v>
      </c>
    </row>
    <row r="35" spans="1:145" x14ac:dyDescent="0.3">
      <c r="A35" s="33" t="s">
        <v>1434</v>
      </c>
      <c r="B35" s="34">
        <f>CHOOSE($B$3,AISLADA!$C$216,AISLADA_CT!$C$217,0)</f>
        <v>5</v>
      </c>
      <c r="P35" s="35">
        <f>IF(AND($B$18&gt;0),(IF(7&lt;$B$18,(-(($B$22-1)/2*$B$21)),IF(MOD($B$18-1,2)=0,(($B$22-1)/2*$B$21),(-(($B$22-1)/2*$B$21)))))*$B$53+(-38),999)</f>
        <v>-64.7692307692308</v>
      </c>
      <c r="Q35" s="35">
        <f>IF(AND($B$18&gt;0),(IF(7&lt;$B$18,(7-($B$18-1)/2)*$B$17,(($B$18-1)-($B$18-1)/2)*$B$17))*$B$53+(0),999)</f>
        <v>4.46153846153846</v>
      </c>
      <c r="R35" s="35">
        <f>IF(AND($B$22&gt;0),(IF(7&lt;$B$22,(7-($B$22-1)/2)*$B$21,(($B$22-1)-($B$22-1)/2)*$B$21))*$B$53+(-38),999)</f>
        <v>-33.5384615384615</v>
      </c>
      <c r="S35" s="35">
        <f>IF(AND($B$22&gt;0),(IF(7&lt;$B$22,(-(($B$18-1)/2*$B$17)),IF(MOD($B$22-1,2)=0,(($B$18-1)/2*$B$17),(-(($B$18-1)/2*$B$17)))))*$B$53+(0),999)</f>
        <v>-26.7692307692308</v>
      </c>
      <c r="T35" s="35">
        <f>IF(AND($B$30&gt;0,$B$29&gt;0),(IF(7&lt;$B$30,(-(($B$31-1)/2*$B$29)),IF(MOD($B$30-1,2)=0,(($B$31-1)/2*$B$29),(-(($B$31-1)/2*$B$29)))))*$B$53+(-38),999)</f>
        <v>999</v>
      </c>
      <c r="U35" s="35">
        <f>IF(AND($B$30&gt;0,$B$29&gt;0),(IF(7&lt;$B$30,(7-($B$30-1)/2)*$B$29,(($B$30-1)-($B$30-1)/2)*$B$29))*$B$53+(0),999)</f>
        <v>999</v>
      </c>
      <c r="V35" s="35">
        <f>IF(AND($B$31&gt;0,$B$29&gt;0),(IF(7&lt;$B$31,(7-($B$31-1)/2)*$B$29,(($B$31-1)-($B$31-1)/2)*$B$29))*$B$53+(-38),999)</f>
        <v>999</v>
      </c>
      <c r="W35" s="35">
        <f>IF(AND($B$31&gt;0,$B$29&gt;0),(IF(7&lt;$B$31,(-(($B$30-1)/2*$B$29)),IF(MOD($B$31-1,2)=0,(($B$30-1)/2*$B$29),(-(($B$30-1)/2*$B$29)))))*$B$53+(0),999)</f>
        <v>999</v>
      </c>
      <c r="CL35" s="35">
        <f>((-$B$4/2-$B$51)+(-$B$8/2-(-$B$4/2-$B$51))*10/10)*$B$57+(-37)-1.2</f>
        <v>-43.4584134615385</v>
      </c>
      <c r="CM35" s="35">
        <f>(($B$7)-$B$59)*$B$57+(0)-1.2</f>
        <v>13.5235576923077</v>
      </c>
      <c r="CN35" s="35">
        <f>(($B$8/2)+($B$4/2+$B$51-($B$8/2))*10/10)*$B$57+(-37)-1.2</f>
        <v>-3.2</v>
      </c>
      <c r="CO35" s="35">
        <f>(($B$7)-$B$59)*$B$57+(0)-1.2</f>
        <v>13.5235576923077</v>
      </c>
      <c r="CV35" s="35">
        <f>IF(AND(31&lt;$B$22),((31-($B$22-1)/2)*$B$21)*$B$57+(-37),999)</f>
        <v>999</v>
      </c>
      <c r="CW35" s="35">
        <f>IF(AND(31&lt;$B$22),(($B$24)-$B$59)*$B$57+(0),999)</f>
        <v>999</v>
      </c>
      <c r="CZ35" s="35">
        <f>IF(AND(31&lt;$B$31,$B$29&gt;0),((31-($B$31-1)/2)*$B$29)*$B$57+(-37),999)</f>
        <v>999</v>
      </c>
      <c r="DA35" s="35">
        <f>IF(AND(31&lt;$B$31,$B$29&gt;0),(($B$33)-$B$59)*$B$57+(0),999)</f>
        <v>999</v>
      </c>
      <c r="DJ35" s="35">
        <f>IF($B$39=1,((-1)*MIN($B$8/2+0.05+IF(15&lt;INT(($B$49-0.05)/$B$47)+1,15*$B$47,INT(($B$49-0.05)/$B$47)*$B$47+(15-INT(($B$49-0.05)/$B$47))*$B$48),$B$4/2+$B$50-0.05))*$B$57+(-37),999)</f>
        <v>999</v>
      </c>
      <c r="DK35" s="35">
        <f>IF($B$39=1,(($B$6+$B$42)-$B$59)*$B$57+(0),999)</f>
        <v>999</v>
      </c>
      <c r="DL35" s="35">
        <f>IF($B$39=1,((1)*MIN($B$8/2+0.05+IF(15&lt;INT(($B$49-0.05)/$B$47)+1,15*$B$47,INT(($B$49-0.05)/$B$47)*$B$47+(15-INT(($B$49-0.05)/$B$47))*$B$48),$B$4/2+$B$50-0.05))*$B$57+(-37),999)</f>
        <v>999</v>
      </c>
      <c r="DM35" s="35">
        <f>IF($B$39=1,(($B$6+$B$42)-$B$59)*$B$57+(0),999)</f>
        <v>999</v>
      </c>
      <c r="EL35" s="35">
        <f>((-$B$4/2-$B$51)+(-$B$8/2-(-$B$4/2-$B$51))*10/10)*$B$58+(0)-1.2</f>
        <v>-5.40673076923077</v>
      </c>
      <c r="EM35" s="35">
        <f>(($B$7)-$B$59)*$B$58+(0)-1.2</f>
        <v>10.5788461538462</v>
      </c>
      <c r="EN35" s="35">
        <f>(($B$8/2)+($B$4/2+$B$51-($B$8/2))*10/10)*$B$58+(0)-1.2</f>
        <v>26.8</v>
      </c>
      <c r="EO35" s="35">
        <f>(($B$7)-$B$59)*$B$58+(0)-1.2</f>
        <v>10.5788461538462</v>
      </c>
    </row>
    <row r="36" spans="1:145" x14ac:dyDescent="0.3">
      <c r="A36" s="33" t="s">
        <v>1435</v>
      </c>
      <c r="B36" s="34">
        <f>$B$12+$B$16+$B$20+$B$34/2</f>
        <v>0.11635</v>
      </c>
      <c r="P36" s="35">
        <f>IF(AND($B$18&gt;0),(IF(8&lt;$B$18,(-(($B$22-1)/2*$B$21)),IF(MOD($B$18-1,2)=0,(($B$22-1)/2*$B$21),(-(($B$22-1)/2*$B$21)))))*$B$53+(-38),999)</f>
        <v>-64.7692307692308</v>
      </c>
      <c r="Q36" s="35">
        <f>IF(AND($B$18&gt;0),(IF(8&lt;$B$18,(8-($B$18-1)/2)*$B$17,(($B$18-1)-($B$18-1)/2)*$B$17))*$B$53+(0),999)</f>
        <v>8.92307692307692</v>
      </c>
      <c r="R36" s="35">
        <f>IF(AND($B$22&gt;0),(IF(8&lt;$B$22,(8-($B$22-1)/2)*$B$21,(($B$22-1)-($B$22-1)/2)*$B$21))*$B$53+(-38),999)</f>
        <v>-29.0769230769231</v>
      </c>
      <c r="S36" s="35">
        <f>IF(AND($B$22&gt;0),(IF(8&lt;$B$22,(-(($B$18-1)/2*$B$17)),IF(MOD($B$22-1,2)=0,(($B$18-1)/2*$B$17),(-(($B$18-1)/2*$B$17)))))*$B$53+(0),999)</f>
        <v>-26.7692307692308</v>
      </c>
      <c r="T36" s="35">
        <f>IF(AND($B$30&gt;0,$B$29&gt;0),(IF(8&lt;$B$30,(-(($B$31-1)/2*$B$29)),IF(MOD($B$30-1,2)=0,(($B$31-1)/2*$B$29),(-(($B$31-1)/2*$B$29)))))*$B$53+(-38),999)</f>
        <v>999</v>
      </c>
      <c r="U36" s="35">
        <f>IF(AND($B$30&gt;0,$B$29&gt;0),(IF(8&lt;$B$30,(8-($B$30-1)/2)*$B$29,(($B$30-1)-($B$30-1)/2)*$B$29))*$B$53+(0),999)</f>
        <v>999</v>
      </c>
      <c r="V36" s="35">
        <f>IF(AND($B$31&gt;0,$B$29&gt;0),(IF(8&lt;$B$31,(8-($B$31-1)/2)*$B$29,(($B$31-1)-($B$31-1)/2)*$B$29))*$B$53+(-38),999)</f>
        <v>999</v>
      </c>
      <c r="W36" s="35">
        <f>IF(AND($B$31&gt;0,$B$29&gt;0),(IF(8&lt;$B$31,(-(($B$30-1)/2*$B$29)),IF(MOD($B$31-1,2)=0,(($B$30-1)/2*$B$29),(-(($B$30-1)/2*$B$29)))))*$B$53+(0),999)</f>
        <v>999</v>
      </c>
      <c r="CL36" s="35">
        <f>((-$B$4/2-$B$51)+(-$B$8/2-(-$B$4/2-$B$51))*10/10)*$B$57+(-37)</f>
        <v>-42.2584134615385</v>
      </c>
      <c r="CM36" s="35">
        <f>(($B$7)-$B$59)*$B$57+(0)</f>
        <v>14.7235576923077</v>
      </c>
      <c r="CN36" s="35">
        <f>(($B$8/2)+($B$4/2+$B$51-($B$8/2))*10/10)*$B$57+(-37)</f>
        <v>-2</v>
      </c>
      <c r="CO36" s="35">
        <f>(($B$7)-$B$59)*$B$57+(0)</f>
        <v>14.7235576923077</v>
      </c>
      <c r="CV36" s="35">
        <f>IF(AND(32&lt;$B$22),((32-($B$22-1)/2)*$B$21)*$B$57+(-37),999)</f>
        <v>999</v>
      </c>
      <c r="CW36" s="35">
        <f>IF(AND(32&lt;$B$22),(($B$24)-$B$59)*$B$57+(0),999)</f>
        <v>999</v>
      </c>
      <c r="CZ36" s="35">
        <f>IF(AND(32&lt;$B$31,$B$29&gt;0),((32-($B$31-1)/2)*$B$29)*$B$57+(-37),999)</f>
        <v>999</v>
      </c>
      <c r="DA36" s="35">
        <f>IF(AND(32&lt;$B$31,$B$29&gt;0),(($B$33)-$B$59)*$B$57+(0),999)</f>
        <v>999</v>
      </c>
      <c r="DJ36" s="35">
        <f>IF($B$39=1,((-1)*MIN($B$8/2+0.05+IF(16&lt;INT(($B$49-0.05)/$B$47)+1,16*$B$47,INT(($B$49-0.05)/$B$47)*$B$47+(16-INT(($B$49-0.05)/$B$47))*$B$48),$B$4/2+$B$50-0.05))*$B$57+(-37),999)</f>
        <v>999</v>
      </c>
      <c r="DK36" s="35">
        <f>IF($B$39=1,(($B$6+$B$42)-$B$59)*$B$57+(0),999)</f>
        <v>999</v>
      </c>
      <c r="DL36" s="35">
        <f>IF($B$39=1,((1)*MIN($B$8/2+0.05+IF(16&lt;INT(($B$49-0.05)/$B$47)+1,16*$B$47,INT(($B$49-0.05)/$B$47)*$B$47+(16-INT(($B$49-0.05)/$B$47))*$B$48),$B$4/2+$B$50-0.05))*$B$57+(-37),999)</f>
        <v>999</v>
      </c>
      <c r="DM36" s="35">
        <f>IF($B$39=1,(($B$6+$B$42)-$B$59)*$B$57+(0),999)</f>
        <v>999</v>
      </c>
      <c r="EL36" s="35">
        <f>((-$B$4/2-$B$51)+(-$B$8/2-(-$B$4/2-$B$51))*10/10)*$B$58+(0)</f>
        <v>-4.20673076923077</v>
      </c>
      <c r="EM36" s="35">
        <f>(($B$7)-$B$59)*$B$58+(0)</f>
        <v>11.7788461538462</v>
      </c>
      <c r="EN36" s="35">
        <f>(($B$8/2)+($B$4/2+$B$51-($B$8/2))*10/10)*$B$58+(0)</f>
        <v>28</v>
      </c>
      <c r="EO36" s="35">
        <f>(($B$7)-$B$59)*$B$58+(0)</f>
        <v>11.7788461538462</v>
      </c>
    </row>
    <row r="37" spans="1:145" x14ac:dyDescent="0.3">
      <c r="A37" s="33" t="s">
        <v>1436</v>
      </c>
      <c r="B37" s="34">
        <f>$B$8/2-0.05-$B$34/2</f>
        <v>0.19045</v>
      </c>
      <c r="P37" s="35">
        <f>IF(AND($B$18&gt;0),(IF(8&lt;$B$18,(-$B$4/2+$B$13),IF(MOD($B$18-1,2)=0,(($B$22-1)/2*$B$21),(-(($B$22-1)/2*$B$21)))))*$B$53+(-38),999)</f>
        <v>-65.3269230769231</v>
      </c>
      <c r="Q37" s="35">
        <f>IF(AND($B$18&gt;0),(IF(8&lt;$B$18,(8-($B$18-1)/2)*$B$17,(($B$18-1)-($B$18-1)/2)*$B$17))*$B$53+(0),999)</f>
        <v>8.92307692307692</v>
      </c>
      <c r="R37" s="35">
        <f>IF(AND($B$22&gt;0),(IF(8&lt;$B$22,(8-($B$22-1)/2)*$B$21,(($B$22-1)-($B$22-1)/2)*$B$21))*$B$53+(-38),999)</f>
        <v>-29.0769230769231</v>
      </c>
      <c r="S37" s="35">
        <f>IF(AND($B$22&gt;0),(IF(8&lt;$B$22,(-$B$5/2+IF($B$3=3,0,$B$13)),IF(MOD($B$22-1,2)=0,(($B$18-1)/2*$B$17),(-(($B$18-1)/2*$B$17)))))*$B$53+(0),999)</f>
        <v>-27.3269230769231</v>
      </c>
      <c r="T37" s="35">
        <f>IF(AND($B$30&gt;0,$B$29&gt;0),(IF(8&lt;$B$30,(-$B$4/2+$B$13),IF(MOD($B$30-1,2)=0,(($B$31-1)/2*$B$29),(-(($B$31-1)/2*$B$29)))))*$B$53+(-38),999)</f>
        <v>999</v>
      </c>
      <c r="U37" s="35">
        <f>IF(AND($B$30&gt;0,$B$29&gt;0),(IF(8&lt;$B$30,(8-($B$30-1)/2)*$B$29,(($B$30-1)-($B$30-1)/2)*$B$29))*$B$53+(0),999)</f>
        <v>999</v>
      </c>
      <c r="V37" s="35">
        <f>IF(AND($B$31&gt;0,$B$29&gt;0),(IF(8&lt;$B$31,(8-($B$31-1)/2)*$B$29,(($B$31-1)-($B$31-1)/2)*$B$29))*$B$53+(-38),999)</f>
        <v>999</v>
      </c>
      <c r="W37" s="35">
        <f>IF(AND($B$31&gt;0,$B$29&gt;0),(IF(8&lt;$B$31,(-$B$5/2+$B$13),IF(MOD($B$31-1,2)=0,(($B$30-1)/2*$B$29),(-(($B$30-1)/2*$B$29)))))*$B$53+(0),999)</f>
        <v>999</v>
      </c>
      <c r="CV37" s="35">
        <f>IF(AND(33&lt;$B$22),((33-($B$22-1)/2)*$B$21)*$B$57+(-37),999)</f>
        <v>999</v>
      </c>
      <c r="CW37" s="35">
        <f>IF(AND(33&lt;$B$22),(($B$24)-$B$59)*$B$57+(0),999)</f>
        <v>999</v>
      </c>
      <c r="CZ37" s="35">
        <f>IF(AND(33&lt;$B$31,$B$29&gt;0),((33-($B$31-1)/2)*$B$29)*$B$57+(-37),999)</f>
        <v>999</v>
      </c>
      <c r="DA37" s="35">
        <f>IF(AND(33&lt;$B$31,$B$29&gt;0),(($B$33)-$B$59)*$B$57+(0),999)</f>
        <v>999</v>
      </c>
      <c r="DJ37" s="35">
        <f>IF($B$39=1,((-1)*MIN($B$8/2+0.05+IF(16&lt;INT(($B$49-0.05)/$B$47)+1,16*$B$47,INT(($B$49-0.05)/$B$47)*$B$47+(16-INT(($B$49-0.05)/$B$47))*$B$48),$B$4/2+$B$50-0.05))*$B$57+(-37),999)</f>
        <v>999</v>
      </c>
      <c r="DK37" s="35">
        <f>IF($B$39=1,(($B$6+$B$41-$B$42)-$B$59)*$B$57+(0),999)</f>
        <v>999</v>
      </c>
      <c r="DL37" s="35">
        <f>IF($B$39=1,((1)*MIN($B$8/2+0.05+IF(16&lt;INT(($B$49-0.05)/$B$47)+1,16*$B$47,INT(($B$49-0.05)/$B$47)*$B$47+(16-INT(($B$49-0.05)/$B$47))*$B$48),$B$4/2+$B$50-0.05))*$B$57+(-37),999)</f>
        <v>999</v>
      </c>
      <c r="DM37" s="35">
        <f>IF($B$39=1,(($B$6+$B$41-$B$42)-$B$59)*$B$57+(0),999)</f>
        <v>999</v>
      </c>
    </row>
    <row r="38" spans="1:145" x14ac:dyDescent="0.3">
      <c r="A38" s="33" t="s">
        <v>1437</v>
      </c>
      <c r="B38" s="34">
        <f>IF($B$3&lt;3,1,0)</f>
        <v>1</v>
      </c>
      <c r="P38" s="35">
        <f>IF(AND($B$18&gt;0),(IF(8&lt;$B$18,($B$4/2-$B$13),IF(MOD($B$18-1,2)=0,(($B$22-1)/2*$B$21),(-(($B$22-1)/2*$B$21)))))*$B$53+(-38),999)</f>
        <v>-10.6730769230769</v>
      </c>
      <c r="Q38" s="35">
        <f>IF(AND($B$18&gt;0),(IF(8&lt;$B$18,(8-($B$18-1)/2)*$B$17,(($B$18-1)-($B$18-1)/2)*$B$17))*$B$53+(0),999)</f>
        <v>8.92307692307692</v>
      </c>
      <c r="R38" s="35">
        <f>IF(AND($B$22&gt;0),(IF(8&lt;$B$22,(8-($B$22-1)/2)*$B$21,(($B$22-1)-($B$22-1)/2)*$B$21))*$B$53+(-38),999)</f>
        <v>-29.0769230769231</v>
      </c>
      <c r="S38" s="35">
        <f>IF(AND($B$22&gt;0),(IF(8&lt;$B$22,($B$5/2-IF($B$3=3,0,$B$13)),IF(MOD($B$22-1,2)=0,(($B$18-1)/2*$B$17),(-(($B$18-1)/2*$B$17)))))*$B$53+(0),999)</f>
        <v>27.3269230769231</v>
      </c>
      <c r="T38" s="35">
        <f>IF(AND($B$30&gt;0,$B$29&gt;0),(IF(8&lt;$B$30,($B$4/2-$B$13),IF(MOD($B$30-1,2)=0,(($B$31-1)/2*$B$29),(-(($B$31-1)/2*$B$29)))))*$B$53+(-38),999)</f>
        <v>999</v>
      </c>
      <c r="U38" s="35">
        <f>IF(AND($B$30&gt;0,$B$29&gt;0),(IF(8&lt;$B$30,(8-($B$30-1)/2)*$B$29,(($B$30-1)-($B$30-1)/2)*$B$29))*$B$53+(0),999)</f>
        <v>999</v>
      </c>
      <c r="V38" s="35">
        <f>IF(AND($B$31&gt;0,$B$29&gt;0),(IF(8&lt;$B$31,(8-($B$31-1)/2)*$B$29,(($B$31-1)-($B$31-1)/2)*$B$29))*$B$53+(-38),999)</f>
        <v>999</v>
      </c>
      <c r="W38" s="35">
        <f>IF(AND($B$31&gt;0,$B$29&gt;0),(IF(8&lt;$B$31,($B$5/2-$B$13),IF(MOD($B$31-1,2)=0,(($B$30-1)/2*$B$29),(-(($B$30-1)/2*$B$29)))))*$B$53+(0),999)</f>
        <v>999</v>
      </c>
      <c r="CV38" s="35">
        <f>IF(AND(34&lt;$B$22),((34-($B$22-1)/2)*$B$21)*$B$57+(-37),999)</f>
        <v>999</v>
      </c>
      <c r="CW38" s="35">
        <f>IF(AND(34&lt;$B$22),(($B$24)-$B$59)*$B$57+(0),999)</f>
        <v>999</v>
      </c>
      <c r="CZ38" s="35">
        <f>IF(AND(34&lt;$B$31,$B$29&gt;0),((34-($B$31-1)/2)*$B$29)*$B$57+(-37),999)</f>
        <v>999</v>
      </c>
      <c r="DA38" s="35">
        <f>IF(AND(34&lt;$B$31,$B$29&gt;0),(($B$33)-$B$59)*$B$57+(0),999)</f>
        <v>999</v>
      </c>
      <c r="DJ38" s="35">
        <f>IF($B$39=1,((-1)*MIN($B$8/2+0.05+IF(17&lt;INT(($B$49-0.05)/$B$47)+1,17*$B$47,INT(($B$49-0.05)/$B$47)*$B$47+(17-INT(($B$49-0.05)/$B$47))*$B$48),$B$4/2+$B$50-0.05))*$B$57+(-37),999)</f>
        <v>999</v>
      </c>
      <c r="DK38" s="35">
        <f>IF($B$39=1,(($B$6+$B$41-$B$42)-$B$59)*$B$57+(0),999)</f>
        <v>999</v>
      </c>
      <c r="DL38" s="35">
        <f>IF($B$39=1,((1)*MIN($B$8/2+0.05+IF(17&lt;INT(($B$49-0.05)/$B$47)+1,17*$B$47,INT(($B$49-0.05)/$B$47)*$B$47+(17-INT(($B$49-0.05)/$B$47))*$B$48),$B$4/2+$B$50-0.05))*$B$57+(-37),999)</f>
        <v>999</v>
      </c>
      <c r="DM38" s="35">
        <f>IF($B$39=1,(($B$6+$B$41-$B$42)-$B$59)*$B$57+(0),999)</f>
        <v>999</v>
      </c>
    </row>
    <row r="39" spans="1:145" x14ac:dyDescent="0.3">
      <c r="A39" s="33" t="s">
        <v>1438</v>
      </c>
      <c r="B39" s="34">
        <f>IF($B$3=2,1,0)</f>
        <v>0</v>
      </c>
      <c r="P39" s="35">
        <f>IF(AND($B$18&gt;0),(IF(8&lt;$B$18,(($B$22-1)/2*$B$21),IF(MOD($B$18-1,2)=0,(($B$22-1)/2*$B$21),(-(($B$22-1)/2*$B$21)))))*$B$53+(-38),999)</f>
        <v>-11.2307692307692</v>
      </c>
      <c r="Q39" s="35">
        <f>IF(AND($B$18&gt;0),(IF(8&lt;$B$18,(8-($B$18-1)/2)*$B$17,(($B$18-1)-($B$18-1)/2)*$B$17))*$B$53+(0),999)</f>
        <v>8.92307692307692</v>
      </c>
      <c r="R39" s="35">
        <f>IF(AND($B$22&gt;0),(IF(8&lt;$B$22,(8-($B$22-1)/2)*$B$21,(($B$22-1)-($B$22-1)/2)*$B$21))*$B$53+(-38),999)</f>
        <v>-29.0769230769231</v>
      </c>
      <c r="S39" s="35">
        <f>IF(AND($B$22&gt;0),(IF(8&lt;$B$22,(($B$18-1)/2*$B$17),IF(MOD($B$22-1,2)=0,(($B$18-1)/2*$B$17),(-(($B$18-1)/2*$B$17)))))*$B$53+(0),999)</f>
        <v>26.7692307692308</v>
      </c>
      <c r="T39" s="35">
        <f>IF(AND($B$30&gt;0,$B$29&gt;0),(IF(8&lt;$B$30,(($B$31-1)/2*$B$29),IF(MOD($B$30-1,2)=0,(($B$31-1)/2*$B$29),(-(($B$31-1)/2*$B$29)))))*$B$53+(-38),999)</f>
        <v>999</v>
      </c>
      <c r="U39" s="35">
        <f>IF(AND($B$30&gt;0,$B$29&gt;0),(IF(8&lt;$B$30,(8-($B$30-1)/2)*$B$29,(($B$30-1)-($B$30-1)/2)*$B$29))*$B$53+(0),999)</f>
        <v>999</v>
      </c>
      <c r="V39" s="35">
        <f>IF(AND($B$31&gt;0,$B$29&gt;0),(IF(8&lt;$B$31,(8-($B$31-1)/2)*$B$29,(($B$31-1)-($B$31-1)/2)*$B$29))*$B$53+(-38),999)</f>
        <v>999</v>
      </c>
      <c r="W39" s="35">
        <f>IF(AND($B$31&gt;0,$B$29&gt;0),(IF(8&lt;$B$31,(($B$30-1)/2*$B$29),IF(MOD($B$31-1,2)=0,(($B$30-1)/2*$B$29),(-(($B$30-1)/2*$B$29)))))*$B$53+(0),999)</f>
        <v>999</v>
      </c>
      <c r="CV39" s="35">
        <f>IF(AND(35&lt;$B$22),((35-($B$22-1)/2)*$B$21)*$B$57+(-37),999)</f>
        <v>999</v>
      </c>
      <c r="CW39" s="35">
        <f>IF(AND(35&lt;$B$22),(($B$24)-$B$59)*$B$57+(0),999)</f>
        <v>999</v>
      </c>
      <c r="CZ39" s="35">
        <f>IF(AND(35&lt;$B$31,$B$29&gt;0),((35-($B$31-1)/2)*$B$29)*$B$57+(-37),999)</f>
        <v>999</v>
      </c>
      <c r="DA39" s="35">
        <f>IF(AND(35&lt;$B$31,$B$29&gt;0),(($B$33)-$B$59)*$B$57+(0),999)</f>
        <v>999</v>
      </c>
      <c r="DJ39" s="35">
        <f>IF($B$39=1,((-1)*MIN($B$8/2+0.05+IF(17&lt;INT(($B$49-0.05)/$B$47)+1,17*$B$47,INT(($B$49-0.05)/$B$47)*$B$47+(17-INT(($B$49-0.05)/$B$47))*$B$48),$B$4/2+$B$50-0.05))*$B$57+(-37),999)</f>
        <v>999</v>
      </c>
      <c r="DK39" s="35">
        <f>IF($B$39=1,(($B$6+$B$42)-$B$59)*$B$57+(0),999)</f>
        <v>999</v>
      </c>
      <c r="DL39" s="35">
        <f>IF($B$39=1,((1)*MIN($B$8/2+0.05+IF(17&lt;INT(($B$49-0.05)/$B$47)+1,17*$B$47,INT(($B$49-0.05)/$B$47)*$B$47+(17-INT(($B$49-0.05)/$B$47))*$B$48),$B$4/2+$B$50-0.05))*$B$57+(-37),999)</f>
        <v>999</v>
      </c>
      <c r="DM39" s="35">
        <f>IF($B$39=1,(($B$6+$B$42)-$B$59)*$B$57+(0),999)</f>
        <v>999</v>
      </c>
    </row>
    <row r="40" spans="1:145" x14ac:dyDescent="0.3">
      <c r="A40" s="33" t="s">
        <v>1439</v>
      </c>
      <c r="B40" s="34">
        <f>AISLADA_CT!$C$226</f>
        <v>0.3</v>
      </c>
      <c r="P40" s="35">
        <f>IF(AND($B$18&gt;0),(IF(9&lt;$B$18,(($B$22-1)/2*$B$21),IF(MOD($B$18-1,2)=0,(($B$22-1)/2*$B$21),(-(($B$22-1)/2*$B$21)))))*$B$53+(-38),999)</f>
        <v>-11.2307692307692</v>
      </c>
      <c r="Q40" s="35">
        <f>IF(AND($B$18&gt;0),(IF(9&lt;$B$18,(9-($B$18-1)/2)*$B$17,(($B$18-1)-($B$18-1)/2)*$B$17))*$B$53+(0),999)</f>
        <v>13.3846153846154</v>
      </c>
      <c r="R40" s="35">
        <f>IF(AND($B$22&gt;0),(IF(9&lt;$B$22,(9-($B$22-1)/2)*$B$21,(($B$22-1)-($B$22-1)/2)*$B$21))*$B$53+(-38),999)</f>
        <v>-24.6153846153846</v>
      </c>
      <c r="S40" s="35">
        <f>IF(AND($B$22&gt;0),(IF(9&lt;$B$22,(($B$18-1)/2*$B$17),IF(MOD($B$22-1,2)=0,(($B$18-1)/2*$B$17),(-(($B$18-1)/2*$B$17)))))*$B$53+(0),999)</f>
        <v>26.7692307692308</v>
      </c>
      <c r="T40" s="35">
        <f>IF(AND($B$30&gt;0,$B$29&gt;0),(IF(9&lt;$B$30,(($B$31-1)/2*$B$29),IF(MOD($B$30-1,2)=0,(($B$31-1)/2*$B$29),(-(($B$31-1)/2*$B$29)))))*$B$53+(-38),999)</f>
        <v>999</v>
      </c>
      <c r="U40" s="35">
        <f>IF(AND($B$30&gt;0,$B$29&gt;0),(IF(9&lt;$B$30,(9-($B$30-1)/2)*$B$29,(($B$30-1)-($B$30-1)/2)*$B$29))*$B$53+(0),999)</f>
        <v>999</v>
      </c>
      <c r="V40" s="35">
        <f>IF(AND($B$31&gt;0,$B$29&gt;0),(IF(9&lt;$B$31,(9-($B$31-1)/2)*$B$29,(($B$31-1)-($B$31-1)/2)*$B$29))*$B$53+(-38),999)</f>
        <v>999</v>
      </c>
      <c r="W40" s="35">
        <f>IF(AND($B$31&gt;0,$B$29&gt;0),(IF(9&lt;$B$31,(($B$30-1)/2*$B$29),IF(MOD($B$31-1,2)=0,(($B$30-1)/2*$B$29),(-(($B$30-1)/2*$B$29)))))*$B$53+(0),999)</f>
        <v>999</v>
      </c>
      <c r="CV40" s="35">
        <f>IF(AND(36&lt;$B$22),((36-($B$22-1)/2)*$B$21)*$B$57+(-37),999)</f>
        <v>999</v>
      </c>
      <c r="CW40" s="35">
        <f>IF(AND(36&lt;$B$22),(($B$24)-$B$59)*$B$57+(0),999)</f>
        <v>999</v>
      </c>
      <c r="CZ40" s="35">
        <f>IF(AND(36&lt;$B$31,$B$29&gt;0),((36-($B$31-1)/2)*$B$29)*$B$57+(-37),999)</f>
        <v>999</v>
      </c>
      <c r="DA40" s="35">
        <f>IF(AND(36&lt;$B$31,$B$29&gt;0),(($B$33)-$B$59)*$B$57+(0),999)</f>
        <v>999</v>
      </c>
      <c r="DJ40" s="35">
        <f>IF($B$39=1,((-1)*MIN($B$8/2+0.05+IF(18&lt;INT(($B$49-0.05)/$B$47)+1,18*$B$47,INT(($B$49-0.05)/$B$47)*$B$47+(18-INT(($B$49-0.05)/$B$47))*$B$48),$B$4/2+$B$50-0.05))*$B$57+(-37),999)</f>
        <v>999</v>
      </c>
      <c r="DK40" s="35">
        <f>IF($B$39=1,(($B$6+$B$42)-$B$59)*$B$57+(0),999)</f>
        <v>999</v>
      </c>
      <c r="DL40" s="35">
        <f>IF($B$39=1,((1)*MIN($B$8/2+0.05+IF(18&lt;INT(($B$49-0.05)/$B$47)+1,18*$B$47,INT(($B$49-0.05)/$B$47)*$B$47+(18-INT(($B$49-0.05)/$B$47))*$B$48),$B$4/2+$B$50-0.05))*$B$57+(-37),999)</f>
        <v>999</v>
      </c>
      <c r="DM40" s="35">
        <f>IF($B$39=1,(($B$6+$B$42)-$B$59)*$B$57+(0),999)</f>
        <v>999</v>
      </c>
    </row>
    <row r="41" spans="1:145" x14ac:dyDescent="0.3">
      <c r="A41" s="33" t="s">
        <v>1440</v>
      </c>
      <c r="B41" s="34">
        <f>AISLADA_CT!$C$227</f>
        <v>0.6</v>
      </c>
      <c r="P41" s="35">
        <f>IF(AND($B$18&gt;0),(IF(9&lt;$B$18,($B$4/2-$B$13),IF(MOD($B$18-1,2)=0,(($B$22-1)/2*$B$21),(-(($B$22-1)/2*$B$21)))))*$B$53+(-38),999)</f>
        <v>-10.6730769230769</v>
      </c>
      <c r="Q41" s="35">
        <f>IF(AND($B$18&gt;0),(IF(9&lt;$B$18,(9-($B$18-1)/2)*$B$17,(($B$18-1)-($B$18-1)/2)*$B$17))*$B$53+(0),999)</f>
        <v>13.3846153846154</v>
      </c>
      <c r="R41" s="35">
        <f>IF(AND($B$22&gt;0),(IF(9&lt;$B$22,(9-($B$22-1)/2)*$B$21,(($B$22-1)-($B$22-1)/2)*$B$21))*$B$53+(-38),999)</f>
        <v>-24.6153846153846</v>
      </c>
      <c r="S41" s="35">
        <f>IF(AND($B$22&gt;0),(IF(9&lt;$B$22,($B$5/2-IF($B$3=3,0,$B$13)),IF(MOD($B$22-1,2)=0,(($B$18-1)/2*$B$17),(-(($B$18-1)/2*$B$17)))))*$B$53+(0),999)</f>
        <v>27.3269230769231</v>
      </c>
      <c r="T41" s="35">
        <f>IF(AND($B$30&gt;0,$B$29&gt;0),(IF(9&lt;$B$30,($B$4/2-$B$13),IF(MOD($B$30-1,2)=0,(($B$31-1)/2*$B$29),(-(($B$31-1)/2*$B$29)))))*$B$53+(-38),999)</f>
        <v>999</v>
      </c>
      <c r="U41" s="35">
        <f>IF(AND($B$30&gt;0,$B$29&gt;0),(IF(9&lt;$B$30,(9-($B$30-1)/2)*$B$29,(($B$30-1)-($B$30-1)/2)*$B$29))*$B$53+(0),999)</f>
        <v>999</v>
      </c>
      <c r="V41" s="35">
        <f>IF(AND($B$31&gt;0,$B$29&gt;0),(IF(9&lt;$B$31,(9-($B$31-1)/2)*$B$29,(($B$31-1)-($B$31-1)/2)*$B$29))*$B$53+(-38),999)</f>
        <v>999</v>
      </c>
      <c r="W41" s="35">
        <f>IF(AND($B$31&gt;0,$B$29&gt;0),(IF(9&lt;$B$31,($B$5/2-$B$13),IF(MOD($B$31-1,2)=0,(($B$30-1)/2*$B$29),(-(($B$30-1)/2*$B$29)))))*$B$53+(0),999)</f>
        <v>999</v>
      </c>
      <c r="CV41" s="35">
        <f>IF(AND(37&lt;$B$22),((37-($B$22-1)/2)*$B$21)*$B$57+(-37),999)</f>
        <v>999</v>
      </c>
      <c r="CW41" s="35">
        <f>IF(AND(37&lt;$B$22),(($B$24)-$B$59)*$B$57+(0),999)</f>
        <v>999</v>
      </c>
      <c r="CZ41" s="35">
        <f>IF(AND(37&lt;$B$31,$B$29&gt;0),((37-($B$31-1)/2)*$B$29)*$B$57+(-37),999)</f>
        <v>999</v>
      </c>
      <c r="DA41" s="35">
        <f>IF(AND(37&lt;$B$31,$B$29&gt;0),(($B$33)-$B$59)*$B$57+(0),999)</f>
        <v>999</v>
      </c>
      <c r="DJ41" s="35">
        <f>IF($B$39=1,((-1)*MIN($B$8/2+0.05+IF(18&lt;INT(($B$49-0.05)/$B$47)+1,18*$B$47,INT(($B$49-0.05)/$B$47)*$B$47+(18-INT(($B$49-0.05)/$B$47))*$B$48),$B$4/2+$B$50-0.05))*$B$57+(-37),999)</f>
        <v>999</v>
      </c>
      <c r="DK41" s="35">
        <f>IF($B$39=1,(($B$6+$B$41-$B$42)-$B$59)*$B$57+(0),999)</f>
        <v>999</v>
      </c>
      <c r="DL41" s="35">
        <f>IF($B$39=1,((1)*MIN($B$8/2+0.05+IF(18&lt;INT(($B$49-0.05)/$B$47)+1,18*$B$47,INT(($B$49-0.05)/$B$47)*$B$47+(18-INT(($B$49-0.05)/$B$47))*$B$48),$B$4/2+$B$50-0.05))*$B$57+(-37),999)</f>
        <v>999</v>
      </c>
      <c r="DM41" s="35">
        <f>IF($B$39=1,(($B$6+$B$41-$B$42)-$B$59)*$B$57+(0),999)</f>
        <v>999</v>
      </c>
    </row>
    <row r="42" spans="1:145" x14ac:dyDescent="0.3">
      <c r="A42" s="33" t="s">
        <v>1441</v>
      </c>
      <c r="B42" s="34">
        <f>AISLADA_CT!$C$231/100</f>
        <v>0.05</v>
      </c>
      <c r="P42" s="35">
        <f>IF(AND($B$18&gt;0),(IF(9&lt;$B$18,(-$B$4/2+$B$13),IF(MOD($B$18-1,2)=0,(($B$22-1)/2*$B$21),(-(($B$22-1)/2*$B$21)))))*$B$53+(-38),999)</f>
        <v>-65.3269230769231</v>
      </c>
      <c r="Q42" s="35">
        <f>IF(AND($B$18&gt;0),(IF(9&lt;$B$18,(9-($B$18-1)/2)*$B$17,(($B$18-1)-($B$18-1)/2)*$B$17))*$B$53+(0),999)</f>
        <v>13.3846153846154</v>
      </c>
      <c r="R42" s="35">
        <f>IF(AND($B$22&gt;0),(IF(9&lt;$B$22,(9-($B$22-1)/2)*$B$21,(($B$22-1)-($B$22-1)/2)*$B$21))*$B$53+(-38),999)</f>
        <v>-24.6153846153846</v>
      </c>
      <c r="S42" s="35">
        <f>IF(AND($B$22&gt;0),(IF(9&lt;$B$22,(-$B$5/2+IF($B$3=3,0,$B$13)),IF(MOD($B$22-1,2)=0,(($B$18-1)/2*$B$17),(-(($B$18-1)/2*$B$17)))))*$B$53+(0),999)</f>
        <v>-27.3269230769231</v>
      </c>
      <c r="T42" s="35">
        <f>IF(AND($B$30&gt;0,$B$29&gt;0),(IF(9&lt;$B$30,(-$B$4/2+$B$13),IF(MOD($B$30-1,2)=0,(($B$31-1)/2*$B$29),(-(($B$31-1)/2*$B$29)))))*$B$53+(-38),999)</f>
        <v>999</v>
      </c>
      <c r="U42" s="35">
        <f>IF(AND($B$30&gt;0,$B$29&gt;0),(IF(9&lt;$B$30,(9-($B$30-1)/2)*$B$29,(($B$30-1)-($B$30-1)/2)*$B$29))*$B$53+(0),999)</f>
        <v>999</v>
      </c>
      <c r="V42" s="35">
        <f>IF(AND($B$31&gt;0,$B$29&gt;0),(IF(9&lt;$B$31,(9-($B$31-1)/2)*$B$29,(($B$31-1)-($B$31-1)/2)*$B$29))*$B$53+(-38),999)</f>
        <v>999</v>
      </c>
      <c r="W42" s="35">
        <f>IF(AND($B$31&gt;0,$B$29&gt;0),(IF(9&lt;$B$31,(-$B$5/2+$B$13),IF(MOD($B$31-1,2)=0,(($B$30-1)/2*$B$29),(-(($B$30-1)/2*$B$29)))))*$B$53+(0),999)</f>
        <v>999</v>
      </c>
      <c r="CV42" s="35">
        <f>IF(AND(38&lt;$B$22),((38-($B$22-1)/2)*$B$21)*$B$57+(-37),999)</f>
        <v>999</v>
      </c>
      <c r="CW42" s="35">
        <f>IF(AND(38&lt;$B$22),(($B$24)-$B$59)*$B$57+(0),999)</f>
        <v>999</v>
      </c>
      <c r="CZ42" s="35">
        <f>IF(AND(38&lt;$B$31,$B$29&gt;0),((38-($B$31-1)/2)*$B$29)*$B$57+(-37),999)</f>
        <v>999</v>
      </c>
      <c r="DA42" s="35">
        <f>IF(AND(38&lt;$B$31,$B$29&gt;0),(($B$33)-$B$59)*$B$57+(0),999)</f>
        <v>999</v>
      </c>
      <c r="DJ42" s="35">
        <f>IF($B$39=1,((-1)*MIN($B$8/2+0.05+IF(19&lt;INT(($B$49-0.05)/$B$47)+1,19*$B$47,INT(($B$49-0.05)/$B$47)*$B$47+(19-INT(($B$49-0.05)/$B$47))*$B$48),$B$4/2+$B$50-0.05))*$B$57+(-37),999)</f>
        <v>999</v>
      </c>
      <c r="DK42" s="35">
        <f>IF($B$39=1,(($B$6+$B$41-$B$42)-$B$59)*$B$57+(0),999)</f>
        <v>999</v>
      </c>
      <c r="DL42" s="35">
        <f>IF($B$39=1,((1)*MIN($B$8/2+0.05+IF(19&lt;INT(($B$49-0.05)/$B$47)+1,19*$B$47,INT(($B$49-0.05)/$B$47)*$B$47+(19-INT(($B$49-0.05)/$B$47))*$B$48),$B$4/2+$B$50-0.05))*$B$57+(-37),999)</f>
        <v>999</v>
      </c>
      <c r="DM42" s="35">
        <f>IF($B$39=1,(($B$6+$B$41-$B$42)-$B$59)*$B$57+(0),999)</f>
        <v>999</v>
      </c>
    </row>
    <row r="43" spans="1:145" x14ac:dyDescent="0.3">
      <c r="A43" s="33" t="s">
        <v>1442</v>
      </c>
      <c r="B43" s="34">
        <f>AISLADA_CT!$C$238/100</f>
        <v>0.0191</v>
      </c>
      <c r="P43" s="35">
        <f>IF(AND($B$18&gt;0),(IF(9&lt;$B$18,(-(($B$22-1)/2*$B$21)),IF(MOD($B$18-1,2)=0,(($B$22-1)/2*$B$21),(-(($B$22-1)/2*$B$21)))))*$B$53+(-38),999)</f>
        <v>-64.7692307692308</v>
      </c>
      <c r="Q43" s="35">
        <f>IF(AND($B$18&gt;0),(IF(9&lt;$B$18,(9-($B$18-1)/2)*$B$17,(($B$18-1)-($B$18-1)/2)*$B$17))*$B$53+(0),999)</f>
        <v>13.3846153846154</v>
      </c>
      <c r="R43" s="35">
        <f>IF(AND($B$22&gt;0),(IF(9&lt;$B$22,(9-($B$22-1)/2)*$B$21,(($B$22-1)-($B$22-1)/2)*$B$21))*$B$53+(-38),999)</f>
        <v>-24.6153846153846</v>
      </c>
      <c r="S43" s="35">
        <f>IF(AND($B$22&gt;0),(IF(9&lt;$B$22,(-(($B$18-1)/2*$B$17)),IF(MOD($B$22-1,2)=0,(($B$18-1)/2*$B$17),(-(($B$18-1)/2*$B$17)))))*$B$53+(0),999)</f>
        <v>-26.7692307692308</v>
      </c>
      <c r="T43" s="35">
        <f>IF(AND($B$30&gt;0,$B$29&gt;0),(IF(9&lt;$B$30,(-(($B$31-1)/2*$B$29)),IF(MOD($B$30-1,2)=0,(($B$31-1)/2*$B$29),(-(($B$31-1)/2*$B$29)))))*$B$53+(-38),999)</f>
        <v>999</v>
      </c>
      <c r="U43" s="35">
        <f>IF(AND($B$30&gt;0,$B$29&gt;0),(IF(9&lt;$B$30,(9-($B$30-1)/2)*$B$29,(($B$30-1)-($B$30-1)/2)*$B$29))*$B$53+(0),999)</f>
        <v>999</v>
      </c>
      <c r="V43" s="35">
        <f>IF(AND($B$31&gt;0,$B$29&gt;0),(IF(9&lt;$B$31,(9-($B$31-1)/2)*$B$29,(($B$31-1)-($B$31-1)/2)*$B$29))*$B$53+(-38),999)</f>
        <v>999</v>
      </c>
      <c r="W43" s="35">
        <f>IF(AND($B$31&gt;0,$B$29&gt;0),(IF(9&lt;$B$31,(-(($B$30-1)/2*$B$29)),IF(MOD($B$31-1,2)=0,(($B$30-1)/2*$B$29),(-(($B$30-1)/2*$B$29)))))*$B$53+(0),999)</f>
        <v>999</v>
      </c>
      <c r="CV43" s="35">
        <f>IF(AND(39&lt;$B$22),((39-($B$22-1)/2)*$B$21)*$B$57+(-37),999)</f>
        <v>999</v>
      </c>
      <c r="CW43" s="35">
        <f>IF(AND(39&lt;$B$22),(($B$24)-$B$59)*$B$57+(0),999)</f>
        <v>999</v>
      </c>
      <c r="CZ43" s="35">
        <f>IF(AND(39&lt;$B$31,$B$29&gt;0),((39-($B$31-1)/2)*$B$29)*$B$57+(-37),999)</f>
        <v>999</v>
      </c>
      <c r="DA43" s="35">
        <f>IF(AND(39&lt;$B$31,$B$29&gt;0),(($B$33)-$B$59)*$B$57+(0),999)</f>
        <v>999</v>
      </c>
      <c r="DJ43" s="35">
        <f>IF($B$39=1,((-1)*MIN($B$8/2+0.05+IF(19&lt;INT(($B$49-0.05)/$B$47)+1,19*$B$47,INT(($B$49-0.05)/$B$47)*$B$47+(19-INT(($B$49-0.05)/$B$47))*$B$48),$B$4/2+$B$50-0.05))*$B$57+(-37),999)</f>
        <v>999</v>
      </c>
      <c r="DK43" s="35">
        <f>IF($B$39=1,(($B$6+$B$42)-$B$59)*$B$57+(0),999)</f>
        <v>999</v>
      </c>
      <c r="DL43" s="35">
        <f>IF($B$39=1,((1)*MIN($B$8/2+0.05+IF(19&lt;INT(($B$49-0.05)/$B$47)+1,19*$B$47,INT(($B$49-0.05)/$B$47)*$B$47+(19-INT(($B$49-0.05)/$B$47))*$B$48),$B$4/2+$B$50-0.05))*$B$57+(-37),999)</f>
        <v>999</v>
      </c>
      <c r="DM43" s="35">
        <f>IF($B$39=1,(($B$6+$B$42)-$B$59)*$B$57+(0),999)</f>
        <v>999</v>
      </c>
    </row>
    <row r="44" spans="1:145" x14ac:dyDescent="0.3">
      <c r="A44" s="33" t="s">
        <v>1443</v>
      </c>
      <c r="B44" s="34">
        <f>AISLADA_CT!$C$240/100</f>
        <v>0.0095</v>
      </c>
      <c r="P44" s="35">
        <f>IF(AND($B$18&gt;0),(IF(10&lt;$B$18,(-(($B$22-1)/2*$B$21)),IF(MOD($B$18-1,2)=0,(($B$22-1)/2*$B$21),(-(($B$22-1)/2*$B$21)))))*$B$53+(-38),999)</f>
        <v>-64.7692307692308</v>
      </c>
      <c r="Q44" s="35">
        <f>IF(AND($B$18&gt;0),(IF(10&lt;$B$18,(10-($B$18-1)/2)*$B$17,(($B$18-1)-($B$18-1)/2)*$B$17))*$B$53+(0),999)</f>
        <v>17.8461538461538</v>
      </c>
      <c r="R44" s="35">
        <f>IF(AND($B$22&gt;0),(IF(10&lt;$B$22,(10-($B$22-1)/2)*$B$21,(($B$22-1)-($B$22-1)/2)*$B$21))*$B$53+(-38),999)</f>
        <v>-20.1538461538462</v>
      </c>
      <c r="S44" s="35">
        <f>IF(AND($B$22&gt;0),(IF(10&lt;$B$22,(-(($B$18-1)/2*$B$17)),IF(MOD($B$22-1,2)=0,(($B$18-1)/2*$B$17),(-(($B$18-1)/2*$B$17)))))*$B$53+(0),999)</f>
        <v>-26.7692307692308</v>
      </c>
      <c r="T44" s="35">
        <f>IF(AND($B$30&gt;0,$B$29&gt;0),(IF(10&lt;$B$30,(-(($B$31-1)/2*$B$29)),IF(MOD($B$30-1,2)=0,(($B$31-1)/2*$B$29),(-(($B$31-1)/2*$B$29)))))*$B$53+(-38),999)</f>
        <v>999</v>
      </c>
      <c r="U44" s="35">
        <f>IF(AND($B$30&gt;0,$B$29&gt;0),(IF(10&lt;$B$30,(10-($B$30-1)/2)*$B$29,(($B$30-1)-($B$30-1)/2)*$B$29))*$B$53+(0),999)</f>
        <v>999</v>
      </c>
      <c r="V44" s="35">
        <f>IF(AND($B$31&gt;0,$B$29&gt;0),(IF(10&lt;$B$31,(10-($B$31-1)/2)*$B$29,(($B$31-1)-($B$31-1)/2)*$B$29))*$B$53+(-38),999)</f>
        <v>999</v>
      </c>
      <c r="W44" s="35">
        <f>IF(AND($B$31&gt;0,$B$29&gt;0),(IF(10&lt;$B$31,(-(($B$30-1)/2*$B$29)),IF(MOD($B$31-1,2)=0,(($B$30-1)/2*$B$29),(-(($B$30-1)/2*$B$29)))))*$B$53+(0),999)</f>
        <v>999</v>
      </c>
      <c r="CV44" s="35">
        <f>IF(AND(40&lt;$B$22),((40-($B$22-1)/2)*$B$21)*$B$57+(-37),999)</f>
        <v>999</v>
      </c>
      <c r="CW44" s="35">
        <f>IF(AND(40&lt;$B$22),(($B$24)-$B$59)*$B$57+(0),999)</f>
        <v>999</v>
      </c>
      <c r="CZ44" s="35">
        <f>IF(AND(40&lt;$B$31,$B$29&gt;0),((40-($B$31-1)/2)*$B$29)*$B$57+(-37),999)</f>
        <v>999</v>
      </c>
      <c r="DA44" s="35">
        <f>IF(AND(40&lt;$B$31,$B$29&gt;0),(($B$33)-$B$59)*$B$57+(0),999)</f>
        <v>999</v>
      </c>
      <c r="DJ44" s="35">
        <f>IF($B$39=1,((-1)*MIN($B$8/2+0.05+IF(20&lt;INT(($B$49-0.05)/$B$47)+1,20*$B$47,INT(($B$49-0.05)/$B$47)*$B$47+(20-INT(($B$49-0.05)/$B$47))*$B$48),$B$4/2+$B$50-0.05))*$B$57+(-37),999)</f>
        <v>999</v>
      </c>
      <c r="DK44" s="35">
        <f>IF($B$39=1,(($B$6+$B$42)-$B$59)*$B$57+(0),999)</f>
        <v>999</v>
      </c>
      <c r="DL44" s="35">
        <f>IF($B$39=1,((1)*MIN($B$8/2+0.05+IF(20&lt;INT(($B$49-0.05)/$B$47)+1,20*$B$47,INT(($B$49-0.05)/$B$47)*$B$47+(20-INT(($B$49-0.05)/$B$47))*$B$48),$B$4/2+$B$50-0.05))*$B$57+(-37),999)</f>
        <v>999</v>
      </c>
      <c r="DM44" s="35">
        <f>IF($B$39=1,(($B$6+$B$42)-$B$59)*$B$57+(0),999)</f>
        <v>999</v>
      </c>
    </row>
    <row r="45" spans="1:145" x14ac:dyDescent="0.3">
      <c r="A45" s="33" t="s">
        <v>1444</v>
      </c>
      <c r="B45" s="34">
        <f>MIN(12,AISLADA_CT!$C$253)</f>
        <v>3</v>
      </c>
      <c r="P45" s="35">
        <f>IF(AND($B$18&gt;0),(IF(10&lt;$B$18,(-$B$4/2+$B$13),IF(MOD($B$18-1,2)=0,(($B$22-1)/2*$B$21),(-(($B$22-1)/2*$B$21)))))*$B$53+(-38),999)</f>
        <v>-65.3269230769231</v>
      </c>
      <c r="Q45" s="35">
        <f>IF(AND($B$18&gt;0),(IF(10&lt;$B$18,(10-($B$18-1)/2)*$B$17,(($B$18-1)-($B$18-1)/2)*$B$17))*$B$53+(0),999)</f>
        <v>17.8461538461538</v>
      </c>
      <c r="R45" s="35">
        <f>IF(AND($B$22&gt;0),(IF(10&lt;$B$22,(10-($B$22-1)/2)*$B$21,(($B$22-1)-($B$22-1)/2)*$B$21))*$B$53+(-38),999)</f>
        <v>-20.1538461538462</v>
      </c>
      <c r="S45" s="35">
        <f>IF(AND($B$22&gt;0),(IF(10&lt;$B$22,(-$B$5/2+IF($B$3=3,0,$B$13)),IF(MOD($B$22-1,2)=0,(($B$18-1)/2*$B$17),(-(($B$18-1)/2*$B$17)))))*$B$53+(0),999)</f>
        <v>-27.3269230769231</v>
      </c>
      <c r="T45" s="35">
        <f>IF(AND($B$30&gt;0,$B$29&gt;0),(IF(10&lt;$B$30,(-$B$4/2+$B$13),IF(MOD($B$30-1,2)=0,(($B$31-1)/2*$B$29),(-(($B$31-1)/2*$B$29)))))*$B$53+(-38),999)</f>
        <v>999</v>
      </c>
      <c r="U45" s="35">
        <f>IF(AND($B$30&gt;0,$B$29&gt;0),(IF(10&lt;$B$30,(10-($B$30-1)/2)*$B$29,(($B$30-1)-($B$30-1)/2)*$B$29))*$B$53+(0),999)</f>
        <v>999</v>
      </c>
      <c r="V45" s="35">
        <f>IF(AND($B$31&gt;0,$B$29&gt;0),(IF(10&lt;$B$31,(10-($B$31-1)/2)*$B$29,(($B$31-1)-($B$31-1)/2)*$B$29))*$B$53+(-38),999)</f>
        <v>999</v>
      </c>
      <c r="W45" s="35">
        <f>IF(AND($B$31&gt;0,$B$29&gt;0),(IF(10&lt;$B$31,(-$B$5/2+$B$13),IF(MOD($B$31-1,2)=0,(($B$30-1)/2*$B$29),(-(($B$30-1)/2*$B$29)))))*$B$53+(0),999)</f>
        <v>999</v>
      </c>
      <c r="CV45" s="35">
        <f>IF(AND(41&lt;$B$22),((41-($B$22-1)/2)*$B$21)*$B$57+(-37),999)</f>
        <v>999</v>
      </c>
      <c r="CW45" s="35">
        <f>IF(AND(41&lt;$B$22),(($B$24)-$B$59)*$B$57+(0),999)</f>
        <v>999</v>
      </c>
      <c r="CZ45" s="35">
        <f>IF(AND(41&lt;$B$31,$B$29&gt;0),((41-($B$31-1)/2)*$B$29)*$B$57+(-37),999)</f>
        <v>999</v>
      </c>
      <c r="DA45" s="35">
        <f>IF(AND(41&lt;$B$31,$B$29&gt;0),(($B$33)-$B$59)*$B$57+(0),999)</f>
        <v>999</v>
      </c>
      <c r="DJ45" s="35">
        <f>IF($B$39=1,((-1)*MIN($B$8/2+0.05+IF(20&lt;INT(($B$49-0.05)/$B$47)+1,20*$B$47,INT(($B$49-0.05)/$B$47)*$B$47+(20-INT(($B$49-0.05)/$B$47))*$B$48),$B$4/2+$B$50-0.05))*$B$57+(-37),999)</f>
        <v>999</v>
      </c>
      <c r="DK45" s="35">
        <f>IF($B$39=1,(($B$6+$B$41-$B$42)-$B$59)*$B$57+(0),999)</f>
        <v>999</v>
      </c>
      <c r="DL45" s="35">
        <f>IF($B$39=1,((1)*MIN($B$8/2+0.05+IF(20&lt;INT(($B$49-0.05)/$B$47)+1,20*$B$47,INT(($B$49-0.05)/$B$47)*$B$47+(20-INT(($B$49-0.05)/$B$47))*$B$48),$B$4/2+$B$50-0.05))*$B$57+(-37),999)</f>
        <v>999</v>
      </c>
      <c r="DM45" s="35">
        <f>IF($B$39=1,(($B$6+$B$41-$B$42)-$B$59)*$B$57+(0),999)</f>
        <v>999</v>
      </c>
    </row>
    <row r="46" spans="1:145" x14ac:dyDescent="0.3">
      <c r="A46" s="33" t="s">
        <v>1445</v>
      </c>
      <c r="B46" s="34">
        <f>MIN(12,AISLADA_CT!$C$255)</f>
        <v>3</v>
      </c>
      <c r="P46" s="35">
        <f>IF(AND($B$18&gt;0),(IF(10&lt;$B$18,($B$4/2-$B$13),IF(MOD($B$18-1,2)=0,(($B$22-1)/2*$B$21),(-(($B$22-1)/2*$B$21)))))*$B$53+(-38),999)</f>
        <v>-10.6730769230769</v>
      </c>
      <c r="Q46" s="35">
        <f>IF(AND($B$18&gt;0),(IF(10&lt;$B$18,(10-($B$18-1)/2)*$B$17,(($B$18-1)-($B$18-1)/2)*$B$17))*$B$53+(0),999)</f>
        <v>17.8461538461538</v>
      </c>
      <c r="R46" s="35">
        <f>IF(AND($B$22&gt;0),(IF(10&lt;$B$22,(10-($B$22-1)/2)*$B$21,(($B$22-1)-($B$22-1)/2)*$B$21))*$B$53+(-38),999)</f>
        <v>-20.1538461538462</v>
      </c>
      <c r="S46" s="35">
        <f>IF(AND($B$22&gt;0),(IF(10&lt;$B$22,($B$5/2-IF($B$3=3,0,$B$13)),IF(MOD($B$22-1,2)=0,(($B$18-1)/2*$B$17),(-(($B$18-1)/2*$B$17)))))*$B$53+(0),999)</f>
        <v>27.3269230769231</v>
      </c>
      <c r="T46" s="35">
        <f>IF(AND($B$30&gt;0,$B$29&gt;0),(IF(10&lt;$B$30,($B$4/2-$B$13),IF(MOD($B$30-1,2)=0,(($B$31-1)/2*$B$29),(-(($B$31-1)/2*$B$29)))))*$B$53+(-38),999)</f>
        <v>999</v>
      </c>
      <c r="U46" s="35">
        <f>IF(AND($B$30&gt;0,$B$29&gt;0),(IF(10&lt;$B$30,(10-($B$30-1)/2)*$B$29,(($B$30-1)-($B$30-1)/2)*$B$29))*$B$53+(0),999)</f>
        <v>999</v>
      </c>
      <c r="V46" s="35">
        <f>IF(AND($B$31&gt;0,$B$29&gt;0),(IF(10&lt;$B$31,(10-($B$31-1)/2)*$B$29,(($B$31-1)-($B$31-1)/2)*$B$29))*$B$53+(-38),999)</f>
        <v>999</v>
      </c>
      <c r="W46" s="35">
        <f>IF(AND($B$31&gt;0,$B$29&gt;0),(IF(10&lt;$B$31,($B$5/2-$B$13),IF(MOD($B$31-1,2)=0,(($B$30-1)/2*$B$29),(-(($B$30-1)/2*$B$29)))))*$B$53+(0),999)</f>
        <v>999</v>
      </c>
      <c r="CV46" s="35">
        <f>IF(AND(42&lt;$B$22),((42-($B$22-1)/2)*$B$21)*$B$57+(-37),999)</f>
        <v>999</v>
      </c>
      <c r="CW46" s="35">
        <f>IF(AND(42&lt;$B$22),(($B$24)-$B$59)*$B$57+(0),999)</f>
        <v>999</v>
      </c>
      <c r="CZ46" s="35">
        <f>IF(AND(42&lt;$B$31,$B$29&gt;0),((42-($B$31-1)/2)*$B$29)*$B$57+(-37),999)</f>
        <v>999</v>
      </c>
      <c r="DA46" s="35">
        <f>IF(AND(42&lt;$B$31,$B$29&gt;0),(($B$33)-$B$59)*$B$57+(0),999)</f>
        <v>999</v>
      </c>
      <c r="DJ46" s="35">
        <f>IF($B$39=1,((-1)*MIN($B$8/2+0.05+IF(21&lt;INT(($B$49-0.05)/$B$47)+1,21*$B$47,INT(($B$49-0.05)/$B$47)*$B$47+(21-INT(($B$49-0.05)/$B$47))*$B$48),$B$4/2+$B$50-0.05))*$B$57+(-37),999)</f>
        <v>999</v>
      </c>
      <c r="DK46" s="35">
        <f>IF($B$39=1,(($B$6+$B$41-$B$42)-$B$59)*$B$57+(0),999)</f>
        <v>999</v>
      </c>
      <c r="DL46" s="35">
        <f>IF($B$39=1,((1)*MIN($B$8/2+0.05+IF(21&lt;INT(($B$49-0.05)/$B$47)+1,21*$B$47,INT(($B$49-0.05)/$B$47)*$B$47+(21-INT(($B$49-0.05)/$B$47))*$B$48),$B$4/2+$B$50-0.05))*$B$57+(-37),999)</f>
        <v>999</v>
      </c>
      <c r="DM46" s="35">
        <f>IF($B$39=1,(($B$6+$B$41-$B$42)-$B$59)*$B$57+(0),999)</f>
        <v>999</v>
      </c>
    </row>
    <row r="47" spans="1:145" x14ac:dyDescent="0.3">
      <c r="A47" s="33" t="s">
        <v>1446</v>
      </c>
      <c r="B47" s="34">
        <f>AISLADA_CT!$C$282/100</f>
        <v>0.1</v>
      </c>
      <c r="P47" s="35">
        <f>IF(AND($B$18&gt;0),(IF(10&lt;$B$18,(($B$22-1)/2*$B$21),IF(MOD($B$18-1,2)=0,(($B$22-1)/2*$B$21),(-(($B$22-1)/2*$B$21)))))*$B$53+(-38),999)</f>
        <v>-11.2307692307692</v>
      </c>
      <c r="Q47" s="35">
        <f>IF(AND($B$18&gt;0),(IF(10&lt;$B$18,(10-($B$18-1)/2)*$B$17,(($B$18-1)-($B$18-1)/2)*$B$17))*$B$53+(0),999)</f>
        <v>17.8461538461538</v>
      </c>
      <c r="R47" s="35">
        <f>IF(AND($B$22&gt;0),(IF(10&lt;$B$22,(10-($B$22-1)/2)*$B$21,(($B$22-1)-($B$22-1)/2)*$B$21))*$B$53+(-38),999)</f>
        <v>-20.1538461538462</v>
      </c>
      <c r="S47" s="35">
        <f>IF(AND($B$22&gt;0),(IF(10&lt;$B$22,(($B$18-1)/2*$B$17),IF(MOD($B$22-1,2)=0,(($B$18-1)/2*$B$17),(-(($B$18-1)/2*$B$17)))))*$B$53+(0),999)</f>
        <v>26.7692307692308</v>
      </c>
      <c r="T47" s="35">
        <f>IF(AND($B$30&gt;0,$B$29&gt;0),(IF(10&lt;$B$30,(($B$31-1)/2*$B$29),IF(MOD($B$30-1,2)=0,(($B$31-1)/2*$B$29),(-(($B$31-1)/2*$B$29)))))*$B$53+(-38),999)</f>
        <v>999</v>
      </c>
      <c r="U47" s="35">
        <f>IF(AND($B$30&gt;0,$B$29&gt;0),(IF(10&lt;$B$30,(10-($B$30-1)/2)*$B$29,(($B$30-1)-($B$30-1)/2)*$B$29))*$B$53+(0),999)</f>
        <v>999</v>
      </c>
      <c r="V47" s="35">
        <f>IF(AND($B$31&gt;0,$B$29&gt;0),(IF(10&lt;$B$31,(10-($B$31-1)/2)*$B$29,(($B$31-1)-($B$31-1)/2)*$B$29))*$B$53+(-38),999)</f>
        <v>999</v>
      </c>
      <c r="W47" s="35">
        <f>IF(AND($B$31&gt;0,$B$29&gt;0),(IF(10&lt;$B$31,(($B$30-1)/2*$B$29),IF(MOD($B$31-1,2)=0,(($B$30-1)/2*$B$29),(-(($B$30-1)/2*$B$29)))))*$B$53+(0),999)</f>
        <v>999</v>
      </c>
      <c r="CV47" s="35">
        <f>IF(AND(43&lt;$B$22),((43-($B$22-1)/2)*$B$21)*$B$57+(-37),999)</f>
        <v>999</v>
      </c>
      <c r="CW47" s="35">
        <f>IF(AND(43&lt;$B$22),(($B$24)-$B$59)*$B$57+(0),999)</f>
        <v>999</v>
      </c>
      <c r="CZ47" s="35">
        <f>IF(AND(43&lt;$B$31,$B$29&gt;0),((43-($B$31-1)/2)*$B$29)*$B$57+(-37),999)</f>
        <v>999</v>
      </c>
      <c r="DA47" s="35">
        <f>IF(AND(43&lt;$B$31,$B$29&gt;0),(($B$33)-$B$59)*$B$57+(0),999)</f>
        <v>999</v>
      </c>
      <c r="DJ47" s="35">
        <f>IF($B$39=1,((-1)*MIN($B$8/2+0.05+IF(21&lt;INT(($B$49-0.05)/$B$47)+1,21*$B$47,INT(($B$49-0.05)/$B$47)*$B$47+(21-INT(($B$49-0.05)/$B$47))*$B$48),$B$4/2+$B$50-0.05))*$B$57+(-37),999)</f>
        <v>999</v>
      </c>
      <c r="DK47" s="35">
        <f>IF($B$39=1,(($B$6+$B$42)-$B$59)*$B$57+(0),999)</f>
        <v>999</v>
      </c>
      <c r="DL47" s="35">
        <f>IF($B$39=1,((1)*MIN($B$8/2+0.05+IF(21&lt;INT(($B$49-0.05)/$B$47)+1,21*$B$47,INT(($B$49-0.05)/$B$47)*$B$47+(21-INT(($B$49-0.05)/$B$47))*$B$48),$B$4/2+$B$50-0.05))*$B$57+(-37),999)</f>
        <v>999</v>
      </c>
      <c r="DM47" s="35">
        <f>IF($B$39=1,(($B$6+$B$42)-$B$59)*$B$57+(0),999)</f>
        <v>999</v>
      </c>
    </row>
    <row r="48" spans="1:145" x14ac:dyDescent="0.3">
      <c r="A48" s="33" t="s">
        <v>1447</v>
      </c>
      <c r="B48" s="34">
        <f>AISLADA_CT!$C$281/100</f>
        <v>0.15</v>
      </c>
      <c r="P48" s="35">
        <f>IF(AND($B$18&gt;0),(IF(11&lt;$B$18,(($B$22-1)/2*$B$21),IF(MOD($B$18-1,2)=0,(($B$22-1)/2*$B$21),(-(($B$22-1)/2*$B$21)))))*$B$53+(-38),999)</f>
        <v>-11.2307692307692</v>
      </c>
      <c r="Q48" s="35">
        <f>IF(AND($B$18&gt;0),(IF(11&lt;$B$18,(11-($B$18-1)/2)*$B$17,(($B$18-1)-($B$18-1)/2)*$B$17))*$B$53+(0),999)</f>
        <v>22.3076923076923</v>
      </c>
      <c r="R48" s="35">
        <f>IF(AND($B$22&gt;0),(IF(11&lt;$B$22,(11-($B$22-1)/2)*$B$21,(($B$22-1)-($B$22-1)/2)*$B$21))*$B$53+(-38),999)</f>
        <v>-15.6923076923077</v>
      </c>
      <c r="S48" s="35">
        <f>IF(AND($B$22&gt;0),(IF(11&lt;$B$22,(($B$18-1)/2*$B$17),IF(MOD($B$22-1,2)=0,(($B$18-1)/2*$B$17),(-(($B$18-1)/2*$B$17)))))*$B$53+(0),999)</f>
        <v>26.7692307692308</v>
      </c>
      <c r="T48" s="35">
        <f>IF(AND($B$30&gt;0,$B$29&gt;0),(IF(11&lt;$B$30,(($B$31-1)/2*$B$29),IF(MOD($B$30-1,2)=0,(($B$31-1)/2*$B$29),(-(($B$31-1)/2*$B$29)))))*$B$53+(-38),999)</f>
        <v>999</v>
      </c>
      <c r="U48" s="35">
        <f>IF(AND($B$30&gt;0,$B$29&gt;0),(IF(11&lt;$B$30,(11-($B$30-1)/2)*$B$29,(($B$30-1)-($B$30-1)/2)*$B$29))*$B$53+(0),999)</f>
        <v>999</v>
      </c>
      <c r="V48" s="35">
        <f>IF(AND($B$31&gt;0,$B$29&gt;0),(IF(11&lt;$B$31,(11-($B$31-1)/2)*$B$29,(($B$31-1)-($B$31-1)/2)*$B$29))*$B$53+(-38),999)</f>
        <v>999</v>
      </c>
      <c r="W48" s="35">
        <f>IF(AND($B$31&gt;0,$B$29&gt;0),(IF(11&lt;$B$31,(($B$30-1)/2*$B$29),IF(MOD($B$31-1,2)=0,(($B$30-1)/2*$B$29),(-(($B$30-1)/2*$B$29)))))*$B$53+(0),999)</f>
        <v>999</v>
      </c>
      <c r="CV48" s="35">
        <f>IF(AND(44&lt;$B$22),((44-($B$22-1)/2)*$B$21)*$B$57+(-37),999)</f>
        <v>999</v>
      </c>
      <c r="CW48" s="35">
        <f>IF(AND(44&lt;$B$22),(($B$24)-$B$59)*$B$57+(0),999)</f>
        <v>999</v>
      </c>
      <c r="CZ48" s="35">
        <f>IF(AND(44&lt;$B$31,$B$29&gt;0),((44-($B$31-1)/2)*$B$29)*$B$57+(-37),999)</f>
        <v>999</v>
      </c>
      <c r="DA48" s="35">
        <f>IF(AND(44&lt;$B$31,$B$29&gt;0),(($B$33)-$B$59)*$B$57+(0),999)</f>
        <v>999</v>
      </c>
      <c r="DJ48" s="35">
        <f>IF($B$39=1,((-1)*MIN($B$8/2+0.05+IF(22&lt;INT(($B$49-0.05)/$B$47)+1,22*$B$47,INT(($B$49-0.05)/$B$47)*$B$47+(22-INT(($B$49-0.05)/$B$47))*$B$48),$B$4/2+$B$50-0.05))*$B$57+(-37),999)</f>
        <v>999</v>
      </c>
      <c r="DK48" s="35">
        <f>IF($B$39=1,(($B$6+$B$42)-$B$59)*$B$57+(0),999)</f>
        <v>999</v>
      </c>
      <c r="DL48" s="35">
        <f>IF($B$39=1,((1)*MIN($B$8/2+0.05+IF(22&lt;INT(($B$49-0.05)/$B$47)+1,22*$B$47,INT(($B$49-0.05)/$B$47)*$B$47+(22-INT(($B$49-0.05)/$B$47))*$B$48),$B$4/2+$B$50-0.05))*$B$57+(-37),999)</f>
        <v>999</v>
      </c>
      <c r="DM48" s="35">
        <f>IF($B$39=1,(($B$6+$B$42)-$B$59)*$B$57+(0),999)</f>
        <v>999</v>
      </c>
    </row>
    <row r="49" spans="1:117" x14ac:dyDescent="0.3">
      <c r="A49" s="33" t="s">
        <v>1448</v>
      </c>
      <c r="B49" s="34">
        <f>AISLADA_CT!$C$283</f>
        <v>1.2</v>
      </c>
      <c r="P49" s="35">
        <f>IF(AND($B$18&gt;0),(IF(11&lt;$B$18,($B$4/2-$B$13),IF(MOD($B$18-1,2)=0,(($B$22-1)/2*$B$21),(-(($B$22-1)/2*$B$21)))))*$B$53+(-38),999)</f>
        <v>-10.6730769230769</v>
      </c>
      <c r="Q49" s="35">
        <f>IF(AND($B$18&gt;0),(IF(11&lt;$B$18,(11-($B$18-1)/2)*$B$17,(($B$18-1)-($B$18-1)/2)*$B$17))*$B$53+(0),999)</f>
        <v>22.3076923076923</v>
      </c>
      <c r="R49" s="35">
        <f>IF(AND($B$22&gt;0),(IF(11&lt;$B$22,(11-($B$22-1)/2)*$B$21,(($B$22-1)-($B$22-1)/2)*$B$21))*$B$53+(-38),999)</f>
        <v>-15.6923076923077</v>
      </c>
      <c r="S49" s="35">
        <f>IF(AND($B$22&gt;0),(IF(11&lt;$B$22,($B$5/2-IF($B$3=3,0,$B$13)),IF(MOD($B$22-1,2)=0,(($B$18-1)/2*$B$17),(-(($B$18-1)/2*$B$17)))))*$B$53+(0),999)</f>
        <v>27.3269230769231</v>
      </c>
      <c r="T49" s="35">
        <f>IF(AND($B$30&gt;0,$B$29&gt;0),(IF(11&lt;$B$30,($B$4/2-$B$13),IF(MOD($B$30-1,2)=0,(($B$31-1)/2*$B$29),(-(($B$31-1)/2*$B$29)))))*$B$53+(-38),999)</f>
        <v>999</v>
      </c>
      <c r="U49" s="35">
        <f>IF(AND($B$30&gt;0,$B$29&gt;0),(IF(11&lt;$B$30,(11-($B$30-1)/2)*$B$29,(($B$30-1)-($B$30-1)/2)*$B$29))*$B$53+(0),999)</f>
        <v>999</v>
      </c>
      <c r="V49" s="35">
        <f>IF(AND($B$31&gt;0,$B$29&gt;0),(IF(11&lt;$B$31,(11-($B$31-1)/2)*$B$29,(($B$31-1)-($B$31-1)/2)*$B$29))*$B$53+(-38),999)</f>
        <v>999</v>
      </c>
      <c r="W49" s="35">
        <f>IF(AND($B$31&gt;0,$B$29&gt;0),(IF(11&lt;$B$31,($B$5/2-$B$13),IF(MOD($B$31-1,2)=0,(($B$30-1)/2*$B$29),(-(($B$30-1)/2*$B$29)))))*$B$53+(0),999)</f>
        <v>999</v>
      </c>
      <c r="CV49" s="35">
        <f>IF(AND(45&lt;$B$22),((45-($B$22-1)/2)*$B$21)*$B$57+(-37),999)</f>
        <v>999</v>
      </c>
      <c r="CW49" s="35">
        <f>IF(AND(45&lt;$B$22),(($B$24)-$B$59)*$B$57+(0),999)</f>
        <v>999</v>
      </c>
      <c r="CZ49" s="35">
        <f>IF(AND(45&lt;$B$31,$B$29&gt;0),((45-($B$31-1)/2)*$B$29)*$B$57+(-37),999)</f>
        <v>999</v>
      </c>
      <c r="DA49" s="35">
        <f>IF(AND(45&lt;$B$31,$B$29&gt;0),(($B$33)-$B$59)*$B$57+(0),999)</f>
        <v>999</v>
      </c>
      <c r="DJ49" s="35">
        <f>IF($B$39=1,((-1)*MIN($B$8/2+0.05+IF(22&lt;INT(($B$49-0.05)/$B$47)+1,22*$B$47,INT(($B$49-0.05)/$B$47)*$B$47+(22-INT(($B$49-0.05)/$B$47))*$B$48),$B$4/2+$B$50-0.05))*$B$57+(-37),999)</f>
        <v>999</v>
      </c>
      <c r="DK49" s="35">
        <f>IF($B$39=1,(($B$6+$B$41-$B$42)-$B$59)*$B$57+(0),999)</f>
        <v>999</v>
      </c>
      <c r="DL49" s="35">
        <f>IF($B$39=1,((1)*MIN($B$8/2+0.05+IF(22&lt;INT(($B$49-0.05)/$B$47)+1,22*$B$47,INT(($B$49-0.05)/$B$47)*$B$47+(22-INT(($B$49-0.05)/$B$47))*$B$48),$B$4/2+$B$50-0.05))*$B$57+(-37),999)</f>
        <v>999</v>
      </c>
      <c r="DM49" s="35">
        <f>IF($B$39=1,(($B$6+$B$41-$B$42)-$B$59)*$B$57+(0),999)</f>
        <v>999</v>
      </c>
    </row>
    <row r="50" spans="1:117" x14ac:dyDescent="0.3">
      <c r="A50" s="33" t="s">
        <v>1449</v>
      </c>
      <c r="B50" s="34">
        <f>IF($B$39=1,0.35*MAX($B$4,$B$5),0)</f>
        <v>0</v>
      </c>
      <c r="P50" s="35">
        <f>IF(AND($B$18&gt;0),(IF(11&lt;$B$18,(-$B$4/2+$B$13),IF(MOD($B$18-1,2)=0,(($B$22-1)/2*$B$21),(-(($B$22-1)/2*$B$21)))))*$B$53+(-38),999)</f>
        <v>-65.3269230769231</v>
      </c>
      <c r="Q50" s="35">
        <f>IF(AND($B$18&gt;0),(IF(11&lt;$B$18,(11-($B$18-1)/2)*$B$17,(($B$18-1)-($B$18-1)/2)*$B$17))*$B$53+(0),999)</f>
        <v>22.3076923076923</v>
      </c>
      <c r="R50" s="35">
        <f>IF(AND($B$22&gt;0),(IF(11&lt;$B$22,(11-($B$22-1)/2)*$B$21,(($B$22-1)-($B$22-1)/2)*$B$21))*$B$53+(-38),999)</f>
        <v>-15.6923076923077</v>
      </c>
      <c r="S50" s="35">
        <f>IF(AND($B$22&gt;0),(IF(11&lt;$B$22,(-$B$5/2+IF($B$3=3,0,$B$13)),IF(MOD($B$22-1,2)=0,(($B$18-1)/2*$B$17),(-(($B$18-1)/2*$B$17)))))*$B$53+(0),999)</f>
        <v>-27.3269230769231</v>
      </c>
      <c r="T50" s="35">
        <f>IF(AND($B$30&gt;0,$B$29&gt;0),(IF(11&lt;$B$30,(-$B$4/2+$B$13),IF(MOD($B$30-1,2)=0,(($B$31-1)/2*$B$29),(-(($B$31-1)/2*$B$29)))))*$B$53+(-38),999)</f>
        <v>999</v>
      </c>
      <c r="U50" s="35">
        <f>IF(AND($B$30&gt;0,$B$29&gt;0),(IF(11&lt;$B$30,(11-($B$30-1)/2)*$B$29,(($B$30-1)-($B$30-1)/2)*$B$29))*$B$53+(0),999)</f>
        <v>999</v>
      </c>
      <c r="V50" s="35">
        <f>IF(AND($B$31&gt;0,$B$29&gt;0),(IF(11&lt;$B$31,(11-($B$31-1)/2)*$B$29,(($B$31-1)-($B$31-1)/2)*$B$29))*$B$53+(-38),999)</f>
        <v>999</v>
      </c>
      <c r="W50" s="35">
        <f>IF(AND($B$31&gt;0,$B$29&gt;0),(IF(11&lt;$B$31,(-$B$5/2+$B$13),IF(MOD($B$31-1,2)=0,(($B$30-1)/2*$B$29),(-(($B$30-1)/2*$B$29)))))*$B$53+(0),999)</f>
        <v>999</v>
      </c>
      <c r="CV50" s="35">
        <f>IF(AND(46&lt;$B$22),((46-($B$22-1)/2)*$B$21)*$B$57+(-37),999)</f>
        <v>999</v>
      </c>
      <c r="CW50" s="35">
        <f>IF(AND(46&lt;$B$22),(($B$24)-$B$59)*$B$57+(0),999)</f>
        <v>999</v>
      </c>
      <c r="CZ50" s="35">
        <f>IF(AND(46&lt;$B$31,$B$29&gt;0),((46-($B$31-1)/2)*$B$29)*$B$57+(-37),999)</f>
        <v>999</v>
      </c>
      <c r="DA50" s="35">
        <f>IF(AND(46&lt;$B$31,$B$29&gt;0),(($B$33)-$B$59)*$B$57+(0),999)</f>
        <v>999</v>
      </c>
      <c r="DJ50" s="35">
        <f>IF($B$39=1,((-1)*MIN($B$8/2+0.05+IF(23&lt;INT(($B$49-0.05)/$B$47)+1,23*$B$47,INT(($B$49-0.05)/$B$47)*$B$47+(23-INT(($B$49-0.05)/$B$47))*$B$48),$B$4/2+$B$50-0.05))*$B$57+(-37),999)</f>
        <v>999</v>
      </c>
      <c r="DK50" s="35">
        <f>IF($B$39=1,(($B$6+$B$41-$B$42)-$B$59)*$B$57+(0),999)</f>
        <v>999</v>
      </c>
      <c r="DL50" s="35">
        <f>IF($B$39=1,((1)*MIN($B$8/2+0.05+IF(23&lt;INT(($B$49-0.05)/$B$47)+1,23*$B$47,INT(($B$49-0.05)/$B$47)*$B$47+(23-INT(($B$49-0.05)/$B$47))*$B$48),$B$4/2+$B$50-0.05))*$B$57+(-37),999)</f>
        <v>999</v>
      </c>
      <c r="DM50" s="35">
        <f>IF($B$39=1,(($B$6+$B$41-$B$42)-$B$59)*$B$57+(0),999)</f>
        <v>999</v>
      </c>
    </row>
    <row r="51" spans="1:117" x14ac:dyDescent="0.3">
      <c r="A51" s="33" t="s">
        <v>1450</v>
      </c>
      <c r="B51" s="34">
        <f>MAX($B$50,0.14*$B$4)</f>
        <v>0.364</v>
      </c>
      <c r="P51" s="35">
        <f>IF(AND($B$18&gt;0),(IF(11&lt;$B$18,(-(($B$22-1)/2*$B$21)),IF(MOD($B$18-1,2)=0,(($B$22-1)/2*$B$21),(-(($B$22-1)/2*$B$21)))))*$B$53+(-38),999)</f>
        <v>-64.7692307692308</v>
      </c>
      <c r="Q51" s="35">
        <f>IF(AND($B$18&gt;0),(IF(11&lt;$B$18,(11-($B$18-1)/2)*$B$17,(($B$18-1)-($B$18-1)/2)*$B$17))*$B$53+(0),999)</f>
        <v>22.3076923076923</v>
      </c>
      <c r="R51" s="35">
        <f>IF(AND($B$22&gt;0),(IF(11&lt;$B$22,(11-($B$22-1)/2)*$B$21,(($B$22-1)-($B$22-1)/2)*$B$21))*$B$53+(-38),999)</f>
        <v>-15.6923076923077</v>
      </c>
      <c r="S51" s="35">
        <f>IF(AND($B$22&gt;0),(IF(11&lt;$B$22,(-(($B$18-1)/2*$B$17)),IF(MOD($B$22-1,2)=0,(($B$18-1)/2*$B$17),(-(($B$18-1)/2*$B$17)))))*$B$53+(0),999)</f>
        <v>-26.7692307692308</v>
      </c>
      <c r="T51" s="35">
        <f>IF(AND($B$30&gt;0,$B$29&gt;0),(IF(11&lt;$B$30,(-(($B$31-1)/2*$B$29)),IF(MOD($B$30-1,2)=0,(($B$31-1)/2*$B$29),(-(($B$31-1)/2*$B$29)))))*$B$53+(-38),999)</f>
        <v>999</v>
      </c>
      <c r="U51" s="35">
        <f>IF(AND($B$30&gt;0,$B$29&gt;0),(IF(11&lt;$B$30,(11-($B$30-1)/2)*$B$29,(($B$30-1)-($B$30-1)/2)*$B$29))*$B$53+(0),999)</f>
        <v>999</v>
      </c>
      <c r="V51" s="35">
        <f>IF(AND($B$31&gt;0,$B$29&gt;0),(IF(11&lt;$B$31,(11-($B$31-1)/2)*$B$29,(($B$31-1)-($B$31-1)/2)*$B$29))*$B$53+(-38),999)</f>
        <v>999</v>
      </c>
      <c r="W51" s="35">
        <f>IF(AND($B$31&gt;0,$B$29&gt;0),(IF(11&lt;$B$31,(-(($B$30-1)/2*$B$29)),IF(MOD($B$31-1,2)=0,(($B$30-1)/2*$B$29),(-(($B$30-1)/2*$B$29)))))*$B$53+(0),999)</f>
        <v>999</v>
      </c>
      <c r="CV51" s="35">
        <f>IF(AND(47&lt;$B$22),((47-($B$22-1)/2)*$B$21)*$B$57+(-37),999)</f>
        <v>999</v>
      </c>
      <c r="CW51" s="35">
        <f>IF(AND(47&lt;$B$22),(($B$24)-$B$59)*$B$57+(0),999)</f>
        <v>999</v>
      </c>
      <c r="CZ51" s="35">
        <f>IF(AND(47&lt;$B$31,$B$29&gt;0),((47-($B$31-1)/2)*$B$29)*$B$57+(-37),999)</f>
        <v>999</v>
      </c>
      <c r="DA51" s="35">
        <f>IF(AND(47&lt;$B$31,$B$29&gt;0),(($B$33)-$B$59)*$B$57+(0),999)</f>
        <v>999</v>
      </c>
      <c r="DJ51" s="35">
        <f>IF($B$39=1,((-1)*MIN($B$8/2+0.05+IF(23&lt;INT(($B$49-0.05)/$B$47)+1,23*$B$47,INT(($B$49-0.05)/$B$47)*$B$47+(23-INT(($B$49-0.05)/$B$47))*$B$48),$B$4/2+$B$50-0.05))*$B$57+(-37),999)</f>
        <v>999</v>
      </c>
      <c r="DK51" s="35">
        <f>IF($B$39=1,(($B$6+$B$42)-$B$59)*$B$57+(0),999)</f>
        <v>999</v>
      </c>
      <c r="DL51" s="35">
        <f>IF($B$39=1,((1)*MIN($B$8/2+0.05+IF(23&lt;INT(($B$49-0.05)/$B$47)+1,23*$B$47,INT(($B$49-0.05)/$B$47)*$B$47+(23-INT(($B$49-0.05)/$B$47))*$B$48),$B$4/2+$B$50-0.05))*$B$57+(-37),999)</f>
        <v>999</v>
      </c>
      <c r="DM51" s="35">
        <f>IF($B$39=1,(($B$6+$B$42)-$B$59)*$B$57+(0),999)</f>
        <v>999</v>
      </c>
    </row>
    <row r="52" spans="1:117" x14ac:dyDescent="0.3">
      <c r="A52" s="33" t="s">
        <v>1451</v>
      </c>
      <c r="B52" s="34">
        <f>MAX($B$4+2*$B$50,$B$5+2*$B$50)</f>
        <v>2.6</v>
      </c>
      <c r="P52" s="35">
        <f>IF(AND($B$18&gt;0),(IF(12&lt;$B$18,(-(($B$22-1)/2*$B$21)),IF(MOD($B$18-1,2)=0,(($B$22-1)/2*$B$21),(-(($B$22-1)/2*$B$21)))))*$B$53+(-38),999)</f>
        <v>-64.7692307692308</v>
      </c>
      <c r="Q52" s="35">
        <f>IF(AND($B$18&gt;0),(IF(12&lt;$B$18,(12-($B$18-1)/2)*$B$17,(($B$18-1)-($B$18-1)/2)*$B$17))*$B$53+(0),999)</f>
        <v>26.7692307692308</v>
      </c>
      <c r="R52" s="35">
        <f>IF(AND($B$22&gt;0),(IF(12&lt;$B$22,(12-($B$22-1)/2)*$B$21,(($B$22-1)-($B$22-1)/2)*$B$21))*$B$53+(-38),999)</f>
        <v>-11.2307692307692</v>
      </c>
      <c r="S52" s="35">
        <f>IF(AND($B$22&gt;0),(IF(12&lt;$B$22,(-(($B$18-1)/2*$B$17)),IF(MOD($B$22-1,2)=0,(($B$18-1)/2*$B$17),(-(($B$18-1)/2*$B$17)))))*$B$53+(0),999)</f>
        <v>-26.7692307692308</v>
      </c>
      <c r="T52" s="35">
        <f>IF(AND($B$30&gt;0,$B$29&gt;0),(IF(12&lt;$B$30,(-(($B$31-1)/2*$B$29)),IF(MOD($B$30-1,2)=0,(($B$31-1)/2*$B$29),(-(($B$31-1)/2*$B$29)))))*$B$53+(-38),999)</f>
        <v>999</v>
      </c>
      <c r="U52" s="35">
        <f>IF(AND($B$30&gt;0,$B$29&gt;0),(IF(12&lt;$B$30,(12-($B$30-1)/2)*$B$29,(($B$30-1)-($B$30-1)/2)*$B$29))*$B$53+(0),999)</f>
        <v>999</v>
      </c>
      <c r="V52" s="35">
        <f>IF(AND($B$31&gt;0,$B$29&gt;0),(IF(12&lt;$B$31,(12-($B$31-1)/2)*$B$29,(($B$31-1)-($B$31-1)/2)*$B$29))*$B$53+(-38),999)</f>
        <v>999</v>
      </c>
      <c r="W52" s="35">
        <f>IF(AND($B$31&gt;0,$B$29&gt;0),(IF(12&lt;$B$31,(-(($B$30-1)/2*$B$29)),IF(MOD($B$31-1,2)=0,(($B$30-1)/2*$B$29),(-(($B$30-1)/2*$B$29)))))*$B$53+(0),999)</f>
        <v>999</v>
      </c>
      <c r="CV52" s="35">
        <f>IF(AND(48&lt;$B$22),((48-($B$22-1)/2)*$B$21)*$B$57+(-37),999)</f>
        <v>999</v>
      </c>
      <c r="CW52" s="35">
        <f>IF(AND(48&lt;$B$22),(($B$24)-$B$59)*$B$57+(0),999)</f>
        <v>999</v>
      </c>
      <c r="CZ52" s="35">
        <f>IF(AND(48&lt;$B$31,$B$29&gt;0),((48-($B$31-1)/2)*$B$29)*$B$57+(-37),999)</f>
        <v>999</v>
      </c>
      <c r="DA52" s="35">
        <f>IF(AND(48&lt;$B$31,$B$29&gt;0),(($B$33)-$B$59)*$B$57+(0),999)</f>
        <v>999</v>
      </c>
      <c r="DJ52" s="35">
        <f>IF($B$39=1,((-1)*MIN($B$8/2+0.05+IF(24&lt;INT(($B$49-0.05)/$B$47)+1,24*$B$47,INT(($B$49-0.05)/$B$47)*$B$47+(24-INT(($B$49-0.05)/$B$47))*$B$48),$B$4/2+$B$50-0.05))*$B$57+(-37),999)</f>
        <v>999</v>
      </c>
      <c r="DK52" s="35">
        <f>IF($B$39=1,(($B$6+$B$42)-$B$59)*$B$57+(0),999)</f>
        <v>999</v>
      </c>
      <c r="DL52" s="35">
        <f>IF($B$39=1,((1)*MIN($B$8/2+0.05+IF(24&lt;INT(($B$49-0.05)/$B$47)+1,24*$B$47,INT(($B$49-0.05)/$B$47)*$B$47+(24-INT(($B$49-0.05)/$B$47))*$B$48),$B$4/2+$B$50-0.05))*$B$57+(-37),999)</f>
        <v>999</v>
      </c>
      <c r="DM52" s="35">
        <f>IF($B$39=1,(($B$6+$B$42)-$B$59)*$B$57+(0),999)</f>
        <v>999</v>
      </c>
    </row>
    <row r="53" spans="1:117" x14ac:dyDescent="0.3">
      <c r="A53" s="33" t="s">
        <v>1452</v>
      </c>
      <c r="B53" s="34">
        <f>58/$B$52</f>
        <v>22.3076923076923</v>
      </c>
      <c r="P53" s="35">
        <f>IF(AND($B$18&gt;0),(IF(12&lt;$B$18,(-$B$4/2+$B$13),IF(MOD($B$18-1,2)=0,(($B$22-1)/2*$B$21),(-(($B$22-1)/2*$B$21)))))*$B$53+(-38),999)</f>
        <v>-65.3269230769231</v>
      </c>
      <c r="Q53" s="35">
        <f>IF(AND($B$18&gt;0),(IF(12&lt;$B$18,(12-($B$18-1)/2)*$B$17,(($B$18-1)-($B$18-1)/2)*$B$17))*$B$53+(0),999)</f>
        <v>26.7692307692308</v>
      </c>
      <c r="R53" s="35">
        <f>IF(AND($B$22&gt;0),(IF(12&lt;$B$22,(12-($B$22-1)/2)*$B$21,(($B$22-1)-($B$22-1)/2)*$B$21))*$B$53+(-38),999)</f>
        <v>-11.2307692307692</v>
      </c>
      <c r="S53" s="35">
        <f>IF(AND($B$22&gt;0),(IF(12&lt;$B$22,(-$B$5/2+IF($B$3=3,0,$B$13)),IF(MOD($B$22-1,2)=0,(($B$18-1)/2*$B$17),(-(($B$18-1)/2*$B$17)))))*$B$53+(0),999)</f>
        <v>-27.3269230769231</v>
      </c>
      <c r="T53" s="35">
        <f>IF(AND($B$30&gt;0,$B$29&gt;0),(IF(12&lt;$B$30,(-$B$4/2+$B$13),IF(MOD($B$30-1,2)=0,(($B$31-1)/2*$B$29),(-(($B$31-1)/2*$B$29)))))*$B$53+(-38),999)</f>
        <v>999</v>
      </c>
      <c r="U53" s="35">
        <f>IF(AND($B$30&gt;0,$B$29&gt;0),(IF(12&lt;$B$30,(12-($B$30-1)/2)*$B$29,(($B$30-1)-($B$30-1)/2)*$B$29))*$B$53+(0),999)</f>
        <v>999</v>
      </c>
      <c r="V53" s="35">
        <f>IF(AND($B$31&gt;0,$B$29&gt;0),(IF(12&lt;$B$31,(12-($B$31-1)/2)*$B$29,(($B$31-1)-($B$31-1)/2)*$B$29))*$B$53+(-38),999)</f>
        <v>999</v>
      </c>
      <c r="W53" s="35">
        <f>IF(AND($B$31&gt;0,$B$29&gt;0),(IF(12&lt;$B$31,(-$B$5/2+$B$13),IF(MOD($B$31-1,2)=0,(($B$30-1)/2*$B$29),(-(($B$30-1)/2*$B$29)))))*$B$53+(0),999)</f>
        <v>999</v>
      </c>
      <c r="CV53" s="35">
        <f>IF(AND(49&lt;$B$22),((49-($B$22-1)/2)*$B$21)*$B$57+(-37),999)</f>
        <v>999</v>
      </c>
      <c r="CW53" s="35">
        <f>IF(AND(49&lt;$B$22),(($B$24)-$B$59)*$B$57+(0),999)</f>
        <v>999</v>
      </c>
      <c r="CZ53" s="35">
        <f>IF(AND(49&lt;$B$31,$B$29&gt;0),((49-($B$31-1)/2)*$B$29)*$B$57+(-37),999)</f>
        <v>999</v>
      </c>
      <c r="DA53" s="35">
        <f>IF(AND(49&lt;$B$31,$B$29&gt;0),(($B$33)-$B$59)*$B$57+(0),999)</f>
        <v>999</v>
      </c>
      <c r="DJ53" s="35">
        <f>IF($B$39=1,((-1)*MIN($B$8/2+0.05+IF(24&lt;INT(($B$49-0.05)/$B$47)+1,24*$B$47,INT(($B$49-0.05)/$B$47)*$B$47+(24-INT(($B$49-0.05)/$B$47))*$B$48),$B$4/2+$B$50-0.05))*$B$57+(-37),999)</f>
        <v>999</v>
      </c>
      <c r="DK53" s="35">
        <f>IF($B$39=1,(($B$6+$B$41-$B$42)-$B$59)*$B$57+(0),999)</f>
        <v>999</v>
      </c>
      <c r="DL53" s="35">
        <f>IF($B$39=1,((1)*MIN($B$8/2+0.05+IF(24&lt;INT(($B$49-0.05)/$B$47)+1,24*$B$47,INT(($B$49-0.05)/$B$47)*$B$47+(24-INT(($B$49-0.05)/$B$47))*$B$48),$B$4/2+$B$50-0.05))*$B$57+(-37),999)</f>
        <v>999</v>
      </c>
      <c r="DM53" s="35">
        <f>IF($B$39=1,(($B$6+$B$41-$B$42)-$B$59)*$B$57+(0),999)</f>
        <v>999</v>
      </c>
    </row>
    <row r="54" spans="1:117" x14ac:dyDescent="0.3">
      <c r="A54" s="33" t="s">
        <v>1453</v>
      </c>
      <c r="B54" s="34">
        <f>56/$B$52</f>
        <v>21.5384615384615</v>
      </c>
      <c r="P54" s="35">
        <f>IF(AND($B$18&gt;0),(IF(12&lt;$B$18,($B$4/2-$B$13),IF(MOD($B$18-1,2)=0,(($B$22-1)/2*$B$21),(-(($B$22-1)/2*$B$21)))))*$B$53+(-38),999)</f>
        <v>-10.6730769230769</v>
      </c>
      <c r="Q54" s="35">
        <f>IF(AND($B$18&gt;0),(IF(12&lt;$B$18,(12-($B$18-1)/2)*$B$17,(($B$18-1)-($B$18-1)/2)*$B$17))*$B$53+(0),999)</f>
        <v>26.7692307692308</v>
      </c>
      <c r="R54" s="35">
        <f>IF(AND($B$22&gt;0),(IF(12&lt;$B$22,(12-($B$22-1)/2)*$B$21,(($B$22-1)-($B$22-1)/2)*$B$21))*$B$53+(-38),999)</f>
        <v>-11.2307692307692</v>
      </c>
      <c r="S54" s="35">
        <f>IF(AND($B$22&gt;0),(IF(12&lt;$B$22,($B$5/2-IF($B$3=3,0,$B$13)),IF(MOD($B$22-1,2)=0,(($B$18-1)/2*$B$17),(-(($B$18-1)/2*$B$17)))))*$B$53+(0),999)</f>
        <v>27.3269230769231</v>
      </c>
      <c r="T54" s="35">
        <f>IF(AND($B$30&gt;0,$B$29&gt;0),(IF(12&lt;$B$30,($B$4/2-$B$13),IF(MOD($B$30-1,2)=0,(($B$31-1)/2*$B$29),(-(($B$31-1)/2*$B$29)))))*$B$53+(-38),999)</f>
        <v>999</v>
      </c>
      <c r="U54" s="35">
        <f>IF(AND($B$30&gt;0,$B$29&gt;0),(IF(12&lt;$B$30,(12-($B$30-1)/2)*$B$29,(($B$30-1)-($B$30-1)/2)*$B$29))*$B$53+(0),999)</f>
        <v>999</v>
      </c>
      <c r="V54" s="35">
        <f>IF(AND($B$31&gt;0,$B$29&gt;0),(IF(12&lt;$B$31,(12-($B$31-1)/2)*$B$29,(($B$31-1)-($B$31-1)/2)*$B$29))*$B$53+(-38),999)</f>
        <v>999</v>
      </c>
      <c r="W54" s="35">
        <f>IF(AND($B$31&gt;0,$B$29&gt;0),(IF(12&lt;$B$31,($B$5/2-$B$13),IF(MOD($B$31-1,2)=0,(($B$30-1)/2*$B$29),(-(($B$30-1)/2*$B$29)))))*$B$53+(0),999)</f>
        <v>999</v>
      </c>
      <c r="CV54" s="35">
        <f>IF(AND(50&lt;$B$22),((50-($B$22-1)/2)*$B$21)*$B$57+(-37),999)</f>
        <v>999</v>
      </c>
      <c r="CW54" s="35">
        <f>IF(AND(50&lt;$B$22),(($B$24)-$B$59)*$B$57+(0),999)</f>
        <v>999</v>
      </c>
      <c r="CZ54" s="35">
        <f>IF(AND(50&lt;$B$31,$B$29&gt;0),((50-($B$31-1)/2)*$B$29)*$B$57+(-37),999)</f>
        <v>999</v>
      </c>
      <c r="DA54" s="35">
        <f>IF(AND(50&lt;$B$31,$B$29&gt;0),(($B$33)-$B$59)*$B$57+(0),999)</f>
        <v>999</v>
      </c>
      <c r="DJ54" s="35">
        <f>IF($B$39=1,((-1)*MIN($B$8/2+0.05+IF(25&lt;INT(($B$49-0.05)/$B$47)+1,25*$B$47,INT(($B$49-0.05)/$B$47)*$B$47+(25-INT(($B$49-0.05)/$B$47))*$B$48),$B$4/2+$B$50-0.05))*$B$57+(-37),999)</f>
        <v>999</v>
      </c>
      <c r="DK54" s="35">
        <f>IF($B$39=1,(($B$6+$B$41-$B$42)-$B$59)*$B$57+(0),999)</f>
        <v>999</v>
      </c>
      <c r="DL54" s="35">
        <f>IF($B$39=1,((1)*MIN($B$8/2+0.05+IF(25&lt;INT(($B$49-0.05)/$B$47)+1,25*$B$47,INT(($B$49-0.05)/$B$47)*$B$47+(25-INT(($B$49-0.05)/$B$47))*$B$48),$B$4/2+$B$50-0.05))*$B$57+(-37),999)</f>
        <v>999</v>
      </c>
      <c r="DM54" s="35">
        <f>IF($B$39=1,(($B$6+$B$41-$B$42)-$B$59)*$B$57+(0),999)</f>
        <v>999</v>
      </c>
    </row>
    <row r="55" spans="1:117" x14ac:dyDescent="0.3">
      <c r="A55" s="33" t="s">
        <v>1454</v>
      </c>
      <c r="B55" s="34">
        <f>$B$4+2*$B$51</f>
        <v>3.328</v>
      </c>
      <c r="P55" s="35">
        <f>IF(AND($B$18&gt;0),(IF(12&lt;$B$18,(($B$22-1)/2*$B$21),IF(MOD($B$18-1,2)=0,(($B$22-1)/2*$B$21),(-(($B$22-1)/2*$B$21)))))*$B$53+(-38),999)</f>
        <v>-11.2307692307692</v>
      </c>
      <c r="Q55" s="35">
        <f>IF(AND($B$18&gt;0),(IF(12&lt;$B$18,(12-($B$18-1)/2)*$B$17,(($B$18-1)-($B$18-1)/2)*$B$17))*$B$53+(0),999)</f>
        <v>26.7692307692308</v>
      </c>
      <c r="R55" s="35">
        <f>IF(AND($B$22&gt;0),(IF(12&lt;$B$22,(12-($B$22-1)/2)*$B$21,(($B$22-1)-($B$22-1)/2)*$B$21))*$B$53+(-38),999)</f>
        <v>-11.2307692307692</v>
      </c>
      <c r="S55" s="35">
        <f>IF(AND($B$22&gt;0),(IF(12&lt;$B$22,(($B$18-1)/2*$B$17),IF(MOD($B$22-1,2)=0,(($B$18-1)/2*$B$17),(-(($B$18-1)/2*$B$17)))))*$B$53+(0),999)</f>
        <v>26.7692307692308</v>
      </c>
      <c r="T55" s="35">
        <f>IF(AND($B$30&gt;0,$B$29&gt;0),(IF(12&lt;$B$30,(($B$31-1)/2*$B$29),IF(MOD($B$30-1,2)=0,(($B$31-1)/2*$B$29),(-(($B$31-1)/2*$B$29)))))*$B$53+(-38),999)</f>
        <v>999</v>
      </c>
      <c r="U55" s="35">
        <f>IF(AND($B$30&gt;0,$B$29&gt;0),(IF(12&lt;$B$30,(12-($B$30-1)/2)*$B$29,(($B$30-1)-($B$30-1)/2)*$B$29))*$B$53+(0),999)</f>
        <v>999</v>
      </c>
      <c r="V55" s="35">
        <f>IF(AND($B$31&gt;0,$B$29&gt;0),(IF(12&lt;$B$31,(12-($B$31-1)/2)*$B$29,(($B$31-1)-($B$31-1)/2)*$B$29))*$B$53+(-38),999)</f>
        <v>999</v>
      </c>
      <c r="W55" s="35">
        <f>IF(AND($B$31&gt;0,$B$29&gt;0),(IF(12&lt;$B$31,(($B$30-1)/2*$B$29),IF(MOD($B$31-1,2)=0,(($B$30-1)/2*$B$29),(-(($B$30-1)/2*$B$29)))))*$B$53+(0),999)</f>
        <v>999</v>
      </c>
      <c r="CV55" s="35">
        <f>IF(AND(51&lt;$B$22),((51-($B$22-1)/2)*$B$21)*$B$57+(-37),999)</f>
        <v>999</v>
      </c>
      <c r="CW55" s="35">
        <f>IF(AND(51&lt;$B$22),(($B$24)-$B$59)*$B$57+(0),999)</f>
        <v>999</v>
      </c>
      <c r="CZ55" s="35">
        <f>IF(AND(51&lt;$B$31,$B$29&gt;0),((51-($B$31-1)/2)*$B$29)*$B$57+(-37),999)</f>
        <v>999</v>
      </c>
      <c r="DA55" s="35">
        <f>IF(AND(51&lt;$B$31,$B$29&gt;0),(($B$33)-$B$59)*$B$57+(0),999)</f>
        <v>999</v>
      </c>
      <c r="DJ55" s="35">
        <f>IF($B$39=1,((-1)*MIN($B$8/2+0.05+IF(25&lt;INT(($B$49-0.05)/$B$47)+1,25*$B$47,INT(($B$49-0.05)/$B$47)*$B$47+(25-INT(($B$49-0.05)/$B$47))*$B$48),$B$4/2+$B$50-0.05))*$B$57+(-37),999)</f>
        <v>999</v>
      </c>
      <c r="DK55" s="35">
        <f>IF($B$39=1,(($B$6+$B$42)-$B$59)*$B$57+(0),999)</f>
        <v>999</v>
      </c>
      <c r="DL55" s="35">
        <f>IF($B$39=1,((1)*MIN($B$8/2+0.05+IF(25&lt;INT(($B$49-0.05)/$B$47)+1,25*$B$47,INT(($B$49-0.05)/$B$47)*$B$47+(25-INT(($B$49-0.05)/$B$47))*$B$48),$B$4/2+$B$50-0.05))*$B$57+(-37),999)</f>
        <v>999</v>
      </c>
      <c r="DM55" s="35">
        <f>IF($B$39=1,(($B$6+$B$42)-$B$59)*$B$57+(0),999)</f>
        <v>999</v>
      </c>
    </row>
    <row r="56" spans="1:117" x14ac:dyDescent="0.3">
      <c r="A56" s="33" t="s">
        <v>1455</v>
      </c>
      <c r="B56" s="34">
        <f>$B$7+$B$10+0.12</f>
        <v>1.77</v>
      </c>
      <c r="P56" s="35">
        <f>IF(AND($B$18&gt;0),(IF(13&lt;$B$18,(($B$22-1)/2*$B$21),IF(MOD($B$18-1,2)=0,(($B$22-1)/2*$B$21),(-(($B$22-1)/2*$B$21)))))*$B$53+(-38),999)</f>
        <v>-11.2307692307692</v>
      </c>
      <c r="Q56" s="35">
        <f>IF(AND($B$18&gt;0),(IF(13&lt;$B$18,(13-($B$18-1)/2)*$B$17,(($B$18-1)-($B$18-1)/2)*$B$17))*$B$53+(0),999)</f>
        <v>26.7692307692308</v>
      </c>
      <c r="R56" s="35">
        <f>IF(AND($B$22&gt;0),(IF(13&lt;$B$22,(13-($B$22-1)/2)*$B$21,(($B$22-1)-($B$22-1)/2)*$B$21))*$B$53+(-38),999)</f>
        <v>-11.2307692307692</v>
      </c>
      <c r="S56" s="35">
        <f>IF(AND($B$22&gt;0),(IF(13&lt;$B$22,(($B$18-1)/2*$B$17),IF(MOD($B$22-1,2)=0,(($B$18-1)/2*$B$17),(-(($B$18-1)/2*$B$17)))))*$B$53+(0),999)</f>
        <v>26.7692307692308</v>
      </c>
      <c r="T56" s="35">
        <f>IF(AND($B$30&gt;0,$B$29&gt;0),(IF(13&lt;$B$30,(($B$31-1)/2*$B$29),IF(MOD($B$30-1,2)=0,(($B$31-1)/2*$B$29),(-(($B$31-1)/2*$B$29)))))*$B$53+(-38),999)</f>
        <v>999</v>
      </c>
      <c r="U56" s="35">
        <f>IF(AND($B$30&gt;0,$B$29&gt;0),(IF(13&lt;$B$30,(13-($B$30-1)/2)*$B$29,(($B$30-1)-($B$30-1)/2)*$B$29))*$B$53+(0),999)</f>
        <v>999</v>
      </c>
      <c r="V56" s="35">
        <f>IF(AND($B$31&gt;0,$B$29&gt;0),(IF(13&lt;$B$31,(13-($B$31-1)/2)*$B$29,(($B$31-1)-($B$31-1)/2)*$B$29))*$B$53+(-38),999)</f>
        <v>999</v>
      </c>
      <c r="W56" s="35">
        <f>IF(AND($B$31&gt;0,$B$29&gt;0),(IF(13&lt;$B$31,(($B$30-1)/2*$B$29),IF(MOD($B$31-1,2)=0,(($B$30-1)/2*$B$29),(-(($B$30-1)/2*$B$29)))))*$B$53+(0),999)</f>
        <v>999</v>
      </c>
      <c r="CV56" s="35">
        <f>IF(AND(52&lt;$B$22),((52-($B$22-1)/2)*$B$21)*$B$57+(-37),999)</f>
        <v>999</v>
      </c>
      <c r="CW56" s="35">
        <f>IF(AND(52&lt;$B$22),(($B$24)-$B$59)*$B$57+(0),999)</f>
        <v>999</v>
      </c>
      <c r="CZ56" s="35">
        <f>IF(AND(52&lt;$B$31,$B$29&gt;0),((52-($B$31-1)/2)*$B$29)*$B$57+(-37),999)</f>
        <v>999</v>
      </c>
      <c r="DA56" s="35">
        <f>IF(AND(52&lt;$B$31,$B$29&gt;0),(($B$33)-$B$59)*$B$57+(0),999)</f>
        <v>999</v>
      </c>
      <c r="DJ56" s="35">
        <f>IF($B$39=1,((-1)*MIN($B$8/2+0.05+IF(26&lt;INT(($B$49-0.05)/$B$47)+1,26*$B$47,INT(($B$49-0.05)/$B$47)*$B$47+(26-INT(($B$49-0.05)/$B$47))*$B$48),$B$4/2+$B$50-0.05))*$B$57+(-37),999)</f>
        <v>999</v>
      </c>
      <c r="DK56" s="35">
        <f>IF($B$39=1,(($B$6+$B$42)-$B$59)*$B$57+(0),999)</f>
        <v>999</v>
      </c>
      <c r="DL56" s="35">
        <f>IF($B$39=1,((1)*MIN($B$8/2+0.05+IF(26&lt;INT(($B$49-0.05)/$B$47)+1,26*$B$47,INT(($B$49-0.05)/$B$47)*$B$47+(26-INT(($B$49-0.05)/$B$47))*$B$48),$B$4/2+$B$50-0.05))*$B$57+(-37),999)</f>
        <v>999</v>
      </c>
      <c r="DM56" s="35">
        <f>IF($B$39=1,(($B$6+$B$42)-$B$59)*$B$57+(0),999)</f>
        <v>999</v>
      </c>
    </row>
    <row r="57" spans="1:117" x14ac:dyDescent="0.3">
      <c r="A57" s="33" t="s">
        <v>1456</v>
      </c>
      <c r="B57" s="34">
        <f>MIN(70/$B$55,84/$B$56)</f>
        <v>21.0336538461538</v>
      </c>
      <c r="P57" s="35">
        <f>IF(AND($B$18&gt;0),(IF(13&lt;$B$18,($B$4/2-$B$13),IF(MOD($B$18-1,2)=0,(($B$22-1)/2*$B$21),(-(($B$22-1)/2*$B$21)))))*$B$53+(-38),999)</f>
        <v>-11.2307692307692</v>
      </c>
      <c r="Q57" s="35">
        <f>IF(AND($B$18&gt;0),(IF(13&lt;$B$18,(13-($B$18-1)/2)*$B$17,(($B$18-1)-($B$18-1)/2)*$B$17))*$B$53+(0),999)</f>
        <v>26.7692307692308</v>
      </c>
      <c r="R57" s="35">
        <f>IF(AND($B$22&gt;0),(IF(13&lt;$B$22,(13-($B$22-1)/2)*$B$21,(($B$22-1)-($B$22-1)/2)*$B$21))*$B$53+(-38),999)</f>
        <v>-11.2307692307692</v>
      </c>
      <c r="S57" s="35">
        <f>IF(AND($B$22&gt;0),(IF(13&lt;$B$22,($B$5/2-IF($B$3=3,0,$B$13)),IF(MOD($B$22-1,2)=0,(($B$18-1)/2*$B$17),(-(($B$18-1)/2*$B$17)))))*$B$53+(0),999)</f>
        <v>26.7692307692308</v>
      </c>
      <c r="T57" s="35">
        <f>IF(AND($B$30&gt;0,$B$29&gt;0),(IF(13&lt;$B$30,($B$4/2-$B$13),IF(MOD($B$30-1,2)=0,(($B$31-1)/2*$B$29),(-(($B$31-1)/2*$B$29)))))*$B$53+(-38),999)</f>
        <v>999</v>
      </c>
      <c r="U57" s="35">
        <f>IF(AND($B$30&gt;0,$B$29&gt;0),(IF(13&lt;$B$30,(13-($B$30-1)/2)*$B$29,(($B$30-1)-($B$30-1)/2)*$B$29))*$B$53+(0),999)</f>
        <v>999</v>
      </c>
      <c r="V57" s="35">
        <f>IF(AND($B$31&gt;0,$B$29&gt;0),(IF(13&lt;$B$31,(13-($B$31-1)/2)*$B$29,(($B$31-1)-($B$31-1)/2)*$B$29))*$B$53+(-38),999)</f>
        <v>999</v>
      </c>
      <c r="W57" s="35">
        <f>IF(AND($B$31&gt;0,$B$29&gt;0),(IF(13&lt;$B$31,($B$5/2-$B$13),IF(MOD($B$31-1,2)=0,(($B$30-1)/2*$B$29),(-(($B$30-1)/2*$B$29)))))*$B$53+(0),999)</f>
        <v>999</v>
      </c>
      <c r="CV57" s="35">
        <f>IF(AND(53&lt;$B$22),((53-($B$22-1)/2)*$B$21)*$B$57+(-37),999)</f>
        <v>999</v>
      </c>
      <c r="CW57" s="35">
        <f>IF(AND(53&lt;$B$22),(($B$24)-$B$59)*$B$57+(0),999)</f>
        <v>999</v>
      </c>
      <c r="CZ57" s="35">
        <f>IF(AND(53&lt;$B$31,$B$29&gt;0),((53-($B$31-1)/2)*$B$29)*$B$57+(-37),999)</f>
        <v>999</v>
      </c>
      <c r="DA57" s="35">
        <f>IF(AND(53&lt;$B$31,$B$29&gt;0),(($B$33)-$B$59)*$B$57+(0),999)</f>
        <v>999</v>
      </c>
      <c r="DJ57" s="35">
        <f>IF($B$39=1,((-1)*MIN($B$8/2+0.05+IF(26&lt;INT(($B$49-0.05)/$B$47)+1,26*$B$47,INT(($B$49-0.05)/$B$47)*$B$47+(26-INT(($B$49-0.05)/$B$47))*$B$48),$B$4/2+$B$50-0.05))*$B$57+(-37),999)</f>
        <v>999</v>
      </c>
      <c r="DK57" s="35">
        <f>IF($B$39=1,(($B$6+$B$41-$B$42)-$B$59)*$B$57+(0),999)</f>
        <v>999</v>
      </c>
      <c r="DL57" s="35">
        <f>IF($B$39=1,((1)*MIN($B$8/2+0.05+IF(26&lt;INT(($B$49-0.05)/$B$47)+1,26*$B$47,INT(($B$49-0.05)/$B$47)*$B$47+(26-INT(($B$49-0.05)/$B$47))*$B$48),$B$4/2+$B$50-0.05))*$B$57+(-37),999)</f>
        <v>999</v>
      </c>
      <c r="DM57" s="35">
        <f>IF($B$39=1,(($B$6+$B$41-$B$42)-$B$59)*$B$57+(0),999)</f>
        <v>999</v>
      </c>
    </row>
    <row r="58" spans="1:117" x14ac:dyDescent="0.3">
      <c r="A58" s="33" t="s">
        <v>1457</v>
      </c>
      <c r="B58" s="34">
        <f>MIN(56/$B$55,70/$B$56)</f>
        <v>16.8269230769231</v>
      </c>
      <c r="P58" s="35">
        <f>IF(AND($B$18&gt;0),(IF(13&lt;$B$18,(-$B$4/2+$B$13),IF(MOD($B$18-1,2)=0,(($B$22-1)/2*$B$21),(-(($B$22-1)/2*$B$21)))))*$B$53+(-38),999)</f>
        <v>-11.2307692307692</v>
      </c>
      <c r="Q58" s="35">
        <f>IF(AND($B$18&gt;0),(IF(13&lt;$B$18,(13-($B$18-1)/2)*$B$17,(($B$18-1)-($B$18-1)/2)*$B$17))*$B$53+(0),999)</f>
        <v>26.7692307692308</v>
      </c>
      <c r="R58" s="35">
        <f>IF(AND($B$22&gt;0),(IF(13&lt;$B$22,(13-($B$22-1)/2)*$B$21,(($B$22-1)-($B$22-1)/2)*$B$21))*$B$53+(-38),999)</f>
        <v>-11.2307692307692</v>
      </c>
      <c r="S58" s="35">
        <f>IF(AND($B$22&gt;0),(IF(13&lt;$B$22,(-$B$5/2+IF($B$3=3,0,$B$13)),IF(MOD($B$22-1,2)=0,(($B$18-1)/2*$B$17),(-(($B$18-1)/2*$B$17)))))*$B$53+(0),999)</f>
        <v>26.7692307692308</v>
      </c>
      <c r="T58" s="35">
        <f>IF(AND($B$30&gt;0,$B$29&gt;0),(IF(13&lt;$B$30,(-$B$4/2+$B$13),IF(MOD($B$30-1,2)=0,(($B$31-1)/2*$B$29),(-(($B$31-1)/2*$B$29)))))*$B$53+(-38),999)</f>
        <v>999</v>
      </c>
      <c r="U58" s="35">
        <f>IF(AND($B$30&gt;0,$B$29&gt;0),(IF(13&lt;$B$30,(13-($B$30-1)/2)*$B$29,(($B$30-1)-($B$30-1)/2)*$B$29))*$B$53+(0),999)</f>
        <v>999</v>
      </c>
      <c r="V58" s="35">
        <f>IF(AND($B$31&gt;0,$B$29&gt;0),(IF(13&lt;$B$31,(13-($B$31-1)/2)*$B$29,(($B$31-1)-($B$31-1)/2)*$B$29))*$B$53+(-38),999)</f>
        <v>999</v>
      </c>
      <c r="W58" s="35">
        <f>IF(AND($B$31&gt;0,$B$29&gt;0),(IF(13&lt;$B$31,(-$B$5/2+$B$13),IF(MOD($B$31-1,2)=0,(($B$30-1)/2*$B$29),(-(($B$30-1)/2*$B$29)))))*$B$53+(0),999)</f>
        <v>999</v>
      </c>
      <c r="CV58" s="35">
        <f>IF(AND(54&lt;$B$22),((54-($B$22-1)/2)*$B$21)*$B$57+(-37),999)</f>
        <v>999</v>
      </c>
      <c r="CW58" s="35">
        <f>IF(AND(54&lt;$B$22),(($B$24)-$B$59)*$B$57+(0),999)</f>
        <v>999</v>
      </c>
      <c r="CZ58" s="35">
        <f>IF(AND(54&lt;$B$31,$B$29&gt;0),((54-($B$31-1)/2)*$B$29)*$B$57+(-37),999)</f>
        <v>999</v>
      </c>
      <c r="DA58" s="35">
        <f>IF(AND(54&lt;$B$31,$B$29&gt;0),(($B$33)-$B$59)*$B$57+(0),999)</f>
        <v>999</v>
      </c>
      <c r="DJ58" s="35">
        <f>IF($B$39=1,((-1)*MIN($B$8/2+0.05+IF(27&lt;INT(($B$49-0.05)/$B$47)+1,27*$B$47,INT(($B$49-0.05)/$B$47)*$B$47+(27-INT(($B$49-0.05)/$B$47))*$B$48),$B$4/2+$B$50-0.05))*$B$57+(-37),999)</f>
        <v>999</v>
      </c>
      <c r="DK58" s="35">
        <f>IF($B$39=1,(($B$6+$B$41-$B$42)-$B$59)*$B$57+(0),999)</f>
        <v>999</v>
      </c>
      <c r="DL58" s="35">
        <f>IF($B$39=1,((1)*MIN($B$8/2+0.05+IF(27&lt;INT(($B$49-0.05)/$B$47)+1,27*$B$47,INT(($B$49-0.05)/$B$47)*$B$47+(27-INT(($B$49-0.05)/$B$47))*$B$48),$B$4/2+$B$50-0.05))*$B$57+(-37),999)</f>
        <v>999</v>
      </c>
      <c r="DM58" s="35">
        <f>IF($B$39=1,(($B$6+$B$41-$B$42)-$B$59)*$B$57+(0),999)</f>
        <v>999</v>
      </c>
    </row>
    <row r="59" spans="1:117" x14ac:dyDescent="0.3">
      <c r="A59" s="33" t="s">
        <v>1458</v>
      </c>
      <c r="B59" s="34">
        <f>($B$7+$B$10-0.05)/2</f>
        <v>0.8</v>
      </c>
      <c r="P59" s="35">
        <f>IF(AND($B$18&gt;0),(IF(13&lt;$B$18,(-(($B$22-1)/2*$B$21)),IF(MOD($B$18-1,2)=0,(($B$22-1)/2*$B$21),(-(($B$22-1)/2*$B$21)))))*$B$53+(-38),999)</f>
        <v>-11.2307692307692</v>
      </c>
      <c r="Q59" s="35">
        <f>IF(AND($B$18&gt;0),(IF(13&lt;$B$18,(13-($B$18-1)/2)*$B$17,(($B$18-1)-($B$18-1)/2)*$B$17))*$B$53+(0),999)</f>
        <v>26.7692307692308</v>
      </c>
      <c r="R59" s="35">
        <f>IF(AND($B$22&gt;0),(IF(13&lt;$B$22,(13-($B$22-1)/2)*$B$21,(($B$22-1)-($B$22-1)/2)*$B$21))*$B$53+(-38),999)</f>
        <v>-11.2307692307692</v>
      </c>
      <c r="S59" s="35">
        <f>IF(AND($B$22&gt;0),(IF(13&lt;$B$22,(-(($B$18-1)/2*$B$17)),IF(MOD($B$22-1,2)=0,(($B$18-1)/2*$B$17),(-(($B$18-1)/2*$B$17)))))*$B$53+(0),999)</f>
        <v>26.7692307692308</v>
      </c>
      <c r="T59" s="35">
        <f>IF(AND($B$30&gt;0,$B$29&gt;0),(IF(13&lt;$B$30,(-(($B$31-1)/2*$B$29)),IF(MOD($B$30-1,2)=0,(($B$31-1)/2*$B$29),(-(($B$31-1)/2*$B$29)))))*$B$53+(-38),999)</f>
        <v>999</v>
      </c>
      <c r="U59" s="35">
        <f>IF(AND($B$30&gt;0,$B$29&gt;0),(IF(13&lt;$B$30,(13-($B$30-1)/2)*$B$29,(($B$30-1)-($B$30-1)/2)*$B$29))*$B$53+(0),999)</f>
        <v>999</v>
      </c>
      <c r="V59" s="35">
        <f>IF(AND($B$31&gt;0,$B$29&gt;0),(IF(13&lt;$B$31,(13-($B$31-1)/2)*$B$29,(($B$31-1)-($B$31-1)/2)*$B$29))*$B$53+(-38),999)</f>
        <v>999</v>
      </c>
      <c r="W59" s="35">
        <f>IF(AND($B$31&gt;0,$B$29&gt;0),(IF(13&lt;$B$31,(-(($B$30-1)/2*$B$29)),IF(MOD($B$31-1,2)=0,(($B$30-1)/2*$B$29),(-(($B$30-1)/2*$B$29)))))*$B$53+(0),999)</f>
        <v>999</v>
      </c>
      <c r="CV59" s="35">
        <f>IF(AND(55&lt;$B$22),((55-($B$22-1)/2)*$B$21)*$B$57+(-37),999)</f>
        <v>999</v>
      </c>
      <c r="CW59" s="35">
        <f>IF(AND(55&lt;$B$22),(($B$24)-$B$59)*$B$57+(0),999)</f>
        <v>999</v>
      </c>
      <c r="CZ59" s="35">
        <f>IF(AND(55&lt;$B$31,$B$29&gt;0),((55-($B$31-1)/2)*$B$29)*$B$57+(-37),999)</f>
        <v>999</v>
      </c>
      <c r="DA59" s="35">
        <f>IF(AND(55&lt;$B$31,$B$29&gt;0),(($B$33)-$B$59)*$B$57+(0),999)</f>
        <v>999</v>
      </c>
      <c r="DJ59" s="35">
        <f>IF($B$39=1,((-1)*MIN($B$8/2+0.05+IF(27&lt;INT(($B$49-0.05)/$B$47)+1,27*$B$47,INT(($B$49-0.05)/$B$47)*$B$47+(27-INT(($B$49-0.05)/$B$47))*$B$48),$B$4/2+$B$50-0.05))*$B$57+(-37),999)</f>
        <v>999</v>
      </c>
      <c r="DK59" s="35">
        <f>IF($B$39=1,(($B$6+$B$42)-$B$59)*$B$57+(0),999)</f>
        <v>999</v>
      </c>
      <c r="DL59" s="35">
        <f>IF($B$39=1,((1)*MIN($B$8/2+0.05+IF(27&lt;INT(($B$49-0.05)/$B$47)+1,27*$B$47,INT(($B$49-0.05)/$B$47)*$B$47+(27-INT(($B$49-0.05)/$B$47))*$B$48),$B$4/2+$B$50-0.05))*$B$57+(-37),999)</f>
        <v>999</v>
      </c>
      <c r="DM59" s="35">
        <f>IF($B$39=1,(($B$6+$B$42)-$B$59)*$B$57+(0),999)</f>
        <v>999</v>
      </c>
    </row>
    <row r="60" spans="1:117" x14ac:dyDescent="0.3">
      <c r="A60" s="33" t="s">
        <v>1459</v>
      </c>
      <c r="B60" s="34">
        <f>58/MAX($B$40,$B$41)</f>
        <v>96.6666666666667</v>
      </c>
      <c r="P60" s="35">
        <f>IF(AND($B$18&gt;0),(IF(14&lt;$B$18,(-(($B$22-1)/2*$B$21)),IF(MOD($B$18-1,2)=0,(($B$22-1)/2*$B$21),(-(($B$22-1)/2*$B$21)))))*$B$53+(-38),999)</f>
        <v>-11.2307692307692</v>
      </c>
      <c r="Q60" s="35">
        <f>IF(AND($B$18&gt;0),(IF(14&lt;$B$18,(14-($B$18-1)/2)*$B$17,(($B$18-1)-($B$18-1)/2)*$B$17))*$B$53+(0),999)</f>
        <v>26.7692307692308</v>
      </c>
      <c r="R60" s="35">
        <f>IF(AND($B$22&gt;0),(IF(14&lt;$B$22,(14-($B$22-1)/2)*$B$21,(($B$22-1)-($B$22-1)/2)*$B$21))*$B$53+(-38),999)</f>
        <v>-11.2307692307692</v>
      </c>
      <c r="S60" s="35">
        <f>IF(AND($B$22&gt;0),(IF(14&lt;$B$22,(-(($B$18-1)/2*$B$17)),IF(MOD($B$22-1,2)=0,(($B$18-1)/2*$B$17),(-(($B$18-1)/2*$B$17)))))*$B$53+(0),999)</f>
        <v>26.7692307692308</v>
      </c>
      <c r="T60" s="35">
        <f>IF(AND($B$30&gt;0,$B$29&gt;0),(IF(14&lt;$B$30,(-(($B$31-1)/2*$B$29)),IF(MOD($B$30-1,2)=0,(($B$31-1)/2*$B$29),(-(($B$31-1)/2*$B$29)))))*$B$53+(-38),999)</f>
        <v>999</v>
      </c>
      <c r="U60" s="35">
        <f>IF(AND($B$30&gt;0,$B$29&gt;0),(IF(14&lt;$B$30,(14-($B$30-1)/2)*$B$29,(($B$30-1)-($B$30-1)/2)*$B$29))*$B$53+(0),999)</f>
        <v>999</v>
      </c>
      <c r="V60" s="35">
        <f>IF(AND($B$31&gt;0,$B$29&gt;0),(IF(14&lt;$B$31,(14-($B$31-1)/2)*$B$29,(($B$31-1)-($B$31-1)/2)*$B$29))*$B$53+(-38),999)</f>
        <v>999</v>
      </c>
      <c r="W60" s="35">
        <f>IF(AND($B$31&gt;0,$B$29&gt;0),(IF(14&lt;$B$31,(-(($B$30-1)/2*$B$29)),IF(MOD($B$31-1,2)=0,(($B$30-1)/2*$B$29),(-(($B$30-1)/2*$B$29)))))*$B$53+(0),999)</f>
        <v>999</v>
      </c>
      <c r="CV60" s="35">
        <f>IF(AND(56&lt;$B$22),((56-($B$22-1)/2)*$B$21)*$B$57+(-37),999)</f>
        <v>999</v>
      </c>
      <c r="CW60" s="35">
        <f>IF(AND(56&lt;$B$22),(($B$24)-$B$59)*$B$57+(0),999)</f>
        <v>999</v>
      </c>
      <c r="CZ60" s="35">
        <f>IF(AND(56&lt;$B$31,$B$29&gt;0),((56-($B$31-1)/2)*$B$29)*$B$57+(-37),999)</f>
        <v>999</v>
      </c>
      <c r="DA60" s="35">
        <f>IF(AND(56&lt;$B$31,$B$29&gt;0),(($B$33)-$B$59)*$B$57+(0),999)</f>
        <v>999</v>
      </c>
      <c r="DJ60" s="35">
        <f>IF($B$39=1,((-1)*MIN($B$8/2+0.05+IF(28&lt;INT(($B$49-0.05)/$B$47)+1,28*$B$47,INT(($B$49-0.05)/$B$47)*$B$47+(28-INT(($B$49-0.05)/$B$47))*$B$48),$B$4/2+$B$50-0.05))*$B$57+(-37),999)</f>
        <v>999</v>
      </c>
      <c r="DK60" s="35">
        <f>IF($B$39=1,(($B$6+$B$42)-$B$59)*$B$57+(0),999)</f>
        <v>999</v>
      </c>
      <c r="DL60" s="35">
        <f>IF($B$39=1,((1)*MIN($B$8/2+0.05+IF(28&lt;INT(($B$49-0.05)/$B$47)+1,28*$B$47,INT(($B$49-0.05)/$B$47)*$B$47+(28-INT(($B$49-0.05)/$B$47))*$B$48),$B$4/2+$B$50-0.05))*$B$57+(-37),999)</f>
        <v>999</v>
      </c>
      <c r="DM60" s="35">
        <f>IF($B$39=1,(($B$6+$B$42)-$B$59)*$B$57+(0),999)</f>
        <v>999</v>
      </c>
    </row>
    <row r="61" spans="1:117" x14ac:dyDescent="0.3">
      <c r="A61" s="33" t="s">
        <v>1460</v>
      </c>
      <c r="B61" s="34">
        <f>$B$41/2</f>
        <v>0.3</v>
      </c>
      <c r="P61" s="35">
        <f>IF(AND($B$18&gt;0),(IF(14&lt;$B$18,(-$B$4/2+$B$13),IF(MOD($B$18-1,2)=0,(($B$22-1)/2*$B$21),(-(($B$22-1)/2*$B$21)))))*$B$53+(-38),999)</f>
        <v>-11.2307692307692</v>
      </c>
      <c r="Q61" s="35">
        <f>IF(AND($B$18&gt;0),(IF(14&lt;$B$18,(14-($B$18-1)/2)*$B$17,(($B$18-1)-($B$18-1)/2)*$B$17))*$B$53+(0),999)</f>
        <v>26.7692307692308</v>
      </c>
      <c r="R61" s="35">
        <f>IF(AND($B$22&gt;0),(IF(14&lt;$B$22,(14-($B$22-1)/2)*$B$21,(($B$22-1)-($B$22-1)/2)*$B$21))*$B$53+(-38),999)</f>
        <v>-11.2307692307692</v>
      </c>
      <c r="S61" s="35">
        <f>IF(AND($B$22&gt;0),(IF(14&lt;$B$22,(-$B$5/2+IF($B$3=3,0,$B$13)),IF(MOD($B$22-1,2)=0,(($B$18-1)/2*$B$17),(-(($B$18-1)/2*$B$17)))))*$B$53+(0),999)</f>
        <v>26.7692307692308</v>
      </c>
      <c r="T61" s="35">
        <f>IF(AND($B$30&gt;0,$B$29&gt;0),(IF(14&lt;$B$30,(-$B$4/2+$B$13),IF(MOD($B$30-1,2)=0,(($B$31-1)/2*$B$29),(-(($B$31-1)/2*$B$29)))))*$B$53+(-38),999)</f>
        <v>999</v>
      </c>
      <c r="U61" s="35">
        <f>IF(AND($B$30&gt;0,$B$29&gt;0),(IF(14&lt;$B$30,(14-($B$30-1)/2)*$B$29,(($B$30-1)-($B$30-1)/2)*$B$29))*$B$53+(0),999)</f>
        <v>999</v>
      </c>
      <c r="V61" s="35">
        <f>IF(AND($B$31&gt;0,$B$29&gt;0),(IF(14&lt;$B$31,(14-($B$31-1)/2)*$B$29,(($B$31-1)-($B$31-1)/2)*$B$29))*$B$53+(-38),999)</f>
        <v>999</v>
      </c>
      <c r="W61" s="35">
        <f>IF(AND($B$31&gt;0,$B$29&gt;0),(IF(14&lt;$B$31,(-$B$5/2+$B$13),IF(MOD($B$31-1,2)=0,(($B$30-1)/2*$B$29),(-(($B$30-1)/2*$B$29)))))*$B$53+(0),999)</f>
        <v>999</v>
      </c>
      <c r="CV61" s="35">
        <f>IF(AND(57&lt;$B$22),((57-($B$22-1)/2)*$B$21)*$B$57+(-37),999)</f>
        <v>999</v>
      </c>
      <c r="CW61" s="35">
        <f>IF(AND(57&lt;$B$22),(($B$24)-$B$59)*$B$57+(0),999)</f>
        <v>999</v>
      </c>
      <c r="CZ61" s="35">
        <f>IF(AND(57&lt;$B$31,$B$29&gt;0),((57-($B$31-1)/2)*$B$29)*$B$57+(-37),999)</f>
        <v>999</v>
      </c>
      <c r="DA61" s="35">
        <f>IF(AND(57&lt;$B$31,$B$29&gt;0),(($B$33)-$B$59)*$B$57+(0),999)</f>
        <v>999</v>
      </c>
      <c r="DJ61" s="35">
        <f>IF($B$39=1,((-1)*MIN($B$8/2+0.05+IF(28&lt;INT(($B$49-0.05)/$B$47)+1,28*$B$47,INT(($B$49-0.05)/$B$47)*$B$47+(28-INT(($B$49-0.05)/$B$47))*$B$48),$B$4/2+$B$50-0.05))*$B$57+(-37),999)</f>
        <v>999</v>
      </c>
      <c r="DK61" s="35">
        <f>IF($B$39=1,(($B$6+$B$41-$B$42)-$B$59)*$B$57+(0),999)</f>
        <v>999</v>
      </c>
      <c r="DL61" s="35">
        <f>IF($B$39=1,((1)*MIN($B$8/2+0.05+IF(28&lt;INT(($B$49-0.05)/$B$47)+1,28*$B$47,INT(($B$49-0.05)/$B$47)*$B$47+(28-INT(($B$49-0.05)/$B$47))*$B$48),$B$4/2+$B$50-0.05))*$B$57+(-37),999)</f>
        <v>999</v>
      </c>
      <c r="DM61" s="35">
        <f>IF($B$39=1,(($B$6+$B$41-$B$42)-$B$59)*$B$57+(0),999)</f>
        <v>999</v>
      </c>
    </row>
    <row r="62" spans="1:117" x14ac:dyDescent="0.3">
      <c r="A62" s="33" t="s">
        <v>1461</v>
      </c>
      <c r="B62" s="34" t="str">
        <f>IF($B$3=3,"Transversal (lecho inf.): ","Lecho inferior ‖ X: ")&amp;"#"&amp;$B$15&amp;" @ "&amp;TEXT($B$17*100,"0.0")&amp;" cm"&amp;IF($B$25&gt;0,", con gancho","")</f>
        <v>Lecho inferior ‖ X: #5 @ 20.0 cm</v>
      </c>
      <c r="P62" s="35">
        <f>IF(AND($B$18&gt;0),(IF(14&lt;$B$18,($B$4/2-$B$13),IF(MOD($B$18-1,2)=0,(($B$22-1)/2*$B$21),(-(($B$22-1)/2*$B$21)))))*$B$53+(-38),999)</f>
        <v>-11.2307692307692</v>
      </c>
      <c r="Q62" s="35">
        <f>IF(AND($B$18&gt;0),(IF(14&lt;$B$18,(14-($B$18-1)/2)*$B$17,(($B$18-1)-($B$18-1)/2)*$B$17))*$B$53+(0),999)</f>
        <v>26.7692307692308</v>
      </c>
      <c r="R62" s="35">
        <f>IF(AND($B$22&gt;0),(IF(14&lt;$B$22,(14-($B$22-1)/2)*$B$21,(($B$22-1)-($B$22-1)/2)*$B$21))*$B$53+(-38),999)</f>
        <v>-11.2307692307692</v>
      </c>
      <c r="S62" s="35">
        <f>IF(AND($B$22&gt;0),(IF(14&lt;$B$22,($B$5/2-IF($B$3=3,0,$B$13)),IF(MOD($B$22-1,2)=0,(($B$18-1)/2*$B$17),(-(($B$18-1)/2*$B$17)))))*$B$53+(0),999)</f>
        <v>26.7692307692308</v>
      </c>
      <c r="T62" s="35">
        <f>IF(AND($B$30&gt;0,$B$29&gt;0),(IF(14&lt;$B$30,($B$4/2-$B$13),IF(MOD($B$30-1,2)=0,(($B$31-1)/2*$B$29),(-(($B$31-1)/2*$B$29)))))*$B$53+(-38),999)</f>
        <v>999</v>
      </c>
      <c r="U62" s="35">
        <f>IF(AND($B$30&gt;0,$B$29&gt;0),(IF(14&lt;$B$30,(14-($B$30-1)/2)*$B$29,(($B$30-1)-($B$30-1)/2)*$B$29))*$B$53+(0),999)</f>
        <v>999</v>
      </c>
      <c r="V62" s="35">
        <f>IF(AND($B$31&gt;0,$B$29&gt;0),(IF(14&lt;$B$31,(14-($B$31-1)/2)*$B$29,(($B$31-1)-($B$31-1)/2)*$B$29))*$B$53+(-38),999)</f>
        <v>999</v>
      </c>
      <c r="W62" s="35">
        <f>IF(AND($B$31&gt;0,$B$29&gt;0),(IF(14&lt;$B$31,($B$5/2-$B$13),IF(MOD($B$31-1,2)=0,(($B$30-1)/2*$B$29),(-(($B$30-1)/2*$B$29)))))*$B$53+(0),999)</f>
        <v>999</v>
      </c>
      <c r="CV62" s="35">
        <f>IF(AND(58&lt;$B$22),((58-($B$22-1)/2)*$B$21)*$B$57+(-37),999)</f>
        <v>999</v>
      </c>
      <c r="CW62" s="35">
        <f>IF(AND(58&lt;$B$22),(($B$24)-$B$59)*$B$57+(0),999)</f>
        <v>999</v>
      </c>
      <c r="CZ62" s="35">
        <f>IF(AND(58&lt;$B$31,$B$29&gt;0),((58-($B$31-1)/2)*$B$29)*$B$57+(-37),999)</f>
        <v>999</v>
      </c>
      <c r="DA62" s="35">
        <f>IF(AND(58&lt;$B$31,$B$29&gt;0),(($B$33)-$B$59)*$B$57+(0),999)</f>
        <v>999</v>
      </c>
      <c r="DJ62" s="35">
        <f>IF($B$39=1,((-1)*MIN($B$8/2+0.05+IF(29&lt;INT(($B$49-0.05)/$B$47)+1,29*$B$47,INT(($B$49-0.05)/$B$47)*$B$47+(29-INT(($B$49-0.05)/$B$47))*$B$48),$B$4/2+$B$50-0.05))*$B$57+(-37),999)</f>
        <v>999</v>
      </c>
      <c r="DK62" s="35">
        <f>IF($B$39=1,(($B$6+$B$41-$B$42)-$B$59)*$B$57+(0),999)</f>
        <v>999</v>
      </c>
      <c r="DL62" s="35">
        <f>IF($B$39=1,((1)*MIN($B$8/2+0.05+IF(29&lt;INT(($B$49-0.05)/$B$47)+1,29*$B$47,INT(($B$49-0.05)/$B$47)*$B$47+(29-INT(($B$49-0.05)/$B$47))*$B$48),$B$4/2+$B$50-0.05))*$B$57+(-37),999)</f>
        <v>999</v>
      </c>
      <c r="DM62" s="35">
        <f>IF($B$39=1,(($B$6+$B$41-$B$42)-$B$59)*$B$57+(0),999)</f>
        <v>999</v>
      </c>
    </row>
    <row r="63" spans="1:117" x14ac:dyDescent="0.3">
      <c r="A63" s="33" t="s">
        <v>1462</v>
      </c>
      <c r="B63" s="34" t="str">
        <f>IF($B$3=3,"Longitudinal: "&amp;$B$22&amp;" #"&amp;$B$19&amp;" corridas","Lecho inferior ‖ Y: #"&amp;$B$19&amp;" @ "&amp;TEXT($B$21*100,"0.0")&amp;" cm"&amp;IF($B$26&gt;0,", con gancho",""))</f>
        <v>Lecho inferior ‖ Y: #5 @ 20.0 cm</v>
      </c>
      <c r="P63" s="35">
        <f>IF(AND($B$18&gt;0),(IF(14&lt;$B$18,(($B$22-1)/2*$B$21),IF(MOD($B$18-1,2)=0,(($B$22-1)/2*$B$21),(-(($B$22-1)/2*$B$21)))))*$B$53+(-38),999)</f>
        <v>-11.2307692307692</v>
      </c>
      <c r="Q63" s="35">
        <f>IF(AND($B$18&gt;0),(IF(14&lt;$B$18,(14-($B$18-1)/2)*$B$17,(($B$18-1)-($B$18-1)/2)*$B$17))*$B$53+(0),999)</f>
        <v>26.7692307692308</v>
      </c>
      <c r="R63" s="35">
        <f>IF(AND($B$22&gt;0),(IF(14&lt;$B$22,(14-($B$22-1)/2)*$B$21,(($B$22-1)-($B$22-1)/2)*$B$21))*$B$53+(-38),999)</f>
        <v>-11.2307692307692</v>
      </c>
      <c r="S63" s="35">
        <f>IF(AND($B$22&gt;0),(IF(14&lt;$B$22,(($B$18-1)/2*$B$17),IF(MOD($B$22-1,2)=0,(($B$18-1)/2*$B$17),(-(($B$18-1)/2*$B$17)))))*$B$53+(0),999)</f>
        <v>26.7692307692308</v>
      </c>
      <c r="T63" s="35">
        <f>IF(AND($B$30&gt;0,$B$29&gt;0),(IF(14&lt;$B$30,(($B$31-1)/2*$B$29),IF(MOD($B$30-1,2)=0,(($B$31-1)/2*$B$29),(-(($B$31-1)/2*$B$29)))))*$B$53+(-38),999)</f>
        <v>999</v>
      </c>
      <c r="U63" s="35">
        <f>IF(AND($B$30&gt;0,$B$29&gt;0),(IF(14&lt;$B$30,(14-($B$30-1)/2)*$B$29,(($B$30-1)-($B$30-1)/2)*$B$29))*$B$53+(0),999)</f>
        <v>999</v>
      </c>
      <c r="V63" s="35">
        <f>IF(AND($B$31&gt;0,$B$29&gt;0),(IF(14&lt;$B$31,(14-($B$31-1)/2)*$B$29,(($B$31-1)-($B$31-1)/2)*$B$29))*$B$53+(-38),999)</f>
        <v>999</v>
      </c>
      <c r="W63" s="35">
        <f>IF(AND($B$31&gt;0,$B$29&gt;0),(IF(14&lt;$B$31,(($B$30-1)/2*$B$29),IF(MOD($B$31-1,2)=0,(($B$30-1)/2*$B$29),(-(($B$30-1)/2*$B$29)))))*$B$53+(0),999)</f>
        <v>999</v>
      </c>
      <c r="CV63" s="35">
        <f>IF(AND(59&lt;$B$22),((59-($B$22-1)/2)*$B$21)*$B$57+(-37),999)</f>
        <v>999</v>
      </c>
      <c r="CW63" s="35">
        <f>IF(AND(59&lt;$B$22),(($B$24)-$B$59)*$B$57+(0),999)</f>
        <v>999</v>
      </c>
      <c r="CZ63" s="35">
        <f>IF(AND(59&lt;$B$31,$B$29&gt;0),((59-($B$31-1)/2)*$B$29)*$B$57+(-37),999)</f>
        <v>999</v>
      </c>
      <c r="DA63" s="35">
        <f>IF(AND(59&lt;$B$31,$B$29&gt;0),(($B$33)-$B$59)*$B$57+(0),999)</f>
        <v>999</v>
      </c>
      <c r="DJ63" s="35">
        <f>IF($B$39=1,((-1)*MIN($B$8/2+0.05+IF(29&lt;INT(($B$49-0.05)/$B$47)+1,29*$B$47,INT(($B$49-0.05)/$B$47)*$B$47+(29-INT(($B$49-0.05)/$B$47))*$B$48),$B$4/2+$B$50-0.05))*$B$57+(-37),999)</f>
        <v>999</v>
      </c>
      <c r="DK63" s="35">
        <f>IF($B$39=1,(($B$6+$B$42)-$B$59)*$B$57+(0),999)</f>
        <v>999</v>
      </c>
      <c r="DL63" s="35">
        <f>IF($B$39=1,((1)*MIN($B$8/2+0.05+IF(29&lt;INT(($B$49-0.05)/$B$47)+1,29*$B$47,INT(($B$49-0.05)/$B$47)*$B$47+(29-INT(($B$49-0.05)/$B$47))*$B$48),$B$4/2+$B$50-0.05))*$B$57+(-37),999)</f>
        <v>999</v>
      </c>
      <c r="DM63" s="35">
        <f>IF($B$39=1,(($B$6+$B$42)-$B$59)*$B$57+(0),999)</f>
        <v>999</v>
      </c>
    </row>
    <row r="64" spans="1:117" x14ac:dyDescent="0.3">
      <c r="A64" s="33" t="s">
        <v>1463</v>
      </c>
      <c r="B64" s="34" t="str">
        <f>IF($B$29&gt;0,"Parrilla superior: #"&amp;$B$27&amp;" @ "&amp;TEXT($B$29*100,"0.0")&amp;" cm a/s","")</f>
        <v/>
      </c>
      <c r="P64" s="35">
        <f>IF(AND($B$18&gt;0),(IF(15&lt;$B$18,(($B$22-1)/2*$B$21),IF(MOD($B$18-1,2)=0,(($B$22-1)/2*$B$21),(-(($B$22-1)/2*$B$21)))))*$B$53+(-38),999)</f>
        <v>-11.2307692307692</v>
      </c>
      <c r="Q64" s="35">
        <f>IF(AND($B$18&gt;0),(IF(15&lt;$B$18,(15-($B$18-1)/2)*$B$17,(($B$18-1)-($B$18-1)/2)*$B$17))*$B$53+(0),999)</f>
        <v>26.7692307692308</v>
      </c>
      <c r="R64" s="35">
        <f>IF(AND($B$22&gt;0),(IF(15&lt;$B$22,(15-($B$22-1)/2)*$B$21,(($B$22-1)-($B$22-1)/2)*$B$21))*$B$53+(-38),999)</f>
        <v>-11.2307692307692</v>
      </c>
      <c r="S64" s="35">
        <f>IF(AND($B$22&gt;0),(IF(15&lt;$B$22,(($B$18-1)/2*$B$17),IF(MOD($B$22-1,2)=0,(($B$18-1)/2*$B$17),(-(($B$18-1)/2*$B$17)))))*$B$53+(0),999)</f>
        <v>26.7692307692308</v>
      </c>
      <c r="T64" s="35">
        <f>IF(AND($B$30&gt;0,$B$29&gt;0),(IF(15&lt;$B$30,(($B$31-1)/2*$B$29),IF(MOD($B$30-1,2)=0,(($B$31-1)/2*$B$29),(-(($B$31-1)/2*$B$29)))))*$B$53+(-38),999)</f>
        <v>999</v>
      </c>
      <c r="U64" s="35">
        <f>IF(AND($B$30&gt;0,$B$29&gt;0),(IF(15&lt;$B$30,(15-($B$30-1)/2)*$B$29,(($B$30-1)-($B$30-1)/2)*$B$29))*$B$53+(0),999)</f>
        <v>999</v>
      </c>
      <c r="V64" s="35">
        <f>IF(AND($B$31&gt;0,$B$29&gt;0),(IF(15&lt;$B$31,(15-($B$31-1)/2)*$B$29,(($B$31-1)-($B$31-1)/2)*$B$29))*$B$53+(-38),999)</f>
        <v>999</v>
      </c>
      <c r="W64" s="35">
        <f>IF(AND($B$31&gt;0,$B$29&gt;0),(IF(15&lt;$B$31,(($B$30-1)/2*$B$29),IF(MOD($B$31-1,2)=0,(($B$30-1)/2*$B$29),(-(($B$30-1)/2*$B$29)))))*$B$53+(0),999)</f>
        <v>999</v>
      </c>
      <c r="CV64" s="35">
        <f>IF(AND(60&lt;$B$22),((60-($B$22-1)/2)*$B$21)*$B$57+(-37),999)</f>
        <v>999</v>
      </c>
      <c r="CW64" s="35">
        <f>IF(AND(60&lt;$B$22),(($B$24)-$B$59)*$B$57+(0),999)</f>
        <v>999</v>
      </c>
      <c r="CZ64" s="35">
        <f>IF(AND(60&lt;$B$31,$B$29&gt;0),((60-($B$31-1)/2)*$B$29)*$B$57+(-37),999)</f>
        <v>999</v>
      </c>
      <c r="DA64" s="35">
        <f>IF(AND(60&lt;$B$31,$B$29&gt;0),(($B$33)-$B$59)*$B$57+(0),999)</f>
        <v>999</v>
      </c>
      <c r="DJ64" s="35">
        <f>IF($B$39=1,((-1)*MIN($B$8/2+0.05+IF(30&lt;INT(($B$49-0.05)/$B$47)+1,30*$B$47,INT(($B$49-0.05)/$B$47)*$B$47+(30-INT(($B$49-0.05)/$B$47))*$B$48),$B$4/2+$B$50-0.05))*$B$57+(-37),999)</f>
        <v>999</v>
      </c>
      <c r="DK64" s="35">
        <f>IF($B$39=1,(($B$6+$B$42)-$B$59)*$B$57+(0),999)</f>
        <v>999</v>
      </c>
      <c r="DL64" s="35">
        <f>IF($B$39=1,((1)*MIN($B$8/2+0.05+IF(30&lt;INT(($B$49-0.05)/$B$47)+1,30*$B$47,INT(($B$49-0.05)/$B$47)*$B$47+(30-INT(($B$49-0.05)/$B$47))*$B$48),$B$4/2+$B$50-0.05))*$B$57+(-37),999)</f>
        <v>999</v>
      </c>
      <c r="DM64" s="35">
        <f>IF($B$39=1,(($B$6+$B$42)-$B$59)*$B$57+(0),999)</f>
        <v>999</v>
      </c>
    </row>
    <row r="65" spans="1:117" x14ac:dyDescent="0.3">
      <c r="A65" s="33" t="s">
        <v>1464</v>
      </c>
      <c r="B65" s="34" t="str">
        <f>IF($B$3=3,"Muro t = "&amp;TEXT($B$8,"0.00")&amp;" m ("&amp;LOWER(CORRIDA!$C$11)&amp;")","Dado "&amp;TEXT($B$8,"0.00")&amp;" × "&amp;TEXT($B$9,"0.00")&amp;" m")</f>
        <v>Dado 0.50 × 0.50 m</v>
      </c>
      <c r="P65" s="35">
        <f>IF(AND($B$18&gt;0),(IF(15&lt;$B$18,($B$4/2-$B$13),IF(MOD($B$18-1,2)=0,(($B$22-1)/2*$B$21),(-(($B$22-1)/2*$B$21)))))*$B$53+(-38),999)</f>
        <v>-11.2307692307692</v>
      </c>
      <c r="Q65" s="35">
        <f>IF(AND($B$18&gt;0),(IF(15&lt;$B$18,(15-($B$18-1)/2)*$B$17,(($B$18-1)-($B$18-1)/2)*$B$17))*$B$53+(0),999)</f>
        <v>26.7692307692308</v>
      </c>
      <c r="R65" s="35">
        <f>IF(AND($B$22&gt;0),(IF(15&lt;$B$22,(15-($B$22-1)/2)*$B$21,(($B$22-1)-($B$22-1)/2)*$B$21))*$B$53+(-38),999)</f>
        <v>-11.2307692307692</v>
      </c>
      <c r="S65" s="35">
        <f>IF(AND($B$22&gt;0),(IF(15&lt;$B$22,($B$5/2-IF($B$3=3,0,$B$13)),IF(MOD($B$22-1,2)=0,(($B$18-1)/2*$B$17),(-(($B$18-1)/2*$B$17)))))*$B$53+(0),999)</f>
        <v>26.7692307692308</v>
      </c>
      <c r="T65" s="35">
        <f>IF(AND($B$30&gt;0,$B$29&gt;0),(IF(15&lt;$B$30,($B$4/2-$B$13),IF(MOD($B$30-1,2)=0,(($B$31-1)/2*$B$29),(-(($B$31-1)/2*$B$29)))))*$B$53+(-38),999)</f>
        <v>999</v>
      </c>
      <c r="U65" s="35">
        <f>IF(AND($B$30&gt;0,$B$29&gt;0),(IF(15&lt;$B$30,(15-($B$30-1)/2)*$B$29,(($B$30-1)-($B$30-1)/2)*$B$29))*$B$53+(0),999)</f>
        <v>999</v>
      </c>
      <c r="V65" s="35">
        <f>IF(AND($B$31&gt;0,$B$29&gt;0),(IF(15&lt;$B$31,(15-($B$31-1)/2)*$B$29,(($B$31-1)-($B$31-1)/2)*$B$29))*$B$53+(-38),999)</f>
        <v>999</v>
      </c>
      <c r="W65" s="35">
        <f>IF(AND($B$31&gt;0,$B$29&gt;0),(IF(15&lt;$B$31,($B$5/2-$B$13),IF(MOD($B$31-1,2)=0,(($B$30-1)/2*$B$29),(-(($B$30-1)/2*$B$29)))))*$B$53+(0),999)</f>
        <v>999</v>
      </c>
      <c r="CV65" s="35">
        <f>IF(AND(61&lt;$B$22),((61-($B$22-1)/2)*$B$21)*$B$57+(-37),999)</f>
        <v>999</v>
      </c>
      <c r="CW65" s="35">
        <f>IF(AND(61&lt;$B$22),(($B$24)-$B$59)*$B$57+(0),999)</f>
        <v>999</v>
      </c>
      <c r="CZ65" s="35">
        <f>IF(AND(61&lt;$B$31,$B$29&gt;0),((61-($B$31-1)/2)*$B$29)*$B$57+(-37),999)</f>
        <v>999</v>
      </c>
      <c r="DA65" s="35">
        <f>IF(AND(61&lt;$B$31,$B$29&gt;0),(($B$33)-$B$59)*$B$57+(0),999)</f>
        <v>999</v>
      </c>
      <c r="DJ65" s="35">
        <f>IF($B$39=1,((-1)*MIN($B$8/2+0.05+IF(30&lt;INT(($B$49-0.05)/$B$47)+1,30*$B$47,INT(($B$49-0.05)/$B$47)*$B$47+(30-INT(($B$49-0.05)/$B$47))*$B$48),$B$4/2+$B$50-0.05))*$B$57+(-37),999)</f>
        <v>999</v>
      </c>
      <c r="DK65" s="35">
        <f>IF($B$39=1,(($B$6+$B$41-$B$42)-$B$59)*$B$57+(0),999)</f>
        <v>999</v>
      </c>
      <c r="DL65" s="35">
        <f>IF($B$39=1,((1)*MIN($B$8/2+0.05+IF(30&lt;INT(($B$49-0.05)/$B$47)+1,30*$B$47,INT(($B$49-0.05)/$B$47)*$B$47+(30-INT(($B$49-0.05)/$B$47))*$B$48),$B$4/2+$B$50-0.05))*$B$57+(-37),999)</f>
        <v>999</v>
      </c>
      <c r="DM65" s="35">
        <f>IF($B$39=1,(($B$6+$B$41-$B$42)-$B$59)*$B$57+(0),999)</f>
        <v>999</v>
      </c>
    </row>
    <row r="66" spans="1:117" x14ac:dyDescent="0.3">
      <c r="A66" s="33" t="s">
        <v>1465</v>
      </c>
      <c r="B66" s="34" t="str">
        <f>IF($B$39=1,"Contratrabe "&amp;TEXT($B$40*100,"0")&amp;" × "&amp;TEXT($B$41*100,"0")&amp;" cm (ver sección)","")</f>
        <v/>
      </c>
      <c r="P66" s="35">
        <f>IF(AND($B$18&gt;0),(IF(15&lt;$B$18,(-$B$4/2+$B$13),IF(MOD($B$18-1,2)=0,(($B$22-1)/2*$B$21),(-(($B$22-1)/2*$B$21)))))*$B$53+(-38),999)</f>
        <v>-11.2307692307692</v>
      </c>
      <c r="Q66" s="35">
        <f>IF(AND($B$18&gt;0),(IF(15&lt;$B$18,(15-($B$18-1)/2)*$B$17,(($B$18-1)-($B$18-1)/2)*$B$17))*$B$53+(0),999)</f>
        <v>26.7692307692308</v>
      </c>
      <c r="R66" s="35">
        <f>IF(AND($B$22&gt;0),(IF(15&lt;$B$22,(15-($B$22-1)/2)*$B$21,(($B$22-1)-($B$22-1)/2)*$B$21))*$B$53+(-38),999)</f>
        <v>-11.2307692307692</v>
      </c>
      <c r="S66" s="35">
        <f>IF(AND($B$22&gt;0),(IF(15&lt;$B$22,(-$B$5/2+IF($B$3=3,0,$B$13)),IF(MOD($B$22-1,2)=0,(($B$18-1)/2*$B$17),(-(($B$18-1)/2*$B$17)))))*$B$53+(0),999)</f>
        <v>26.7692307692308</v>
      </c>
      <c r="T66" s="35">
        <f>IF(AND($B$30&gt;0,$B$29&gt;0),(IF(15&lt;$B$30,(-$B$4/2+$B$13),IF(MOD($B$30-1,2)=0,(($B$31-1)/2*$B$29),(-(($B$31-1)/2*$B$29)))))*$B$53+(-38),999)</f>
        <v>999</v>
      </c>
      <c r="U66" s="35">
        <f>IF(AND($B$30&gt;0,$B$29&gt;0),(IF(15&lt;$B$30,(15-($B$30-1)/2)*$B$29,(($B$30-1)-($B$30-1)/2)*$B$29))*$B$53+(0),999)</f>
        <v>999</v>
      </c>
      <c r="V66" s="35">
        <f>IF(AND($B$31&gt;0,$B$29&gt;0),(IF(15&lt;$B$31,(15-($B$31-1)/2)*$B$29,(($B$31-1)-($B$31-1)/2)*$B$29))*$B$53+(-38),999)</f>
        <v>999</v>
      </c>
      <c r="W66" s="35">
        <f>IF(AND($B$31&gt;0,$B$29&gt;0),(IF(15&lt;$B$31,(-$B$5/2+$B$13),IF(MOD($B$31-1,2)=0,(($B$30-1)/2*$B$29),(-(($B$30-1)/2*$B$29)))))*$B$53+(0),999)</f>
        <v>999</v>
      </c>
      <c r="CV66" s="35">
        <f>IF(AND(62&lt;$B$22),((62-($B$22-1)/2)*$B$21)*$B$57+(-37),999)</f>
        <v>999</v>
      </c>
      <c r="CW66" s="35">
        <f>IF(AND(62&lt;$B$22),(($B$24)-$B$59)*$B$57+(0),999)</f>
        <v>999</v>
      </c>
      <c r="CZ66" s="35">
        <f>IF(AND(62&lt;$B$31,$B$29&gt;0),((62-($B$31-1)/2)*$B$29)*$B$57+(-37),999)</f>
        <v>999</v>
      </c>
      <c r="DA66" s="35">
        <f>IF(AND(62&lt;$B$31,$B$29&gt;0),(($B$33)-$B$59)*$B$57+(0),999)</f>
        <v>999</v>
      </c>
      <c r="DJ66" s="35">
        <f>IF($B$39=1,((-1)*MIN($B$8/2+0.05+IF(31&lt;INT(($B$49-0.05)/$B$47)+1,31*$B$47,INT(($B$49-0.05)/$B$47)*$B$47+(31-INT(($B$49-0.05)/$B$47))*$B$48),$B$4/2+$B$50-0.05))*$B$57+(-37),999)</f>
        <v>999</v>
      </c>
      <c r="DK66" s="35">
        <f>IF($B$39=1,(($B$6+$B$41-$B$42)-$B$59)*$B$57+(0),999)</f>
        <v>999</v>
      </c>
      <c r="DL66" s="35">
        <f>IF($B$39=1,((1)*MIN($B$8/2+0.05+IF(31&lt;INT(($B$49-0.05)/$B$47)+1,31*$B$47,INT(($B$49-0.05)/$B$47)*$B$47+(31-INT(($B$49-0.05)/$B$47))*$B$48),$B$4/2+$B$50-0.05))*$B$57+(-37),999)</f>
        <v>999</v>
      </c>
      <c r="DM66" s="35">
        <f>IF($B$39=1,(($B$6+$B$41-$B$42)-$B$59)*$B$57+(0),999)</f>
        <v>999</v>
      </c>
    </row>
    <row r="67" spans="1:117" x14ac:dyDescent="0.3">
      <c r="A67" s="33" t="s">
        <v>1466</v>
      </c>
      <c r="B67" s="34" t="str">
        <f>IF($B$3=3,"Zapata corrida: B = "&amp;TEXT($B$4,"0.00")&amp;" m, h = "&amp;TEXT($B$6,"0.00")&amp;" m","Zapata "&amp;TEXT($B$4,"0.00")&amp;" × "&amp;TEXT($B$5,"0.00")&amp;" m, h = "&amp;TEXT($B$6,"0.00")&amp;" m")</f>
        <v>Zapata 2.60 × 2.60 m, h = 0.50 m</v>
      </c>
      <c r="P67" s="35">
        <f>IF(AND($B$18&gt;0),(IF(15&lt;$B$18,(-(($B$22-1)/2*$B$21)),IF(MOD($B$18-1,2)=0,(($B$22-1)/2*$B$21),(-(($B$22-1)/2*$B$21)))))*$B$53+(-38),999)</f>
        <v>-11.2307692307692</v>
      </c>
      <c r="Q67" s="35">
        <f>IF(AND($B$18&gt;0),(IF(15&lt;$B$18,(15-($B$18-1)/2)*$B$17,(($B$18-1)-($B$18-1)/2)*$B$17))*$B$53+(0),999)</f>
        <v>26.7692307692308</v>
      </c>
      <c r="R67" s="35">
        <f>IF(AND($B$22&gt;0),(IF(15&lt;$B$22,(15-($B$22-1)/2)*$B$21,(($B$22-1)-($B$22-1)/2)*$B$21))*$B$53+(-38),999)</f>
        <v>-11.2307692307692</v>
      </c>
      <c r="S67" s="35">
        <f>IF(AND($B$22&gt;0),(IF(15&lt;$B$22,(-(($B$18-1)/2*$B$17)),IF(MOD($B$22-1,2)=0,(($B$18-1)/2*$B$17),(-(($B$18-1)/2*$B$17)))))*$B$53+(0),999)</f>
        <v>26.7692307692308</v>
      </c>
      <c r="T67" s="35">
        <f>IF(AND($B$30&gt;0,$B$29&gt;0),(IF(15&lt;$B$30,(-(($B$31-1)/2*$B$29)),IF(MOD($B$30-1,2)=0,(($B$31-1)/2*$B$29),(-(($B$31-1)/2*$B$29)))))*$B$53+(-38),999)</f>
        <v>999</v>
      </c>
      <c r="U67" s="35">
        <f>IF(AND($B$30&gt;0,$B$29&gt;0),(IF(15&lt;$B$30,(15-($B$30-1)/2)*$B$29,(($B$30-1)-($B$30-1)/2)*$B$29))*$B$53+(0),999)</f>
        <v>999</v>
      </c>
      <c r="V67" s="35">
        <f>IF(AND($B$31&gt;0,$B$29&gt;0),(IF(15&lt;$B$31,(15-($B$31-1)/2)*$B$29,(($B$31-1)-($B$31-1)/2)*$B$29))*$B$53+(-38),999)</f>
        <v>999</v>
      </c>
      <c r="W67" s="35">
        <f>IF(AND($B$31&gt;0,$B$29&gt;0),(IF(15&lt;$B$31,(-(($B$30-1)/2*$B$29)),IF(MOD($B$31-1,2)=0,(($B$30-1)/2*$B$29),(-(($B$30-1)/2*$B$29)))))*$B$53+(0),999)</f>
        <v>999</v>
      </c>
      <c r="CV67" s="35">
        <f>IF(AND(63&lt;$B$22),((63-($B$22-1)/2)*$B$21)*$B$57+(-37),999)</f>
        <v>999</v>
      </c>
      <c r="CW67" s="35">
        <f>IF(AND(63&lt;$B$22),(($B$24)-$B$59)*$B$57+(0),999)</f>
        <v>999</v>
      </c>
      <c r="CZ67" s="35">
        <f>IF(AND(63&lt;$B$31,$B$29&gt;0),((63-($B$31-1)/2)*$B$29)*$B$57+(-37),999)</f>
        <v>999</v>
      </c>
      <c r="DA67" s="35">
        <f>IF(AND(63&lt;$B$31,$B$29&gt;0),(($B$33)-$B$59)*$B$57+(0),999)</f>
        <v>999</v>
      </c>
      <c r="DJ67" s="35">
        <f>IF($B$39=1,((-1)*MIN($B$8/2+0.05+IF(31&lt;INT(($B$49-0.05)/$B$47)+1,31*$B$47,INT(($B$49-0.05)/$B$47)*$B$47+(31-INT(($B$49-0.05)/$B$47))*$B$48),$B$4/2+$B$50-0.05))*$B$57+(-37),999)</f>
        <v>999</v>
      </c>
      <c r="DK67" s="35">
        <f>IF($B$39=1,(($B$6+$B$42)-$B$59)*$B$57+(0),999)</f>
        <v>999</v>
      </c>
      <c r="DL67" s="35">
        <f>IF($B$39=1,((1)*MIN($B$8/2+0.05+IF(31&lt;INT(($B$49-0.05)/$B$47)+1,31*$B$47,INT(($B$49-0.05)/$B$47)*$B$47+(31-INT(($B$49-0.05)/$B$47))*$B$48),$B$4/2+$B$50-0.05))*$B$57+(-37),999)</f>
        <v>999</v>
      </c>
      <c r="DM67" s="35">
        <f>IF($B$39=1,(($B$6+$B$42)-$B$59)*$B$57+(0),999)</f>
        <v>999</v>
      </c>
    </row>
    <row r="68" spans="1:117" x14ac:dyDescent="0.3">
      <c r="A68" s="33" t="s">
        <v>1467</v>
      </c>
      <c r="B68" s="34" t="str">
        <f>IF($B$3=3,"","Dovelas: mín. "&amp;$B$35&amp;" #"&amp;DATOS!$C$67&amp;", gancho 90° sobre la parrilla")</f>
        <v>Dovelas: mín. 5 #6, gancho 90° sobre la parrilla</v>
      </c>
      <c r="P68" s="35">
        <f>IF(AND($B$18&gt;0),(IF(16&lt;$B$18,(-(($B$22-1)/2*$B$21)),IF(MOD($B$18-1,2)=0,(($B$22-1)/2*$B$21),(-(($B$22-1)/2*$B$21)))))*$B$53+(-38),999)</f>
        <v>-11.2307692307692</v>
      </c>
      <c r="Q68" s="35">
        <f>IF(AND($B$18&gt;0),(IF(16&lt;$B$18,(16-($B$18-1)/2)*$B$17,(($B$18-1)-($B$18-1)/2)*$B$17))*$B$53+(0),999)</f>
        <v>26.7692307692308</v>
      </c>
      <c r="R68" s="35">
        <f>IF(AND($B$22&gt;0),(IF(16&lt;$B$22,(16-($B$22-1)/2)*$B$21,(($B$22-1)-($B$22-1)/2)*$B$21))*$B$53+(-38),999)</f>
        <v>-11.2307692307692</v>
      </c>
      <c r="S68" s="35">
        <f>IF(AND($B$22&gt;0),(IF(16&lt;$B$22,(-(($B$18-1)/2*$B$17)),IF(MOD($B$22-1,2)=0,(($B$18-1)/2*$B$17),(-(($B$18-1)/2*$B$17)))))*$B$53+(0),999)</f>
        <v>26.7692307692308</v>
      </c>
      <c r="T68" s="35">
        <f>IF(AND($B$30&gt;0,$B$29&gt;0),(IF(16&lt;$B$30,(-(($B$31-1)/2*$B$29)),IF(MOD($B$30-1,2)=0,(($B$31-1)/2*$B$29),(-(($B$31-1)/2*$B$29)))))*$B$53+(-38),999)</f>
        <v>999</v>
      </c>
      <c r="U68" s="35">
        <f>IF(AND($B$30&gt;0,$B$29&gt;0),(IF(16&lt;$B$30,(16-($B$30-1)/2)*$B$29,(($B$30-1)-($B$30-1)/2)*$B$29))*$B$53+(0),999)</f>
        <v>999</v>
      </c>
      <c r="V68" s="35">
        <f>IF(AND($B$31&gt;0,$B$29&gt;0),(IF(16&lt;$B$31,(16-($B$31-1)/2)*$B$29,(($B$31-1)-($B$31-1)/2)*$B$29))*$B$53+(-38),999)</f>
        <v>999</v>
      </c>
      <c r="W68" s="35">
        <f>IF(AND($B$31&gt;0,$B$29&gt;0),(IF(16&lt;$B$31,(-(($B$30-1)/2*$B$29)),IF(MOD($B$31-1,2)=0,(($B$30-1)/2*$B$29),(-(($B$30-1)/2*$B$29)))))*$B$53+(0),999)</f>
        <v>999</v>
      </c>
      <c r="CV68" s="35">
        <f>IF(AND(64&lt;$B$22),((64-($B$22-1)/2)*$B$21)*$B$57+(-37),999)</f>
        <v>999</v>
      </c>
      <c r="CW68" s="35">
        <f>IF(AND(64&lt;$B$22),(($B$24)-$B$59)*$B$57+(0),999)</f>
        <v>999</v>
      </c>
      <c r="CZ68" s="35">
        <f>IF(AND(64&lt;$B$31,$B$29&gt;0),((64-($B$31-1)/2)*$B$29)*$B$57+(-37),999)</f>
        <v>999</v>
      </c>
      <c r="DA68" s="35">
        <f>IF(AND(64&lt;$B$31,$B$29&gt;0),(($B$33)-$B$59)*$B$57+(0),999)</f>
        <v>999</v>
      </c>
      <c r="DJ68" s="35">
        <f>IF($B$39=1,((-1)*MIN($B$8/2+0.05+IF(32&lt;INT(($B$49-0.05)/$B$47)+1,32*$B$47,INT(($B$49-0.05)/$B$47)*$B$47+(32-INT(($B$49-0.05)/$B$47))*$B$48),$B$4/2+$B$50-0.05))*$B$57+(-37),999)</f>
        <v>999</v>
      </c>
      <c r="DK68" s="35">
        <f>IF($B$39=1,(($B$6+$B$42)-$B$59)*$B$57+(0),999)</f>
        <v>999</v>
      </c>
      <c r="DL68" s="35">
        <f>IF($B$39=1,((1)*MIN($B$8/2+0.05+IF(32&lt;INT(($B$49-0.05)/$B$47)+1,32*$B$47,INT(($B$49-0.05)/$B$47)*$B$47+(32-INT(($B$49-0.05)/$B$47))*$B$48),$B$4/2+$B$50-0.05))*$B$57+(-37),999)</f>
        <v>999</v>
      </c>
      <c r="DM68" s="35">
        <f>IF($B$39=1,(($B$6+$B$42)-$B$59)*$B$57+(0),999)</f>
        <v>999</v>
      </c>
    </row>
    <row r="69" spans="1:117" x14ac:dyDescent="0.3">
      <c r="A69" s="33" t="s">
        <v>1468</v>
      </c>
      <c r="B69" s="34" t="str">
        <f>IF($B$39=1,"CT: "&amp;AISLADA_CT!$C$253&amp;" #"&amp;AISLADA_CT!$C$232&amp;" sup. + "&amp;AISLADA_CT!$C$255&amp;" #"&amp;AISLADA_CT!$C$232&amp;" inf.; E#"&amp;AISLADA_CT!$C$233&amp;" @ "&amp;TEXT($B$47*100,"0.0")&amp;" / "&amp;TEXT($B$48*100,"0.0")&amp;" cm","")</f>
        <v/>
      </c>
      <c r="P69" s="35">
        <f>IF(AND($B$18&gt;0),(IF(16&lt;$B$18,(-$B$4/2+$B$13),IF(MOD($B$18-1,2)=0,(($B$22-1)/2*$B$21),(-(($B$22-1)/2*$B$21)))))*$B$53+(-38),999)</f>
        <v>-11.2307692307692</v>
      </c>
      <c r="Q69" s="35">
        <f>IF(AND($B$18&gt;0),(IF(16&lt;$B$18,(16-($B$18-1)/2)*$B$17,(($B$18-1)-($B$18-1)/2)*$B$17))*$B$53+(0),999)</f>
        <v>26.7692307692308</v>
      </c>
      <c r="R69" s="35">
        <f>IF(AND($B$22&gt;0),(IF(16&lt;$B$22,(16-($B$22-1)/2)*$B$21,(($B$22-1)-($B$22-1)/2)*$B$21))*$B$53+(-38),999)</f>
        <v>-11.2307692307692</v>
      </c>
      <c r="S69" s="35">
        <f>IF(AND($B$22&gt;0),(IF(16&lt;$B$22,(-$B$5/2+IF($B$3=3,0,$B$13)),IF(MOD($B$22-1,2)=0,(($B$18-1)/2*$B$17),(-(($B$18-1)/2*$B$17)))))*$B$53+(0),999)</f>
        <v>26.7692307692308</v>
      </c>
      <c r="T69" s="35">
        <f>IF(AND($B$30&gt;0,$B$29&gt;0),(IF(16&lt;$B$30,(-$B$4/2+$B$13),IF(MOD($B$30-1,2)=0,(($B$31-1)/2*$B$29),(-(($B$31-1)/2*$B$29)))))*$B$53+(-38),999)</f>
        <v>999</v>
      </c>
      <c r="U69" s="35">
        <f>IF(AND($B$30&gt;0,$B$29&gt;0),(IF(16&lt;$B$30,(16-($B$30-1)/2)*$B$29,(($B$30-1)-($B$30-1)/2)*$B$29))*$B$53+(0),999)</f>
        <v>999</v>
      </c>
      <c r="V69" s="35">
        <f>IF(AND($B$31&gt;0,$B$29&gt;0),(IF(16&lt;$B$31,(16-($B$31-1)/2)*$B$29,(($B$31-1)-($B$31-1)/2)*$B$29))*$B$53+(-38),999)</f>
        <v>999</v>
      </c>
      <c r="W69" s="35">
        <f>IF(AND($B$31&gt;0,$B$29&gt;0),(IF(16&lt;$B$31,(-$B$5/2+$B$13),IF(MOD($B$31-1,2)=0,(($B$30-1)/2*$B$29),(-(($B$30-1)/2*$B$29)))))*$B$53+(0),999)</f>
        <v>999</v>
      </c>
      <c r="CV69" s="35">
        <f>IF(AND(65&lt;$B$22),((65-($B$22-1)/2)*$B$21)*$B$57+(-37),999)</f>
        <v>999</v>
      </c>
      <c r="CW69" s="35">
        <f>IF(AND(65&lt;$B$22),(($B$24)-$B$59)*$B$57+(0),999)</f>
        <v>999</v>
      </c>
      <c r="CZ69" s="35">
        <f>IF(AND(65&lt;$B$31,$B$29&gt;0),((65-($B$31-1)/2)*$B$29)*$B$57+(-37),999)</f>
        <v>999</v>
      </c>
      <c r="DA69" s="35">
        <f>IF(AND(65&lt;$B$31,$B$29&gt;0),(($B$33)-$B$59)*$B$57+(0),999)</f>
        <v>999</v>
      </c>
      <c r="DJ69" s="35">
        <f>IF($B$39=1,((-1)*MIN($B$8/2+0.05+IF(32&lt;INT(($B$49-0.05)/$B$47)+1,32*$B$47,INT(($B$49-0.05)/$B$47)*$B$47+(32-INT(($B$49-0.05)/$B$47))*$B$48),$B$4/2+$B$50-0.05))*$B$57+(-37),999)</f>
        <v>999</v>
      </c>
      <c r="DK69" s="35">
        <f>IF($B$39=1,(($B$6+$B$41-$B$42)-$B$59)*$B$57+(0),999)</f>
        <v>999</v>
      </c>
      <c r="DL69" s="35">
        <f>IF($B$39=1,((1)*MIN($B$8/2+0.05+IF(32&lt;INT(($B$49-0.05)/$B$47)+1,32*$B$47,INT(($B$49-0.05)/$B$47)*$B$47+(32-INT(($B$49-0.05)/$B$47))*$B$48),$B$4/2+$B$50-0.05))*$B$57+(-37),999)</f>
        <v>999</v>
      </c>
      <c r="DM69" s="35">
        <f>IF($B$39=1,(($B$6+$B$41-$B$42)-$B$59)*$B$57+(0),999)</f>
        <v>999</v>
      </c>
    </row>
    <row r="70" spans="1:117" x14ac:dyDescent="0.3">
      <c r="A70" s="33" t="s">
        <v>1469</v>
      </c>
      <c r="B70" s="34" t="str">
        <f>"Plantilla de concreto pobre, e = 5 cm"</f>
        <v>Plantilla de concreto pobre, e = 5 cm</v>
      </c>
      <c r="P70" s="35">
        <f>IF(AND($B$18&gt;0),(IF(16&lt;$B$18,($B$4/2-$B$13),IF(MOD($B$18-1,2)=0,(($B$22-1)/2*$B$21),(-(($B$22-1)/2*$B$21)))))*$B$53+(-38),999)</f>
        <v>-11.2307692307692</v>
      </c>
      <c r="Q70" s="35">
        <f>IF(AND($B$18&gt;0),(IF(16&lt;$B$18,(16-($B$18-1)/2)*$B$17,(($B$18-1)-($B$18-1)/2)*$B$17))*$B$53+(0),999)</f>
        <v>26.7692307692308</v>
      </c>
      <c r="R70" s="35">
        <f>IF(AND($B$22&gt;0),(IF(16&lt;$B$22,(16-($B$22-1)/2)*$B$21,(($B$22-1)-($B$22-1)/2)*$B$21))*$B$53+(-38),999)</f>
        <v>-11.2307692307692</v>
      </c>
      <c r="S70" s="35">
        <f>IF(AND($B$22&gt;0),(IF(16&lt;$B$22,($B$5/2-IF($B$3=3,0,$B$13)),IF(MOD($B$22-1,2)=0,(($B$18-1)/2*$B$17),(-(($B$18-1)/2*$B$17)))))*$B$53+(0),999)</f>
        <v>26.7692307692308</v>
      </c>
      <c r="T70" s="35">
        <f>IF(AND($B$30&gt;0,$B$29&gt;0),(IF(16&lt;$B$30,($B$4/2-$B$13),IF(MOD($B$30-1,2)=0,(($B$31-1)/2*$B$29),(-(($B$31-1)/2*$B$29)))))*$B$53+(-38),999)</f>
        <v>999</v>
      </c>
      <c r="U70" s="35">
        <f>IF(AND($B$30&gt;0,$B$29&gt;0),(IF(16&lt;$B$30,(16-($B$30-1)/2)*$B$29,(($B$30-1)-($B$30-1)/2)*$B$29))*$B$53+(0),999)</f>
        <v>999</v>
      </c>
      <c r="V70" s="35">
        <f>IF(AND($B$31&gt;0,$B$29&gt;0),(IF(16&lt;$B$31,(16-($B$31-1)/2)*$B$29,(($B$31-1)-($B$31-1)/2)*$B$29))*$B$53+(-38),999)</f>
        <v>999</v>
      </c>
      <c r="W70" s="35">
        <f>IF(AND($B$31&gt;0,$B$29&gt;0),(IF(16&lt;$B$31,($B$5/2-$B$13),IF(MOD($B$31-1,2)=0,(($B$30-1)/2*$B$29),(-(($B$30-1)/2*$B$29)))))*$B$53+(0),999)</f>
        <v>999</v>
      </c>
      <c r="CV70" s="35">
        <f>IF(AND(66&lt;$B$22),((66-($B$22-1)/2)*$B$21)*$B$57+(-37),999)</f>
        <v>999</v>
      </c>
      <c r="CW70" s="35">
        <f>IF(AND(66&lt;$B$22),(($B$24)-$B$59)*$B$57+(0),999)</f>
        <v>999</v>
      </c>
      <c r="CZ70" s="35">
        <f>IF(AND(66&lt;$B$31,$B$29&gt;0),((66-($B$31-1)/2)*$B$29)*$B$57+(-37),999)</f>
        <v>999</v>
      </c>
      <c r="DA70" s="35">
        <f>IF(AND(66&lt;$B$31,$B$29&gt;0),(($B$33)-$B$59)*$B$57+(0),999)</f>
        <v>999</v>
      </c>
      <c r="DJ70" s="35">
        <f>IF($B$39=1,((-1)*MIN($B$8/2+0.05+IF(33&lt;INT(($B$49-0.05)/$B$47)+1,33*$B$47,INT(($B$49-0.05)/$B$47)*$B$47+(33-INT(($B$49-0.05)/$B$47))*$B$48),$B$4/2+$B$50-0.05))*$B$57+(-37),999)</f>
        <v>999</v>
      </c>
      <c r="DK70" s="35">
        <f>IF($B$39=1,(($B$6+$B$41-$B$42)-$B$59)*$B$57+(0),999)</f>
        <v>999</v>
      </c>
      <c r="DL70" s="35">
        <f>IF($B$39=1,((1)*MIN($B$8/2+0.05+IF(33&lt;INT(($B$49-0.05)/$B$47)+1,33*$B$47,INT(($B$49-0.05)/$B$47)*$B$47+(33-INT(($B$49-0.05)/$B$47))*$B$48),$B$4/2+$B$50-0.05))*$B$57+(-37),999)</f>
        <v>999</v>
      </c>
      <c r="DM70" s="35">
        <f>IF($B$39=1,(($B$6+$B$41-$B$42)-$B$59)*$B$57+(0),999)</f>
        <v>999</v>
      </c>
    </row>
    <row r="71" spans="1:117" x14ac:dyDescent="0.3">
      <c r="A71" s="33" t="s">
        <v>1470</v>
      </c>
      <c r="B71" s="34" t="str">
        <f>"Nivel de terreno natural"</f>
        <v>Nivel de terreno natural</v>
      </c>
      <c r="P71" s="35">
        <f>IF(AND($B$18&gt;0),(IF(16&lt;$B$18,(($B$22-1)/2*$B$21),IF(MOD($B$18-1,2)=0,(($B$22-1)/2*$B$21),(-(($B$22-1)/2*$B$21)))))*$B$53+(-38),999)</f>
        <v>-11.2307692307692</v>
      </c>
      <c r="Q71" s="35">
        <f>IF(AND($B$18&gt;0),(IF(16&lt;$B$18,(16-($B$18-1)/2)*$B$17,(($B$18-1)-($B$18-1)/2)*$B$17))*$B$53+(0),999)</f>
        <v>26.7692307692308</v>
      </c>
      <c r="R71" s="35">
        <f>IF(AND($B$22&gt;0),(IF(16&lt;$B$22,(16-($B$22-1)/2)*$B$21,(($B$22-1)-($B$22-1)/2)*$B$21))*$B$53+(-38),999)</f>
        <v>-11.2307692307692</v>
      </c>
      <c r="S71" s="35">
        <f>IF(AND($B$22&gt;0),(IF(16&lt;$B$22,(($B$18-1)/2*$B$17),IF(MOD($B$22-1,2)=0,(($B$18-1)/2*$B$17),(-(($B$18-1)/2*$B$17)))))*$B$53+(0),999)</f>
        <v>26.7692307692308</v>
      </c>
      <c r="T71" s="35">
        <f>IF(AND($B$30&gt;0,$B$29&gt;0),(IF(16&lt;$B$30,(($B$31-1)/2*$B$29),IF(MOD($B$30-1,2)=0,(($B$31-1)/2*$B$29),(-(($B$31-1)/2*$B$29)))))*$B$53+(-38),999)</f>
        <v>999</v>
      </c>
      <c r="U71" s="35">
        <f>IF(AND($B$30&gt;0,$B$29&gt;0),(IF(16&lt;$B$30,(16-($B$30-1)/2)*$B$29,(($B$30-1)-($B$30-1)/2)*$B$29))*$B$53+(0),999)</f>
        <v>999</v>
      </c>
      <c r="V71" s="35">
        <f>IF(AND($B$31&gt;0,$B$29&gt;0),(IF(16&lt;$B$31,(16-($B$31-1)/2)*$B$29,(($B$31-1)-($B$31-1)/2)*$B$29))*$B$53+(-38),999)</f>
        <v>999</v>
      </c>
      <c r="W71" s="35">
        <f>IF(AND($B$31&gt;0,$B$29&gt;0),(IF(16&lt;$B$31,(($B$30-1)/2*$B$29),IF(MOD($B$31-1,2)=0,(($B$30-1)/2*$B$29),(-(($B$30-1)/2*$B$29)))))*$B$53+(0),999)</f>
        <v>999</v>
      </c>
      <c r="CV71" s="35">
        <f>IF(AND(67&lt;$B$22),((67-($B$22-1)/2)*$B$21)*$B$57+(-37),999)</f>
        <v>999</v>
      </c>
      <c r="CW71" s="35">
        <f>IF(AND(67&lt;$B$22),(($B$24)-$B$59)*$B$57+(0),999)</f>
        <v>999</v>
      </c>
      <c r="CZ71" s="35">
        <f>IF(AND(67&lt;$B$31,$B$29&gt;0),((67-($B$31-1)/2)*$B$29)*$B$57+(-37),999)</f>
        <v>999</v>
      </c>
      <c r="DA71" s="35">
        <f>IF(AND(67&lt;$B$31,$B$29&gt;0),(($B$33)-$B$59)*$B$57+(0),999)</f>
        <v>999</v>
      </c>
      <c r="DJ71" s="35">
        <f>IF($B$39=1,((-1)*MIN($B$8/2+0.05+IF(33&lt;INT(($B$49-0.05)/$B$47)+1,33*$B$47,INT(($B$49-0.05)/$B$47)*$B$47+(33-INT(($B$49-0.05)/$B$47))*$B$48),$B$4/2+$B$50-0.05))*$B$57+(-37),999)</f>
        <v>999</v>
      </c>
      <c r="DK71" s="35">
        <f>IF($B$39=1,(($B$6+$B$42)-$B$59)*$B$57+(0),999)</f>
        <v>999</v>
      </c>
      <c r="DL71" s="35">
        <f>IF($B$39=1,((1)*MIN($B$8/2+0.05+IF(33&lt;INT(($B$49-0.05)/$B$47)+1,33*$B$47,INT(($B$49-0.05)/$B$47)*$B$47+(33-INT(($B$49-0.05)/$B$47))*$B$48),$B$4/2+$B$50-0.05))*$B$57+(-37),999)</f>
        <v>999</v>
      </c>
      <c r="DM71" s="35">
        <f>IF($B$39=1,(($B$6+$B$42)-$B$59)*$B$57+(0),999)</f>
        <v>999</v>
      </c>
    </row>
    <row r="72" spans="1:117" x14ac:dyDescent="0.3">
      <c r="A72" s="33" t="s">
        <v>1471</v>
      </c>
      <c r="B72" s="34" t="str">
        <f>"Relleno compactado"</f>
        <v>Relleno compactado</v>
      </c>
      <c r="P72" s="35">
        <f>IF(AND($B$18&gt;0),(IF(17&lt;$B$18,(($B$22-1)/2*$B$21),IF(MOD($B$18-1,2)=0,(($B$22-1)/2*$B$21),(-(($B$22-1)/2*$B$21)))))*$B$53+(-38),999)</f>
        <v>-11.2307692307692</v>
      </c>
      <c r="Q72" s="35">
        <f>IF(AND($B$18&gt;0),(IF(17&lt;$B$18,(17-($B$18-1)/2)*$B$17,(($B$18-1)-($B$18-1)/2)*$B$17))*$B$53+(0),999)</f>
        <v>26.7692307692308</v>
      </c>
      <c r="R72" s="35">
        <f>IF(AND($B$22&gt;0),(IF(17&lt;$B$22,(17-($B$22-1)/2)*$B$21,(($B$22-1)-($B$22-1)/2)*$B$21))*$B$53+(-38),999)</f>
        <v>-11.2307692307692</v>
      </c>
      <c r="S72" s="35">
        <f>IF(AND($B$22&gt;0),(IF(17&lt;$B$22,(($B$18-1)/2*$B$17),IF(MOD($B$22-1,2)=0,(($B$18-1)/2*$B$17),(-(($B$18-1)/2*$B$17)))))*$B$53+(0),999)</f>
        <v>26.7692307692308</v>
      </c>
      <c r="T72" s="35">
        <f>IF(AND($B$30&gt;0,$B$29&gt;0),(IF(17&lt;$B$30,(($B$31-1)/2*$B$29),IF(MOD($B$30-1,2)=0,(($B$31-1)/2*$B$29),(-(($B$31-1)/2*$B$29)))))*$B$53+(-38),999)</f>
        <v>999</v>
      </c>
      <c r="U72" s="35">
        <f>IF(AND($B$30&gt;0,$B$29&gt;0),(IF(17&lt;$B$30,(17-($B$30-1)/2)*$B$29,(($B$30-1)-($B$30-1)/2)*$B$29))*$B$53+(0),999)</f>
        <v>999</v>
      </c>
      <c r="V72" s="35">
        <f>IF(AND($B$31&gt;0,$B$29&gt;0),(IF(17&lt;$B$31,(17-($B$31-1)/2)*$B$29,(($B$31-1)-($B$31-1)/2)*$B$29))*$B$53+(-38),999)</f>
        <v>999</v>
      </c>
      <c r="W72" s="35">
        <f>IF(AND($B$31&gt;0,$B$29&gt;0),(IF(17&lt;$B$31,(($B$30-1)/2*$B$29),IF(MOD($B$31-1,2)=0,(($B$30-1)/2*$B$29),(-(($B$30-1)/2*$B$29)))))*$B$53+(0),999)</f>
        <v>999</v>
      </c>
      <c r="CV72" s="35">
        <f>IF(AND(68&lt;$B$22),((68-($B$22-1)/2)*$B$21)*$B$57+(-37),999)</f>
        <v>999</v>
      </c>
      <c r="CW72" s="35">
        <f>IF(AND(68&lt;$B$22),(($B$24)-$B$59)*$B$57+(0),999)</f>
        <v>999</v>
      </c>
      <c r="CZ72" s="35">
        <f>IF(AND(68&lt;$B$31,$B$29&gt;0),((68-($B$31-1)/2)*$B$29)*$B$57+(-37),999)</f>
        <v>999</v>
      </c>
      <c r="DA72" s="35">
        <f>IF(AND(68&lt;$B$31,$B$29&gt;0),(($B$33)-$B$59)*$B$57+(0),999)</f>
        <v>999</v>
      </c>
      <c r="DJ72" s="35">
        <f>IF($B$39=1,((-1)*MIN($B$8/2+0.05+IF(34&lt;INT(($B$49-0.05)/$B$47)+1,34*$B$47,INT(($B$49-0.05)/$B$47)*$B$47+(34-INT(($B$49-0.05)/$B$47))*$B$48),$B$4/2+$B$50-0.05))*$B$57+(-37),999)</f>
        <v>999</v>
      </c>
      <c r="DK72" s="35">
        <f>IF($B$39=1,(($B$6+$B$42)-$B$59)*$B$57+(0),999)</f>
        <v>999</v>
      </c>
      <c r="DL72" s="35">
        <f>IF($B$39=1,((1)*MIN($B$8/2+0.05+IF(34&lt;INT(($B$49-0.05)/$B$47)+1,34*$B$47,INT(($B$49-0.05)/$B$47)*$B$47+(34-INT(($B$49-0.05)/$B$47))*$B$48),$B$4/2+$B$50-0.05))*$B$57+(-37),999)</f>
        <v>999</v>
      </c>
      <c r="DM72" s="35">
        <f>IF($B$39=1,(($B$6+$B$42)-$B$59)*$B$57+(0),999)</f>
        <v>999</v>
      </c>
    </row>
    <row r="73" spans="1:117" x14ac:dyDescent="0.3">
      <c r="A73" s="33" t="s">
        <v>1472</v>
      </c>
      <c r="B73" s="34" t="str">
        <f>IF($B$39=1,AISLADA_CT!$C$253&amp;" #"&amp;AISLADA_CT!$C$232&amp;" lecho superior","")</f>
        <v/>
      </c>
      <c r="P73" s="35">
        <f>IF(AND($B$18&gt;0),(IF(17&lt;$B$18,($B$4/2-$B$13),IF(MOD($B$18-1,2)=0,(($B$22-1)/2*$B$21),(-(($B$22-1)/2*$B$21)))))*$B$53+(-38),999)</f>
        <v>-11.2307692307692</v>
      </c>
      <c r="Q73" s="35">
        <f>IF(AND($B$18&gt;0),(IF(17&lt;$B$18,(17-($B$18-1)/2)*$B$17,(($B$18-1)-($B$18-1)/2)*$B$17))*$B$53+(0),999)</f>
        <v>26.7692307692308</v>
      </c>
      <c r="R73" s="35">
        <f>IF(AND($B$22&gt;0),(IF(17&lt;$B$22,(17-($B$22-1)/2)*$B$21,(($B$22-1)-($B$22-1)/2)*$B$21))*$B$53+(-38),999)</f>
        <v>-11.2307692307692</v>
      </c>
      <c r="S73" s="35">
        <f>IF(AND($B$22&gt;0),(IF(17&lt;$B$22,($B$5/2-IF($B$3=3,0,$B$13)),IF(MOD($B$22-1,2)=0,(($B$18-1)/2*$B$17),(-(($B$18-1)/2*$B$17)))))*$B$53+(0),999)</f>
        <v>26.7692307692308</v>
      </c>
      <c r="T73" s="35">
        <f>IF(AND($B$30&gt;0,$B$29&gt;0),(IF(17&lt;$B$30,($B$4/2-$B$13),IF(MOD($B$30-1,2)=0,(($B$31-1)/2*$B$29),(-(($B$31-1)/2*$B$29)))))*$B$53+(-38),999)</f>
        <v>999</v>
      </c>
      <c r="U73" s="35">
        <f>IF(AND($B$30&gt;0,$B$29&gt;0),(IF(17&lt;$B$30,(17-($B$30-1)/2)*$B$29,(($B$30-1)-($B$30-1)/2)*$B$29))*$B$53+(0),999)</f>
        <v>999</v>
      </c>
      <c r="V73" s="35">
        <f>IF(AND($B$31&gt;0,$B$29&gt;0),(IF(17&lt;$B$31,(17-($B$31-1)/2)*$B$29,(($B$31-1)-($B$31-1)/2)*$B$29))*$B$53+(-38),999)</f>
        <v>999</v>
      </c>
      <c r="W73" s="35">
        <f>IF(AND($B$31&gt;0,$B$29&gt;0),(IF(17&lt;$B$31,($B$5/2-$B$13),IF(MOD($B$31-1,2)=0,(($B$30-1)/2*$B$29),(-(($B$30-1)/2*$B$29)))))*$B$53+(0),999)</f>
        <v>999</v>
      </c>
      <c r="CV73" s="35">
        <f>IF(AND(69&lt;$B$22),((69-($B$22-1)/2)*$B$21)*$B$57+(-37),999)</f>
        <v>999</v>
      </c>
      <c r="CW73" s="35">
        <f>IF(AND(69&lt;$B$22),(($B$24)-$B$59)*$B$57+(0),999)</f>
        <v>999</v>
      </c>
      <c r="CZ73" s="35">
        <f>IF(AND(69&lt;$B$31,$B$29&gt;0),((69-($B$31-1)/2)*$B$29)*$B$57+(-37),999)</f>
        <v>999</v>
      </c>
      <c r="DA73" s="35">
        <f>IF(AND(69&lt;$B$31,$B$29&gt;0),(($B$33)-$B$59)*$B$57+(0),999)</f>
        <v>999</v>
      </c>
      <c r="DJ73" s="35">
        <f>IF($B$39=1,((-1)*MIN($B$8/2+0.05+IF(34&lt;INT(($B$49-0.05)/$B$47)+1,34*$B$47,INT(($B$49-0.05)/$B$47)*$B$47+(34-INT(($B$49-0.05)/$B$47))*$B$48),$B$4/2+$B$50-0.05))*$B$57+(-37),999)</f>
        <v>999</v>
      </c>
      <c r="DK73" s="35">
        <f>IF($B$39=1,(($B$6+$B$41-$B$42)-$B$59)*$B$57+(0),999)</f>
        <v>999</v>
      </c>
      <c r="DL73" s="35">
        <f>IF($B$39=1,((1)*MIN($B$8/2+0.05+IF(34&lt;INT(($B$49-0.05)/$B$47)+1,34*$B$47,INT(($B$49-0.05)/$B$47)*$B$47+(34-INT(($B$49-0.05)/$B$47))*$B$48),$B$4/2+$B$50-0.05))*$B$57+(-37),999)</f>
        <v>999</v>
      </c>
      <c r="DM73" s="35">
        <f>IF($B$39=1,(($B$6+$B$41-$B$42)-$B$59)*$B$57+(0),999)</f>
        <v>999</v>
      </c>
    </row>
    <row r="74" spans="1:117" x14ac:dyDescent="0.3">
      <c r="A74" s="33" t="s">
        <v>1473</v>
      </c>
      <c r="B74" s="34" t="str">
        <f>IF($B$39=1,AISLADA_CT!$C$255&amp;" #"&amp;AISLADA_CT!$C$232&amp;" lecho inferior","")</f>
        <v/>
      </c>
      <c r="P74" s="35">
        <f>IF(AND($B$18&gt;0),(IF(17&lt;$B$18,(-$B$4/2+$B$13),IF(MOD($B$18-1,2)=0,(($B$22-1)/2*$B$21),(-(($B$22-1)/2*$B$21)))))*$B$53+(-38),999)</f>
        <v>-11.2307692307692</v>
      </c>
      <c r="Q74" s="35">
        <f>IF(AND($B$18&gt;0),(IF(17&lt;$B$18,(17-($B$18-1)/2)*$B$17,(($B$18-1)-($B$18-1)/2)*$B$17))*$B$53+(0),999)</f>
        <v>26.7692307692308</v>
      </c>
      <c r="R74" s="35">
        <f>IF(AND($B$22&gt;0),(IF(17&lt;$B$22,(17-($B$22-1)/2)*$B$21,(($B$22-1)-($B$22-1)/2)*$B$21))*$B$53+(-38),999)</f>
        <v>-11.2307692307692</v>
      </c>
      <c r="S74" s="35">
        <f>IF(AND($B$22&gt;0),(IF(17&lt;$B$22,(-$B$5/2+IF($B$3=3,0,$B$13)),IF(MOD($B$22-1,2)=0,(($B$18-1)/2*$B$17),(-(($B$18-1)/2*$B$17)))))*$B$53+(0),999)</f>
        <v>26.7692307692308</v>
      </c>
      <c r="T74" s="35">
        <f>IF(AND($B$30&gt;0,$B$29&gt;0),(IF(17&lt;$B$30,(-$B$4/2+$B$13),IF(MOD($B$30-1,2)=0,(($B$31-1)/2*$B$29),(-(($B$31-1)/2*$B$29)))))*$B$53+(-38),999)</f>
        <v>999</v>
      </c>
      <c r="U74" s="35">
        <f>IF(AND($B$30&gt;0,$B$29&gt;0),(IF(17&lt;$B$30,(17-($B$30-1)/2)*$B$29,(($B$30-1)-($B$30-1)/2)*$B$29))*$B$53+(0),999)</f>
        <v>999</v>
      </c>
      <c r="V74" s="35">
        <f>IF(AND($B$31&gt;0,$B$29&gt;0),(IF(17&lt;$B$31,(17-($B$31-1)/2)*$B$29,(($B$31-1)-($B$31-1)/2)*$B$29))*$B$53+(-38),999)</f>
        <v>999</v>
      </c>
      <c r="W74" s="35">
        <f>IF(AND($B$31&gt;0,$B$29&gt;0),(IF(17&lt;$B$31,(-$B$5/2+$B$13),IF(MOD($B$31-1,2)=0,(($B$30-1)/2*$B$29),(-(($B$30-1)/2*$B$29)))))*$B$53+(0),999)</f>
        <v>999</v>
      </c>
      <c r="CV74" s="35">
        <f>IF(AND(70&lt;$B$22),((70-($B$22-1)/2)*$B$21)*$B$57+(-37),999)</f>
        <v>999</v>
      </c>
      <c r="CW74" s="35">
        <f>IF(AND(70&lt;$B$22),(($B$24)-$B$59)*$B$57+(0),999)</f>
        <v>999</v>
      </c>
      <c r="CZ74" s="35">
        <f>IF(AND(70&lt;$B$31,$B$29&gt;0),((70-($B$31-1)/2)*$B$29)*$B$57+(-37),999)</f>
        <v>999</v>
      </c>
      <c r="DA74" s="35">
        <f>IF(AND(70&lt;$B$31,$B$29&gt;0),(($B$33)-$B$59)*$B$57+(0),999)</f>
        <v>999</v>
      </c>
      <c r="DJ74" s="35">
        <f>IF($B$39=1,((-1)*MIN($B$8/2+0.05+IF(35&lt;INT(($B$49-0.05)/$B$47)+1,35*$B$47,INT(($B$49-0.05)/$B$47)*$B$47+(35-INT(($B$49-0.05)/$B$47))*$B$48),$B$4/2+$B$50-0.05))*$B$57+(-37),999)</f>
        <v>999</v>
      </c>
      <c r="DK74" s="35">
        <f>IF($B$39=1,(($B$6+$B$41-$B$42)-$B$59)*$B$57+(0),999)</f>
        <v>999</v>
      </c>
      <c r="DL74" s="35">
        <f>IF($B$39=1,((1)*MIN($B$8/2+0.05+IF(35&lt;INT(($B$49-0.05)/$B$47)+1,35*$B$47,INT(($B$49-0.05)/$B$47)*$B$47+(35-INT(($B$49-0.05)/$B$47))*$B$48),$B$4/2+$B$50-0.05))*$B$57+(-37),999)</f>
        <v>999</v>
      </c>
      <c r="DM74" s="35">
        <f>IF($B$39=1,(($B$6+$B$41-$B$42)-$B$59)*$B$57+(0),999)</f>
        <v>999</v>
      </c>
    </row>
    <row r="75" spans="1:117" x14ac:dyDescent="0.3">
      <c r="A75" s="33" t="s">
        <v>1474</v>
      </c>
      <c r="B75" s="34" t="str">
        <f>IF($B$39=1,"E#"&amp;AISLADA_CT!$C$233&amp;" ("&amp;AISLADA_CT!$C$234&amp;" ramas) @ "&amp;TEXT($B$47*100,"0.0")&amp;" cm en 2h; resto @ "&amp;TEXT($B$48*100,"0.0")&amp;" cm","")</f>
        <v/>
      </c>
      <c r="P75" s="35">
        <f>IF(AND($B$18&gt;0),(IF(17&lt;$B$18,(-(($B$22-1)/2*$B$21)),IF(MOD($B$18-1,2)=0,(($B$22-1)/2*$B$21),(-(($B$22-1)/2*$B$21)))))*$B$53+(-38),999)</f>
        <v>-11.2307692307692</v>
      </c>
      <c r="Q75" s="35">
        <f>IF(AND($B$18&gt;0),(IF(17&lt;$B$18,(17-($B$18-1)/2)*$B$17,(($B$18-1)-($B$18-1)/2)*$B$17))*$B$53+(0),999)</f>
        <v>26.7692307692308</v>
      </c>
      <c r="R75" s="35">
        <f>IF(AND($B$22&gt;0),(IF(17&lt;$B$22,(17-($B$22-1)/2)*$B$21,(($B$22-1)-($B$22-1)/2)*$B$21))*$B$53+(-38),999)</f>
        <v>-11.2307692307692</v>
      </c>
      <c r="S75" s="35">
        <f>IF(AND($B$22&gt;0),(IF(17&lt;$B$22,(-(($B$18-1)/2*$B$17)),IF(MOD($B$22-1,2)=0,(($B$18-1)/2*$B$17),(-(($B$18-1)/2*$B$17)))))*$B$53+(0),999)</f>
        <v>26.7692307692308</v>
      </c>
      <c r="T75" s="35">
        <f>IF(AND($B$30&gt;0,$B$29&gt;0),(IF(17&lt;$B$30,(-(($B$31-1)/2*$B$29)),IF(MOD($B$30-1,2)=0,(($B$31-1)/2*$B$29),(-(($B$31-1)/2*$B$29)))))*$B$53+(-38),999)</f>
        <v>999</v>
      </c>
      <c r="U75" s="35">
        <f>IF(AND($B$30&gt;0,$B$29&gt;0),(IF(17&lt;$B$30,(17-($B$30-1)/2)*$B$29,(($B$30-1)-($B$30-1)/2)*$B$29))*$B$53+(0),999)</f>
        <v>999</v>
      </c>
      <c r="V75" s="35">
        <f>IF(AND($B$31&gt;0,$B$29&gt;0),(IF(17&lt;$B$31,(17-($B$31-1)/2)*$B$29,(($B$31-1)-($B$31-1)/2)*$B$29))*$B$53+(-38),999)</f>
        <v>999</v>
      </c>
      <c r="W75" s="35">
        <f>IF(AND($B$31&gt;0,$B$29&gt;0),(IF(17&lt;$B$31,(-(($B$30-1)/2*$B$29)),IF(MOD($B$31-1,2)=0,(($B$30-1)/2*$B$29),(-(($B$30-1)/2*$B$29)))))*$B$53+(0),999)</f>
        <v>999</v>
      </c>
      <c r="CV75" s="35">
        <f>IF(AND(71&lt;$B$22),((71-($B$22-1)/2)*$B$21)*$B$57+(-37),999)</f>
        <v>999</v>
      </c>
      <c r="CW75" s="35">
        <f>IF(AND(71&lt;$B$22),(($B$24)-$B$59)*$B$57+(0),999)</f>
        <v>999</v>
      </c>
      <c r="CZ75" s="35">
        <f>IF(AND(71&lt;$B$31,$B$29&gt;0),((71-($B$31-1)/2)*$B$29)*$B$57+(-37),999)</f>
        <v>999</v>
      </c>
      <c r="DA75" s="35">
        <f>IF(AND(71&lt;$B$31,$B$29&gt;0),(($B$33)-$B$59)*$B$57+(0),999)</f>
        <v>999</v>
      </c>
      <c r="DJ75" s="35">
        <f>IF($B$39=1,((-1)*MIN($B$8/2+0.05+IF(35&lt;INT(($B$49-0.05)/$B$47)+1,35*$B$47,INT(($B$49-0.05)/$B$47)*$B$47+(35-INT(($B$49-0.05)/$B$47))*$B$48),$B$4/2+$B$50-0.05))*$B$57+(-37),999)</f>
        <v>999</v>
      </c>
      <c r="DK75" s="35">
        <f>IF($B$39=1,(($B$6+$B$42)-$B$59)*$B$57+(0),999)</f>
        <v>999</v>
      </c>
      <c r="DL75" s="35">
        <f>IF($B$39=1,((1)*MIN($B$8/2+0.05+IF(35&lt;INT(($B$49-0.05)/$B$47)+1,35*$B$47,INT(($B$49-0.05)/$B$47)*$B$47+(35-INT(($B$49-0.05)/$B$47))*$B$48),$B$4/2+$B$50-0.05))*$B$57+(-37),999)</f>
        <v>999</v>
      </c>
      <c r="DM75" s="35">
        <f>IF($B$39=1,(($B$6+$B$42)-$B$59)*$B$57+(0),999)</f>
        <v>999</v>
      </c>
    </row>
    <row r="76" spans="1:117" x14ac:dyDescent="0.3">
      <c r="A76" s="33" t="s">
        <v>1475</v>
      </c>
      <c r="B76" s="34" t="str">
        <f>IF($B$39=1,"","NO APLICA: el tipo elegido no lleva contratrabe")</f>
        <v>NO APLICA: el tipo elegido no lleva contratrabe</v>
      </c>
      <c r="P76" s="35">
        <f>IF(AND($B$18&gt;0),(IF(18&lt;$B$18,(-(($B$22-1)/2*$B$21)),IF(MOD($B$18-1,2)=0,(($B$22-1)/2*$B$21),(-(($B$22-1)/2*$B$21)))))*$B$53+(-38),999)</f>
        <v>-11.2307692307692</v>
      </c>
      <c r="Q76" s="35">
        <f>IF(AND($B$18&gt;0),(IF(18&lt;$B$18,(18-($B$18-1)/2)*$B$17,(($B$18-1)-($B$18-1)/2)*$B$17))*$B$53+(0),999)</f>
        <v>26.7692307692308</v>
      </c>
      <c r="R76" s="35">
        <f>IF(AND($B$22&gt;0),(IF(18&lt;$B$22,(18-($B$22-1)/2)*$B$21,(($B$22-1)-($B$22-1)/2)*$B$21))*$B$53+(-38),999)</f>
        <v>-11.2307692307692</v>
      </c>
      <c r="S76" s="35">
        <f>IF(AND($B$22&gt;0),(IF(18&lt;$B$22,(-(($B$18-1)/2*$B$17)),IF(MOD($B$22-1,2)=0,(($B$18-1)/2*$B$17),(-(($B$18-1)/2*$B$17)))))*$B$53+(0),999)</f>
        <v>26.7692307692308</v>
      </c>
      <c r="T76" s="35">
        <f>IF(AND($B$30&gt;0,$B$29&gt;0),(IF(18&lt;$B$30,(-(($B$31-1)/2*$B$29)),IF(MOD($B$30-1,2)=0,(($B$31-1)/2*$B$29),(-(($B$31-1)/2*$B$29)))))*$B$53+(-38),999)</f>
        <v>999</v>
      </c>
      <c r="U76" s="35">
        <f>IF(AND($B$30&gt;0,$B$29&gt;0),(IF(18&lt;$B$30,(18-($B$30-1)/2)*$B$29,(($B$30-1)-($B$30-1)/2)*$B$29))*$B$53+(0),999)</f>
        <v>999</v>
      </c>
      <c r="V76" s="35">
        <f>IF(AND($B$31&gt;0,$B$29&gt;0),(IF(18&lt;$B$31,(18-($B$31-1)/2)*$B$29,(($B$31-1)-($B$31-1)/2)*$B$29))*$B$53+(-38),999)</f>
        <v>999</v>
      </c>
      <c r="W76" s="35">
        <f>IF(AND($B$31&gt;0,$B$29&gt;0),(IF(18&lt;$B$31,(-(($B$30-1)/2*$B$29)),IF(MOD($B$31-1,2)=0,(($B$30-1)/2*$B$29),(-(($B$30-1)/2*$B$29)))))*$B$53+(0),999)</f>
        <v>999</v>
      </c>
      <c r="CV76" s="35">
        <f>IF(AND(72&lt;$B$22),((72-($B$22-1)/2)*$B$21)*$B$57+(-37),999)</f>
        <v>999</v>
      </c>
      <c r="CW76" s="35">
        <f>IF(AND(72&lt;$B$22),(($B$24)-$B$59)*$B$57+(0),999)</f>
        <v>999</v>
      </c>
      <c r="CZ76" s="35">
        <f>IF(AND(72&lt;$B$31,$B$29&gt;0),((72-($B$31-1)/2)*$B$29)*$B$57+(-37),999)</f>
        <v>999</v>
      </c>
      <c r="DA76" s="35">
        <f>IF(AND(72&lt;$B$31,$B$29&gt;0),(($B$33)-$B$59)*$B$57+(0),999)</f>
        <v>999</v>
      </c>
      <c r="DJ76" s="35">
        <f>IF($B$39=1,((-1)*MIN($B$8/2+0.05+IF(36&lt;INT(($B$49-0.05)/$B$47)+1,36*$B$47,INT(($B$49-0.05)/$B$47)*$B$47+(36-INT(($B$49-0.05)/$B$47))*$B$48),$B$4/2+$B$50-0.05))*$B$57+(-37),999)</f>
        <v>999</v>
      </c>
      <c r="DK76" s="35">
        <f>IF($B$39=1,(($B$6+$B$42)-$B$59)*$B$57+(0),999)</f>
        <v>999</v>
      </c>
      <c r="DL76" s="35">
        <f>IF($B$39=1,((1)*MIN($B$8/2+0.05+IF(36&lt;INT(($B$49-0.05)/$B$47)+1,36*$B$47,INT(($B$49-0.05)/$B$47)*$B$47+(36-INT(($B$49-0.05)/$B$47))*$B$48),$B$4/2+$B$50-0.05))*$B$57+(-37),999)</f>
        <v>999</v>
      </c>
      <c r="DM76" s="35">
        <f>IF($B$39=1,(($B$6+$B$42)-$B$59)*$B$57+(0),999)</f>
        <v>999</v>
      </c>
    </row>
    <row r="77" spans="1:117" x14ac:dyDescent="0.3">
      <c r="P77" s="35">
        <f>IF(AND($B$18&gt;0),(IF(18&lt;$B$18,(-$B$4/2+$B$13),IF(MOD($B$18-1,2)=0,(($B$22-1)/2*$B$21),(-(($B$22-1)/2*$B$21)))))*$B$53+(-38),999)</f>
        <v>-11.2307692307692</v>
      </c>
      <c r="Q77" s="35">
        <f>IF(AND($B$18&gt;0),(IF(18&lt;$B$18,(18-($B$18-1)/2)*$B$17,(($B$18-1)-($B$18-1)/2)*$B$17))*$B$53+(0),999)</f>
        <v>26.7692307692308</v>
      </c>
      <c r="R77" s="35">
        <f>IF(AND($B$22&gt;0),(IF(18&lt;$B$22,(18-($B$22-1)/2)*$B$21,(($B$22-1)-($B$22-1)/2)*$B$21))*$B$53+(-38),999)</f>
        <v>-11.2307692307692</v>
      </c>
      <c r="S77" s="35">
        <f>IF(AND($B$22&gt;0),(IF(18&lt;$B$22,(-$B$5/2+IF($B$3=3,0,$B$13)),IF(MOD($B$22-1,2)=0,(($B$18-1)/2*$B$17),(-(($B$18-1)/2*$B$17)))))*$B$53+(0),999)</f>
        <v>26.7692307692308</v>
      </c>
      <c r="T77" s="35">
        <f>IF(AND($B$30&gt;0,$B$29&gt;0),(IF(18&lt;$B$30,(-$B$4/2+$B$13),IF(MOD($B$30-1,2)=0,(($B$31-1)/2*$B$29),(-(($B$31-1)/2*$B$29)))))*$B$53+(-38),999)</f>
        <v>999</v>
      </c>
      <c r="U77" s="35">
        <f>IF(AND($B$30&gt;0,$B$29&gt;0),(IF(18&lt;$B$30,(18-($B$30-1)/2)*$B$29,(($B$30-1)-($B$30-1)/2)*$B$29))*$B$53+(0),999)</f>
        <v>999</v>
      </c>
      <c r="V77" s="35">
        <f>IF(AND($B$31&gt;0,$B$29&gt;0),(IF(18&lt;$B$31,(18-($B$31-1)/2)*$B$29,(($B$31-1)-($B$31-1)/2)*$B$29))*$B$53+(-38),999)</f>
        <v>999</v>
      </c>
      <c r="W77" s="35">
        <f>IF(AND($B$31&gt;0,$B$29&gt;0),(IF(18&lt;$B$31,(-$B$5/2+$B$13),IF(MOD($B$31-1,2)=0,(($B$30-1)/2*$B$29),(-(($B$30-1)/2*$B$29)))))*$B$53+(0),999)</f>
        <v>999</v>
      </c>
      <c r="CV77" s="35">
        <f>IF(AND(73&lt;$B$22),((73-($B$22-1)/2)*$B$21)*$B$57+(-37),999)</f>
        <v>999</v>
      </c>
      <c r="CW77" s="35">
        <f>IF(AND(73&lt;$B$22),(($B$24)-$B$59)*$B$57+(0),999)</f>
        <v>999</v>
      </c>
      <c r="CZ77" s="35">
        <f>IF(AND(73&lt;$B$31,$B$29&gt;0),((73-($B$31-1)/2)*$B$29)*$B$57+(-37),999)</f>
        <v>999</v>
      </c>
      <c r="DA77" s="35">
        <f>IF(AND(73&lt;$B$31,$B$29&gt;0),(($B$33)-$B$59)*$B$57+(0),999)</f>
        <v>999</v>
      </c>
      <c r="DJ77" s="35">
        <f>IF($B$39=1,((-1)*MIN($B$8/2+0.05+IF(36&lt;INT(($B$49-0.05)/$B$47)+1,36*$B$47,INT(($B$49-0.05)/$B$47)*$B$47+(36-INT(($B$49-0.05)/$B$47))*$B$48),$B$4/2+$B$50-0.05))*$B$57+(-37),999)</f>
        <v>999</v>
      </c>
      <c r="DK77" s="35">
        <f>IF($B$39=1,(($B$6+$B$41-$B$42)-$B$59)*$B$57+(0),999)</f>
        <v>999</v>
      </c>
      <c r="DL77" s="35">
        <f>IF($B$39=1,((1)*MIN($B$8/2+0.05+IF(36&lt;INT(($B$49-0.05)/$B$47)+1,36*$B$47,INT(($B$49-0.05)/$B$47)*$B$47+(36-INT(($B$49-0.05)/$B$47))*$B$48),$B$4/2+$B$50-0.05))*$B$57+(-37),999)</f>
        <v>999</v>
      </c>
      <c r="DM77" s="35">
        <f>IF($B$39=1,(($B$6+$B$41-$B$42)-$B$59)*$B$57+(0),999)</f>
        <v>999</v>
      </c>
    </row>
    <row r="78" x14ac:dyDescent="0.3">
      <c r="A78" t="inlineStr">
        <is>
          <t>db estribo del dado (m)</t>
        </is>
      </c>
      <c r="B78">
        <v>0.0095</v>
      </c>
      <c r="P78" s="35">
        <f>IF(AND($B$18&gt;0),(IF(18&lt;$B$18,($B$4/2-$B$13),IF(MOD($B$18-1,2)=0,(($B$22-1)/2*$B$21),(-(($B$22-1)/2*$B$21)))))*$B$53+(-38),999)</f>
        <v>-11.2307692307692</v>
      </c>
      <c r="Q78" s="35">
        <f>IF(AND($B$18&gt;0),(IF(18&lt;$B$18,(18-($B$18-1)/2)*$B$17,(($B$18-1)-($B$18-1)/2)*$B$17))*$B$53+(0),999)</f>
        <v>26.7692307692308</v>
      </c>
      <c r="R78" s="35">
        <f>IF(AND($B$22&gt;0),(IF(18&lt;$B$22,(18-($B$22-1)/2)*$B$21,(($B$22-1)-($B$22-1)/2)*$B$21))*$B$53+(-38),999)</f>
        <v>-11.2307692307692</v>
      </c>
      <c r="S78" s="35">
        <f>IF(AND($B$22&gt;0),(IF(18&lt;$B$22,($B$5/2-IF($B$3=3,0,$B$13)),IF(MOD($B$22-1,2)=0,(($B$18-1)/2*$B$17),(-(($B$18-1)/2*$B$17)))))*$B$53+(0),999)</f>
        <v>26.7692307692308</v>
      </c>
      <c r="T78" s="35">
        <f>IF(AND($B$30&gt;0,$B$29&gt;0),(IF(18&lt;$B$30,($B$4/2-$B$13),IF(MOD($B$30-1,2)=0,(($B$31-1)/2*$B$29),(-(($B$31-1)/2*$B$29)))))*$B$53+(-38),999)</f>
        <v>999</v>
      </c>
      <c r="U78" s="35">
        <f>IF(AND($B$30&gt;0,$B$29&gt;0),(IF(18&lt;$B$30,(18-($B$30-1)/2)*$B$29,(($B$30-1)-($B$30-1)/2)*$B$29))*$B$53+(0),999)</f>
        <v>999</v>
      </c>
      <c r="V78" s="35">
        <f>IF(AND($B$31&gt;0,$B$29&gt;0),(IF(18&lt;$B$31,(18-($B$31-1)/2)*$B$29,(($B$31-1)-($B$31-1)/2)*$B$29))*$B$53+(-38),999)</f>
        <v>999</v>
      </c>
      <c r="W78" s="35">
        <f>IF(AND($B$31&gt;0,$B$29&gt;0),(IF(18&lt;$B$31,($B$5/2-$B$13),IF(MOD($B$31-1,2)=0,(($B$30-1)/2*$B$29),(-(($B$30-1)/2*$B$29)))))*$B$53+(0),999)</f>
        <v>999</v>
      </c>
      <c r="CV78" s="35">
        <f>IF(AND(74&lt;$B$22),((74-($B$22-1)/2)*$B$21)*$B$57+(-37),999)</f>
        <v>999</v>
      </c>
      <c r="CW78" s="35">
        <f>IF(AND(74&lt;$B$22),(($B$24)-$B$59)*$B$57+(0),999)</f>
        <v>999</v>
      </c>
      <c r="CZ78" s="35">
        <f>IF(AND(74&lt;$B$31,$B$29&gt;0),((74-($B$31-1)/2)*$B$29)*$B$57+(-37),999)</f>
        <v>999</v>
      </c>
      <c r="DA78" s="35">
        <f>IF(AND(74&lt;$B$31,$B$29&gt;0),(($B$33)-$B$59)*$B$57+(0),999)</f>
        <v>999</v>
      </c>
      <c r="DJ78" s="35">
        <f>IF($B$39=1,((-1)*MIN($B$8/2+0.05+IF(37&lt;INT(($B$49-0.05)/$B$47)+1,37*$B$47,INT(($B$49-0.05)/$B$47)*$B$47+(37-INT(($B$49-0.05)/$B$47))*$B$48),$B$4/2+$B$50-0.05))*$B$57+(-37),999)</f>
        <v>999</v>
      </c>
      <c r="DK78" s="35">
        <f>IF($B$39=1,(($B$6+$B$41-$B$42)-$B$59)*$B$57+(0),999)</f>
        <v>999</v>
      </c>
      <c r="DL78" s="35">
        <f>IF($B$39=1,((1)*MIN($B$8/2+0.05+IF(37&lt;INT(($B$49-0.05)/$B$47)+1,37*$B$47,INT(($B$49-0.05)/$B$47)*$B$47+(37-INT(($B$49-0.05)/$B$47))*$B$48),$B$4/2+$B$50-0.05))*$B$57+(-37),999)</f>
        <v>999</v>
      </c>
      <c r="DM78" s="35">
        <f>IF($B$39=1,(($B$6+$B$41-$B$42)-$B$59)*$B$57+(0),999)</f>
        <v>999</v>
      </c>
    </row>
    <row r="79" x14ac:dyDescent="0.3">
      <c r="A79" t="inlineStr">
        <is>
          <t>s estribos del dado (m) = mín(16 db long., 48 db estribo, lado menor)</t>
        </is>
      </c>
      <c r="B79">
        <f>MAX(0.05,FLOOR(MIN(16*$B$34,48*$B$78,MIN($B$8,$B$9)),0.025))</f>
        <v>0.3</v>
      </c>
      <c r="P79" s="35">
        <f>IF(AND($B$18&gt;0),(IF(18&lt;$B$18,(($B$22-1)/2*$B$21),IF(MOD($B$18-1,2)=0,(($B$22-1)/2*$B$21),(-(($B$22-1)/2*$B$21)))))*$B$53+(-38),999)</f>
        <v>-11.2307692307692</v>
      </c>
      <c r="Q79" s="35">
        <f>IF(AND($B$18&gt;0),(IF(18&lt;$B$18,(18-($B$18-1)/2)*$B$17,(($B$18-1)-($B$18-1)/2)*$B$17))*$B$53+(0),999)</f>
        <v>26.7692307692308</v>
      </c>
      <c r="R79" s="35">
        <f>IF(AND($B$22&gt;0),(IF(18&lt;$B$22,(18-($B$22-1)/2)*$B$21,(($B$22-1)-($B$22-1)/2)*$B$21))*$B$53+(-38),999)</f>
        <v>-11.2307692307692</v>
      </c>
      <c r="S79" s="35">
        <f>IF(AND($B$22&gt;0),(IF(18&lt;$B$22,(($B$18-1)/2*$B$17),IF(MOD($B$22-1,2)=0,(($B$18-1)/2*$B$17),(-(($B$18-1)/2*$B$17)))))*$B$53+(0),999)</f>
        <v>26.7692307692308</v>
      </c>
      <c r="T79" s="35">
        <f>IF(AND($B$30&gt;0,$B$29&gt;0),(IF(18&lt;$B$30,(($B$31-1)/2*$B$29),IF(MOD($B$30-1,2)=0,(($B$31-1)/2*$B$29),(-(($B$31-1)/2*$B$29)))))*$B$53+(-38),999)</f>
        <v>999</v>
      </c>
      <c r="U79" s="35">
        <f>IF(AND($B$30&gt;0,$B$29&gt;0),(IF(18&lt;$B$30,(18-($B$30-1)/2)*$B$29,(($B$30-1)-($B$30-1)/2)*$B$29))*$B$53+(0),999)</f>
        <v>999</v>
      </c>
      <c r="V79" s="35">
        <f>IF(AND($B$31&gt;0,$B$29&gt;0),(IF(18&lt;$B$31,(18-($B$31-1)/2)*$B$29,(($B$31-1)-($B$31-1)/2)*$B$29))*$B$53+(-38),999)</f>
        <v>999</v>
      </c>
      <c r="W79" s="35">
        <f>IF(AND($B$31&gt;0,$B$29&gt;0),(IF(18&lt;$B$31,(($B$30-1)/2*$B$29),IF(MOD($B$31-1,2)=0,(($B$30-1)/2*$B$29),(-(($B$30-1)/2*$B$29)))))*$B$53+(0),999)</f>
        <v>999</v>
      </c>
      <c r="CV79" s="35">
        <f>IF(AND(75&lt;$B$22),((75-($B$22-1)/2)*$B$21)*$B$57+(-37),999)</f>
        <v>999</v>
      </c>
      <c r="CW79" s="35">
        <f>IF(AND(75&lt;$B$22),(($B$24)-$B$59)*$B$57+(0),999)</f>
        <v>999</v>
      </c>
      <c r="CZ79" s="35">
        <f>IF(AND(75&lt;$B$31,$B$29&gt;0),((75-($B$31-1)/2)*$B$29)*$B$57+(-37),999)</f>
        <v>999</v>
      </c>
      <c r="DA79" s="35">
        <f>IF(AND(75&lt;$B$31,$B$29&gt;0),(($B$33)-$B$59)*$B$57+(0),999)</f>
        <v>999</v>
      </c>
      <c r="DJ79" s="35">
        <f>IF($B$39=1,((-1)*MIN($B$8/2+0.05+IF(37&lt;INT(($B$49-0.05)/$B$47)+1,37*$B$47,INT(($B$49-0.05)/$B$47)*$B$47+(37-INT(($B$49-0.05)/$B$47))*$B$48),$B$4/2+$B$50-0.05))*$B$57+(-37),999)</f>
        <v>999</v>
      </c>
      <c r="DK79" s="35">
        <f>IF($B$39=1,(($B$6+$B$42)-$B$59)*$B$57+(0),999)</f>
        <v>999</v>
      </c>
      <c r="DL79" s="35">
        <f>IF($B$39=1,((1)*MIN($B$8/2+0.05+IF(37&lt;INT(($B$49-0.05)/$B$47)+1,37*$B$47,INT(($B$49-0.05)/$B$47)*$B$47+(37-INT(($B$49-0.05)/$B$47))*$B$48),$B$4/2+$B$50-0.05))*$B$57+(-37),999)</f>
        <v>999</v>
      </c>
      <c r="DM79" s="35">
        <f>IF($B$39=1,(($B$6+$B$42)-$B$59)*$B$57+(0),999)</f>
        <v>999</v>
      </c>
    </row>
    <row r="80" x14ac:dyDescent="0.3">
      <c r="A80" t="inlineStr">
        <is>
          <t>n estribos del dado</t>
        </is>
      </c>
      <c r="B80">
        <f>IF($B$38=1,MIN(15,INT(($B$11-0.1)/$B$79)+1),0)</f>
        <v>4</v>
      </c>
      <c r="P80" s="35">
        <f>IF(AND($B$18&gt;0),(IF(19&lt;$B$18,(($B$22-1)/2*$B$21),IF(MOD($B$18-1,2)=0,(($B$22-1)/2*$B$21),(-(($B$22-1)/2*$B$21)))))*$B$53+(-38),999)</f>
        <v>-11.2307692307692</v>
      </c>
      <c r="Q80" s="35">
        <f>IF(AND($B$18&gt;0),(IF(19&lt;$B$18,(19-($B$18-1)/2)*$B$17,(($B$18-1)-($B$18-1)/2)*$B$17))*$B$53+(0),999)</f>
        <v>26.7692307692308</v>
      </c>
      <c r="R80" s="35">
        <f>IF(AND($B$22&gt;0),(IF(19&lt;$B$22,(19-($B$22-1)/2)*$B$21,(($B$22-1)-($B$22-1)/2)*$B$21))*$B$53+(-38),999)</f>
        <v>-11.2307692307692</v>
      </c>
      <c r="S80" s="35">
        <f>IF(AND($B$22&gt;0),(IF(19&lt;$B$22,(($B$18-1)/2*$B$17),IF(MOD($B$22-1,2)=0,(($B$18-1)/2*$B$17),(-(($B$18-1)/2*$B$17)))))*$B$53+(0),999)</f>
        <v>26.7692307692308</v>
      </c>
      <c r="T80" s="35">
        <f>IF(AND($B$30&gt;0,$B$29&gt;0),(IF(19&lt;$B$30,(($B$31-1)/2*$B$29),IF(MOD($B$30-1,2)=0,(($B$31-1)/2*$B$29),(-(($B$31-1)/2*$B$29)))))*$B$53+(-38),999)</f>
        <v>999</v>
      </c>
      <c r="U80" s="35">
        <f>IF(AND($B$30&gt;0,$B$29&gt;0),(IF(19&lt;$B$30,(19-($B$30-1)/2)*$B$29,(($B$30-1)-($B$30-1)/2)*$B$29))*$B$53+(0),999)</f>
        <v>999</v>
      </c>
      <c r="V80" s="35">
        <f>IF(AND($B$31&gt;0,$B$29&gt;0),(IF(19&lt;$B$31,(19-($B$31-1)/2)*$B$29,(($B$31-1)-($B$31-1)/2)*$B$29))*$B$53+(-38),999)</f>
        <v>999</v>
      </c>
      <c r="W80" s="35">
        <f>IF(AND($B$31&gt;0,$B$29&gt;0),(IF(19&lt;$B$31,(($B$30-1)/2*$B$29),IF(MOD($B$31-1,2)=0,(($B$30-1)/2*$B$29),(-(($B$30-1)/2*$B$29)))))*$B$53+(0),999)</f>
        <v>999</v>
      </c>
      <c r="CV80" s="35">
        <f>IF(AND(76&lt;$B$22),((76-($B$22-1)/2)*$B$21)*$B$57+(-37),999)</f>
        <v>999</v>
      </c>
      <c r="CW80" s="35">
        <f>IF(AND(76&lt;$B$22),(($B$24)-$B$59)*$B$57+(0),999)</f>
        <v>999</v>
      </c>
      <c r="CZ80" s="35">
        <f>IF(AND(76&lt;$B$31,$B$29&gt;0),((76-($B$31-1)/2)*$B$29)*$B$57+(-37),999)</f>
        <v>999</v>
      </c>
      <c r="DA80" s="35">
        <f>IF(AND(76&lt;$B$31,$B$29&gt;0),(($B$33)-$B$59)*$B$57+(0),999)</f>
        <v>999</v>
      </c>
      <c r="DJ80" s="35">
        <f>IF($B$39=1,((-1)*MIN($B$8/2+0.05+IF(38&lt;INT(($B$49-0.05)/$B$47)+1,38*$B$47,INT(($B$49-0.05)/$B$47)*$B$47+(38-INT(($B$49-0.05)/$B$47))*$B$48),$B$4/2+$B$50-0.05))*$B$57+(-37),999)</f>
        <v>999</v>
      </c>
      <c r="DK80" s="35">
        <f>IF($B$39=1,(($B$6+$B$42)-$B$59)*$B$57+(0),999)</f>
        <v>999</v>
      </c>
      <c r="DL80" s="35">
        <f>IF($B$39=1,((1)*MIN($B$8/2+0.05+IF(38&lt;INT(($B$49-0.05)/$B$47)+1,38*$B$47,INT(($B$49-0.05)/$B$47)*$B$47+(38-INT(($B$49-0.05)/$B$47))*$B$48),$B$4/2+$B$50-0.05))*$B$57+(-37),999)</f>
        <v>999</v>
      </c>
      <c r="DM80" s="35">
        <f>IF($B$39=1,(($B$6+$B$42)-$B$59)*$B$57+(0),999)</f>
        <v>999</v>
      </c>
    </row>
    <row r="81" x14ac:dyDescent="0.3">
      <c r="A81" t="inlineStr">
        <is>
          <t>dovelas dibujadas (arreglo simétrico)</t>
        </is>
      </c>
      <c r="B81">
        <f>IF($B$38=1,IF($B$35&lt;=4,4,IF($B$35&lt;=8,8,12)),0)</f>
        <v>8</v>
      </c>
      <c r="P81" s="35">
        <f>IF(AND($B$18&gt;0),(IF(19&lt;$B$18,($B$4/2-$B$13),IF(MOD($B$18-1,2)=0,(($B$22-1)/2*$B$21),(-(($B$22-1)/2*$B$21)))))*$B$53+(-38),999)</f>
        <v>-11.2307692307692</v>
      </c>
      <c r="Q81" s="35">
        <f>IF(AND($B$18&gt;0),(IF(19&lt;$B$18,(19-($B$18-1)/2)*$B$17,(($B$18-1)-($B$18-1)/2)*$B$17))*$B$53+(0),999)</f>
        <v>26.7692307692308</v>
      </c>
      <c r="R81" s="35">
        <f>IF(AND($B$22&gt;0),(IF(19&lt;$B$22,(19-($B$22-1)/2)*$B$21,(($B$22-1)-($B$22-1)/2)*$B$21))*$B$53+(-38),999)</f>
        <v>-11.2307692307692</v>
      </c>
      <c r="S81" s="35">
        <f>IF(AND($B$22&gt;0),(IF(19&lt;$B$22,($B$5/2-IF($B$3=3,0,$B$13)),IF(MOD($B$22-1,2)=0,(($B$18-1)/2*$B$17),(-(($B$18-1)/2*$B$17)))))*$B$53+(0),999)</f>
        <v>26.7692307692308</v>
      </c>
      <c r="T81" s="35">
        <f>IF(AND($B$30&gt;0,$B$29&gt;0),(IF(19&lt;$B$30,($B$4/2-$B$13),IF(MOD($B$30-1,2)=0,(($B$31-1)/2*$B$29),(-(($B$31-1)/2*$B$29)))))*$B$53+(-38),999)</f>
        <v>999</v>
      </c>
      <c r="U81" s="35">
        <f>IF(AND($B$30&gt;0,$B$29&gt;0),(IF(19&lt;$B$30,(19-($B$30-1)/2)*$B$29,(($B$30-1)-($B$30-1)/2)*$B$29))*$B$53+(0),999)</f>
        <v>999</v>
      </c>
      <c r="V81" s="35">
        <f>IF(AND($B$31&gt;0,$B$29&gt;0),(IF(19&lt;$B$31,(19-($B$31-1)/2)*$B$29,(($B$31-1)-($B$31-1)/2)*$B$29))*$B$53+(-38),999)</f>
        <v>999</v>
      </c>
      <c r="W81" s="35">
        <f>IF(AND($B$31&gt;0,$B$29&gt;0),(IF(19&lt;$B$31,($B$5/2-$B$13),IF(MOD($B$31-1,2)=0,(($B$30-1)/2*$B$29),(-(($B$30-1)/2*$B$29)))))*$B$53+(0),999)</f>
        <v>999</v>
      </c>
      <c r="CV81" s="35">
        <f>IF(AND(77&lt;$B$22),((77-($B$22-1)/2)*$B$21)*$B$57+(-37),999)</f>
        <v>999</v>
      </c>
      <c r="CW81" s="35">
        <f>IF(AND(77&lt;$B$22),(($B$24)-$B$59)*$B$57+(0),999)</f>
        <v>999</v>
      </c>
      <c r="CZ81" s="35">
        <f>IF(AND(77&lt;$B$31,$B$29&gt;0),((77-($B$31-1)/2)*$B$29)*$B$57+(-37),999)</f>
        <v>999</v>
      </c>
      <c r="DA81" s="35">
        <f>IF(AND(77&lt;$B$31,$B$29&gt;0),(($B$33)-$B$59)*$B$57+(0),999)</f>
        <v>999</v>
      </c>
      <c r="DJ81" s="35">
        <f>IF($B$39=1,((-1)*MIN($B$8/2+0.05+IF(38&lt;INT(($B$49-0.05)/$B$47)+1,38*$B$47,INT(($B$49-0.05)/$B$47)*$B$47+(38-INT(($B$49-0.05)/$B$47))*$B$48),$B$4/2+$B$50-0.05))*$B$57+(-37),999)</f>
        <v>999</v>
      </c>
      <c r="DK81" s="35">
        <f>IF($B$39=1,(($B$6+$B$41-$B$42)-$B$59)*$B$57+(0),999)</f>
        <v>999</v>
      </c>
      <c r="DL81" s="35">
        <f>IF($B$39=1,((1)*MIN($B$8/2+0.05+IF(38&lt;INT(($B$49-0.05)/$B$47)+1,38*$B$47,INT(($B$49-0.05)/$B$47)*$B$47+(38-INT(($B$49-0.05)/$B$47))*$B$48),$B$4/2+$B$50-0.05))*$B$57+(-37),999)</f>
        <v>999</v>
      </c>
      <c r="DM81" s="35">
        <f>IF($B$39=1,(($B$6+$B$41-$B$42)-$B$59)*$B$57+(0),999)</f>
        <v>999</v>
      </c>
    </row>
    <row r="82" x14ac:dyDescent="0.3">
      <c r="A82" t="inlineStr">
        <is>
          <t>posición de la dovela en y (m)</t>
        </is>
      </c>
      <c r="B82">
        <f>$B$9/2-0.05-$B$34/2</f>
        <v>0.19045</v>
      </c>
      <c r="P82" s="35">
        <f>IF(AND($B$18&gt;0),(IF(19&lt;$B$18,(-$B$4/2+$B$13),IF(MOD($B$18-1,2)=0,(($B$22-1)/2*$B$21),(-(($B$22-1)/2*$B$21)))))*$B$53+(-38),999)</f>
        <v>-11.2307692307692</v>
      </c>
      <c r="Q82" s="35">
        <f>IF(AND($B$18&gt;0),(IF(19&lt;$B$18,(19-($B$18-1)/2)*$B$17,(($B$18-1)-($B$18-1)/2)*$B$17))*$B$53+(0),999)</f>
        <v>26.7692307692308</v>
      </c>
      <c r="R82" s="35">
        <f>IF(AND($B$22&gt;0),(IF(19&lt;$B$22,(19-($B$22-1)/2)*$B$21,(($B$22-1)-($B$22-1)/2)*$B$21))*$B$53+(-38),999)</f>
        <v>-11.2307692307692</v>
      </c>
      <c r="S82" s="35">
        <f>IF(AND($B$22&gt;0),(IF(19&lt;$B$22,(-$B$5/2+IF($B$3=3,0,$B$13)),IF(MOD($B$22-1,2)=0,(($B$18-1)/2*$B$17),(-(($B$18-1)/2*$B$17)))))*$B$53+(0),999)</f>
        <v>26.7692307692308</v>
      </c>
      <c r="T82" s="35">
        <f>IF(AND($B$30&gt;0,$B$29&gt;0),(IF(19&lt;$B$30,(-$B$4/2+$B$13),IF(MOD($B$30-1,2)=0,(($B$31-1)/2*$B$29),(-(($B$31-1)/2*$B$29)))))*$B$53+(-38),999)</f>
        <v>999</v>
      </c>
      <c r="U82" s="35">
        <f>IF(AND($B$30&gt;0,$B$29&gt;0),(IF(19&lt;$B$30,(19-($B$30-1)/2)*$B$29,(($B$30-1)-($B$30-1)/2)*$B$29))*$B$53+(0),999)</f>
        <v>999</v>
      </c>
      <c r="V82" s="35">
        <f>IF(AND($B$31&gt;0,$B$29&gt;0),(IF(19&lt;$B$31,(19-($B$31-1)/2)*$B$29,(($B$31-1)-($B$31-1)/2)*$B$29))*$B$53+(-38),999)</f>
        <v>999</v>
      </c>
      <c r="W82" s="35">
        <f>IF(AND($B$31&gt;0,$B$29&gt;0),(IF(19&lt;$B$31,(-$B$5/2+$B$13),IF(MOD($B$31-1,2)=0,(($B$30-1)/2*$B$29),(-(($B$30-1)/2*$B$29)))))*$B$53+(0),999)</f>
        <v>999</v>
      </c>
      <c r="CV82" s="35">
        <f>IF(AND(78&lt;$B$22),((78-($B$22-1)/2)*$B$21)*$B$57+(-37),999)</f>
        <v>999</v>
      </c>
      <c r="CW82" s="35">
        <f>IF(AND(78&lt;$B$22),(($B$24)-$B$59)*$B$57+(0),999)</f>
        <v>999</v>
      </c>
      <c r="CZ82" s="35">
        <f>IF(AND(78&lt;$B$31,$B$29&gt;0),((78-($B$31-1)/2)*$B$29)*$B$57+(-37),999)</f>
        <v>999</v>
      </c>
      <c r="DA82" s="35">
        <f>IF(AND(78&lt;$B$31,$B$29&gt;0),(($B$33)-$B$59)*$B$57+(0),999)</f>
        <v>999</v>
      </c>
      <c r="DJ82" s="35">
        <f>IF($B$39=1,((-1)*MIN($B$8/2+0.05+IF(39&lt;INT(($B$49-0.05)/$B$47)+1,39*$B$47,INT(($B$49-0.05)/$B$47)*$B$47+(39-INT(($B$49-0.05)/$B$47))*$B$48),$B$4/2+$B$50-0.05))*$B$57+(-37),999)</f>
        <v>999</v>
      </c>
      <c r="DK82" s="35">
        <f>IF($B$39=1,(($B$6+$B$41-$B$42)-$B$59)*$B$57+(0),999)</f>
        <v>999</v>
      </c>
      <c r="DL82" s="35">
        <f>IF($B$39=1,((1)*MIN($B$8/2+0.05+IF(39&lt;INT(($B$49-0.05)/$B$47)+1,39*$B$47,INT(($B$49-0.05)/$B$47)*$B$47+(39-INT(($B$49-0.05)/$B$47))*$B$48),$B$4/2+$B$50-0.05))*$B$57+(-37),999)</f>
        <v>999</v>
      </c>
      <c r="DM82" s="35">
        <f>IF($B$39=1,(($B$6+$B$41-$B$42)-$B$59)*$B$57+(0),999)</f>
        <v>999</v>
      </c>
    </row>
    <row r="83" x14ac:dyDescent="0.3">
      <c r="A83" t="inlineStr">
        <is>
          <t>rótulo estribos del dado</t>
        </is>
      </c>
      <c r="B83" t="str">
        <f>IF($B$38=1,"Estribos del dado: E#3 @ "&amp;TEXT($B$79*100,"0")&amp;" cm (ACI 25.7.2.1)","")</f>
        <v>Estribos del dado: E#3 @ 30 cm (ACI 25.7.2.1)</v>
      </c>
      <c r="P83" s="35">
        <f>IF(AND($B$18&gt;0),(IF(19&lt;$B$18,(-(($B$22-1)/2*$B$21)),IF(MOD($B$18-1,2)=0,(($B$22-1)/2*$B$21),(-(($B$22-1)/2*$B$21)))))*$B$53+(-38),999)</f>
        <v>-11.2307692307692</v>
      </c>
      <c r="Q83" s="35">
        <f>IF(AND($B$18&gt;0),(IF(19&lt;$B$18,(19-($B$18-1)/2)*$B$17,(($B$18-1)-($B$18-1)/2)*$B$17))*$B$53+(0),999)</f>
        <v>26.7692307692308</v>
      </c>
      <c r="R83" s="35">
        <f>IF(AND($B$22&gt;0),(IF(19&lt;$B$22,(19-($B$22-1)/2)*$B$21,(($B$22-1)-($B$22-1)/2)*$B$21))*$B$53+(-38),999)</f>
        <v>-11.2307692307692</v>
      </c>
      <c r="S83" s="35">
        <f>IF(AND($B$22&gt;0),(IF(19&lt;$B$22,(-(($B$18-1)/2*$B$17)),IF(MOD($B$22-1,2)=0,(($B$18-1)/2*$B$17),(-(($B$18-1)/2*$B$17)))))*$B$53+(0),999)</f>
        <v>26.7692307692308</v>
      </c>
      <c r="T83" s="35">
        <f>IF(AND($B$30&gt;0,$B$29&gt;0),(IF(19&lt;$B$30,(-(($B$31-1)/2*$B$29)),IF(MOD($B$30-1,2)=0,(($B$31-1)/2*$B$29),(-(($B$31-1)/2*$B$29)))))*$B$53+(-38),999)</f>
        <v>999</v>
      </c>
      <c r="U83" s="35">
        <f>IF(AND($B$30&gt;0,$B$29&gt;0),(IF(19&lt;$B$30,(19-($B$30-1)/2)*$B$29,(($B$30-1)-($B$30-1)/2)*$B$29))*$B$53+(0),999)</f>
        <v>999</v>
      </c>
      <c r="V83" s="35">
        <f>IF(AND($B$31&gt;0,$B$29&gt;0),(IF(19&lt;$B$31,(19-($B$31-1)/2)*$B$29,(($B$31-1)-($B$31-1)/2)*$B$29))*$B$53+(-38),999)</f>
        <v>999</v>
      </c>
      <c r="W83" s="35">
        <f>IF(AND($B$31&gt;0,$B$29&gt;0),(IF(19&lt;$B$31,(-(($B$30-1)/2*$B$29)),IF(MOD($B$31-1,2)=0,(($B$30-1)/2*$B$29),(-(($B$30-1)/2*$B$29)))))*$B$53+(0),999)</f>
        <v>999</v>
      </c>
      <c r="CV83" s="35">
        <f>IF(AND(79&lt;$B$22),((79-($B$22-1)/2)*$B$21)*$B$57+(-37),999)</f>
        <v>999</v>
      </c>
      <c r="CW83" s="35">
        <f>IF(AND(79&lt;$B$22),(($B$24)-$B$59)*$B$57+(0),999)</f>
        <v>999</v>
      </c>
      <c r="CZ83" s="35">
        <f>IF(AND(79&lt;$B$31,$B$29&gt;0),((79-($B$31-1)/2)*$B$29)*$B$57+(-37),999)</f>
        <v>999</v>
      </c>
      <c r="DA83" s="35">
        <f>IF(AND(79&lt;$B$31,$B$29&gt;0),(($B$33)-$B$59)*$B$57+(0),999)</f>
        <v>999</v>
      </c>
      <c r="DJ83" s="35">
        <f>IF($B$39=1,((-1)*MIN($B$8/2+0.05+IF(39&lt;INT(($B$49-0.05)/$B$47)+1,39*$B$47,INT(($B$49-0.05)/$B$47)*$B$47+(39-INT(($B$49-0.05)/$B$47))*$B$48),$B$4/2+$B$50-0.05))*$B$57+(-37),999)</f>
        <v>999</v>
      </c>
      <c r="DK83" s="35">
        <f>IF($B$39=1,(($B$6+$B$42)-$B$59)*$B$57+(0),999)</f>
        <v>999</v>
      </c>
      <c r="DL83" s="35">
        <f>IF($B$39=1,((1)*MIN($B$8/2+0.05+IF(39&lt;INT(($B$49-0.05)/$B$47)+1,39*$B$47,INT(($B$49-0.05)/$B$47)*$B$47+(39-INT(($B$49-0.05)/$B$47))*$B$48),$B$4/2+$B$50-0.05))*$B$57+(-37),999)</f>
        <v>999</v>
      </c>
      <c r="DM83" s="35">
        <f>IF($B$39=1,(($B$6+$B$42)-$B$59)*$B$57+(0),999)</f>
        <v>999</v>
      </c>
    </row>
    <row r="84" x14ac:dyDescent="0.3">
      <c r="A84" t="inlineStr">
        <is>
          <t>rótulo dovelas en planta</t>
        </is>
      </c>
      <c r="B84" t="str">
        <f>IF($B$38=1,"Dovelas: "&amp;$B$81&amp;" #"&amp;DATOS!$C$67&amp;" (mín. "&amp;$B$35&amp;") + estribo E#3 del dado","")</f>
        <v>Dovelas: 8 #6 (mín. 5) + estribo E#3 del dado</v>
      </c>
      <c r="P84" s="35">
        <f>IF(AND($B$18&gt;0),(IF(20&lt;$B$18,(-(($B$22-1)/2*$B$21)),IF(MOD($B$18-1,2)=0,(($B$22-1)/2*$B$21),(-(($B$22-1)/2*$B$21)))))*$B$53+(-38),999)</f>
        <v>-11.2307692307692</v>
      </c>
      <c r="Q84" s="35">
        <f>IF(AND($B$18&gt;0),(IF(20&lt;$B$18,(20-($B$18-1)/2)*$B$17,(($B$18-1)-($B$18-1)/2)*$B$17))*$B$53+(0),999)</f>
        <v>26.7692307692308</v>
      </c>
      <c r="R84" s="35">
        <f>IF(AND($B$22&gt;0),(IF(20&lt;$B$22,(20-($B$22-1)/2)*$B$21,(($B$22-1)-($B$22-1)/2)*$B$21))*$B$53+(-38),999)</f>
        <v>-11.2307692307692</v>
      </c>
      <c r="S84" s="35">
        <f>IF(AND($B$22&gt;0),(IF(20&lt;$B$22,(-(($B$18-1)/2*$B$17)),IF(MOD($B$22-1,2)=0,(($B$18-1)/2*$B$17),(-(($B$18-1)/2*$B$17)))))*$B$53+(0),999)</f>
        <v>26.7692307692308</v>
      </c>
      <c r="T84" s="35">
        <f>IF(AND($B$30&gt;0,$B$29&gt;0),(IF(20&lt;$B$30,(-(($B$31-1)/2*$B$29)),IF(MOD($B$30-1,2)=0,(($B$31-1)/2*$B$29),(-(($B$31-1)/2*$B$29)))))*$B$53+(-38),999)</f>
        <v>999</v>
      </c>
      <c r="U84" s="35">
        <f>IF(AND($B$30&gt;0,$B$29&gt;0),(IF(20&lt;$B$30,(20-($B$30-1)/2)*$B$29,(($B$30-1)-($B$30-1)/2)*$B$29))*$B$53+(0),999)</f>
        <v>999</v>
      </c>
      <c r="V84" s="35">
        <f>IF(AND($B$31&gt;0,$B$29&gt;0),(IF(20&lt;$B$31,(20-($B$31-1)/2)*$B$29,(($B$31-1)-($B$31-1)/2)*$B$29))*$B$53+(-38),999)</f>
        <v>999</v>
      </c>
      <c r="W84" s="35">
        <f>IF(AND($B$31&gt;0,$B$29&gt;0),(IF(20&lt;$B$31,(-(($B$30-1)/2*$B$29)),IF(MOD($B$31-1,2)=0,(($B$30-1)/2*$B$29),(-(($B$30-1)/2*$B$29)))))*$B$53+(0),999)</f>
        <v>999</v>
      </c>
    </row>
    <row r="85" spans="16:117" x14ac:dyDescent="0.3">
      <c r="P85" s="35">
        <f>IF(AND($B$18&gt;0),(IF(20&lt;$B$18,(-$B$4/2+$B$13),IF(MOD($B$18-1,2)=0,(($B$22-1)/2*$B$21),(-(($B$22-1)/2*$B$21)))))*$B$53+(-38),999)</f>
        <v>-11.2307692307692</v>
      </c>
      <c r="Q85" s="35">
        <f>IF(AND($B$18&gt;0),(IF(20&lt;$B$18,(20-($B$18-1)/2)*$B$17,(($B$18-1)-($B$18-1)/2)*$B$17))*$B$53+(0),999)</f>
        <v>26.7692307692308</v>
      </c>
      <c r="R85" s="35">
        <f>IF(AND($B$22&gt;0),(IF(20&lt;$B$22,(20-($B$22-1)/2)*$B$21,(($B$22-1)-($B$22-1)/2)*$B$21))*$B$53+(-38),999)</f>
        <v>-11.2307692307692</v>
      </c>
      <c r="S85" s="35">
        <f>IF(AND($B$22&gt;0),(IF(20&lt;$B$22,(-$B$5/2+IF($B$3=3,0,$B$13)),IF(MOD($B$22-1,2)=0,(($B$18-1)/2*$B$17),(-(($B$18-1)/2*$B$17)))))*$B$53+(0),999)</f>
        <v>26.7692307692308</v>
      </c>
      <c r="T85" s="35">
        <f>IF(AND($B$30&gt;0,$B$29&gt;0),(IF(20&lt;$B$30,(-$B$4/2+$B$13),IF(MOD($B$30-1,2)=0,(($B$31-1)/2*$B$29),(-(($B$31-1)/2*$B$29)))))*$B$53+(-38),999)</f>
        <v>999</v>
      </c>
      <c r="U85" s="35">
        <f>IF(AND($B$30&gt;0,$B$29&gt;0),(IF(20&lt;$B$30,(20-($B$30-1)/2)*$B$29,(($B$30-1)-($B$30-1)/2)*$B$29))*$B$53+(0),999)</f>
        <v>999</v>
      </c>
      <c r="V85" s="35">
        <f>IF(AND($B$31&gt;0,$B$29&gt;0),(IF(20&lt;$B$31,(20-($B$31-1)/2)*$B$29,(($B$31-1)-($B$31-1)/2)*$B$29))*$B$53+(-38),999)</f>
        <v>999</v>
      </c>
      <c r="W85" s="35">
        <f>IF(AND($B$31&gt;0,$B$29&gt;0),(IF(20&lt;$B$31,(-$B$5/2+$B$13),IF(MOD($B$31-1,2)=0,(($B$30-1)/2*$B$29),(-(($B$30-1)/2*$B$29)))))*$B$53+(0),999)</f>
        <v>999</v>
      </c>
    </row>
    <row r="86" spans="16:117" x14ac:dyDescent="0.3">
      <c r="P86" s="35">
        <f>IF(AND($B$18&gt;0),(IF(20&lt;$B$18,($B$4/2-$B$13),IF(MOD($B$18-1,2)=0,(($B$22-1)/2*$B$21),(-(($B$22-1)/2*$B$21)))))*$B$53+(-38),999)</f>
        <v>-11.2307692307692</v>
      </c>
      <c r="Q86" s="35">
        <f>IF(AND($B$18&gt;0),(IF(20&lt;$B$18,(20-($B$18-1)/2)*$B$17,(($B$18-1)-($B$18-1)/2)*$B$17))*$B$53+(0),999)</f>
        <v>26.7692307692308</v>
      </c>
      <c r="R86" s="35">
        <f>IF(AND($B$22&gt;0),(IF(20&lt;$B$22,(20-($B$22-1)/2)*$B$21,(($B$22-1)-($B$22-1)/2)*$B$21))*$B$53+(-38),999)</f>
        <v>-11.2307692307692</v>
      </c>
      <c r="S86" s="35">
        <f>IF(AND($B$22&gt;0),(IF(20&lt;$B$22,($B$5/2-IF($B$3=3,0,$B$13)),IF(MOD($B$22-1,2)=0,(($B$18-1)/2*$B$17),(-(($B$18-1)/2*$B$17)))))*$B$53+(0),999)</f>
        <v>26.7692307692308</v>
      </c>
      <c r="T86" s="35">
        <f>IF(AND($B$30&gt;0,$B$29&gt;0),(IF(20&lt;$B$30,($B$4/2-$B$13),IF(MOD($B$30-1,2)=0,(($B$31-1)/2*$B$29),(-(($B$31-1)/2*$B$29)))))*$B$53+(-38),999)</f>
        <v>999</v>
      </c>
      <c r="U86" s="35">
        <f>IF(AND($B$30&gt;0,$B$29&gt;0),(IF(20&lt;$B$30,(20-($B$30-1)/2)*$B$29,(($B$30-1)-($B$30-1)/2)*$B$29))*$B$53+(0),999)</f>
        <v>999</v>
      </c>
      <c r="V86" s="35">
        <f>IF(AND($B$31&gt;0,$B$29&gt;0),(IF(20&lt;$B$31,(20-($B$31-1)/2)*$B$29,(($B$31-1)-($B$31-1)/2)*$B$29))*$B$53+(-38),999)</f>
        <v>999</v>
      </c>
      <c r="W86" s="35">
        <f>IF(AND($B$31&gt;0,$B$29&gt;0),(IF(20&lt;$B$31,($B$5/2-$B$13),IF(MOD($B$31-1,2)=0,(($B$30-1)/2*$B$29),(-(($B$30-1)/2*$B$29)))))*$B$53+(0),999)</f>
        <v>999</v>
      </c>
    </row>
    <row r="87" spans="16:117" x14ac:dyDescent="0.3">
      <c r="P87" s="35">
        <f>IF(AND($B$18&gt;0),(IF(20&lt;$B$18,(($B$22-1)/2*$B$21),IF(MOD($B$18-1,2)=0,(($B$22-1)/2*$B$21),(-(($B$22-1)/2*$B$21)))))*$B$53+(-38),999)</f>
        <v>-11.2307692307692</v>
      </c>
      <c r="Q87" s="35">
        <f>IF(AND($B$18&gt;0),(IF(20&lt;$B$18,(20-($B$18-1)/2)*$B$17,(($B$18-1)-($B$18-1)/2)*$B$17))*$B$53+(0),999)</f>
        <v>26.7692307692308</v>
      </c>
      <c r="R87" s="35">
        <f>IF(AND($B$22&gt;0),(IF(20&lt;$B$22,(20-($B$22-1)/2)*$B$21,(($B$22-1)-($B$22-1)/2)*$B$21))*$B$53+(-38),999)</f>
        <v>-11.2307692307692</v>
      </c>
      <c r="S87" s="35">
        <f>IF(AND($B$22&gt;0),(IF(20&lt;$B$22,(($B$18-1)/2*$B$17),IF(MOD($B$22-1,2)=0,(($B$18-1)/2*$B$17),(-(($B$18-1)/2*$B$17)))))*$B$53+(0),999)</f>
        <v>26.7692307692308</v>
      </c>
      <c r="T87" s="35">
        <f>IF(AND($B$30&gt;0,$B$29&gt;0),(IF(20&lt;$B$30,(($B$31-1)/2*$B$29),IF(MOD($B$30-1,2)=0,(($B$31-1)/2*$B$29),(-(($B$31-1)/2*$B$29)))))*$B$53+(-38),999)</f>
        <v>999</v>
      </c>
      <c r="U87" s="35">
        <f>IF(AND($B$30&gt;0,$B$29&gt;0),(IF(20&lt;$B$30,(20-($B$30-1)/2)*$B$29,(($B$30-1)-($B$30-1)/2)*$B$29))*$B$53+(0),999)</f>
        <v>999</v>
      </c>
      <c r="V87" s="35">
        <f>IF(AND($B$31&gt;0,$B$29&gt;0),(IF(20&lt;$B$31,(20-($B$31-1)/2)*$B$29,(($B$31-1)-($B$31-1)/2)*$B$29))*$B$53+(-38),999)</f>
        <v>999</v>
      </c>
      <c r="W87" s="35">
        <f>IF(AND($B$31&gt;0,$B$29&gt;0),(IF(20&lt;$B$31,(($B$30-1)/2*$B$29),IF(MOD($B$31-1,2)=0,(($B$30-1)/2*$B$29),(-(($B$30-1)/2*$B$29)))))*$B$53+(0),999)</f>
        <v>999</v>
      </c>
    </row>
    <row r="88" spans="16:117" x14ac:dyDescent="0.3">
      <c r="P88" s="35">
        <f>IF(AND($B$18&gt;0),(IF(21&lt;$B$18,(($B$22-1)/2*$B$21),IF(MOD($B$18-1,2)=0,(($B$22-1)/2*$B$21),(-(($B$22-1)/2*$B$21)))))*$B$53+(-38),999)</f>
        <v>-11.2307692307692</v>
      </c>
      <c r="Q88" s="35">
        <f>IF(AND($B$18&gt;0),(IF(21&lt;$B$18,(21-($B$18-1)/2)*$B$17,(($B$18-1)-($B$18-1)/2)*$B$17))*$B$53+(0),999)</f>
        <v>26.7692307692308</v>
      </c>
      <c r="R88" s="35">
        <f>IF(AND($B$22&gt;0),(IF(21&lt;$B$22,(21-($B$22-1)/2)*$B$21,(($B$22-1)-($B$22-1)/2)*$B$21))*$B$53+(-38),999)</f>
        <v>-11.2307692307692</v>
      </c>
      <c r="S88" s="35">
        <f>IF(AND($B$22&gt;0),(IF(21&lt;$B$22,(($B$18-1)/2*$B$17),IF(MOD($B$22-1,2)=0,(($B$18-1)/2*$B$17),(-(($B$18-1)/2*$B$17)))))*$B$53+(0),999)</f>
        <v>26.7692307692308</v>
      </c>
      <c r="T88" s="35">
        <f>IF(AND($B$30&gt;0,$B$29&gt;0),(IF(21&lt;$B$30,(($B$31-1)/2*$B$29),IF(MOD($B$30-1,2)=0,(($B$31-1)/2*$B$29),(-(($B$31-1)/2*$B$29)))))*$B$53+(-38),999)</f>
        <v>999</v>
      </c>
      <c r="U88" s="35">
        <f>IF(AND($B$30&gt;0,$B$29&gt;0),(IF(21&lt;$B$30,(21-($B$30-1)/2)*$B$29,(($B$30-1)-($B$30-1)/2)*$B$29))*$B$53+(0),999)</f>
        <v>999</v>
      </c>
      <c r="V88" s="35">
        <f>IF(AND($B$31&gt;0,$B$29&gt;0),(IF(21&lt;$B$31,(21-($B$31-1)/2)*$B$29,(($B$31-1)-($B$31-1)/2)*$B$29))*$B$53+(-38),999)</f>
        <v>999</v>
      </c>
      <c r="W88" s="35">
        <f>IF(AND($B$31&gt;0,$B$29&gt;0),(IF(21&lt;$B$31,(($B$30-1)/2*$B$29),IF(MOD($B$31-1,2)=0,(($B$30-1)/2*$B$29),(-(($B$30-1)/2*$B$29)))))*$B$53+(0),999)</f>
        <v>999</v>
      </c>
    </row>
    <row r="89" spans="16:117" x14ac:dyDescent="0.3">
      <c r="P89" s="35">
        <f>IF(AND($B$18&gt;0),(IF(21&lt;$B$18,($B$4/2-$B$13),IF(MOD($B$18-1,2)=0,(($B$22-1)/2*$B$21),(-(($B$22-1)/2*$B$21)))))*$B$53+(-38),999)</f>
        <v>-11.2307692307692</v>
      </c>
      <c r="Q89" s="35">
        <f>IF(AND($B$18&gt;0),(IF(21&lt;$B$18,(21-($B$18-1)/2)*$B$17,(($B$18-1)-($B$18-1)/2)*$B$17))*$B$53+(0),999)</f>
        <v>26.7692307692308</v>
      </c>
      <c r="R89" s="35">
        <f>IF(AND($B$22&gt;0),(IF(21&lt;$B$22,(21-($B$22-1)/2)*$B$21,(($B$22-1)-($B$22-1)/2)*$B$21))*$B$53+(-38),999)</f>
        <v>-11.2307692307692</v>
      </c>
      <c r="S89" s="35">
        <f>IF(AND($B$22&gt;0),(IF(21&lt;$B$22,($B$5/2-IF($B$3=3,0,$B$13)),IF(MOD($B$22-1,2)=0,(($B$18-1)/2*$B$17),(-(($B$18-1)/2*$B$17)))))*$B$53+(0),999)</f>
        <v>26.7692307692308</v>
      </c>
      <c r="T89" s="35">
        <f>IF(AND($B$30&gt;0,$B$29&gt;0),(IF(21&lt;$B$30,($B$4/2-$B$13),IF(MOD($B$30-1,2)=0,(($B$31-1)/2*$B$29),(-(($B$31-1)/2*$B$29)))))*$B$53+(-38),999)</f>
        <v>999</v>
      </c>
      <c r="U89" s="35">
        <f>IF(AND($B$30&gt;0,$B$29&gt;0),(IF(21&lt;$B$30,(21-($B$30-1)/2)*$B$29,(($B$30-1)-($B$30-1)/2)*$B$29))*$B$53+(0),999)</f>
        <v>999</v>
      </c>
      <c r="V89" s="35">
        <f>IF(AND($B$31&gt;0,$B$29&gt;0),(IF(21&lt;$B$31,(21-($B$31-1)/2)*$B$29,(($B$31-1)-($B$31-1)/2)*$B$29))*$B$53+(-38),999)</f>
        <v>999</v>
      </c>
      <c r="W89" s="35">
        <f>IF(AND($B$31&gt;0,$B$29&gt;0),(IF(21&lt;$B$31,($B$5/2-$B$13),IF(MOD($B$31-1,2)=0,(($B$30-1)/2*$B$29),(-(($B$30-1)/2*$B$29)))))*$B$53+(0),999)</f>
        <v>999</v>
      </c>
    </row>
    <row r="90" spans="16:117" x14ac:dyDescent="0.3">
      <c r="P90" s="35">
        <f>IF(AND($B$18&gt;0),(IF(21&lt;$B$18,(-$B$4/2+$B$13),IF(MOD($B$18-1,2)=0,(($B$22-1)/2*$B$21),(-(($B$22-1)/2*$B$21)))))*$B$53+(-38),999)</f>
        <v>-11.2307692307692</v>
      </c>
      <c r="Q90" s="35">
        <f>IF(AND($B$18&gt;0),(IF(21&lt;$B$18,(21-($B$18-1)/2)*$B$17,(($B$18-1)-($B$18-1)/2)*$B$17))*$B$53+(0),999)</f>
        <v>26.7692307692308</v>
      </c>
      <c r="R90" s="35">
        <f>IF(AND($B$22&gt;0),(IF(21&lt;$B$22,(21-($B$22-1)/2)*$B$21,(($B$22-1)-($B$22-1)/2)*$B$21))*$B$53+(-38),999)</f>
        <v>-11.2307692307692</v>
      </c>
      <c r="S90" s="35">
        <f>IF(AND($B$22&gt;0),(IF(21&lt;$B$22,(-$B$5/2+IF($B$3=3,0,$B$13)),IF(MOD($B$22-1,2)=0,(($B$18-1)/2*$B$17),(-(($B$18-1)/2*$B$17)))))*$B$53+(0),999)</f>
        <v>26.7692307692308</v>
      </c>
      <c r="T90" s="35">
        <f>IF(AND($B$30&gt;0,$B$29&gt;0),(IF(21&lt;$B$30,(-$B$4/2+$B$13),IF(MOD($B$30-1,2)=0,(($B$31-1)/2*$B$29),(-(($B$31-1)/2*$B$29)))))*$B$53+(-38),999)</f>
        <v>999</v>
      </c>
      <c r="U90" s="35">
        <f>IF(AND($B$30&gt;0,$B$29&gt;0),(IF(21&lt;$B$30,(21-($B$30-1)/2)*$B$29,(($B$30-1)-($B$30-1)/2)*$B$29))*$B$53+(0),999)</f>
        <v>999</v>
      </c>
      <c r="V90" s="35">
        <f>IF(AND($B$31&gt;0,$B$29&gt;0),(IF(21&lt;$B$31,(21-($B$31-1)/2)*$B$29,(($B$31-1)-($B$31-1)/2)*$B$29))*$B$53+(-38),999)</f>
        <v>999</v>
      </c>
      <c r="W90" s="35">
        <f>IF(AND($B$31&gt;0,$B$29&gt;0),(IF(21&lt;$B$31,(-$B$5/2+$B$13),IF(MOD($B$31-1,2)=0,(($B$30-1)/2*$B$29),(-(($B$30-1)/2*$B$29)))))*$B$53+(0),999)</f>
        <v>999</v>
      </c>
    </row>
    <row r="91" spans="16:117" x14ac:dyDescent="0.3">
      <c r="P91" s="35">
        <f>IF(AND($B$18&gt;0),(IF(21&lt;$B$18,(-(($B$22-1)/2*$B$21)),IF(MOD($B$18-1,2)=0,(($B$22-1)/2*$B$21),(-(($B$22-1)/2*$B$21)))))*$B$53+(-38),999)</f>
        <v>-11.2307692307692</v>
      </c>
      <c r="Q91" s="35">
        <f>IF(AND($B$18&gt;0),(IF(21&lt;$B$18,(21-($B$18-1)/2)*$B$17,(($B$18-1)-($B$18-1)/2)*$B$17))*$B$53+(0),999)</f>
        <v>26.7692307692308</v>
      </c>
      <c r="R91" s="35">
        <f>IF(AND($B$22&gt;0),(IF(21&lt;$B$22,(21-($B$22-1)/2)*$B$21,(($B$22-1)-($B$22-1)/2)*$B$21))*$B$53+(-38),999)</f>
        <v>-11.2307692307692</v>
      </c>
      <c r="S91" s="35">
        <f>IF(AND($B$22&gt;0),(IF(21&lt;$B$22,(-(($B$18-1)/2*$B$17)),IF(MOD($B$22-1,2)=0,(($B$18-1)/2*$B$17),(-(($B$18-1)/2*$B$17)))))*$B$53+(0),999)</f>
        <v>26.7692307692308</v>
      </c>
      <c r="T91" s="35">
        <f>IF(AND($B$30&gt;0,$B$29&gt;0),(IF(21&lt;$B$30,(-(($B$31-1)/2*$B$29)),IF(MOD($B$30-1,2)=0,(($B$31-1)/2*$B$29),(-(($B$31-1)/2*$B$29)))))*$B$53+(-38),999)</f>
        <v>999</v>
      </c>
      <c r="U91" s="35">
        <f>IF(AND($B$30&gt;0,$B$29&gt;0),(IF(21&lt;$B$30,(21-($B$30-1)/2)*$B$29,(($B$30-1)-($B$30-1)/2)*$B$29))*$B$53+(0),999)</f>
        <v>999</v>
      </c>
      <c r="V91" s="35">
        <f>IF(AND($B$31&gt;0,$B$29&gt;0),(IF(21&lt;$B$31,(21-($B$31-1)/2)*$B$29,(($B$31-1)-($B$31-1)/2)*$B$29))*$B$53+(-38),999)</f>
        <v>999</v>
      </c>
      <c r="W91" s="35">
        <f>IF(AND($B$31&gt;0,$B$29&gt;0),(IF(21&lt;$B$31,(-(($B$30-1)/2*$B$29)),IF(MOD($B$31-1,2)=0,(($B$30-1)/2*$B$29),(-(($B$30-1)/2*$B$29)))))*$B$53+(0),999)</f>
        <v>999</v>
      </c>
    </row>
    <row r="92" spans="16:117" x14ac:dyDescent="0.3">
      <c r="P92" s="35">
        <f>IF(AND($B$18&gt;0),(IF(22&lt;$B$18,(-(($B$22-1)/2*$B$21)),IF(MOD($B$18-1,2)=0,(($B$22-1)/2*$B$21),(-(($B$22-1)/2*$B$21)))))*$B$53+(-38),999)</f>
        <v>-11.2307692307692</v>
      </c>
      <c r="Q92" s="35">
        <f>IF(AND($B$18&gt;0),(IF(22&lt;$B$18,(22-($B$18-1)/2)*$B$17,(($B$18-1)-($B$18-1)/2)*$B$17))*$B$53+(0),999)</f>
        <v>26.7692307692308</v>
      </c>
      <c r="R92" s="35">
        <f>IF(AND($B$22&gt;0),(IF(22&lt;$B$22,(22-($B$22-1)/2)*$B$21,(($B$22-1)-($B$22-1)/2)*$B$21))*$B$53+(-38),999)</f>
        <v>-11.2307692307692</v>
      </c>
      <c r="S92" s="35">
        <f>IF(AND($B$22&gt;0),(IF(22&lt;$B$22,(-(($B$18-1)/2*$B$17)),IF(MOD($B$22-1,2)=0,(($B$18-1)/2*$B$17),(-(($B$18-1)/2*$B$17)))))*$B$53+(0),999)</f>
        <v>26.7692307692308</v>
      </c>
      <c r="T92" s="35">
        <f>IF(AND($B$30&gt;0,$B$29&gt;0),(IF(22&lt;$B$30,(-(($B$31-1)/2*$B$29)),IF(MOD($B$30-1,2)=0,(($B$31-1)/2*$B$29),(-(($B$31-1)/2*$B$29)))))*$B$53+(-38),999)</f>
        <v>999</v>
      </c>
      <c r="U92" s="35">
        <f>IF(AND($B$30&gt;0,$B$29&gt;0),(IF(22&lt;$B$30,(22-($B$30-1)/2)*$B$29,(($B$30-1)-($B$30-1)/2)*$B$29))*$B$53+(0),999)</f>
        <v>999</v>
      </c>
      <c r="V92" s="35">
        <f>IF(AND($B$31&gt;0,$B$29&gt;0),(IF(22&lt;$B$31,(22-($B$31-1)/2)*$B$29,(($B$31-1)-($B$31-1)/2)*$B$29))*$B$53+(-38),999)</f>
        <v>999</v>
      </c>
      <c r="W92" s="35">
        <f>IF(AND($B$31&gt;0,$B$29&gt;0),(IF(22&lt;$B$31,(-(($B$30-1)/2*$B$29)),IF(MOD($B$31-1,2)=0,(($B$30-1)/2*$B$29),(-(($B$30-1)/2*$B$29)))))*$B$53+(0),999)</f>
        <v>999</v>
      </c>
    </row>
    <row r="93" spans="16:117" x14ac:dyDescent="0.3">
      <c r="P93" s="35">
        <f>IF(AND($B$18&gt;0),(IF(22&lt;$B$18,(-$B$4/2+$B$13),IF(MOD($B$18-1,2)=0,(($B$22-1)/2*$B$21),(-(($B$22-1)/2*$B$21)))))*$B$53+(-38),999)</f>
        <v>-11.2307692307692</v>
      </c>
      <c r="Q93" s="35">
        <f>IF(AND($B$18&gt;0),(IF(22&lt;$B$18,(22-($B$18-1)/2)*$B$17,(($B$18-1)-($B$18-1)/2)*$B$17))*$B$53+(0),999)</f>
        <v>26.7692307692308</v>
      </c>
      <c r="R93" s="35">
        <f>IF(AND($B$22&gt;0),(IF(22&lt;$B$22,(22-($B$22-1)/2)*$B$21,(($B$22-1)-($B$22-1)/2)*$B$21))*$B$53+(-38),999)</f>
        <v>-11.2307692307692</v>
      </c>
      <c r="S93" s="35">
        <f>IF(AND($B$22&gt;0),(IF(22&lt;$B$22,(-$B$5/2+IF($B$3=3,0,$B$13)),IF(MOD($B$22-1,2)=0,(($B$18-1)/2*$B$17),(-(($B$18-1)/2*$B$17)))))*$B$53+(0),999)</f>
        <v>26.7692307692308</v>
      </c>
      <c r="T93" s="35">
        <f>IF(AND($B$30&gt;0,$B$29&gt;0),(IF(22&lt;$B$30,(-$B$4/2+$B$13),IF(MOD($B$30-1,2)=0,(($B$31-1)/2*$B$29),(-(($B$31-1)/2*$B$29)))))*$B$53+(-38),999)</f>
        <v>999</v>
      </c>
      <c r="U93" s="35">
        <f>IF(AND($B$30&gt;0,$B$29&gt;0),(IF(22&lt;$B$30,(22-($B$30-1)/2)*$B$29,(($B$30-1)-($B$30-1)/2)*$B$29))*$B$53+(0),999)</f>
        <v>999</v>
      </c>
      <c r="V93" s="35">
        <f>IF(AND($B$31&gt;0,$B$29&gt;0),(IF(22&lt;$B$31,(22-($B$31-1)/2)*$B$29,(($B$31-1)-($B$31-1)/2)*$B$29))*$B$53+(-38),999)</f>
        <v>999</v>
      </c>
      <c r="W93" s="35">
        <f>IF(AND($B$31&gt;0,$B$29&gt;0),(IF(22&lt;$B$31,(-$B$5/2+$B$13),IF(MOD($B$31-1,2)=0,(($B$30-1)/2*$B$29),(-(($B$30-1)/2*$B$29)))))*$B$53+(0),999)</f>
        <v>999</v>
      </c>
    </row>
    <row r="94" spans="16:117" x14ac:dyDescent="0.3">
      <c r="P94" s="35">
        <f>IF(AND($B$18&gt;0),(IF(22&lt;$B$18,($B$4/2-$B$13),IF(MOD($B$18-1,2)=0,(($B$22-1)/2*$B$21),(-(($B$22-1)/2*$B$21)))))*$B$53+(-38),999)</f>
        <v>-11.2307692307692</v>
      </c>
      <c r="Q94" s="35">
        <f>IF(AND($B$18&gt;0),(IF(22&lt;$B$18,(22-($B$18-1)/2)*$B$17,(($B$18-1)-($B$18-1)/2)*$B$17))*$B$53+(0),999)</f>
        <v>26.7692307692308</v>
      </c>
      <c r="R94" s="35">
        <f>IF(AND($B$22&gt;0),(IF(22&lt;$B$22,(22-($B$22-1)/2)*$B$21,(($B$22-1)-($B$22-1)/2)*$B$21))*$B$53+(-38),999)</f>
        <v>-11.2307692307692</v>
      </c>
      <c r="S94" s="35">
        <f>IF(AND($B$22&gt;0),(IF(22&lt;$B$22,($B$5/2-IF($B$3=3,0,$B$13)),IF(MOD($B$22-1,2)=0,(($B$18-1)/2*$B$17),(-(($B$18-1)/2*$B$17)))))*$B$53+(0),999)</f>
        <v>26.7692307692308</v>
      </c>
      <c r="T94" s="35">
        <f>IF(AND($B$30&gt;0,$B$29&gt;0),(IF(22&lt;$B$30,($B$4/2-$B$13),IF(MOD($B$30-1,2)=0,(($B$31-1)/2*$B$29),(-(($B$31-1)/2*$B$29)))))*$B$53+(-38),999)</f>
        <v>999</v>
      </c>
      <c r="U94" s="35">
        <f>IF(AND($B$30&gt;0,$B$29&gt;0),(IF(22&lt;$B$30,(22-($B$30-1)/2)*$B$29,(($B$30-1)-($B$30-1)/2)*$B$29))*$B$53+(0),999)</f>
        <v>999</v>
      </c>
      <c r="V94" s="35">
        <f>IF(AND($B$31&gt;0,$B$29&gt;0),(IF(22&lt;$B$31,(22-($B$31-1)/2)*$B$29,(($B$31-1)-($B$31-1)/2)*$B$29))*$B$53+(-38),999)</f>
        <v>999</v>
      </c>
      <c r="W94" s="35">
        <f>IF(AND($B$31&gt;0,$B$29&gt;0),(IF(22&lt;$B$31,($B$5/2-$B$13),IF(MOD($B$31-1,2)=0,(($B$30-1)/2*$B$29),(-(($B$30-1)/2*$B$29)))))*$B$53+(0),999)</f>
        <v>999</v>
      </c>
    </row>
    <row r="95" spans="16:117" x14ac:dyDescent="0.3">
      <c r="P95" s="35">
        <f>IF(AND($B$18&gt;0),(IF(22&lt;$B$18,(($B$22-1)/2*$B$21),IF(MOD($B$18-1,2)=0,(($B$22-1)/2*$B$21),(-(($B$22-1)/2*$B$21)))))*$B$53+(-38),999)</f>
        <v>-11.2307692307692</v>
      </c>
      <c r="Q95" s="35">
        <f>IF(AND($B$18&gt;0),(IF(22&lt;$B$18,(22-($B$18-1)/2)*$B$17,(($B$18-1)-($B$18-1)/2)*$B$17))*$B$53+(0),999)</f>
        <v>26.7692307692308</v>
      </c>
      <c r="R95" s="35">
        <f>IF(AND($B$22&gt;0),(IF(22&lt;$B$22,(22-($B$22-1)/2)*$B$21,(($B$22-1)-($B$22-1)/2)*$B$21))*$B$53+(-38),999)</f>
        <v>-11.2307692307692</v>
      </c>
      <c r="S95" s="35">
        <f>IF(AND($B$22&gt;0),(IF(22&lt;$B$22,(($B$18-1)/2*$B$17),IF(MOD($B$22-1,2)=0,(($B$18-1)/2*$B$17),(-(($B$18-1)/2*$B$17)))))*$B$53+(0),999)</f>
        <v>26.7692307692308</v>
      </c>
      <c r="T95" s="35">
        <f>IF(AND($B$30&gt;0,$B$29&gt;0),(IF(22&lt;$B$30,(($B$31-1)/2*$B$29),IF(MOD($B$30-1,2)=0,(($B$31-1)/2*$B$29),(-(($B$31-1)/2*$B$29)))))*$B$53+(-38),999)</f>
        <v>999</v>
      </c>
      <c r="U95" s="35">
        <f>IF(AND($B$30&gt;0,$B$29&gt;0),(IF(22&lt;$B$30,(22-($B$30-1)/2)*$B$29,(($B$30-1)-($B$30-1)/2)*$B$29))*$B$53+(0),999)</f>
        <v>999</v>
      </c>
      <c r="V95" s="35">
        <f>IF(AND($B$31&gt;0,$B$29&gt;0),(IF(22&lt;$B$31,(22-($B$31-1)/2)*$B$29,(($B$31-1)-($B$31-1)/2)*$B$29))*$B$53+(-38),999)</f>
        <v>999</v>
      </c>
      <c r="W95" s="35">
        <f>IF(AND($B$31&gt;0,$B$29&gt;0),(IF(22&lt;$B$31,(($B$30-1)/2*$B$29),IF(MOD($B$31-1,2)=0,(($B$30-1)/2*$B$29),(-(($B$30-1)/2*$B$29)))))*$B$53+(0),999)</f>
        <v>999</v>
      </c>
    </row>
    <row r="96" spans="16:117" x14ac:dyDescent="0.3">
      <c r="P96" s="35">
        <f>IF(AND($B$18&gt;0),(IF(23&lt;$B$18,(($B$22-1)/2*$B$21),IF(MOD($B$18-1,2)=0,(($B$22-1)/2*$B$21),(-(($B$22-1)/2*$B$21)))))*$B$53+(-38),999)</f>
        <v>-11.2307692307692</v>
      </c>
      <c r="Q96" s="35">
        <f>IF(AND($B$18&gt;0),(IF(23&lt;$B$18,(23-($B$18-1)/2)*$B$17,(($B$18-1)-($B$18-1)/2)*$B$17))*$B$53+(0),999)</f>
        <v>26.7692307692308</v>
      </c>
      <c r="R96" s="35">
        <f>IF(AND($B$22&gt;0),(IF(23&lt;$B$22,(23-($B$22-1)/2)*$B$21,(($B$22-1)-($B$22-1)/2)*$B$21))*$B$53+(-38),999)</f>
        <v>-11.2307692307692</v>
      </c>
      <c r="S96" s="35">
        <f>IF(AND($B$22&gt;0),(IF(23&lt;$B$22,(($B$18-1)/2*$B$17),IF(MOD($B$22-1,2)=0,(($B$18-1)/2*$B$17),(-(($B$18-1)/2*$B$17)))))*$B$53+(0),999)</f>
        <v>26.7692307692308</v>
      </c>
      <c r="T96" s="35">
        <f>IF(AND($B$30&gt;0,$B$29&gt;0),(IF(23&lt;$B$30,(($B$31-1)/2*$B$29),IF(MOD($B$30-1,2)=0,(($B$31-1)/2*$B$29),(-(($B$31-1)/2*$B$29)))))*$B$53+(-38),999)</f>
        <v>999</v>
      </c>
      <c r="U96" s="35">
        <f>IF(AND($B$30&gt;0,$B$29&gt;0),(IF(23&lt;$B$30,(23-($B$30-1)/2)*$B$29,(($B$30-1)-($B$30-1)/2)*$B$29))*$B$53+(0),999)</f>
        <v>999</v>
      </c>
      <c r="V96" s="35">
        <f>IF(AND($B$31&gt;0,$B$29&gt;0),(IF(23&lt;$B$31,(23-($B$31-1)/2)*$B$29,(($B$31-1)-($B$31-1)/2)*$B$29))*$B$53+(-38),999)</f>
        <v>999</v>
      </c>
      <c r="W96" s="35">
        <f>IF(AND($B$31&gt;0,$B$29&gt;0),(IF(23&lt;$B$31,(($B$30-1)/2*$B$29),IF(MOD($B$31-1,2)=0,(($B$30-1)/2*$B$29),(-(($B$30-1)/2*$B$29)))))*$B$53+(0),999)</f>
        <v>999</v>
      </c>
    </row>
    <row r="97" spans="16:23" x14ac:dyDescent="0.3">
      <c r="P97" s="35">
        <f>IF(AND($B$18&gt;0),(IF(23&lt;$B$18,($B$4/2-$B$13),IF(MOD($B$18-1,2)=0,(($B$22-1)/2*$B$21),(-(($B$22-1)/2*$B$21)))))*$B$53+(-38),999)</f>
        <v>-11.2307692307692</v>
      </c>
      <c r="Q97" s="35">
        <f>IF(AND($B$18&gt;0),(IF(23&lt;$B$18,(23-($B$18-1)/2)*$B$17,(($B$18-1)-($B$18-1)/2)*$B$17))*$B$53+(0),999)</f>
        <v>26.7692307692308</v>
      </c>
      <c r="R97" s="35">
        <f>IF(AND($B$22&gt;0),(IF(23&lt;$B$22,(23-($B$22-1)/2)*$B$21,(($B$22-1)-($B$22-1)/2)*$B$21))*$B$53+(-38),999)</f>
        <v>-11.2307692307692</v>
      </c>
      <c r="S97" s="35">
        <f>IF(AND($B$22&gt;0),(IF(23&lt;$B$22,($B$5/2-IF($B$3=3,0,$B$13)),IF(MOD($B$22-1,2)=0,(($B$18-1)/2*$B$17),(-(($B$18-1)/2*$B$17)))))*$B$53+(0),999)</f>
        <v>26.7692307692308</v>
      </c>
      <c r="T97" s="35">
        <f>IF(AND($B$30&gt;0,$B$29&gt;0),(IF(23&lt;$B$30,($B$4/2-$B$13),IF(MOD($B$30-1,2)=0,(($B$31-1)/2*$B$29),(-(($B$31-1)/2*$B$29)))))*$B$53+(-38),999)</f>
        <v>999</v>
      </c>
      <c r="U97" s="35">
        <f>IF(AND($B$30&gt;0,$B$29&gt;0),(IF(23&lt;$B$30,(23-($B$30-1)/2)*$B$29,(($B$30-1)-($B$30-1)/2)*$B$29))*$B$53+(0),999)</f>
        <v>999</v>
      </c>
      <c r="V97" s="35">
        <f>IF(AND($B$31&gt;0,$B$29&gt;0),(IF(23&lt;$B$31,(23-($B$31-1)/2)*$B$29,(($B$31-1)-($B$31-1)/2)*$B$29))*$B$53+(-38),999)</f>
        <v>999</v>
      </c>
      <c r="W97" s="35">
        <f>IF(AND($B$31&gt;0,$B$29&gt;0),(IF(23&lt;$B$31,($B$5/2-$B$13),IF(MOD($B$31-1,2)=0,(($B$30-1)/2*$B$29),(-(($B$30-1)/2*$B$29)))))*$B$53+(0),999)</f>
        <v>999</v>
      </c>
    </row>
    <row r="98" spans="16:23" x14ac:dyDescent="0.3">
      <c r="P98" s="35">
        <f>IF(AND($B$18&gt;0),(IF(23&lt;$B$18,(-$B$4/2+$B$13),IF(MOD($B$18-1,2)=0,(($B$22-1)/2*$B$21),(-(($B$22-1)/2*$B$21)))))*$B$53+(-38),999)</f>
        <v>-11.2307692307692</v>
      </c>
      <c r="Q98" s="35">
        <f>IF(AND($B$18&gt;0),(IF(23&lt;$B$18,(23-($B$18-1)/2)*$B$17,(($B$18-1)-($B$18-1)/2)*$B$17))*$B$53+(0),999)</f>
        <v>26.7692307692308</v>
      </c>
      <c r="R98" s="35">
        <f>IF(AND($B$22&gt;0),(IF(23&lt;$B$22,(23-($B$22-1)/2)*$B$21,(($B$22-1)-($B$22-1)/2)*$B$21))*$B$53+(-38),999)</f>
        <v>-11.2307692307692</v>
      </c>
      <c r="S98" s="35">
        <f>IF(AND($B$22&gt;0),(IF(23&lt;$B$22,(-$B$5/2+IF($B$3=3,0,$B$13)),IF(MOD($B$22-1,2)=0,(($B$18-1)/2*$B$17),(-(($B$18-1)/2*$B$17)))))*$B$53+(0),999)</f>
        <v>26.7692307692308</v>
      </c>
      <c r="T98" s="35">
        <f>IF(AND($B$30&gt;0,$B$29&gt;0),(IF(23&lt;$B$30,(-$B$4/2+$B$13),IF(MOD($B$30-1,2)=0,(($B$31-1)/2*$B$29),(-(($B$31-1)/2*$B$29)))))*$B$53+(-38),999)</f>
        <v>999</v>
      </c>
      <c r="U98" s="35">
        <f>IF(AND($B$30&gt;0,$B$29&gt;0),(IF(23&lt;$B$30,(23-($B$30-1)/2)*$B$29,(($B$30-1)-($B$30-1)/2)*$B$29))*$B$53+(0),999)</f>
        <v>999</v>
      </c>
      <c r="V98" s="35">
        <f>IF(AND($B$31&gt;0,$B$29&gt;0),(IF(23&lt;$B$31,(23-($B$31-1)/2)*$B$29,(($B$31-1)-($B$31-1)/2)*$B$29))*$B$53+(-38),999)</f>
        <v>999</v>
      </c>
      <c r="W98" s="35">
        <f>IF(AND($B$31&gt;0,$B$29&gt;0),(IF(23&lt;$B$31,(-$B$5/2+$B$13),IF(MOD($B$31-1,2)=0,(($B$30-1)/2*$B$29),(-(($B$30-1)/2*$B$29)))))*$B$53+(0),999)</f>
        <v>999</v>
      </c>
    </row>
    <row r="99" spans="16:23" x14ac:dyDescent="0.3">
      <c r="P99" s="35">
        <f>IF(AND($B$18&gt;0),(IF(23&lt;$B$18,(-(($B$22-1)/2*$B$21)),IF(MOD($B$18-1,2)=0,(($B$22-1)/2*$B$21),(-(($B$22-1)/2*$B$21)))))*$B$53+(-38),999)</f>
        <v>-11.2307692307692</v>
      </c>
      <c r="Q99" s="35">
        <f>IF(AND($B$18&gt;0),(IF(23&lt;$B$18,(23-($B$18-1)/2)*$B$17,(($B$18-1)-($B$18-1)/2)*$B$17))*$B$53+(0),999)</f>
        <v>26.7692307692308</v>
      </c>
      <c r="R99" s="35">
        <f>IF(AND($B$22&gt;0),(IF(23&lt;$B$22,(23-($B$22-1)/2)*$B$21,(($B$22-1)-($B$22-1)/2)*$B$21))*$B$53+(-38),999)</f>
        <v>-11.2307692307692</v>
      </c>
      <c r="S99" s="35">
        <f>IF(AND($B$22&gt;0),(IF(23&lt;$B$22,(-(($B$18-1)/2*$B$17)),IF(MOD($B$22-1,2)=0,(($B$18-1)/2*$B$17),(-(($B$18-1)/2*$B$17)))))*$B$53+(0),999)</f>
        <v>26.7692307692308</v>
      </c>
      <c r="T99" s="35">
        <f>IF(AND($B$30&gt;0,$B$29&gt;0),(IF(23&lt;$B$30,(-(($B$31-1)/2*$B$29)),IF(MOD($B$30-1,2)=0,(($B$31-1)/2*$B$29),(-(($B$31-1)/2*$B$29)))))*$B$53+(-38),999)</f>
        <v>999</v>
      </c>
      <c r="U99" s="35">
        <f>IF(AND($B$30&gt;0,$B$29&gt;0),(IF(23&lt;$B$30,(23-($B$30-1)/2)*$B$29,(($B$30-1)-($B$30-1)/2)*$B$29))*$B$53+(0),999)</f>
        <v>999</v>
      </c>
      <c r="V99" s="35">
        <f>IF(AND($B$31&gt;0,$B$29&gt;0),(IF(23&lt;$B$31,(23-($B$31-1)/2)*$B$29,(($B$31-1)-($B$31-1)/2)*$B$29))*$B$53+(-38),999)</f>
        <v>999</v>
      </c>
      <c r="W99" s="35">
        <f>IF(AND($B$31&gt;0,$B$29&gt;0),(IF(23&lt;$B$31,(-(($B$30-1)/2*$B$29)),IF(MOD($B$31-1,2)=0,(($B$30-1)/2*$B$29),(-(($B$30-1)/2*$B$29)))))*$B$53+(0),999)</f>
        <v>999</v>
      </c>
    </row>
    <row r="100" spans="16:23" x14ac:dyDescent="0.3">
      <c r="P100" s="35">
        <f>IF(AND($B$18&gt;0),(IF(24&lt;$B$18,(-(($B$22-1)/2*$B$21)),IF(MOD($B$18-1,2)=0,(($B$22-1)/2*$B$21),(-(($B$22-1)/2*$B$21)))))*$B$53+(-38),999)</f>
        <v>-11.2307692307692</v>
      </c>
      <c r="Q100" s="35">
        <f>IF(AND($B$18&gt;0),(IF(24&lt;$B$18,(24-($B$18-1)/2)*$B$17,(($B$18-1)-($B$18-1)/2)*$B$17))*$B$53+(0),999)</f>
        <v>26.7692307692308</v>
      </c>
      <c r="R100" s="35">
        <f>IF(AND($B$22&gt;0),(IF(24&lt;$B$22,(24-($B$22-1)/2)*$B$21,(($B$22-1)-($B$22-1)/2)*$B$21))*$B$53+(-38),999)</f>
        <v>-11.2307692307692</v>
      </c>
      <c r="S100" s="35">
        <f>IF(AND($B$22&gt;0),(IF(24&lt;$B$22,(-(($B$18-1)/2*$B$17)),IF(MOD($B$22-1,2)=0,(($B$18-1)/2*$B$17),(-(($B$18-1)/2*$B$17)))))*$B$53+(0),999)</f>
        <v>26.7692307692308</v>
      </c>
      <c r="T100" s="35">
        <f>IF(AND($B$30&gt;0,$B$29&gt;0),(IF(24&lt;$B$30,(-(($B$31-1)/2*$B$29)),IF(MOD($B$30-1,2)=0,(($B$31-1)/2*$B$29),(-(($B$31-1)/2*$B$29)))))*$B$53+(-38),999)</f>
        <v>999</v>
      </c>
      <c r="U100" s="35">
        <f>IF(AND($B$30&gt;0,$B$29&gt;0),(IF(24&lt;$B$30,(24-($B$30-1)/2)*$B$29,(($B$30-1)-($B$30-1)/2)*$B$29))*$B$53+(0),999)</f>
        <v>999</v>
      </c>
      <c r="V100" s="35">
        <f>IF(AND($B$31&gt;0,$B$29&gt;0),(IF(24&lt;$B$31,(24-($B$31-1)/2)*$B$29,(($B$31-1)-($B$31-1)/2)*$B$29))*$B$53+(-38),999)</f>
        <v>999</v>
      </c>
      <c r="W100" s="35">
        <f>IF(AND($B$31&gt;0,$B$29&gt;0),(IF(24&lt;$B$31,(-(($B$30-1)/2*$B$29)),IF(MOD($B$31-1,2)=0,(($B$30-1)/2*$B$29),(-(($B$30-1)/2*$B$29)))))*$B$53+(0),999)</f>
        <v>999</v>
      </c>
    </row>
    <row r="101" spans="16:23" x14ac:dyDescent="0.3">
      <c r="P101" s="35">
        <f>IF(AND($B$18&gt;0),(IF(24&lt;$B$18,(-$B$4/2+$B$13),IF(MOD($B$18-1,2)=0,(($B$22-1)/2*$B$21),(-(($B$22-1)/2*$B$21)))))*$B$53+(-38),999)</f>
        <v>-11.2307692307692</v>
      </c>
      <c r="Q101" s="35">
        <f>IF(AND($B$18&gt;0),(IF(24&lt;$B$18,(24-($B$18-1)/2)*$B$17,(($B$18-1)-($B$18-1)/2)*$B$17))*$B$53+(0),999)</f>
        <v>26.7692307692308</v>
      </c>
      <c r="R101" s="35">
        <f>IF(AND($B$22&gt;0),(IF(24&lt;$B$22,(24-($B$22-1)/2)*$B$21,(($B$22-1)-($B$22-1)/2)*$B$21))*$B$53+(-38),999)</f>
        <v>-11.2307692307692</v>
      </c>
      <c r="S101" s="35">
        <f>IF(AND($B$22&gt;0),(IF(24&lt;$B$22,(-$B$5/2+IF($B$3=3,0,$B$13)),IF(MOD($B$22-1,2)=0,(($B$18-1)/2*$B$17),(-(($B$18-1)/2*$B$17)))))*$B$53+(0),999)</f>
        <v>26.7692307692308</v>
      </c>
      <c r="T101" s="35">
        <f>IF(AND($B$30&gt;0,$B$29&gt;0),(IF(24&lt;$B$30,(-$B$4/2+$B$13),IF(MOD($B$30-1,2)=0,(($B$31-1)/2*$B$29),(-(($B$31-1)/2*$B$29)))))*$B$53+(-38),999)</f>
        <v>999</v>
      </c>
      <c r="U101" s="35">
        <f>IF(AND($B$30&gt;0,$B$29&gt;0),(IF(24&lt;$B$30,(24-($B$30-1)/2)*$B$29,(($B$30-1)-($B$30-1)/2)*$B$29))*$B$53+(0),999)</f>
        <v>999</v>
      </c>
      <c r="V101" s="35">
        <f>IF(AND($B$31&gt;0,$B$29&gt;0),(IF(24&lt;$B$31,(24-($B$31-1)/2)*$B$29,(($B$31-1)-($B$31-1)/2)*$B$29))*$B$53+(-38),999)</f>
        <v>999</v>
      </c>
      <c r="W101" s="35">
        <f>IF(AND($B$31&gt;0,$B$29&gt;0),(IF(24&lt;$B$31,(-$B$5/2+$B$13),IF(MOD($B$31-1,2)=0,(($B$30-1)/2*$B$29),(-(($B$30-1)/2*$B$29)))))*$B$53+(0),999)</f>
        <v>999</v>
      </c>
    </row>
    <row r="102" spans="16:23" x14ac:dyDescent="0.3">
      <c r="P102" s="35">
        <f>IF(AND($B$18&gt;0),(IF(24&lt;$B$18,($B$4/2-$B$13),IF(MOD($B$18-1,2)=0,(($B$22-1)/2*$B$21),(-(($B$22-1)/2*$B$21)))))*$B$53+(-38),999)</f>
        <v>-11.2307692307692</v>
      </c>
      <c r="Q102" s="35">
        <f>IF(AND($B$18&gt;0),(IF(24&lt;$B$18,(24-($B$18-1)/2)*$B$17,(($B$18-1)-($B$18-1)/2)*$B$17))*$B$53+(0),999)</f>
        <v>26.7692307692308</v>
      </c>
      <c r="R102" s="35">
        <f>IF(AND($B$22&gt;0),(IF(24&lt;$B$22,(24-($B$22-1)/2)*$B$21,(($B$22-1)-($B$22-1)/2)*$B$21))*$B$53+(-38),999)</f>
        <v>-11.2307692307692</v>
      </c>
      <c r="S102" s="35">
        <f>IF(AND($B$22&gt;0),(IF(24&lt;$B$22,($B$5/2-IF($B$3=3,0,$B$13)),IF(MOD($B$22-1,2)=0,(($B$18-1)/2*$B$17),(-(($B$18-1)/2*$B$17)))))*$B$53+(0),999)</f>
        <v>26.7692307692308</v>
      </c>
      <c r="T102" s="35">
        <f>IF(AND($B$30&gt;0,$B$29&gt;0),(IF(24&lt;$B$30,($B$4/2-$B$13),IF(MOD($B$30-1,2)=0,(($B$31-1)/2*$B$29),(-(($B$31-1)/2*$B$29)))))*$B$53+(-38),999)</f>
        <v>999</v>
      </c>
      <c r="U102" s="35">
        <f>IF(AND($B$30&gt;0,$B$29&gt;0),(IF(24&lt;$B$30,(24-($B$30-1)/2)*$B$29,(($B$30-1)-($B$30-1)/2)*$B$29))*$B$53+(0),999)</f>
        <v>999</v>
      </c>
      <c r="V102" s="35">
        <f>IF(AND($B$31&gt;0,$B$29&gt;0),(IF(24&lt;$B$31,(24-($B$31-1)/2)*$B$29,(($B$31-1)-($B$31-1)/2)*$B$29))*$B$53+(-38),999)</f>
        <v>999</v>
      </c>
      <c r="W102" s="35">
        <f>IF(AND($B$31&gt;0,$B$29&gt;0),(IF(24&lt;$B$31,($B$5/2-$B$13),IF(MOD($B$31-1,2)=0,(($B$30-1)/2*$B$29),(-(($B$30-1)/2*$B$29)))))*$B$53+(0),999)</f>
        <v>999</v>
      </c>
    </row>
    <row r="103" spans="16:23" x14ac:dyDescent="0.3">
      <c r="P103" s="35">
        <f>IF(AND($B$18&gt;0),(IF(24&lt;$B$18,(($B$22-1)/2*$B$21),IF(MOD($B$18-1,2)=0,(($B$22-1)/2*$B$21),(-(($B$22-1)/2*$B$21)))))*$B$53+(-38),999)</f>
        <v>-11.2307692307692</v>
      </c>
      <c r="Q103" s="35">
        <f>IF(AND($B$18&gt;0),(IF(24&lt;$B$18,(24-($B$18-1)/2)*$B$17,(($B$18-1)-($B$18-1)/2)*$B$17))*$B$53+(0),999)</f>
        <v>26.7692307692308</v>
      </c>
      <c r="R103" s="35">
        <f>IF(AND($B$22&gt;0),(IF(24&lt;$B$22,(24-($B$22-1)/2)*$B$21,(($B$22-1)-($B$22-1)/2)*$B$21))*$B$53+(-38),999)</f>
        <v>-11.2307692307692</v>
      </c>
      <c r="S103" s="35">
        <f>IF(AND($B$22&gt;0),(IF(24&lt;$B$22,(($B$18-1)/2*$B$17),IF(MOD($B$22-1,2)=0,(($B$18-1)/2*$B$17),(-(($B$18-1)/2*$B$17)))))*$B$53+(0),999)</f>
        <v>26.7692307692308</v>
      </c>
      <c r="T103" s="35">
        <f>IF(AND($B$30&gt;0,$B$29&gt;0),(IF(24&lt;$B$30,(($B$31-1)/2*$B$29),IF(MOD($B$30-1,2)=0,(($B$31-1)/2*$B$29),(-(($B$31-1)/2*$B$29)))))*$B$53+(-38),999)</f>
        <v>999</v>
      </c>
      <c r="U103" s="35">
        <f>IF(AND($B$30&gt;0,$B$29&gt;0),(IF(24&lt;$B$30,(24-($B$30-1)/2)*$B$29,(($B$30-1)-($B$30-1)/2)*$B$29))*$B$53+(0),999)</f>
        <v>999</v>
      </c>
      <c r="V103" s="35">
        <f>IF(AND($B$31&gt;0,$B$29&gt;0),(IF(24&lt;$B$31,(24-($B$31-1)/2)*$B$29,(($B$31-1)-($B$31-1)/2)*$B$29))*$B$53+(-38),999)</f>
        <v>999</v>
      </c>
      <c r="W103" s="35">
        <f>IF(AND($B$31&gt;0,$B$29&gt;0),(IF(24&lt;$B$31,(($B$30-1)/2*$B$29),IF(MOD($B$31-1,2)=0,(($B$30-1)/2*$B$29),(-(($B$30-1)/2*$B$29)))))*$B$53+(0),999)</f>
        <v>999</v>
      </c>
    </row>
    <row r="104" spans="16:23" x14ac:dyDescent="0.3">
      <c r="P104" s="35">
        <f>IF(AND($B$18&gt;0),(IF(25&lt;$B$18,(($B$22-1)/2*$B$21),IF(MOD($B$18-1,2)=0,(($B$22-1)/2*$B$21),(-(($B$22-1)/2*$B$21)))))*$B$53+(-38),999)</f>
        <v>-11.2307692307692</v>
      </c>
      <c r="Q104" s="35">
        <f>IF(AND($B$18&gt;0),(IF(25&lt;$B$18,(25-($B$18-1)/2)*$B$17,(($B$18-1)-($B$18-1)/2)*$B$17))*$B$53+(0),999)</f>
        <v>26.7692307692308</v>
      </c>
      <c r="R104" s="35">
        <f>IF(AND($B$22&gt;0),(IF(25&lt;$B$22,(25-($B$22-1)/2)*$B$21,(($B$22-1)-($B$22-1)/2)*$B$21))*$B$53+(-38),999)</f>
        <v>-11.2307692307692</v>
      </c>
      <c r="S104" s="35">
        <f>IF(AND($B$22&gt;0),(IF(25&lt;$B$22,(($B$18-1)/2*$B$17),IF(MOD($B$22-1,2)=0,(($B$18-1)/2*$B$17),(-(($B$18-1)/2*$B$17)))))*$B$53+(0),999)</f>
        <v>26.7692307692308</v>
      </c>
      <c r="T104" s="35">
        <f>IF(AND($B$30&gt;0,$B$29&gt;0),(IF(25&lt;$B$30,(($B$31-1)/2*$B$29),IF(MOD($B$30-1,2)=0,(($B$31-1)/2*$B$29),(-(($B$31-1)/2*$B$29)))))*$B$53+(-38),999)</f>
        <v>999</v>
      </c>
      <c r="U104" s="35">
        <f>IF(AND($B$30&gt;0,$B$29&gt;0),(IF(25&lt;$B$30,(25-($B$30-1)/2)*$B$29,(($B$30-1)-($B$30-1)/2)*$B$29))*$B$53+(0),999)</f>
        <v>999</v>
      </c>
      <c r="V104" s="35">
        <f>IF(AND($B$31&gt;0,$B$29&gt;0),(IF(25&lt;$B$31,(25-($B$31-1)/2)*$B$29,(($B$31-1)-($B$31-1)/2)*$B$29))*$B$53+(-38),999)</f>
        <v>999</v>
      </c>
      <c r="W104" s="35">
        <f>IF(AND($B$31&gt;0,$B$29&gt;0),(IF(25&lt;$B$31,(($B$30-1)/2*$B$29),IF(MOD($B$31-1,2)=0,(($B$30-1)/2*$B$29),(-(($B$30-1)/2*$B$29)))))*$B$53+(0),999)</f>
        <v>999</v>
      </c>
    </row>
    <row r="105" spans="16:23" x14ac:dyDescent="0.3">
      <c r="P105" s="35">
        <f>IF(AND($B$18&gt;0),(IF(25&lt;$B$18,($B$4/2-$B$13),IF(MOD($B$18-1,2)=0,(($B$22-1)/2*$B$21),(-(($B$22-1)/2*$B$21)))))*$B$53+(-38),999)</f>
        <v>-11.2307692307692</v>
      </c>
      <c r="Q105" s="35">
        <f>IF(AND($B$18&gt;0),(IF(25&lt;$B$18,(25-($B$18-1)/2)*$B$17,(($B$18-1)-($B$18-1)/2)*$B$17))*$B$53+(0),999)</f>
        <v>26.7692307692308</v>
      </c>
      <c r="R105" s="35">
        <f>IF(AND($B$22&gt;0),(IF(25&lt;$B$22,(25-($B$22-1)/2)*$B$21,(($B$22-1)-($B$22-1)/2)*$B$21))*$B$53+(-38),999)</f>
        <v>-11.2307692307692</v>
      </c>
      <c r="S105" s="35">
        <f>IF(AND($B$22&gt;0),(IF(25&lt;$B$22,($B$5/2-IF($B$3=3,0,$B$13)),IF(MOD($B$22-1,2)=0,(($B$18-1)/2*$B$17),(-(($B$18-1)/2*$B$17)))))*$B$53+(0),999)</f>
        <v>26.7692307692308</v>
      </c>
      <c r="T105" s="35">
        <f>IF(AND($B$30&gt;0,$B$29&gt;0),(IF(25&lt;$B$30,($B$4/2-$B$13),IF(MOD($B$30-1,2)=0,(($B$31-1)/2*$B$29),(-(($B$31-1)/2*$B$29)))))*$B$53+(-38),999)</f>
        <v>999</v>
      </c>
      <c r="U105" s="35">
        <f>IF(AND($B$30&gt;0,$B$29&gt;0),(IF(25&lt;$B$30,(25-($B$30-1)/2)*$B$29,(($B$30-1)-($B$30-1)/2)*$B$29))*$B$53+(0),999)</f>
        <v>999</v>
      </c>
      <c r="V105" s="35">
        <f>IF(AND($B$31&gt;0,$B$29&gt;0),(IF(25&lt;$B$31,(25-($B$31-1)/2)*$B$29,(($B$31-1)-($B$31-1)/2)*$B$29))*$B$53+(-38),999)</f>
        <v>999</v>
      </c>
      <c r="W105" s="35">
        <f>IF(AND($B$31&gt;0,$B$29&gt;0),(IF(25&lt;$B$31,($B$5/2-$B$13),IF(MOD($B$31-1,2)=0,(($B$30-1)/2*$B$29),(-(($B$30-1)/2*$B$29)))))*$B$53+(0),999)</f>
        <v>999</v>
      </c>
    </row>
    <row r="106" spans="16:23" x14ac:dyDescent="0.3">
      <c r="P106" s="35">
        <f>IF(AND($B$18&gt;0),(IF(25&lt;$B$18,(-$B$4/2+$B$13),IF(MOD($B$18-1,2)=0,(($B$22-1)/2*$B$21),(-(($B$22-1)/2*$B$21)))))*$B$53+(-38),999)</f>
        <v>-11.2307692307692</v>
      </c>
      <c r="Q106" s="35">
        <f>IF(AND($B$18&gt;0),(IF(25&lt;$B$18,(25-($B$18-1)/2)*$B$17,(($B$18-1)-($B$18-1)/2)*$B$17))*$B$53+(0),999)</f>
        <v>26.7692307692308</v>
      </c>
      <c r="R106" s="35">
        <f>IF(AND($B$22&gt;0),(IF(25&lt;$B$22,(25-($B$22-1)/2)*$B$21,(($B$22-1)-($B$22-1)/2)*$B$21))*$B$53+(-38),999)</f>
        <v>-11.2307692307692</v>
      </c>
      <c r="S106" s="35">
        <f>IF(AND($B$22&gt;0),(IF(25&lt;$B$22,(-$B$5/2+IF($B$3=3,0,$B$13)),IF(MOD($B$22-1,2)=0,(($B$18-1)/2*$B$17),(-(($B$18-1)/2*$B$17)))))*$B$53+(0),999)</f>
        <v>26.7692307692308</v>
      </c>
      <c r="T106" s="35">
        <f>IF(AND($B$30&gt;0,$B$29&gt;0),(IF(25&lt;$B$30,(-$B$4/2+$B$13),IF(MOD($B$30-1,2)=0,(($B$31-1)/2*$B$29),(-(($B$31-1)/2*$B$29)))))*$B$53+(-38),999)</f>
        <v>999</v>
      </c>
      <c r="U106" s="35">
        <f>IF(AND($B$30&gt;0,$B$29&gt;0),(IF(25&lt;$B$30,(25-($B$30-1)/2)*$B$29,(($B$30-1)-($B$30-1)/2)*$B$29))*$B$53+(0),999)</f>
        <v>999</v>
      </c>
      <c r="V106" s="35">
        <f>IF(AND($B$31&gt;0,$B$29&gt;0),(IF(25&lt;$B$31,(25-($B$31-1)/2)*$B$29,(($B$31-1)-($B$31-1)/2)*$B$29))*$B$53+(-38),999)</f>
        <v>999</v>
      </c>
      <c r="W106" s="35">
        <f>IF(AND($B$31&gt;0,$B$29&gt;0),(IF(25&lt;$B$31,(-$B$5/2+$B$13),IF(MOD($B$31-1,2)=0,(($B$30-1)/2*$B$29),(-(($B$30-1)/2*$B$29)))))*$B$53+(0),999)</f>
        <v>999</v>
      </c>
    </row>
    <row r="107" spans="16:23" x14ac:dyDescent="0.3">
      <c r="P107" s="35">
        <f>IF(AND($B$18&gt;0),(IF(25&lt;$B$18,(-(($B$22-1)/2*$B$21)),IF(MOD($B$18-1,2)=0,(($B$22-1)/2*$B$21),(-(($B$22-1)/2*$B$21)))))*$B$53+(-38),999)</f>
        <v>-11.2307692307692</v>
      </c>
      <c r="Q107" s="35">
        <f>IF(AND($B$18&gt;0),(IF(25&lt;$B$18,(25-($B$18-1)/2)*$B$17,(($B$18-1)-($B$18-1)/2)*$B$17))*$B$53+(0),999)</f>
        <v>26.7692307692308</v>
      </c>
      <c r="R107" s="35">
        <f>IF(AND($B$22&gt;0),(IF(25&lt;$B$22,(25-($B$22-1)/2)*$B$21,(($B$22-1)-($B$22-1)/2)*$B$21))*$B$53+(-38),999)</f>
        <v>-11.2307692307692</v>
      </c>
      <c r="S107" s="35">
        <f>IF(AND($B$22&gt;0),(IF(25&lt;$B$22,(-(($B$18-1)/2*$B$17)),IF(MOD($B$22-1,2)=0,(($B$18-1)/2*$B$17),(-(($B$18-1)/2*$B$17)))))*$B$53+(0),999)</f>
        <v>26.7692307692308</v>
      </c>
      <c r="T107" s="35">
        <f>IF(AND($B$30&gt;0,$B$29&gt;0),(IF(25&lt;$B$30,(-(($B$31-1)/2*$B$29)),IF(MOD($B$30-1,2)=0,(($B$31-1)/2*$B$29),(-(($B$31-1)/2*$B$29)))))*$B$53+(-38),999)</f>
        <v>999</v>
      </c>
      <c r="U107" s="35">
        <f>IF(AND($B$30&gt;0,$B$29&gt;0),(IF(25&lt;$B$30,(25-($B$30-1)/2)*$B$29,(($B$30-1)-($B$30-1)/2)*$B$29))*$B$53+(0),999)</f>
        <v>999</v>
      </c>
      <c r="V107" s="35">
        <f>IF(AND($B$31&gt;0,$B$29&gt;0),(IF(25&lt;$B$31,(25-($B$31-1)/2)*$B$29,(($B$31-1)-($B$31-1)/2)*$B$29))*$B$53+(-38),999)</f>
        <v>999</v>
      </c>
      <c r="W107" s="35">
        <f>IF(AND($B$31&gt;0,$B$29&gt;0),(IF(25&lt;$B$31,(-(($B$30-1)/2*$B$29)),IF(MOD($B$31-1,2)=0,(($B$30-1)/2*$B$29),(-(($B$30-1)/2*$B$29)))))*$B$53+(0),999)</f>
        <v>999</v>
      </c>
    </row>
    <row r="108" spans="16:23" x14ac:dyDescent="0.3">
      <c r="P108" s="35">
        <f>IF(AND($B$18&gt;0),(IF(26&lt;$B$18,(-(($B$22-1)/2*$B$21)),IF(MOD($B$18-1,2)=0,(($B$22-1)/2*$B$21),(-(($B$22-1)/2*$B$21)))))*$B$53+(-38),999)</f>
        <v>-11.2307692307692</v>
      </c>
      <c r="Q108" s="35">
        <f>IF(AND($B$18&gt;0),(IF(26&lt;$B$18,(26-($B$18-1)/2)*$B$17,(($B$18-1)-($B$18-1)/2)*$B$17))*$B$53+(0),999)</f>
        <v>26.7692307692308</v>
      </c>
      <c r="R108" s="35">
        <f>IF(AND($B$22&gt;0),(IF(26&lt;$B$22,(26-($B$22-1)/2)*$B$21,(($B$22-1)-($B$22-1)/2)*$B$21))*$B$53+(-38),999)</f>
        <v>-11.2307692307692</v>
      </c>
      <c r="S108" s="35">
        <f>IF(AND($B$22&gt;0),(IF(26&lt;$B$22,(-(($B$18-1)/2*$B$17)),IF(MOD($B$22-1,2)=0,(($B$18-1)/2*$B$17),(-(($B$18-1)/2*$B$17)))))*$B$53+(0),999)</f>
        <v>26.7692307692308</v>
      </c>
      <c r="T108" s="35">
        <f>IF(AND($B$30&gt;0,$B$29&gt;0),(IF(26&lt;$B$30,(-(($B$31-1)/2*$B$29)),IF(MOD($B$30-1,2)=0,(($B$31-1)/2*$B$29),(-(($B$31-1)/2*$B$29)))))*$B$53+(-38),999)</f>
        <v>999</v>
      </c>
      <c r="U108" s="35">
        <f>IF(AND($B$30&gt;0,$B$29&gt;0),(IF(26&lt;$B$30,(26-($B$30-1)/2)*$B$29,(($B$30-1)-($B$30-1)/2)*$B$29))*$B$53+(0),999)</f>
        <v>999</v>
      </c>
      <c r="V108" s="35">
        <f>IF(AND($B$31&gt;0,$B$29&gt;0),(IF(26&lt;$B$31,(26-($B$31-1)/2)*$B$29,(($B$31-1)-($B$31-1)/2)*$B$29))*$B$53+(-38),999)</f>
        <v>999</v>
      </c>
      <c r="W108" s="35">
        <f>IF(AND($B$31&gt;0,$B$29&gt;0),(IF(26&lt;$B$31,(-(($B$30-1)/2*$B$29)),IF(MOD($B$31-1,2)=0,(($B$30-1)/2*$B$29),(-(($B$30-1)/2*$B$29)))))*$B$53+(0),999)</f>
        <v>999</v>
      </c>
    </row>
    <row r="109" spans="16:23" x14ac:dyDescent="0.3">
      <c r="P109" s="35">
        <f>IF(AND($B$18&gt;0),(IF(26&lt;$B$18,(-$B$4/2+$B$13),IF(MOD($B$18-1,2)=0,(($B$22-1)/2*$B$21),(-(($B$22-1)/2*$B$21)))))*$B$53+(-38),999)</f>
        <v>-11.2307692307692</v>
      </c>
      <c r="Q109" s="35">
        <f>IF(AND($B$18&gt;0),(IF(26&lt;$B$18,(26-($B$18-1)/2)*$B$17,(($B$18-1)-($B$18-1)/2)*$B$17))*$B$53+(0),999)</f>
        <v>26.7692307692308</v>
      </c>
      <c r="R109" s="35">
        <f>IF(AND($B$22&gt;0),(IF(26&lt;$B$22,(26-($B$22-1)/2)*$B$21,(($B$22-1)-($B$22-1)/2)*$B$21))*$B$53+(-38),999)</f>
        <v>-11.2307692307692</v>
      </c>
      <c r="S109" s="35">
        <f>IF(AND($B$22&gt;0),(IF(26&lt;$B$22,(-$B$5/2+IF($B$3=3,0,$B$13)),IF(MOD($B$22-1,2)=0,(($B$18-1)/2*$B$17),(-(($B$18-1)/2*$B$17)))))*$B$53+(0),999)</f>
        <v>26.7692307692308</v>
      </c>
      <c r="T109" s="35">
        <f>IF(AND($B$30&gt;0,$B$29&gt;0),(IF(26&lt;$B$30,(-$B$4/2+$B$13),IF(MOD($B$30-1,2)=0,(($B$31-1)/2*$B$29),(-(($B$31-1)/2*$B$29)))))*$B$53+(-38),999)</f>
        <v>999</v>
      </c>
      <c r="U109" s="35">
        <f>IF(AND($B$30&gt;0,$B$29&gt;0),(IF(26&lt;$B$30,(26-($B$30-1)/2)*$B$29,(($B$30-1)-($B$30-1)/2)*$B$29))*$B$53+(0),999)</f>
        <v>999</v>
      </c>
      <c r="V109" s="35">
        <f>IF(AND($B$31&gt;0,$B$29&gt;0),(IF(26&lt;$B$31,(26-($B$31-1)/2)*$B$29,(($B$31-1)-($B$31-1)/2)*$B$29))*$B$53+(-38),999)</f>
        <v>999</v>
      </c>
      <c r="W109" s="35">
        <f>IF(AND($B$31&gt;0,$B$29&gt;0),(IF(26&lt;$B$31,(-$B$5/2+$B$13),IF(MOD($B$31-1,2)=0,(($B$30-1)/2*$B$29),(-(($B$30-1)/2*$B$29)))))*$B$53+(0),999)</f>
        <v>999</v>
      </c>
    </row>
    <row r="110" spans="16:23" x14ac:dyDescent="0.3">
      <c r="P110" s="35">
        <f>IF(AND($B$18&gt;0),(IF(26&lt;$B$18,($B$4/2-$B$13),IF(MOD($B$18-1,2)=0,(($B$22-1)/2*$B$21),(-(($B$22-1)/2*$B$21)))))*$B$53+(-38),999)</f>
        <v>-11.2307692307692</v>
      </c>
      <c r="Q110" s="35">
        <f>IF(AND($B$18&gt;0),(IF(26&lt;$B$18,(26-($B$18-1)/2)*$B$17,(($B$18-1)-($B$18-1)/2)*$B$17))*$B$53+(0),999)</f>
        <v>26.7692307692308</v>
      </c>
      <c r="R110" s="35">
        <f>IF(AND($B$22&gt;0),(IF(26&lt;$B$22,(26-($B$22-1)/2)*$B$21,(($B$22-1)-($B$22-1)/2)*$B$21))*$B$53+(-38),999)</f>
        <v>-11.2307692307692</v>
      </c>
      <c r="S110" s="35">
        <f>IF(AND($B$22&gt;0),(IF(26&lt;$B$22,($B$5/2-IF($B$3=3,0,$B$13)),IF(MOD($B$22-1,2)=0,(($B$18-1)/2*$B$17),(-(($B$18-1)/2*$B$17)))))*$B$53+(0),999)</f>
        <v>26.7692307692308</v>
      </c>
      <c r="T110" s="35">
        <f>IF(AND($B$30&gt;0,$B$29&gt;0),(IF(26&lt;$B$30,($B$4/2-$B$13),IF(MOD($B$30-1,2)=0,(($B$31-1)/2*$B$29),(-(($B$31-1)/2*$B$29)))))*$B$53+(-38),999)</f>
        <v>999</v>
      </c>
      <c r="U110" s="35">
        <f>IF(AND($B$30&gt;0,$B$29&gt;0),(IF(26&lt;$B$30,(26-($B$30-1)/2)*$B$29,(($B$30-1)-($B$30-1)/2)*$B$29))*$B$53+(0),999)</f>
        <v>999</v>
      </c>
      <c r="V110" s="35">
        <f>IF(AND($B$31&gt;0,$B$29&gt;0),(IF(26&lt;$B$31,(26-($B$31-1)/2)*$B$29,(($B$31-1)-($B$31-1)/2)*$B$29))*$B$53+(-38),999)</f>
        <v>999</v>
      </c>
      <c r="W110" s="35">
        <f>IF(AND($B$31&gt;0,$B$29&gt;0),(IF(26&lt;$B$31,($B$5/2-$B$13),IF(MOD($B$31-1,2)=0,(($B$30-1)/2*$B$29),(-(($B$30-1)/2*$B$29)))))*$B$53+(0),999)</f>
        <v>999</v>
      </c>
    </row>
    <row r="111" spans="16:23" x14ac:dyDescent="0.3">
      <c r="P111" s="35">
        <f>IF(AND($B$18&gt;0),(IF(26&lt;$B$18,(($B$22-1)/2*$B$21),IF(MOD($B$18-1,2)=0,(($B$22-1)/2*$B$21),(-(($B$22-1)/2*$B$21)))))*$B$53+(-38),999)</f>
        <v>-11.2307692307692</v>
      </c>
      <c r="Q111" s="35">
        <f>IF(AND($B$18&gt;0),(IF(26&lt;$B$18,(26-($B$18-1)/2)*$B$17,(($B$18-1)-($B$18-1)/2)*$B$17))*$B$53+(0),999)</f>
        <v>26.7692307692308</v>
      </c>
      <c r="R111" s="35">
        <f>IF(AND($B$22&gt;0),(IF(26&lt;$B$22,(26-($B$22-1)/2)*$B$21,(($B$22-1)-($B$22-1)/2)*$B$21))*$B$53+(-38),999)</f>
        <v>-11.2307692307692</v>
      </c>
      <c r="S111" s="35">
        <f>IF(AND($B$22&gt;0),(IF(26&lt;$B$22,(($B$18-1)/2*$B$17),IF(MOD($B$22-1,2)=0,(($B$18-1)/2*$B$17),(-(($B$18-1)/2*$B$17)))))*$B$53+(0),999)</f>
        <v>26.7692307692308</v>
      </c>
      <c r="T111" s="35">
        <f>IF(AND($B$30&gt;0,$B$29&gt;0),(IF(26&lt;$B$30,(($B$31-1)/2*$B$29),IF(MOD($B$30-1,2)=0,(($B$31-1)/2*$B$29),(-(($B$31-1)/2*$B$29)))))*$B$53+(-38),999)</f>
        <v>999</v>
      </c>
      <c r="U111" s="35">
        <f>IF(AND($B$30&gt;0,$B$29&gt;0),(IF(26&lt;$B$30,(26-($B$30-1)/2)*$B$29,(($B$30-1)-($B$30-1)/2)*$B$29))*$B$53+(0),999)</f>
        <v>999</v>
      </c>
      <c r="V111" s="35">
        <f>IF(AND($B$31&gt;0,$B$29&gt;0),(IF(26&lt;$B$31,(26-($B$31-1)/2)*$B$29,(($B$31-1)-($B$31-1)/2)*$B$29))*$B$53+(-38),999)</f>
        <v>999</v>
      </c>
      <c r="W111" s="35">
        <f>IF(AND($B$31&gt;0,$B$29&gt;0),(IF(26&lt;$B$31,(($B$30-1)/2*$B$29),IF(MOD($B$31-1,2)=0,(($B$30-1)/2*$B$29),(-(($B$30-1)/2*$B$29)))))*$B$53+(0),999)</f>
        <v>999</v>
      </c>
    </row>
    <row r="112" spans="16:23" x14ac:dyDescent="0.3">
      <c r="P112" s="35">
        <f>IF(AND($B$18&gt;0),(IF(27&lt;$B$18,(($B$22-1)/2*$B$21),IF(MOD($B$18-1,2)=0,(($B$22-1)/2*$B$21),(-(($B$22-1)/2*$B$21)))))*$B$53+(-38),999)</f>
        <v>-11.2307692307692</v>
      </c>
      <c r="Q112" s="35">
        <f>IF(AND($B$18&gt;0),(IF(27&lt;$B$18,(27-($B$18-1)/2)*$B$17,(($B$18-1)-($B$18-1)/2)*$B$17))*$B$53+(0),999)</f>
        <v>26.7692307692308</v>
      </c>
      <c r="R112" s="35">
        <f>IF(AND($B$22&gt;0),(IF(27&lt;$B$22,(27-($B$22-1)/2)*$B$21,(($B$22-1)-($B$22-1)/2)*$B$21))*$B$53+(-38),999)</f>
        <v>-11.2307692307692</v>
      </c>
      <c r="S112" s="35">
        <f>IF(AND($B$22&gt;0),(IF(27&lt;$B$22,(($B$18-1)/2*$B$17),IF(MOD($B$22-1,2)=0,(($B$18-1)/2*$B$17),(-(($B$18-1)/2*$B$17)))))*$B$53+(0),999)</f>
        <v>26.7692307692308</v>
      </c>
      <c r="T112" s="35">
        <f>IF(AND($B$30&gt;0,$B$29&gt;0),(IF(27&lt;$B$30,(($B$31-1)/2*$B$29),IF(MOD($B$30-1,2)=0,(($B$31-1)/2*$B$29),(-(($B$31-1)/2*$B$29)))))*$B$53+(-38),999)</f>
        <v>999</v>
      </c>
      <c r="U112" s="35">
        <f>IF(AND($B$30&gt;0,$B$29&gt;0),(IF(27&lt;$B$30,(27-($B$30-1)/2)*$B$29,(($B$30-1)-($B$30-1)/2)*$B$29))*$B$53+(0),999)</f>
        <v>999</v>
      </c>
      <c r="V112" s="35">
        <f>IF(AND($B$31&gt;0,$B$29&gt;0),(IF(27&lt;$B$31,(27-($B$31-1)/2)*$B$29,(($B$31-1)-($B$31-1)/2)*$B$29))*$B$53+(-38),999)</f>
        <v>999</v>
      </c>
      <c r="W112" s="35">
        <f>IF(AND($B$31&gt;0,$B$29&gt;0),(IF(27&lt;$B$31,(($B$30-1)/2*$B$29),IF(MOD($B$31-1,2)=0,(($B$30-1)/2*$B$29),(-(($B$30-1)/2*$B$29)))))*$B$53+(0),999)</f>
        <v>999</v>
      </c>
    </row>
    <row r="113" spans="16:23" x14ac:dyDescent="0.3">
      <c r="P113" s="35">
        <f>IF(AND($B$18&gt;0),(IF(27&lt;$B$18,($B$4/2-$B$13),IF(MOD($B$18-1,2)=0,(($B$22-1)/2*$B$21),(-(($B$22-1)/2*$B$21)))))*$B$53+(-38),999)</f>
        <v>-11.2307692307692</v>
      </c>
      <c r="Q113" s="35">
        <f>IF(AND($B$18&gt;0),(IF(27&lt;$B$18,(27-($B$18-1)/2)*$B$17,(($B$18-1)-($B$18-1)/2)*$B$17))*$B$53+(0),999)</f>
        <v>26.7692307692308</v>
      </c>
      <c r="R113" s="35">
        <f>IF(AND($B$22&gt;0),(IF(27&lt;$B$22,(27-($B$22-1)/2)*$B$21,(($B$22-1)-($B$22-1)/2)*$B$21))*$B$53+(-38),999)</f>
        <v>-11.2307692307692</v>
      </c>
      <c r="S113" s="35">
        <f>IF(AND($B$22&gt;0),(IF(27&lt;$B$22,($B$5/2-IF($B$3=3,0,$B$13)),IF(MOD($B$22-1,2)=0,(($B$18-1)/2*$B$17),(-(($B$18-1)/2*$B$17)))))*$B$53+(0),999)</f>
        <v>26.7692307692308</v>
      </c>
      <c r="T113" s="35">
        <f>IF(AND($B$30&gt;0,$B$29&gt;0),(IF(27&lt;$B$30,($B$4/2-$B$13),IF(MOD($B$30-1,2)=0,(($B$31-1)/2*$B$29),(-(($B$31-1)/2*$B$29)))))*$B$53+(-38),999)</f>
        <v>999</v>
      </c>
      <c r="U113" s="35">
        <f>IF(AND($B$30&gt;0,$B$29&gt;0),(IF(27&lt;$B$30,(27-($B$30-1)/2)*$B$29,(($B$30-1)-($B$30-1)/2)*$B$29))*$B$53+(0),999)</f>
        <v>999</v>
      </c>
      <c r="V113" s="35">
        <f>IF(AND($B$31&gt;0,$B$29&gt;0),(IF(27&lt;$B$31,(27-($B$31-1)/2)*$B$29,(($B$31-1)-($B$31-1)/2)*$B$29))*$B$53+(-38),999)</f>
        <v>999</v>
      </c>
      <c r="W113" s="35">
        <f>IF(AND($B$31&gt;0,$B$29&gt;0),(IF(27&lt;$B$31,($B$5/2-$B$13),IF(MOD($B$31-1,2)=0,(($B$30-1)/2*$B$29),(-(($B$30-1)/2*$B$29)))))*$B$53+(0),999)</f>
        <v>999</v>
      </c>
    </row>
    <row r="114" spans="16:23" x14ac:dyDescent="0.3">
      <c r="P114" s="35">
        <f>IF(AND($B$18&gt;0),(IF(27&lt;$B$18,(-$B$4/2+$B$13),IF(MOD($B$18-1,2)=0,(($B$22-1)/2*$B$21),(-(($B$22-1)/2*$B$21)))))*$B$53+(-38),999)</f>
        <v>-11.2307692307692</v>
      </c>
      <c r="Q114" s="35">
        <f>IF(AND($B$18&gt;0),(IF(27&lt;$B$18,(27-($B$18-1)/2)*$B$17,(($B$18-1)-($B$18-1)/2)*$B$17))*$B$53+(0),999)</f>
        <v>26.7692307692308</v>
      </c>
      <c r="R114" s="35">
        <f>IF(AND($B$22&gt;0),(IF(27&lt;$B$22,(27-($B$22-1)/2)*$B$21,(($B$22-1)-($B$22-1)/2)*$B$21))*$B$53+(-38),999)</f>
        <v>-11.2307692307692</v>
      </c>
      <c r="S114" s="35">
        <f>IF(AND($B$22&gt;0),(IF(27&lt;$B$22,(-$B$5/2+IF($B$3=3,0,$B$13)),IF(MOD($B$22-1,2)=0,(($B$18-1)/2*$B$17),(-(($B$18-1)/2*$B$17)))))*$B$53+(0),999)</f>
        <v>26.7692307692308</v>
      </c>
      <c r="T114" s="35">
        <f>IF(AND($B$30&gt;0,$B$29&gt;0),(IF(27&lt;$B$30,(-$B$4/2+$B$13),IF(MOD($B$30-1,2)=0,(($B$31-1)/2*$B$29),(-(($B$31-1)/2*$B$29)))))*$B$53+(-38),999)</f>
        <v>999</v>
      </c>
      <c r="U114" s="35">
        <f>IF(AND($B$30&gt;0,$B$29&gt;0),(IF(27&lt;$B$30,(27-($B$30-1)/2)*$B$29,(($B$30-1)-($B$30-1)/2)*$B$29))*$B$53+(0),999)</f>
        <v>999</v>
      </c>
      <c r="V114" s="35">
        <f>IF(AND($B$31&gt;0,$B$29&gt;0),(IF(27&lt;$B$31,(27-($B$31-1)/2)*$B$29,(($B$31-1)-($B$31-1)/2)*$B$29))*$B$53+(-38),999)</f>
        <v>999</v>
      </c>
      <c r="W114" s="35">
        <f>IF(AND($B$31&gt;0,$B$29&gt;0),(IF(27&lt;$B$31,(-$B$5/2+$B$13),IF(MOD($B$31-1,2)=0,(($B$30-1)/2*$B$29),(-(($B$30-1)/2*$B$29)))))*$B$53+(0),999)</f>
        <v>999</v>
      </c>
    </row>
    <row r="115" spans="16:23" x14ac:dyDescent="0.3">
      <c r="P115" s="35">
        <f>IF(AND($B$18&gt;0),(IF(27&lt;$B$18,(-(($B$22-1)/2*$B$21)),IF(MOD($B$18-1,2)=0,(($B$22-1)/2*$B$21),(-(($B$22-1)/2*$B$21)))))*$B$53+(-38),999)</f>
        <v>-11.2307692307692</v>
      </c>
      <c r="Q115" s="35">
        <f>IF(AND($B$18&gt;0),(IF(27&lt;$B$18,(27-($B$18-1)/2)*$B$17,(($B$18-1)-($B$18-1)/2)*$B$17))*$B$53+(0),999)</f>
        <v>26.7692307692308</v>
      </c>
      <c r="R115" s="35">
        <f>IF(AND($B$22&gt;0),(IF(27&lt;$B$22,(27-($B$22-1)/2)*$B$21,(($B$22-1)-($B$22-1)/2)*$B$21))*$B$53+(-38),999)</f>
        <v>-11.2307692307692</v>
      </c>
      <c r="S115" s="35">
        <f>IF(AND($B$22&gt;0),(IF(27&lt;$B$22,(-(($B$18-1)/2*$B$17)),IF(MOD($B$22-1,2)=0,(($B$18-1)/2*$B$17),(-(($B$18-1)/2*$B$17)))))*$B$53+(0),999)</f>
        <v>26.7692307692308</v>
      </c>
      <c r="T115" s="35">
        <f>IF(AND($B$30&gt;0,$B$29&gt;0),(IF(27&lt;$B$30,(-(($B$31-1)/2*$B$29)),IF(MOD($B$30-1,2)=0,(($B$31-1)/2*$B$29),(-(($B$31-1)/2*$B$29)))))*$B$53+(-38),999)</f>
        <v>999</v>
      </c>
      <c r="U115" s="35">
        <f>IF(AND($B$30&gt;0,$B$29&gt;0),(IF(27&lt;$B$30,(27-($B$30-1)/2)*$B$29,(($B$30-1)-($B$30-1)/2)*$B$29))*$B$53+(0),999)</f>
        <v>999</v>
      </c>
      <c r="V115" s="35">
        <f>IF(AND($B$31&gt;0,$B$29&gt;0),(IF(27&lt;$B$31,(27-($B$31-1)/2)*$B$29,(($B$31-1)-($B$31-1)/2)*$B$29))*$B$53+(-38),999)</f>
        <v>999</v>
      </c>
      <c r="W115" s="35">
        <f>IF(AND($B$31&gt;0,$B$29&gt;0),(IF(27&lt;$B$31,(-(($B$30-1)/2*$B$29)),IF(MOD($B$31-1,2)=0,(($B$30-1)/2*$B$29),(-(($B$30-1)/2*$B$29)))))*$B$53+(0),999)</f>
        <v>999</v>
      </c>
    </row>
    <row r="116" spans="16:23" x14ac:dyDescent="0.3">
      <c r="P116" s="35">
        <f>IF(AND($B$18&gt;0),(IF(28&lt;$B$18,(-(($B$22-1)/2*$B$21)),IF(MOD($B$18-1,2)=0,(($B$22-1)/2*$B$21),(-(($B$22-1)/2*$B$21)))))*$B$53+(-38),999)</f>
        <v>-11.2307692307692</v>
      </c>
      <c r="Q116" s="35">
        <f>IF(AND($B$18&gt;0),(IF(28&lt;$B$18,(28-($B$18-1)/2)*$B$17,(($B$18-1)-($B$18-1)/2)*$B$17))*$B$53+(0),999)</f>
        <v>26.7692307692308</v>
      </c>
      <c r="R116" s="35">
        <f>IF(AND($B$22&gt;0),(IF(28&lt;$B$22,(28-($B$22-1)/2)*$B$21,(($B$22-1)-($B$22-1)/2)*$B$21))*$B$53+(-38),999)</f>
        <v>-11.2307692307692</v>
      </c>
      <c r="S116" s="35">
        <f>IF(AND($B$22&gt;0),(IF(28&lt;$B$22,(-(($B$18-1)/2*$B$17)),IF(MOD($B$22-1,2)=0,(($B$18-1)/2*$B$17),(-(($B$18-1)/2*$B$17)))))*$B$53+(0),999)</f>
        <v>26.7692307692308</v>
      </c>
      <c r="T116" s="35">
        <f>IF(AND($B$30&gt;0,$B$29&gt;0),(IF(28&lt;$B$30,(-(($B$31-1)/2*$B$29)),IF(MOD($B$30-1,2)=0,(($B$31-1)/2*$B$29),(-(($B$31-1)/2*$B$29)))))*$B$53+(-38),999)</f>
        <v>999</v>
      </c>
      <c r="U116" s="35">
        <f>IF(AND($B$30&gt;0,$B$29&gt;0),(IF(28&lt;$B$30,(28-($B$30-1)/2)*$B$29,(($B$30-1)-($B$30-1)/2)*$B$29))*$B$53+(0),999)</f>
        <v>999</v>
      </c>
      <c r="V116" s="35">
        <f>IF(AND($B$31&gt;0,$B$29&gt;0),(IF(28&lt;$B$31,(28-($B$31-1)/2)*$B$29,(($B$31-1)-($B$31-1)/2)*$B$29))*$B$53+(-38),999)</f>
        <v>999</v>
      </c>
      <c r="W116" s="35">
        <f>IF(AND($B$31&gt;0,$B$29&gt;0),(IF(28&lt;$B$31,(-(($B$30-1)/2*$B$29)),IF(MOD($B$31-1,2)=0,(($B$30-1)/2*$B$29),(-(($B$30-1)/2*$B$29)))))*$B$53+(0),999)</f>
        <v>999</v>
      </c>
    </row>
    <row r="117" spans="16:23" x14ac:dyDescent="0.3">
      <c r="P117" s="35">
        <f>IF(AND($B$18&gt;0),(IF(28&lt;$B$18,(-$B$4/2+$B$13),IF(MOD($B$18-1,2)=0,(($B$22-1)/2*$B$21),(-(($B$22-1)/2*$B$21)))))*$B$53+(-38),999)</f>
        <v>-11.2307692307692</v>
      </c>
      <c r="Q117" s="35">
        <f>IF(AND($B$18&gt;0),(IF(28&lt;$B$18,(28-($B$18-1)/2)*$B$17,(($B$18-1)-($B$18-1)/2)*$B$17))*$B$53+(0),999)</f>
        <v>26.7692307692308</v>
      </c>
      <c r="R117" s="35">
        <f>IF(AND($B$22&gt;0),(IF(28&lt;$B$22,(28-($B$22-1)/2)*$B$21,(($B$22-1)-($B$22-1)/2)*$B$21))*$B$53+(-38),999)</f>
        <v>-11.2307692307692</v>
      </c>
      <c r="S117" s="35">
        <f>IF(AND($B$22&gt;0),(IF(28&lt;$B$22,(-$B$5/2+IF($B$3=3,0,$B$13)),IF(MOD($B$22-1,2)=0,(($B$18-1)/2*$B$17),(-(($B$18-1)/2*$B$17)))))*$B$53+(0),999)</f>
        <v>26.7692307692308</v>
      </c>
      <c r="T117" s="35">
        <f>IF(AND($B$30&gt;0,$B$29&gt;0),(IF(28&lt;$B$30,(-$B$4/2+$B$13),IF(MOD($B$30-1,2)=0,(($B$31-1)/2*$B$29),(-(($B$31-1)/2*$B$29)))))*$B$53+(-38),999)</f>
        <v>999</v>
      </c>
      <c r="U117" s="35">
        <f>IF(AND($B$30&gt;0,$B$29&gt;0),(IF(28&lt;$B$30,(28-($B$30-1)/2)*$B$29,(($B$30-1)-($B$30-1)/2)*$B$29))*$B$53+(0),999)</f>
        <v>999</v>
      </c>
      <c r="V117" s="35">
        <f>IF(AND($B$31&gt;0,$B$29&gt;0),(IF(28&lt;$B$31,(28-($B$31-1)/2)*$B$29,(($B$31-1)-($B$31-1)/2)*$B$29))*$B$53+(-38),999)</f>
        <v>999</v>
      </c>
      <c r="W117" s="35">
        <f>IF(AND($B$31&gt;0,$B$29&gt;0),(IF(28&lt;$B$31,(-$B$5/2+$B$13),IF(MOD($B$31-1,2)=0,(($B$30-1)/2*$B$29),(-(($B$30-1)/2*$B$29)))))*$B$53+(0),999)</f>
        <v>999</v>
      </c>
    </row>
    <row r="118" spans="16:23" x14ac:dyDescent="0.3">
      <c r="P118" s="35">
        <f>IF(AND($B$18&gt;0),(IF(28&lt;$B$18,($B$4/2-$B$13),IF(MOD($B$18-1,2)=0,(($B$22-1)/2*$B$21),(-(($B$22-1)/2*$B$21)))))*$B$53+(-38),999)</f>
        <v>-11.2307692307692</v>
      </c>
      <c r="Q118" s="35">
        <f>IF(AND($B$18&gt;0),(IF(28&lt;$B$18,(28-($B$18-1)/2)*$B$17,(($B$18-1)-($B$18-1)/2)*$B$17))*$B$53+(0),999)</f>
        <v>26.7692307692308</v>
      </c>
      <c r="R118" s="35">
        <f>IF(AND($B$22&gt;0),(IF(28&lt;$B$22,(28-($B$22-1)/2)*$B$21,(($B$22-1)-($B$22-1)/2)*$B$21))*$B$53+(-38),999)</f>
        <v>-11.2307692307692</v>
      </c>
      <c r="S118" s="35">
        <f>IF(AND($B$22&gt;0),(IF(28&lt;$B$22,($B$5/2-IF($B$3=3,0,$B$13)),IF(MOD($B$22-1,2)=0,(($B$18-1)/2*$B$17),(-(($B$18-1)/2*$B$17)))))*$B$53+(0),999)</f>
        <v>26.7692307692308</v>
      </c>
      <c r="T118" s="35">
        <f>IF(AND($B$30&gt;0,$B$29&gt;0),(IF(28&lt;$B$30,($B$4/2-$B$13),IF(MOD($B$30-1,2)=0,(($B$31-1)/2*$B$29),(-(($B$31-1)/2*$B$29)))))*$B$53+(-38),999)</f>
        <v>999</v>
      </c>
      <c r="U118" s="35">
        <f>IF(AND($B$30&gt;0,$B$29&gt;0),(IF(28&lt;$B$30,(28-($B$30-1)/2)*$B$29,(($B$30-1)-($B$30-1)/2)*$B$29))*$B$53+(0),999)</f>
        <v>999</v>
      </c>
      <c r="V118" s="35">
        <f>IF(AND($B$31&gt;0,$B$29&gt;0),(IF(28&lt;$B$31,(28-($B$31-1)/2)*$B$29,(($B$31-1)-($B$31-1)/2)*$B$29))*$B$53+(-38),999)</f>
        <v>999</v>
      </c>
      <c r="W118" s="35">
        <f>IF(AND($B$31&gt;0,$B$29&gt;0),(IF(28&lt;$B$31,($B$5/2-$B$13),IF(MOD($B$31-1,2)=0,(($B$30-1)/2*$B$29),(-(($B$30-1)/2*$B$29)))))*$B$53+(0),999)</f>
        <v>999</v>
      </c>
    </row>
    <row r="119" spans="16:23" x14ac:dyDescent="0.3">
      <c r="P119" s="35">
        <f>IF(AND($B$18&gt;0),(IF(28&lt;$B$18,(($B$22-1)/2*$B$21),IF(MOD($B$18-1,2)=0,(($B$22-1)/2*$B$21),(-(($B$22-1)/2*$B$21)))))*$B$53+(-38),999)</f>
        <v>-11.2307692307692</v>
      </c>
      <c r="Q119" s="35">
        <f>IF(AND($B$18&gt;0),(IF(28&lt;$B$18,(28-($B$18-1)/2)*$B$17,(($B$18-1)-($B$18-1)/2)*$B$17))*$B$53+(0),999)</f>
        <v>26.7692307692308</v>
      </c>
      <c r="R119" s="35">
        <f>IF(AND($B$22&gt;0),(IF(28&lt;$B$22,(28-($B$22-1)/2)*$B$21,(($B$22-1)-($B$22-1)/2)*$B$21))*$B$53+(-38),999)</f>
        <v>-11.2307692307692</v>
      </c>
      <c r="S119" s="35">
        <f>IF(AND($B$22&gt;0),(IF(28&lt;$B$22,(($B$18-1)/2*$B$17),IF(MOD($B$22-1,2)=0,(($B$18-1)/2*$B$17),(-(($B$18-1)/2*$B$17)))))*$B$53+(0),999)</f>
        <v>26.7692307692308</v>
      </c>
      <c r="T119" s="35">
        <f>IF(AND($B$30&gt;0,$B$29&gt;0),(IF(28&lt;$B$30,(($B$31-1)/2*$B$29),IF(MOD($B$30-1,2)=0,(($B$31-1)/2*$B$29),(-(($B$31-1)/2*$B$29)))))*$B$53+(-38),999)</f>
        <v>999</v>
      </c>
      <c r="U119" s="35">
        <f>IF(AND($B$30&gt;0,$B$29&gt;0),(IF(28&lt;$B$30,(28-($B$30-1)/2)*$B$29,(($B$30-1)-($B$30-1)/2)*$B$29))*$B$53+(0),999)</f>
        <v>999</v>
      </c>
      <c r="V119" s="35">
        <f>IF(AND($B$31&gt;0,$B$29&gt;0),(IF(28&lt;$B$31,(28-($B$31-1)/2)*$B$29,(($B$31-1)-($B$31-1)/2)*$B$29))*$B$53+(-38),999)</f>
        <v>999</v>
      </c>
      <c r="W119" s="35">
        <f>IF(AND($B$31&gt;0,$B$29&gt;0),(IF(28&lt;$B$31,(($B$30-1)/2*$B$29),IF(MOD($B$31-1,2)=0,(($B$30-1)/2*$B$29),(-(($B$30-1)/2*$B$29)))))*$B$53+(0),999)</f>
        <v>999</v>
      </c>
    </row>
    <row r="120" spans="16:23" x14ac:dyDescent="0.3">
      <c r="P120" s="35">
        <f>IF(AND($B$18&gt;0),(IF(29&lt;$B$18,(($B$22-1)/2*$B$21),IF(MOD($B$18-1,2)=0,(($B$22-1)/2*$B$21),(-(($B$22-1)/2*$B$21)))))*$B$53+(-38),999)</f>
        <v>-11.2307692307692</v>
      </c>
      <c r="Q120" s="35">
        <f>IF(AND($B$18&gt;0),(IF(29&lt;$B$18,(29-($B$18-1)/2)*$B$17,(($B$18-1)-($B$18-1)/2)*$B$17))*$B$53+(0),999)</f>
        <v>26.7692307692308</v>
      </c>
      <c r="R120" s="35">
        <f>IF(AND($B$22&gt;0),(IF(29&lt;$B$22,(29-($B$22-1)/2)*$B$21,(($B$22-1)-($B$22-1)/2)*$B$21))*$B$53+(-38),999)</f>
        <v>-11.2307692307692</v>
      </c>
      <c r="S120" s="35">
        <f>IF(AND($B$22&gt;0),(IF(29&lt;$B$22,(($B$18-1)/2*$B$17),IF(MOD($B$22-1,2)=0,(($B$18-1)/2*$B$17),(-(($B$18-1)/2*$B$17)))))*$B$53+(0),999)</f>
        <v>26.7692307692308</v>
      </c>
      <c r="T120" s="35">
        <f>IF(AND($B$30&gt;0,$B$29&gt;0),(IF(29&lt;$B$30,(($B$31-1)/2*$B$29),IF(MOD($B$30-1,2)=0,(($B$31-1)/2*$B$29),(-(($B$31-1)/2*$B$29)))))*$B$53+(-38),999)</f>
        <v>999</v>
      </c>
      <c r="U120" s="35">
        <f>IF(AND($B$30&gt;0,$B$29&gt;0),(IF(29&lt;$B$30,(29-($B$30-1)/2)*$B$29,(($B$30-1)-($B$30-1)/2)*$B$29))*$B$53+(0),999)</f>
        <v>999</v>
      </c>
      <c r="V120" s="35">
        <f>IF(AND($B$31&gt;0,$B$29&gt;0),(IF(29&lt;$B$31,(29-($B$31-1)/2)*$B$29,(($B$31-1)-($B$31-1)/2)*$B$29))*$B$53+(-38),999)</f>
        <v>999</v>
      </c>
      <c r="W120" s="35">
        <f>IF(AND($B$31&gt;0,$B$29&gt;0),(IF(29&lt;$B$31,(($B$30-1)/2*$B$29),IF(MOD($B$31-1,2)=0,(($B$30-1)/2*$B$29),(-(($B$30-1)/2*$B$29)))))*$B$53+(0),999)</f>
        <v>999</v>
      </c>
    </row>
    <row r="121" spans="16:23" x14ac:dyDescent="0.3">
      <c r="P121" s="35">
        <f>IF(AND($B$18&gt;0),(IF(29&lt;$B$18,($B$4/2-$B$13),IF(MOD($B$18-1,2)=0,(($B$22-1)/2*$B$21),(-(($B$22-1)/2*$B$21)))))*$B$53+(-38),999)</f>
        <v>-11.2307692307692</v>
      </c>
      <c r="Q121" s="35">
        <f>IF(AND($B$18&gt;0),(IF(29&lt;$B$18,(29-($B$18-1)/2)*$B$17,(($B$18-1)-($B$18-1)/2)*$B$17))*$B$53+(0),999)</f>
        <v>26.7692307692308</v>
      </c>
      <c r="R121" s="35">
        <f>IF(AND($B$22&gt;0),(IF(29&lt;$B$22,(29-($B$22-1)/2)*$B$21,(($B$22-1)-($B$22-1)/2)*$B$21))*$B$53+(-38),999)</f>
        <v>-11.2307692307692</v>
      </c>
      <c r="S121" s="35">
        <f>IF(AND($B$22&gt;0),(IF(29&lt;$B$22,($B$5/2-IF($B$3=3,0,$B$13)),IF(MOD($B$22-1,2)=0,(($B$18-1)/2*$B$17),(-(($B$18-1)/2*$B$17)))))*$B$53+(0),999)</f>
        <v>26.7692307692308</v>
      </c>
      <c r="T121" s="35">
        <f>IF(AND($B$30&gt;0,$B$29&gt;0),(IF(29&lt;$B$30,($B$4/2-$B$13),IF(MOD($B$30-1,2)=0,(($B$31-1)/2*$B$29),(-(($B$31-1)/2*$B$29)))))*$B$53+(-38),999)</f>
        <v>999</v>
      </c>
      <c r="U121" s="35">
        <f>IF(AND($B$30&gt;0,$B$29&gt;0),(IF(29&lt;$B$30,(29-($B$30-1)/2)*$B$29,(($B$30-1)-($B$30-1)/2)*$B$29))*$B$53+(0),999)</f>
        <v>999</v>
      </c>
      <c r="V121" s="35">
        <f>IF(AND($B$31&gt;0,$B$29&gt;0),(IF(29&lt;$B$31,(29-($B$31-1)/2)*$B$29,(($B$31-1)-($B$31-1)/2)*$B$29))*$B$53+(-38),999)</f>
        <v>999</v>
      </c>
      <c r="W121" s="35">
        <f>IF(AND($B$31&gt;0,$B$29&gt;0),(IF(29&lt;$B$31,($B$5/2-$B$13),IF(MOD($B$31-1,2)=0,(($B$30-1)/2*$B$29),(-(($B$30-1)/2*$B$29)))))*$B$53+(0),999)</f>
        <v>999</v>
      </c>
    </row>
    <row r="122" spans="16:23" x14ac:dyDescent="0.3">
      <c r="P122" s="35">
        <f>IF(AND($B$18&gt;0),(IF(29&lt;$B$18,(-$B$4/2+$B$13),IF(MOD($B$18-1,2)=0,(($B$22-1)/2*$B$21),(-(($B$22-1)/2*$B$21)))))*$B$53+(-38),999)</f>
        <v>-11.2307692307692</v>
      </c>
      <c r="Q122" s="35">
        <f>IF(AND($B$18&gt;0),(IF(29&lt;$B$18,(29-($B$18-1)/2)*$B$17,(($B$18-1)-($B$18-1)/2)*$B$17))*$B$53+(0),999)</f>
        <v>26.7692307692308</v>
      </c>
      <c r="R122" s="35">
        <f>IF(AND($B$22&gt;0),(IF(29&lt;$B$22,(29-($B$22-1)/2)*$B$21,(($B$22-1)-($B$22-1)/2)*$B$21))*$B$53+(-38),999)</f>
        <v>-11.2307692307692</v>
      </c>
      <c r="S122" s="35">
        <f>IF(AND($B$22&gt;0),(IF(29&lt;$B$22,(-$B$5/2+IF($B$3=3,0,$B$13)),IF(MOD($B$22-1,2)=0,(($B$18-1)/2*$B$17),(-(($B$18-1)/2*$B$17)))))*$B$53+(0),999)</f>
        <v>26.7692307692308</v>
      </c>
      <c r="T122" s="35">
        <f>IF(AND($B$30&gt;0,$B$29&gt;0),(IF(29&lt;$B$30,(-$B$4/2+$B$13),IF(MOD($B$30-1,2)=0,(($B$31-1)/2*$B$29),(-(($B$31-1)/2*$B$29)))))*$B$53+(-38),999)</f>
        <v>999</v>
      </c>
      <c r="U122" s="35">
        <f>IF(AND($B$30&gt;0,$B$29&gt;0),(IF(29&lt;$B$30,(29-($B$30-1)/2)*$B$29,(($B$30-1)-($B$30-1)/2)*$B$29))*$B$53+(0),999)</f>
        <v>999</v>
      </c>
      <c r="V122" s="35">
        <f>IF(AND($B$31&gt;0,$B$29&gt;0),(IF(29&lt;$B$31,(29-($B$31-1)/2)*$B$29,(($B$31-1)-($B$31-1)/2)*$B$29))*$B$53+(-38),999)</f>
        <v>999</v>
      </c>
      <c r="W122" s="35">
        <f>IF(AND($B$31&gt;0,$B$29&gt;0),(IF(29&lt;$B$31,(-$B$5/2+$B$13),IF(MOD($B$31-1,2)=0,(($B$30-1)/2*$B$29),(-(($B$30-1)/2*$B$29)))))*$B$53+(0),999)</f>
        <v>999</v>
      </c>
    </row>
    <row r="123" spans="16:23" x14ac:dyDescent="0.3">
      <c r="P123" s="35">
        <f>IF(AND($B$18&gt;0),(IF(29&lt;$B$18,(-(($B$22-1)/2*$B$21)),IF(MOD($B$18-1,2)=0,(($B$22-1)/2*$B$21),(-(($B$22-1)/2*$B$21)))))*$B$53+(-38),999)</f>
        <v>-11.2307692307692</v>
      </c>
      <c r="Q123" s="35">
        <f>IF(AND($B$18&gt;0),(IF(29&lt;$B$18,(29-($B$18-1)/2)*$B$17,(($B$18-1)-($B$18-1)/2)*$B$17))*$B$53+(0),999)</f>
        <v>26.7692307692308</v>
      </c>
      <c r="R123" s="35">
        <f>IF(AND($B$22&gt;0),(IF(29&lt;$B$22,(29-($B$22-1)/2)*$B$21,(($B$22-1)-($B$22-1)/2)*$B$21))*$B$53+(-38),999)</f>
        <v>-11.2307692307692</v>
      </c>
      <c r="S123" s="35">
        <f>IF(AND($B$22&gt;0),(IF(29&lt;$B$22,(-(($B$18-1)/2*$B$17)),IF(MOD($B$22-1,2)=0,(($B$18-1)/2*$B$17),(-(($B$18-1)/2*$B$17)))))*$B$53+(0),999)</f>
        <v>26.7692307692308</v>
      </c>
      <c r="T123" s="35">
        <f>IF(AND($B$30&gt;0,$B$29&gt;0),(IF(29&lt;$B$30,(-(($B$31-1)/2*$B$29)),IF(MOD($B$30-1,2)=0,(($B$31-1)/2*$B$29),(-(($B$31-1)/2*$B$29)))))*$B$53+(-38),999)</f>
        <v>999</v>
      </c>
      <c r="U123" s="35">
        <f>IF(AND($B$30&gt;0,$B$29&gt;0),(IF(29&lt;$B$30,(29-($B$30-1)/2)*$B$29,(($B$30-1)-($B$30-1)/2)*$B$29))*$B$53+(0),999)</f>
        <v>999</v>
      </c>
      <c r="V123" s="35">
        <f>IF(AND($B$31&gt;0,$B$29&gt;0),(IF(29&lt;$B$31,(29-($B$31-1)/2)*$B$29,(($B$31-1)-($B$31-1)/2)*$B$29))*$B$53+(-38),999)</f>
        <v>999</v>
      </c>
      <c r="W123" s="35">
        <f>IF(AND($B$31&gt;0,$B$29&gt;0),(IF(29&lt;$B$31,(-(($B$30-1)/2*$B$29)),IF(MOD($B$31-1,2)=0,(($B$30-1)/2*$B$29),(-(($B$30-1)/2*$B$29)))))*$B$53+(0),999)</f>
        <v>999</v>
      </c>
    </row>
    <row r="124" spans="16:23" x14ac:dyDescent="0.3">
      <c r="P124" s="35">
        <f>IF(AND($B$18&gt;0),(IF(30&lt;$B$18,(-(($B$22-1)/2*$B$21)),IF(MOD($B$18-1,2)=0,(($B$22-1)/2*$B$21),(-(($B$22-1)/2*$B$21)))))*$B$53+(-38),999)</f>
        <v>-11.2307692307692</v>
      </c>
      <c r="Q124" s="35">
        <f>IF(AND($B$18&gt;0),(IF(30&lt;$B$18,(30-($B$18-1)/2)*$B$17,(($B$18-1)-($B$18-1)/2)*$B$17))*$B$53+(0),999)</f>
        <v>26.7692307692308</v>
      </c>
      <c r="R124" s="35">
        <f>IF(AND($B$22&gt;0),(IF(30&lt;$B$22,(30-($B$22-1)/2)*$B$21,(($B$22-1)-($B$22-1)/2)*$B$21))*$B$53+(-38),999)</f>
        <v>-11.2307692307692</v>
      </c>
      <c r="S124" s="35">
        <f>IF(AND($B$22&gt;0),(IF(30&lt;$B$22,(-(($B$18-1)/2*$B$17)),IF(MOD($B$22-1,2)=0,(($B$18-1)/2*$B$17),(-(($B$18-1)/2*$B$17)))))*$B$53+(0),999)</f>
        <v>26.7692307692308</v>
      </c>
      <c r="T124" s="35">
        <f>IF(AND($B$30&gt;0,$B$29&gt;0),(IF(30&lt;$B$30,(-(($B$31-1)/2*$B$29)),IF(MOD($B$30-1,2)=0,(($B$31-1)/2*$B$29),(-(($B$31-1)/2*$B$29)))))*$B$53+(-38),999)</f>
        <v>999</v>
      </c>
      <c r="U124" s="35">
        <f>IF(AND($B$30&gt;0,$B$29&gt;0),(IF(30&lt;$B$30,(30-($B$30-1)/2)*$B$29,(($B$30-1)-($B$30-1)/2)*$B$29))*$B$53+(0),999)</f>
        <v>999</v>
      </c>
      <c r="V124" s="35">
        <f>IF(AND($B$31&gt;0,$B$29&gt;0),(IF(30&lt;$B$31,(30-($B$31-1)/2)*$B$29,(($B$31-1)-($B$31-1)/2)*$B$29))*$B$53+(-38),999)</f>
        <v>999</v>
      </c>
      <c r="W124" s="35">
        <f>IF(AND($B$31&gt;0,$B$29&gt;0),(IF(30&lt;$B$31,(-(($B$30-1)/2*$B$29)),IF(MOD($B$31-1,2)=0,(($B$30-1)/2*$B$29),(-(($B$30-1)/2*$B$29)))))*$B$53+(0),999)</f>
        <v>999</v>
      </c>
    </row>
    <row r="125" spans="16:23" x14ac:dyDescent="0.3">
      <c r="P125" s="35">
        <f>IF(AND($B$18&gt;0),(IF(30&lt;$B$18,(-$B$4/2+$B$13),IF(MOD($B$18-1,2)=0,(($B$22-1)/2*$B$21),(-(($B$22-1)/2*$B$21)))))*$B$53+(-38),999)</f>
        <v>-11.2307692307692</v>
      </c>
      <c r="Q125" s="35">
        <f>IF(AND($B$18&gt;0),(IF(30&lt;$B$18,(30-($B$18-1)/2)*$B$17,(($B$18-1)-($B$18-1)/2)*$B$17))*$B$53+(0),999)</f>
        <v>26.7692307692308</v>
      </c>
      <c r="R125" s="35">
        <f>IF(AND($B$22&gt;0),(IF(30&lt;$B$22,(30-($B$22-1)/2)*$B$21,(($B$22-1)-($B$22-1)/2)*$B$21))*$B$53+(-38),999)</f>
        <v>-11.2307692307692</v>
      </c>
      <c r="S125" s="35">
        <f>IF(AND($B$22&gt;0),(IF(30&lt;$B$22,(-$B$5/2+IF($B$3=3,0,$B$13)),IF(MOD($B$22-1,2)=0,(($B$18-1)/2*$B$17),(-(($B$18-1)/2*$B$17)))))*$B$53+(0),999)</f>
        <v>26.7692307692308</v>
      </c>
      <c r="T125" s="35">
        <f>IF(AND($B$30&gt;0,$B$29&gt;0),(IF(30&lt;$B$30,(-$B$4/2+$B$13),IF(MOD($B$30-1,2)=0,(($B$31-1)/2*$B$29),(-(($B$31-1)/2*$B$29)))))*$B$53+(-38),999)</f>
        <v>999</v>
      </c>
      <c r="U125" s="35">
        <f>IF(AND($B$30&gt;0,$B$29&gt;0),(IF(30&lt;$B$30,(30-($B$30-1)/2)*$B$29,(($B$30-1)-($B$30-1)/2)*$B$29))*$B$53+(0),999)</f>
        <v>999</v>
      </c>
      <c r="V125" s="35">
        <f>IF(AND($B$31&gt;0,$B$29&gt;0),(IF(30&lt;$B$31,(30-($B$31-1)/2)*$B$29,(($B$31-1)-($B$31-1)/2)*$B$29))*$B$53+(-38),999)</f>
        <v>999</v>
      </c>
      <c r="W125" s="35">
        <f>IF(AND($B$31&gt;0,$B$29&gt;0),(IF(30&lt;$B$31,(-$B$5/2+$B$13),IF(MOD($B$31-1,2)=0,(($B$30-1)/2*$B$29),(-(($B$30-1)/2*$B$29)))))*$B$53+(0),999)</f>
        <v>999</v>
      </c>
    </row>
    <row r="126" spans="16:23" x14ac:dyDescent="0.3">
      <c r="P126" s="35">
        <f>IF(AND($B$18&gt;0),(IF(30&lt;$B$18,($B$4/2-$B$13),IF(MOD($B$18-1,2)=0,(($B$22-1)/2*$B$21),(-(($B$22-1)/2*$B$21)))))*$B$53+(-38),999)</f>
        <v>-11.2307692307692</v>
      </c>
      <c r="Q126" s="35">
        <f>IF(AND($B$18&gt;0),(IF(30&lt;$B$18,(30-($B$18-1)/2)*$B$17,(($B$18-1)-($B$18-1)/2)*$B$17))*$B$53+(0),999)</f>
        <v>26.7692307692308</v>
      </c>
      <c r="R126" s="35">
        <f>IF(AND($B$22&gt;0),(IF(30&lt;$B$22,(30-($B$22-1)/2)*$B$21,(($B$22-1)-($B$22-1)/2)*$B$21))*$B$53+(-38),999)</f>
        <v>-11.2307692307692</v>
      </c>
      <c r="S126" s="35">
        <f>IF(AND($B$22&gt;0),(IF(30&lt;$B$22,($B$5/2-IF($B$3=3,0,$B$13)),IF(MOD($B$22-1,2)=0,(($B$18-1)/2*$B$17),(-(($B$18-1)/2*$B$17)))))*$B$53+(0),999)</f>
        <v>26.7692307692308</v>
      </c>
      <c r="T126" s="35">
        <f>IF(AND($B$30&gt;0,$B$29&gt;0),(IF(30&lt;$B$30,($B$4/2-$B$13),IF(MOD($B$30-1,2)=0,(($B$31-1)/2*$B$29),(-(($B$31-1)/2*$B$29)))))*$B$53+(-38),999)</f>
        <v>999</v>
      </c>
      <c r="U126" s="35">
        <f>IF(AND($B$30&gt;0,$B$29&gt;0),(IF(30&lt;$B$30,(30-($B$30-1)/2)*$B$29,(($B$30-1)-($B$30-1)/2)*$B$29))*$B$53+(0),999)</f>
        <v>999</v>
      </c>
      <c r="V126" s="35">
        <f>IF(AND($B$31&gt;0,$B$29&gt;0),(IF(30&lt;$B$31,(30-($B$31-1)/2)*$B$29,(($B$31-1)-($B$31-1)/2)*$B$29))*$B$53+(-38),999)</f>
        <v>999</v>
      </c>
      <c r="W126" s="35">
        <f>IF(AND($B$31&gt;0,$B$29&gt;0),(IF(30&lt;$B$31,($B$5/2-$B$13),IF(MOD($B$31-1,2)=0,(($B$30-1)/2*$B$29),(-(($B$30-1)/2*$B$29)))))*$B$53+(0),999)</f>
        <v>999</v>
      </c>
    </row>
    <row r="127" spans="16:23" x14ac:dyDescent="0.3">
      <c r="P127" s="35">
        <f>IF(AND($B$18&gt;0),(IF(30&lt;$B$18,(($B$22-1)/2*$B$21),IF(MOD($B$18-1,2)=0,(($B$22-1)/2*$B$21),(-(($B$22-1)/2*$B$21)))))*$B$53+(-38),999)</f>
        <v>-11.2307692307692</v>
      </c>
      <c r="Q127" s="35">
        <f>IF(AND($B$18&gt;0),(IF(30&lt;$B$18,(30-($B$18-1)/2)*$B$17,(($B$18-1)-($B$18-1)/2)*$B$17))*$B$53+(0),999)</f>
        <v>26.7692307692308</v>
      </c>
      <c r="R127" s="35">
        <f>IF(AND($B$22&gt;0),(IF(30&lt;$B$22,(30-($B$22-1)/2)*$B$21,(($B$22-1)-($B$22-1)/2)*$B$21))*$B$53+(-38),999)</f>
        <v>-11.2307692307692</v>
      </c>
      <c r="S127" s="35">
        <f>IF(AND($B$22&gt;0),(IF(30&lt;$B$22,(($B$18-1)/2*$B$17),IF(MOD($B$22-1,2)=0,(($B$18-1)/2*$B$17),(-(($B$18-1)/2*$B$17)))))*$B$53+(0),999)</f>
        <v>26.7692307692308</v>
      </c>
      <c r="T127" s="35">
        <f>IF(AND($B$30&gt;0,$B$29&gt;0),(IF(30&lt;$B$30,(($B$31-1)/2*$B$29),IF(MOD($B$30-1,2)=0,(($B$31-1)/2*$B$29),(-(($B$31-1)/2*$B$29)))))*$B$53+(-38),999)</f>
        <v>999</v>
      </c>
      <c r="U127" s="35">
        <f>IF(AND($B$30&gt;0,$B$29&gt;0),(IF(30&lt;$B$30,(30-($B$30-1)/2)*$B$29,(($B$30-1)-($B$30-1)/2)*$B$29))*$B$53+(0),999)</f>
        <v>999</v>
      </c>
      <c r="V127" s="35">
        <f>IF(AND($B$31&gt;0,$B$29&gt;0),(IF(30&lt;$B$31,(30-($B$31-1)/2)*$B$29,(($B$31-1)-($B$31-1)/2)*$B$29))*$B$53+(-38),999)</f>
        <v>999</v>
      </c>
      <c r="W127" s="35">
        <f>IF(AND($B$31&gt;0,$B$29&gt;0),(IF(30&lt;$B$31,(($B$30-1)/2*$B$29),IF(MOD($B$31-1,2)=0,(($B$30-1)/2*$B$29),(-(($B$30-1)/2*$B$29)))))*$B$53+(0),999)</f>
        <v>999</v>
      </c>
    </row>
    <row r="128" spans="16:23" x14ac:dyDescent="0.3">
      <c r="P128" s="35">
        <f>IF(AND($B$18&gt;0),(IF(31&lt;$B$18,(($B$22-1)/2*$B$21),IF(MOD($B$18-1,2)=0,(($B$22-1)/2*$B$21),(-(($B$22-1)/2*$B$21)))))*$B$53+(-38),999)</f>
        <v>-11.2307692307692</v>
      </c>
      <c r="Q128" s="35">
        <f>IF(AND($B$18&gt;0),(IF(31&lt;$B$18,(31-($B$18-1)/2)*$B$17,(($B$18-1)-($B$18-1)/2)*$B$17))*$B$53+(0),999)</f>
        <v>26.7692307692308</v>
      </c>
      <c r="R128" s="35">
        <f>IF(AND($B$22&gt;0),(IF(31&lt;$B$22,(31-($B$22-1)/2)*$B$21,(($B$22-1)-($B$22-1)/2)*$B$21))*$B$53+(-38),999)</f>
        <v>-11.2307692307692</v>
      </c>
      <c r="S128" s="35">
        <f>IF(AND($B$22&gt;0),(IF(31&lt;$B$22,(($B$18-1)/2*$B$17),IF(MOD($B$22-1,2)=0,(($B$18-1)/2*$B$17),(-(($B$18-1)/2*$B$17)))))*$B$53+(0),999)</f>
        <v>26.7692307692308</v>
      </c>
      <c r="T128" s="35">
        <f>IF(AND($B$30&gt;0,$B$29&gt;0),(IF(31&lt;$B$30,(($B$31-1)/2*$B$29),IF(MOD($B$30-1,2)=0,(($B$31-1)/2*$B$29),(-(($B$31-1)/2*$B$29)))))*$B$53+(-38),999)</f>
        <v>999</v>
      </c>
      <c r="U128" s="35">
        <f>IF(AND($B$30&gt;0,$B$29&gt;0),(IF(31&lt;$B$30,(31-($B$30-1)/2)*$B$29,(($B$30-1)-($B$30-1)/2)*$B$29))*$B$53+(0),999)</f>
        <v>999</v>
      </c>
      <c r="V128" s="35">
        <f>IF(AND($B$31&gt;0,$B$29&gt;0),(IF(31&lt;$B$31,(31-($B$31-1)/2)*$B$29,(($B$31-1)-($B$31-1)/2)*$B$29))*$B$53+(-38),999)</f>
        <v>999</v>
      </c>
      <c r="W128" s="35">
        <f>IF(AND($B$31&gt;0,$B$29&gt;0),(IF(31&lt;$B$31,(($B$30-1)/2*$B$29),IF(MOD($B$31-1,2)=0,(($B$30-1)/2*$B$29),(-(($B$30-1)/2*$B$29)))))*$B$53+(0),999)</f>
        <v>999</v>
      </c>
    </row>
    <row r="129" spans="16:23" x14ac:dyDescent="0.3">
      <c r="P129" s="35">
        <f>IF(AND($B$18&gt;0),(IF(31&lt;$B$18,($B$4/2-$B$13),IF(MOD($B$18-1,2)=0,(($B$22-1)/2*$B$21),(-(($B$22-1)/2*$B$21)))))*$B$53+(-38),999)</f>
        <v>-11.2307692307692</v>
      </c>
      <c r="Q129" s="35">
        <f>IF(AND($B$18&gt;0),(IF(31&lt;$B$18,(31-($B$18-1)/2)*$B$17,(($B$18-1)-($B$18-1)/2)*$B$17))*$B$53+(0),999)</f>
        <v>26.7692307692308</v>
      </c>
      <c r="R129" s="35">
        <f>IF(AND($B$22&gt;0),(IF(31&lt;$B$22,(31-($B$22-1)/2)*$B$21,(($B$22-1)-($B$22-1)/2)*$B$21))*$B$53+(-38),999)</f>
        <v>-11.2307692307692</v>
      </c>
      <c r="S129" s="35">
        <f>IF(AND($B$22&gt;0),(IF(31&lt;$B$22,($B$5/2-IF($B$3=3,0,$B$13)),IF(MOD($B$22-1,2)=0,(($B$18-1)/2*$B$17),(-(($B$18-1)/2*$B$17)))))*$B$53+(0),999)</f>
        <v>26.7692307692308</v>
      </c>
      <c r="T129" s="35">
        <f>IF(AND($B$30&gt;0,$B$29&gt;0),(IF(31&lt;$B$30,($B$4/2-$B$13),IF(MOD($B$30-1,2)=0,(($B$31-1)/2*$B$29),(-(($B$31-1)/2*$B$29)))))*$B$53+(-38),999)</f>
        <v>999</v>
      </c>
      <c r="U129" s="35">
        <f>IF(AND($B$30&gt;0,$B$29&gt;0),(IF(31&lt;$B$30,(31-($B$30-1)/2)*$B$29,(($B$30-1)-($B$30-1)/2)*$B$29))*$B$53+(0),999)</f>
        <v>999</v>
      </c>
      <c r="V129" s="35">
        <f>IF(AND($B$31&gt;0,$B$29&gt;0),(IF(31&lt;$B$31,(31-($B$31-1)/2)*$B$29,(($B$31-1)-($B$31-1)/2)*$B$29))*$B$53+(-38),999)</f>
        <v>999</v>
      </c>
      <c r="W129" s="35">
        <f>IF(AND($B$31&gt;0,$B$29&gt;0),(IF(31&lt;$B$31,($B$5/2-$B$13),IF(MOD($B$31-1,2)=0,(($B$30-1)/2*$B$29),(-(($B$30-1)/2*$B$29)))))*$B$53+(0),999)</f>
        <v>999</v>
      </c>
    </row>
    <row r="130" spans="16:23" x14ac:dyDescent="0.3">
      <c r="P130" s="35">
        <f>IF(AND($B$18&gt;0),(IF(31&lt;$B$18,(-$B$4/2+$B$13),IF(MOD($B$18-1,2)=0,(($B$22-1)/2*$B$21),(-(($B$22-1)/2*$B$21)))))*$B$53+(-38),999)</f>
        <v>-11.2307692307692</v>
      </c>
      <c r="Q130" s="35">
        <f>IF(AND($B$18&gt;0),(IF(31&lt;$B$18,(31-($B$18-1)/2)*$B$17,(($B$18-1)-($B$18-1)/2)*$B$17))*$B$53+(0),999)</f>
        <v>26.7692307692308</v>
      </c>
      <c r="R130" s="35">
        <f>IF(AND($B$22&gt;0),(IF(31&lt;$B$22,(31-($B$22-1)/2)*$B$21,(($B$22-1)-($B$22-1)/2)*$B$21))*$B$53+(-38),999)</f>
        <v>-11.2307692307692</v>
      </c>
      <c r="S130" s="35">
        <f>IF(AND($B$22&gt;0),(IF(31&lt;$B$22,(-$B$5/2+IF($B$3=3,0,$B$13)),IF(MOD($B$22-1,2)=0,(($B$18-1)/2*$B$17),(-(($B$18-1)/2*$B$17)))))*$B$53+(0),999)</f>
        <v>26.7692307692308</v>
      </c>
      <c r="T130" s="35">
        <f>IF(AND($B$30&gt;0,$B$29&gt;0),(IF(31&lt;$B$30,(-$B$4/2+$B$13),IF(MOD($B$30-1,2)=0,(($B$31-1)/2*$B$29),(-(($B$31-1)/2*$B$29)))))*$B$53+(-38),999)</f>
        <v>999</v>
      </c>
      <c r="U130" s="35">
        <f>IF(AND($B$30&gt;0,$B$29&gt;0),(IF(31&lt;$B$30,(31-($B$30-1)/2)*$B$29,(($B$30-1)-($B$30-1)/2)*$B$29))*$B$53+(0),999)</f>
        <v>999</v>
      </c>
      <c r="V130" s="35">
        <f>IF(AND($B$31&gt;0,$B$29&gt;0),(IF(31&lt;$B$31,(31-($B$31-1)/2)*$B$29,(($B$31-1)-($B$31-1)/2)*$B$29))*$B$53+(-38),999)</f>
        <v>999</v>
      </c>
      <c r="W130" s="35">
        <f>IF(AND($B$31&gt;0,$B$29&gt;0),(IF(31&lt;$B$31,(-$B$5/2+$B$13),IF(MOD($B$31-1,2)=0,(($B$30-1)/2*$B$29),(-(($B$30-1)/2*$B$29)))))*$B$53+(0),999)</f>
        <v>999</v>
      </c>
    </row>
    <row r="131" spans="16:23" x14ac:dyDescent="0.3">
      <c r="P131" s="35">
        <f>IF(AND($B$18&gt;0),(IF(31&lt;$B$18,(-(($B$22-1)/2*$B$21)),IF(MOD($B$18-1,2)=0,(($B$22-1)/2*$B$21),(-(($B$22-1)/2*$B$21)))))*$B$53+(-38),999)</f>
        <v>-11.2307692307692</v>
      </c>
      <c r="Q131" s="35">
        <f>IF(AND($B$18&gt;0),(IF(31&lt;$B$18,(31-($B$18-1)/2)*$B$17,(($B$18-1)-($B$18-1)/2)*$B$17))*$B$53+(0),999)</f>
        <v>26.7692307692308</v>
      </c>
      <c r="R131" s="35">
        <f>IF(AND($B$22&gt;0),(IF(31&lt;$B$22,(31-($B$22-1)/2)*$B$21,(($B$22-1)-($B$22-1)/2)*$B$21))*$B$53+(-38),999)</f>
        <v>-11.2307692307692</v>
      </c>
      <c r="S131" s="35">
        <f>IF(AND($B$22&gt;0),(IF(31&lt;$B$22,(-(($B$18-1)/2*$B$17)),IF(MOD($B$22-1,2)=0,(($B$18-1)/2*$B$17),(-(($B$18-1)/2*$B$17)))))*$B$53+(0),999)</f>
        <v>26.7692307692308</v>
      </c>
      <c r="T131" s="35">
        <f>IF(AND($B$30&gt;0,$B$29&gt;0),(IF(31&lt;$B$30,(-(($B$31-1)/2*$B$29)),IF(MOD($B$30-1,2)=0,(($B$31-1)/2*$B$29),(-(($B$31-1)/2*$B$29)))))*$B$53+(-38),999)</f>
        <v>999</v>
      </c>
      <c r="U131" s="35">
        <f>IF(AND($B$30&gt;0,$B$29&gt;0),(IF(31&lt;$B$30,(31-($B$30-1)/2)*$B$29,(($B$30-1)-($B$30-1)/2)*$B$29))*$B$53+(0),999)</f>
        <v>999</v>
      </c>
      <c r="V131" s="35">
        <f>IF(AND($B$31&gt;0,$B$29&gt;0),(IF(31&lt;$B$31,(31-($B$31-1)/2)*$B$29,(($B$31-1)-($B$31-1)/2)*$B$29))*$B$53+(-38),999)</f>
        <v>999</v>
      </c>
      <c r="W131" s="35">
        <f>IF(AND($B$31&gt;0,$B$29&gt;0),(IF(31&lt;$B$31,(-(($B$30-1)/2*$B$29)),IF(MOD($B$31-1,2)=0,(($B$30-1)/2*$B$29),(-(($B$30-1)/2*$B$29)))))*$B$53+(0),999)</f>
        <v>999</v>
      </c>
    </row>
    <row r="132" spans="16:23" x14ac:dyDescent="0.3">
      <c r="P132" s="35">
        <f>IF(AND($B$18&gt;0),(IF(32&lt;$B$18,(-(($B$22-1)/2*$B$21)),IF(MOD($B$18-1,2)=0,(($B$22-1)/2*$B$21),(-(($B$22-1)/2*$B$21)))))*$B$53+(-38),999)</f>
        <v>-11.2307692307692</v>
      </c>
      <c r="Q132" s="35">
        <f>IF(AND($B$18&gt;0),(IF(32&lt;$B$18,(32-($B$18-1)/2)*$B$17,(($B$18-1)-($B$18-1)/2)*$B$17))*$B$53+(0),999)</f>
        <v>26.7692307692308</v>
      </c>
      <c r="R132" s="35">
        <f>IF(AND($B$22&gt;0),(IF(32&lt;$B$22,(32-($B$22-1)/2)*$B$21,(($B$22-1)-($B$22-1)/2)*$B$21))*$B$53+(-38),999)</f>
        <v>-11.2307692307692</v>
      </c>
      <c r="S132" s="35">
        <f>IF(AND($B$22&gt;0),(IF(32&lt;$B$22,(-(($B$18-1)/2*$B$17)),IF(MOD($B$22-1,2)=0,(($B$18-1)/2*$B$17),(-(($B$18-1)/2*$B$17)))))*$B$53+(0),999)</f>
        <v>26.7692307692308</v>
      </c>
      <c r="T132" s="35">
        <f>IF(AND($B$30&gt;0,$B$29&gt;0),(IF(32&lt;$B$30,(-(($B$31-1)/2*$B$29)),IF(MOD($B$30-1,2)=0,(($B$31-1)/2*$B$29),(-(($B$31-1)/2*$B$29)))))*$B$53+(-38),999)</f>
        <v>999</v>
      </c>
      <c r="U132" s="35">
        <f>IF(AND($B$30&gt;0,$B$29&gt;0),(IF(32&lt;$B$30,(32-($B$30-1)/2)*$B$29,(($B$30-1)-($B$30-1)/2)*$B$29))*$B$53+(0),999)</f>
        <v>999</v>
      </c>
      <c r="V132" s="35">
        <f>IF(AND($B$31&gt;0,$B$29&gt;0),(IF(32&lt;$B$31,(32-($B$31-1)/2)*$B$29,(($B$31-1)-($B$31-1)/2)*$B$29))*$B$53+(-38),999)</f>
        <v>999</v>
      </c>
      <c r="W132" s="35">
        <f>IF(AND($B$31&gt;0,$B$29&gt;0),(IF(32&lt;$B$31,(-(($B$30-1)/2*$B$29)),IF(MOD($B$31-1,2)=0,(($B$30-1)/2*$B$29),(-(($B$30-1)/2*$B$29)))))*$B$53+(0),999)</f>
        <v>999</v>
      </c>
    </row>
    <row r="133" spans="16:23" x14ac:dyDescent="0.3">
      <c r="P133" s="35">
        <f>IF(AND($B$18&gt;0),(IF(32&lt;$B$18,(-$B$4/2+$B$13),IF(MOD($B$18-1,2)=0,(($B$22-1)/2*$B$21),(-(($B$22-1)/2*$B$21)))))*$B$53+(-38),999)</f>
        <v>-11.2307692307692</v>
      </c>
      <c r="Q133" s="35">
        <f>IF(AND($B$18&gt;0),(IF(32&lt;$B$18,(32-($B$18-1)/2)*$B$17,(($B$18-1)-($B$18-1)/2)*$B$17))*$B$53+(0),999)</f>
        <v>26.7692307692308</v>
      </c>
      <c r="R133" s="35">
        <f>IF(AND($B$22&gt;0),(IF(32&lt;$B$22,(32-($B$22-1)/2)*$B$21,(($B$22-1)-($B$22-1)/2)*$B$21))*$B$53+(-38),999)</f>
        <v>-11.2307692307692</v>
      </c>
      <c r="S133" s="35">
        <f>IF(AND($B$22&gt;0),(IF(32&lt;$B$22,(-$B$5/2+IF($B$3=3,0,$B$13)),IF(MOD($B$22-1,2)=0,(($B$18-1)/2*$B$17),(-(($B$18-1)/2*$B$17)))))*$B$53+(0),999)</f>
        <v>26.7692307692308</v>
      </c>
      <c r="T133" s="35">
        <f>IF(AND($B$30&gt;0,$B$29&gt;0),(IF(32&lt;$B$30,(-$B$4/2+$B$13),IF(MOD($B$30-1,2)=0,(($B$31-1)/2*$B$29),(-(($B$31-1)/2*$B$29)))))*$B$53+(-38),999)</f>
        <v>999</v>
      </c>
      <c r="U133" s="35">
        <f>IF(AND($B$30&gt;0,$B$29&gt;0),(IF(32&lt;$B$30,(32-($B$30-1)/2)*$B$29,(($B$30-1)-($B$30-1)/2)*$B$29))*$B$53+(0),999)</f>
        <v>999</v>
      </c>
      <c r="V133" s="35">
        <f>IF(AND($B$31&gt;0,$B$29&gt;0),(IF(32&lt;$B$31,(32-($B$31-1)/2)*$B$29,(($B$31-1)-($B$31-1)/2)*$B$29))*$B$53+(-38),999)</f>
        <v>999</v>
      </c>
      <c r="W133" s="35">
        <f>IF(AND($B$31&gt;0,$B$29&gt;0),(IF(32&lt;$B$31,(-$B$5/2+$B$13),IF(MOD($B$31-1,2)=0,(($B$30-1)/2*$B$29),(-(($B$30-1)/2*$B$29)))))*$B$53+(0),999)</f>
        <v>999</v>
      </c>
    </row>
    <row r="134" spans="16:23" x14ac:dyDescent="0.3">
      <c r="P134" s="35">
        <f>IF(AND($B$18&gt;0),(IF(32&lt;$B$18,($B$4/2-$B$13),IF(MOD($B$18-1,2)=0,(($B$22-1)/2*$B$21),(-(($B$22-1)/2*$B$21)))))*$B$53+(-38),999)</f>
        <v>-11.2307692307692</v>
      </c>
      <c r="Q134" s="35">
        <f>IF(AND($B$18&gt;0),(IF(32&lt;$B$18,(32-($B$18-1)/2)*$B$17,(($B$18-1)-($B$18-1)/2)*$B$17))*$B$53+(0),999)</f>
        <v>26.7692307692308</v>
      </c>
      <c r="R134" s="35">
        <f>IF(AND($B$22&gt;0),(IF(32&lt;$B$22,(32-($B$22-1)/2)*$B$21,(($B$22-1)-($B$22-1)/2)*$B$21))*$B$53+(-38),999)</f>
        <v>-11.2307692307692</v>
      </c>
      <c r="S134" s="35">
        <f>IF(AND($B$22&gt;0),(IF(32&lt;$B$22,($B$5/2-IF($B$3=3,0,$B$13)),IF(MOD($B$22-1,2)=0,(($B$18-1)/2*$B$17),(-(($B$18-1)/2*$B$17)))))*$B$53+(0),999)</f>
        <v>26.7692307692308</v>
      </c>
      <c r="T134" s="35">
        <f>IF(AND($B$30&gt;0,$B$29&gt;0),(IF(32&lt;$B$30,($B$4/2-$B$13),IF(MOD($B$30-1,2)=0,(($B$31-1)/2*$B$29),(-(($B$31-1)/2*$B$29)))))*$B$53+(-38),999)</f>
        <v>999</v>
      </c>
      <c r="U134" s="35">
        <f>IF(AND($B$30&gt;0,$B$29&gt;0),(IF(32&lt;$B$30,(32-($B$30-1)/2)*$B$29,(($B$30-1)-($B$30-1)/2)*$B$29))*$B$53+(0),999)</f>
        <v>999</v>
      </c>
      <c r="V134" s="35">
        <f>IF(AND($B$31&gt;0,$B$29&gt;0),(IF(32&lt;$B$31,(32-($B$31-1)/2)*$B$29,(($B$31-1)-($B$31-1)/2)*$B$29))*$B$53+(-38),999)</f>
        <v>999</v>
      </c>
      <c r="W134" s="35">
        <f>IF(AND($B$31&gt;0,$B$29&gt;0),(IF(32&lt;$B$31,($B$5/2-$B$13),IF(MOD($B$31-1,2)=0,(($B$30-1)/2*$B$29),(-(($B$30-1)/2*$B$29)))))*$B$53+(0),999)</f>
        <v>999</v>
      </c>
    </row>
    <row r="135" spans="16:23" x14ac:dyDescent="0.3">
      <c r="P135" s="35">
        <f>IF(AND($B$18&gt;0),(IF(32&lt;$B$18,(($B$22-1)/2*$B$21),IF(MOD($B$18-1,2)=0,(($B$22-1)/2*$B$21),(-(($B$22-1)/2*$B$21)))))*$B$53+(-38),999)</f>
        <v>-11.2307692307692</v>
      </c>
      <c r="Q135" s="35">
        <f>IF(AND($B$18&gt;0),(IF(32&lt;$B$18,(32-($B$18-1)/2)*$B$17,(($B$18-1)-($B$18-1)/2)*$B$17))*$B$53+(0),999)</f>
        <v>26.7692307692308</v>
      </c>
      <c r="R135" s="35">
        <f>IF(AND($B$22&gt;0),(IF(32&lt;$B$22,(32-($B$22-1)/2)*$B$21,(($B$22-1)-($B$22-1)/2)*$B$21))*$B$53+(-38),999)</f>
        <v>-11.2307692307692</v>
      </c>
      <c r="S135" s="35">
        <f>IF(AND($B$22&gt;0),(IF(32&lt;$B$22,(($B$18-1)/2*$B$17),IF(MOD($B$22-1,2)=0,(($B$18-1)/2*$B$17),(-(($B$18-1)/2*$B$17)))))*$B$53+(0),999)</f>
        <v>26.7692307692308</v>
      </c>
      <c r="T135" s="35">
        <f>IF(AND($B$30&gt;0,$B$29&gt;0),(IF(32&lt;$B$30,(($B$31-1)/2*$B$29),IF(MOD($B$30-1,2)=0,(($B$31-1)/2*$B$29),(-(($B$31-1)/2*$B$29)))))*$B$53+(-38),999)</f>
        <v>999</v>
      </c>
      <c r="U135" s="35">
        <f>IF(AND($B$30&gt;0,$B$29&gt;0),(IF(32&lt;$B$30,(32-($B$30-1)/2)*$B$29,(($B$30-1)-($B$30-1)/2)*$B$29))*$B$53+(0),999)</f>
        <v>999</v>
      </c>
      <c r="V135" s="35">
        <f>IF(AND($B$31&gt;0,$B$29&gt;0),(IF(32&lt;$B$31,(32-($B$31-1)/2)*$B$29,(($B$31-1)-($B$31-1)/2)*$B$29))*$B$53+(-38),999)</f>
        <v>999</v>
      </c>
      <c r="W135" s="35">
        <f>IF(AND($B$31&gt;0,$B$29&gt;0),(IF(32&lt;$B$31,(($B$30-1)/2*$B$29),IF(MOD($B$31-1,2)=0,(($B$30-1)/2*$B$29),(-(($B$30-1)/2*$B$29)))))*$B$53+(0),999)</f>
        <v>999</v>
      </c>
    </row>
    <row r="136" spans="16:23" x14ac:dyDescent="0.3">
      <c r="P136" s="35">
        <f>IF(AND($B$18&gt;0),(IF(33&lt;$B$18,(($B$22-1)/2*$B$21),IF(MOD($B$18-1,2)=0,(($B$22-1)/2*$B$21),(-(($B$22-1)/2*$B$21)))))*$B$53+(-38),999)</f>
        <v>-11.2307692307692</v>
      </c>
      <c r="Q136" s="35">
        <f>IF(AND($B$18&gt;0),(IF(33&lt;$B$18,(33-($B$18-1)/2)*$B$17,(($B$18-1)-($B$18-1)/2)*$B$17))*$B$53+(0),999)</f>
        <v>26.7692307692308</v>
      </c>
      <c r="R136" s="35">
        <f>IF(AND($B$22&gt;0),(IF(33&lt;$B$22,(33-($B$22-1)/2)*$B$21,(($B$22-1)-($B$22-1)/2)*$B$21))*$B$53+(-38),999)</f>
        <v>-11.2307692307692</v>
      </c>
      <c r="S136" s="35">
        <f>IF(AND($B$22&gt;0),(IF(33&lt;$B$22,(($B$18-1)/2*$B$17),IF(MOD($B$22-1,2)=0,(($B$18-1)/2*$B$17),(-(($B$18-1)/2*$B$17)))))*$B$53+(0),999)</f>
        <v>26.7692307692308</v>
      </c>
      <c r="T136" s="35">
        <f>IF(AND($B$30&gt;0,$B$29&gt;0),(IF(33&lt;$B$30,(($B$31-1)/2*$B$29),IF(MOD($B$30-1,2)=0,(($B$31-1)/2*$B$29),(-(($B$31-1)/2*$B$29)))))*$B$53+(-38),999)</f>
        <v>999</v>
      </c>
      <c r="U136" s="35">
        <f>IF(AND($B$30&gt;0,$B$29&gt;0),(IF(33&lt;$B$30,(33-($B$30-1)/2)*$B$29,(($B$30-1)-($B$30-1)/2)*$B$29))*$B$53+(0),999)</f>
        <v>999</v>
      </c>
      <c r="V136" s="35">
        <f>IF(AND($B$31&gt;0,$B$29&gt;0),(IF(33&lt;$B$31,(33-($B$31-1)/2)*$B$29,(($B$31-1)-($B$31-1)/2)*$B$29))*$B$53+(-38),999)</f>
        <v>999</v>
      </c>
      <c r="W136" s="35">
        <f>IF(AND($B$31&gt;0,$B$29&gt;0),(IF(33&lt;$B$31,(($B$30-1)/2*$B$29),IF(MOD($B$31-1,2)=0,(($B$30-1)/2*$B$29),(-(($B$30-1)/2*$B$29)))))*$B$53+(0),999)</f>
        <v>999</v>
      </c>
    </row>
    <row r="137" spans="16:23" x14ac:dyDescent="0.3">
      <c r="P137" s="35">
        <f>IF(AND($B$18&gt;0),(IF(33&lt;$B$18,($B$4/2-$B$13),IF(MOD($B$18-1,2)=0,(($B$22-1)/2*$B$21),(-(($B$22-1)/2*$B$21)))))*$B$53+(-38),999)</f>
        <v>-11.2307692307692</v>
      </c>
      <c r="Q137" s="35">
        <f>IF(AND($B$18&gt;0),(IF(33&lt;$B$18,(33-($B$18-1)/2)*$B$17,(($B$18-1)-($B$18-1)/2)*$B$17))*$B$53+(0),999)</f>
        <v>26.7692307692308</v>
      </c>
      <c r="R137" s="35">
        <f>IF(AND($B$22&gt;0),(IF(33&lt;$B$22,(33-($B$22-1)/2)*$B$21,(($B$22-1)-($B$22-1)/2)*$B$21))*$B$53+(-38),999)</f>
        <v>-11.2307692307692</v>
      </c>
      <c r="S137" s="35">
        <f>IF(AND($B$22&gt;0),(IF(33&lt;$B$22,($B$5/2-IF($B$3=3,0,$B$13)),IF(MOD($B$22-1,2)=0,(($B$18-1)/2*$B$17),(-(($B$18-1)/2*$B$17)))))*$B$53+(0),999)</f>
        <v>26.7692307692308</v>
      </c>
      <c r="T137" s="35">
        <f>IF(AND($B$30&gt;0,$B$29&gt;0),(IF(33&lt;$B$30,($B$4/2-$B$13),IF(MOD($B$30-1,2)=0,(($B$31-1)/2*$B$29),(-(($B$31-1)/2*$B$29)))))*$B$53+(-38),999)</f>
        <v>999</v>
      </c>
      <c r="U137" s="35">
        <f>IF(AND($B$30&gt;0,$B$29&gt;0),(IF(33&lt;$B$30,(33-($B$30-1)/2)*$B$29,(($B$30-1)-($B$30-1)/2)*$B$29))*$B$53+(0),999)</f>
        <v>999</v>
      </c>
      <c r="V137" s="35">
        <f>IF(AND($B$31&gt;0,$B$29&gt;0),(IF(33&lt;$B$31,(33-($B$31-1)/2)*$B$29,(($B$31-1)-($B$31-1)/2)*$B$29))*$B$53+(-38),999)</f>
        <v>999</v>
      </c>
      <c r="W137" s="35">
        <f>IF(AND($B$31&gt;0,$B$29&gt;0),(IF(33&lt;$B$31,($B$5/2-$B$13),IF(MOD($B$31-1,2)=0,(($B$30-1)/2*$B$29),(-(($B$30-1)/2*$B$29)))))*$B$53+(0),999)</f>
        <v>999</v>
      </c>
    </row>
    <row r="138" spans="16:23" x14ac:dyDescent="0.3">
      <c r="P138" s="35">
        <f>IF(AND($B$18&gt;0),(IF(33&lt;$B$18,(-$B$4/2+$B$13),IF(MOD($B$18-1,2)=0,(($B$22-1)/2*$B$21),(-(($B$22-1)/2*$B$21)))))*$B$53+(-38),999)</f>
        <v>-11.2307692307692</v>
      </c>
      <c r="Q138" s="35">
        <f>IF(AND($B$18&gt;0),(IF(33&lt;$B$18,(33-($B$18-1)/2)*$B$17,(($B$18-1)-($B$18-1)/2)*$B$17))*$B$53+(0),999)</f>
        <v>26.7692307692308</v>
      </c>
      <c r="R138" s="35">
        <f>IF(AND($B$22&gt;0),(IF(33&lt;$B$22,(33-($B$22-1)/2)*$B$21,(($B$22-1)-($B$22-1)/2)*$B$21))*$B$53+(-38),999)</f>
        <v>-11.2307692307692</v>
      </c>
      <c r="S138" s="35">
        <f>IF(AND($B$22&gt;0),(IF(33&lt;$B$22,(-$B$5/2+IF($B$3=3,0,$B$13)),IF(MOD($B$22-1,2)=0,(($B$18-1)/2*$B$17),(-(($B$18-1)/2*$B$17)))))*$B$53+(0),999)</f>
        <v>26.7692307692308</v>
      </c>
      <c r="T138" s="35">
        <f>IF(AND($B$30&gt;0,$B$29&gt;0),(IF(33&lt;$B$30,(-$B$4/2+$B$13),IF(MOD($B$30-1,2)=0,(($B$31-1)/2*$B$29),(-(($B$31-1)/2*$B$29)))))*$B$53+(-38),999)</f>
        <v>999</v>
      </c>
      <c r="U138" s="35">
        <f>IF(AND($B$30&gt;0,$B$29&gt;0),(IF(33&lt;$B$30,(33-($B$30-1)/2)*$B$29,(($B$30-1)-($B$30-1)/2)*$B$29))*$B$53+(0),999)</f>
        <v>999</v>
      </c>
      <c r="V138" s="35">
        <f>IF(AND($B$31&gt;0,$B$29&gt;0),(IF(33&lt;$B$31,(33-($B$31-1)/2)*$B$29,(($B$31-1)-($B$31-1)/2)*$B$29))*$B$53+(-38),999)</f>
        <v>999</v>
      </c>
      <c r="W138" s="35">
        <f>IF(AND($B$31&gt;0,$B$29&gt;0),(IF(33&lt;$B$31,(-$B$5/2+$B$13),IF(MOD($B$31-1,2)=0,(($B$30-1)/2*$B$29),(-(($B$30-1)/2*$B$29)))))*$B$53+(0),999)</f>
        <v>999</v>
      </c>
    </row>
    <row r="139" spans="16:23" x14ac:dyDescent="0.3">
      <c r="P139" s="35">
        <f>IF(AND($B$18&gt;0),(IF(33&lt;$B$18,(-(($B$22-1)/2*$B$21)),IF(MOD($B$18-1,2)=0,(($B$22-1)/2*$B$21),(-(($B$22-1)/2*$B$21)))))*$B$53+(-38),999)</f>
        <v>-11.2307692307692</v>
      </c>
      <c r="Q139" s="35">
        <f>IF(AND($B$18&gt;0),(IF(33&lt;$B$18,(33-($B$18-1)/2)*$B$17,(($B$18-1)-($B$18-1)/2)*$B$17))*$B$53+(0),999)</f>
        <v>26.7692307692308</v>
      </c>
      <c r="R139" s="35">
        <f>IF(AND($B$22&gt;0),(IF(33&lt;$B$22,(33-($B$22-1)/2)*$B$21,(($B$22-1)-($B$22-1)/2)*$B$21))*$B$53+(-38),999)</f>
        <v>-11.2307692307692</v>
      </c>
      <c r="S139" s="35">
        <f>IF(AND($B$22&gt;0),(IF(33&lt;$B$22,(-(($B$18-1)/2*$B$17)),IF(MOD($B$22-1,2)=0,(($B$18-1)/2*$B$17),(-(($B$18-1)/2*$B$17)))))*$B$53+(0),999)</f>
        <v>26.7692307692308</v>
      </c>
      <c r="T139" s="35">
        <f>IF(AND($B$30&gt;0,$B$29&gt;0),(IF(33&lt;$B$30,(-(($B$31-1)/2*$B$29)),IF(MOD($B$30-1,2)=0,(($B$31-1)/2*$B$29),(-(($B$31-1)/2*$B$29)))))*$B$53+(-38),999)</f>
        <v>999</v>
      </c>
      <c r="U139" s="35">
        <f>IF(AND($B$30&gt;0,$B$29&gt;0),(IF(33&lt;$B$30,(33-($B$30-1)/2)*$B$29,(($B$30-1)-($B$30-1)/2)*$B$29))*$B$53+(0),999)</f>
        <v>999</v>
      </c>
      <c r="V139" s="35">
        <f>IF(AND($B$31&gt;0,$B$29&gt;0),(IF(33&lt;$B$31,(33-($B$31-1)/2)*$B$29,(($B$31-1)-($B$31-1)/2)*$B$29))*$B$53+(-38),999)</f>
        <v>999</v>
      </c>
      <c r="W139" s="35">
        <f>IF(AND($B$31&gt;0,$B$29&gt;0),(IF(33&lt;$B$31,(-(($B$30-1)/2*$B$29)),IF(MOD($B$31-1,2)=0,(($B$30-1)/2*$B$29),(-(($B$30-1)/2*$B$29)))))*$B$53+(0),999)</f>
        <v>999</v>
      </c>
    </row>
    <row r="140" spans="16:23" x14ac:dyDescent="0.3">
      <c r="P140" s="35">
        <f>IF(AND($B$18&gt;0),(IF(34&lt;$B$18,(-(($B$22-1)/2*$B$21)),IF(MOD($B$18-1,2)=0,(($B$22-1)/2*$B$21),(-(($B$22-1)/2*$B$21)))))*$B$53+(-38),999)</f>
        <v>-11.2307692307692</v>
      </c>
      <c r="Q140" s="35">
        <f>IF(AND($B$18&gt;0),(IF(34&lt;$B$18,(34-($B$18-1)/2)*$B$17,(($B$18-1)-($B$18-1)/2)*$B$17))*$B$53+(0),999)</f>
        <v>26.7692307692308</v>
      </c>
      <c r="R140" s="35">
        <f>IF(AND($B$22&gt;0),(IF(34&lt;$B$22,(34-($B$22-1)/2)*$B$21,(($B$22-1)-($B$22-1)/2)*$B$21))*$B$53+(-38),999)</f>
        <v>-11.2307692307692</v>
      </c>
      <c r="S140" s="35">
        <f>IF(AND($B$22&gt;0),(IF(34&lt;$B$22,(-(($B$18-1)/2*$B$17)),IF(MOD($B$22-1,2)=0,(($B$18-1)/2*$B$17),(-(($B$18-1)/2*$B$17)))))*$B$53+(0),999)</f>
        <v>26.7692307692308</v>
      </c>
      <c r="T140" s="35">
        <f>IF(AND($B$30&gt;0,$B$29&gt;0),(IF(34&lt;$B$30,(-(($B$31-1)/2*$B$29)),IF(MOD($B$30-1,2)=0,(($B$31-1)/2*$B$29),(-(($B$31-1)/2*$B$29)))))*$B$53+(-38),999)</f>
        <v>999</v>
      </c>
      <c r="U140" s="35">
        <f>IF(AND($B$30&gt;0,$B$29&gt;0),(IF(34&lt;$B$30,(34-($B$30-1)/2)*$B$29,(($B$30-1)-($B$30-1)/2)*$B$29))*$B$53+(0),999)</f>
        <v>999</v>
      </c>
      <c r="V140" s="35">
        <f>IF(AND($B$31&gt;0,$B$29&gt;0),(IF(34&lt;$B$31,(34-($B$31-1)/2)*$B$29,(($B$31-1)-($B$31-1)/2)*$B$29))*$B$53+(-38),999)</f>
        <v>999</v>
      </c>
      <c r="W140" s="35">
        <f>IF(AND($B$31&gt;0,$B$29&gt;0),(IF(34&lt;$B$31,(-(($B$30-1)/2*$B$29)),IF(MOD($B$31-1,2)=0,(($B$30-1)/2*$B$29),(-(($B$30-1)/2*$B$29)))))*$B$53+(0),999)</f>
        <v>999</v>
      </c>
    </row>
    <row r="141" spans="16:23" x14ac:dyDescent="0.3">
      <c r="P141" s="35">
        <f>IF(AND($B$18&gt;0),(IF(34&lt;$B$18,(-$B$4/2+$B$13),IF(MOD($B$18-1,2)=0,(($B$22-1)/2*$B$21),(-(($B$22-1)/2*$B$21)))))*$B$53+(-38),999)</f>
        <v>-11.2307692307692</v>
      </c>
      <c r="Q141" s="35">
        <f>IF(AND($B$18&gt;0),(IF(34&lt;$B$18,(34-($B$18-1)/2)*$B$17,(($B$18-1)-($B$18-1)/2)*$B$17))*$B$53+(0),999)</f>
        <v>26.7692307692308</v>
      </c>
      <c r="R141" s="35">
        <f>IF(AND($B$22&gt;0),(IF(34&lt;$B$22,(34-($B$22-1)/2)*$B$21,(($B$22-1)-($B$22-1)/2)*$B$21))*$B$53+(-38),999)</f>
        <v>-11.2307692307692</v>
      </c>
      <c r="S141" s="35">
        <f>IF(AND($B$22&gt;0),(IF(34&lt;$B$22,(-$B$5/2+IF($B$3=3,0,$B$13)),IF(MOD($B$22-1,2)=0,(($B$18-1)/2*$B$17),(-(($B$18-1)/2*$B$17)))))*$B$53+(0),999)</f>
        <v>26.7692307692308</v>
      </c>
      <c r="T141" s="35">
        <f>IF(AND($B$30&gt;0,$B$29&gt;0),(IF(34&lt;$B$30,(-$B$4/2+$B$13),IF(MOD($B$30-1,2)=0,(($B$31-1)/2*$B$29),(-(($B$31-1)/2*$B$29)))))*$B$53+(-38),999)</f>
        <v>999</v>
      </c>
      <c r="U141" s="35">
        <f>IF(AND($B$30&gt;0,$B$29&gt;0),(IF(34&lt;$B$30,(34-($B$30-1)/2)*$B$29,(($B$30-1)-($B$30-1)/2)*$B$29))*$B$53+(0),999)</f>
        <v>999</v>
      </c>
      <c r="V141" s="35">
        <f>IF(AND($B$31&gt;0,$B$29&gt;0),(IF(34&lt;$B$31,(34-($B$31-1)/2)*$B$29,(($B$31-1)-($B$31-1)/2)*$B$29))*$B$53+(-38),999)</f>
        <v>999</v>
      </c>
      <c r="W141" s="35">
        <f>IF(AND($B$31&gt;0,$B$29&gt;0),(IF(34&lt;$B$31,(-$B$5/2+$B$13),IF(MOD($B$31-1,2)=0,(($B$30-1)/2*$B$29),(-(($B$30-1)/2*$B$29)))))*$B$53+(0),999)</f>
        <v>999</v>
      </c>
    </row>
    <row r="142" spans="16:23" x14ac:dyDescent="0.3">
      <c r="P142" s="35">
        <f>IF(AND($B$18&gt;0),(IF(34&lt;$B$18,($B$4/2-$B$13),IF(MOD($B$18-1,2)=0,(($B$22-1)/2*$B$21),(-(($B$22-1)/2*$B$21)))))*$B$53+(-38),999)</f>
        <v>-11.2307692307692</v>
      </c>
      <c r="Q142" s="35">
        <f>IF(AND($B$18&gt;0),(IF(34&lt;$B$18,(34-($B$18-1)/2)*$B$17,(($B$18-1)-($B$18-1)/2)*$B$17))*$B$53+(0),999)</f>
        <v>26.7692307692308</v>
      </c>
      <c r="R142" s="35">
        <f>IF(AND($B$22&gt;0),(IF(34&lt;$B$22,(34-($B$22-1)/2)*$B$21,(($B$22-1)-($B$22-1)/2)*$B$21))*$B$53+(-38),999)</f>
        <v>-11.2307692307692</v>
      </c>
      <c r="S142" s="35">
        <f>IF(AND($B$22&gt;0),(IF(34&lt;$B$22,($B$5/2-IF($B$3=3,0,$B$13)),IF(MOD($B$22-1,2)=0,(($B$18-1)/2*$B$17),(-(($B$18-1)/2*$B$17)))))*$B$53+(0),999)</f>
        <v>26.7692307692308</v>
      </c>
      <c r="T142" s="35">
        <f>IF(AND($B$30&gt;0,$B$29&gt;0),(IF(34&lt;$B$30,($B$4/2-$B$13),IF(MOD($B$30-1,2)=0,(($B$31-1)/2*$B$29),(-(($B$31-1)/2*$B$29)))))*$B$53+(-38),999)</f>
        <v>999</v>
      </c>
      <c r="U142" s="35">
        <f>IF(AND($B$30&gt;0,$B$29&gt;0),(IF(34&lt;$B$30,(34-($B$30-1)/2)*$B$29,(($B$30-1)-($B$30-1)/2)*$B$29))*$B$53+(0),999)</f>
        <v>999</v>
      </c>
      <c r="V142" s="35">
        <f>IF(AND($B$31&gt;0,$B$29&gt;0),(IF(34&lt;$B$31,(34-($B$31-1)/2)*$B$29,(($B$31-1)-($B$31-1)/2)*$B$29))*$B$53+(-38),999)</f>
        <v>999</v>
      </c>
      <c r="W142" s="35">
        <f>IF(AND($B$31&gt;0,$B$29&gt;0),(IF(34&lt;$B$31,($B$5/2-$B$13),IF(MOD($B$31-1,2)=0,(($B$30-1)/2*$B$29),(-(($B$30-1)/2*$B$29)))))*$B$53+(0),999)</f>
        <v>999</v>
      </c>
    </row>
    <row r="143" spans="16:23" x14ac:dyDescent="0.3">
      <c r="P143" s="35">
        <f>IF(AND($B$18&gt;0),(IF(34&lt;$B$18,(($B$22-1)/2*$B$21),IF(MOD($B$18-1,2)=0,(($B$22-1)/2*$B$21),(-(($B$22-1)/2*$B$21)))))*$B$53+(-38),999)</f>
        <v>-11.2307692307692</v>
      </c>
      <c r="Q143" s="35">
        <f>IF(AND($B$18&gt;0),(IF(34&lt;$B$18,(34-($B$18-1)/2)*$B$17,(($B$18-1)-($B$18-1)/2)*$B$17))*$B$53+(0),999)</f>
        <v>26.7692307692308</v>
      </c>
      <c r="R143" s="35">
        <f>IF(AND($B$22&gt;0),(IF(34&lt;$B$22,(34-($B$22-1)/2)*$B$21,(($B$22-1)-($B$22-1)/2)*$B$21))*$B$53+(-38),999)</f>
        <v>-11.2307692307692</v>
      </c>
      <c r="S143" s="35">
        <f>IF(AND($B$22&gt;0),(IF(34&lt;$B$22,(($B$18-1)/2*$B$17),IF(MOD($B$22-1,2)=0,(($B$18-1)/2*$B$17),(-(($B$18-1)/2*$B$17)))))*$B$53+(0),999)</f>
        <v>26.7692307692308</v>
      </c>
      <c r="T143" s="35">
        <f>IF(AND($B$30&gt;0,$B$29&gt;0),(IF(34&lt;$B$30,(($B$31-1)/2*$B$29),IF(MOD($B$30-1,2)=0,(($B$31-1)/2*$B$29),(-(($B$31-1)/2*$B$29)))))*$B$53+(-38),999)</f>
        <v>999</v>
      </c>
      <c r="U143" s="35">
        <f>IF(AND($B$30&gt;0,$B$29&gt;0),(IF(34&lt;$B$30,(34-($B$30-1)/2)*$B$29,(($B$30-1)-($B$30-1)/2)*$B$29))*$B$53+(0),999)</f>
        <v>999</v>
      </c>
      <c r="V143" s="35">
        <f>IF(AND($B$31&gt;0,$B$29&gt;0),(IF(34&lt;$B$31,(34-($B$31-1)/2)*$B$29,(($B$31-1)-($B$31-1)/2)*$B$29))*$B$53+(-38),999)</f>
        <v>999</v>
      </c>
      <c r="W143" s="35">
        <f>IF(AND($B$31&gt;0,$B$29&gt;0),(IF(34&lt;$B$31,(($B$30-1)/2*$B$29),IF(MOD($B$31-1,2)=0,(($B$30-1)/2*$B$29),(-(($B$30-1)/2*$B$29)))))*$B$53+(0),999)</f>
        <v>999</v>
      </c>
    </row>
    <row r="144" spans="16:23" x14ac:dyDescent="0.3">
      <c r="P144" s="35">
        <f>IF(AND($B$18&gt;0),(IF(35&lt;$B$18,(($B$22-1)/2*$B$21),IF(MOD($B$18-1,2)=0,(($B$22-1)/2*$B$21),(-(($B$22-1)/2*$B$21)))))*$B$53+(-38),999)</f>
        <v>-11.2307692307692</v>
      </c>
      <c r="Q144" s="35">
        <f>IF(AND($B$18&gt;0),(IF(35&lt;$B$18,(35-($B$18-1)/2)*$B$17,(($B$18-1)-($B$18-1)/2)*$B$17))*$B$53+(0),999)</f>
        <v>26.7692307692308</v>
      </c>
      <c r="R144" s="35">
        <f>IF(AND($B$22&gt;0),(IF(35&lt;$B$22,(35-($B$22-1)/2)*$B$21,(($B$22-1)-($B$22-1)/2)*$B$21))*$B$53+(-38),999)</f>
        <v>-11.2307692307692</v>
      </c>
      <c r="S144" s="35">
        <f>IF(AND($B$22&gt;0),(IF(35&lt;$B$22,(($B$18-1)/2*$B$17),IF(MOD($B$22-1,2)=0,(($B$18-1)/2*$B$17),(-(($B$18-1)/2*$B$17)))))*$B$53+(0),999)</f>
        <v>26.7692307692308</v>
      </c>
      <c r="T144" s="35">
        <f>IF(AND($B$30&gt;0,$B$29&gt;0),(IF(35&lt;$B$30,(($B$31-1)/2*$B$29),IF(MOD($B$30-1,2)=0,(($B$31-1)/2*$B$29),(-(($B$31-1)/2*$B$29)))))*$B$53+(-38),999)</f>
        <v>999</v>
      </c>
      <c r="U144" s="35">
        <f>IF(AND($B$30&gt;0,$B$29&gt;0),(IF(35&lt;$B$30,(35-($B$30-1)/2)*$B$29,(($B$30-1)-($B$30-1)/2)*$B$29))*$B$53+(0),999)</f>
        <v>999</v>
      </c>
      <c r="V144" s="35">
        <f>IF(AND($B$31&gt;0,$B$29&gt;0),(IF(35&lt;$B$31,(35-($B$31-1)/2)*$B$29,(($B$31-1)-($B$31-1)/2)*$B$29))*$B$53+(-38),999)</f>
        <v>999</v>
      </c>
      <c r="W144" s="35">
        <f>IF(AND($B$31&gt;0,$B$29&gt;0),(IF(35&lt;$B$31,(($B$30-1)/2*$B$29),IF(MOD($B$31-1,2)=0,(($B$30-1)/2*$B$29),(-(($B$30-1)/2*$B$29)))))*$B$53+(0),999)</f>
        <v>999</v>
      </c>
    </row>
    <row r="145" spans="16:23" x14ac:dyDescent="0.3">
      <c r="P145" s="35">
        <f>IF(AND($B$18&gt;0),(IF(35&lt;$B$18,($B$4/2-$B$13),IF(MOD($B$18-1,2)=0,(($B$22-1)/2*$B$21),(-(($B$22-1)/2*$B$21)))))*$B$53+(-38),999)</f>
        <v>-11.2307692307692</v>
      </c>
      <c r="Q145" s="35">
        <f>IF(AND($B$18&gt;0),(IF(35&lt;$B$18,(35-($B$18-1)/2)*$B$17,(($B$18-1)-($B$18-1)/2)*$B$17))*$B$53+(0),999)</f>
        <v>26.7692307692308</v>
      </c>
      <c r="R145" s="35">
        <f>IF(AND($B$22&gt;0),(IF(35&lt;$B$22,(35-($B$22-1)/2)*$B$21,(($B$22-1)-($B$22-1)/2)*$B$21))*$B$53+(-38),999)</f>
        <v>-11.2307692307692</v>
      </c>
      <c r="S145" s="35">
        <f>IF(AND($B$22&gt;0),(IF(35&lt;$B$22,($B$5/2-IF($B$3=3,0,$B$13)),IF(MOD($B$22-1,2)=0,(($B$18-1)/2*$B$17),(-(($B$18-1)/2*$B$17)))))*$B$53+(0),999)</f>
        <v>26.7692307692308</v>
      </c>
      <c r="T145" s="35">
        <f>IF(AND($B$30&gt;0,$B$29&gt;0),(IF(35&lt;$B$30,($B$4/2-$B$13),IF(MOD($B$30-1,2)=0,(($B$31-1)/2*$B$29),(-(($B$31-1)/2*$B$29)))))*$B$53+(-38),999)</f>
        <v>999</v>
      </c>
      <c r="U145" s="35">
        <f>IF(AND($B$30&gt;0,$B$29&gt;0),(IF(35&lt;$B$30,(35-($B$30-1)/2)*$B$29,(($B$30-1)-($B$30-1)/2)*$B$29))*$B$53+(0),999)</f>
        <v>999</v>
      </c>
      <c r="V145" s="35">
        <f>IF(AND($B$31&gt;0,$B$29&gt;0),(IF(35&lt;$B$31,(35-($B$31-1)/2)*$B$29,(($B$31-1)-($B$31-1)/2)*$B$29))*$B$53+(-38),999)</f>
        <v>999</v>
      </c>
      <c r="W145" s="35">
        <f>IF(AND($B$31&gt;0,$B$29&gt;0),(IF(35&lt;$B$31,($B$5/2-$B$13),IF(MOD($B$31-1,2)=0,(($B$30-1)/2*$B$29),(-(($B$30-1)/2*$B$29)))))*$B$53+(0),999)</f>
        <v>999</v>
      </c>
    </row>
    <row r="146" spans="16:23" x14ac:dyDescent="0.3">
      <c r="P146" s="35">
        <f>IF(AND($B$18&gt;0),(IF(35&lt;$B$18,(-$B$4/2+$B$13),IF(MOD($B$18-1,2)=0,(($B$22-1)/2*$B$21),(-(($B$22-1)/2*$B$21)))))*$B$53+(-38),999)</f>
        <v>-11.2307692307692</v>
      </c>
      <c r="Q146" s="35">
        <f>IF(AND($B$18&gt;0),(IF(35&lt;$B$18,(35-($B$18-1)/2)*$B$17,(($B$18-1)-($B$18-1)/2)*$B$17))*$B$53+(0),999)</f>
        <v>26.7692307692308</v>
      </c>
      <c r="R146" s="35">
        <f>IF(AND($B$22&gt;0),(IF(35&lt;$B$22,(35-($B$22-1)/2)*$B$21,(($B$22-1)-($B$22-1)/2)*$B$21))*$B$53+(-38),999)</f>
        <v>-11.2307692307692</v>
      </c>
      <c r="S146" s="35">
        <f>IF(AND($B$22&gt;0),(IF(35&lt;$B$22,(-$B$5/2+IF($B$3=3,0,$B$13)),IF(MOD($B$22-1,2)=0,(($B$18-1)/2*$B$17),(-(($B$18-1)/2*$B$17)))))*$B$53+(0),999)</f>
        <v>26.7692307692308</v>
      </c>
      <c r="T146" s="35">
        <f>IF(AND($B$30&gt;0,$B$29&gt;0),(IF(35&lt;$B$30,(-$B$4/2+$B$13),IF(MOD($B$30-1,2)=0,(($B$31-1)/2*$B$29),(-(($B$31-1)/2*$B$29)))))*$B$53+(-38),999)</f>
        <v>999</v>
      </c>
      <c r="U146" s="35">
        <f>IF(AND($B$30&gt;0,$B$29&gt;0),(IF(35&lt;$B$30,(35-($B$30-1)/2)*$B$29,(($B$30-1)-($B$30-1)/2)*$B$29))*$B$53+(0),999)</f>
        <v>999</v>
      </c>
      <c r="V146" s="35">
        <f>IF(AND($B$31&gt;0,$B$29&gt;0),(IF(35&lt;$B$31,(35-($B$31-1)/2)*$B$29,(($B$31-1)-($B$31-1)/2)*$B$29))*$B$53+(-38),999)</f>
        <v>999</v>
      </c>
      <c r="W146" s="35">
        <f>IF(AND($B$31&gt;0,$B$29&gt;0),(IF(35&lt;$B$31,(-$B$5/2+$B$13),IF(MOD($B$31-1,2)=0,(($B$30-1)/2*$B$29),(-(($B$30-1)/2*$B$29)))))*$B$53+(0),999)</f>
        <v>999</v>
      </c>
    </row>
    <row r="147" spans="16:23" x14ac:dyDescent="0.3">
      <c r="P147" s="35">
        <f>IF(AND($B$18&gt;0),(IF(35&lt;$B$18,(-(($B$22-1)/2*$B$21)),IF(MOD($B$18-1,2)=0,(($B$22-1)/2*$B$21),(-(($B$22-1)/2*$B$21)))))*$B$53+(-38),999)</f>
        <v>-11.2307692307692</v>
      </c>
      <c r="Q147" s="35">
        <f>IF(AND($B$18&gt;0),(IF(35&lt;$B$18,(35-($B$18-1)/2)*$B$17,(($B$18-1)-($B$18-1)/2)*$B$17))*$B$53+(0),999)</f>
        <v>26.7692307692308</v>
      </c>
      <c r="R147" s="35">
        <f>IF(AND($B$22&gt;0),(IF(35&lt;$B$22,(35-($B$22-1)/2)*$B$21,(($B$22-1)-($B$22-1)/2)*$B$21))*$B$53+(-38),999)</f>
        <v>-11.2307692307692</v>
      </c>
      <c r="S147" s="35">
        <f>IF(AND($B$22&gt;0),(IF(35&lt;$B$22,(-(($B$18-1)/2*$B$17)),IF(MOD($B$22-1,2)=0,(($B$18-1)/2*$B$17),(-(($B$18-1)/2*$B$17)))))*$B$53+(0),999)</f>
        <v>26.7692307692308</v>
      </c>
      <c r="T147" s="35">
        <f>IF(AND($B$30&gt;0,$B$29&gt;0),(IF(35&lt;$B$30,(-(($B$31-1)/2*$B$29)),IF(MOD($B$30-1,2)=0,(($B$31-1)/2*$B$29),(-(($B$31-1)/2*$B$29)))))*$B$53+(-38),999)</f>
        <v>999</v>
      </c>
      <c r="U147" s="35">
        <f>IF(AND($B$30&gt;0,$B$29&gt;0),(IF(35&lt;$B$30,(35-($B$30-1)/2)*$B$29,(($B$30-1)-($B$30-1)/2)*$B$29))*$B$53+(0),999)</f>
        <v>999</v>
      </c>
      <c r="V147" s="35">
        <f>IF(AND($B$31&gt;0,$B$29&gt;0),(IF(35&lt;$B$31,(35-($B$31-1)/2)*$B$29,(($B$31-1)-($B$31-1)/2)*$B$29))*$B$53+(-38),999)</f>
        <v>999</v>
      </c>
      <c r="W147" s="35">
        <f>IF(AND($B$31&gt;0,$B$29&gt;0),(IF(35&lt;$B$31,(-(($B$30-1)/2*$B$29)),IF(MOD($B$31-1,2)=0,(($B$30-1)/2*$B$29),(-(($B$30-1)/2*$B$29)))))*$B$53+(0),999)</f>
        <v>999</v>
      </c>
    </row>
    <row r="148" spans="16:23" x14ac:dyDescent="0.3">
      <c r="P148" s="35">
        <f>IF(AND($B$18&gt;0),(IF(36&lt;$B$18,(-(($B$22-1)/2*$B$21)),IF(MOD($B$18-1,2)=0,(($B$22-1)/2*$B$21),(-(($B$22-1)/2*$B$21)))))*$B$53+(-38),999)</f>
        <v>-11.2307692307692</v>
      </c>
      <c r="Q148" s="35">
        <f>IF(AND($B$18&gt;0),(IF(36&lt;$B$18,(36-($B$18-1)/2)*$B$17,(($B$18-1)-($B$18-1)/2)*$B$17))*$B$53+(0),999)</f>
        <v>26.7692307692308</v>
      </c>
      <c r="R148" s="35">
        <f>IF(AND($B$22&gt;0),(IF(36&lt;$B$22,(36-($B$22-1)/2)*$B$21,(($B$22-1)-($B$22-1)/2)*$B$21))*$B$53+(-38),999)</f>
        <v>-11.2307692307692</v>
      </c>
      <c r="S148" s="35">
        <f>IF(AND($B$22&gt;0),(IF(36&lt;$B$22,(-(($B$18-1)/2*$B$17)),IF(MOD($B$22-1,2)=0,(($B$18-1)/2*$B$17),(-(($B$18-1)/2*$B$17)))))*$B$53+(0),999)</f>
        <v>26.7692307692308</v>
      </c>
      <c r="T148" s="35">
        <f>IF(AND($B$30&gt;0,$B$29&gt;0),(IF(36&lt;$B$30,(-(($B$31-1)/2*$B$29)),IF(MOD($B$30-1,2)=0,(($B$31-1)/2*$B$29),(-(($B$31-1)/2*$B$29)))))*$B$53+(-38),999)</f>
        <v>999</v>
      </c>
      <c r="U148" s="35">
        <f>IF(AND($B$30&gt;0,$B$29&gt;0),(IF(36&lt;$B$30,(36-($B$30-1)/2)*$B$29,(($B$30-1)-($B$30-1)/2)*$B$29))*$B$53+(0),999)</f>
        <v>999</v>
      </c>
      <c r="V148" s="35">
        <f>IF(AND($B$31&gt;0,$B$29&gt;0),(IF(36&lt;$B$31,(36-($B$31-1)/2)*$B$29,(($B$31-1)-($B$31-1)/2)*$B$29))*$B$53+(-38),999)</f>
        <v>999</v>
      </c>
      <c r="W148" s="35">
        <f>IF(AND($B$31&gt;0,$B$29&gt;0),(IF(36&lt;$B$31,(-(($B$30-1)/2*$B$29)),IF(MOD($B$31-1,2)=0,(($B$30-1)/2*$B$29),(-(($B$30-1)/2*$B$29)))))*$B$53+(0),999)</f>
        <v>999</v>
      </c>
    </row>
    <row r="149" spans="16:23" x14ac:dyDescent="0.3">
      <c r="P149" s="35">
        <f>IF(AND($B$18&gt;0),(IF(36&lt;$B$18,(-$B$4/2+$B$13),IF(MOD($B$18-1,2)=0,(($B$22-1)/2*$B$21),(-(($B$22-1)/2*$B$21)))))*$B$53+(-38),999)</f>
        <v>-11.2307692307692</v>
      </c>
      <c r="Q149" s="35">
        <f>IF(AND($B$18&gt;0),(IF(36&lt;$B$18,(36-($B$18-1)/2)*$B$17,(($B$18-1)-($B$18-1)/2)*$B$17))*$B$53+(0),999)</f>
        <v>26.7692307692308</v>
      </c>
      <c r="R149" s="35">
        <f>IF(AND($B$22&gt;0),(IF(36&lt;$B$22,(36-($B$22-1)/2)*$B$21,(($B$22-1)-($B$22-1)/2)*$B$21))*$B$53+(-38),999)</f>
        <v>-11.2307692307692</v>
      </c>
      <c r="S149" s="35">
        <f>IF(AND($B$22&gt;0),(IF(36&lt;$B$22,(-$B$5/2+IF($B$3=3,0,$B$13)),IF(MOD($B$22-1,2)=0,(($B$18-1)/2*$B$17),(-(($B$18-1)/2*$B$17)))))*$B$53+(0),999)</f>
        <v>26.7692307692308</v>
      </c>
      <c r="T149" s="35">
        <f>IF(AND($B$30&gt;0,$B$29&gt;0),(IF(36&lt;$B$30,(-$B$4/2+$B$13),IF(MOD($B$30-1,2)=0,(($B$31-1)/2*$B$29),(-(($B$31-1)/2*$B$29)))))*$B$53+(-38),999)</f>
        <v>999</v>
      </c>
      <c r="U149" s="35">
        <f>IF(AND($B$30&gt;0,$B$29&gt;0),(IF(36&lt;$B$30,(36-($B$30-1)/2)*$B$29,(($B$30-1)-($B$30-1)/2)*$B$29))*$B$53+(0),999)</f>
        <v>999</v>
      </c>
      <c r="V149" s="35">
        <f>IF(AND($B$31&gt;0,$B$29&gt;0),(IF(36&lt;$B$31,(36-($B$31-1)/2)*$B$29,(($B$31-1)-($B$31-1)/2)*$B$29))*$B$53+(-38),999)</f>
        <v>999</v>
      </c>
      <c r="W149" s="35">
        <f>IF(AND($B$31&gt;0,$B$29&gt;0),(IF(36&lt;$B$31,(-$B$5/2+$B$13),IF(MOD($B$31-1,2)=0,(($B$30-1)/2*$B$29),(-(($B$30-1)/2*$B$29)))))*$B$53+(0),999)</f>
        <v>999</v>
      </c>
    </row>
    <row r="150" spans="16:23" x14ac:dyDescent="0.3">
      <c r="P150" s="35">
        <f>IF(AND($B$18&gt;0),(IF(36&lt;$B$18,($B$4/2-$B$13),IF(MOD($B$18-1,2)=0,(($B$22-1)/2*$B$21),(-(($B$22-1)/2*$B$21)))))*$B$53+(-38),999)</f>
        <v>-11.2307692307692</v>
      </c>
      <c r="Q150" s="35">
        <f>IF(AND($B$18&gt;0),(IF(36&lt;$B$18,(36-($B$18-1)/2)*$B$17,(($B$18-1)-($B$18-1)/2)*$B$17))*$B$53+(0),999)</f>
        <v>26.7692307692308</v>
      </c>
      <c r="R150" s="35">
        <f>IF(AND($B$22&gt;0),(IF(36&lt;$B$22,(36-($B$22-1)/2)*$B$21,(($B$22-1)-($B$22-1)/2)*$B$21))*$B$53+(-38),999)</f>
        <v>-11.2307692307692</v>
      </c>
      <c r="S150" s="35">
        <f>IF(AND($B$22&gt;0),(IF(36&lt;$B$22,($B$5/2-IF($B$3=3,0,$B$13)),IF(MOD($B$22-1,2)=0,(($B$18-1)/2*$B$17),(-(($B$18-1)/2*$B$17)))))*$B$53+(0),999)</f>
        <v>26.7692307692308</v>
      </c>
      <c r="T150" s="35">
        <f>IF(AND($B$30&gt;0,$B$29&gt;0),(IF(36&lt;$B$30,($B$4/2-$B$13),IF(MOD($B$30-1,2)=0,(($B$31-1)/2*$B$29),(-(($B$31-1)/2*$B$29)))))*$B$53+(-38),999)</f>
        <v>999</v>
      </c>
      <c r="U150" s="35">
        <f>IF(AND($B$30&gt;0,$B$29&gt;0),(IF(36&lt;$B$30,(36-($B$30-1)/2)*$B$29,(($B$30-1)-($B$30-1)/2)*$B$29))*$B$53+(0),999)</f>
        <v>999</v>
      </c>
      <c r="V150" s="35">
        <f>IF(AND($B$31&gt;0,$B$29&gt;0),(IF(36&lt;$B$31,(36-($B$31-1)/2)*$B$29,(($B$31-1)-($B$31-1)/2)*$B$29))*$B$53+(-38),999)</f>
        <v>999</v>
      </c>
      <c r="W150" s="35">
        <f>IF(AND($B$31&gt;0,$B$29&gt;0),(IF(36&lt;$B$31,($B$5/2-$B$13),IF(MOD($B$31-1,2)=0,(($B$30-1)/2*$B$29),(-(($B$30-1)/2*$B$29)))))*$B$53+(0),999)</f>
        <v>999</v>
      </c>
    </row>
    <row r="151" spans="16:23" x14ac:dyDescent="0.3">
      <c r="P151" s="35">
        <f>IF(AND($B$18&gt;0),(IF(36&lt;$B$18,(($B$22-1)/2*$B$21),IF(MOD($B$18-1,2)=0,(($B$22-1)/2*$B$21),(-(($B$22-1)/2*$B$21)))))*$B$53+(-38),999)</f>
        <v>-11.2307692307692</v>
      </c>
      <c r="Q151" s="35">
        <f>IF(AND($B$18&gt;0),(IF(36&lt;$B$18,(36-($B$18-1)/2)*$B$17,(($B$18-1)-($B$18-1)/2)*$B$17))*$B$53+(0),999)</f>
        <v>26.7692307692308</v>
      </c>
      <c r="R151" s="35">
        <f>IF(AND($B$22&gt;0),(IF(36&lt;$B$22,(36-($B$22-1)/2)*$B$21,(($B$22-1)-($B$22-1)/2)*$B$21))*$B$53+(-38),999)</f>
        <v>-11.2307692307692</v>
      </c>
      <c r="S151" s="35">
        <f>IF(AND($B$22&gt;0),(IF(36&lt;$B$22,(($B$18-1)/2*$B$17),IF(MOD($B$22-1,2)=0,(($B$18-1)/2*$B$17),(-(($B$18-1)/2*$B$17)))))*$B$53+(0),999)</f>
        <v>26.7692307692308</v>
      </c>
      <c r="T151" s="35">
        <f>IF(AND($B$30&gt;0,$B$29&gt;0),(IF(36&lt;$B$30,(($B$31-1)/2*$B$29),IF(MOD($B$30-1,2)=0,(($B$31-1)/2*$B$29),(-(($B$31-1)/2*$B$29)))))*$B$53+(-38),999)</f>
        <v>999</v>
      </c>
      <c r="U151" s="35">
        <f>IF(AND($B$30&gt;0,$B$29&gt;0),(IF(36&lt;$B$30,(36-($B$30-1)/2)*$B$29,(($B$30-1)-($B$30-1)/2)*$B$29))*$B$53+(0),999)</f>
        <v>999</v>
      </c>
      <c r="V151" s="35">
        <f>IF(AND($B$31&gt;0,$B$29&gt;0),(IF(36&lt;$B$31,(36-($B$31-1)/2)*$B$29,(($B$31-1)-($B$31-1)/2)*$B$29))*$B$53+(-38),999)</f>
        <v>999</v>
      </c>
      <c r="W151" s="35">
        <f>IF(AND($B$31&gt;0,$B$29&gt;0),(IF(36&lt;$B$31,(($B$30-1)/2*$B$29),IF(MOD($B$31-1,2)=0,(($B$30-1)/2*$B$29),(-(($B$30-1)/2*$B$29)))))*$B$53+(0),999)</f>
        <v>999</v>
      </c>
    </row>
    <row r="152" spans="16:23" x14ac:dyDescent="0.3">
      <c r="P152" s="35">
        <f>IF(AND($B$18&gt;0),(IF(37&lt;$B$18,(($B$22-1)/2*$B$21),IF(MOD($B$18-1,2)=0,(($B$22-1)/2*$B$21),(-(($B$22-1)/2*$B$21)))))*$B$53+(-38),999)</f>
        <v>-11.2307692307692</v>
      </c>
      <c r="Q152" s="35">
        <f>IF(AND($B$18&gt;0),(IF(37&lt;$B$18,(37-($B$18-1)/2)*$B$17,(($B$18-1)-($B$18-1)/2)*$B$17))*$B$53+(0),999)</f>
        <v>26.7692307692308</v>
      </c>
      <c r="R152" s="35">
        <f>IF(AND($B$22&gt;0),(IF(37&lt;$B$22,(37-($B$22-1)/2)*$B$21,(($B$22-1)-($B$22-1)/2)*$B$21))*$B$53+(-38),999)</f>
        <v>-11.2307692307692</v>
      </c>
      <c r="S152" s="35">
        <f>IF(AND($B$22&gt;0),(IF(37&lt;$B$22,(($B$18-1)/2*$B$17),IF(MOD($B$22-1,2)=0,(($B$18-1)/2*$B$17),(-(($B$18-1)/2*$B$17)))))*$B$53+(0),999)</f>
        <v>26.7692307692308</v>
      </c>
      <c r="T152" s="35">
        <f>IF(AND($B$30&gt;0,$B$29&gt;0),(IF(37&lt;$B$30,(($B$31-1)/2*$B$29),IF(MOD($B$30-1,2)=0,(($B$31-1)/2*$B$29),(-(($B$31-1)/2*$B$29)))))*$B$53+(-38),999)</f>
        <v>999</v>
      </c>
      <c r="U152" s="35">
        <f>IF(AND($B$30&gt;0,$B$29&gt;0),(IF(37&lt;$B$30,(37-($B$30-1)/2)*$B$29,(($B$30-1)-($B$30-1)/2)*$B$29))*$B$53+(0),999)</f>
        <v>999</v>
      </c>
      <c r="V152" s="35">
        <f>IF(AND($B$31&gt;0,$B$29&gt;0),(IF(37&lt;$B$31,(37-($B$31-1)/2)*$B$29,(($B$31-1)-($B$31-1)/2)*$B$29))*$B$53+(-38),999)</f>
        <v>999</v>
      </c>
      <c r="W152" s="35">
        <f>IF(AND($B$31&gt;0,$B$29&gt;0),(IF(37&lt;$B$31,(($B$30-1)/2*$B$29),IF(MOD($B$31-1,2)=0,(($B$30-1)/2*$B$29),(-(($B$30-1)/2*$B$29)))))*$B$53+(0),999)</f>
        <v>999</v>
      </c>
    </row>
    <row r="153" spans="16:23" x14ac:dyDescent="0.3">
      <c r="P153" s="35">
        <f>IF(AND($B$18&gt;0),(IF(37&lt;$B$18,($B$4/2-$B$13),IF(MOD($B$18-1,2)=0,(($B$22-1)/2*$B$21),(-(($B$22-1)/2*$B$21)))))*$B$53+(-38),999)</f>
        <v>-11.2307692307692</v>
      </c>
      <c r="Q153" s="35">
        <f>IF(AND($B$18&gt;0),(IF(37&lt;$B$18,(37-($B$18-1)/2)*$B$17,(($B$18-1)-($B$18-1)/2)*$B$17))*$B$53+(0),999)</f>
        <v>26.7692307692308</v>
      </c>
      <c r="R153" s="35">
        <f>IF(AND($B$22&gt;0),(IF(37&lt;$B$22,(37-($B$22-1)/2)*$B$21,(($B$22-1)-($B$22-1)/2)*$B$21))*$B$53+(-38),999)</f>
        <v>-11.2307692307692</v>
      </c>
      <c r="S153" s="35">
        <f>IF(AND($B$22&gt;0),(IF(37&lt;$B$22,($B$5/2-IF($B$3=3,0,$B$13)),IF(MOD($B$22-1,2)=0,(($B$18-1)/2*$B$17),(-(($B$18-1)/2*$B$17)))))*$B$53+(0),999)</f>
        <v>26.7692307692308</v>
      </c>
      <c r="T153" s="35">
        <f>IF(AND($B$30&gt;0,$B$29&gt;0),(IF(37&lt;$B$30,($B$4/2-$B$13),IF(MOD($B$30-1,2)=0,(($B$31-1)/2*$B$29),(-(($B$31-1)/2*$B$29)))))*$B$53+(-38),999)</f>
        <v>999</v>
      </c>
      <c r="U153" s="35">
        <f>IF(AND($B$30&gt;0,$B$29&gt;0),(IF(37&lt;$B$30,(37-($B$30-1)/2)*$B$29,(($B$30-1)-($B$30-1)/2)*$B$29))*$B$53+(0),999)</f>
        <v>999</v>
      </c>
      <c r="V153" s="35">
        <f>IF(AND($B$31&gt;0,$B$29&gt;0),(IF(37&lt;$B$31,(37-($B$31-1)/2)*$B$29,(($B$31-1)-($B$31-1)/2)*$B$29))*$B$53+(-38),999)</f>
        <v>999</v>
      </c>
      <c r="W153" s="35">
        <f>IF(AND($B$31&gt;0,$B$29&gt;0),(IF(37&lt;$B$31,($B$5/2-$B$13),IF(MOD($B$31-1,2)=0,(($B$30-1)/2*$B$29),(-(($B$30-1)/2*$B$29)))))*$B$53+(0),999)</f>
        <v>999</v>
      </c>
    </row>
    <row r="154" spans="16:23" x14ac:dyDescent="0.3">
      <c r="P154" s="35">
        <f>IF(AND($B$18&gt;0),(IF(37&lt;$B$18,(-$B$4/2+$B$13),IF(MOD($B$18-1,2)=0,(($B$22-1)/2*$B$21),(-(($B$22-1)/2*$B$21)))))*$B$53+(-38),999)</f>
        <v>-11.2307692307692</v>
      </c>
      <c r="Q154" s="35">
        <f>IF(AND($B$18&gt;0),(IF(37&lt;$B$18,(37-($B$18-1)/2)*$B$17,(($B$18-1)-($B$18-1)/2)*$B$17))*$B$53+(0),999)</f>
        <v>26.7692307692308</v>
      </c>
      <c r="R154" s="35">
        <f>IF(AND($B$22&gt;0),(IF(37&lt;$B$22,(37-($B$22-1)/2)*$B$21,(($B$22-1)-($B$22-1)/2)*$B$21))*$B$53+(-38),999)</f>
        <v>-11.2307692307692</v>
      </c>
      <c r="S154" s="35">
        <f>IF(AND($B$22&gt;0),(IF(37&lt;$B$22,(-$B$5/2+IF($B$3=3,0,$B$13)),IF(MOD($B$22-1,2)=0,(($B$18-1)/2*$B$17),(-(($B$18-1)/2*$B$17)))))*$B$53+(0),999)</f>
        <v>26.7692307692308</v>
      </c>
      <c r="T154" s="35">
        <f>IF(AND($B$30&gt;0,$B$29&gt;0),(IF(37&lt;$B$30,(-$B$4/2+$B$13),IF(MOD($B$30-1,2)=0,(($B$31-1)/2*$B$29),(-(($B$31-1)/2*$B$29)))))*$B$53+(-38),999)</f>
        <v>999</v>
      </c>
      <c r="U154" s="35">
        <f>IF(AND($B$30&gt;0,$B$29&gt;0),(IF(37&lt;$B$30,(37-($B$30-1)/2)*$B$29,(($B$30-1)-($B$30-1)/2)*$B$29))*$B$53+(0),999)</f>
        <v>999</v>
      </c>
      <c r="V154" s="35">
        <f>IF(AND($B$31&gt;0,$B$29&gt;0),(IF(37&lt;$B$31,(37-($B$31-1)/2)*$B$29,(($B$31-1)-($B$31-1)/2)*$B$29))*$B$53+(-38),999)</f>
        <v>999</v>
      </c>
      <c r="W154" s="35">
        <f>IF(AND($B$31&gt;0,$B$29&gt;0),(IF(37&lt;$B$31,(-$B$5/2+$B$13),IF(MOD($B$31-1,2)=0,(($B$30-1)/2*$B$29),(-(($B$30-1)/2*$B$29)))))*$B$53+(0),999)</f>
        <v>999</v>
      </c>
    </row>
    <row r="155" spans="16:23" x14ac:dyDescent="0.3">
      <c r="P155" s="35">
        <f>IF(AND($B$18&gt;0),(IF(37&lt;$B$18,(-(($B$22-1)/2*$B$21)),IF(MOD($B$18-1,2)=0,(($B$22-1)/2*$B$21),(-(($B$22-1)/2*$B$21)))))*$B$53+(-38),999)</f>
        <v>-11.2307692307692</v>
      </c>
      <c r="Q155" s="35">
        <f>IF(AND($B$18&gt;0),(IF(37&lt;$B$18,(37-($B$18-1)/2)*$B$17,(($B$18-1)-($B$18-1)/2)*$B$17))*$B$53+(0),999)</f>
        <v>26.7692307692308</v>
      </c>
      <c r="R155" s="35">
        <f>IF(AND($B$22&gt;0),(IF(37&lt;$B$22,(37-($B$22-1)/2)*$B$21,(($B$22-1)-($B$22-1)/2)*$B$21))*$B$53+(-38),999)</f>
        <v>-11.2307692307692</v>
      </c>
      <c r="S155" s="35">
        <f>IF(AND($B$22&gt;0),(IF(37&lt;$B$22,(-(($B$18-1)/2*$B$17)),IF(MOD($B$22-1,2)=0,(($B$18-1)/2*$B$17),(-(($B$18-1)/2*$B$17)))))*$B$53+(0),999)</f>
        <v>26.7692307692308</v>
      </c>
      <c r="T155" s="35">
        <f>IF(AND($B$30&gt;0,$B$29&gt;0),(IF(37&lt;$B$30,(-(($B$31-1)/2*$B$29)),IF(MOD($B$30-1,2)=0,(($B$31-1)/2*$B$29),(-(($B$31-1)/2*$B$29)))))*$B$53+(-38),999)</f>
        <v>999</v>
      </c>
      <c r="U155" s="35">
        <f>IF(AND($B$30&gt;0,$B$29&gt;0),(IF(37&lt;$B$30,(37-($B$30-1)/2)*$B$29,(($B$30-1)-($B$30-1)/2)*$B$29))*$B$53+(0),999)</f>
        <v>999</v>
      </c>
      <c r="V155" s="35">
        <f>IF(AND($B$31&gt;0,$B$29&gt;0),(IF(37&lt;$B$31,(37-($B$31-1)/2)*$B$29,(($B$31-1)-($B$31-1)/2)*$B$29))*$B$53+(-38),999)</f>
        <v>999</v>
      </c>
      <c r="W155" s="35">
        <f>IF(AND($B$31&gt;0,$B$29&gt;0),(IF(37&lt;$B$31,(-(($B$30-1)/2*$B$29)),IF(MOD($B$31-1,2)=0,(($B$30-1)/2*$B$29),(-(($B$30-1)/2*$B$29)))))*$B$53+(0),999)</f>
        <v>999</v>
      </c>
    </row>
    <row r="156" spans="16:23" x14ac:dyDescent="0.3">
      <c r="P156" s="35">
        <f>IF(AND($B$18&gt;0),(IF(38&lt;$B$18,(-(($B$22-1)/2*$B$21)),IF(MOD($B$18-1,2)=0,(($B$22-1)/2*$B$21),(-(($B$22-1)/2*$B$21)))))*$B$53+(-38),999)</f>
        <v>-11.2307692307692</v>
      </c>
      <c r="Q156" s="35">
        <f>IF(AND($B$18&gt;0),(IF(38&lt;$B$18,(38-($B$18-1)/2)*$B$17,(($B$18-1)-($B$18-1)/2)*$B$17))*$B$53+(0),999)</f>
        <v>26.7692307692308</v>
      </c>
      <c r="R156" s="35">
        <f>IF(AND($B$22&gt;0),(IF(38&lt;$B$22,(38-($B$22-1)/2)*$B$21,(($B$22-1)-($B$22-1)/2)*$B$21))*$B$53+(-38),999)</f>
        <v>-11.2307692307692</v>
      </c>
      <c r="S156" s="35">
        <f>IF(AND($B$22&gt;0),(IF(38&lt;$B$22,(-(($B$18-1)/2*$B$17)),IF(MOD($B$22-1,2)=0,(($B$18-1)/2*$B$17),(-(($B$18-1)/2*$B$17)))))*$B$53+(0),999)</f>
        <v>26.7692307692308</v>
      </c>
      <c r="T156" s="35">
        <f>IF(AND($B$30&gt;0,$B$29&gt;0),(IF(38&lt;$B$30,(-(($B$31-1)/2*$B$29)),IF(MOD($B$30-1,2)=0,(($B$31-1)/2*$B$29),(-(($B$31-1)/2*$B$29)))))*$B$53+(-38),999)</f>
        <v>999</v>
      </c>
      <c r="U156" s="35">
        <f>IF(AND($B$30&gt;0,$B$29&gt;0),(IF(38&lt;$B$30,(38-($B$30-1)/2)*$B$29,(($B$30-1)-($B$30-1)/2)*$B$29))*$B$53+(0),999)</f>
        <v>999</v>
      </c>
      <c r="V156" s="35">
        <f>IF(AND($B$31&gt;0,$B$29&gt;0),(IF(38&lt;$B$31,(38-($B$31-1)/2)*$B$29,(($B$31-1)-($B$31-1)/2)*$B$29))*$B$53+(-38),999)</f>
        <v>999</v>
      </c>
      <c r="W156" s="35">
        <f>IF(AND($B$31&gt;0,$B$29&gt;0),(IF(38&lt;$B$31,(-(($B$30-1)/2*$B$29)),IF(MOD($B$31-1,2)=0,(($B$30-1)/2*$B$29),(-(($B$30-1)/2*$B$29)))))*$B$53+(0),999)</f>
        <v>999</v>
      </c>
    </row>
    <row r="157" spans="16:23" x14ac:dyDescent="0.3">
      <c r="P157" s="35">
        <f>IF(AND($B$18&gt;0),(IF(38&lt;$B$18,(-$B$4/2+$B$13),IF(MOD($B$18-1,2)=0,(($B$22-1)/2*$B$21),(-(($B$22-1)/2*$B$21)))))*$B$53+(-38),999)</f>
        <v>-11.2307692307692</v>
      </c>
      <c r="Q157" s="35">
        <f>IF(AND($B$18&gt;0),(IF(38&lt;$B$18,(38-($B$18-1)/2)*$B$17,(($B$18-1)-($B$18-1)/2)*$B$17))*$B$53+(0),999)</f>
        <v>26.7692307692308</v>
      </c>
      <c r="R157" s="35">
        <f>IF(AND($B$22&gt;0),(IF(38&lt;$B$22,(38-($B$22-1)/2)*$B$21,(($B$22-1)-($B$22-1)/2)*$B$21))*$B$53+(-38),999)</f>
        <v>-11.2307692307692</v>
      </c>
      <c r="S157" s="35">
        <f>IF(AND($B$22&gt;0),(IF(38&lt;$B$22,(-$B$5/2+IF($B$3=3,0,$B$13)),IF(MOD($B$22-1,2)=0,(($B$18-1)/2*$B$17),(-(($B$18-1)/2*$B$17)))))*$B$53+(0),999)</f>
        <v>26.7692307692308</v>
      </c>
      <c r="T157" s="35">
        <f>IF(AND($B$30&gt;0,$B$29&gt;0),(IF(38&lt;$B$30,(-$B$4/2+$B$13),IF(MOD($B$30-1,2)=0,(($B$31-1)/2*$B$29),(-(($B$31-1)/2*$B$29)))))*$B$53+(-38),999)</f>
        <v>999</v>
      </c>
      <c r="U157" s="35">
        <f>IF(AND($B$30&gt;0,$B$29&gt;0),(IF(38&lt;$B$30,(38-($B$30-1)/2)*$B$29,(($B$30-1)-($B$30-1)/2)*$B$29))*$B$53+(0),999)</f>
        <v>999</v>
      </c>
      <c r="V157" s="35">
        <f>IF(AND($B$31&gt;0,$B$29&gt;0),(IF(38&lt;$B$31,(38-($B$31-1)/2)*$B$29,(($B$31-1)-($B$31-1)/2)*$B$29))*$B$53+(-38),999)</f>
        <v>999</v>
      </c>
      <c r="W157" s="35">
        <f>IF(AND($B$31&gt;0,$B$29&gt;0),(IF(38&lt;$B$31,(-$B$5/2+$B$13),IF(MOD($B$31-1,2)=0,(($B$30-1)/2*$B$29),(-(($B$30-1)/2*$B$29)))))*$B$53+(0),999)</f>
        <v>999</v>
      </c>
    </row>
    <row r="158" spans="16:23" x14ac:dyDescent="0.3">
      <c r="P158" s="35">
        <f>IF(AND($B$18&gt;0),(IF(38&lt;$B$18,($B$4/2-$B$13),IF(MOD($B$18-1,2)=0,(($B$22-1)/2*$B$21),(-(($B$22-1)/2*$B$21)))))*$B$53+(-38),999)</f>
        <v>-11.2307692307692</v>
      </c>
      <c r="Q158" s="35">
        <f>IF(AND($B$18&gt;0),(IF(38&lt;$B$18,(38-($B$18-1)/2)*$B$17,(($B$18-1)-($B$18-1)/2)*$B$17))*$B$53+(0),999)</f>
        <v>26.7692307692308</v>
      </c>
      <c r="R158" s="35">
        <f>IF(AND($B$22&gt;0),(IF(38&lt;$B$22,(38-($B$22-1)/2)*$B$21,(($B$22-1)-($B$22-1)/2)*$B$21))*$B$53+(-38),999)</f>
        <v>-11.2307692307692</v>
      </c>
      <c r="S158" s="35">
        <f>IF(AND($B$22&gt;0),(IF(38&lt;$B$22,($B$5/2-IF($B$3=3,0,$B$13)),IF(MOD($B$22-1,2)=0,(($B$18-1)/2*$B$17),(-(($B$18-1)/2*$B$17)))))*$B$53+(0),999)</f>
        <v>26.7692307692308</v>
      </c>
      <c r="T158" s="35">
        <f>IF(AND($B$30&gt;0,$B$29&gt;0),(IF(38&lt;$B$30,($B$4/2-$B$13),IF(MOD($B$30-1,2)=0,(($B$31-1)/2*$B$29),(-(($B$31-1)/2*$B$29)))))*$B$53+(-38),999)</f>
        <v>999</v>
      </c>
      <c r="U158" s="35">
        <f>IF(AND($B$30&gt;0,$B$29&gt;0),(IF(38&lt;$B$30,(38-($B$30-1)/2)*$B$29,(($B$30-1)-($B$30-1)/2)*$B$29))*$B$53+(0),999)</f>
        <v>999</v>
      </c>
      <c r="V158" s="35">
        <f>IF(AND($B$31&gt;0,$B$29&gt;0),(IF(38&lt;$B$31,(38-($B$31-1)/2)*$B$29,(($B$31-1)-($B$31-1)/2)*$B$29))*$B$53+(-38),999)</f>
        <v>999</v>
      </c>
      <c r="W158" s="35">
        <f>IF(AND($B$31&gt;0,$B$29&gt;0),(IF(38&lt;$B$31,($B$5/2-$B$13),IF(MOD($B$31-1,2)=0,(($B$30-1)/2*$B$29),(-(($B$30-1)/2*$B$29)))))*$B$53+(0),999)</f>
        <v>999</v>
      </c>
    </row>
    <row r="159" spans="16:23" x14ac:dyDescent="0.3">
      <c r="P159" s="35">
        <f>IF(AND($B$18&gt;0),(IF(38&lt;$B$18,(($B$22-1)/2*$B$21),IF(MOD($B$18-1,2)=0,(($B$22-1)/2*$B$21),(-(($B$22-1)/2*$B$21)))))*$B$53+(-38),999)</f>
        <v>-11.2307692307692</v>
      </c>
      <c r="Q159" s="35">
        <f>IF(AND($B$18&gt;0),(IF(38&lt;$B$18,(38-($B$18-1)/2)*$B$17,(($B$18-1)-($B$18-1)/2)*$B$17))*$B$53+(0),999)</f>
        <v>26.7692307692308</v>
      </c>
      <c r="R159" s="35">
        <f>IF(AND($B$22&gt;0),(IF(38&lt;$B$22,(38-($B$22-1)/2)*$B$21,(($B$22-1)-($B$22-1)/2)*$B$21))*$B$53+(-38),999)</f>
        <v>-11.2307692307692</v>
      </c>
      <c r="S159" s="35">
        <f>IF(AND($B$22&gt;0),(IF(38&lt;$B$22,(($B$18-1)/2*$B$17),IF(MOD($B$22-1,2)=0,(($B$18-1)/2*$B$17),(-(($B$18-1)/2*$B$17)))))*$B$53+(0),999)</f>
        <v>26.7692307692308</v>
      </c>
      <c r="T159" s="35">
        <f>IF(AND($B$30&gt;0,$B$29&gt;0),(IF(38&lt;$B$30,(($B$31-1)/2*$B$29),IF(MOD($B$30-1,2)=0,(($B$31-1)/2*$B$29),(-(($B$31-1)/2*$B$29)))))*$B$53+(-38),999)</f>
        <v>999</v>
      </c>
      <c r="U159" s="35">
        <f>IF(AND($B$30&gt;0,$B$29&gt;0),(IF(38&lt;$B$30,(38-($B$30-1)/2)*$B$29,(($B$30-1)-($B$30-1)/2)*$B$29))*$B$53+(0),999)</f>
        <v>999</v>
      </c>
      <c r="V159" s="35">
        <f>IF(AND($B$31&gt;0,$B$29&gt;0),(IF(38&lt;$B$31,(38-($B$31-1)/2)*$B$29,(($B$31-1)-($B$31-1)/2)*$B$29))*$B$53+(-38),999)</f>
        <v>999</v>
      </c>
      <c r="W159" s="35">
        <f>IF(AND($B$31&gt;0,$B$29&gt;0),(IF(38&lt;$B$31,(($B$30-1)/2*$B$29),IF(MOD($B$31-1,2)=0,(($B$30-1)/2*$B$29),(-(($B$30-1)/2*$B$29)))))*$B$53+(0),999)</f>
        <v>999</v>
      </c>
    </row>
    <row r="160" spans="16:23" x14ac:dyDescent="0.3">
      <c r="P160" s="35">
        <f>IF(AND($B$18&gt;0),(IF(39&lt;$B$18,(($B$22-1)/2*$B$21),IF(MOD($B$18-1,2)=0,(($B$22-1)/2*$B$21),(-(($B$22-1)/2*$B$21)))))*$B$53+(-38),999)</f>
        <v>-11.2307692307692</v>
      </c>
      <c r="Q160" s="35">
        <f>IF(AND($B$18&gt;0),(IF(39&lt;$B$18,(39-($B$18-1)/2)*$B$17,(($B$18-1)-($B$18-1)/2)*$B$17))*$B$53+(0),999)</f>
        <v>26.7692307692308</v>
      </c>
      <c r="R160" s="35">
        <f>IF(AND($B$22&gt;0),(IF(39&lt;$B$22,(39-($B$22-1)/2)*$B$21,(($B$22-1)-($B$22-1)/2)*$B$21))*$B$53+(-38),999)</f>
        <v>-11.2307692307692</v>
      </c>
      <c r="S160" s="35">
        <f>IF(AND($B$22&gt;0),(IF(39&lt;$B$22,(($B$18-1)/2*$B$17),IF(MOD($B$22-1,2)=0,(($B$18-1)/2*$B$17),(-(($B$18-1)/2*$B$17)))))*$B$53+(0),999)</f>
        <v>26.7692307692308</v>
      </c>
      <c r="T160" s="35">
        <f>IF(AND($B$30&gt;0,$B$29&gt;0),(IF(39&lt;$B$30,(($B$31-1)/2*$B$29),IF(MOD($B$30-1,2)=0,(($B$31-1)/2*$B$29),(-(($B$31-1)/2*$B$29)))))*$B$53+(-38),999)</f>
        <v>999</v>
      </c>
      <c r="U160" s="35">
        <f>IF(AND($B$30&gt;0,$B$29&gt;0),(IF(39&lt;$B$30,(39-($B$30-1)/2)*$B$29,(($B$30-1)-($B$30-1)/2)*$B$29))*$B$53+(0),999)</f>
        <v>999</v>
      </c>
      <c r="V160" s="35">
        <f>IF(AND($B$31&gt;0,$B$29&gt;0),(IF(39&lt;$B$31,(39-($B$31-1)/2)*$B$29,(($B$31-1)-($B$31-1)/2)*$B$29))*$B$53+(-38),999)</f>
        <v>999</v>
      </c>
      <c r="W160" s="35">
        <f>IF(AND($B$31&gt;0,$B$29&gt;0),(IF(39&lt;$B$31,(($B$30-1)/2*$B$29),IF(MOD($B$31-1,2)=0,(($B$30-1)/2*$B$29),(-(($B$30-1)/2*$B$29)))))*$B$53+(0),999)</f>
        <v>999</v>
      </c>
    </row>
    <row r="161" spans="16:23" x14ac:dyDescent="0.3">
      <c r="P161" s="35">
        <f>IF(AND($B$18&gt;0),(IF(39&lt;$B$18,($B$4/2-$B$13),IF(MOD($B$18-1,2)=0,(($B$22-1)/2*$B$21),(-(($B$22-1)/2*$B$21)))))*$B$53+(-38),999)</f>
        <v>-11.2307692307692</v>
      </c>
      <c r="Q161" s="35">
        <f>IF(AND($B$18&gt;0),(IF(39&lt;$B$18,(39-($B$18-1)/2)*$B$17,(($B$18-1)-($B$18-1)/2)*$B$17))*$B$53+(0),999)</f>
        <v>26.7692307692308</v>
      </c>
      <c r="R161" s="35">
        <f>IF(AND($B$22&gt;0),(IF(39&lt;$B$22,(39-($B$22-1)/2)*$B$21,(($B$22-1)-($B$22-1)/2)*$B$21))*$B$53+(-38),999)</f>
        <v>-11.2307692307692</v>
      </c>
      <c r="S161" s="35">
        <f>IF(AND($B$22&gt;0),(IF(39&lt;$B$22,($B$5/2-IF($B$3=3,0,$B$13)),IF(MOD($B$22-1,2)=0,(($B$18-1)/2*$B$17),(-(($B$18-1)/2*$B$17)))))*$B$53+(0),999)</f>
        <v>26.7692307692308</v>
      </c>
      <c r="T161" s="35">
        <f>IF(AND($B$30&gt;0,$B$29&gt;0),(IF(39&lt;$B$30,($B$4/2-$B$13),IF(MOD($B$30-1,2)=0,(($B$31-1)/2*$B$29),(-(($B$31-1)/2*$B$29)))))*$B$53+(-38),999)</f>
        <v>999</v>
      </c>
      <c r="U161" s="35">
        <f>IF(AND($B$30&gt;0,$B$29&gt;0),(IF(39&lt;$B$30,(39-($B$30-1)/2)*$B$29,(($B$30-1)-($B$30-1)/2)*$B$29))*$B$53+(0),999)</f>
        <v>999</v>
      </c>
      <c r="V161" s="35">
        <f>IF(AND($B$31&gt;0,$B$29&gt;0),(IF(39&lt;$B$31,(39-($B$31-1)/2)*$B$29,(($B$31-1)-($B$31-1)/2)*$B$29))*$B$53+(-38),999)</f>
        <v>999</v>
      </c>
      <c r="W161" s="35">
        <f>IF(AND($B$31&gt;0,$B$29&gt;0),(IF(39&lt;$B$31,($B$5/2-$B$13),IF(MOD($B$31-1,2)=0,(($B$30-1)/2*$B$29),(-(($B$30-1)/2*$B$29)))))*$B$53+(0),999)</f>
        <v>999</v>
      </c>
    </row>
    <row r="162" spans="16:23" x14ac:dyDescent="0.3">
      <c r="P162" s="35">
        <f>IF(AND($B$18&gt;0),(IF(39&lt;$B$18,(-$B$4/2+$B$13),IF(MOD($B$18-1,2)=0,(($B$22-1)/2*$B$21),(-(($B$22-1)/2*$B$21)))))*$B$53+(-38),999)</f>
        <v>-11.2307692307692</v>
      </c>
      <c r="Q162" s="35">
        <f>IF(AND($B$18&gt;0),(IF(39&lt;$B$18,(39-($B$18-1)/2)*$B$17,(($B$18-1)-($B$18-1)/2)*$B$17))*$B$53+(0),999)</f>
        <v>26.7692307692308</v>
      </c>
      <c r="R162" s="35">
        <f>IF(AND($B$22&gt;0),(IF(39&lt;$B$22,(39-($B$22-1)/2)*$B$21,(($B$22-1)-($B$22-1)/2)*$B$21))*$B$53+(-38),999)</f>
        <v>-11.2307692307692</v>
      </c>
      <c r="S162" s="35">
        <f>IF(AND($B$22&gt;0),(IF(39&lt;$B$22,(-$B$5/2+IF($B$3=3,0,$B$13)),IF(MOD($B$22-1,2)=0,(($B$18-1)/2*$B$17),(-(($B$18-1)/2*$B$17)))))*$B$53+(0),999)</f>
        <v>26.7692307692308</v>
      </c>
      <c r="T162" s="35">
        <f>IF(AND($B$30&gt;0,$B$29&gt;0),(IF(39&lt;$B$30,(-$B$4/2+$B$13),IF(MOD($B$30-1,2)=0,(($B$31-1)/2*$B$29),(-(($B$31-1)/2*$B$29)))))*$B$53+(-38),999)</f>
        <v>999</v>
      </c>
      <c r="U162" s="35">
        <f>IF(AND($B$30&gt;0,$B$29&gt;0),(IF(39&lt;$B$30,(39-($B$30-1)/2)*$B$29,(($B$30-1)-($B$30-1)/2)*$B$29))*$B$53+(0),999)</f>
        <v>999</v>
      </c>
      <c r="V162" s="35">
        <f>IF(AND($B$31&gt;0,$B$29&gt;0),(IF(39&lt;$B$31,(39-($B$31-1)/2)*$B$29,(($B$31-1)-($B$31-1)/2)*$B$29))*$B$53+(-38),999)</f>
        <v>999</v>
      </c>
      <c r="W162" s="35">
        <f>IF(AND($B$31&gt;0,$B$29&gt;0),(IF(39&lt;$B$31,(-$B$5/2+$B$13),IF(MOD($B$31-1,2)=0,(($B$30-1)/2*$B$29),(-(($B$30-1)/2*$B$29)))))*$B$53+(0),999)</f>
        <v>999</v>
      </c>
    </row>
    <row r="163" spans="16:23" x14ac:dyDescent="0.3">
      <c r="P163" s="35">
        <f>IF(AND($B$18&gt;0),(IF(39&lt;$B$18,(-(($B$22-1)/2*$B$21)),IF(MOD($B$18-1,2)=0,(($B$22-1)/2*$B$21),(-(($B$22-1)/2*$B$21)))))*$B$53+(-38),999)</f>
        <v>-11.2307692307692</v>
      </c>
      <c r="Q163" s="35">
        <f>IF(AND($B$18&gt;0),(IF(39&lt;$B$18,(39-($B$18-1)/2)*$B$17,(($B$18-1)-($B$18-1)/2)*$B$17))*$B$53+(0),999)</f>
        <v>26.7692307692308</v>
      </c>
      <c r="R163" s="35">
        <f>IF(AND($B$22&gt;0),(IF(39&lt;$B$22,(39-($B$22-1)/2)*$B$21,(($B$22-1)-($B$22-1)/2)*$B$21))*$B$53+(-38),999)</f>
        <v>-11.2307692307692</v>
      </c>
      <c r="S163" s="35">
        <f>IF(AND($B$22&gt;0),(IF(39&lt;$B$22,(-(($B$18-1)/2*$B$17)),IF(MOD($B$22-1,2)=0,(($B$18-1)/2*$B$17),(-(($B$18-1)/2*$B$17)))))*$B$53+(0),999)</f>
        <v>26.7692307692308</v>
      </c>
      <c r="T163" s="35">
        <f>IF(AND($B$30&gt;0,$B$29&gt;0),(IF(39&lt;$B$30,(-(($B$31-1)/2*$B$29)),IF(MOD($B$30-1,2)=0,(($B$31-1)/2*$B$29),(-(($B$31-1)/2*$B$29)))))*$B$53+(-38),999)</f>
        <v>999</v>
      </c>
      <c r="U163" s="35">
        <f>IF(AND($B$30&gt;0,$B$29&gt;0),(IF(39&lt;$B$30,(39-($B$30-1)/2)*$B$29,(($B$30-1)-($B$30-1)/2)*$B$29))*$B$53+(0),999)</f>
        <v>999</v>
      </c>
      <c r="V163" s="35">
        <f>IF(AND($B$31&gt;0,$B$29&gt;0),(IF(39&lt;$B$31,(39-($B$31-1)/2)*$B$29,(($B$31-1)-($B$31-1)/2)*$B$29))*$B$53+(-38),999)</f>
        <v>999</v>
      </c>
      <c r="W163" s="35">
        <f>IF(AND($B$31&gt;0,$B$29&gt;0),(IF(39&lt;$B$31,(-(($B$30-1)/2*$B$29)),IF(MOD($B$31-1,2)=0,(($B$30-1)/2*$B$29),(-(($B$30-1)/2*$B$29)))))*$B$53+(0),999)</f>
        <v>999</v>
      </c>
    </row>
    <row r="164" spans="16:23" x14ac:dyDescent="0.3">
      <c r="P164" s="35">
        <f>IF(AND($B$18&gt;0),(IF(40&lt;$B$18,(-(($B$22-1)/2*$B$21)),IF(MOD($B$18-1,2)=0,(($B$22-1)/2*$B$21),(-(($B$22-1)/2*$B$21)))))*$B$53+(-38),999)</f>
        <v>-11.2307692307692</v>
      </c>
      <c r="Q164" s="35">
        <f>IF(AND($B$18&gt;0),(IF(40&lt;$B$18,(40-($B$18-1)/2)*$B$17,(($B$18-1)-($B$18-1)/2)*$B$17))*$B$53+(0),999)</f>
        <v>26.7692307692308</v>
      </c>
      <c r="R164" s="35">
        <f>IF(AND($B$22&gt;0),(IF(40&lt;$B$22,(40-($B$22-1)/2)*$B$21,(($B$22-1)-($B$22-1)/2)*$B$21))*$B$53+(-38),999)</f>
        <v>-11.2307692307692</v>
      </c>
      <c r="S164" s="35">
        <f>IF(AND($B$22&gt;0),(IF(40&lt;$B$22,(-(($B$18-1)/2*$B$17)),IF(MOD($B$22-1,2)=0,(($B$18-1)/2*$B$17),(-(($B$18-1)/2*$B$17)))))*$B$53+(0),999)</f>
        <v>26.7692307692308</v>
      </c>
      <c r="T164" s="35">
        <f>IF(AND($B$30&gt;0,$B$29&gt;0),(IF(40&lt;$B$30,(-(($B$31-1)/2*$B$29)),IF(MOD($B$30-1,2)=0,(($B$31-1)/2*$B$29),(-(($B$31-1)/2*$B$29)))))*$B$53+(-38),999)</f>
        <v>999</v>
      </c>
      <c r="U164" s="35">
        <f>IF(AND($B$30&gt;0,$B$29&gt;0),(IF(40&lt;$B$30,(40-($B$30-1)/2)*$B$29,(($B$30-1)-($B$30-1)/2)*$B$29))*$B$53+(0),999)</f>
        <v>999</v>
      </c>
      <c r="V164" s="35">
        <f>IF(AND($B$31&gt;0,$B$29&gt;0),(IF(40&lt;$B$31,(40-($B$31-1)/2)*$B$29,(($B$31-1)-($B$31-1)/2)*$B$29))*$B$53+(-38),999)</f>
        <v>999</v>
      </c>
      <c r="W164" s="35">
        <f>IF(AND($B$31&gt;0,$B$29&gt;0),(IF(40&lt;$B$31,(-(($B$30-1)/2*$B$29)),IF(MOD($B$31-1,2)=0,(($B$30-1)/2*$B$29),(-(($B$30-1)/2*$B$29)))))*$B$53+(0),999)</f>
        <v>999</v>
      </c>
    </row>
    <row r="165" spans="16:23" x14ac:dyDescent="0.3">
      <c r="P165" s="35">
        <f>IF(AND($B$18&gt;0),(IF(40&lt;$B$18,(-$B$4/2+$B$13),IF(MOD($B$18-1,2)=0,(($B$22-1)/2*$B$21),(-(($B$22-1)/2*$B$21)))))*$B$53+(-38),999)</f>
        <v>-11.2307692307692</v>
      </c>
      <c r="Q165" s="35">
        <f>IF(AND($B$18&gt;0),(IF(40&lt;$B$18,(40-($B$18-1)/2)*$B$17,(($B$18-1)-($B$18-1)/2)*$B$17))*$B$53+(0),999)</f>
        <v>26.7692307692308</v>
      </c>
      <c r="R165" s="35">
        <f>IF(AND($B$22&gt;0),(IF(40&lt;$B$22,(40-($B$22-1)/2)*$B$21,(($B$22-1)-($B$22-1)/2)*$B$21))*$B$53+(-38),999)</f>
        <v>-11.2307692307692</v>
      </c>
      <c r="S165" s="35">
        <f>IF(AND($B$22&gt;0),(IF(40&lt;$B$22,(-$B$5/2+IF($B$3=3,0,$B$13)),IF(MOD($B$22-1,2)=0,(($B$18-1)/2*$B$17),(-(($B$18-1)/2*$B$17)))))*$B$53+(0),999)</f>
        <v>26.7692307692308</v>
      </c>
      <c r="T165" s="35">
        <f>IF(AND($B$30&gt;0,$B$29&gt;0),(IF(40&lt;$B$30,(-$B$4/2+$B$13),IF(MOD($B$30-1,2)=0,(($B$31-1)/2*$B$29),(-(($B$31-1)/2*$B$29)))))*$B$53+(-38),999)</f>
        <v>999</v>
      </c>
      <c r="U165" s="35">
        <f>IF(AND($B$30&gt;0,$B$29&gt;0),(IF(40&lt;$B$30,(40-($B$30-1)/2)*$B$29,(($B$30-1)-($B$30-1)/2)*$B$29))*$B$53+(0),999)</f>
        <v>999</v>
      </c>
      <c r="V165" s="35">
        <f>IF(AND($B$31&gt;0,$B$29&gt;0),(IF(40&lt;$B$31,(40-($B$31-1)/2)*$B$29,(($B$31-1)-($B$31-1)/2)*$B$29))*$B$53+(-38),999)</f>
        <v>999</v>
      </c>
      <c r="W165" s="35">
        <f>IF(AND($B$31&gt;0,$B$29&gt;0),(IF(40&lt;$B$31,(-$B$5/2+$B$13),IF(MOD($B$31-1,2)=0,(($B$30-1)/2*$B$29),(-(($B$30-1)/2*$B$29)))))*$B$53+(0),999)</f>
        <v>999</v>
      </c>
    </row>
    <row r="166" spans="16:23" x14ac:dyDescent="0.3">
      <c r="P166" s="35">
        <f>IF(AND($B$18&gt;0),(IF(40&lt;$B$18,($B$4/2-$B$13),IF(MOD($B$18-1,2)=0,(($B$22-1)/2*$B$21),(-(($B$22-1)/2*$B$21)))))*$B$53+(-38),999)</f>
        <v>-11.2307692307692</v>
      </c>
      <c r="Q166" s="35">
        <f>IF(AND($B$18&gt;0),(IF(40&lt;$B$18,(40-($B$18-1)/2)*$B$17,(($B$18-1)-($B$18-1)/2)*$B$17))*$B$53+(0),999)</f>
        <v>26.7692307692308</v>
      </c>
      <c r="R166" s="35">
        <f>IF(AND($B$22&gt;0),(IF(40&lt;$B$22,(40-($B$22-1)/2)*$B$21,(($B$22-1)-($B$22-1)/2)*$B$21))*$B$53+(-38),999)</f>
        <v>-11.2307692307692</v>
      </c>
      <c r="S166" s="35">
        <f>IF(AND($B$22&gt;0),(IF(40&lt;$B$22,($B$5/2-IF($B$3=3,0,$B$13)),IF(MOD($B$22-1,2)=0,(($B$18-1)/2*$B$17),(-(($B$18-1)/2*$B$17)))))*$B$53+(0),999)</f>
        <v>26.7692307692308</v>
      </c>
      <c r="T166" s="35">
        <f>IF(AND($B$30&gt;0,$B$29&gt;0),(IF(40&lt;$B$30,($B$4/2-$B$13),IF(MOD($B$30-1,2)=0,(($B$31-1)/2*$B$29),(-(($B$31-1)/2*$B$29)))))*$B$53+(-38),999)</f>
        <v>999</v>
      </c>
      <c r="U166" s="35">
        <f>IF(AND($B$30&gt;0,$B$29&gt;0),(IF(40&lt;$B$30,(40-($B$30-1)/2)*$B$29,(($B$30-1)-($B$30-1)/2)*$B$29))*$B$53+(0),999)</f>
        <v>999</v>
      </c>
      <c r="V166" s="35">
        <f>IF(AND($B$31&gt;0,$B$29&gt;0),(IF(40&lt;$B$31,(40-($B$31-1)/2)*$B$29,(($B$31-1)-($B$31-1)/2)*$B$29))*$B$53+(-38),999)</f>
        <v>999</v>
      </c>
      <c r="W166" s="35">
        <f>IF(AND($B$31&gt;0,$B$29&gt;0),(IF(40&lt;$B$31,($B$5/2-$B$13),IF(MOD($B$31-1,2)=0,(($B$30-1)/2*$B$29),(-(($B$30-1)/2*$B$29)))))*$B$53+(0),999)</f>
        <v>999</v>
      </c>
    </row>
    <row r="167" spans="16:23" x14ac:dyDescent="0.3">
      <c r="P167" s="35">
        <f>IF(AND($B$18&gt;0),(IF(40&lt;$B$18,(($B$22-1)/2*$B$21),IF(MOD($B$18-1,2)=0,(($B$22-1)/2*$B$21),(-(($B$22-1)/2*$B$21)))))*$B$53+(-38),999)</f>
        <v>-11.2307692307692</v>
      </c>
      <c r="Q167" s="35">
        <f>IF(AND($B$18&gt;0),(IF(40&lt;$B$18,(40-($B$18-1)/2)*$B$17,(($B$18-1)-($B$18-1)/2)*$B$17))*$B$53+(0),999)</f>
        <v>26.7692307692308</v>
      </c>
      <c r="R167" s="35">
        <f>IF(AND($B$22&gt;0),(IF(40&lt;$B$22,(40-($B$22-1)/2)*$B$21,(($B$22-1)-($B$22-1)/2)*$B$21))*$B$53+(-38),999)</f>
        <v>-11.2307692307692</v>
      </c>
      <c r="S167" s="35">
        <f>IF(AND($B$22&gt;0),(IF(40&lt;$B$22,(($B$18-1)/2*$B$17),IF(MOD($B$22-1,2)=0,(($B$18-1)/2*$B$17),(-(($B$18-1)/2*$B$17)))))*$B$53+(0),999)</f>
        <v>26.7692307692308</v>
      </c>
      <c r="T167" s="35">
        <f>IF(AND($B$30&gt;0,$B$29&gt;0),(IF(40&lt;$B$30,(($B$31-1)/2*$B$29),IF(MOD($B$30-1,2)=0,(($B$31-1)/2*$B$29),(-(($B$31-1)/2*$B$29)))))*$B$53+(-38),999)</f>
        <v>999</v>
      </c>
      <c r="U167" s="35">
        <f>IF(AND($B$30&gt;0,$B$29&gt;0),(IF(40&lt;$B$30,(40-($B$30-1)/2)*$B$29,(($B$30-1)-($B$30-1)/2)*$B$29))*$B$53+(0),999)</f>
        <v>999</v>
      </c>
      <c r="V167" s="35">
        <f>IF(AND($B$31&gt;0,$B$29&gt;0),(IF(40&lt;$B$31,(40-($B$31-1)/2)*$B$29,(($B$31-1)-($B$31-1)/2)*$B$29))*$B$53+(-38),999)</f>
        <v>999</v>
      </c>
      <c r="W167" s="35">
        <f>IF(AND($B$31&gt;0,$B$29&gt;0),(IF(40&lt;$B$31,(($B$30-1)/2*$B$29),IF(MOD($B$31-1,2)=0,(($B$30-1)/2*$B$29),(-(($B$30-1)/2*$B$29)))))*$B$53+(0),999)</f>
        <v>999</v>
      </c>
    </row>
    <row r="168" spans="16:23" x14ac:dyDescent="0.3">
      <c r="P168" s="35">
        <f>IF(AND($B$18&gt;0),(IF(41&lt;$B$18,(($B$22-1)/2*$B$21),IF(MOD($B$18-1,2)=0,(($B$22-1)/2*$B$21),(-(($B$22-1)/2*$B$21)))))*$B$53+(-38),999)</f>
        <v>-11.2307692307692</v>
      </c>
      <c r="Q168" s="35">
        <f>IF(AND($B$18&gt;0),(IF(41&lt;$B$18,(41-($B$18-1)/2)*$B$17,(($B$18-1)-($B$18-1)/2)*$B$17))*$B$53+(0),999)</f>
        <v>26.7692307692308</v>
      </c>
      <c r="R168" s="35">
        <f>IF(AND($B$22&gt;0),(IF(41&lt;$B$22,(41-($B$22-1)/2)*$B$21,(($B$22-1)-($B$22-1)/2)*$B$21))*$B$53+(-38),999)</f>
        <v>-11.2307692307692</v>
      </c>
      <c r="S168" s="35">
        <f>IF(AND($B$22&gt;0),(IF(41&lt;$B$22,(($B$18-1)/2*$B$17),IF(MOD($B$22-1,2)=0,(($B$18-1)/2*$B$17),(-(($B$18-1)/2*$B$17)))))*$B$53+(0),999)</f>
        <v>26.7692307692308</v>
      </c>
      <c r="T168" s="35">
        <f>IF(AND($B$30&gt;0,$B$29&gt;0),(IF(41&lt;$B$30,(($B$31-1)/2*$B$29),IF(MOD($B$30-1,2)=0,(($B$31-1)/2*$B$29),(-(($B$31-1)/2*$B$29)))))*$B$53+(-38),999)</f>
        <v>999</v>
      </c>
      <c r="U168" s="35">
        <f>IF(AND($B$30&gt;0,$B$29&gt;0),(IF(41&lt;$B$30,(41-($B$30-1)/2)*$B$29,(($B$30-1)-($B$30-1)/2)*$B$29))*$B$53+(0),999)</f>
        <v>999</v>
      </c>
      <c r="V168" s="35">
        <f>IF(AND($B$31&gt;0,$B$29&gt;0),(IF(41&lt;$B$31,(41-($B$31-1)/2)*$B$29,(($B$31-1)-($B$31-1)/2)*$B$29))*$B$53+(-38),999)</f>
        <v>999</v>
      </c>
      <c r="W168" s="35">
        <f>IF(AND($B$31&gt;0,$B$29&gt;0),(IF(41&lt;$B$31,(($B$30-1)/2*$B$29),IF(MOD($B$31-1,2)=0,(($B$30-1)/2*$B$29),(-(($B$30-1)/2*$B$29)))))*$B$53+(0),999)</f>
        <v>999</v>
      </c>
    </row>
    <row r="169" spans="16:23" x14ac:dyDescent="0.3">
      <c r="P169" s="35">
        <f>IF(AND($B$18&gt;0),(IF(41&lt;$B$18,($B$4/2-$B$13),IF(MOD($B$18-1,2)=0,(($B$22-1)/2*$B$21),(-(($B$22-1)/2*$B$21)))))*$B$53+(-38),999)</f>
        <v>-11.2307692307692</v>
      </c>
      <c r="Q169" s="35">
        <f>IF(AND($B$18&gt;0),(IF(41&lt;$B$18,(41-($B$18-1)/2)*$B$17,(($B$18-1)-($B$18-1)/2)*$B$17))*$B$53+(0),999)</f>
        <v>26.7692307692308</v>
      </c>
      <c r="R169" s="35">
        <f>IF(AND($B$22&gt;0),(IF(41&lt;$B$22,(41-($B$22-1)/2)*$B$21,(($B$22-1)-($B$22-1)/2)*$B$21))*$B$53+(-38),999)</f>
        <v>-11.2307692307692</v>
      </c>
      <c r="S169" s="35">
        <f>IF(AND($B$22&gt;0),(IF(41&lt;$B$22,($B$5/2-IF($B$3=3,0,$B$13)),IF(MOD($B$22-1,2)=0,(($B$18-1)/2*$B$17),(-(($B$18-1)/2*$B$17)))))*$B$53+(0),999)</f>
        <v>26.7692307692308</v>
      </c>
      <c r="T169" s="35">
        <f>IF(AND($B$30&gt;0,$B$29&gt;0),(IF(41&lt;$B$30,($B$4/2-$B$13),IF(MOD($B$30-1,2)=0,(($B$31-1)/2*$B$29),(-(($B$31-1)/2*$B$29)))))*$B$53+(-38),999)</f>
        <v>999</v>
      </c>
      <c r="U169" s="35">
        <f>IF(AND($B$30&gt;0,$B$29&gt;0),(IF(41&lt;$B$30,(41-($B$30-1)/2)*$B$29,(($B$30-1)-($B$30-1)/2)*$B$29))*$B$53+(0),999)</f>
        <v>999</v>
      </c>
      <c r="V169" s="35">
        <f>IF(AND($B$31&gt;0,$B$29&gt;0),(IF(41&lt;$B$31,(41-($B$31-1)/2)*$B$29,(($B$31-1)-($B$31-1)/2)*$B$29))*$B$53+(-38),999)</f>
        <v>999</v>
      </c>
      <c r="W169" s="35">
        <f>IF(AND($B$31&gt;0,$B$29&gt;0),(IF(41&lt;$B$31,($B$5/2-$B$13),IF(MOD($B$31-1,2)=0,(($B$30-1)/2*$B$29),(-(($B$30-1)/2*$B$29)))))*$B$53+(0),999)</f>
        <v>999</v>
      </c>
    </row>
    <row r="170" spans="16:23" x14ac:dyDescent="0.3">
      <c r="P170" s="35">
        <f>IF(AND($B$18&gt;0),(IF(41&lt;$B$18,(-$B$4/2+$B$13),IF(MOD($B$18-1,2)=0,(($B$22-1)/2*$B$21),(-(($B$22-1)/2*$B$21)))))*$B$53+(-38),999)</f>
        <v>-11.2307692307692</v>
      </c>
      <c r="Q170" s="35">
        <f>IF(AND($B$18&gt;0),(IF(41&lt;$B$18,(41-($B$18-1)/2)*$B$17,(($B$18-1)-($B$18-1)/2)*$B$17))*$B$53+(0),999)</f>
        <v>26.7692307692308</v>
      </c>
      <c r="R170" s="35">
        <f>IF(AND($B$22&gt;0),(IF(41&lt;$B$22,(41-($B$22-1)/2)*$B$21,(($B$22-1)-($B$22-1)/2)*$B$21))*$B$53+(-38),999)</f>
        <v>-11.2307692307692</v>
      </c>
      <c r="S170" s="35">
        <f>IF(AND($B$22&gt;0),(IF(41&lt;$B$22,(-$B$5/2+IF($B$3=3,0,$B$13)),IF(MOD($B$22-1,2)=0,(($B$18-1)/2*$B$17),(-(($B$18-1)/2*$B$17)))))*$B$53+(0),999)</f>
        <v>26.7692307692308</v>
      </c>
      <c r="T170" s="35">
        <f>IF(AND($B$30&gt;0,$B$29&gt;0),(IF(41&lt;$B$30,(-$B$4/2+$B$13),IF(MOD($B$30-1,2)=0,(($B$31-1)/2*$B$29),(-(($B$31-1)/2*$B$29)))))*$B$53+(-38),999)</f>
        <v>999</v>
      </c>
      <c r="U170" s="35">
        <f>IF(AND($B$30&gt;0,$B$29&gt;0),(IF(41&lt;$B$30,(41-($B$30-1)/2)*$B$29,(($B$30-1)-($B$30-1)/2)*$B$29))*$B$53+(0),999)</f>
        <v>999</v>
      </c>
      <c r="V170" s="35">
        <f>IF(AND($B$31&gt;0,$B$29&gt;0),(IF(41&lt;$B$31,(41-($B$31-1)/2)*$B$29,(($B$31-1)-($B$31-1)/2)*$B$29))*$B$53+(-38),999)</f>
        <v>999</v>
      </c>
      <c r="W170" s="35">
        <f>IF(AND($B$31&gt;0,$B$29&gt;0),(IF(41&lt;$B$31,(-$B$5/2+$B$13),IF(MOD($B$31-1,2)=0,(($B$30-1)/2*$B$29),(-(($B$30-1)/2*$B$29)))))*$B$53+(0),999)</f>
        <v>999</v>
      </c>
    </row>
    <row r="171" spans="16:23" x14ac:dyDescent="0.3">
      <c r="P171" s="35">
        <f>IF(AND($B$18&gt;0),(IF(41&lt;$B$18,(-(($B$22-1)/2*$B$21)),IF(MOD($B$18-1,2)=0,(($B$22-1)/2*$B$21),(-(($B$22-1)/2*$B$21)))))*$B$53+(-38),999)</f>
        <v>-11.2307692307692</v>
      </c>
      <c r="Q171" s="35">
        <f>IF(AND($B$18&gt;0),(IF(41&lt;$B$18,(41-($B$18-1)/2)*$B$17,(($B$18-1)-($B$18-1)/2)*$B$17))*$B$53+(0),999)</f>
        <v>26.7692307692308</v>
      </c>
      <c r="R171" s="35">
        <f>IF(AND($B$22&gt;0),(IF(41&lt;$B$22,(41-($B$22-1)/2)*$B$21,(($B$22-1)-($B$22-1)/2)*$B$21))*$B$53+(-38),999)</f>
        <v>-11.2307692307692</v>
      </c>
      <c r="S171" s="35">
        <f>IF(AND($B$22&gt;0),(IF(41&lt;$B$22,(-(($B$18-1)/2*$B$17)),IF(MOD($B$22-1,2)=0,(($B$18-1)/2*$B$17),(-(($B$18-1)/2*$B$17)))))*$B$53+(0),999)</f>
        <v>26.7692307692308</v>
      </c>
      <c r="T171" s="35">
        <f>IF(AND($B$30&gt;0,$B$29&gt;0),(IF(41&lt;$B$30,(-(($B$31-1)/2*$B$29)),IF(MOD($B$30-1,2)=0,(($B$31-1)/2*$B$29),(-(($B$31-1)/2*$B$29)))))*$B$53+(-38),999)</f>
        <v>999</v>
      </c>
      <c r="U171" s="35">
        <f>IF(AND($B$30&gt;0,$B$29&gt;0),(IF(41&lt;$B$30,(41-($B$30-1)/2)*$B$29,(($B$30-1)-($B$30-1)/2)*$B$29))*$B$53+(0),999)</f>
        <v>999</v>
      </c>
      <c r="V171" s="35">
        <f>IF(AND($B$31&gt;0,$B$29&gt;0),(IF(41&lt;$B$31,(41-($B$31-1)/2)*$B$29,(($B$31-1)-($B$31-1)/2)*$B$29))*$B$53+(-38),999)</f>
        <v>999</v>
      </c>
      <c r="W171" s="35">
        <f>IF(AND($B$31&gt;0,$B$29&gt;0),(IF(41&lt;$B$31,(-(($B$30-1)/2*$B$29)),IF(MOD($B$31-1,2)=0,(($B$30-1)/2*$B$29),(-(($B$30-1)/2*$B$29)))))*$B$53+(0),999)</f>
        <v>999</v>
      </c>
    </row>
    <row r="172" spans="16:23" x14ac:dyDescent="0.3">
      <c r="P172" s="35">
        <f>IF(AND($B$18&gt;0),(IF(42&lt;$B$18,(-(($B$22-1)/2*$B$21)),IF(MOD($B$18-1,2)=0,(($B$22-1)/2*$B$21),(-(($B$22-1)/2*$B$21)))))*$B$53+(-38),999)</f>
        <v>-11.2307692307692</v>
      </c>
      <c r="Q172" s="35">
        <f>IF(AND($B$18&gt;0),(IF(42&lt;$B$18,(42-($B$18-1)/2)*$B$17,(($B$18-1)-($B$18-1)/2)*$B$17))*$B$53+(0),999)</f>
        <v>26.7692307692308</v>
      </c>
      <c r="R172" s="35">
        <f>IF(AND($B$22&gt;0),(IF(42&lt;$B$22,(42-($B$22-1)/2)*$B$21,(($B$22-1)-($B$22-1)/2)*$B$21))*$B$53+(-38),999)</f>
        <v>-11.2307692307692</v>
      </c>
      <c r="S172" s="35">
        <f>IF(AND($B$22&gt;0),(IF(42&lt;$B$22,(-(($B$18-1)/2*$B$17)),IF(MOD($B$22-1,2)=0,(($B$18-1)/2*$B$17),(-(($B$18-1)/2*$B$17)))))*$B$53+(0),999)</f>
        <v>26.7692307692308</v>
      </c>
      <c r="T172" s="35">
        <f>IF(AND($B$30&gt;0,$B$29&gt;0),(IF(42&lt;$B$30,(-(($B$31-1)/2*$B$29)),IF(MOD($B$30-1,2)=0,(($B$31-1)/2*$B$29),(-(($B$31-1)/2*$B$29)))))*$B$53+(-38),999)</f>
        <v>999</v>
      </c>
      <c r="U172" s="35">
        <f>IF(AND($B$30&gt;0,$B$29&gt;0),(IF(42&lt;$B$30,(42-($B$30-1)/2)*$B$29,(($B$30-1)-($B$30-1)/2)*$B$29))*$B$53+(0),999)</f>
        <v>999</v>
      </c>
      <c r="V172" s="35">
        <f>IF(AND($B$31&gt;0,$B$29&gt;0),(IF(42&lt;$B$31,(42-($B$31-1)/2)*$B$29,(($B$31-1)-($B$31-1)/2)*$B$29))*$B$53+(-38),999)</f>
        <v>999</v>
      </c>
      <c r="W172" s="35">
        <f>IF(AND($B$31&gt;0,$B$29&gt;0),(IF(42&lt;$B$31,(-(($B$30-1)/2*$B$29)),IF(MOD($B$31-1,2)=0,(($B$30-1)/2*$B$29),(-(($B$30-1)/2*$B$29)))))*$B$53+(0),999)</f>
        <v>999</v>
      </c>
    </row>
    <row r="173" spans="16:23" x14ac:dyDescent="0.3">
      <c r="P173" s="35">
        <f>IF(AND($B$18&gt;0),(IF(42&lt;$B$18,(-$B$4/2+$B$13),IF(MOD($B$18-1,2)=0,(($B$22-1)/2*$B$21),(-(($B$22-1)/2*$B$21)))))*$B$53+(-38),999)</f>
        <v>-11.2307692307692</v>
      </c>
      <c r="Q173" s="35">
        <f>IF(AND($B$18&gt;0),(IF(42&lt;$B$18,(42-($B$18-1)/2)*$B$17,(($B$18-1)-($B$18-1)/2)*$B$17))*$B$53+(0),999)</f>
        <v>26.7692307692308</v>
      </c>
      <c r="R173" s="35">
        <f>IF(AND($B$22&gt;0),(IF(42&lt;$B$22,(42-($B$22-1)/2)*$B$21,(($B$22-1)-($B$22-1)/2)*$B$21))*$B$53+(-38),999)</f>
        <v>-11.2307692307692</v>
      </c>
      <c r="S173" s="35">
        <f>IF(AND($B$22&gt;0),(IF(42&lt;$B$22,(-$B$5/2+IF($B$3=3,0,$B$13)),IF(MOD($B$22-1,2)=0,(($B$18-1)/2*$B$17),(-(($B$18-1)/2*$B$17)))))*$B$53+(0),999)</f>
        <v>26.7692307692308</v>
      </c>
      <c r="T173" s="35">
        <f>IF(AND($B$30&gt;0,$B$29&gt;0),(IF(42&lt;$B$30,(-$B$4/2+$B$13),IF(MOD($B$30-1,2)=0,(($B$31-1)/2*$B$29),(-(($B$31-1)/2*$B$29)))))*$B$53+(-38),999)</f>
        <v>999</v>
      </c>
      <c r="U173" s="35">
        <f>IF(AND($B$30&gt;0,$B$29&gt;0),(IF(42&lt;$B$30,(42-($B$30-1)/2)*$B$29,(($B$30-1)-($B$30-1)/2)*$B$29))*$B$53+(0),999)</f>
        <v>999</v>
      </c>
      <c r="V173" s="35">
        <f>IF(AND($B$31&gt;0,$B$29&gt;0),(IF(42&lt;$B$31,(42-($B$31-1)/2)*$B$29,(($B$31-1)-($B$31-1)/2)*$B$29))*$B$53+(-38),999)</f>
        <v>999</v>
      </c>
      <c r="W173" s="35">
        <f>IF(AND($B$31&gt;0,$B$29&gt;0),(IF(42&lt;$B$31,(-$B$5/2+$B$13),IF(MOD($B$31-1,2)=0,(($B$30-1)/2*$B$29),(-(($B$30-1)/2*$B$29)))))*$B$53+(0),999)</f>
        <v>999</v>
      </c>
    </row>
    <row r="174" spans="16:23" x14ac:dyDescent="0.3">
      <c r="P174" s="35">
        <f>IF(AND($B$18&gt;0),(IF(42&lt;$B$18,($B$4/2-$B$13),IF(MOD($B$18-1,2)=0,(($B$22-1)/2*$B$21),(-(($B$22-1)/2*$B$21)))))*$B$53+(-38),999)</f>
        <v>-11.2307692307692</v>
      </c>
      <c r="Q174" s="35">
        <f>IF(AND($B$18&gt;0),(IF(42&lt;$B$18,(42-($B$18-1)/2)*$B$17,(($B$18-1)-($B$18-1)/2)*$B$17))*$B$53+(0),999)</f>
        <v>26.7692307692308</v>
      </c>
      <c r="R174" s="35">
        <f>IF(AND($B$22&gt;0),(IF(42&lt;$B$22,(42-($B$22-1)/2)*$B$21,(($B$22-1)-($B$22-1)/2)*$B$21))*$B$53+(-38),999)</f>
        <v>-11.2307692307692</v>
      </c>
      <c r="S174" s="35">
        <f>IF(AND($B$22&gt;0),(IF(42&lt;$B$22,($B$5/2-IF($B$3=3,0,$B$13)),IF(MOD($B$22-1,2)=0,(($B$18-1)/2*$B$17),(-(($B$18-1)/2*$B$17)))))*$B$53+(0),999)</f>
        <v>26.7692307692308</v>
      </c>
      <c r="T174" s="35">
        <f>IF(AND($B$30&gt;0,$B$29&gt;0),(IF(42&lt;$B$30,($B$4/2-$B$13),IF(MOD($B$30-1,2)=0,(($B$31-1)/2*$B$29),(-(($B$31-1)/2*$B$29)))))*$B$53+(-38),999)</f>
        <v>999</v>
      </c>
      <c r="U174" s="35">
        <f>IF(AND($B$30&gt;0,$B$29&gt;0),(IF(42&lt;$B$30,(42-($B$30-1)/2)*$B$29,(($B$30-1)-($B$30-1)/2)*$B$29))*$B$53+(0),999)</f>
        <v>999</v>
      </c>
      <c r="V174" s="35">
        <f>IF(AND($B$31&gt;0,$B$29&gt;0),(IF(42&lt;$B$31,(42-($B$31-1)/2)*$B$29,(($B$31-1)-($B$31-1)/2)*$B$29))*$B$53+(-38),999)</f>
        <v>999</v>
      </c>
      <c r="W174" s="35">
        <f>IF(AND($B$31&gt;0,$B$29&gt;0),(IF(42&lt;$B$31,($B$5/2-$B$13),IF(MOD($B$31-1,2)=0,(($B$30-1)/2*$B$29),(-(($B$30-1)/2*$B$29)))))*$B$53+(0),999)</f>
        <v>999</v>
      </c>
    </row>
    <row r="175" spans="16:23" x14ac:dyDescent="0.3">
      <c r="P175" s="35">
        <f>IF(AND($B$18&gt;0),(IF(42&lt;$B$18,(($B$22-1)/2*$B$21),IF(MOD($B$18-1,2)=0,(($B$22-1)/2*$B$21),(-(($B$22-1)/2*$B$21)))))*$B$53+(-38),999)</f>
        <v>-11.2307692307692</v>
      </c>
      <c r="Q175" s="35">
        <f>IF(AND($B$18&gt;0),(IF(42&lt;$B$18,(42-($B$18-1)/2)*$B$17,(($B$18-1)-($B$18-1)/2)*$B$17))*$B$53+(0),999)</f>
        <v>26.7692307692308</v>
      </c>
      <c r="R175" s="35">
        <f>IF(AND($B$22&gt;0),(IF(42&lt;$B$22,(42-($B$22-1)/2)*$B$21,(($B$22-1)-($B$22-1)/2)*$B$21))*$B$53+(-38),999)</f>
        <v>-11.2307692307692</v>
      </c>
      <c r="S175" s="35">
        <f>IF(AND($B$22&gt;0),(IF(42&lt;$B$22,(($B$18-1)/2*$B$17),IF(MOD($B$22-1,2)=0,(($B$18-1)/2*$B$17),(-(($B$18-1)/2*$B$17)))))*$B$53+(0),999)</f>
        <v>26.7692307692308</v>
      </c>
      <c r="T175" s="35">
        <f>IF(AND($B$30&gt;0,$B$29&gt;0),(IF(42&lt;$B$30,(($B$31-1)/2*$B$29),IF(MOD($B$30-1,2)=0,(($B$31-1)/2*$B$29),(-(($B$31-1)/2*$B$29)))))*$B$53+(-38),999)</f>
        <v>999</v>
      </c>
      <c r="U175" s="35">
        <f>IF(AND($B$30&gt;0,$B$29&gt;0),(IF(42&lt;$B$30,(42-($B$30-1)/2)*$B$29,(($B$30-1)-($B$30-1)/2)*$B$29))*$B$53+(0),999)</f>
        <v>999</v>
      </c>
      <c r="V175" s="35">
        <f>IF(AND($B$31&gt;0,$B$29&gt;0),(IF(42&lt;$B$31,(42-($B$31-1)/2)*$B$29,(($B$31-1)-($B$31-1)/2)*$B$29))*$B$53+(-38),999)</f>
        <v>999</v>
      </c>
      <c r="W175" s="35">
        <f>IF(AND($B$31&gt;0,$B$29&gt;0),(IF(42&lt;$B$31,(($B$30-1)/2*$B$29),IF(MOD($B$31-1,2)=0,(($B$30-1)/2*$B$29),(-(($B$30-1)/2*$B$29)))))*$B$53+(0),999)</f>
        <v>999</v>
      </c>
    </row>
    <row r="176" spans="16:23" x14ac:dyDescent="0.3">
      <c r="P176" s="35">
        <f>IF(AND($B$18&gt;0),(IF(43&lt;$B$18,(($B$22-1)/2*$B$21),IF(MOD($B$18-1,2)=0,(($B$22-1)/2*$B$21),(-(($B$22-1)/2*$B$21)))))*$B$53+(-38),999)</f>
        <v>-11.2307692307692</v>
      </c>
      <c r="Q176" s="35">
        <f>IF(AND($B$18&gt;0),(IF(43&lt;$B$18,(43-($B$18-1)/2)*$B$17,(($B$18-1)-($B$18-1)/2)*$B$17))*$B$53+(0),999)</f>
        <v>26.7692307692308</v>
      </c>
      <c r="R176" s="35">
        <f>IF(AND($B$22&gt;0),(IF(43&lt;$B$22,(43-($B$22-1)/2)*$B$21,(($B$22-1)-($B$22-1)/2)*$B$21))*$B$53+(-38),999)</f>
        <v>-11.2307692307692</v>
      </c>
      <c r="S176" s="35">
        <f>IF(AND($B$22&gt;0),(IF(43&lt;$B$22,(($B$18-1)/2*$B$17),IF(MOD($B$22-1,2)=0,(($B$18-1)/2*$B$17),(-(($B$18-1)/2*$B$17)))))*$B$53+(0),999)</f>
        <v>26.7692307692308</v>
      </c>
      <c r="T176" s="35">
        <f>IF(AND($B$30&gt;0,$B$29&gt;0),(IF(43&lt;$B$30,(($B$31-1)/2*$B$29),IF(MOD($B$30-1,2)=0,(($B$31-1)/2*$B$29),(-(($B$31-1)/2*$B$29)))))*$B$53+(-38),999)</f>
        <v>999</v>
      </c>
      <c r="U176" s="35">
        <f>IF(AND($B$30&gt;0,$B$29&gt;0),(IF(43&lt;$B$30,(43-($B$30-1)/2)*$B$29,(($B$30-1)-($B$30-1)/2)*$B$29))*$B$53+(0),999)</f>
        <v>999</v>
      </c>
      <c r="V176" s="35">
        <f>IF(AND($B$31&gt;0,$B$29&gt;0),(IF(43&lt;$B$31,(43-($B$31-1)/2)*$B$29,(($B$31-1)-($B$31-1)/2)*$B$29))*$B$53+(-38),999)</f>
        <v>999</v>
      </c>
      <c r="W176" s="35">
        <f>IF(AND($B$31&gt;0,$B$29&gt;0),(IF(43&lt;$B$31,(($B$30-1)/2*$B$29),IF(MOD($B$31-1,2)=0,(($B$30-1)/2*$B$29),(-(($B$30-1)/2*$B$29)))))*$B$53+(0),999)</f>
        <v>999</v>
      </c>
    </row>
    <row r="177" spans="16:23" x14ac:dyDescent="0.3">
      <c r="P177" s="35">
        <f>IF(AND($B$18&gt;0),(IF(43&lt;$B$18,($B$4/2-$B$13),IF(MOD($B$18-1,2)=0,(($B$22-1)/2*$B$21),(-(($B$22-1)/2*$B$21)))))*$B$53+(-38),999)</f>
        <v>-11.2307692307692</v>
      </c>
      <c r="Q177" s="35">
        <f>IF(AND($B$18&gt;0),(IF(43&lt;$B$18,(43-($B$18-1)/2)*$B$17,(($B$18-1)-($B$18-1)/2)*$B$17))*$B$53+(0),999)</f>
        <v>26.7692307692308</v>
      </c>
      <c r="R177" s="35">
        <f>IF(AND($B$22&gt;0),(IF(43&lt;$B$22,(43-($B$22-1)/2)*$B$21,(($B$22-1)-($B$22-1)/2)*$B$21))*$B$53+(-38),999)</f>
        <v>-11.2307692307692</v>
      </c>
      <c r="S177" s="35">
        <f>IF(AND($B$22&gt;0),(IF(43&lt;$B$22,($B$5/2-IF($B$3=3,0,$B$13)),IF(MOD($B$22-1,2)=0,(($B$18-1)/2*$B$17),(-(($B$18-1)/2*$B$17)))))*$B$53+(0),999)</f>
        <v>26.7692307692308</v>
      </c>
      <c r="T177" s="35">
        <f>IF(AND($B$30&gt;0,$B$29&gt;0),(IF(43&lt;$B$30,($B$4/2-$B$13),IF(MOD($B$30-1,2)=0,(($B$31-1)/2*$B$29),(-(($B$31-1)/2*$B$29)))))*$B$53+(-38),999)</f>
        <v>999</v>
      </c>
      <c r="U177" s="35">
        <f>IF(AND($B$30&gt;0,$B$29&gt;0),(IF(43&lt;$B$30,(43-($B$30-1)/2)*$B$29,(($B$30-1)-($B$30-1)/2)*$B$29))*$B$53+(0),999)</f>
        <v>999</v>
      </c>
      <c r="V177" s="35">
        <f>IF(AND($B$31&gt;0,$B$29&gt;0),(IF(43&lt;$B$31,(43-($B$31-1)/2)*$B$29,(($B$31-1)-($B$31-1)/2)*$B$29))*$B$53+(-38),999)</f>
        <v>999</v>
      </c>
      <c r="W177" s="35">
        <f>IF(AND($B$31&gt;0,$B$29&gt;0),(IF(43&lt;$B$31,($B$5/2-$B$13),IF(MOD($B$31-1,2)=0,(($B$30-1)/2*$B$29),(-(($B$30-1)/2*$B$29)))))*$B$53+(0),999)</f>
        <v>999</v>
      </c>
    </row>
    <row r="178" spans="16:23" x14ac:dyDescent="0.3">
      <c r="P178" s="35">
        <f>IF(AND($B$18&gt;0),(IF(43&lt;$B$18,(-$B$4/2+$B$13),IF(MOD($B$18-1,2)=0,(($B$22-1)/2*$B$21),(-(($B$22-1)/2*$B$21)))))*$B$53+(-38),999)</f>
        <v>-11.2307692307692</v>
      </c>
      <c r="Q178" s="35">
        <f>IF(AND($B$18&gt;0),(IF(43&lt;$B$18,(43-($B$18-1)/2)*$B$17,(($B$18-1)-($B$18-1)/2)*$B$17))*$B$53+(0),999)</f>
        <v>26.7692307692308</v>
      </c>
      <c r="R178" s="35">
        <f>IF(AND($B$22&gt;0),(IF(43&lt;$B$22,(43-($B$22-1)/2)*$B$21,(($B$22-1)-($B$22-1)/2)*$B$21))*$B$53+(-38),999)</f>
        <v>-11.2307692307692</v>
      </c>
      <c r="S178" s="35">
        <f>IF(AND($B$22&gt;0),(IF(43&lt;$B$22,(-$B$5/2+IF($B$3=3,0,$B$13)),IF(MOD($B$22-1,2)=0,(($B$18-1)/2*$B$17),(-(($B$18-1)/2*$B$17)))))*$B$53+(0),999)</f>
        <v>26.7692307692308</v>
      </c>
      <c r="T178" s="35">
        <f>IF(AND($B$30&gt;0,$B$29&gt;0),(IF(43&lt;$B$30,(-$B$4/2+$B$13),IF(MOD($B$30-1,2)=0,(($B$31-1)/2*$B$29),(-(($B$31-1)/2*$B$29)))))*$B$53+(-38),999)</f>
        <v>999</v>
      </c>
      <c r="U178" s="35">
        <f>IF(AND($B$30&gt;0,$B$29&gt;0),(IF(43&lt;$B$30,(43-($B$30-1)/2)*$B$29,(($B$30-1)-($B$30-1)/2)*$B$29))*$B$53+(0),999)</f>
        <v>999</v>
      </c>
      <c r="V178" s="35">
        <f>IF(AND($B$31&gt;0,$B$29&gt;0),(IF(43&lt;$B$31,(43-($B$31-1)/2)*$B$29,(($B$31-1)-($B$31-1)/2)*$B$29))*$B$53+(-38),999)</f>
        <v>999</v>
      </c>
      <c r="W178" s="35">
        <f>IF(AND($B$31&gt;0,$B$29&gt;0),(IF(43&lt;$B$31,(-$B$5/2+$B$13),IF(MOD($B$31-1,2)=0,(($B$30-1)/2*$B$29),(-(($B$30-1)/2*$B$29)))))*$B$53+(0),999)</f>
        <v>999</v>
      </c>
    </row>
    <row r="179" spans="16:23" x14ac:dyDescent="0.3">
      <c r="P179" s="35">
        <f>IF(AND($B$18&gt;0),(IF(43&lt;$B$18,(-(($B$22-1)/2*$B$21)),IF(MOD($B$18-1,2)=0,(($B$22-1)/2*$B$21),(-(($B$22-1)/2*$B$21)))))*$B$53+(-38),999)</f>
        <v>-11.2307692307692</v>
      </c>
      <c r="Q179" s="35">
        <f>IF(AND($B$18&gt;0),(IF(43&lt;$B$18,(43-($B$18-1)/2)*$B$17,(($B$18-1)-($B$18-1)/2)*$B$17))*$B$53+(0),999)</f>
        <v>26.7692307692308</v>
      </c>
      <c r="R179" s="35">
        <f>IF(AND($B$22&gt;0),(IF(43&lt;$B$22,(43-($B$22-1)/2)*$B$21,(($B$22-1)-($B$22-1)/2)*$B$21))*$B$53+(-38),999)</f>
        <v>-11.2307692307692</v>
      </c>
      <c r="S179" s="35">
        <f>IF(AND($B$22&gt;0),(IF(43&lt;$B$22,(-(($B$18-1)/2*$B$17)),IF(MOD($B$22-1,2)=0,(($B$18-1)/2*$B$17),(-(($B$18-1)/2*$B$17)))))*$B$53+(0),999)</f>
        <v>26.7692307692308</v>
      </c>
      <c r="T179" s="35">
        <f>IF(AND($B$30&gt;0,$B$29&gt;0),(IF(43&lt;$B$30,(-(($B$31-1)/2*$B$29)),IF(MOD($B$30-1,2)=0,(($B$31-1)/2*$B$29),(-(($B$31-1)/2*$B$29)))))*$B$53+(-38),999)</f>
        <v>999</v>
      </c>
      <c r="U179" s="35">
        <f>IF(AND($B$30&gt;0,$B$29&gt;0),(IF(43&lt;$B$30,(43-($B$30-1)/2)*$B$29,(($B$30-1)-($B$30-1)/2)*$B$29))*$B$53+(0),999)</f>
        <v>999</v>
      </c>
      <c r="V179" s="35">
        <f>IF(AND($B$31&gt;0,$B$29&gt;0),(IF(43&lt;$B$31,(43-($B$31-1)/2)*$B$29,(($B$31-1)-($B$31-1)/2)*$B$29))*$B$53+(-38),999)</f>
        <v>999</v>
      </c>
      <c r="W179" s="35">
        <f>IF(AND($B$31&gt;0,$B$29&gt;0),(IF(43&lt;$B$31,(-(($B$30-1)/2*$B$29)),IF(MOD($B$31-1,2)=0,(($B$30-1)/2*$B$29),(-(($B$30-1)/2*$B$29)))))*$B$53+(0),999)</f>
        <v>999</v>
      </c>
    </row>
    <row r="180" spans="16:23" x14ac:dyDescent="0.3">
      <c r="P180" s="35">
        <f>IF(AND($B$18&gt;0),(IF(44&lt;$B$18,(-(($B$22-1)/2*$B$21)),IF(MOD($B$18-1,2)=0,(($B$22-1)/2*$B$21),(-(($B$22-1)/2*$B$21)))))*$B$53+(-38),999)</f>
        <v>-11.2307692307692</v>
      </c>
      <c r="Q180" s="35">
        <f>IF(AND($B$18&gt;0),(IF(44&lt;$B$18,(44-($B$18-1)/2)*$B$17,(($B$18-1)-($B$18-1)/2)*$B$17))*$B$53+(0),999)</f>
        <v>26.7692307692308</v>
      </c>
      <c r="R180" s="35">
        <f>IF(AND($B$22&gt;0),(IF(44&lt;$B$22,(44-($B$22-1)/2)*$B$21,(($B$22-1)-($B$22-1)/2)*$B$21))*$B$53+(-38),999)</f>
        <v>-11.2307692307692</v>
      </c>
      <c r="S180" s="35">
        <f>IF(AND($B$22&gt;0),(IF(44&lt;$B$22,(-(($B$18-1)/2*$B$17)),IF(MOD($B$22-1,2)=0,(($B$18-1)/2*$B$17),(-(($B$18-1)/2*$B$17)))))*$B$53+(0),999)</f>
        <v>26.7692307692308</v>
      </c>
      <c r="T180" s="35">
        <f>IF(AND($B$30&gt;0,$B$29&gt;0),(IF(44&lt;$B$30,(-(($B$31-1)/2*$B$29)),IF(MOD($B$30-1,2)=0,(($B$31-1)/2*$B$29),(-(($B$31-1)/2*$B$29)))))*$B$53+(-38),999)</f>
        <v>999</v>
      </c>
      <c r="U180" s="35">
        <f>IF(AND($B$30&gt;0,$B$29&gt;0),(IF(44&lt;$B$30,(44-($B$30-1)/2)*$B$29,(($B$30-1)-($B$30-1)/2)*$B$29))*$B$53+(0),999)</f>
        <v>999</v>
      </c>
      <c r="V180" s="35">
        <f>IF(AND($B$31&gt;0,$B$29&gt;0),(IF(44&lt;$B$31,(44-($B$31-1)/2)*$B$29,(($B$31-1)-($B$31-1)/2)*$B$29))*$B$53+(-38),999)</f>
        <v>999</v>
      </c>
      <c r="W180" s="35">
        <f>IF(AND($B$31&gt;0,$B$29&gt;0),(IF(44&lt;$B$31,(-(($B$30-1)/2*$B$29)),IF(MOD($B$31-1,2)=0,(($B$30-1)/2*$B$29),(-(($B$30-1)/2*$B$29)))))*$B$53+(0),999)</f>
        <v>999</v>
      </c>
    </row>
    <row r="181" spans="16:23" x14ac:dyDescent="0.3">
      <c r="P181" s="35">
        <f>IF(AND($B$18&gt;0),(IF(44&lt;$B$18,(-$B$4/2+$B$13),IF(MOD($B$18-1,2)=0,(($B$22-1)/2*$B$21),(-(($B$22-1)/2*$B$21)))))*$B$53+(-38),999)</f>
        <v>-11.2307692307692</v>
      </c>
      <c r="Q181" s="35">
        <f>IF(AND($B$18&gt;0),(IF(44&lt;$B$18,(44-($B$18-1)/2)*$B$17,(($B$18-1)-($B$18-1)/2)*$B$17))*$B$53+(0),999)</f>
        <v>26.7692307692308</v>
      </c>
      <c r="R181" s="35">
        <f>IF(AND($B$22&gt;0),(IF(44&lt;$B$22,(44-($B$22-1)/2)*$B$21,(($B$22-1)-($B$22-1)/2)*$B$21))*$B$53+(-38),999)</f>
        <v>-11.2307692307692</v>
      </c>
      <c r="S181" s="35">
        <f>IF(AND($B$22&gt;0),(IF(44&lt;$B$22,(-$B$5/2+IF($B$3=3,0,$B$13)),IF(MOD($B$22-1,2)=0,(($B$18-1)/2*$B$17),(-(($B$18-1)/2*$B$17)))))*$B$53+(0),999)</f>
        <v>26.7692307692308</v>
      </c>
      <c r="T181" s="35">
        <f>IF(AND($B$30&gt;0,$B$29&gt;0),(IF(44&lt;$B$30,(-$B$4/2+$B$13),IF(MOD($B$30-1,2)=0,(($B$31-1)/2*$B$29),(-(($B$31-1)/2*$B$29)))))*$B$53+(-38),999)</f>
        <v>999</v>
      </c>
      <c r="U181" s="35">
        <f>IF(AND($B$30&gt;0,$B$29&gt;0),(IF(44&lt;$B$30,(44-($B$30-1)/2)*$B$29,(($B$30-1)-($B$30-1)/2)*$B$29))*$B$53+(0),999)</f>
        <v>999</v>
      </c>
      <c r="V181" s="35">
        <f>IF(AND($B$31&gt;0,$B$29&gt;0),(IF(44&lt;$B$31,(44-($B$31-1)/2)*$B$29,(($B$31-1)-($B$31-1)/2)*$B$29))*$B$53+(-38),999)</f>
        <v>999</v>
      </c>
      <c r="W181" s="35">
        <f>IF(AND($B$31&gt;0,$B$29&gt;0),(IF(44&lt;$B$31,(-$B$5/2+$B$13),IF(MOD($B$31-1,2)=0,(($B$30-1)/2*$B$29),(-(($B$30-1)/2*$B$29)))))*$B$53+(0),999)</f>
        <v>999</v>
      </c>
    </row>
    <row r="182" spans="16:23" x14ac:dyDescent="0.3">
      <c r="P182" s="35">
        <f>IF(AND($B$18&gt;0),(IF(44&lt;$B$18,($B$4/2-$B$13),IF(MOD($B$18-1,2)=0,(($B$22-1)/2*$B$21),(-(($B$22-1)/2*$B$21)))))*$B$53+(-38),999)</f>
        <v>-11.2307692307692</v>
      </c>
      <c r="Q182" s="35">
        <f>IF(AND($B$18&gt;0),(IF(44&lt;$B$18,(44-($B$18-1)/2)*$B$17,(($B$18-1)-($B$18-1)/2)*$B$17))*$B$53+(0),999)</f>
        <v>26.7692307692308</v>
      </c>
      <c r="R182" s="35">
        <f>IF(AND($B$22&gt;0),(IF(44&lt;$B$22,(44-($B$22-1)/2)*$B$21,(($B$22-1)-($B$22-1)/2)*$B$21))*$B$53+(-38),999)</f>
        <v>-11.2307692307692</v>
      </c>
      <c r="S182" s="35">
        <f>IF(AND($B$22&gt;0),(IF(44&lt;$B$22,($B$5/2-IF($B$3=3,0,$B$13)),IF(MOD($B$22-1,2)=0,(($B$18-1)/2*$B$17),(-(($B$18-1)/2*$B$17)))))*$B$53+(0),999)</f>
        <v>26.7692307692308</v>
      </c>
      <c r="T182" s="35">
        <f>IF(AND($B$30&gt;0,$B$29&gt;0),(IF(44&lt;$B$30,($B$4/2-$B$13),IF(MOD($B$30-1,2)=0,(($B$31-1)/2*$B$29),(-(($B$31-1)/2*$B$29)))))*$B$53+(-38),999)</f>
        <v>999</v>
      </c>
      <c r="U182" s="35">
        <f>IF(AND($B$30&gt;0,$B$29&gt;0),(IF(44&lt;$B$30,(44-($B$30-1)/2)*$B$29,(($B$30-1)-($B$30-1)/2)*$B$29))*$B$53+(0),999)</f>
        <v>999</v>
      </c>
      <c r="V182" s="35">
        <f>IF(AND($B$31&gt;0,$B$29&gt;0),(IF(44&lt;$B$31,(44-($B$31-1)/2)*$B$29,(($B$31-1)-($B$31-1)/2)*$B$29))*$B$53+(-38),999)</f>
        <v>999</v>
      </c>
      <c r="W182" s="35">
        <f>IF(AND($B$31&gt;0,$B$29&gt;0),(IF(44&lt;$B$31,($B$5/2-$B$13),IF(MOD($B$31-1,2)=0,(($B$30-1)/2*$B$29),(-(($B$30-1)/2*$B$29)))))*$B$53+(0),999)</f>
        <v>999</v>
      </c>
    </row>
    <row r="183" spans="16:23" x14ac:dyDescent="0.3">
      <c r="P183" s="35">
        <f>IF(AND($B$18&gt;0),(IF(44&lt;$B$18,(($B$22-1)/2*$B$21),IF(MOD($B$18-1,2)=0,(($B$22-1)/2*$B$21),(-(($B$22-1)/2*$B$21)))))*$B$53+(-38),999)</f>
        <v>-11.2307692307692</v>
      </c>
      <c r="Q183" s="35">
        <f>IF(AND($B$18&gt;0),(IF(44&lt;$B$18,(44-($B$18-1)/2)*$B$17,(($B$18-1)-($B$18-1)/2)*$B$17))*$B$53+(0),999)</f>
        <v>26.7692307692308</v>
      </c>
      <c r="R183" s="35">
        <f>IF(AND($B$22&gt;0),(IF(44&lt;$B$22,(44-($B$22-1)/2)*$B$21,(($B$22-1)-($B$22-1)/2)*$B$21))*$B$53+(-38),999)</f>
        <v>-11.2307692307692</v>
      </c>
      <c r="S183" s="35">
        <f>IF(AND($B$22&gt;0),(IF(44&lt;$B$22,(($B$18-1)/2*$B$17),IF(MOD($B$22-1,2)=0,(($B$18-1)/2*$B$17),(-(($B$18-1)/2*$B$17)))))*$B$53+(0),999)</f>
        <v>26.7692307692308</v>
      </c>
      <c r="T183" s="35">
        <f>IF(AND($B$30&gt;0,$B$29&gt;0),(IF(44&lt;$B$30,(($B$31-1)/2*$B$29),IF(MOD($B$30-1,2)=0,(($B$31-1)/2*$B$29),(-(($B$31-1)/2*$B$29)))))*$B$53+(-38),999)</f>
        <v>999</v>
      </c>
      <c r="U183" s="35">
        <f>IF(AND($B$30&gt;0,$B$29&gt;0),(IF(44&lt;$B$30,(44-($B$30-1)/2)*$B$29,(($B$30-1)-($B$30-1)/2)*$B$29))*$B$53+(0),999)</f>
        <v>999</v>
      </c>
      <c r="V183" s="35">
        <f>IF(AND($B$31&gt;0,$B$29&gt;0),(IF(44&lt;$B$31,(44-($B$31-1)/2)*$B$29,(($B$31-1)-($B$31-1)/2)*$B$29))*$B$53+(-38),999)</f>
        <v>999</v>
      </c>
      <c r="W183" s="35">
        <f>IF(AND($B$31&gt;0,$B$29&gt;0),(IF(44&lt;$B$31,(($B$30-1)/2*$B$29),IF(MOD($B$31-1,2)=0,(($B$30-1)/2*$B$29),(-(($B$30-1)/2*$B$29)))))*$B$53+(0),999)</f>
        <v>999</v>
      </c>
    </row>
    <row r="184" spans="16:23" x14ac:dyDescent="0.3">
      <c r="P184" s="35">
        <f>IF(AND($B$18&gt;0),(IF(45&lt;$B$18,(($B$22-1)/2*$B$21),IF(MOD($B$18-1,2)=0,(($B$22-1)/2*$B$21),(-(($B$22-1)/2*$B$21)))))*$B$53+(-38),999)</f>
        <v>-11.2307692307692</v>
      </c>
      <c r="Q184" s="35">
        <f>IF(AND($B$18&gt;0),(IF(45&lt;$B$18,(45-($B$18-1)/2)*$B$17,(($B$18-1)-($B$18-1)/2)*$B$17))*$B$53+(0),999)</f>
        <v>26.7692307692308</v>
      </c>
      <c r="R184" s="35">
        <f>IF(AND($B$22&gt;0),(IF(45&lt;$B$22,(45-($B$22-1)/2)*$B$21,(($B$22-1)-($B$22-1)/2)*$B$21))*$B$53+(-38),999)</f>
        <v>-11.2307692307692</v>
      </c>
      <c r="S184" s="35">
        <f>IF(AND($B$22&gt;0),(IF(45&lt;$B$22,(($B$18-1)/2*$B$17),IF(MOD($B$22-1,2)=0,(($B$18-1)/2*$B$17),(-(($B$18-1)/2*$B$17)))))*$B$53+(0),999)</f>
        <v>26.7692307692308</v>
      </c>
      <c r="T184" s="35">
        <f>IF(AND($B$30&gt;0,$B$29&gt;0),(IF(45&lt;$B$30,(($B$31-1)/2*$B$29),IF(MOD($B$30-1,2)=0,(($B$31-1)/2*$B$29),(-(($B$31-1)/2*$B$29)))))*$B$53+(-38),999)</f>
        <v>999</v>
      </c>
      <c r="U184" s="35">
        <f>IF(AND($B$30&gt;0,$B$29&gt;0),(IF(45&lt;$B$30,(45-($B$30-1)/2)*$B$29,(($B$30-1)-($B$30-1)/2)*$B$29))*$B$53+(0),999)</f>
        <v>999</v>
      </c>
      <c r="V184" s="35">
        <f>IF(AND($B$31&gt;0,$B$29&gt;0),(IF(45&lt;$B$31,(45-($B$31-1)/2)*$B$29,(($B$31-1)-($B$31-1)/2)*$B$29))*$B$53+(-38),999)</f>
        <v>999</v>
      </c>
      <c r="W184" s="35">
        <f>IF(AND($B$31&gt;0,$B$29&gt;0),(IF(45&lt;$B$31,(($B$30-1)/2*$B$29),IF(MOD($B$31-1,2)=0,(($B$30-1)/2*$B$29),(-(($B$30-1)/2*$B$29)))))*$B$53+(0),999)</f>
        <v>999</v>
      </c>
    </row>
    <row r="185" spans="16:23" x14ac:dyDescent="0.3">
      <c r="P185" s="35">
        <f>IF(AND($B$18&gt;0),(IF(45&lt;$B$18,($B$4/2-$B$13),IF(MOD($B$18-1,2)=0,(($B$22-1)/2*$B$21),(-(($B$22-1)/2*$B$21)))))*$B$53+(-38),999)</f>
        <v>-11.2307692307692</v>
      </c>
      <c r="Q185" s="35">
        <f>IF(AND($B$18&gt;0),(IF(45&lt;$B$18,(45-($B$18-1)/2)*$B$17,(($B$18-1)-($B$18-1)/2)*$B$17))*$B$53+(0),999)</f>
        <v>26.7692307692308</v>
      </c>
      <c r="R185" s="35">
        <f>IF(AND($B$22&gt;0),(IF(45&lt;$B$22,(45-($B$22-1)/2)*$B$21,(($B$22-1)-($B$22-1)/2)*$B$21))*$B$53+(-38),999)</f>
        <v>-11.2307692307692</v>
      </c>
      <c r="S185" s="35">
        <f>IF(AND($B$22&gt;0),(IF(45&lt;$B$22,($B$5/2-IF($B$3=3,0,$B$13)),IF(MOD($B$22-1,2)=0,(($B$18-1)/2*$B$17),(-(($B$18-1)/2*$B$17)))))*$B$53+(0),999)</f>
        <v>26.7692307692308</v>
      </c>
      <c r="T185" s="35">
        <f>IF(AND($B$30&gt;0,$B$29&gt;0),(IF(45&lt;$B$30,($B$4/2-$B$13),IF(MOD($B$30-1,2)=0,(($B$31-1)/2*$B$29),(-(($B$31-1)/2*$B$29)))))*$B$53+(-38),999)</f>
        <v>999</v>
      </c>
      <c r="U185" s="35">
        <f>IF(AND($B$30&gt;0,$B$29&gt;0),(IF(45&lt;$B$30,(45-($B$30-1)/2)*$B$29,(($B$30-1)-($B$30-1)/2)*$B$29))*$B$53+(0),999)</f>
        <v>999</v>
      </c>
      <c r="V185" s="35">
        <f>IF(AND($B$31&gt;0,$B$29&gt;0),(IF(45&lt;$B$31,(45-($B$31-1)/2)*$B$29,(($B$31-1)-($B$31-1)/2)*$B$29))*$B$53+(-38),999)</f>
        <v>999</v>
      </c>
      <c r="W185" s="35">
        <f>IF(AND($B$31&gt;0,$B$29&gt;0),(IF(45&lt;$B$31,($B$5/2-$B$13),IF(MOD($B$31-1,2)=0,(($B$30-1)/2*$B$29),(-(($B$30-1)/2*$B$29)))))*$B$53+(0),999)</f>
        <v>999</v>
      </c>
    </row>
    <row r="186" spans="16:23" x14ac:dyDescent="0.3">
      <c r="P186" s="35">
        <f>IF(AND($B$18&gt;0),(IF(45&lt;$B$18,(-$B$4/2+$B$13),IF(MOD($B$18-1,2)=0,(($B$22-1)/2*$B$21),(-(($B$22-1)/2*$B$21)))))*$B$53+(-38),999)</f>
        <v>-11.2307692307692</v>
      </c>
      <c r="Q186" s="35">
        <f>IF(AND($B$18&gt;0),(IF(45&lt;$B$18,(45-($B$18-1)/2)*$B$17,(($B$18-1)-($B$18-1)/2)*$B$17))*$B$53+(0),999)</f>
        <v>26.7692307692308</v>
      </c>
      <c r="R186" s="35">
        <f>IF(AND($B$22&gt;0),(IF(45&lt;$B$22,(45-($B$22-1)/2)*$B$21,(($B$22-1)-($B$22-1)/2)*$B$21))*$B$53+(-38),999)</f>
        <v>-11.2307692307692</v>
      </c>
      <c r="S186" s="35">
        <f>IF(AND($B$22&gt;0),(IF(45&lt;$B$22,(-$B$5/2+IF($B$3=3,0,$B$13)),IF(MOD($B$22-1,2)=0,(($B$18-1)/2*$B$17),(-(($B$18-1)/2*$B$17)))))*$B$53+(0),999)</f>
        <v>26.7692307692308</v>
      </c>
      <c r="T186" s="35">
        <f>IF(AND($B$30&gt;0,$B$29&gt;0),(IF(45&lt;$B$30,(-$B$4/2+$B$13),IF(MOD($B$30-1,2)=0,(($B$31-1)/2*$B$29),(-(($B$31-1)/2*$B$29)))))*$B$53+(-38),999)</f>
        <v>999</v>
      </c>
      <c r="U186" s="35">
        <f>IF(AND($B$30&gt;0,$B$29&gt;0),(IF(45&lt;$B$30,(45-($B$30-1)/2)*$B$29,(($B$30-1)-($B$30-1)/2)*$B$29))*$B$53+(0),999)</f>
        <v>999</v>
      </c>
      <c r="V186" s="35">
        <f>IF(AND($B$31&gt;0,$B$29&gt;0),(IF(45&lt;$B$31,(45-($B$31-1)/2)*$B$29,(($B$31-1)-($B$31-1)/2)*$B$29))*$B$53+(-38),999)</f>
        <v>999</v>
      </c>
      <c r="W186" s="35">
        <f>IF(AND($B$31&gt;0,$B$29&gt;0),(IF(45&lt;$B$31,(-$B$5/2+$B$13),IF(MOD($B$31-1,2)=0,(($B$30-1)/2*$B$29),(-(($B$30-1)/2*$B$29)))))*$B$53+(0),999)</f>
        <v>999</v>
      </c>
    </row>
    <row r="187" spans="16:23" x14ac:dyDescent="0.3">
      <c r="P187" s="35">
        <f>IF(AND($B$18&gt;0),(IF(45&lt;$B$18,(-(($B$22-1)/2*$B$21)),IF(MOD($B$18-1,2)=0,(($B$22-1)/2*$B$21),(-(($B$22-1)/2*$B$21)))))*$B$53+(-38),999)</f>
        <v>-11.2307692307692</v>
      </c>
      <c r="Q187" s="35">
        <f>IF(AND($B$18&gt;0),(IF(45&lt;$B$18,(45-($B$18-1)/2)*$B$17,(($B$18-1)-($B$18-1)/2)*$B$17))*$B$53+(0),999)</f>
        <v>26.7692307692308</v>
      </c>
      <c r="R187" s="35">
        <f>IF(AND($B$22&gt;0),(IF(45&lt;$B$22,(45-($B$22-1)/2)*$B$21,(($B$22-1)-($B$22-1)/2)*$B$21))*$B$53+(-38),999)</f>
        <v>-11.2307692307692</v>
      </c>
      <c r="S187" s="35">
        <f>IF(AND($B$22&gt;0),(IF(45&lt;$B$22,(-(($B$18-1)/2*$B$17)),IF(MOD($B$22-1,2)=0,(($B$18-1)/2*$B$17),(-(($B$18-1)/2*$B$17)))))*$B$53+(0),999)</f>
        <v>26.7692307692308</v>
      </c>
      <c r="T187" s="35">
        <f>IF(AND($B$30&gt;0,$B$29&gt;0),(IF(45&lt;$B$30,(-(($B$31-1)/2*$B$29)),IF(MOD($B$30-1,2)=0,(($B$31-1)/2*$B$29),(-(($B$31-1)/2*$B$29)))))*$B$53+(-38),999)</f>
        <v>999</v>
      </c>
      <c r="U187" s="35">
        <f>IF(AND($B$30&gt;0,$B$29&gt;0),(IF(45&lt;$B$30,(45-($B$30-1)/2)*$B$29,(($B$30-1)-($B$30-1)/2)*$B$29))*$B$53+(0),999)</f>
        <v>999</v>
      </c>
      <c r="V187" s="35">
        <f>IF(AND($B$31&gt;0,$B$29&gt;0),(IF(45&lt;$B$31,(45-($B$31-1)/2)*$B$29,(($B$31-1)-($B$31-1)/2)*$B$29))*$B$53+(-38),999)</f>
        <v>999</v>
      </c>
      <c r="W187" s="35">
        <f>IF(AND($B$31&gt;0,$B$29&gt;0),(IF(45&lt;$B$31,(-(($B$30-1)/2*$B$29)),IF(MOD($B$31-1,2)=0,(($B$30-1)/2*$B$29),(-(($B$30-1)/2*$B$29)))))*$B$53+(0),999)</f>
        <v>999</v>
      </c>
    </row>
    <row r="188" spans="16:23" x14ac:dyDescent="0.3">
      <c r="P188" s="35">
        <f>IF(AND($B$18&gt;0),(IF(46&lt;$B$18,(-(($B$22-1)/2*$B$21)),IF(MOD($B$18-1,2)=0,(($B$22-1)/2*$B$21),(-(($B$22-1)/2*$B$21)))))*$B$53+(-38),999)</f>
        <v>-11.2307692307692</v>
      </c>
      <c r="Q188" s="35">
        <f>IF(AND($B$18&gt;0),(IF(46&lt;$B$18,(46-($B$18-1)/2)*$B$17,(($B$18-1)-($B$18-1)/2)*$B$17))*$B$53+(0),999)</f>
        <v>26.7692307692308</v>
      </c>
      <c r="R188" s="35">
        <f>IF(AND($B$22&gt;0),(IF(46&lt;$B$22,(46-($B$22-1)/2)*$B$21,(($B$22-1)-($B$22-1)/2)*$B$21))*$B$53+(-38),999)</f>
        <v>-11.2307692307692</v>
      </c>
      <c r="S188" s="35">
        <f>IF(AND($B$22&gt;0),(IF(46&lt;$B$22,(-(($B$18-1)/2*$B$17)),IF(MOD($B$22-1,2)=0,(($B$18-1)/2*$B$17),(-(($B$18-1)/2*$B$17)))))*$B$53+(0),999)</f>
        <v>26.7692307692308</v>
      </c>
      <c r="T188" s="35">
        <f>IF(AND($B$30&gt;0,$B$29&gt;0),(IF(46&lt;$B$30,(-(($B$31-1)/2*$B$29)),IF(MOD($B$30-1,2)=0,(($B$31-1)/2*$B$29),(-(($B$31-1)/2*$B$29)))))*$B$53+(-38),999)</f>
        <v>999</v>
      </c>
      <c r="U188" s="35">
        <f>IF(AND($B$30&gt;0,$B$29&gt;0),(IF(46&lt;$B$30,(46-($B$30-1)/2)*$B$29,(($B$30-1)-($B$30-1)/2)*$B$29))*$B$53+(0),999)</f>
        <v>999</v>
      </c>
      <c r="V188" s="35">
        <f>IF(AND($B$31&gt;0,$B$29&gt;0),(IF(46&lt;$B$31,(46-($B$31-1)/2)*$B$29,(($B$31-1)-($B$31-1)/2)*$B$29))*$B$53+(-38),999)</f>
        <v>999</v>
      </c>
      <c r="W188" s="35">
        <f>IF(AND($B$31&gt;0,$B$29&gt;0),(IF(46&lt;$B$31,(-(($B$30-1)/2*$B$29)),IF(MOD($B$31-1,2)=0,(($B$30-1)/2*$B$29),(-(($B$30-1)/2*$B$29)))))*$B$53+(0),999)</f>
        <v>999</v>
      </c>
    </row>
    <row r="189" spans="16:23" x14ac:dyDescent="0.3">
      <c r="P189" s="35">
        <f>IF(AND($B$18&gt;0),(IF(46&lt;$B$18,(-$B$4/2+$B$13),IF(MOD($B$18-1,2)=0,(($B$22-1)/2*$B$21),(-(($B$22-1)/2*$B$21)))))*$B$53+(-38),999)</f>
        <v>-11.2307692307692</v>
      </c>
      <c r="Q189" s="35">
        <f>IF(AND($B$18&gt;0),(IF(46&lt;$B$18,(46-($B$18-1)/2)*$B$17,(($B$18-1)-($B$18-1)/2)*$B$17))*$B$53+(0),999)</f>
        <v>26.7692307692308</v>
      </c>
      <c r="R189" s="35">
        <f>IF(AND($B$22&gt;0),(IF(46&lt;$B$22,(46-($B$22-1)/2)*$B$21,(($B$22-1)-($B$22-1)/2)*$B$21))*$B$53+(-38),999)</f>
        <v>-11.2307692307692</v>
      </c>
      <c r="S189" s="35">
        <f>IF(AND($B$22&gt;0),(IF(46&lt;$B$22,(-$B$5/2+IF($B$3=3,0,$B$13)),IF(MOD($B$22-1,2)=0,(($B$18-1)/2*$B$17),(-(($B$18-1)/2*$B$17)))))*$B$53+(0),999)</f>
        <v>26.7692307692308</v>
      </c>
      <c r="T189" s="35">
        <f>IF(AND($B$30&gt;0,$B$29&gt;0),(IF(46&lt;$B$30,(-$B$4/2+$B$13),IF(MOD($B$30-1,2)=0,(($B$31-1)/2*$B$29),(-(($B$31-1)/2*$B$29)))))*$B$53+(-38),999)</f>
        <v>999</v>
      </c>
      <c r="U189" s="35">
        <f>IF(AND($B$30&gt;0,$B$29&gt;0),(IF(46&lt;$B$30,(46-($B$30-1)/2)*$B$29,(($B$30-1)-($B$30-1)/2)*$B$29))*$B$53+(0),999)</f>
        <v>999</v>
      </c>
      <c r="V189" s="35">
        <f>IF(AND($B$31&gt;0,$B$29&gt;0),(IF(46&lt;$B$31,(46-($B$31-1)/2)*$B$29,(($B$31-1)-($B$31-1)/2)*$B$29))*$B$53+(-38),999)</f>
        <v>999</v>
      </c>
      <c r="W189" s="35">
        <f>IF(AND($B$31&gt;0,$B$29&gt;0),(IF(46&lt;$B$31,(-$B$5/2+$B$13),IF(MOD($B$31-1,2)=0,(($B$30-1)/2*$B$29),(-(($B$30-1)/2*$B$29)))))*$B$53+(0),999)</f>
        <v>999</v>
      </c>
    </row>
    <row r="190" spans="16:23" x14ac:dyDescent="0.3">
      <c r="P190" s="35">
        <f>IF(AND($B$18&gt;0),(IF(46&lt;$B$18,($B$4/2-$B$13),IF(MOD($B$18-1,2)=0,(($B$22-1)/2*$B$21),(-(($B$22-1)/2*$B$21)))))*$B$53+(-38),999)</f>
        <v>-11.2307692307692</v>
      </c>
      <c r="Q190" s="35">
        <f>IF(AND($B$18&gt;0),(IF(46&lt;$B$18,(46-($B$18-1)/2)*$B$17,(($B$18-1)-($B$18-1)/2)*$B$17))*$B$53+(0),999)</f>
        <v>26.7692307692308</v>
      </c>
      <c r="R190" s="35">
        <f>IF(AND($B$22&gt;0),(IF(46&lt;$B$22,(46-($B$22-1)/2)*$B$21,(($B$22-1)-($B$22-1)/2)*$B$21))*$B$53+(-38),999)</f>
        <v>-11.2307692307692</v>
      </c>
      <c r="S190" s="35">
        <f>IF(AND($B$22&gt;0),(IF(46&lt;$B$22,($B$5/2-IF($B$3=3,0,$B$13)),IF(MOD($B$22-1,2)=0,(($B$18-1)/2*$B$17),(-(($B$18-1)/2*$B$17)))))*$B$53+(0),999)</f>
        <v>26.7692307692308</v>
      </c>
      <c r="T190" s="35">
        <f>IF(AND($B$30&gt;0,$B$29&gt;0),(IF(46&lt;$B$30,($B$4/2-$B$13),IF(MOD($B$30-1,2)=0,(($B$31-1)/2*$B$29),(-(($B$31-1)/2*$B$29)))))*$B$53+(-38),999)</f>
        <v>999</v>
      </c>
      <c r="U190" s="35">
        <f>IF(AND($B$30&gt;0,$B$29&gt;0),(IF(46&lt;$B$30,(46-($B$30-1)/2)*$B$29,(($B$30-1)-($B$30-1)/2)*$B$29))*$B$53+(0),999)</f>
        <v>999</v>
      </c>
      <c r="V190" s="35">
        <f>IF(AND($B$31&gt;0,$B$29&gt;0),(IF(46&lt;$B$31,(46-($B$31-1)/2)*$B$29,(($B$31-1)-($B$31-1)/2)*$B$29))*$B$53+(-38),999)</f>
        <v>999</v>
      </c>
      <c r="W190" s="35">
        <f>IF(AND($B$31&gt;0,$B$29&gt;0),(IF(46&lt;$B$31,($B$5/2-$B$13),IF(MOD($B$31-1,2)=0,(($B$30-1)/2*$B$29),(-(($B$30-1)/2*$B$29)))))*$B$53+(0),999)</f>
        <v>999</v>
      </c>
    </row>
    <row r="191" spans="16:23" x14ac:dyDescent="0.3">
      <c r="P191" s="35">
        <f>IF(AND($B$18&gt;0),(IF(46&lt;$B$18,(($B$22-1)/2*$B$21),IF(MOD($B$18-1,2)=0,(($B$22-1)/2*$B$21),(-(($B$22-1)/2*$B$21)))))*$B$53+(-38),999)</f>
        <v>-11.2307692307692</v>
      </c>
      <c r="Q191" s="35">
        <f>IF(AND($B$18&gt;0),(IF(46&lt;$B$18,(46-($B$18-1)/2)*$B$17,(($B$18-1)-($B$18-1)/2)*$B$17))*$B$53+(0),999)</f>
        <v>26.7692307692308</v>
      </c>
      <c r="R191" s="35">
        <f>IF(AND($B$22&gt;0),(IF(46&lt;$B$22,(46-($B$22-1)/2)*$B$21,(($B$22-1)-($B$22-1)/2)*$B$21))*$B$53+(-38),999)</f>
        <v>-11.2307692307692</v>
      </c>
      <c r="S191" s="35">
        <f>IF(AND($B$22&gt;0),(IF(46&lt;$B$22,(($B$18-1)/2*$B$17),IF(MOD($B$22-1,2)=0,(($B$18-1)/2*$B$17),(-(($B$18-1)/2*$B$17)))))*$B$53+(0),999)</f>
        <v>26.7692307692308</v>
      </c>
      <c r="T191" s="35">
        <f>IF(AND($B$30&gt;0,$B$29&gt;0),(IF(46&lt;$B$30,(($B$31-1)/2*$B$29),IF(MOD($B$30-1,2)=0,(($B$31-1)/2*$B$29),(-(($B$31-1)/2*$B$29)))))*$B$53+(-38),999)</f>
        <v>999</v>
      </c>
      <c r="U191" s="35">
        <f>IF(AND($B$30&gt;0,$B$29&gt;0),(IF(46&lt;$B$30,(46-($B$30-1)/2)*$B$29,(($B$30-1)-($B$30-1)/2)*$B$29))*$B$53+(0),999)</f>
        <v>999</v>
      </c>
      <c r="V191" s="35">
        <f>IF(AND($B$31&gt;0,$B$29&gt;0),(IF(46&lt;$B$31,(46-($B$31-1)/2)*$B$29,(($B$31-1)-($B$31-1)/2)*$B$29))*$B$53+(-38),999)</f>
        <v>999</v>
      </c>
      <c r="W191" s="35">
        <f>IF(AND($B$31&gt;0,$B$29&gt;0),(IF(46&lt;$B$31,(($B$30-1)/2*$B$29),IF(MOD($B$31-1,2)=0,(($B$30-1)/2*$B$29),(-(($B$30-1)/2*$B$29)))))*$B$53+(0),999)</f>
        <v>999</v>
      </c>
    </row>
    <row r="192" spans="16:23" x14ac:dyDescent="0.3">
      <c r="P192" s="35">
        <f>IF(AND($B$18&gt;0),(IF(47&lt;$B$18,(($B$22-1)/2*$B$21),IF(MOD($B$18-1,2)=0,(($B$22-1)/2*$B$21),(-(($B$22-1)/2*$B$21)))))*$B$53+(-38),999)</f>
        <v>-11.2307692307692</v>
      </c>
      <c r="Q192" s="35">
        <f>IF(AND($B$18&gt;0),(IF(47&lt;$B$18,(47-($B$18-1)/2)*$B$17,(($B$18-1)-($B$18-1)/2)*$B$17))*$B$53+(0),999)</f>
        <v>26.7692307692308</v>
      </c>
      <c r="R192" s="35">
        <f>IF(AND($B$22&gt;0),(IF(47&lt;$B$22,(47-($B$22-1)/2)*$B$21,(($B$22-1)-($B$22-1)/2)*$B$21))*$B$53+(-38),999)</f>
        <v>-11.2307692307692</v>
      </c>
      <c r="S192" s="35">
        <f>IF(AND($B$22&gt;0),(IF(47&lt;$B$22,(($B$18-1)/2*$B$17),IF(MOD($B$22-1,2)=0,(($B$18-1)/2*$B$17),(-(($B$18-1)/2*$B$17)))))*$B$53+(0),999)</f>
        <v>26.7692307692308</v>
      </c>
      <c r="T192" s="35">
        <f>IF(AND($B$30&gt;0,$B$29&gt;0),(IF(47&lt;$B$30,(($B$31-1)/2*$B$29),IF(MOD($B$30-1,2)=0,(($B$31-1)/2*$B$29),(-(($B$31-1)/2*$B$29)))))*$B$53+(-38),999)</f>
        <v>999</v>
      </c>
      <c r="U192" s="35">
        <f>IF(AND($B$30&gt;0,$B$29&gt;0),(IF(47&lt;$B$30,(47-($B$30-1)/2)*$B$29,(($B$30-1)-($B$30-1)/2)*$B$29))*$B$53+(0),999)</f>
        <v>999</v>
      </c>
      <c r="V192" s="35">
        <f>IF(AND($B$31&gt;0,$B$29&gt;0),(IF(47&lt;$B$31,(47-($B$31-1)/2)*$B$29,(($B$31-1)-($B$31-1)/2)*$B$29))*$B$53+(-38),999)</f>
        <v>999</v>
      </c>
      <c r="W192" s="35">
        <f>IF(AND($B$31&gt;0,$B$29&gt;0),(IF(47&lt;$B$31,(($B$30-1)/2*$B$29),IF(MOD($B$31-1,2)=0,(($B$30-1)/2*$B$29),(-(($B$30-1)/2*$B$29)))))*$B$53+(0),999)</f>
        <v>999</v>
      </c>
    </row>
    <row r="193" spans="16:23" x14ac:dyDescent="0.3">
      <c r="P193" s="35">
        <f>IF(AND($B$18&gt;0),(IF(47&lt;$B$18,($B$4/2-$B$13),IF(MOD($B$18-1,2)=0,(($B$22-1)/2*$B$21),(-(($B$22-1)/2*$B$21)))))*$B$53+(-38),999)</f>
        <v>-11.2307692307692</v>
      </c>
      <c r="Q193" s="35">
        <f>IF(AND($B$18&gt;0),(IF(47&lt;$B$18,(47-($B$18-1)/2)*$B$17,(($B$18-1)-($B$18-1)/2)*$B$17))*$B$53+(0),999)</f>
        <v>26.7692307692308</v>
      </c>
      <c r="R193" s="35">
        <f>IF(AND($B$22&gt;0),(IF(47&lt;$B$22,(47-($B$22-1)/2)*$B$21,(($B$22-1)-($B$22-1)/2)*$B$21))*$B$53+(-38),999)</f>
        <v>-11.2307692307692</v>
      </c>
      <c r="S193" s="35">
        <f>IF(AND($B$22&gt;0),(IF(47&lt;$B$22,($B$5/2-IF($B$3=3,0,$B$13)),IF(MOD($B$22-1,2)=0,(($B$18-1)/2*$B$17),(-(($B$18-1)/2*$B$17)))))*$B$53+(0),999)</f>
        <v>26.7692307692308</v>
      </c>
      <c r="T193" s="35">
        <f>IF(AND($B$30&gt;0,$B$29&gt;0),(IF(47&lt;$B$30,($B$4/2-$B$13),IF(MOD($B$30-1,2)=0,(($B$31-1)/2*$B$29),(-(($B$31-1)/2*$B$29)))))*$B$53+(-38),999)</f>
        <v>999</v>
      </c>
      <c r="U193" s="35">
        <f>IF(AND($B$30&gt;0,$B$29&gt;0),(IF(47&lt;$B$30,(47-($B$30-1)/2)*$B$29,(($B$30-1)-($B$30-1)/2)*$B$29))*$B$53+(0),999)</f>
        <v>999</v>
      </c>
      <c r="V193" s="35">
        <f>IF(AND($B$31&gt;0,$B$29&gt;0),(IF(47&lt;$B$31,(47-($B$31-1)/2)*$B$29,(($B$31-1)-($B$31-1)/2)*$B$29))*$B$53+(-38),999)</f>
        <v>999</v>
      </c>
      <c r="W193" s="35">
        <f>IF(AND($B$31&gt;0,$B$29&gt;0),(IF(47&lt;$B$31,($B$5/2-$B$13),IF(MOD($B$31-1,2)=0,(($B$30-1)/2*$B$29),(-(($B$30-1)/2*$B$29)))))*$B$53+(0),999)</f>
        <v>999</v>
      </c>
    </row>
    <row r="194" spans="16:23" x14ac:dyDescent="0.3">
      <c r="P194" s="35">
        <f>IF(AND($B$18&gt;0),(IF(47&lt;$B$18,(-$B$4/2+$B$13),IF(MOD($B$18-1,2)=0,(($B$22-1)/2*$B$21),(-(($B$22-1)/2*$B$21)))))*$B$53+(-38),999)</f>
        <v>-11.2307692307692</v>
      </c>
      <c r="Q194" s="35">
        <f>IF(AND($B$18&gt;0),(IF(47&lt;$B$18,(47-($B$18-1)/2)*$B$17,(($B$18-1)-($B$18-1)/2)*$B$17))*$B$53+(0),999)</f>
        <v>26.7692307692308</v>
      </c>
      <c r="R194" s="35">
        <f>IF(AND($B$22&gt;0),(IF(47&lt;$B$22,(47-($B$22-1)/2)*$B$21,(($B$22-1)-($B$22-1)/2)*$B$21))*$B$53+(-38),999)</f>
        <v>-11.2307692307692</v>
      </c>
      <c r="S194" s="35">
        <f>IF(AND($B$22&gt;0),(IF(47&lt;$B$22,(-$B$5/2+IF($B$3=3,0,$B$13)),IF(MOD($B$22-1,2)=0,(($B$18-1)/2*$B$17),(-(($B$18-1)/2*$B$17)))))*$B$53+(0),999)</f>
        <v>26.7692307692308</v>
      </c>
      <c r="T194" s="35">
        <f>IF(AND($B$30&gt;0,$B$29&gt;0),(IF(47&lt;$B$30,(-$B$4/2+$B$13),IF(MOD($B$30-1,2)=0,(($B$31-1)/2*$B$29),(-(($B$31-1)/2*$B$29)))))*$B$53+(-38),999)</f>
        <v>999</v>
      </c>
      <c r="U194" s="35">
        <f>IF(AND($B$30&gt;0,$B$29&gt;0),(IF(47&lt;$B$30,(47-($B$30-1)/2)*$B$29,(($B$30-1)-($B$30-1)/2)*$B$29))*$B$53+(0),999)</f>
        <v>999</v>
      </c>
      <c r="V194" s="35">
        <f>IF(AND($B$31&gt;0,$B$29&gt;0),(IF(47&lt;$B$31,(47-($B$31-1)/2)*$B$29,(($B$31-1)-($B$31-1)/2)*$B$29))*$B$53+(-38),999)</f>
        <v>999</v>
      </c>
      <c r="W194" s="35">
        <f>IF(AND($B$31&gt;0,$B$29&gt;0),(IF(47&lt;$B$31,(-$B$5/2+$B$13),IF(MOD($B$31-1,2)=0,(($B$30-1)/2*$B$29),(-(($B$30-1)/2*$B$29)))))*$B$53+(0),999)</f>
        <v>999</v>
      </c>
    </row>
    <row r="195" spans="16:23" x14ac:dyDescent="0.3">
      <c r="P195" s="35">
        <f>IF(AND($B$18&gt;0),(IF(47&lt;$B$18,(-(($B$22-1)/2*$B$21)),IF(MOD($B$18-1,2)=0,(($B$22-1)/2*$B$21),(-(($B$22-1)/2*$B$21)))))*$B$53+(-38),999)</f>
        <v>-11.2307692307692</v>
      </c>
      <c r="Q195" s="35">
        <f>IF(AND($B$18&gt;0),(IF(47&lt;$B$18,(47-($B$18-1)/2)*$B$17,(($B$18-1)-($B$18-1)/2)*$B$17))*$B$53+(0),999)</f>
        <v>26.7692307692308</v>
      </c>
      <c r="R195" s="35">
        <f>IF(AND($B$22&gt;0),(IF(47&lt;$B$22,(47-($B$22-1)/2)*$B$21,(($B$22-1)-($B$22-1)/2)*$B$21))*$B$53+(-38),999)</f>
        <v>-11.2307692307692</v>
      </c>
      <c r="S195" s="35">
        <f>IF(AND($B$22&gt;0),(IF(47&lt;$B$22,(-(($B$18-1)/2*$B$17)),IF(MOD($B$22-1,2)=0,(($B$18-1)/2*$B$17),(-(($B$18-1)/2*$B$17)))))*$B$53+(0),999)</f>
        <v>26.7692307692308</v>
      </c>
      <c r="T195" s="35">
        <f>IF(AND($B$30&gt;0,$B$29&gt;0),(IF(47&lt;$B$30,(-(($B$31-1)/2*$B$29)),IF(MOD($B$30-1,2)=0,(($B$31-1)/2*$B$29),(-(($B$31-1)/2*$B$29)))))*$B$53+(-38),999)</f>
        <v>999</v>
      </c>
      <c r="U195" s="35">
        <f>IF(AND($B$30&gt;0,$B$29&gt;0),(IF(47&lt;$B$30,(47-($B$30-1)/2)*$B$29,(($B$30-1)-($B$30-1)/2)*$B$29))*$B$53+(0),999)</f>
        <v>999</v>
      </c>
      <c r="V195" s="35">
        <f>IF(AND($B$31&gt;0,$B$29&gt;0),(IF(47&lt;$B$31,(47-($B$31-1)/2)*$B$29,(($B$31-1)-($B$31-1)/2)*$B$29))*$B$53+(-38),999)</f>
        <v>999</v>
      </c>
      <c r="W195" s="35">
        <f>IF(AND($B$31&gt;0,$B$29&gt;0),(IF(47&lt;$B$31,(-(($B$30-1)/2*$B$29)),IF(MOD($B$31-1,2)=0,(($B$30-1)/2*$B$29),(-(($B$30-1)/2*$B$29)))))*$B$53+(0),999)</f>
        <v>999</v>
      </c>
    </row>
    <row r="196" spans="16:23" x14ac:dyDescent="0.3">
      <c r="P196" s="35">
        <f>IF(AND($B$18&gt;0),(IF(48&lt;$B$18,(-(($B$22-1)/2*$B$21)),IF(MOD($B$18-1,2)=0,(($B$22-1)/2*$B$21),(-(($B$22-1)/2*$B$21)))))*$B$53+(-38),999)</f>
        <v>-11.2307692307692</v>
      </c>
      <c r="Q196" s="35">
        <f>IF(AND($B$18&gt;0),(IF(48&lt;$B$18,(48-($B$18-1)/2)*$B$17,(($B$18-1)-($B$18-1)/2)*$B$17))*$B$53+(0),999)</f>
        <v>26.7692307692308</v>
      </c>
      <c r="R196" s="35">
        <f>IF(AND($B$22&gt;0),(IF(48&lt;$B$22,(48-($B$22-1)/2)*$B$21,(($B$22-1)-($B$22-1)/2)*$B$21))*$B$53+(-38),999)</f>
        <v>-11.2307692307692</v>
      </c>
      <c r="S196" s="35">
        <f>IF(AND($B$22&gt;0),(IF(48&lt;$B$22,(-(($B$18-1)/2*$B$17)),IF(MOD($B$22-1,2)=0,(($B$18-1)/2*$B$17),(-(($B$18-1)/2*$B$17)))))*$B$53+(0),999)</f>
        <v>26.7692307692308</v>
      </c>
      <c r="T196" s="35">
        <f>IF(AND($B$30&gt;0,$B$29&gt;0),(IF(48&lt;$B$30,(-(($B$31-1)/2*$B$29)),IF(MOD($B$30-1,2)=0,(($B$31-1)/2*$B$29),(-(($B$31-1)/2*$B$29)))))*$B$53+(-38),999)</f>
        <v>999</v>
      </c>
      <c r="U196" s="35">
        <f>IF(AND($B$30&gt;0,$B$29&gt;0),(IF(48&lt;$B$30,(48-($B$30-1)/2)*$B$29,(($B$30-1)-($B$30-1)/2)*$B$29))*$B$53+(0),999)</f>
        <v>999</v>
      </c>
      <c r="V196" s="35">
        <f>IF(AND($B$31&gt;0,$B$29&gt;0),(IF(48&lt;$B$31,(48-($B$31-1)/2)*$B$29,(($B$31-1)-($B$31-1)/2)*$B$29))*$B$53+(-38),999)</f>
        <v>999</v>
      </c>
      <c r="W196" s="35">
        <f>IF(AND($B$31&gt;0,$B$29&gt;0),(IF(48&lt;$B$31,(-(($B$30-1)/2*$B$29)),IF(MOD($B$31-1,2)=0,(($B$30-1)/2*$B$29),(-(($B$30-1)/2*$B$29)))))*$B$53+(0),999)</f>
        <v>999</v>
      </c>
    </row>
    <row r="197" spans="16:23" x14ac:dyDescent="0.3">
      <c r="P197" s="35">
        <f>IF(AND($B$18&gt;0),(IF(48&lt;$B$18,(-$B$4/2+$B$13),IF(MOD($B$18-1,2)=0,(($B$22-1)/2*$B$21),(-(($B$22-1)/2*$B$21)))))*$B$53+(-38),999)</f>
        <v>-11.2307692307692</v>
      </c>
      <c r="Q197" s="35">
        <f>IF(AND($B$18&gt;0),(IF(48&lt;$B$18,(48-($B$18-1)/2)*$B$17,(($B$18-1)-($B$18-1)/2)*$B$17))*$B$53+(0),999)</f>
        <v>26.7692307692308</v>
      </c>
      <c r="R197" s="35">
        <f>IF(AND($B$22&gt;0),(IF(48&lt;$B$22,(48-($B$22-1)/2)*$B$21,(($B$22-1)-($B$22-1)/2)*$B$21))*$B$53+(-38),999)</f>
        <v>-11.2307692307692</v>
      </c>
      <c r="S197" s="35">
        <f>IF(AND($B$22&gt;0),(IF(48&lt;$B$22,(-$B$5/2+IF($B$3=3,0,$B$13)),IF(MOD($B$22-1,2)=0,(($B$18-1)/2*$B$17),(-(($B$18-1)/2*$B$17)))))*$B$53+(0),999)</f>
        <v>26.7692307692308</v>
      </c>
      <c r="T197" s="35">
        <f>IF(AND($B$30&gt;0,$B$29&gt;0),(IF(48&lt;$B$30,(-$B$4/2+$B$13),IF(MOD($B$30-1,2)=0,(($B$31-1)/2*$B$29),(-(($B$31-1)/2*$B$29)))))*$B$53+(-38),999)</f>
        <v>999</v>
      </c>
      <c r="U197" s="35">
        <f>IF(AND($B$30&gt;0,$B$29&gt;0),(IF(48&lt;$B$30,(48-($B$30-1)/2)*$B$29,(($B$30-1)-($B$30-1)/2)*$B$29))*$B$53+(0),999)</f>
        <v>999</v>
      </c>
      <c r="V197" s="35">
        <f>IF(AND($B$31&gt;0,$B$29&gt;0),(IF(48&lt;$B$31,(48-($B$31-1)/2)*$B$29,(($B$31-1)-($B$31-1)/2)*$B$29))*$B$53+(-38),999)</f>
        <v>999</v>
      </c>
      <c r="W197" s="35">
        <f>IF(AND($B$31&gt;0,$B$29&gt;0),(IF(48&lt;$B$31,(-$B$5/2+$B$13),IF(MOD($B$31-1,2)=0,(($B$30-1)/2*$B$29),(-(($B$30-1)/2*$B$29)))))*$B$53+(0),999)</f>
        <v>999</v>
      </c>
    </row>
    <row r="198" spans="16:23" x14ac:dyDescent="0.3">
      <c r="P198" s="35">
        <f>IF(AND($B$18&gt;0),(IF(48&lt;$B$18,($B$4/2-$B$13),IF(MOD($B$18-1,2)=0,(($B$22-1)/2*$B$21),(-(($B$22-1)/2*$B$21)))))*$B$53+(-38),999)</f>
        <v>-11.2307692307692</v>
      </c>
      <c r="Q198" s="35">
        <f>IF(AND($B$18&gt;0),(IF(48&lt;$B$18,(48-($B$18-1)/2)*$B$17,(($B$18-1)-($B$18-1)/2)*$B$17))*$B$53+(0),999)</f>
        <v>26.7692307692308</v>
      </c>
      <c r="R198" s="35">
        <f>IF(AND($B$22&gt;0),(IF(48&lt;$B$22,(48-($B$22-1)/2)*$B$21,(($B$22-1)-($B$22-1)/2)*$B$21))*$B$53+(-38),999)</f>
        <v>-11.2307692307692</v>
      </c>
      <c r="S198" s="35">
        <f>IF(AND($B$22&gt;0),(IF(48&lt;$B$22,($B$5/2-IF($B$3=3,0,$B$13)),IF(MOD($B$22-1,2)=0,(($B$18-1)/2*$B$17),(-(($B$18-1)/2*$B$17)))))*$B$53+(0),999)</f>
        <v>26.7692307692308</v>
      </c>
      <c r="T198" s="35">
        <f>IF(AND($B$30&gt;0,$B$29&gt;0),(IF(48&lt;$B$30,($B$4/2-$B$13),IF(MOD($B$30-1,2)=0,(($B$31-1)/2*$B$29),(-(($B$31-1)/2*$B$29)))))*$B$53+(-38),999)</f>
        <v>999</v>
      </c>
      <c r="U198" s="35">
        <f>IF(AND($B$30&gt;0,$B$29&gt;0),(IF(48&lt;$B$30,(48-($B$30-1)/2)*$B$29,(($B$30-1)-($B$30-1)/2)*$B$29))*$B$53+(0),999)</f>
        <v>999</v>
      </c>
      <c r="V198" s="35">
        <f>IF(AND($B$31&gt;0,$B$29&gt;0),(IF(48&lt;$B$31,(48-($B$31-1)/2)*$B$29,(($B$31-1)-($B$31-1)/2)*$B$29))*$B$53+(-38),999)</f>
        <v>999</v>
      </c>
      <c r="W198" s="35">
        <f>IF(AND($B$31&gt;0,$B$29&gt;0),(IF(48&lt;$B$31,($B$5/2-$B$13),IF(MOD($B$31-1,2)=0,(($B$30-1)/2*$B$29),(-(($B$30-1)/2*$B$29)))))*$B$53+(0),999)</f>
        <v>999</v>
      </c>
    </row>
    <row r="199" spans="16:23" x14ac:dyDescent="0.3">
      <c r="P199" s="35">
        <f>IF(AND($B$18&gt;0),(IF(48&lt;$B$18,(($B$22-1)/2*$B$21),IF(MOD($B$18-1,2)=0,(($B$22-1)/2*$B$21),(-(($B$22-1)/2*$B$21)))))*$B$53+(-38),999)</f>
        <v>-11.2307692307692</v>
      </c>
      <c r="Q199" s="35">
        <f>IF(AND($B$18&gt;0),(IF(48&lt;$B$18,(48-($B$18-1)/2)*$B$17,(($B$18-1)-($B$18-1)/2)*$B$17))*$B$53+(0),999)</f>
        <v>26.7692307692308</v>
      </c>
      <c r="R199" s="35">
        <f>IF(AND($B$22&gt;0),(IF(48&lt;$B$22,(48-($B$22-1)/2)*$B$21,(($B$22-1)-($B$22-1)/2)*$B$21))*$B$53+(-38),999)</f>
        <v>-11.2307692307692</v>
      </c>
      <c r="S199" s="35">
        <f>IF(AND($B$22&gt;0),(IF(48&lt;$B$22,(($B$18-1)/2*$B$17),IF(MOD($B$22-1,2)=0,(($B$18-1)/2*$B$17),(-(($B$18-1)/2*$B$17)))))*$B$53+(0),999)</f>
        <v>26.7692307692308</v>
      </c>
      <c r="T199" s="35">
        <f>IF(AND($B$30&gt;0,$B$29&gt;0),(IF(48&lt;$B$30,(($B$31-1)/2*$B$29),IF(MOD($B$30-1,2)=0,(($B$31-1)/2*$B$29),(-(($B$31-1)/2*$B$29)))))*$B$53+(-38),999)</f>
        <v>999</v>
      </c>
      <c r="U199" s="35">
        <f>IF(AND($B$30&gt;0,$B$29&gt;0),(IF(48&lt;$B$30,(48-($B$30-1)/2)*$B$29,(($B$30-1)-($B$30-1)/2)*$B$29))*$B$53+(0),999)</f>
        <v>999</v>
      </c>
      <c r="V199" s="35">
        <f>IF(AND($B$31&gt;0,$B$29&gt;0),(IF(48&lt;$B$31,(48-($B$31-1)/2)*$B$29,(($B$31-1)-($B$31-1)/2)*$B$29))*$B$53+(-38),999)</f>
        <v>999</v>
      </c>
      <c r="W199" s="35">
        <f>IF(AND($B$31&gt;0,$B$29&gt;0),(IF(48&lt;$B$31,(($B$30-1)/2*$B$29),IF(MOD($B$31-1,2)=0,(($B$30-1)/2*$B$29),(-(($B$30-1)/2*$B$29)))))*$B$53+(0),999)</f>
        <v>999</v>
      </c>
    </row>
    <row r="200" spans="16:23" x14ac:dyDescent="0.3">
      <c r="P200" s="35">
        <f>IF(AND($B$18&gt;0),(IF(49&lt;$B$18,(($B$22-1)/2*$B$21),IF(MOD($B$18-1,2)=0,(($B$22-1)/2*$B$21),(-(($B$22-1)/2*$B$21)))))*$B$53+(-38),999)</f>
        <v>-11.2307692307692</v>
      </c>
      <c r="Q200" s="35">
        <f>IF(AND($B$18&gt;0),(IF(49&lt;$B$18,(49-($B$18-1)/2)*$B$17,(($B$18-1)-($B$18-1)/2)*$B$17))*$B$53+(0),999)</f>
        <v>26.7692307692308</v>
      </c>
      <c r="R200" s="35">
        <f>IF(AND($B$22&gt;0),(IF(49&lt;$B$22,(49-($B$22-1)/2)*$B$21,(($B$22-1)-($B$22-1)/2)*$B$21))*$B$53+(-38),999)</f>
        <v>-11.2307692307692</v>
      </c>
      <c r="S200" s="35">
        <f>IF(AND($B$22&gt;0),(IF(49&lt;$B$22,(($B$18-1)/2*$B$17),IF(MOD($B$22-1,2)=0,(($B$18-1)/2*$B$17),(-(($B$18-1)/2*$B$17)))))*$B$53+(0),999)</f>
        <v>26.7692307692308</v>
      </c>
      <c r="T200" s="35">
        <f>IF(AND($B$30&gt;0,$B$29&gt;0),(IF(49&lt;$B$30,(($B$31-1)/2*$B$29),IF(MOD($B$30-1,2)=0,(($B$31-1)/2*$B$29),(-(($B$31-1)/2*$B$29)))))*$B$53+(-38),999)</f>
        <v>999</v>
      </c>
      <c r="U200" s="35">
        <f>IF(AND($B$30&gt;0,$B$29&gt;0),(IF(49&lt;$B$30,(49-($B$30-1)/2)*$B$29,(($B$30-1)-($B$30-1)/2)*$B$29))*$B$53+(0),999)</f>
        <v>999</v>
      </c>
      <c r="V200" s="35">
        <f>IF(AND($B$31&gt;0,$B$29&gt;0),(IF(49&lt;$B$31,(49-($B$31-1)/2)*$B$29,(($B$31-1)-($B$31-1)/2)*$B$29))*$B$53+(-38),999)</f>
        <v>999</v>
      </c>
      <c r="W200" s="35">
        <f>IF(AND($B$31&gt;0,$B$29&gt;0),(IF(49&lt;$B$31,(($B$30-1)/2*$B$29),IF(MOD($B$31-1,2)=0,(($B$30-1)/2*$B$29),(-(($B$30-1)/2*$B$29)))))*$B$53+(0),999)</f>
        <v>999</v>
      </c>
    </row>
    <row r="201" spans="16:23" x14ac:dyDescent="0.3">
      <c r="P201" s="35">
        <f>IF(AND($B$18&gt;0),(IF(49&lt;$B$18,($B$4/2-$B$13),IF(MOD($B$18-1,2)=0,(($B$22-1)/2*$B$21),(-(($B$22-1)/2*$B$21)))))*$B$53+(-38),999)</f>
        <v>-11.2307692307692</v>
      </c>
      <c r="Q201" s="35">
        <f>IF(AND($B$18&gt;0),(IF(49&lt;$B$18,(49-($B$18-1)/2)*$B$17,(($B$18-1)-($B$18-1)/2)*$B$17))*$B$53+(0),999)</f>
        <v>26.7692307692308</v>
      </c>
      <c r="R201" s="35">
        <f>IF(AND($B$22&gt;0),(IF(49&lt;$B$22,(49-($B$22-1)/2)*$B$21,(($B$22-1)-($B$22-1)/2)*$B$21))*$B$53+(-38),999)</f>
        <v>-11.2307692307692</v>
      </c>
      <c r="S201" s="35">
        <f>IF(AND($B$22&gt;0),(IF(49&lt;$B$22,($B$5/2-IF($B$3=3,0,$B$13)),IF(MOD($B$22-1,2)=0,(($B$18-1)/2*$B$17),(-(($B$18-1)/2*$B$17)))))*$B$53+(0),999)</f>
        <v>26.7692307692308</v>
      </c>
      <c r="T201" s="35">
        <f>IF(AND($B$30&gt;0,$B$29&gt;0),(IF(49&lt;$B$30,($B$4/2-$B$13),IF(MOD($B$30-1,2)=0,(($B$31-1)/2*$B$29),(-(($B$31-1)/2*$B$29)))))*$B$53+(-38),999)</f>
        <v>999</v>
      </c>
      <c r="U201" s="35">
        <f>IF(AND($B$30&gt;0,$B$29&gt;0),(IF(49&lt;$B$30,(49-($B$30-1)/2)*$B$29,(($B$30-1)-($B$30-1)/2)*$B$29))*$B$53+(0),999)</f>
        <v>999</v>
      </c>
      <c r="V201" s="35">
        <f>IF(AND($B$31&gt;0,$B$29&gt;0),(IF(49&lt;$B$31,(49-($B$31-1)/2)*$B$29,(($B$31-1)-($B$31-1)/2)*$B$29))*$B$53+(-38),999)</f>
        <v>999</v>
      </c>
      <c r="W201" s="35">
        <f>IF(AND($B$31&gt;0,$B$29&gt;0),(IF(49&lt;$B$31,($B$5/2-$B$13),IF(MOD($B$31-1,2)=0,(($B$30-1)/2*$B$29),(-(($B$30-1)/2*$B$29)))))*$B$53+(0),999)</f>
        <v>999</v>
      </c>
    </row>
    <row r="202" spans="16:23" x14ac:dyDescent="0.3">
      <c r="P202" s="35">
        <f>IF(AND($B$18&gt;0),(IF(49&lt;$B$18,(-$B$4/2+$B$13),IF(MOD($B$18-1,2)=0,(($B$22-1)/2*$B$21),(-(($B$22-1)/2*$B$21)))))*$B$53+(-38),999)</f>
        <v>-11.2307692307692</v>
      </c>
      <c r="Q202" s="35">
        <f>IF(AND($B$18&gt;0),(IF(49&lt;$B$18,(49-($B$18-1)/2)*$B$17,(($B$18-1)-($B$18-1)/2)*$B$17))*$B$53+(0),999)</f>
        <v>26.7692307692308</v>
      </c>
      <c r="R202" s="35">
        <f>IF(AND($B$22&gt;0),(IF(49&lt;$B$22,(49-($B$22-1)/2)*$B$21,(($B$22-1)-($B$22-1)/2)*$B$21))*$B$53+(-38),999)</f>
        <v>-11.2307692307692</v>
      </c>
      <c r="S202" s="35">
        <f>IF(AND($B$22&gt;0),(IF(49&lt;$B$22,(-$B$5/2+IF($B$3=3,0,$B$13)),IF(MOD($B$22-1,2)=0,(($B$18-1)/2*$B$17),(-(($B$18-1)/2*$B$17)))))*$B$53+(0),999)</f>
        <v>26.7692307692308</v>
      </c>
      <c r="T202" s="35">
        <f>IF(AND($B$30&gt;0,$B$29&gt;0),(IF(49&lt;$B$30,(-$B$4/2+$B$13),IF(MOD($B$30-1,2)=0,(($B$31-1)/2*$B$29),(-(($B$31-1)/2*$B$29)))))*$B$53+(-38),999)</f>
        <v>999</v>
      </c>
      <c r="U202" s="35">
        <f>IF(AND($B$30&gt;0,$B$29&gt;0),(IF(49&lt;$B$30,(49-($B$30-1)/2)*$B$29,(($B$30-1)-($B$30-1)/2)*$B$29))*$B$53+(0),999)</f>
        <v>999</v>
      </c>
      <c r="V202" s="35">
        <f>IF(AND($B$31&gt;0,$B$29&gt;0),(IF(49&lt;$B$31,(49-($B$31-1)/2)*$B$29,(($B$31-1)-($B$31-1)/2)*$B$29))*$B$53+(-38),999)</f>
        <v>999</v>
      </c>
      <c r="W202" s="35">
        <f>IF(AND($B$31&gt;0,$B$29&gt;0),(IF(49&lt;$B$31,(-$B$5/2+$B$13),IF(MOD($B$31-1,2)=0,(($B$30-1)/2*$B$29),(-(($B$30-1)/2*$B$29)))))*$B$53+(0),999)</f>
        <v>999</v>
      </c>
    </row>
    <row r="203" spans="16:23" x14ac:dyDescent="0.3">
      <c r="P203" s="35">
        <f>IF(AND($B$18&gt;0),(IF(49&lt;$B$18,(-(($B$22-1)/2*$B$21)),IF(MOD($B$18-1,2)=0,(($B$22-1)/2*$B$21),(-(($B$22-1)/2*$B$21)))))*$B$53+(-38),999)</f>
        <v>-11.2307692307692</v>
      </c>
      <c r="Q203" s="35">
        <f>IF(AND($B$18&gt;0),(IF(49&lt;$B$18,(49-($B$18-1)/2)*$B$17,(($B$18-1)-($B$18-1)/2)*$B$17))*$B$53+(0),999)</f>
        <v>26.7692307692308</v>
      </c>
      <c r="R203" s="35">
        <f>IF(AND($B$22&gt;0),(IF(49&lt;$B$22,(49-($B$22-1)/2)*$B$21,(($B$22-1)-($B$22-1)/2)*$B$21))*$B$53+(-38),999)</f>
        <v>-11.2307692307692</v>
      </c>
      <c r="S203" s="35">
        <f>IF(AND($B$22&gt;0),(IF(49&lt;$B$22,(-(($B$18-1)/2*$B$17)),IF(MOD($B$22-1,2)=0,(($B$18-1)/2*$B$17),(-(($B$18-1)/2*$B$17)))))*$B$53+(0),999)</f>
        <v>26.7692307692308</v>
      </c>
      <c r="T203" s="35">
        <f>IF(AND($B$30&gt;0,$B$29&gt;0),(IF(49&lt;$B$30,(-(($B$31-1)/2*$B$29)),IF(MOD($B$30-1,2)=0,(($B$31-1)/2*$B$29),(-(($B$31-1)/2*$B$29)))))*$B$53+(-38),999)</f>
        <v>999</v>
      </c>
      <c r="U203" s="35">
        <f>IF(AND($B$30&gt;0,$B$29&gt;0),(IF(49&lt;$B$30,(49-($B$30-1)/2)*$B$29,(($B$30-1)-($B$30-1)/2)*$B$29))*$B$53+(0),999)</f>
        <v>999</v>
      </c>
      <c r="V203" s="35">
        <f>IF(AND($B$31&gt;0,$B$29&gt;0),(IF(49&lt;$B$31,(49-($B$31-1)/2)*$B$29,(($B$31-1)-($B$31-1)/2)*$B$29))*$B$53+(-38),999)</f>
        <v>999</v>
      </c>
      <c r="W203" s="35">
        <f>IF(AND($B$31&gt;0,$B$29&gt;0),(IF(49&lt;$B$31,(-(($B$30-1)/2*$B$29)),IF(MOD($B$31-1,2)=0,(($B$30-1)/2*$B$29),(-(($B$30-1)/2*$B$29)))))*$B$53+(0),999)</f>
        <v>999</v>
      </c>
    </row>
    <row r="204" spans="16:23" x14ac:dyDescent="0.3">
      <c r="P204" s="35">
        <f>IF(AND($B$18&gt;0),(IF(50&lt;$B$18,(-(($B$22-1)/2*$B$21)),IF(MOD($B$18-1,2)=0,(($B$22-1)/2*$B$21),(-(($B$22-1)/2*$B$21)))))*$B$53+(-38),999)</f>
        <v>-11.2307692307692</v>
      </c>
      <c r="Q204" s="35">
        <f>IF(AND($B$18&gt;0),(IF(50&lt;$B$18,(50-($B$18-1)/2)*$B$17,(($B$18-1)-($B$18-1)/2)*$B$17))*$B$53+(0),999)</f>
        <v>26.7692307692308</v>
      </c>
      <c r="R204" s="35">
        <f>IF(AND($B$22&gt;0),(IF(50&lt;$B$22,(50-($B$22-1)/2)*$B$21,(($B$22-1)-($B$22-1)/2)*$B$21))*$B$53+(-38),999)</f>
        <v>-11.2307692307692</v>
      </c>
      <c r="S204" s="35">
        <f>IF(AND($B$22&gt;0),(IF(50&lt;$B$22,(-(($B$18-1)/2*$B$17)),IF(MOD($B$22-1,2)=0,(($B$18-1)/2*$B$17),(-(($B$18-1)/2*$B$17)))))*$B$53+(0),999)</f>
        <v>26.7692307692308</v>
      </c>
      <c r="T204" s="35">
        <f>IF(AND($B$30&gt;0,$B$29&gt;0),(IF(50&lt;$B$30,(-(($B$31-1)/2*$B$29)),IF(MOD($B$30-1,2)=0,(($B$31-1)/2*$B$29),(-(($B$31-1)/2*$B$29)))))*$B$53+(-38),999)</f>
        <v>999</v>
      </c>
      <c r="U204" s="35">
        <f>IF(AND($B$30&gt;0,$B$29&gt;0),(IF(50&lt;$B$30,(50-($B$30-1)/2)*$B$29,(($B$30-1)-($B$30-1)/2)*$B$29))*$B$53+(0),999)</f>
        <v>999</v>
      </c>
      <c r="V204" s="35">
        <f>IF(AND($B$31&gt;0,$B$29&gt;0),(IF(50&lt;$B$31,(50-($B$31-1)/2)*$B$29,(($B$31-1)-($B$31-1)/2)*$B$29))*$B$53+(-38),999)</f>
        <v>999</v>
      </c>
      <c r="W204" s="35">
        <f>IF(AND($B$31&gt;0,$B$29&gt;0),(IF(50&lt;$B$31,(-(($B$30-1)/2*$B$29)),IF(MOD($B$31-1,2)=0,(($B$30-1)/2*$B$29),(-(($B$30-1)/2*$B$29)))))*$B$53+(0),999)</f>
        <v>999</v>
      </c>
    </row>
    <row r="205" spans="16:23" x14ac:dyDescent="0.3">
      <c r="P205" s="35">
        <f>IF(AND($B$18&gt;0),(IF(50&lt;$B$18,(-$B$4/2+$B$13),IF(MOD($B$18-1,2)=0,(($B$22-1)/2*$B$21),(-(($B$22-1)/2*$B$21)))))*$B$53+(-38),999)</f>
        <v>-11.2307692307692</v>
      </c>
      <c r="Q205" s="35">
        <f>IF(AND($B$18&gt;0),(IF(50&lt;$B$18,(50-($B$18-1)/2)*$B$17,(($B$18-1)-($B$18-1)/2)*$B$17))*$B$53+(0),999)</f>
        <v>26.7692307692308</v>
      </c>
      <c r="R205" s="35">
        <f>IF(AND($B$22&gt;0),(IF(50&lt;$B$22,(50-($B$22-1)/2)*$B$21,(($B$22-1)-($B$22-1)/2)*$B$21))*$B$53+(-38),999)</f>
        <v>-11.2307692307692</v>
      </c>
      <c r="S205" s="35">
        <f>IF(AND($B$22&gt;0),(IF(50&lt;$B$22,(-$B$5/2+IF($B$3=3,0,$B$13)),IF(MOD($B$22-1,2)=0,(($B$18-1)/2*$B$17),(-(($B$18-1)/2*$B$17)))))*$B$53+(0),999)</f>
        <v>26.7692307692308</v>
      </c>
      <c r="T205" s="35">
        <f>IF(AND($B$30&gt;0,$B$29&gt;0),(IF(50&lt;$B$30,(-$B$4/2+$B$13),IF(MOD($B$30-1,2)=0,(($B$31-1)/2*$B$29),(-(($B$31-1)/2*$B$29)))))*$B$53+(-38),999)</f>
        <v>999</v>
      </c>
      <c r="U205" s="35">
        <f>IF(AND($B$30&gt;0,$B$29&gt;0),(IF(50&lt;$B$30,(50-($B$30-1)/2)*$B$29,(($B$30-1)-($B$30-1)/2)*$B$29))*$B$53+(0),999)</f>
        <v>999</v>
      </c>
      <c r="V205" s="35">
        <f>IF(AND($B$31&gt;0,$B$29&gt;0),(IF(50&lt;$B$31,(50-($B$31-1)/2)*$B$29,(($B$31-1)-($B$31-1)/2)*$B$29))*$B$53+(-38),999)</f>
        <v>999</v>
      </c>
      <c r="W205" s="35">
        <f>IF(AND($B$31&gt;0,$B$29&gt;0),(IF(50&lt;$B$31,(-$B$5/2+$B$13),IF(MOD($B$31-1,2)=0,(($B$30-1)/2*$B$29),(-(($B$30-1)/2*$B$29)))))*$B$53+(0),999)</f>
        <v>999</v>
      </c>
    </row>
    <row r="206" spans="16:23" x14ac:dyDescent="0.3">
      <c r="P206" s="35">
        <f>IF(AND($B$18&gt;0),(IF(50&lt;$B$18,($B$4/2-$B$13),IF(MOD($B$18-1,2)=0,(($B$22-1)/2*$B$21),(-(($B$22-1)/2*$B$21)))))*$B$53+(-38),999)</f>
        <v>-11.2307692307692</v>
      </c>
      <c r="Q206" s="35">
        <f>IF(AND($B$18&gt;0),(IF(50&lt;$B$18,(50-($B$18-1)/2)*$B$17,(($B$18-1)-($B$18-1)/2)*$B$17))*$B$53+(0),999)</f>
        <v>26.7692307692308</v>
      </c>
      <c r="R206" s="35">
        <f>IF(AND($B$22&gt;0),(IF(50&lt;$B$22,(50-($B$22-1)/2)*$B$21,(($B$22-1)-($B$22-1)/2)*$B$21))*$B$53+(-38),999)</f>
        <v>-11.2307692307692</v>
      </c>
      <c r="S206" s="35">
        <f>IF(AND($B$22&gt;0),(IF(50&lt;$B$22,($B$5/2-IF($B$3=3,0,$B$13)),IF(MOD($B$22-1,2)=0,(($B$18-1)/2*$B$17),(-(($B$18-1)/2*$B$17)))))*$B$53+(0),999)</f>
        <v>26.7692307692308</v>
      </c>
      <c r="T206" s="35">
        <f>IF(AND($B$30&gt;0,$B$29&gt;0),(IF(50&lt;$B$30,($B$4/2-$B$13),IF(MOD($B$30-1,2)=0,(($B$31-1)/2*$B$29),(-(($B$31-1)/2*$B$29)))))*$B$53+(-38),999)</f>
        <v>999</v>
      </c>
      <c r="U206" s="35">
        <f>IF(AND($B$30&gt;0,$B$29&gt;0),(IF(50&lt;$B$30,(50-($B$30-1)/2)*$B$29,(($B$30-1)-($B$30-1)/2)*$B$29))*$B$53+(0),999)</f>
        <v>999</v>
      </c>
      <c r="V206" s="35">
        <f>IF(AND($B$31&gt;0,$B$29&gt;0),(IF(50&lt;$B$31,(50-($B$31-1)/2)*$B$29,(($B$31-1)-($B$31-1)/2)*$B$29))*$B$53+(-38),999)</f>
        <v>999</v>
      </c>
      <c r="W206" s="35">
        <f>IF(AND($B$31&gt;0,$B$29&gt;0),(IF(50&lt;$B$31,($B$5/2-$B$13),IF(MOD($B$31-1,2)=0,(($B$30-1)/2*$B$29),(-(($B$30-1)/2*$B$29)))))*$B$53+(0),999)</f>
        <v>999</v>
      </c>
    </row>
    <row r="207" spans="16:23" x14ac:dyDescent="0.3">
      <c r="P207" s="35">
        <f>IF(AND($B$18&gt;0),(IF(50&lt;$B$18,(($B$22-1)/2*$B$21),IF(MOD($B$18-1,2)=0,(($B$22-1)/2*$B$21),(-(($B$22-1)/2*$B$21)))))*$B$53+(-38),999)</f>
        <v>-11.2307692307692</v>
      </c>
      <c r="Q207" s="35">
        <f>IF(AND($B$18&gt;0),(IF(50&lt;$B$18,(50-($B$18-1)/2)*$B$17,(($B$18-1)-($B$18-1)/2)*$B$17))*$B$53+(0),999)</f>
        <v>26.7692307692308</v>
      </c>
      <c r="R207" s="35">
        <f>IF(AND($B$22&gt;0),(IF(50&lt;$B$22,(50-($B$22-1)/2)*$B$21,(($B$22-1)-($B$22-1)/2)*$B$21))*$B$53+(-38),999)</f>
        <v>-11.2307692307692</v>
      </c>
      <c r="S207" s="35">
        <f>IF(AND($B$22&gt;0),(IF(50&lt;$B$22,(($B$18-1)/2*$B$17),IF(MOD($B$22-1,2)=0,(($B$18-1)/2*$B$17),(-(($B$18-1)/2*$B$17)))))*$B$53+(0),999)</f>
        <v>26.7692307692308</v>
      </c>
      <c r="T207" s="35">
        <f>IF(AND($B$30&gt;0,$B$29&gt;0),(IF(50&lt;$B$30,(($B$31-1)/2*$B$29),IF(MOD($B$30-1,2)=0,(($B$31-1)/2*$B$29),(-(($B$31-1)/2*$B$29)))))*$B$53+(-38),999)</f>
        <v>999</v>
      </c>
      <c r="U207" s="35">
        <f>IF(AND($B$30&gt;0,$B$29&gt;0),(IF(50&lt;$B$30,(50-($B$30-1)/2)*$B$29,(($B$30-1)-($B$30-1)/2)*$B$29))*$B$53+(0),999)</f>
        <v>999</v>
      </c>
      <c r="V207" s="35">
        <f>IF(AND($B$31&gt;0,$B$29&gt;0),(IF(50&lt;$B$31,(50-($B$31-1)/2)*$B$29,(($B$31-1)-($B$31-1)/2)*$B$29))*$B$53+(-38),999)</f>
        <v>999</v>
      </c>
      <c r="W207" s="35">
        <f>IF(AND($B$31&gt;0,$B$29&gt;0),(IF(50&lt;$B$31,(($B$30-1)/2*$B$29),IF(MOD($B$31-1,2)=0,(($B$30-1)/2*$B$29),(-(($B$30-1)/2*$B$29)))))*$B$53+(0),999)</f>
        <v>999</v>
      </c>
    </row>
    <row r="208" spans="16:23" x14ac:dyDescent="0.3">
      <c r="P208" s="35">
        <f>IF(AND($B$18&gt;0),(IF(51&lt;$B$18,(($B$22-1)/2*$B$21),IF(MOD($B$18-1,2)=0,(($B$22-1)/2*$B$21),(-(($B$22-1)/2*$B$21)))))*$B$53+(-38),999)</f>
        <v>-11.2307692307692</v>
      </c>
      <c r="Q208" s="35">
        <f>IF(AND($B$18&gt;0),(IF(51&lt;$B$18,(51-($B$18-1)/2)*$B$17,(($B$18-1)-($B$18-1)/2)*$B$17))*$B$53+(0),999)</f>
        <v>26.7692307692308</v>
      </c>
      <c r="R208" s="35">
        <f>IF(AND($B$22&gt;0),(IF(51&lt;$B$22,(51-($B$22-1)/2)*$B$21,(($B$22-1)-($B$22-1)/2)*$B$21))*$B$53+(-38),999)</f>
        <v>-11.2307692307692</v>
      </c>
      <c r="S208" s="35">
        <f>IF(AND($B$22&gt;0),(IF(51&lt;$B$22,(($B$18-1)/2*$B$17),IF(MOD($B$22-1,2)=0,(($B$18-1)/2*$B$17),(-(($B$18-1)/2*$B$17)))))*$B$53+(0),999)</f>
        <v>26.7692307692308</v>
      </c>
      <c r="T208" s="35">
        <f>IF(AND($B$30&gt;0,$B$29&gt;0),(IF(51&lt;$B$30,(($B$31-1)/2*$B$29),IF(MOD($B$30-1,2)=0,(($B$31-1)/2*$B$29),(-(($B$31-1)/2*$B$29)))))*$B$53+(-38),999)</f>
        <v>999</v>
      </c>
      <c r="U208" s="35">
        <f>IF(AND($B$30&gt;0,$B$29&gt;0),(IF(51&lt;$B$30,(51-($B$30-1)/2)*$B$29,(($B$30-1)-($B$30-1)/2)*$B$29))*$B$53+(0),999)</f>
        <v>999</v>
      </c>
      <c r="V208" s="35">
        <f>IF(AND($B$31&gt;0,$B$29&gt;0),(IF(51&lt;$B$31,(51-($B$31-1)/2)*$B$29,(($B$31-1)-($B$31-1)/2)*$B$29))*$B$53+(-38),999)</f>
        <v>999</v>
      </c>
      <c r="W208" s="35">
        <f>IF(AND($B$31&gt;0,$B$29&gt;0),(IF(51&lt;$B$31,(($B$30-1)/2*$B$29),IF(MOD($B$31-1,2)=0,(($B$30-1)/2*$B$29),(-(($B$30-1)/2*$B$29)))))*$B$53+(0),999)</f>
        <v>999</v>
      </c>
    </row>
    <row r="209" spans="16:23" x14ac:dyDescent="0.3">
      <c r="P209" s="35">
        <f>IF(AND($B$18&gt;0),(IF(51&lt;$B$18,($B$4/2-$B$13),IF(MOD($B$18-1,2)=0,(($B$22-1)/2*$B$21),(-(($B$22-1)/2*$B$21)))))*$B$53+(-38),999)</f>
        <v>-11.2307692307692</v>
      </c>
      <c r="Q209" s="35">
        <f>IF(AND($B$18&gt;0),(IF(51&lt;$B$18,(51-($B$18-1)/2)*$B$17,(($B$18-1)-($B$18-1)/2)*$B$17))*$B$53+(0),999)</f>
        <v>26.7692307692308</v>
      </c>
      <c r="R209" s="35">
        <f>IF(AND($B$22&gt;0),(IF(51&lt;$B$22,(51-($B$22-1)/2)*$B$21,(($B$22-1)-($B$22-1)/2)*$B$21))*$B$53+(-38),999)</f>
        <v>-11.2307692307692</v>
      </c>
      <c r="S209" s="35">
        <f>IF(AND($B$22&gt;0),(IF(51&lt;$B$22,($B$5/2-IF($B$3=3,0,$B$13)),IF(MOD($B$22-1,2)=0,(($B$18-1)/2*$B$17),(-(($B$18-1)/2*$B$17)))))*$B$53+(0),999)</f>
        <v>26.7692307692308</v>
      </c>
      <c r="T209" s="35">
        <f>IF(AND($B$30&gt;0,$B$29&gt;0),(IF(51&lt;$B$30,($B$4/2-$B$13),IF(MOD($B$30-1,2)=0,(($B$31-1)/2*$B$29),(-(($B$31-1)/2*$B$29)))))*$B$53+(-38),999)</f>
        <v>999</v>
      </c>
      <c r="U209" s="35">
        <f>IF(AND($B$30&gt;0,$B$29&gt;0),(IF(51&lt;$B$30,(51-($B$30-1)/2)*$B$29,(($B$30-1)-($B$30-1)/2)*$B$29))*$B$53+(0),999)</f>
        <v>999</v>
      </c>
      <c r="V209" s="35">
        <f>IF(AND($B$31&gt;0,$B$29&gt;0),(IF(51&lt;$B$31,(51-($B$31-1)/2)*$B$29,(($B$31-1)-($B$31-1)/2)*$B$29))*$B$53+(-38),999)</f>
        <v>999</v>
      </c>
      <c r="W209" s="35">
        <f>IF(AND($B$31&gt;0,$B$29&gt;0),(IF(51&lt;$B$31,($B$5/2-$B$13),IF(MOD($B$31-1,2)=0,(($B$30-1)/2*$B$29),(-(($B$30-1)/2*$B$29)))))*$B$53+(0),999)</f>
        <v>999</v>
      </c>
    </row>
    <row r="210" spans="16:23" x14ac:dyDescent="0.3">
      <c r="P210" s="35">
        <f>IF(AND($B$18&gt;0),(IF(51&lt;$B$18,(-$B$4/2+$B$13),IF(MOD($B$18-1,2)=0,(($B$22-1)/2*$B$21),(-(($B$22-1)/2*$B$21)))))*$B$53+(-38),999)</f>
        <v>-11.2307692307692</v>
      </c>
      <c r="Q210" s="35">
        <f>IF(AND($B$18&gt;0),(IF(51&lt;$B$18,(51-($B$18-1)/2)*$B$17,(($B$18-1)-($B$18-1)/2)*$B$17))*$B$53+(0),999)</f>
        <v>26.7692307692308</v>
      </c>
      <c r="R210" s="35">
        <f>IF(AND($B$22&gt;0),(IF(51&lt;$B$22,(51-($B$22-1)/2)*$B$21,(($B$22-1)-($B$22-1)/2)*$B$21))*$B$53+(-38),999)</f>
        <v>-11.2307692307692</v>
      </c>
      <c r="S210" s="35">
        <f>IF(AND($B$22&gt;0),(IF(51&lt;$B$22,(-$B$5/2+IF($B$3=3,0,$B$13)),IF(MOD($B$22-1,2)=0,(($B$18-1)/2*$B$17),(-(($B$18-1)/2*$B$17)))))*$B$53+(0),999)</f>
        <v>26.7692307692308</v>
      </c>
      <c r="T210" s="35">
        <f>IF(AND($B$30&gt;0,$B$29&gt;0),(IF(51&lt;$B$30,(-$B$4/2+$B$13),IF(MOD($B$30-1,2)=0,(($B$31-1)/2*$B$29),(-(($B$31-1)/2*$B$29)))))*$B$53+(-38),999)</f>
        <v>999</v>
      </c>
      <c r="U210" s="35">
        <f>IF(AND($B$30&gt;0,$B$29&gt;0),(IF(51&lt;$B$30,(51-($B$30-1)/2)*$B$29,(($B$30-1)-($B$30-1)/2)*$B$29))*$B$53+(0),999)</f>
        <v>999</v>
      </c>
      <c r="V210" s="35">
        <f>IF(AND($B$31&gt;0,$B$29&gt;0),(IF(51&lt;$B$31,(51-($B$31-1)/2)*$B$29,(($B$31-1)-($B$31-1)/2)*$B$29))*$B$53+(-38),999)</f>
        <v>999</v>
      </c>
      <c r="W210" s="35">
        <f>IF(AND($B$31&gt;0,$B$29&gt;0),(IF(51&lt;$B$31,(-$B$5/2+$B$13),IF(MOD($B$31-1,2)=0,(($B$30-1)/2*$B$29),(-(($B$30-1)/2*$B$29)))))*$B$53+(0),999)</f>
        <v>999</v>
      </c>
    </row>
    <row r="211" spans="16:23" x14ac:dyDescent="0.3">
      <c r="P211" s="35">
        <f>IF(AND($B$18&gt;0),(IF(51&lt;$B$18,(-(($B$22-1)/2*$B$21)),IF(MOD($B$18-1,2)=0,(($B$22-1)/2*$B$21),(-(($B$22-1)/2*$B$21)))))*$B$53+(-38),999)</f>
        <v>-11.2307692307692</v>
      </c>
      <c r="Q211" s="35">
        <f>IF(AND($B$18&gt;0),(IF(51&lt;$B$18,(51-($B$18-1)/2)*$B$17,(($B$18-1)-($B$18-1)/2)*$B$17))*$B$53+(0),999)</f>
        <v>26.7692307692308</v>
      </c>
      <c r="R211" s="35">
        <f>IF(AND($B$22&gt;0),(IF(51&lt;$B$22,(51-($B$22-1)/2)*$B$21,(($B$22-1)-($B$22-1)/2)*$B$21))*$B$53+(-38),999)</f>
        <v>-11.2307692307692</v>
      </c>
      <c r="S211" s="35">
        <f>IF(AND($B$22&gt;0),(IF(51&lt;$B$22,(-(($B$18-1)/2*$B$17)),IF(MOD($B$22-1,2)=0,(($B$18-1)/2*$B$17),(-(($B$18-1)/2*$B$17)))))*$B$53+(0),999)</f>
        <v>26.7692307692308</v>
      </c>
      <c r="T211" s="35">
        <f>IF(AND($B$30&gt;0,$B$29&gt;0),(IF(51&lt;$B$30,(-(($B$31-1)/2*$B$29)),IF(MOD($B$30-1,2)=0,(($B$31-1)/2*$B$29),(-(($B$31-1)/2*$B$29)))))*$B$53+(-38),999)</f>
        <v>999</v>
      </c>
      <c r="U211" s="35">
        <f>IF(AND($B$30&gt;0,$B$29&gt;0),(IF(51&lt;$B$30,(51-($B$30-1)/2)*$B$29,(($B$30-1)-($B$30-1)/2)*$B$29))*$B$53+(0),999)</f>
        <v>999</v>
      </c>
      <c r="V211" s="35">
        <f>IF(AND($B$31&gt;0,$B$29&gt;0),(IF(51&lt;$B$31,(51-($B$31-1)/2)*$B$29,(($B$31-1)-($B$31-1)/2)*$B$29))*$B$53+(-38),999)</f>
        <v>999</v>
      </c>
      <c r="W211" s="35">
        <f>IF(AND($B$31&gt;0,$B$29&gt;0),(IF(51&lt;$B$31,(-(($B$30-1)/2*$B$29)),IF(MOD($B$31-1,2)=0,(($B$30-1)/2*$B$29),(-(($B$30-1)/2*$B$29)))))*$B$53+(0),999)</f>
        <v>999</v>
      </c>
    </row>
    <row r="212" spans="16:23" x14ac:dyDescent="0.3">
      <c r="P212" s="35">
        <f>IF(AND($B$18&gt;0),(IF(52&lt;$B$18,(-(($B$22-1)/2*$B$21)),IF(MOD($B$18-1,2)=0,(($B$22-1)/2*$B$21),(-(($B$22-1)/2*$B$21)))))*$B$53+(-38),999)</f>
        <v>-11.2307692307692</v>
      </c>
      <c r="Q212" s="35">
        <f>IF(AND($B$18&gt;0),(IF(52&lt;$B$18,(52-($B$18-1)/2)*$B$17,(($B$18-1)-($B$18-1)/2)*$B$17))*$B$53+(0),999)</f>
        <v>26.7692307692308</v>
      </c>
      <c r="R212" s="35">
        <f>IF(AND($B$22&gt;0),(IF(52&lt;$B$22,(52-($B$22-1)/2)*$B$21,(($B$22-1)-($B$22-1)/2)*$B$21))*$B$53+(-38),999)</f>
        <v>-11.2307692307692</v>
      </c>
      <c r="S212" s="35">
        <f>IF(AND($B$22&gt;0),(IF(52&lt;$B$22,(-(($B$18-1)/2*$B$17)),IF(MOD($B$22-1,2)=0,(($B$18-1)/2*$B$17),(-(($B$18-1)/2*$B$17)))))*$B$53+(0),999)</f>
        <v>26.7692307692308</v>
      </c>
      <c r="T212" s="35">
        <f>IF(AND($B$30&gt;0,$B$29&gt;0),(IF(52&lt;$B$30,(-(($B$31-1)/2*$B$29)),IF(MOD($B$30-1,2)=0,(($B$31-1)/2*$B$29),(-(($B$31-1)/2*$B$29)))))*$B$53+(-38),999)</f>
        <v>999</v>
      </c>
      <c r="U212" s="35">
        <f>IF(AND($B$30&gt;0,$B$29&gt;0),(IF(52&lt;$B$30,(52-($B$30-1)/2)*$B$29,(($B$30-1)-($B$30-1)/2)*$B$29))*$B$53+(0),999)</f>
        <v>999</v>
      </c>
      <c r="V212" s="35">
        <f>IF(AND($B$31&gt;0,$B$29&gt;0),(IF(52&lt;$B$31,(52-($B$31-1)/2)*$B$29,(($B$31-1)-($B$31-1)/2)*$B$29))*$B$53+(-38),999)</f>
        <v>999</v>
      </c>
      <c r="W212" s="35">
        <f>IF(AND($B$31&gt;0,$B$29&gt;0),(IF(52&lt;$B$31,(-(($B$30-1)/2*$B$29)),IF(MOD($B$31-1,2)=0,(($B$30-1)/2*$B$29),(-(($B$30-1)/2*$B$29)))))*$B$53+(0),999)</f>
        <v>999</v>
      </c>
    </row>
    <row r="213" spans="16:23" x14ac:dyDescent="0.3">
      <c r="P213" s="35">
        <f>IF(AND($B$18&gt;0),(IF(52&lt;$B$18,(-$B$4/2+$B$13),IF(MOD($B$18-1,2)=0,(($B$22-1)/2*$B$21),(-(($B$22-1)/2*$B$21)))))*$B$53+(-38),999)</f>
        <v>-11.2307692307692</v>
      </c>
      <c r="Q213" s="35">
        <f>IF(AND($B$18&gt;0),(IF(52&lt;$B$18,(52-($B$18-1)/2)*$B$17,(($B$18-1)-($B$18-1)/2)*$B$17))*$B$53+(0),999)</f>
        <v>26.7692307692308</v>
      </c>
      <c r="R213" s="35">
        <f>IF(AND($B$22&gt;0),(IF(52&lt;$B$22,(52-($B$22-1)/2)*$B$21,(($B$22-1)-($B$22-1)/2)*$B$21))*$B$53+(-38),999)</f>
        <v>-11.2307692307692</v>
      </c>
      <c r="S213" s="35">
        <f>IF(AND($B$22&gt;0),(IF(52&lt;$B$22,(-$B$5/2+IF($B$3=3,0,$B$13)),IF(MOD($B$22-1,2)=0,(($B$18-1)/2*$B$17),(-(($B$18-1)/2*$B$17)))))*$B$53+(0),999)</f>
        <v>26.7692307692308</v>
      </c>
      <c r="T213" s="35">
        <f>IF(AND($B$30&gt;0,$B$29&gt;0),(IF(52&lt;$B$30,(-$B$4/2+$B$13),IF(MOD($B$30-1,2)=0,(($B$31-1)/2*$B$29),(-(($B$31-1)/2*$B$29)))))*$B$53+(-38),999)</f>
        <v>999</v>
      </c>
      <c r="U213" s="35">
        <f>IF(AND($B$30&gt;0,$B$29&gt;0),(IF(52&lt;$B$30,(52-($B$30-1)/2)*$B$29,(($B$30-1)-($B$30-1)/2)*$B$29))*$B$53+(0),999)</f>
        <v>999</v>
      </c>
      <c r="V213" s="35">
        <f>IF(AND($B$31&gt;0,$B$29&gt;0),(IF(52&lt;$B$31,(52-($B$31-1)/2)*$B$29,(($B$31-1)-($B$31-1)/2)*$B$29))*$B$53+(-38),999)</f>
        <v>999</v>
      </c>
      <c r="W213" s="35">
        <f>IF(AND($B$31&gt;0,$B$29&gt;0),(IF(52&lt;$B$31,(-$B$5/2+$B$13),IF(MOD($B$31-1,2)=0,(($B$30-1)/2*$B$29),(-(($B$30-1)/2*$B$29)))))*$B$53+(0),999)</f>
        <v>999</v>
      </c>
    </row>
    <row r="214" spans="16:23" x14ac:dyDescent="0.3">
      <c r="P214" s="35">
        <f>IF(AND($B$18&gt;0),(IF(52&lt;$B$18,($B$4/2-$B$13),IF(MOD($B$18-1,2)=0,(($B$22-1)/2*$B$21),(-(($B$22-1)/2*$B$21)))))*$B$53+(-38),999)</f>
        <v>-11.2307692307692</v>
      </c>
      <c r="Q214" s="35">
        <f>IF(AND($B$18&gt;0),(IF(52&lt;$B$18,(52-($B$18-1)/2)*$B$17,(($B$18-1)-($B$18-1)/2)*$B$17))*$B$53+(0),999)</f>
        <v>26.7692307692308</v>
      </c>
      <c r="R214" s="35">
        <f>IF(AND($B$22&gt;0),(IF(52&lt;$B$22,(52-($B$22-1)/2)*$B$21,(($B$22-1)-($B$22-1)/2)*$B$21))*$B$53+(-38),999)</f>
        <v>-11.2307692307692</v>
      </c>
      <c r="S214" s="35">
        <f>IF(AND($B$22&gt;0),(IF(52&lt;$B$22,($B$5/2-IF($B$3=3,0,$B$13)),IF(MOD($B$22-1,2)=0,(($B$18-1)/2*$B$17),(-(($B$18-1)/2*$B$17)))))*$B$53+(0),999)</f>
        <v>26.7692307692308</v>
      </c>
      <c r="T214" s="35">
        <f>IF(AND($B$30&gt;0,$B$29&gt;0),(IF(52&lt;$B$30,($B$4/2-$B$13),IF(MOD($B$30-1,2)=0,(($B$31-1)/2*$B$29),(-(($B$31-1)/2*$B$29)))))*$B$53+(-38),999)</f>
        <v>999</v>
      </c>
      <c r="U214" s="35">
        <f>IF(AND($B$30&gt;0,$B$29&gt;0),(IF(52&lt;$B$30,(52-($B$30-1)/2)*$B$29,(($B$30-1)-($B$30-1)/2)*$B$29))*$B$53+(0),999)</f>
        <v>999</v>
      </c>
      <c r="V214" s="35">
        <f>IF(AND($B$31&gt;0,$B$29&gt;0),(IF(52&lt;$B$31,(52-($B$31-1)/2)*$B$29,(($B$31-1)-($B$31-1)/2)*$B$29))*$B$53+(-38),999)</f>
        <v>999</v>
      </c>
      <c r="W214" s="35">
        <f>IF(AND($B$31&gt;0,$B$29&gt;0),(IF(52&lt;$B$31,($B$5/2-$B$13),IF(MOD($B$31-1,2)=0,(($B$30-1)/2*$B$29),(-(($B$30-1)/2*$B$29)))))*$B$53+(0),999)</f>
        <v>999</v>
      </c>
    </row>
    <row r="215" spans="16:23" x14ac:dyDescent="0.3">
      <c r="P215" s="35">
        <f>IF(AND($B$18&gt;0),(IF(52&lt;$B$18,(($B$22-1)/2*$B$21),IF(MOD($B$18-1,2)=0,(($B$22-1)/2*$B$21),(-(($B$22-1)/2*$B$21)))))*$B$53+(-38),999)</f>
        <v>-11.2307692307692</v>
      </c>
      <c r="Q215" s="35">
        <f>IF(AND($B$18&gt;0),(IF(52&lt;$B$18,(52-($B$18-1)/2)*$B$17,(($B$18-1)-($B$18-1)/2)*$B$17))*$B$53+(0),999)</f>
        <v>26.7692307692308</v>
      </c>
      <c r="R215" s="35">
        <f>IF(AND($B$22&gt;0),(IF(52&lt;$B$22,(52-($B$22-1)/2)*$B$21,(($B$22-1)-($B$22-1)/2)*$B$21))*$B$53+(-38),999)</f>
        <v>-11.2307692307692</v>
      </c>
      <c r="S215" s="35">
        <f>IF(AND($B$22&gt;0),(IF(52&lt;$B$22,(($B$18-1)/2*$B$17),IF(MOD($B$22-1,2)=0,(($B$18-1)/2*$B$17),(-(($B$18-1)/2*$B$17)))))*$B$53+(0),999)</f>
        <v>26.7692307692308</v>
      </c>
      <c r="T215" s="35">
        <f>IF(AND($B$30&gt;0,$B$29&gt;0),(IF(52&lt;$B$30,(($B$31-1)/2*$B$29),IF(MOD($B$30-1,2)=0,(($B$31-1)/2*$B$29),(-(($B$31-1)/2*$B$29)))))*$B$53+(-38),999)</f>
        <v>999</v>
      </c>
      <c r="U215" s="35">
        <f>IF(AND($B$30&gt;0,$B$29&gt;0),(IF(52&lt;$B$30,(52-($B$30-1)/2)*$B$29,(($B$30-1)-($B$30-1)/2)*$B$29))*$B$53+(0),999)</f>
        <v>999</v>
      </c>
      <c r="V215" s="35">
        <f>IF(AND($B$31&gt;0,$B$29&gt;0),(IF(52&lt;$B$31,(52-($B$31-1)/2)*$B$29,(($B$31-1)-($B$31-1)/2)*$B$29))*$B$53+(-38),999)</f>
        <v>999</v>
      </c>
      <c r="W215" s="35">
        <f>IF(AND($B$31&gt;0,$B$29&gt;0),(IF(52&lt;$B$31,(($B$30-1)/2*$B$29),IF(MOD($B$31-1,2)=0,(($B$30-1)/2*$B$29),(-(($B$30-1)/2*$B$29)))))*$B$53+(0),999)</f>
        <v>999</v>
      </c>
    </row>
    <row r="216" spans="16:23" x14ac:dyDescent="0.3">
      <c r="P216" s="35">
        <f>IF(AND($B$18&gt;0),(IF(53&lt;$B$18,(($B$22-1)/2*$B$21),IF(MOD($B$18-1,2)=0,(($B$22-1)/2*$B$21),(-(($B$22-1)/2*$B$21)))))*$B$53+(-38),999)</f>
        <v>-11.2307692307692</v>
      </c>
      <c r="Q216" s="35">
        <f>IF(AND($B$18&gt;0),(IF(53&lt;$B$18,(53-($B$18-1)/2)*$B$17,(($B$18-1)-($B$18-1)/2)*$B$17))*$B$53+(0),999)</f>
        <v>26.7692307692308</v>
      </c>
      <c r="R216" s="35">
        <f>IF(AND($B$22&gt;0),(IF(53&lt;$B$22,(53-($B$22-1)/2)*$B$21,(($B$22-1)-($B$22-1)/2)*$B$21))*$B$53+(-38),999)</f>
        <v>-11.2307692307692</v>
      </c>
      <c r="S216" s="35">
        <f>IF(AND($B$22&gt;0),(IF(53&lt;$B$22,(($B$18-1)/2*$B$17),IF(MOD($B$22-1,2)=0,(($B$18-1)/2*$B$17),(-(($B$18-1)/2*$B$17)))))*$B$53+(0),999)</f>
        <v>26.7692307692308</v>
      </c>
      <c r="T216" s="35">
        <f>IF(AND($B$30&gt;0,$B$29&gt;0),(IF(53&lt;$B$30,(($B$31-1)/2*$B$29),IF(MOD($B$30-1,2)=0,(($B$31-1)/2*$B$29),(-(($B$31-1)/2*$B$29)))))*$B$53+(-38),999)</f>
        <v>999</v>
      </c>
      <c r="U216" s="35">
        <f>IF(AND($B$30&gt;0,$B$29&gt;0),(IF(53&lt;$B$30,(53-($B$30-1)/2)*$B$29,(($B$30-1)-($B$30-1)/2)*$B$29))*$B$53+(0),999)</f>
        <v>999</v>
      </c>
      <c r="V216" s="35">
        <f>IF(AND($B$31&gt;0,$B$29&gt;0),(IF(53&lt;$B$31,(53-($B$31-1)/2)*$B$29,(($B$31-1)-($B$31-1)/2)*$B$29))*$B$53+(-38),999)</f>
        <v>999</v>
      </c>
      <c r="W216" s="35">
        <f>IF(AND($B$31&gt;0,$B$29&gt;0),(IF(53&lt;$B$31,(($B$30-1)/2*$B$29),IF(MOD($B$31-1,2)=0,(($B$30-1)/2*$B$29),(-(($B$30-1)/2*$B$29)))))*$B$53+(0),999)</f>
        <v>999</v>
      </c>
    </row>
    <row r="217" spans="16:23" x14ac:dyDescent="0.3">
      <c r="P217" s="35">
        <f>IF(AND($B$18&gt;0),(IF(53&lt;$B$18,($B$4/2-$B$13),IF(MOD($B$18-1,2)=0,(($B$22-1)/2*$B$21),(-(($B$22-1)/2*$B$21)))))*$B$53+(-38),999)</f>
        <v>-11.2307692307692</v>
      </c>
      <c r="Q217" s="35">
        <f>IF(AND($B$18&gt;0),(IF(53&lt;$B$18,(53-($B$18-1)/2)*$B$17,(($B$18-1)-($B$18-1)/2)*$B$17))*$B$53+(0),999)</f>
        <v>26.7692307692308</v>
      </c>
      <c r="R217" s="35">
        <f>IF(AND($B$22&gt;0),(IF(53&lt;$B$22,(53-($B$22-1)/2)*$B$21,(($B$22-1)-($B$22-1)/2)*$B$21))*$B$53+(-38),999)</f>
        <v>-11.2307692307692</v>
      </c>
      <c r="S217" s="35">
        <f>IF(AND($B$22&gt;0),(IF(53&lt;$B$22,($B$5/2-IF($B$3=3,0,$B$13)),IF(MOD($B$22-1,2)=0,(($B$18-1)/2*$B$17),(-(($B$18-1)/2*$B$17)))))*$B$53+(0),999)</f>
        <v>26.7692307692308</v>
      </c>
      <c r="T217" s="35">
        <f>IF(AND($B$30&gt;0,$B$29&gt;0),(IF(53&lt;$B$30,($B$4/2-$B$13),IF(MOD($B$30-1,2)=0,(($B$31-1)/2*$B$29),(-(($B$31-1)/2*$B$29)))))*$B$53+(-38),999)</f>
        <v>999</v>
      </c>
      <c r="U217" s="35">
        <f>IF(AND($B$30&gt;0,$B$29&gt;0),(IF(53&lt;$B$30,(53-($B$30-1)/2)*$B$29,(($B$30-1)-($B$30-1)/2)*$B$29))*$B$53+(0),999)</f>
        <v>999</v>
      </c>
      <c r="V217" s="35">
        <f>IF(AND($B$31&gt;0,$B$29&gt;0),(IF(53&lt;$B$31,(53-($B$31-1)/2)*$B$29,(($B$31-1)-($B$31-1)/2)*$B$29))*$B$53+(-38),999)</f>
        <v>999</v>
      </c>
      <c r="W217" s="35">
        <f>IF(AND($B$31&gt;0,$B$29&gt;0),(IF(53&lt;$B$31,($B$5/2-$B$13),IF(MOD($B$31-1,2)=0,(($B$30-1)/2*$B$29),(-(($B$30-1)/2*$B$29)))))*$B$53+(0),999)</f>
        <v>999</v>
      </c>
    </row>
    <row r="218" spans="16:23" x14ac:dyDescent="0.3">
      <c r="P218" s="35">
        <f>IF(AND($B$18&gt;0),(IF(53&lt;$B$18,(-$B$4/2+$B$13),IF(MOD($B$18-1,2)=0,(($B$22-1)/2*$B$21),(-(($B$22-1)/2*$B$21)))))*$B$53+(-38),999)</f>
        <v>-11.2307692307692</v>
      </c>
      <c r="Q218" s="35">
        <f>IF(AND($B$18&gt;0),(IF(53&lt;$B$18,(53-($B$18-1)/2)*$B$17,(($B$18-1)-($B$18-1)/2)*$B$17))*$B$53+(0),999)</f>
        <v>26.7692307692308</v>
      </c>
      <c r="R218" s="35">
        <f>IF(AND($B$22&gt;0),(IF(53&lt;$B$22,(53-($B$22-1)/2)*$B$21,(($B$22-1)-($B$22-1)/2)*$B$21))*$B$53+(-38),999)</f>
        <v>-11.2307692307692</v>
      </c>
      <c r="S218" s="35">
        <f>IF(AND($B$22&gt;0),(IF(53&lt;$B$22,(-$B$5/2+IF($B$3=3,0,$B$13)),IF(MOD($B$22-1,2)=0,(($B$18-1)/2*$B$17),(-(($B$18-1)/2*$B$17)))))*$B$53+(0),999)</f>
        <v>26.7692307692308</v>
      </c>
      <c r="T218" s="35">
        <f>IF(AND($B$30&gt;0,$B$29&gt;0),(IF(53&lt;$B$30,(-$B$4/2+$B$13),IF(MOD($B$30-1,2)=0,(($B$31-1)/2*$B$29),(-(($B$31-1)/2*$B$29)))))*$B$53+(-38),999)</f>
        <v>999</v>
      </c>
      <c r="U218" s="35">
        <f>IF(AND($B$30&gt;0,$B$29&gt;0),(IF(53&lt;$B$30,(53-($B$30-1)/2)*$B$29,(($B$30-1)-($B$30-1)/2)*$B$29))*$B$53+(0),999)</f>
        <v>999</v>
      </c>
      <c r="V218" s="35">
        <f>IF(AND($B$31&gt;0,$B$29&gt;0),(IF(53&lt;$B$31,(53-($B$31-1)/2)*$B$29,(($B$31-1)-($B$31-1)/2)*$B$29))*$B$53+(-38),999)</f>
        <v>999</v>
      </c>
      <c r="W218" s="35">
        <f>IF(AND($B$31&gt;0,$B$29&gt;0),(IF(53&lt;$B$31,(-$B$5/2+$B$13),IF(MOD($B$31-1,2)=0,(($B$30-1)/2*$B$29),(-(($B$30-1)/2*$B$29)))))*$B$53+(0),999)</f>
        <v>999</v>
      </c>
    </row>
    <row r="219" spans="16:23" x14ac:dyDescent="0.3">
      <c r="P219" s="35">
        <f>IF(AND($B$18&gt;0),(IF(53&lt;$B$18,(-(($B$22-1)/2*$B$21)),IF(MOD($B$18-1,2)=0,(($B$22-1)/2*$B$21),(-(($B$22-1)/2*$B$21)))))*$B$53+(-38),999)</f>
        <v>-11.2307692307692</v>
      </c>
      <c r="Q219" s="35">
        <f>IF(AND($B$18&gt;0),(IF(53&lt;$B$18,(53-($B$18-1)/2)*$B$17,(($B$18-1)-($B$18-1)/2)*$B$17))*$B$53+(0),999)</f>
        <v>26.7692307692308</v>
      </c>
      <c r="R219" s="35">
        <f>IF(AND($B$22&gt;0),(IF(53&lt;$B$22,(53-($B$22-1)/2)*$B$21,(($B$22-1)-($B$22-1)/2)*$B$21))*$B$53+(-38),999)</f>
        <v>-11.2307692307692</v>
      </c>
      <c r="S219" s="35">
        <f>IF(AND($B$22&gt;0),(IF(53&lt;$B$22,(-(($B$18-1)/2*$B$17)),IF(MOD($B$22-1,2)=0,(($B$18-1)/2*$B$17),(-(($B$18-1)/2*$B$17)))))*$B$53+(0),999)</f>
        <v>26.7692307692308</v>
      </c>
      <c r="T219" s="35">
        <f>IF(AND($B$30&gt;0,$B$29&gt;0),(IF(53&lt;$B$30,(-(($B$31-1)/2*$B$29)),IF(MOD($B$30-1,2)=0,(($B$31-1)/2*$B$29),(-(($B$31-1)/2*$B$29)))))*$B$53+(-38),999)</f>
        <v>999</v>
      </c>
      <c r="U219" s="35">
        <f>IF(AND($B$30&gt;0,$B$29&gt;0),(IF(53&lt;$B$30,(53-($B$30-1)/2)*$B$29,(($B$30-1)-($B$30-1)/2)*$B$29))*$B$53+(0),999)</f>
        <v>999</v>
      </c>
      <c r="V219" s="35">
        <f>IF(AND($B$31&gt;0,$B$29&gt;0),(IF(53&lt;$B$31,(53-($B$31-1)/2)*$B$29,(($B$31-1)-($B$31-1)/2)*$B$29))*$B$53+(-38),999)</f>
        <v>999</v>
      </c>
      <c r="W219" s="35">
        <f>IF(AND($B$31&gt;0,$B$29&gt;0),(IF(53&lt;$B$31,(-(($B$30-1)/2*$B$29)),IF(MOD($B$31-1,2)=0,(($B$30-1)/2*$B$29),(-(($B$30-1)/2*$B$29)))))*$B$53+(0),999)</f>
        <v>999</v>
      </c>
    </row>
    <row r="220" spans="16:23" x14ac:dyDescent="0.3">
      <c r="P220" s="35">
        <f>IF(AND($B$18&gt;0),(IF(54&lt;$B$18,(-(($B$22-1)/2*$B$21)),IF(MOD($B$18-1,2)=0,(($B$22-1)/2*$B$21),(-(($B$22-1)/2*$B$21)))))*$B$53+(-38),999)</f>
        <v>-11.2307692307692</v>
      </c>
      <c r="Q220" s="35">
        <f>IF(AND($B$18&gt;0),(IF(54&lt;$B$18,(54-($B$18-1)/2)*$B$17,(($B$18-1)-($B$18-1)/2)*$B$17))*$B$53+(0),999)</f>
        <v>26.7692307692308</v>
      </c>
      <c r="R220" s="35">
        <f>IF(AND($B$22&gt;0),(IF(54&lt;$B$22,(54-($B$22-1)/2)*$B$21,(($B$22-1)-($B$22-1)/2)*$B$21))*$B$53+(-38),999)</f>
        <v>-11.2307692307692</v>
      </c>
      <c r="S220" s="35">
        <f>IF(AND($B$22&gt;0),(IF(54&lt;$B$22,(-(($B$18-1)/2*$B$17)),IF(MOD($B$22-1,2)=0,(($B$18-1)/2*$B$17),(-(($B$18-1)/2*$B$17)))))*$B$53+(0),999)</f>
        <v>26.7692307692308</v>
      </c>
      <c r="T220" s="35">
        <f>IF(AND($B$30&gt;0,$B$29&gt;0),(IF(54&lt;$B$30,(-(($B$31-1)/2*$B$29)),IF(MOD($B$30-1,2)=0,(($B$31-1)/2*$B$29),(-(($B$31-1)/2*$B$29)))))*$B$53+(-38),999)</f>
        <v>999</v>
      </c>
      <c r="U220" s="35">
        <f>IF(AND($B$30&gt;0,$B$29&gt;0),(IF(54&lt;$B$30,(54-($B$30-1)/2)*$B$29,(($B$30-1)-($B$30-1)/2)*$B$29))*$B$53+(0),999)</f>
        <v>999</v>
      </c>
      <c r="V220" s="35">
        <f>IF(AND($B$31&gt;0,$B$29&gt;0),(IF(54&lt;$B$31,(54-($B$31-1)/2)*$B$29,(($B$31-1)-($B$31-1)/2)*$B$29))*$B$53+(-38),999)</f>
        <v>999</v>
      </c>
      <c r="W220" s="35">
        <f>IF(AND($B$31&gt;0,$B$29&gt;0),(IF(54&lt;$B$31,(-(($B$30-1)/2*$B$29)),IF(MOD($B$31-1,2)=0,(($B$30-1)/2*$B$29),(-(($B$30-1)/2*$B$29)))))*$B$53+(0),999)</f>
        <v>999</v>
      </c>
    </row>
    <row r="221" spans="16:23" x14ac:dyDescent="0.3">
      <c r="P221" s="35">
        <f>IF(AND($B$18&gt;0),(IF(54&lt;$B$18,(-$B$4/2+$B$13),IF(MOD($B$18-1,2)=0,(($B$22-1)/2*$B$21),(-(($B$22-1)/2*$B$21)))))*$B$53+(-38),999)</f>
        <v>-11.2307692307692</v>
      </c>
      <c r="Q221" s="35">
        <f>IF(AND($B$18&gt;0),(IF(54&lt;$B$18,(54-($B$18-1)/2)*$B$17,(($B$18-1)-($B$18-1)/2)*$B$17))*$B$53+(0),999)</f>
        <v>26.7692307692308</v>
      </c>
      <c r="R221" s="35">
        <f>IF(AND($B$22&gt;0),(IF(54&lt;$B$22,(54-($B$22-1)/2)*$B$21,(($B$22-1)-($B$22-1)/2)*$B$21))*$B$53+(-38),999)</f>
        <v>-11.2307692307692</v>
      </c>
      <c r="S221" s="35">
        <f>IF(AND($B$22&gt;0),(IF(54&lt;$B$22,(-$B$5/2+IF($B$3=3,0,$B$13)),IF(MOD($B$22-1,2)=0,(($B$18-1)/2*$B$17),(-(($B$18-1)/2*$B$17)))))*$B$53+(0),999)</f>
        <v>26.7692307692308</v>
      </c>
      <c r="T221" s="35">
        <f>IF(AND($B$30&gt;0,$B$29&gt;0),(IF(54&lt;$B$30,(-$B$4/2+$B$13),IF(MOD($B$30-1,2)=0,(($B$31-1)/2*$B$29),(-(($B$31-1)/2*$B$29)))))*$B$53+(-38),999)</f>
        <v>999</v>
      </c>
      <c r="U221" s="35">
        <f>IF(AND($B$30&gt;0,$B$29&gt;0),(IF(54&lt;$B$30,(54-($B$30-1)/2)*$B$29,(($B$30-1)-($B$30-1)/2)*$B$29))*$B$53+(0),999)</f>
        <v>999</v>
      </c>
      <c r="V221" s="35">
        <f>IF(AND($B$31&gt;0,$B$29&gt;0),(IF(54&lt;$B$31,(54-($B$31-1)/2)*$B$29,(($B$31-1)-($B$31-1)/2)*$B$29))*$B$53+(-38),999)</f>
        <v>999</v>
      </c>
      <c r="W221" s="35">
        <f>IF(AND($B$31&gt;0,$B$29&gt;0),(IF(54&lt;$B$31,(-$B$5/2+$B$13),IF(MOD($B$31-1,2)=0,(($B$30-1)/2*$B$29),(-(($B$30-1)/2*$B$29)))))*$B$53+(0),999)</f>
        <v>999</v>
      </c>
    </row>
    <row r="222" spans="16:23" x14ac:dyDescent="0.3">
      <c r="P222" s="35">
        <f>IF(AND($B$18&gt;0),(IF(54&lt;$B$18,($B$4/2-$B$13),IF(MOD($B$18-1,2)=0,(($B$22-1)/2*$B$21),(-(($B$22-1)/2*$B$21)))))*$B$53+(-38),999)</f>
        <v>-11.2307692307692</v>
      </c>
      <c r="Q222" s="35">
        <f>IF(AND($B$18&gt;0),(IF(54&lt;$B$18,(54-($B$18-1)/2)*$B$17,(($B$18-1)-($B$18-1)/2)*$B$17))*$B$53+(0),999)</f>
        <v>26.7692307692308</v>
      </c>
      <c r="R222" s="35">
        <f>IF(AND($B$22&gt;0),(IF(54&lt;$B$22,(54-($B$22-1)/2)*$B$21,(($B$22-1)-($B$22-1)/2)*$B$21))*$B$53+(-38),999)</f>
        <v>-11.2307692307692</v>
      </c>
      <c r="S222" s="35">
        <f>IF(AND($B$22&gt;0),(IF(54&lt;$B$22,($B$5/2-IF($B$3=3,0,$B$13)),IF(MOD($B$22-1,2)=0,(($B$18-1)/2*$B$17),(-(($B$18-1)/2*$B$17)))))*$B$53+(0),999)</f>
        <v>26.7692307692308</v>
      </c>
      <c r="T222" s="35">
        <f>IF(AND($B$30&gt;0,$B$29&gt;0),(IF(54&lt;$B$30,($B$4/2-$B$13),IF(MOD($B$30-1,2)=0,(($B$31-1)/2*$B$29),(-(($B$31-1)/2*$B$29)))))*$B$53+(-38),999)</f>
        <v>999</v>
      </c>
      <c r="U222" s="35">
        <f>IF(AND($B$30&gt;0,$B$29&gt;0),(IF(54&lt;$B$30,(54-($B$30-1)/2)*$B$29,(($B$30-1)-($B$30-1)/2)*$B$29))*$B$53+(0),999)</f>
        <v>999</v>
      </c>
      <c r="V222" s="35">
        <f>IF(AND($B$31&gt;0,$B$29&gt;0),(IF(54&lt;$B$31,(54-($B$31-1)/2)*$B$29,(($B$31-1)-($B$31-1)/2)*$B$29))*$B$53+(-38),999)</f>
        <v>999</v>
      </c>
      <c r="W222" s="35">
        <f>IF(AND($B$31&gt;0,$B$29&gt;0),(IF(54&lt;$B$31,($B$5/2-$B$13),IF(MOD($B$31-1,2)=0,(($B$30-1)/2*$B$29),(-(($B$30-1)/2*$B$29)))))*$B$53+(0),999)</f>
        <v>999</v>
      </c>
    </row>
    <row r="223" spans="16:23" x14ac:dyDescent="0.3">
      <c r="P223" s="35">
        <f>IF(AND($B$18&gt;0),(IF(54&lt;$B$18,(($B$22-1)/2*$B$21),IF(MOD($B$18-1,2)=0,(($B$22-1)/2*$B$21),(-(($B$22-1)/2*$B$21)))))*$B$53+(-38),999)</f>
        <v>-11.2307692307692</v>
      </c>
      <c r="Q223" s="35">
        <f>IF(AND($B$18&gt;0),(IF(54&lt;$B$18,(54-($B$18-1)/2)*$B$17,(($B$18-1)-($B$18-1)/2)*$B$17))*$B$53+(0),999)</f>
        <v>26.7692307692308</v>
      </c>
      <c r="R223" s="35">
        <f>IF(AND($B$22&gt;0),(IF(54&lt;$B$22,(54-($B$22-1)/2)*$B$21,(($B$22-1)-($B$22-1)/2)*$B$21))*$B$53+(-38),999)</f>
        <v>-11.2307692307692</v>
      </c>
      <c r="S223" s="35">
        <f>IF(AND($B$22&gt;0),(IF(54&lt;$B$22,(($B$18-1)/2*$B$17),IF(MOD($B$22-1,2)=0,(($B$18-1)/2*$B$17),(-(($B$18-1)/2*$B$17)))))*$B$53+(0),999)</f>
        <v>26.7692307692308</v>
      </c>
      <c r="T223" s="35">
        <f>IF(AND($B$30&gt;0,$B$29&gt;0),(IF(54&lt;$B$30,(($B$31-1)/2*$B$29),IF(MOD($B$30-1,2)=0,(($B$31-1)/2*$B$29),(-(($B$31-1)/2*$B$29)))))*$B$53+(-38),999)</f>
        <v>999</v>
      </c>
      <c r="U223" s="35">
        <f>IF(AND($B$30&gt;0,$B$29&gt;0),(IF(54&lt;$B$30,(54-($B$30-1)/2)*$B$29,(($B$30-1)-($B$30-1)/2)*$B$29))*$B$53+(0),999)</f>
        <v>999</v>
      </c>
      <c r="V223" s="35">
        <f>IF(AND($B$31&gt;0,$B$29&gt;0),(IF(54&lt;$B$31,(54-($B$31-1)/2)*$B$29,(($B$31-1)-($B$31-1)/2)*$B$29))*$B$53+(-38),999)</f>
        <v>999</v>
      </c>
      <c r="W223" s="35">
        <f>IF(AND($B$31&gt;0,$B$29&gt;0),(IF(54&lt;$B$31,(($B$30-1)/2*$B$29),IF(MOD($B$31-1,2)=0,(($B$30-1)/2*$B$29),(-(($B$30-1)/2*$B$29)))))*$B$53+(0),999)</f>
        <v>999</v>
      </c>
    </row>
    <row r="224" spans="16:23" x14ac:dyDescent="0.3">
      <c r="P224" s="35">
        <f>IF(AND($B$18&gt;0),(IF(55&lt;$B$18,(($B$22-1)/2*$B$21),IF(MOD($B$18-1,2)=0,(($B$22-1)/2*$B$21),(-(($B$22-1)/2*$B$21)))))*$B$53+(-38),999)</f>
        <v>-11.2307692307692</v>
      </c>
      <c r="Q224" s="35">
        <f>IF(AND($B$18&gt;0),(IF(55&lt;$B$18,(55-($B$18-1)/2)*$B$17,(($B$18-1)-($B$18-1)/2)*$B$17))*$B$53+(0),999)</f>
        <v>26.7692307692308</v>
      </c>
      <c r="R224" s="35">
        <f>IF(AND($B$22&gt;0),(IF(55&lt;$B$22,(55-($B$22-1)/2)*$B$21,(($B$22-1)-($B$22-1)/2)*$B$21))*$B$53+(-38),999)</f>
        <v>-11.2307692307692</v>
      </c>
      <c r="S224" s="35">
        <f>IF(AND($B$22&gt;0),(IF(55&lt;$B$22,(($B$18-1)/2*$B$17),IF(MOD($B$22-1,2)=0,(($B$18-1)/2*$B$17),(-(($B$18-1)/2*$B$17)))))*$B$53+(0),999)</f>
        <v>26.7692307692308</v>
      </c>
      <c r="T224" s="35">
        <f>IF(AND($B$30&gt;0,$B$29&gt;0),(IF(55&lt;$B$30,(($B$31-1)/2*$B$29),IF(MOD($B$30-1,2)=0,(($B$31-1)/2*$B$29),(-(($B$31-1)/2*$B$29)))))*$B$53+(-38),999)</f>
        <v>999</v>
      </c>
      <c r="U224" s="35">
        <f>IF(AND($B$30&gt;0,$B$29&gt;0),(IF(55&lt;$B$30,(55-($B$30-1)/2)*$B$29,(($B$30-1)-($B$30-1)/2)*$B$29))*$B$53+(0),999)</f>
        <v>999</v>
      </c>
      <c r="V224" s="35">
        <f>IF(AND($B$31&gt;0,$B$29&gt;0),(IF(55&lt;$B$31,(55-($B$31-1)/2)*$B$29,(($B$31-1)-($B$31-1)/2)*$B$29))*$B$53+(-38),999)</f>
        <v>999</v>
      </c>
      <c r="W224" s="35">
        <f>IF(AND($B$31&gt;0,$B$29&gt;0),(IF(55&lt;$B$31,(($B$30-1)/2*$B$29),IF(MOD($B$31-1,2)=0,(($B$30-1)/2*$B$29),(-(($B$30-1)/2*$B$29)))))*$B$53+(0),999)</f>
        <v>999</v>
      </c>
    </row>
    <row r="225" spans="16:23" x14ac:dyDescent="0.3">
      <c r="P225" s="35">
        <f>IF(AND($B$18&gt;0),(IF(55&lt;$B$18,($B$4/2-$B$13),IF(MOD($B$18-1,2)=0,(($B$22-1)/2*$B$21),(-(($B$22-1)/2*$B$21)))))*$B$53+(-38),999)</f>
        <v>-11.2307692307692</v>
      </c>
      <c r="Q225" s="35">
        <f>IF(AND($B$18&gt;0),(IF(55&lt;$B$18,(55-($B$18-1)/2)*$B$17,(($B$18-1)-($B$18-1)/2)*$B$17))*$B$53+(0),999)</f>
        <v>26.7692307692308</v>
      </c>
      <c r="R225" s="35">
        <f>IF(AND($B$22&gt;0),(IF(55&lt;$B$22,(55-($B$22-1)/2)*$B$21,(($B$22-1)-($B$22-1)/2)*$B$21))*$B$53+(-38),999)</f>
        <v>-11.2307692307692</v>
      </c>
      <c r="S225" s="35">
        <f>IF(AND($B$22&gt;0),(IF(55&lt;$B$22,($B$5/2-IF($B$3=3,0,$B$13)),IF(MOD($B$22-1,2)=0,(($B$18-1)/2*$B$17),(-(($B$18-1)/2*$B$17)))))*$B$53+(0),999)</f>
        <v>26.7692307692308</v>
      </c>
      <c r="T225" s="35">
        <f>IF(AND($B$30&gt;0,$B$29&gt;0),(IF(55&lt;$B$30,($B$4/2-$B$13),IF(MOD($B$30-1,2)=0,(($B$31-1)/2*$B$29),(-(($B$31-1)/2*$B$29)))))*$B$53+(-38),999)</f>
        <v>999</v>
      </c>
      <c r="U225" s="35">
        <f>IF(AND($B$30&gt;0,$B$29&gt;0),(IF(55&lt;$B$30,(55-($B$30-1)/2)*$B$29,(($B$30-1)-($B$30-1)/2)*$B$29))*$B$53+(0),999)</f>
        <v>999</v>
      </c>
      <c r="V225" s="35">
        <f>IF(AND($B$31&gt;0,$B$29&gt;0),(IF(55&lt;$B$31,(55-($B$31-1)/2)*$B$29,(($B$31-1)-($B$31-1)/2)*$B$29))*$B$53+(-38),999)</f>
        <v>999</v>
      </c>
      <c r="W225" s="35">
        <f>IF(AND($B$31&gt;0,$B$29&gt;0),(IF(55&lt;$B$31,($B$5/2-$B$13),IF(MOD($B$31-1,2)=0,(($B$30-1)/2*$B$29),(-(($B$30-1)/2*$B$29)))))*$B$53+(0),999)</f>
        <v>999</v>
      </c>
    </row>
    <row r="226" spans="16:23" x14ac:dyDescent="0.3">
      <c r="P226" s="35">
        <f>IF(AND($B$18&gt;0),(IF(55&lt;$B$18,(-$B$4/2+$B$13),IF(MOD($B$18-1,2)=0,(($B$22-1)/2*$B$21),(-(($B$22-1)/2*$B$21)))))*$B$53+(-38),999)</f>
        <v>-11.2307692307692</v>
      </c>
      <c r="Q226" s="35">
        <f>IF(AND($B$18&gt;0),(IF(55&lt;$B$18,(55-($B$18-1)/2)*$B$17,(($B$18-1)-($B$18-1)/2)*$B$17))*$B$53+(0),999)</f>
        <v>26.7692307692308</v>
      </c>
      <c r="R226" s="35">
        <f>IF(AND($B$22&gt;0),(IF(55&lt;$B$22,(55-($B$22-1)/2)*$B$21,(($B$22-1)-($B$22-1)/2)*$B$21))*$B$53+(-38),999)</f>
        <v>-11.2307692307692</v>
      </c>
      <c r="S226" s="35">
        <f>IF(AND($B$22&gt;0),(IF(55&lt;$B$22,(-$B$5/2+IF($B$3=3,0,$B$13)),IF(MOD($B$22-1,2)=0,(($B$18-1)/2*$B$17),(-(($B$18-1)/2*$B$17)))))*$B$53+(0),999)</f>
        <v>26.7692307692308</v>
      </c>
      <c r="T226" s="35">
        <f>IF(AND($B$30&gt;0,$B$29&gt;0),(IF(55&lt;$B$30,(-$B$4/2+$B$13),IF(MOD($B$30-1,2)=0,(($B$31-1)/2*$B$29),(-(($B$31-1)/2*$B$29)))))*$B$53+(-38),999)</f>
        <v>999</v>
      </c>
      <c r="U226" s="35">
        <f>IF(AND($B$30&gt;0,$B$29&gt;0),(IF(55&lt;$B$30,(55-($B$30-1)/2)*$B$29,(($B$30-1)-($B$30-1)/2)*$B$29))*$B$53+(0),999)</f>
        <v>999</v>
      </c>
      <c r="V226" s="35">
        <f>IF(AND($B$31&gt;0,$B$29&gt;0),(IF(55&lt;$B$31,(55-($B$31-1)/2)*$B$29,(($B$31-1)-($B$31-1)/2)*$B$29))*$B$53+(-38),999)</f>
        <v>999</v>
      </c>
      <c r="W226" s="35">
        <f>IF(AND($B$31&gt;0,$B$29&gt;0),(IF(55&lt;$B$31,(-$B$5/2+$B$13),IF(MOD($B$31-1,2)=0,(($B$30-1)/2*$B$29),(-(($B$30-1)/2*$B$29)))))*$B$53+(0),999)</f>
        <v>999</v>
      </c>
    </row>
    <row r="227" spans="16:23" x14ac:dyDescent="0.3">
      <c r="P227" s="35">
        <f>IF(AND($B$18&gt;0),(IF(55&lt;$B$18,(-(($B$22-1)/2*$B$21)),IF(MOD($B$18-1,2)=0,(($B$22-1)/2*$B$21),(-(($B$22-1)/2*$B$21)))))*$B$53+(-38),999)</f>
        <v>-11.2307692307692</v>
      </c>
      <c r="Q227" s="35">
        <f>IF(AND($B$18&gt;0),(IF(55&lt;$B$18,(55-($B$18-1)/2)*$B$17,(($B$18-1)-($B$18-1)/2)*$B$17))*$B$53+(0),999)</f>
        <v>26.7692307692308</v>
      </c>
      <c r="R227" s="35">
        <f>IF(AND($B$22&gt;0),(IF(55&lt;$B$22,(55-($B$22-1)/2)*$B$21,(($B$22-1)-($B$22-1)/2)*$B$21))*$B$53+(-38),999)</f>
        <v>-11.2307692307692</v>
      </c>
      <c r="S227" s="35">
        <f>IF(AND($B$22&gt;0),(IF(55&lt;$B$22,(-(($B$18-1)/2*$B$17)),IF(MOD($B$22-1,2)=0,(($B$18-1)/2*$B$17),(-(($B$18-1)/2*$B$17)))))*$B$53+(0),999)</f>
        <v>26.7692307692308</v>
      </c>
      <c r="T227" s="35">
        <f>IF(AND($B$30&gt;0,$B$29&gt;0),(IF(55&lt;$B$30,(-(($B$31-1)/2*$B$29)),IF(MOD($B$30-1,2)=0,(($B$31-1)/2*$B$29),(-(($B$31-1)/2*$B$29)))))*$B$53+(-38),999)</f>
        <v>999</v>
      </c>
      <c r="U227" s="35">
        <f>IF(AND($B$30&gt;0,$B$29&gt;0),(IF(55&lt;$B$30,(55-($B$30-1)/2)*$B$29,(($B$30-1)-($B$30-1)/2)*$B$29))*$B$53+(0),999)</f>
        <v>999</v>
      </c>
      <c r="V227" s="35">
        <f>IF(AND($B$31&gt;0,$B$29&gt;0),(IF(55&lt;$B$31,(55-($B$31-1)/2)*$B$29,(($B$31-1)-($B$31-1)/2)*$B$29))*$B$53+(-38),999)</f>
        <v>999</v>
      </c>
      <c r="W227" s="35">
        <f>IF(AND($B$31&gt;0,$B$29&gt;0),(IF(55&lt;$B$31,(-(($B$30-1)/2*$B$29)),IF(MOD($B$31-1,2)=0,(($B$30-1)/2*$B$29),(-(($B$30-1)/2*$B$29)))))*$B$53+(0),999)</f>
        <v>999</v>
      </c>
    </row>
    <row r="228" spans="16:23" x14ac:dyDescent="0.3">
      <c r="P228" s="35">
        <f>IF(AND($B$18&gt;0),(IF(56&lt;$B$18,(-(($B$22-1)/2*$B$21)),IF(MOD($B$18-1,2)=0,(($B$22-1)/2*$B$21),(-(($B$22-1)/2*$B$21)))))*$B$53+(-38),999)</f>
        <v>-11.2307692307692</v>
      </c>
      <c r="Q228" s="35">
        <f>IF(AND($B$18&gt;0),(IF(56&lt;$B$18,(56-($B$18-1)/2)*$B$17,(($B$18-1)-($B$18-1)/2)*$B$17))*$B$53+(0),999)</f>
        <v>26.7692307692308</v>
      </c>
      <c r="R228" s="35">
        <f>IF(AND($B$22&gt;0),(IF(56&lt;$B$22,(56-($B$22-1)/2)*$B$21,(($B$22-1)-($B$22-1)/2)*$B$21))*$B$53+(-38),999)</f>
        <v>-11.2307692307692</v>
      </c>
      <c r="S228" s="35">
        <f>IF(AND($B$22&gt;0),(IF(56&lt;$B$22,(-(($B$18-1)/2*$B$17)),IF(MOD($B$22-1,2)=0,(($B$18-1)/2*$B$17),(-(($B$18-1)/2*$B$17)))))*$B$53+(0),999)</f>
        <v>26.7692307692308</v>
      </c>
      <c r="T228" s="35">
        <f>IF(AND($B$30&gt;0,$B$29&gt;0),(IF(56&lt;$B$30,(-(($B$31-1)/2*$B$29)),IF(MOD($B$30-1,2)=0,(($B$31-1)/2*$B$29),(-(($B$31-1)/2*$B$29)))))*$B$53+(-38),999)</f>
        <v>999</v>
      </c>
      <c r="U228" s="35">
        <f>IF(AND($B$30&gt;0,$B$29&gt;0),(IF(56&lt;$B$30,(56-($B$30-1)/2)*$B$29,(($B$30-1)-($B$30-1)/2)*$B$29))*$B$53+(0),999)</f>
        <v>999</v>
      </c>
      <c r="V228" s="35">
        <f>IF(AND($B$31&gt;0,$B$29&gt;0),(IF(56&lt;$B$31,(56-($B$31-1)/2)*$B$29,(($B$31-1)-($B$31-1)/2)*$B$29))*$B$53+(-38),999)</f>
        <v>999</v>
      </c>
      <c r="W228" s="35">
        <f>IF(AND($B$31&gt;0,$B$29&gt;0),(IF(56&lt;$B$31,(-(($B$30-1)/2*$B$29)),IF(MOD($B$31-1,2)=0,(($B$30-1)/2*$B$29),(-(($B$30-1)/2*$B$29)))))*$B$53+(0),999)</f>
        <v>999</v>
      </c>
    </row>
    <row r="229" spans="16:23" x14ac:dyDescent="0.3">
      <c r="P229" s="35">
        <f>IF(AND($B$18&gt;0),(IF(56&lt;$B$18,(-$B$4/2+$B$13),IF(MOD($B$18-1,2)=0,(($B$22-1)/2*$B$21),(-(($B$22-1)/2*$B$21)))))*$B$53+(-38),999)</f>
        <v>-11.2307692307692</v>
      </c>
      <c r="Q229" s="35">
        <f>IF(AND($B$18&gt;0),(IF(56&lt;$B$18,(56-($B$18-1)/2)*$B$17,(($B$18-1)-($B$18-1)/2)*$B$17))*$B$53+(0),999)</f>
        <v>26.7692307692308</v>
      </c>
      <c r="R229" s="35">
        <f>IF(AND($B$22&gt;0),(IF(56&lt;$B$22,(56-($B$22-1)/2)*$B$21,(($B$22-1)-($B$22-1)/2)*$B$21))*$B$53+(-38),999)</f>
        <v>-11.2307692307692</v>
      </c>
      <c r="S229" s="35">
        <f>IF(AND($B$22&gt;0),(IF(56&lt;$B$22,(-$B$5/2+IF($B$3=3,0,$B$13)),IF(MOD($B$22-1,2)=0,(($B$18-1)/2*$B$17),(-(($B$18-1)/2*$B$17)))))*$B$53+(0),999)</f>
        <v>26.7692307692308</v>
      </c>
      <c r="T229" s="35">
        <f>IF(AND($B$30&gt;0,$B$29&gt;0),(IF(56&lt;$B$30,(-$B$4/2+$B$13),IF(MOD($B$30-1,2)=0,(($B$31-1)/2*$B$29),(-(($B$31-1)/2*$B$29)))))*$B$53+(-38),999)</f>
        <v>999</v>
      </c>
      <c r="U229" s="35">
        <f>IF(AND($B$30&gt;0,$B$29&gt;0),(IF(56&lt;$B$30,(56-($B$30-1)/2)*$B$29,(($B$30-1)-($B$30-1)/2)*$B$29))*$B$53+(0),999)</f>
        <v>999</v>
      </c>
      <c r="V229" s="35">
        <f>IF(AND($B$31&gt;0,$B$29&gt;0),(IF(56&lt;$B$31,(56-($B$31-1)/2)*$B$29,(($B$31-1)-($B$31-1)/2)*$B$29))*$B$53+(-38),999)</f>
        <v>999</v>
      </c>
      <c r="W229" s="35">
        <f>IF(AND($B$31&gt;0,$B$29&gt;0),(IF(56&lt;$B$31,(-$B$5/2+$B$13),IF(MOD($B$31-1,2)=0,(($B$30-1)/2*$B$29),(-(($B$30-1)/2*$B$29)))))*$B$53+(0),999)</f>
        <v>999</v>
      </c>
    </row>
    <row r="230" spans="16:23" x14ac:dyDescent="0.3">
      <c r="P230" s="35">
        <f>IF(AND($B$18&gt;0),(IF(56&lt;$B$18,($B$4/2-$B$13),IF(MOD($B$18-1,2)=0,(($B$22-1)/2*$B$21),(-(($B$22-1)/2*$B$21)))))*$B$53+(-38),999)</f>
        <v>-11.2307692307692</v>
      </c>
      <c r="Q230" s="35">
        <f>IF(AND($B$18&gt;0),(IF(56&lt;$B$18,(56-($B$18-1)/2)*$B$17,(($B$18-1)-($B$18-1)/2)*$B$17))*$B$53+(0),999)</f>
        <v>26.7692307692308</v>
      </c>
      <c r="R230" s="35">
        <f>IF(AND($B$22&gt;0),(IF(56&lt;$B$22,(56-($B$22-1)/2)*$B$21,(($B$22-1)-($B$22-1)/2)*$B$21))*$B$53+(-38),999)</f>
        <v>-11.2307692307692</v>
      </c>
      <c r="S230" s="35">
        <f>IF(AND($B$22&gt;0),(IF(56&lt;$B$22,($B$5/2-IF($B$3=3,0,$B$13)),IF(MOD($B$22-1,2)=0,(($B$18-1)/2*$B$17),(-(($B$18-1)/2*$B$17)))))*$B$53+(0),999)</f>
        <v>26.7692307692308</v>
      </c>
      <c r="T230" s="35">
        <f>IF(AND($B$30&gt;0,$B$29&gt;0),(IF(56&lt;$B$30,($B$4/2-$B$13),IF(MOD($B$30-1,2)=0,(($B$31-1)/2*$B$29),(-(($B$31-1)/2*$B$29)))))*$B$53+(-38),999)</f>
        <v>999</v>
      </c>
      <c r="U230" s="35">
        <f>IF(AND($B$30&gt;0,$B$29&gt;0),(IF(56&lt;$B$30,(56-($B$30-1)/2)*$B$29,(($B$30-1)-($B$30-1)/2)*$B$29))*$B$53+(0),999)</f>
        <v>999</v>
      </c>
      <c r="V230" s="35">
        <f>IF(AND($B$31&gt;0,$B$29&gt;0),(IF(56&lt;$B$31,(56-($B$31-1)/2)*$B$29,(($B$31-1)-($B$31-1)/2)*$B$29))*$B$53+(-38),999)</f>
        <v>999</v>
      </c>
      <c r="W230" s="35">
        <f>IF(AND($B$31&gt;0,$B$29&gt;0),(IF(56&lt;$B$31,($B$5/2-$B$13),IF(MOD($B$31-1,2)=0,(($B$30-1)/2*$B$29),(-(($B$30-1)/2*$B$29)))))*$B$53+(0),999)</f>
        <v>999</v>
      </c>
    </row>
    <row r="231" spans="16:23" x14ac:dyDescent="0.3">
      <c r="P231" s="35">
        <f>IF(AND($B$18&gt;0),(IF(56&lt;$B$18,(($B$22-1)/2*$B$21),IF(MOD($B$18-1,2)=0,(($B$22-1)/2*$B$21),(-(($B$22-1)/2*$B$21)))))*$B$53+(-38),999)</f>
        <v>-11.2307692307692</v>
      </c>
      <c r="Q231" s="35">
        <f>IF(AND($B$18&gt;0),(IF(56&lt;$B$18,(56-($B$18-1)/2)*$B$17,(($B$18-1)-($B$18-1)/2)*$B$17))*$B$53+(0),999)</f>
        <v>26.7692307692308</v>
      </c>
      <c r="R231" s="35">
        <f>IF(AND($B$22&gt;0),(IF(56&lt;$B$22,(56-($B$22-1)/2)*$B$21,(($B$22-1)-($B$22-1)/2)*$B$21))*$B$53+(-38),999)</f>
        <v>-11.2307692307692</v>
      </c>
      <c r="S231" s="35">
        <f>IF(AND($B$22&gt;0),(IF(56&lt;$B$22,(($B$18-1)/2*$B$17),IF(MOD($B$22-1,2)=0,(($B$18-1)/2*$B$17),(-(($B$18-1)/2*$B$17)))))*$B$53+(0),999)</f>
        <v>26.7692307692308</v>
      </c>
      <c r="T231" s="35">
        <f>IF(AND($B$30&gt;0,$B$29&gt;0),(IF(56&lt;$B$30,(($B$31-1)/2*$B$29),IF(MOD($B$30-1,2)=0,(($B$31-1)/2*$B$29),(-(($B$31-1)/2*$B$29)))))*$B$53+(-38),999)</f>
        <v>999</v>
      </c>
      <c r="U231" s="35">
        <f>IF(AND($B$30&gt;0,$B$29&gt;0),(IF(56&lt;$B$30,(56-($B$30-1)/2)*$B$29,(($B$30-1)-($B$30-1)/2)*$B$29))*$B$53+(0),999)</f>
        <v>999</v>
      </c>
      <c r="V231" s="35">
        <f>IF(AND($B$31&gt;0,$B$29&gt;0),(IF(56&lt;$B$31,(56-($B$31-1)/2)*$B$29,(($B$31-1)-($B$31-1)/2)*$B$29))*$B$53+(-38),999)</f>
        <v>999</v>
      </c>
      <c r="W231" s="35">
        <f>IF(AND($B$31&gt;0,$B$29&gt;0),(IF(56&lt;$B$31,(($B$30-1)/2*$B$29),IF(MOD($B$31-1,2)=0,(($B$30-1)/2*$B$29),(-(($B$30-1)/2*$B$29)))))*$B$53+(0),999)</f>
        <v>999</v>
      </c>
    </row>
    <row r="232" spans="16:23" x14ac:dyDescent="0.3">
      <c r="P232" s="35">
        <f>IF(AND($B$18&gt;0),(IF(57&lt;$B$18,(($B$22-1)/2*$B$21),IF(MOD($B$18-1,2)=0,(($B$22-1)/2*$B$21),(-(($B$22-1)/2*$B$21)))))*$B$53+(-38),999)</f>
        <v>-11.2307692307692</v>
      </c>
      <c r="Q232" s="35">
        <f>IF(AND($B$18&gt;0),(IF(57&lt;$B$18,(57-($B$18-1)/2)*$B$17,(($B$18-1)-($B$18-1)/2)*$B$17))*$B$53+(0),999)</f>
        <v>26.7692307692308</v>
      </c>
      <c r="R232" s="35">
        <f>IF(AND($B$22&gt;0),(IF(57&lt;$B$22,(57-($B$22-1)/2)*$B$21,(($B$22-1)-($B$22-1)/2)*$B$21))*$B$53+(-38),999)</f>
        <v>-11.2307692307692</v>
      </c>
      <c r="S232" s="35">
        <f>IF(AND($B$22&gt;0),(IF(57&lt;$B$22,(($B$18-1)/2*$B$17),IF(MOD($B$22-1,2)=0,(($B$18-1)/2*$B$17),(-(($B$18-1)/2*$B$17)))))*$B$53+(0),999)</f>
        <v>26.7692307692308</v>
      </c>
      <c r="T232" s="35">
        <f>IF(AND($B$30&gt;0,$B$29&gt;0),(IF(57&lt;$B$30,(($B$31-1)/2*$B$29),IF(MOD($B$30-1,2)=0,(($B$31-1)/2*$B$29),(-(($B$31-1)/2*$B$29)))))*$B$53+(-38),999)</f>
        <v>999</v>
      </c>
      <c r="U232" s="35">
        <f>IF(AND($B$30&gt;0,$B$29&gt;0),(IF(57&lt;$B$30,(57-($B$30-1)/2)*$B$29,(($B$30-1)-($B$30-1)/2)*$B$29))*$B$53+(0),999)</f>
        <v>999</v>
      </c>
      <c r="V232" s="35">
        <f>IF(AND($B$31&gt;0,$B$29&gt;0),(IF(57&lt;$B$31,(57-($B$31-1)/2)*$B$29,(($B$31-1)-($B$31-1)/2)*$B$29))*$B$53+(-38),999)</f>
        <v>999</v>
      </c>
      <c r="W232" s="35">
        <f>IF(AND($B$31&gt;0,$B$29&gt;0),(IF(57&lt;$B$31,(($B$30-1)/2*$B$29),IF(MOD($B$31-1,2)=0,(($B$30-1)/2*$B$29),(-(($B$30-1)/2*$B$29)))))*$B$53+(0),999)</f>
        <v>999</v>
      </c>
    </row>
    <row r="233" spans="16:23" x14ac:dyDescent="0.3">
      <c r="P233" s="35">
        <f>IF(AND($B$18&gt;0),(IF(57&lt;$B$18,($B$4/2-$B$13),IF(MOD($B$18-1,2)=0,(($B$22-1)/2*$B$21),(-(($B$22-1)/2*$B$21)))))*$B$53+(-38),999)</f>
        <v>-11.2307692307692</v>
      </c>
      <c r="Q233" s="35">
        <f>IF(AND($B$18&gt;0),(IF(57&lt;$B$18,(57-($B$18-1)/2)*$B$17,(($B$18-1)-($B$18-1)/2)*$B$17))*$B$53+(0),999)</f>
        <v>26.7692307692308</v>
      </c>
      <c r="R233" s="35">
        <f>IF(AND($B$22&gt;0),(IF(57&lt;$B$22,(57-($B$22-1)/2)*$B$21,(($B$22-1)-($B$22-1)/2)*$B$21))*$B$53+(-38),999)</f>
        <v>-11.2307692307692</v>
      </c>
      <c r="S233" s="35">
        <f>IF(AND($B$22&gt;0),(IF(57&lt;$B$22,($B$5/2-IF($B$3=3,0,$B$13)),IF(MOD($B$22-1,2)=0,(($B$18-1)/2*$B$17),(-(($B$18-1)/2*$B$17)))))*$B$53+(0),999)</f>
        <v>26.7692307692308</v>
      </c>
      <c r="T233" s="35">
        <f>IF(AND($B$30&gt;0,$B$29&gt;0),(IF(57&lt;$B$30,($B$4/2-$B$13),IF(MOD($B$30-1,2)=0,(($B$31-1)/2*$B$29),(-(($B$31-1)/2*$B$29)))))*$B$53+(-38),999)</f>
        <v>999</v>
      </c>
      <c r="U233" s="35">
        <f>IF(AND($B$30&gt;0,$B$29&gt;0),(IF(57&lt;$B$30,(57-($B$30-1)/2)*$B$29,(($B$30-1)-($B$30-1)/2)*$B$29))*$B$53+(0),999)</f>
        <v>999</v>
      </c>
      <c r="V233" s="35">
        <f>IF(AND($B$31&gt;0,$B$29&gt;0),(IF(57&lt;$B$31,(57-($B$31-1)/2)*$B$29,(($B$31-1)-($B$31-1)/2)*$B$29))*$B$53+(-38),999)</f>
        <v>999</v>
      </c>
      <c r="W233" s="35">
        <f>IF(AND($B$31&gt;0,$B$29&gt;0),(IF(57&lt;$B$31,($B$5/2-$B$13),IF(MOD($B$31-1,2)=0,(($B$30-1)/2*$B$29),(-(($B$30-1)/2*$B$29)))))*$B$53+(0),999)</f>
        <v>999</v>
      </c>
    </row>
    <row r="234" spans="16:23" x14ac:dyDescent="0.3">
      <c r="P234" s="35">
        <f>IF(AND($B$18&gt;0),(IF(57&lt;$B$18,(-$B$4/2+$B$13),IF(MOD($B$18-1,2)=0,(($B$22-1)/2*$B$21),(-(($B$22-1)/2*$B$21)))))*$B$53+(-38),999)</f>
        <v>-11.2307692307692</v>
      </c>
      <c r="Q234" s="35">
        <f>IF(AND($B$18&gt;0),(IF(57&lt;$B$18,(57-($B$18-1)/2)*$B$17,(($B$18-1)-($B$18-1)/2)*$B$17))*$B$53+(0),999)</f>
        <v>26.7692307692308</v>
      </c>
      <c r="R234" s="35">
        <f>IF(AND($B$22&gt;0),(IF(57&lt;$B$22,(57-($B$22-1)/2)*$B$21,(($B$22-1)-($B$22-1)/2)*$B$21))*$B$53+(-38),999)</f>
        <v>-11.2307692307692</v>
      </c>
      <c r="S234" s="35">
        <f>IF(AND($B$22&gt;0),(IF(57&lt;$B$22,(-$B$5/2+IF($B$3=3,0,$B$13)),IF(MOD($B$22-1,2)=0,(($B$18-1)/2*$B$17),(-(($B$18-1)/2*$B$17)))))*$B$53+(0),999)</f>
        <v>26.7692307692308</v>
      </c>
      <c r="T234" s="35">
        <f>IF(AND($B$30&gt;0,$B$29&gt;0),(IF(57&lt;$B$30,(-$B$4/2+$B$13),IF(MOD($B$30-1,2)=0,(($B$31-1)/2*$B$29),(-(($B$31-1)/2*$B$29)))))*$B$53+(-38),999)</f>
        <v>999</v>
      </c>
      <c r="U234" s="35">
        <f>IF(AND($B$30&gt;0,$B$29&gt;0),(IF(57&lt;$B$30,(57-($B$30-1)/2)*$B$29,(($B$30-1)-($B$30-1)/2)*$B$29))*$B$53+(0),999)</f>
        <v>999</v>
      </c>
      <c r="V234" s="35">
        <f>IF(AND($B$31&gt;0,$B$29&gt;0),(IF(57&lt;$B$31,(57-($B$31-1)/2)*$B$29,(($B$31-1)-($B$31-1)/2)*$B$29))*$B$53+(-38),999)</f>
        <v>999</v>
      </c>
      <c r="W234" s="35">
        <f>IF(AND($B$31&gt;0,$B$29&gt;0),(IF(57&lt;$B$31,(-$B$5/2+$B$13),IF(MOD($B$31-1,2)=0,(($B$30-1)/2*$B$29),(-(($B$30-1)/2*$B$29)))))*$B$53+(0),999)</f>
        <v>999</v>
      </c>
    </row>
    <row r="235" spans="16:23" x14ac:dyDescent="0.3">
      <c r="P235" s="35">
        <f>IF(AND($B$18&gt;0),(IF(57&lt;$B$18,(-(($B$22-1)/2*$B$21)),IF(MOD($B$18-1,2)=0,(($B$22-1)/2*$B$21),(-(($B$22-1)/2*$B$21)))))*$B$53+(-38),999)</f>
        <v>-11.2307692307692</v>
      </c>
      <c r="Q235" s="35">
        <f>IF(AND($B$18&gt;0),(IF(57&lt;$B$18,(57-($B$18-1)/2)*$B$17,(($B$18-1)-($B$18-1)/2)*$B$17))*$B$53+(0),999)</f>
        <v>26.7692307692308</v>
      </c>
      <c r="R235" s="35">
        <f>IF(AND($B$22&gt;0),(IF(57&lt;$B$22,(57-($B$22-1)/2)*$B$21,(($B$22-1)-($B$22-1)/2)*$B$21))*$B$53+(-38),999)</f>
        <v>-11.2307692307692</v>
      </c>
      <c r="S235" s="35">
        <f>IF(AND($B$22&gt;0),(IF(57&lt;$B$22,(-(($B$18-1)/2*$B$17)),IF(MOD($B$22-1,2)=0,(($B$18-1)/2*$B$17),(-(($B$18-1)/2*$B$17)))))*$B$53+(0),999)</f>
        <v>26.7692307692308</v>
      </c>
      <c r="T235" s="35">
        <f>IF(AND($B$30&gt;0,$B$29&gt;0),(IF(57&lt;$B$30,(-(($B$31-1)/2*$B$29)),IF(MOD($B$30-1,2)=0,(($B$31-1)/2*$B$29),(-(($B$31-1)/2*$B$29)))))*$B$53+(-38),999)</f>
        <v>999</v>
      </c>
      <c r="U235" s="35">
        <f>IF(AND($B$30&gt;0,$B$29&gt;0),(IF(57&lt;$B$30,(57-($B$30-1)/2)*$B$29,(($B$30-1)-($B$30-1)/2)*$B$29))*$B$53+(0),999)</f>
        <v>999</v>
      </c>
      <c r="V235" s="35">
        <f>IF(AND($B$31&gt;0,$B$29&gt;0),(IF(57&lt;$B$31,(57-($B$31-1)/2)*$B$29,(($B$31-1)-($B$31-1)/2)*$B$29))*$B$53+(-38),999)</f>
        <v>999</v>
      </c>
      <c r="W235" s="35">
        <f>IF(AND($B$31&gt;0,$B$29&gt;0),(IF(57&lt;$B$31,(-(($B$30-1)/2*$B$29)),IF(MOD($B$31-1,2)=0,(($B$30-1)/2*$B$29),(-(($B$30-1)/2*$B$29)))))*$B$53+(0),999)</f>
        <v>999</v>
      </c>
    </row>
    <row r="236" spans="16:23" x14ac:dyDescent="0.3">
      <c r="P236" s="35">
        <f>IF(AND($B$18&gt;0),(IF(58&lt;$B$18,(-(($B$22-1)/2*$B$21)),IF(MOD($B$18-1,2)=0,(($B$22-1)/2*$B$21),(-(($B$22-1)/2*$B$21)))))*$B$53+(-38),999)</f>
        <v>-11.2307692307692</v>
      </c>
      <c r="Q236" s="35">
        <f>IF(AND($B$18&gt;0),(IF(58&lt;$B$18,(58-($B$18-1)/2)*$B$17,(($B$18-1)-($B$18-1)/2)*$B$17))*$B$53+(0),999)</f>
        <v>26.7692307692308</v>
      </c>
      <c r="R236" s="35">
        <f>IF(AND($B$22&gt;0),(IF(58&lt;$B$22,(58-($B$22-1)/2)*$B$21,(($B$22-1)-($B$22-1)/2)*$B$21))*$B$53+(-38),999)</f>
        <v>-11.2307692307692</v>
      </c>
      <c r="S236" s="35">
        <f>IF(AND($B$22&gt;0),(IF(58&lt;$B$22,(-(($B$18-1)/2*$B$17)),IF(MOD($B$22-1,2)=0,(($B$18-1)/2*$B$17),(-(($B$18-1)/2*$B$17)))))*$B$53+(0),999)</f>
        <v>26.7692307692308</v>
      </c>
      <c r="T236" s="35">
        <f>IF(AND($B$30&gt;0,$B$29&gt;0),(IF(58&lt;$B$30,(-(($B$31-1)/2*$B$29)),IF(MOD($B$30-1,2)=0,(($B$31-1)/2*$B$29),(-(($B$31-1)/2*$B$29)))))*$B$53+(-38),999)</f>
        <v>999</v>
      </c>
      <c r="U236" s="35">
        <f>IF(AND($B$30&gt;0,$B$29&gt;0),(IF(58&lt;$B$30,(58-($B$30-1)/2)*$B$29,(($B$30-1)-($B$30-1)/2)*$B$29))*$B$53+(0),999)</f>
        <v>999</v>
      </c>
      <c r="V236" s="35">
        <f>IF(AND($B$31&gt;0,$B$29&gt;0),(IF(58&lt;$B$31,(58-($B$31-1)/2)*$B$29,(($B$31-1)-($B$31-1)/2)*$B$29))*$B$53+(-38),999)</f>
        <v>999</v>
      </c>
      <c r="W236" s="35">
        <f>IF(AND($B$31&gt;0,$B$29&gt;0),(IF(58&lt;$B$31,(-(($B$30-1)/2*$B$29)),IF(MOD($B$31-1,2)=0,(($B$30-1)/2*$B$29),(-(($B$30-1)/2*$B$29)))))*$B$53+(0),999)</f>
        <v>999</v>
      </c>
    </row>
    <row r="237" spans="16:23" x14ac:dyDescent="0.3">
      <c r="P237" s="35">
        <f>IF(AND($B$18&gt;0),(IF(58&lt;$B$18,(-$B$4/2+$B$13),IF(MOD($B$18-1,2)=0,(($B$22-1)/2*$B$21),(-(($B$22-1)/2*$B$21)))))*$B$53+(-38),999)</f>
        <v>-11.2307692307692</v>
      </c>
      <c r="Q237" s="35">
        <f>IF(AND($B$18&gt;0),(IF(58&lt;$B$18,(58-($B$18-1)/2)*$B$17,(($B$18-1)-($B$18-1)/2)*$B$17))*$B$53+(0),999)</f>
        <v>26.7692307692308</v>
      </c>
      <c r="R237" s="35">
        <f>IF(AND($B$22&gt;0),(IF(58&lt;$B$22,(58-($B$22-1)/2)*$B$21,(($B$22-1)-($B$22-1)/2)*$B$21))*$B$53+(-38),999)</f>
        <v>-11.2307692307692</v>
      </c>
      <c r="S237" s="35">
        <f>IF(AND($B$22&gt;0),(IF(58&lt;$B$22,(-$B$5/2+IF($B$3=3,0,$B$13)),IF(MOD($B$22-1,2)=0,(($B$18-1)/2*$B$17),(-(($B$18-1)/2*$B$17)))))*$B$53+(0),999)</f>
        <v>26.7692307692308</v>
      </c>
      <c r="T237" s="35">
        <f>IF(AND($B$30&gt;0,$B$29&gt;0),(IF(58&lt;$B$30,(-$B$4/2+$B$13),IF(MOD($B$30-1,2)=0,(($B$31-1)/2*$B$29),(-(($B$31-1)/2*$B$29)))))*$B$53+(-38),999)</f>
        <v>999</v>
      </c>
      <c r="U237" s="35">
        <f>IF(AND($B$30&gt;0,$B$29&gt;0),(IF(58&lt;$B$30,(58-($B$30-1)/2)*$B$29,(($B$30-1)-($B$30-1)/2)*$B$29))*$B$53+(0),999)</f>
        <v>999</v>
      </c>
      <c r="V237" s="35">
        <f>IF(AND($B$31&gt;0,$B$29&gt;0),(IF(58&lt;$B$31,(58-($B$31-1)/2)*$B$29,(($B$31-1)-($B$31-1)/2)*$B$29))*$B$53+(-38),999)</f>
        <v>999</v>
      </c>
      <c r="W237" s="35">
        <f>IF(AND($B$31&gt;0,$B$29&gt;0),(IF(58&lt;$B$31,(-$B$5/2+$B$13),IF(MOD($B$31-1,2)=0,(($B$30-1)/2*$B$29),(-(($B$30-1)/2*$B$29)))))*$B$53+(0),999)</f>
        <v>999</v>
      </c>
    </row>
    <row r="238" spans="16:23" x14ac:dyDescent="0.3">
      <c r="P238" s="35">
        <f>IF(AND($B$18&gt;0),(IF(58&lt;$B$18,($B$4/2-$B$13),IF(MOD($B$18-1,2)=0,(($B$22-1)/2*$B$21),(-(($B$22-1)/2*$B$21)))))*$B$53+(-38),999)</f>
        <v>-11.2307692307692</v>
      </c>
      <c r="Q238" s="35">
        <f>IF(AND($B$18&gt;0),(IF(58&lt;$B$18,(58-($B$18-1)/2)*$B$17,(($B$18-1)-($B$18-1)/2)*$B$17))*$B$53+(0),999)</f>
        <v>26.7692307692308</v>
      </c>
      <c r="R238" s="35">
        <f>IF(AND($B$22&gt;0),(IF(58&lt;$B$22,(58-($B$22-1)/2)*$B$21,(($B$22-1)-($B$22-1)/2)*$B$21))*$B$53+(-38),999)</f>
        <v>-11.2307692307692</v>
      </c>
      <c r="S238" s="35">
        <f>IF(AND($B$22&gt;0),(IF(58&lt;$B$22,($B$5/2-IF($B$3=3,0,$B$13)),IF(MOD($B$22-1,2)=0,(($B$18-1)/2*$B$17),(-(($B$18-1)/2*$B$17)))))*$B$53+(0),999)</f>
        <v>26.7692307692308</v>
      </c>
      <c r="T238" s="35">
        <f>IF(AND($B$30&gt;0,$B$29&gt;0),(IF(58&lt;$B$30,($B$4/2-$B$13),IF(MOD($B$30-1,2)=0,(($B$31-1)/2*$B$29),(-(($B$31-1)/2*$B$29)))))*$B$53+(-38),999)</f>
        <v>999</v>
      </c>
      <c r="U238" s="35">
        <f>IF(AND($B$30&gt;0,$B$29&gt;0),(IF(58&lt;$B$30,(58-($B$30-1)/2)*$B$29,(($B$30-1)-($B$30-1)/2)*$B$29))*$B$53+(0),999)</f>
        <v>999</v>
      </c>
      <c r="V238" s="35">
        <f>IF(AND($B$31&gt;0,$B$29&gt;0),(IF(58&lt;$B$31,(58-($B$31-1)/2)*$B$29,(($B$31-1)-($B$31-1)/2)*$B$29))*$B$53+(-38),999)</f>
        <v>999</v>
      </c>
      <c r="W238" s="35">
        <f>IF(AND($B$31&gt;0,$B$29&gt;0),(IF(58&lt;$B$31,($B$5/2-$B$13),IF(MOD($B$31-1,2)=0,(($B$30-1)/2*$B$29),(-(($B$30-1)/2*$B$29)))))*$B$53+(0),999)</f>
        <v>999</v>
      </c>
    </row>
    <row r="239" spans="16:23" x14ac:dyDescent="0.3">
      <c r="P239" s="35">
        <f>IF(AND($B$18&gt;0),(IF(58&lt;$B$18,(($B$22-1)/2*$B$21),IF(MOD($B$18-1,2)=0,(($B$22-1)/2*$B$21),(-(($B$22-1)/2*$B$21)))))*$B$53+(-38),999)</f>
        <v>-11.2307692307692</v>
      </c>
      <c r="Q239" s="35">
        <f>IF(AND($B$18&gt;0),(IF(58&lt;$B$18,(58-($B$18-1)/2)*$B$17,(($B$18-1)-($B$18-1)/2)*$B$17))*$B$53+(0),999)</f>
        <v>26.7692307692308</v>
      </c>
      <c r="R239" s="35">
        <f>IF(AND($B$22&gt;0),(IF(58&lt;$B$22,(58-($B$22-1)/2)*$B$21,(($B$22-1)-($B$22-1)/2)*$B$21))*$B$53+(-38),999)</f>
        <v>-11.2307692307692</v>
      </c>
      <c r="S239" s="35">
        <f>IF(AND($B$22&gt;0),(IF(58&lt;$B$22,(($B$18-1)/2*$B$17),IF(MOD($B$22-1,2)=0,(($B$18-1)/2*$B$17),(-(($B$18-1)/2*$B$17)))))*$B$53+(0),999)</f>
        <v>26.7692307692308</v>
      </c>
      <c r="T239" s="35">
        <f>IF(AND($B$30&gt;0,$B$29&gt;0),(IF(58&lt;$B$30,(($B$31-1)/2*$B$29),IF(MOD($B$30-1,2)=0,(($B$31-1)/2*$B$29),(-(($B$31-1)/2*$B$29)))))*$B$53+(-38),999)</f>
        <v>999</v>
      </c>
      <c r="U239" s="35">
        <f>IF(AND($B$30&gt;0,$B$29&gt;0),(IF(58&lt;$B$30,(58-($B$30-1)/2)*$B$29,(($B$30-1)-($B$30-1)/2)*$B$29))*$B$53+(0),999)</f>
        <v>999</v>
      </c>
      <c r="V239" s="35">
        <f>IF(AND($B$31&gt;0,$B$29&gt;0),(IF(58&lt;$B$31,(58-($B$31-1)/2)*$B$29,(($B$31-1)-($B$31-1)/2)*$B$29))*$B$53+(-38),999)</f>
        <v>999</v>
      </c>
      <c r="W239" s="35">
        <f>IF(AND($B$31&gt;0,$B$29&gt;0),(IF(58&lt;$B$31,(($B$30-1)/2*$B$29),IF(MOD($B$31-1,2)=0,(($B$30-1)/2*$B$29),(-(($B$30-1)/2*$B$29)))))*$B$53+(0),999)</f>
        <v>999</v>
      </c>
    </row>
    <row r="240" spans="16:23" x14ac:dyDescent="0.3">
      <c r="P240" s="35">
        <f>IF(AND($B$18&gt;0),(IF(59&lt;$B$18,(($B$22-1)/2*$B$21),IF(MOD($B$18-1,2)=0,(($B$22-1)/2*$B$21),(-(($B$22-1)/2*$B$21)))))*$B$53+(-38),999)</f>
        <v>-11.2307692307692</v>
      </c>
      <c r="Q240" s="35">
        <f>IF(AND($B$18&gt;0),(IF(59&lt;$B$18,(59-($B$18-1)/2)*$B$17,(($B$18-1)-($B$18-1)/2)*$B$17))*$B$53+(0),999)</f>
        <v>26.7692307692308</v>
      </c>
      <c r="R240" s="35">
        <f>IF(AND($B$22&gt;0),(IF(59&lt;$B$22,(59-($B$22-1)/2)*$B$21,(($B$22-1)-($B$22-1)/2)*$B$21))*$B$53+(-38),999)</f>
        <v>-11.2307692307692</v>
      </c>
      <c r="S240" s="35">
        <f>IF(AND($B$22&gt;0),(IF(59&lt;$B$22,(($B$18-1)/2*$B$17),IF(MOD($B$22-1,2)=0,(($B$18-1)/2*$B$17),(-(($B$18-1)/2*$B$17)))))*$B$53+(0),999)</f>
        <v>26.7692307692308</v>
      </c>
      <c r="T240" s="35">
        <f>IF(AND($B$30&gt;0,$B$29&gt;0),(IF(59&lt;$B$30,(($B$31-1)/2*$B$29),IF(MOD($B$30-1,2)=0,(($B$31-1)/2*$B$29),(-(($B$31-1)/2*$B$29)))))*$B$53+(-38),999)</f>
        <v>999</v>
      </c>
      <c r="U240" s="35">
        <f>IF(AND($B$30&gt;0,$B$29&gt;0),(IF(59&lt;$B$30,(59-($B$30-1)/2)*$B$29,(($B$30-1)-($B$30-1)/2)*$B$29))*$B$53+(0),999)</f>
        <v>999</v>
      </c>
      <c r="V240" s="35">
        <f>IF(AND($B$31&gt;0,$B$29&gt;0),(IF(59&lt;$B$31,(59-($B$31-1)/2)*$B$29,(($B$31-1)-($B$31-1)/2)*$B$29))*$B$53+(-38),999)</f>
        <v>999</v>
      </c>
      <c r="W240" s="35">
        <f>IF(AND($B$31&gt;0,$B$29&gt;0),(IF(59&lt;$B$31,(($B$30-1)/2*$B$29),IF(MOD($B$31-1,2)=0,(($B$30-1)/2*$B$29),(-(($B$30-1)/2*$B$29)))))*$B$53+(0),999)</f>
        <v>999</v>
      </c>
    </row>
    <row r="241" spans="16:23" x14ac:dyDescent="0.3">
      <c r="P241" s="35">
        <f>IF(AND($B$18&gt;0),(IF(59&lt;$B$18,($B$4/2-$B$13),IF(MOD($B$18-1,2)=0,(($B$22-1)/2*$B$21),(-(($B$22-1)/2*$B$21)))))*$B$53+(-38),999)</f>
        <v>-11.2307692307692</v>
      </c>
      <c r="Q241" s="35">
        <f>IF(AND($B$18&gt;0),(IF(59&lt;$B$18,(59-($B$18-1)/2)*$B$17,(($B$18-1)-($B$18-1)/2)*$B$17))*$B$53+(0),999)</f>
        <v>26.7692307692308</v>
      </c>
      <c r="R241" s="35">
        <f>IF(AND($B$22&gt;0),(IF(59&lt;$B$22,(59-($B$22-1)/2)*$B$21,(($B$22-1)-($B$22-1)/2)*$B$21))*$B$53+(-38),999)</f>
        <v>-11.2307692307692</v>
      </c>
      <c r="S241" s="35">
        <f>IF(AND($B$22&gt;0),(IF(59&lt;$B$22,($B$5/2-IF($B$3=3,0,$B$13)),IF(MOD($B$22-1,2)=0,(($B$18-1)/2*$B$17),(-(($B$18-1)/2*$B$17)))))*$B$53+(0),999)</f>
        <v>26.7692307692308</v>
      </c>
      <c r="T241" s="35">
        <f>IF(AND($B$30&gt;0,$B$29&gt;0),(IF(59&lt;$B$30,($B$4/2-$B$13),IF(MOD($B$30-1,2)=0,(($B$31-1)/2*$B$29),(-(($B$31-1)/2*$B$29)))))*$B$53+(-38),999)</f>
        <v>999</v>
      </c>
      <c r="U241" s="35">
        <f>IF(AND($B$30&gt;0,$B$29&gt;0),(IF(59&lt;$B$30,(59-($B$30-1)/2)*$B$29,(($B$30-1)-($B$30-1)/2)*$B$29))*$B$53+(0),999)</f>
        <v>999</v>
      </c>
      <c r="V241" s="35">
        <f>IF(AND($B$31&gt;0,$B$29&gt;0),(IF(59&lt;$B$31,(59-($B$31-1)/2)*$B$29,(($B$31-1)-($B$31-1)/2)*$B$29))*$B$53+(-38),999)</f>
        <v>999</v>
      </c>
      <c r="W241" s="35">
        <f>IF(AND($B$31&gt;0,$B$29&gt;0),(IF(59&lt;$B$31,($B$5/2-$B$13),IF(MOD($B$31-1,2)=0,(($B$30-1)/2*$B$29),(-(($B$30-1)/2*$B$29)))))*$B$53+(0),999)</f>
        <v>999</v>
      </c>
    </row>
    <row r="242" spans="16:23" x14ac:dyDescent="0.3">
      <c r="P242" s="35">
        <f>IF(AND($B$18&gt;0),(IF(59&lt;$B$18,(-$B$4/2+$B$13),IF(MOD($B$18-1,2)=0,(($B$22-1)/2*$B$21),(-(($B$22-1)/2*$B$21)))))*$B$53+(-38),999)</f>
        <v>-11.2307692307692</v>
      </c>
      <c r="Q242" s="35">
        <f>IF(AND($B$18&gt;0),(IF(59&lt;$B$18,(59-($B$18-1)/2)*$B$17,(($B$18-1)-($B$18-1)/2)*$B$17))*$B$53+(0),999)</f>
        <v>26.7692307692308</v>
      </c>
      <c r="R242" s="35">
        <f>IF(AND($B$22&gt;0),(IF(59&lt;$B$22,(59-($B$22-1)/2)*$B$21,(($B$22-1)-($B$22-1)/2)*$B$21))*$B$53+(-38),999)</f>
        <v>-11.2307692307692</v>
      </c>
      <c r="S242" s="35">
        <f>IF(AND($B$22&gt;0),(IF(59&lt;$B$22,(-$B$5/2+IF($B$3=3,0,$B$13)),IF(MOD($B$22-1,2)=0,(($B$18-1)/2*$B$17),(-(($B$18-1)/2*$B$17)))))*$B$53+(0),999)</f>
        <v>26.7692307692308</v>
      </c>
      <c r="T242" s="35">
        <f>IF(AND($B$30&gt;0,$B$29&gt;0),(IF(59&lt;$B$30,(-$B$4/2+$B$13),IF(MOD($B$30-1,2)=0,(($B$31-1)/2*$B$29),(-(($B$31-1)/2*$B$29)))))*$B$53+(-38),999)</f>
        <v>999</v>
      </c>
      <c r="U242" s="35">
        <f>IF(AND($B$30&gt;0,$B$29&gt;0),(IF(59&lt;$B$30,(59-($B$30-1)/2)*$B$29,(($B$30-1)-($B$30-1)/2)*$B$29))*$B$53+(0),999)</f>
        <v>999</v>
      </c>
      <c r="V242" s="35">
        <f>IF(AND($B$31&gt;0,$B$29&gt;0),(IF(59&lt;$B$31,(59-($B$31-1)/2)*$B$29,(($B$31-1)-($B$31-1)/2)*$B$29))*$B$53+(-38),999)</f>
        <v>999</v>
      </c>
      <c r="W242" s="35">
        <f>IF(AND($B$31&gt;0,$B$29&gt;0),(IF(59&lt;$B$31,(-$B$5/2+$B$13),IF(MOD($B$31-1,2)=0,(($B$30-1)/2*$B$29),(-(($B$30-1)/2*$B$29)))))*$B$53+(0),999)</f>
        <v>999</v>
      </c>
    </row>
    <row r="243" spans="16:23" x14ac:dyDescent="0.3">
      <c r="P243" s="35">
        <f>IF(AND($B$18&gt;0),(IF(59&lt;$B$18,(-(($B$22-1)/2*$B$21)),IF(MOD($B$18-1,2)=0,(($B$22-1)/2*$B$21),(-(($B$22-1)/2*$B$21)))))*$B$53+(-38),999)</f>
        <v>-11.2307692307692</v>
      </c>
      <c r="Q243" s="35">
        <f>IF(AND($B$18&gt;0),(IF(59&lt;$B$18,(59-($B$18-1)/2)*$B$17,(($B$18-1)-($B$18-1)/2)*$B$17))*$B$53+(0),999)</f>
        <v>26.7692307692308</v>
      </c>
      <c r="R243" s="35">
        <f>IF(AND($B$22&gt;0),(IF(59&lt;$B$22,(59-($B$22-1)/2)*$B$21,(($B$22-1)-($B$22-1)/2)*$B$21))*$B$53+(-38),999)</f>
        <v>-11.2307692307692</v>
      </c>
      <c r="S243" s="35">
        <f>IF(AND($B$22&gt;0),(IF(59&lt;$B$22,(-(($B$18-1)/2*$B$17)),IF(MOD($B$22-1,2)=0,(($B$18-1)/2*$B$17),(-(($B$18-1)/2*$B$17)))))*$B$53+(0),999)</f>
        <v>26.7692307692308</v>
      </c>
      <c r="T243" s="35">
        <f>IF(AND($B$30&gt;0,$B$29&gt;0),(IF(59&lt;$B$30,(-(($B$31-1)/2*$B$29)),IF(MOD($B$30-1,2)=0,(($B$31-1)/2*$B$29),(-(($B$31-1)/2*$B$29)))))*$B$53+(-38),999)</f>
        <v>999</v>
      </c>
      <c r="U243" s="35">
        <f>IF(AND($B$30&gt;0,$B$29&gt;0),(IF(59&lt;$B$30,(59-($B$30-1)/2)*$B$29,(($B$30-1)-($B$30-1)/2)*$B$29))*$B$53+(0),999)</f>
        <v>999</v>
      </c>
      <c r="V243" s="35">
        <f>IF(AND($B$31&gt;0,$B$29&gt;0),(IF(59&lt;$B$31,(59-($B$31-1)/2)*$B$29,(($B$31-1)-($B$31-1)/2)*$B$29))*$B$53+(-38),999)</f>
        <v>999</v>
      </c>
      <c r="W243" s="35">
        <f>IF(AND($B$31&gt;0,$B$29&gt;0),(IF(59&lt;$B$31,(-(($B$30-1)/2*$B$29)),IF(MOD($B$31-1,2)=0,(($B$30-1)/2*$B$29),(-(($B$30-1)/2*$B$29)))))*$B$53+(0),999)</f>
        <v>999</v>
      </c>
    </row>
    <row r="244" spans="16:23" x14ac:dyDescent="0.3">
      <c r="P244" s="35">
        <f>IF(AND($B$18&gt;0),(IF(60&lt;$B$18,(-(($B$22-1)/2*$B$21)),IF(MOD($B$18-1,2)=0,(($B$22-1)/2*$B$21),(-(($B$22-1)/2*$B$21)))))*$B$53+(-38),999)</f>
        <v>-11.2307692307692</v>
      </c>
      <c r="Q244" s="35">
        <f>IF(AND($B$18&gt;0),(IF(60&lt;$B$18,(60-($B$18-1)/2)*$B$17,(($B$18-1)-($B$18-1)/2)*$B$17))*$B$53+(0),999)</f>
        <v>26.7692307692308</v>
      </c>
      <c r="R244" s="35">
        <f>IF(AND($B$22&gt;0),(IF(60&lt;$B$22,(60-($B$22-1)/2)*$B$21,(($B$22-1)-($B$22-1)/2)*$B$21))*$B$53+(-38),999)</f>
        <v>-11.2307692307692</v>
      </c>
      <c r="S244" s="35">
        <f>IF(AND($B$22&gt;0),(IF(60&lt;$B$22,(-(($B$18-1)/2*$B$17)),IF(MOD($B$22-1,2)=0,(($B$18-1)/2*$B$17),(-(($B$18-1)/2*$B$17)))))*$B$53+(0),999)</f>
        <v>26.7692307692308</v>
      </c>
      <c r="T244" s="35">
        <f>IF(AND($B$30&gt;0,$B$29&gt;0),(IF(60&lt;$B$30,(-(($B$31-1)/2*$B$29)),IF(MOD($B$30-1,2)=0,(($B$31-1)/2*$B$29),(-(($B$31-1)/2*$B$29)))))*$B$53+(-38),999)</f>
        <v>999</v>
      </c>
      <c r="U244" s="35">
        <f>IF(AND($B$30&gt;0,$B$29&gt;0),(IF(60&lt;$B$30,(60-($B$30-1)/2)*$B$29,(($B$30-1)-($B$30-1)/2)*$B$29))*$B$53+(0),999)</f>
        <v>999</v>
      </c>
      <c r="V244" s="35">
        <f>IF(AND($B$31&gt;0,$B$29&gt;0),(IF(60&lt;$B$31,(60-($B$31-1)/2)*$B$29,(($B$31-1)-($B$31-1)/2)*$B$29))*$B$53+(-38),999)</f>
        <v>999</v>
      </c>
      <c r="W244" s="35">
        <f>IF(AND($B$31&gt;0,$B$29&gt;0),(IF(60&lt;$B$31,(-(($B$30-1)/2*$B$29)),IF(MOD($B$31-1,2)=0,(($B$30-1)/2*$B$29),(-(($B$30-1)/2*$B$29)))))*$B$53+(0),999)</f>
        <v>999</v>
      </c>
    </row>
    <row r="245" spans="16:23" x14ac:dyDescent="0.3">
      <c r="P245" s="35">
        <f>IF(AND($B$18&gt;0),(IF(60&lt;$B$18,(-$B$4/2+$B$13),IF(MOD($B$18-1,2)=0,(($B$22-1)/2*$B$21),(-(($B$22-1)/2*$B$21)))))*$B$53+(-38),999)</f>
        <v>-11.2307692307692</v>
      </c>
      <c r="Q245" s="35">
        <f>IF(AND($B$18&gt;0),(IF(60&lt;$B$18,(60-($B$18-1)/2)*$B$17,(($B$18-1)-($B$18-1)/2)*$B$17))*$B$53+(0),999)</f>
        <v>26.7692307692308</v>
      </c>
      <c r="R245" s="35">
        <f>IF(AND($B$22&gt;0),(IF(60&lt;$B$22,(60-($B$22-1)/2)*$B$21,(($B$22-1)-($B$22-1)/2)*$B$21))*$B$53+(-38),999)</f>
        <v>-11.2307692307692</v>
      </c>
      <c r="S245" s="35">
        <f>IF(AND($B$22&gt;0),(IF(60&lt;$B$22,(-$B$5/2+IF($B$3=3,0,$B$13)),IF(MOD($B$22-1,2)=0,(($B$18-1)/2*$B$17),(-(($B$18-1)/2*$B$17)))))*$B$53+(0),999)</f>
        <v>26.7692307692308</v>
      </c>
      <c r="T245" s="35">
        <f>IF(AND($B$30&gt;0,$B$29&gt;0),(IF(60&lt;$B$30,(-$B$4/2+$B$13),IF(MOD($B$30-1,2)=0,(($B$31-1)/2*$B$29),(-(($B$31-1)/2*$B$29)))))*$B$53+(-38),999)</f>
        <v>999</v>
      </c>
      <c r="U245" s="35">
        <f>IF(AND($B$30&gt;0,$B$29&gt;0),(IF(60&lt;$B$30,(60-($B$30-1)/2)*$B$29,(($B$30-1)-($B$30-1)/2)*$B$29))*$B$53+(0),999)</f>
        <v>999</v>
      </c>
      <c r="V245" s="35">
        <f>IF(AND($B$31&gt;0,$B$29&gt;0),(IF(60&lt;$B$31,(60-($B$31-1)/2)*$B$29,(($B$31-1)-($B$31-1)/2)*$B$29))*$B$53+(-38),999)</f>
        <v>999</v>
      </c>
      <c r="W245" s="35">
        <f>IF(AND($B$31&gt;0,$B$29&gt;0),(IF(60&lt;$B$31,(-$B$5/2+$B$13),IF(MOD($B$31-1,2)=0,(($B$30-1)/2*$B$29),(-(($B$30-1)/2*$B$29)))))*$B$53+(0),999)</f>
        <v>999</v>
      </c>
    </row>
    <row r="246" spans="16:23" x14ac:dyDescent="0.3">
      <c r="P246" s="35">
        <f>IF(AND($B$18&gt;0),(IF(60&lt;$B$18,($B$4/2-$B$13),IF(MOD($B$18-1,2)=0,(($B$22-1)/2*$B$21),(-(($B$22-1)/2*$B$21)))))*$B$53+(-38),999)</f>
        <v>-11.2307692307692</v>
      </c>
      <c r="Q246" s="35">
        <f>IF(AND($B$18&gt;0),(IF(60&lt;$B$18,(60-($B$18-1)/2)*$B$17,(($B$18-1)-($B$18-1)/2)*$B$17))*$B$53+(0),999)</f>
        <v>26.7692307692308</v>
      </c>
      <c r="R246" s="35">
        <f>IF(AND($B$22&gt;0),(IF(60&lt;$B$22,(60-($B$22-1)/2)*$B$21,(($B$22-1)-($B$22-1)/2)*$B$21))*$B$53+(-38),999)</f>
        <v>-11.2307692307692</v>
      </c>
      <c r="S246" s="35">
        <f>IF(AND($B$22&gt;0),(IF(60&lt;$B$22,($B$5/2-IF($B$3=3,0,$B$13)),IF(MOD($B$22-1,2)=0,(($B$18-1)/2*$B$17),(-(($B$18-1)/2*$B$17)))))*$B$53+(0),999)</f>
        <v>26.7692307692308</v>
      </c>
      <c r="T246" s="35">
        <f>IF(AND($B$30&gt;0,$B$29&gt;0),(IF(60&lt;$B$30,($B$4/2-$B$13),IF(MOD($B$30-1,2)=0,(($B$31-1)/2*$B$29),(-(($B$31-1)/2*$B$29)))))*$B$53+(-38),999)</f>
        <v>999</v>
      </c>
      <c r="U246" s="35">
        <f>IF(AND($B$30&gt;0,$B$29&gt;0),(IF(60&lt;$B$30,(60-($B$30-1)/2)*$B$29,(($B$30-1)-($B$30-1)/2)*$B$29))*$B$53+(0),999)</f>
        <v>999</v>
      </c>
      <c r="V246" s="35">
        <f>IF(AND($B$31&gt;0,$B$29&gt;0),(IF(60&lt;$B$31,(60-($B$31-1)/2)*$B$29,(($B$31-1)-($B$31-1)/2)*$B$29))*$B$53+(-38),999)</f>
        <v>999</v>
      </c>
      <c r="W246" s="35">
        <f>IF(AND($B$31&gt;0,$B$29&gt;0),(IF(60&lt;$B$31,($B$5/2-$B$13),IF(MOD($B$31-1,2)=0,(($B$30-1)/2*$B$29),(-(($B$30-1)/2*$B$29)))))*$B$53+(0),999)</f>
        <v>999</v>
      </c>
    </row>
    <row r="247" spans="16:23" x14ac:dyDescent="0.3">
      <c r="P247" s="35">
        <f>IF(AND($B$18&gt;0),(IF(60&lt;$B$18,(($B$22-1)/2*$B$21),IF(MOD($B$18-1,2)=0,(($B$22-1)/2*$B$21),(-(($B$22-1)/2*$B$21)))))*$B$53+(-38),999)</f>
        <v>-11.2307692307692</v>
      </c>
      <c r="Q247" s="35">
        <f>IF(AND($B$18&gt;0),(IF(60&lt;$B$18,(60-($B$18-1)/2)*$B$17,(($B$18-1)-($B$18-1)/2)*$B$17))*$B$53+(0),999)</f>
        <v>26.7692307692308</v>
      </c>
      <c r="R247" s="35">
        <f>IF(AND($B$22&gt;0),(IF(60&lt;$B$22,(60-($B$22-1)/2)*$B$21,(($B$22-1)-($B$22-1)/2)*$B$21))*$B$53+(-38),999)</f>
        <v>-11.2307692307692</v>
      </c>
      <c r="S247" s="35">
        <f>IF(AND($B$22&gt;0),(IF(60&lt;$B$22,(($B$18-1)/2*$B$17),IF(MOD($B$22-1,2)=0,(($B$18-1)/2*$B$17),(-(($B$18-1)/2*$B$17)))))*$B$53+(0),999)</f>
        <v>26.7692307692308</v>
      </c>
      <c r="T247" s="35">
        <f>IF(AND($B$30&gt;0,$B$29&gt;0),(IF(60&lt;$B$30,(($B$31-1)/2*$B$29),IF(MOD($B$30-1,2)=0,(($B$31-1)/2*$B$29),(-(($B$31-1)/2*$B$29)))))*$B$53+(-38),999)</f>
        <v>999</v>
      </c>
      <c r="U247" s="35">
        <f>IF(AND($B$30&gt;0,$B$29&gt;0),(IF(60&lt;$B$30,(60-($B$30-1)/2)*$B$29,(($B$30-1)-($B$30-1)/2)*$B$29))*$B$53+(0),999)</f>
        <v>999</v>
      </c>
      <c r="V247" s="35">
        <f>IF(AND($B$31&gt;0,$B$29&gt;0),(IF(60&lt;$B$31,(60-($B$31-1)/2)*$B$29,(($B$31-1)-($B$31-1)/2)*$B$29))*$B$53+(-38),999)</f>
        <v>999</v>
      </c>
      <c r="W247" s="35">
        <f>IF(AND($B$31&gt;0,$B$29&gt;0),(IF(60&lt;$B$31,(($B$30-1)/2*$B$29),IF(MOD($B$31-1,2)=0,(($B$30-1)/2*$B$29),(-(($B$30-1)/2*$B$29)))))*$B$53+(0),999)</f>
        <v>999</v>
      </c>
    </row>
    <row r="248" spans="16:23" x14ac:dyDescent="0.3">
      <c r="P248" s="35">
        <f>IF(AND($B$18&gt;0),(IF(61&lt;$B$18,(($B$22-1)/2*$B$21),IF(MOD($B$18-1,2)=0,(($B$22-1)/2*$B$21),(-(($B$22-1)/2*$B$21)))))*$B$53+(-38),999)</f>
        <v>-11.2307692307692</v>
      </c>
      <c r="Q248" s="35">
        <f>IF(AND($B$18&gt;0),(IF(61&lt;$B$18,(61-($B$18-1)/2)*$B$17,(($B$18-1)-($B$18-1)/2)*$B$17))*$B$53+(0),999)</f>
        <v>26.7692307692308</v>
      </c>
      <c r="R248" s="35">
        <f>IF(AND($B$22&gt;0),(IF(61&lt;$B$22,(61-($B$22-1)/2)*$B$21,(($B$22-1)-($B$22-1)/2)*$B$21))*$B$53+(-38),999)</f>
        <v>-11.2307692307692</v>
      </c>
      <c r="S248" s="35">
        <f>IF(AND($B$22&gt;0),(IF(61&lt;$B$22,(($B$18-1)/2*$B$17),IF(MOD($B$22-1,2)=0,(($B$18-1)/2*$B$17),(-(($B$18-1)/2*$B$17)))))*$B$53+(0),999)</f>
        <v>26.7692307692308</v>
      </c>
      <c r="T248" s="35">
        <f>IF(AND($B$30&gt;0,$B$29&gt;0),(IF(61&lt;$B$30,(($B$31-1)/2*$B$29),IF(MOD($B$30-1,2)=0,(($B$31-1)/2*$B$29),(-(($B$31-1)/2*$B$29)))))*$B$53+(-38),999)</f>
        <v>999</v>
      </c>
      <c r="U248" s="35">
        <f>IF(AND($B$30&gt;0,$B$29&gt;0),(IF(61&lt;$B$30,(61-($B$30-1)/2)*$B$29,(($B$30-1)-($B$30-1)/2)*$B$29))*$B$53+(0),999)</f>
        <v>999</v>
      </c>
      <c r="V248" s="35">
        <f>IF(AND($B$31&gt;0,$B$29&gt;0),(IF(61&lt;$B$31,(61-($B$31-1)/2)*$B$29,(($B$31-1)-($B$31-1)/2)*$B$29))*$B$53+(-38),999)</f>
        <v>999</v>
      </c>
      <c r="W248" s="35">
        <f>IF(AND($B$31&gt;0,$B$29&gt;0),(IF(61&lt;$B$31,(($B$30-1)/2*$B$29),IF(MOD($B$31-1,2)=0,(($B$30-1)/2*$B$29),(-(($B$30-1)/2*$B$29)))))*$B$53+(0),999)</f>
        <v>999</v>
      </c>
    </row>
    <row r="249" spans="16:23" x14ac:dyDescent="0.3">
      <c r="P249" s="35">
        <f>IF(AND($B$18&gt;0),(IF(61&lt;$B$18,($B$4/2-$B$13),IF(MOD($B$18-1,2)=0,(($B$22-1)/2*$B$21),(-(($B$22-1)/2*$B$21)))))*$B$53+(-38),999)</f>
        <v>-11.2307692307692</v>
      </c>
      <c r="Q249" s="35">
        <f>IF(AND($B$18&gt;0),(IF(61&lt;$B$18,(61-($B$18-1)/2)*$B$17,(($B$18-1)-($B$18-1)/2)*$B$17))*$B$53+(0),999)</f>
        <v>26.7692307692308</v>
      </c>
      <c r="R249" s="35">
        <f>IF(AND($B$22&gt;0),(IF(61&lt;$B$22,(61-($B$22-1)/2)*$B$21,(($B$22-1)-($B$22-1)/2)*$B$21))*$B$53+(-38),999)</f>
        <v>-11.2307692307692</v>
      </c>
      <c r="S249" s="35">
        <f>IF(AND($B$22&gt;0),(IF(61&lt;$B$22,($B$5/2-IF($B$3=3,0,$B$13)),IF(MOD($B$22-1,2)=0,(($B$18-1)/2*$B$17),(-(($B$18-1)/2*$B$17)))))*$B$53+(0),999)</f>
        <v>26.7692307692308</v>
      </c>
      <c r="T249" s="35">
        <f>IF(AND($B$30&gt;0,$B$29&gt;0),(IF(61&lt;$B$30,($B$4/2-$B$13),IF(MOD($B$30-1,2)=0,(($B$31-1)/2*$B$29),(-(($B$31-1)/2*$B$29)))))*$B$53+(-38),999)</f>
        <v>999</v>
      </c>
      <c r="U249" s="35">
        <f>IF(AND($B$30&gt;0,$B$29&gt;0),(IF(61&lt;$B$30,(61-($B$30-1)/2)*$B$29,(($B$30-1)-($B$30-1)/2)*$B$29))*$B$53+(0),999)</f>
        <v>999</v>
      </c>
      <c r="V249" s="35">
        <f>IF(AND($B$31&gt;0,$B$29&gt;0),(IF(61&lt;$B$31,(61-($B$31-1)/2)*$B$29,(($B$31-1)-($B$31-1)/2)*$B$29))*$B$53+(-38),999)</f>
        <v>999</v>
      </c>
      <c r="W249" s="35">
        <f>IF(AND($B$31&gt;0,$B$29&gt;0),(IF(61&lt;$B$31,($B$5/2-$B$13),IF(MOD($B$31-1,2)=0,(($B$30-1)/2*$B$29),(-(($B$30-1)/2*$B$29)))))*$B$53+(0),999)</f>
        <v>999</v>
      </c>
    </row>
    <row r="250" spans="16:23" x14ac:dyDescent="0.3">
      <c r="P250" s="35">
        <f>IF(AND($B$18&gt;0),(IF(61&lt;$B$18,(-$B$4/2+$B$13),IF(MOD($B$18-1,2)=0,(($B$22-1)/2*$B$21),(-(($B$22-1)/2*$B$21)))))*$B$53+(-38),999)</f>
        <v>-11.2307692307692</v>
      </c>
      <c r="Q250" s="35">
        <f>IF(AND($B$18&gt;0),(IF(61&lt;$B$18,(61-($B$18-1)/2)*$B$17,(($B$18-1)-($B$18-1)/2)*$B$17))*$B$53+(0),999)</f>
        <v>26.7692307692308</v>
      </c>
      <c r="R250" s="35">
        <f>IF(AND($B$22&gt;0),(IF(61&lt;$B$22,(61-($B$22-1)/2)*$B$21,(($B$22-1)-($B$22-1)/2)*$B$21))*$B$53+(-38),999)</f>
        <v>-11.2307692307692</v>
      </c>
      <c r="S250" s="35">
        <f>IF(AND($B$22&gt;0),(IF(61&lt;$B$22,(-$B$5/2+IF($B$3=3,0,$B$13)),IF(MOD($B$22-1,2)=0,(($B$18-1)/2*$B$17),(-(($B$18-1)/2*$B$17)))))*$B$53+(0),999)</f>
        <v>26.7692307692308</v>
      </c>
      <c r="T250" s="35">
        <f>IF(AND($B$30&gt;0,$B$29&gt;0),(IF(61&lt;$B$30,(-$B$4/2+$B$13),IF(MOD($B$30-1,2)=0,(($B$31-1)/2*$B$29),(-(($B$31-1)/2*$B$29)))))*$B$53+(-38),999)</f>
        <v>999</v>
      </c>
      <c r="U250" s="35">
        <f>IF(AND($B$30&gt;0,$B$29&gt;0),(IF(61&lt;$B$30,(61-($B$30-1)/2)*$B$29,(($B$30-1)-($B$30-1)/2)*$B$29))*$B$53+(0),999)</f>
        <v>999</v>
      </c>
      <c r="V250" s="35">
        <f>IF(AND($B$31&gt;0,$B$29&gt;0),(IF(61&lt;$B$31,(61-($B$31-1)/2)*$B$29,(($B$31-1)-($B$31-1)/2)*$B$29))*$B$53+(-38),999)</f>
        <v>999</v>
      </c>
      <c r="W250" s="35">
        <f>IF(AND($B$31&gt;0,$B$29&gt;0),(IF(61&lt;$B$31,(-$B$5/2+$B$13),IF(MOD($B$31-1,2)=0,(($B$30-1)/2*$B$29),(-(($B$30-1)/2*$B$29)))))*$B$53+(0),999)</f>
        <v>999</v>
      </c>
    </row>
    <row r="251" spans="16:23" x14ac:dyDescent="0.3">
      <c r="P251" s="35">
        <f>IF(AND($B$18&gt;0),(IF(61&lt;$B$18,(-(($B$22-1)/2*$B$21)),IF(MOD($B$18-1,2)=0,(($B$22-1)/2*$B$21),(-(($B$22-1)/2*$B$21)))))*$B$53+(-38),999)</f>
        <v>-11.2307692307692</v>
      </c>
      <c r="Q251" s="35">
        <f>IF(AND($B$18&gt;0),(IF(61&lt;$B$18,(61-($B$18-1)/2)*$B$17,(($B$18-1)-($B$18-1)/2)*$B$17))*$B$53+(0),999)</f>
        <v>26.7692307692308</v>
      </c>
      <c r="R251" s="35">
        <f>IF(AND($B$22&gt;0),(IF(61&lt;$B$22,(61-($B$22-1)/2)*$B$21,(($B$22-1)-($B$22-1)/2)*$B$21))*$B$53+(-38),999)</f>
        <v>-11.2307692307692</v>
      </c>
      <c r="S251" s="35">
        <f>IF(AND($B$22&gt;0),(IF(61&lt;$B$22,(-(($B$18-1)/2*$B$17)),IF(MOD($B$22-1,2)=0,(($B$18-1)/2*$B$17),(-(($B$18-1)/2*$B$17)))))*$B$53+(0),999)</f>
        <v>26.7692307692308</v>
      </c>
      <c r="T251" s="35">
        <f>IF(AND($B$30&gt;0,$B$29&gt;0),(IF(61&lt;$B$30,(-(($B$31-1)/2*$B$29)),IF(MOD($B$30-1,2)=0,(($B$31-1)/2*$B$29),(-(($B$31-1)/2*$B$29)))))*$B$53+(-38),999)</f>
        <v>999</v>
      </c>
      <c r="U251" s="35">
        <f>IF(AND($B$30&gt;0,$B$29&gt;0),(IF(61&lt;$B$30,(61-($B$30-1)/2)*$B$29,(($B$30-1)-($B$30-1)/2)*$B$29))*$B$53+(0),999)</f>
        <v>999</v>
      </c>
      <c r="V251" s="35">
        <f>IF(AND($B$31&gt;0,$B$29&gt;0),(IF(61&lt;$B$31,(61-($B$31-1)/2)*$B$29,(($B$31-1)-($B$31-1)/2)*$B$29))*$B$53+(-38),999)</f>
        <v>999</v>
      </c>
      <c r="W251" s="35">
        <f>IF(AND($B$31&gt;0,$B$29&gt;0),(IF(61&lt;$B$31,(-(($B$30-1)/2*$B$29)),IF(MOD($B$31-1,2)=0,(($B$30-1)/2*$B$29),(-(($B$30-1)/2*$B$29)))))*$B$53+(0),999)</f>
        <v>999</v>
      </c>
    </row>
    <row r="252" spans="16:23" x14ac:dyDescent="0.3">
      <c r="P252" s="35">
        <f>IF(AND($B$18&gt;0),(IF(62&lt;$B$18,(-(($B$22-1)/2*$B$21)),IF(MOD($B$18-1,2)=0,(($B$22-1)/2*$B$21),(-(($B$22-1)/2*$B$21)))))*$B$53+(-38),999)</f>
        <v>-11.2307692307692</v>
      </c>
      <c r="Q252" s="35">
        <f>IF(AND($B$18&gt;0),(IF(62&lt;$B$18,(62-($B$18-1)/2)*$B$17,(($B$18-1)-($B$18-1)/2)*$B$17))*$B$53+(0),999)</f>
        <v>26.7692307692308</v>
      </c>
      <c r="R252" s="35">
        <f>IF(AND($B$22&gt;0),(IF(62&lt;$B$22,(62-($B$22-1)/2)*$B$21,(($B$22-1)-($B$22-1)/2)*$B$21))*$B$53+(-38),999)</f>
        <v>-11.2307692307692</v>
      </c>
      <c r="S252" s="35">
        <f>IF(AND($B$22&gt;0),(IF(62&lt;$B$22,(-(($B$18-1)/2*$B$17)),IF(MOD($B$22-1,2)=0,(($B$18-1)/2*$B$17),(-(($B$18-1)/2*$B$17)))))*$B$53+(0),999)</f>
        <v>26.7692307692308</v>
      </c>
      <c r="T252" s="35">
        <f>IF(AND($B$30&gt;0,$B$29&gt;0),(IF(62&lt;$B$30,(-(($B$31-1)/2*$B$29)),IF(MOD($B$30-1,2)=0,(($B$31-1)/2*$B$29),(-(($B$31-1)/2*$B$29)))))*$B$53+(-38),999)</f>
        <v>999</v>
      </c>
      <c r="U252" s="35">
        <f>IF(AND($B$30&gt;0,$B$29&gt;0),(IF(62&lt;$B$30,(62-($B$30-1)/2)*$B$29,(($B$30-1)-($B$30-1)/2)*$B$29))*$B$53+(0),999)</f>
        <v>999</v>
      </c>
      <c r="V252" s="35">
        <f>IF(AND($B$31&gt;0,$B$29&gt;0),(IF(62&lt;$B$31,(62-($B$31-1)/2)*$B$29,(($B$31-1)-($B$31-1)/2)*$B$29))*$B$53+(-38),999)</f>
        <v>999</v>
      </c>
      <c r="W252" s="35">
        <f>IF(AND($B$31&gt;0,$B$29&gt;0),(IF(62&lt;$B$31,(-(($B$30-1)/2*$B$29)),IF(MOD($B$31-1,2)=0,(($B$30-1)/2*$B$29),(-(($B$30-1)/2*$B$29)))))*$B$53+(0),999)</f>
        <v>999</v>
      </c>
    </row>
    <row r="253" spans="16:23" x14ac:dyDescent="0.3">
      <c r="P253" s="35">
        <f>IF(AND($B$18&gt;0),(IF(62&lt;$B$18,(-$B$4/2+$B$13),IF(MOD($B$18-1,2)=0,(($B$22-1)/2*$B$21),(-(($B$22-1)/2*$B$21)))))*$B$53+(-38),999)</f>
        <v>-11.2307692307692</v>
      </c>
      <c r="Q253" s="35">
        <f>IF(AND($B$18&gt;0),(IF(62&lt;$B$18,(62-($B$18-1)/2)*$B$17,(($B$18-1)-($B$18-1)/2)*$B$17))*$B$53+(0),999)</f>
        <v>26.7692307692308</v>
      </c>
      <c r="R253" s="35">
        <f>IF(AND($B$22&gt;0),(IF(62&lt;$B$22,(62-($B$22-1)/2)*$B$21,(($B$22-1)-($B$22-1)/2)*$B$21))*$B$53+(-38),999)</f>
        <v>-11.2307692307692</v>
      </c>
      <c r="S253" s="35">
        <f>IF(AND($B$22&gt;0),(IF(62&lt;$B$22,(-$B$5/2+IF($B$3=3,0,$B$13)),IF(MOD($B$22-1,2)=0,(($B$18-1)/2*$B$17),(-(($B$18-1)/2*$B$17)))))*$B$53+(0),999)</f>
        <v>26.7692307692308</v>
      </c>
      <c r="T253" s="35">
        <f>IF(AND($B$30&gt;0,$B$29&gt;0),(IF(62&lt;$B$30,(-$B$4/2+$B$13),IF(MOD($B$30-1,2)=0,(($B$31-1)/2*$B$29),(-(($B$31-1)/2*$B$29)))))*$B$53+(-38),999)</f>
        <v>999</v>
      </c>
      <c r="U253" s="35">
        <f>IF(AND($B$30&gt;0,$B$29&gt;0),(IF(62&lt;$B$30,(62-($B$30-1)/2)*$B$29,(($B$30-1)-($B$30-1)/2)*$B$29))*$B$53+(0),999)</f>
        <v>999</v>
      </c>
      <c r="V253" s="35">
        <f>IF(AND($B$31&gt;0,$B$29&gt;0),(IF(62&lt;$B$31,(62-($B$31-1)/2)*$B$29,(($B$31-1)-($B$31-1)/2)*$B$29))*$B$53+(-38),999)</f>
        <v>999</v>
      </c>
      <c r="W253" s="35">
        <f>IF(AND($B$31&gt;0,$B$29&gt;0),(IF(62&lt;$B$31,(-$B$5/2+$B$13),IF(MOD($B$31-1,2)=0,(($B$30-1)/2*$B$29),(-(($B$30-1)/2*$B$29)))))*$B$53+(0),999)</f>
        <v>999</v>
      </c>
    </row>
    <row r="254" spans="16:23" x14ac:dyDescent="0.3">
      <c r="P254" s="35">
        <f>IF(AND($B$18&gt;0),(IF(62&lt;$B$18,($B$4/2-$B$13),IF(MOD($B$18-1,2)=0,(($B$22-1)/2*$B$21),(-(($B$22-1)/2*$B$21)))))*$B$53+(-38),999)</f>
        <v>-11.2307692307692</v>
      </c>
      <c r="Q254" s="35">
        <f>IF(AND($B$18&gt;0),(IF(62&lt;$B$18,(62-($B$18-1)/2)*$B$17,(($B$18-1)-($B$18-1)/2)*$B$17))*$B$53+(0),999)</f>
        <v>26.7692307692308</v>
      </c>
      <c r="R254" s="35">
        <f>IF(AND($B$22&gt;0),(IF(62&lt;$B$22,(62-($B$22-1)/2)*$B$21,(($B$22-1)-($B$22-1)/2)*$B$21))*$B$53+(-38),999)</f>
        <v>-11.2307692307692</v>
      </c>
      <c r="S254" s="35">
        <f>IF(AND($B$22&gt;0),(IF(62&lt;$B$22,($B$5/2-IF($B$3=3,0,$B$13)),IF(MOD($B$22-1,2)=0,(($B$18-1)/2*$B$17),(-(($B$18-1)/2*$B$17)))))*$B$53+(0),999)</f>
        <v>26.7692307692308</v>
      </c>
      <c r="T254" s="35">
        <f>IF(AND($B$30&gt;0,$B$29&gt;0),(IF(62&lt;$B$30,($B$4/2-$B$13),IF(MOD($B$30-1,2)=0,(($B$31-1)/2*$B$29),(-(($B$31-1)/2*$B$29)))))*$B$53+(-38),999)</f>
        <v>999</v>
      </c>
      <c r="U254" s="35">
        <f>IF(AND($B$30&gt;0,$B$29&gt;0),(IF(62&lt;$B$30,(62-($B$30-1)/2)*$B$29,(($B$30-1)-($B$30-1)/2)*$B$29))*$B$53+(0),999)</f>
        <v>999</v>
      </c>
      <c r="V254" s="35">
        <f>IF(AND($B$31&gt;0,$B$29&gt;0),(IF(62&lt;$B$31,(62-($B$31-1)/2)*$B$29,(($B$31-1)-($B$31-1)/2)*$B$29))*$B$53+(-38),999)</f>
        <v>999</v>
      </c>
      <c r="W254" s="35">
        <f>IF(AND($B$31&gt;0,$B$29&gt;0),(IF(62&lt;$B$31,($B$5/2-$B$13),IF(MOD($B$31-1,2)=0,(($B$30-1)/2*$B$29),(-(($B$30-1)/2*$B$29)))))*$B$53+(0),999)</f>
        <v>999</v>
      </c>
    </row>
    <row r="255" spans="16:23" x14ac:dyDescent="0.3">
      <c r="P255" s="35">
        <f>IF(AND($B$18&gt;0),(IF(62&lt;$B$18,(($B$22-1)/2*$B$21),IF(MOD($B$18-1,2)=0,(($B$22-1)/2*$B$21),(-(($B$22-1)/2*$B$21)))))*$B$53+(-38),999)</f>
        <v>-11.2307692307692</v>
      </c>
      <c r="Q255" s="35">
        <f>IF(AND($B$18&gt;0),(IF(62&lt;$B$18,(62-($B$18-1)/2)*$B$17,(($B$18-1)-($B$18-1)/2)*$B$17))*$B$53+(0),999)</f>
        <v>26.7692307692308</v>
      </c>
      <c r="R255" s="35">
        <f>IF(AND($B$22&gt;0),(IF(62&lt;$B$22,(62-($B$22-1)/2)*$B$21,(($B$22-1)-($B$22-1)/2)*$B$21))*$B$53+(-38),999)</f>
        <v>-11.2307692307692</v>
      </c>
      <c r="S255" s="35">
        <f>IF(AND($B$22&gt;0),(IF(62&lt;$B$22,(($B$18-1)/2*$B$17),IF(MOD($B$22-1,2)=0,(($B$18-1)/2*$B$17),(-(($B$18-1)/2*$B$17)))))*$B$53+(0),999)</f>
        <v>26.7692307692308</v>
      </c>
      <c r="T255" s="35">
        <f>IF(AND($B$30&gt;0,$B$29&gt;0),(IF(62&lt;$B$30,(($B$31-1)/2*$B$29),IF(MOD($B$30-1,2)=0,(($B$31-1)/2*$B$29),(-(($B$31-1)/2*$B$29)))))*$B$53+(-38),999)</f>
        <v>999</v>
      </c>
      <c r="U255" s="35">
        <f>IF(AND($B$30&gt;0,$B$29&gt;0),(IF(62&lt;$B$30,(62-($B$30-1)/2)*$B$29,(($B$30-1)-($B$30-1)/2)*$B$29))*$B$53+(0),999)</f>
        <v>999</v>
      </c>
      <c r="V255" s="35">
        <f>IF(AND($B$31&gt;0,$B$29&gt;0),(IF(62&lt;$B$31,(62-($B$31-1)/2)*$B$29,(($B$31-1)-($B$31-1)/2)*$B$29))*$B$53+(-38),999)</f>
        <v>999</v>
      </c>
      <c r="W255" s="35">
        <f>IF(AND($B$31&gt;0,$B$29&gt;0),(IF(62&lt;$B$31,(($B$30-1)/2*$B$29),IF(MOD($B$31-1,2)=0,(($B$30-1)/2*$B$29),(-(($B$30-1)/2*$B$29)))))*$B$53+(0),999)</f>
        <v>999</v>
      </c>
    </row>
    <row r="256" spans="16:23" x14ac:dyDescent="0.3">
      <c r="P256" s="35">
        <f>IF(AND($B$18&gt;0),(IF(63&lt;$B$18,(($B$22-1)/2*$B$21),IF(MOD($B$18-1,2)=0,(($B$22-1)/2*$B$21),(-(($B$22-1)/2*$B$21)))))*$B$53+(-38),999)</f>
        <v>-11.2307692307692</v>
      </c>
      <c r="Q256" s="35">
        <f>IF(AND($B$18&gt;0),(IF(63&lt;$B$18,(63-($B$18-1)/2)*$B$17,(($B$18-1)-($B$18-1)/2)*$B$17))*$B$53+(0),999)</f>
        <v>26.7692307692308</v>
      </c>
      <c r="R256" s="35">
        <f>IF(AND($B$22&gt;0),(IF(63&lt;$B$22,(63-($B$22-1)/2)*$B$21,(($B$22-1)-($B$22-1)/2)*$B$21))*$B$53+(-38),999)</f>
        <v>-11.2307692307692</v>
      </c>
      <c r="S256" s="35">
        <f>IF(AND($B$22&gt;0),(IF(63&lt;$B$22,(($B$18-1)/2*$B$17),IF(MOD($B$22-1,2)=0,(($B$18-1)/2*$B$17),(-(($B$18-1)/2*$B$17)))))*$B$53+(0),999)</f>
        <v>26.7692307692308</v>
      </c>
      <c r="T256" s="35">
        <f>IF(AND($B$30&gt;0,$B$29&gt;0),(IF(63&lt;$B$30,(($B$31-1)/2*$B$29),IF(MOD($B$30-1,2)=0,(($B$31-1)/2*$B$29),(-(($B$31-1)/2*$B$29)))))*$B$53+(-38),999)</f>
        <v>999</v>
      </c>
      <c r="U256" s="35">
        <f>IF(AND($B$30&gt;0,$B$29&gt;0),(IF(63&lt;$B$30,(63-($B$30-1)/2)*$B$29,(($B$30-1)-($B$30-1)/2)*$B$29))*$B$53+(0),999)</f>
        <v>999</v>
      </c>
      <c r="V256" s="35">
        <f>IF(AND($B$31&gt;0,$B$29&gt;0),(IF(63&lt;$B$31,(63-($B$31-1)/2)*$B$29,(($B$31-1)-($B$31-1)/2)*$B$29))*$B$53+(-38),999)</f>
        <v>999</v>
      </c>
      <c r="W256" s="35">
        <f>IF(AND($B$31&gt;0,$B$29&gt;0),(IF(63&lt;$B$31,(($B$30-1)/2*$B$29),IF(MOD($B$31-1,2)=0,(($B$30-1)/2*$B$29),(-(($B$30-1)/2*$B$29)))))*$B$53+(0),999)</f>
        <v>999</v>
      </c>
    </row>
    <row r="257" spans="16:23" x14ac:dyDescent="0.3">
      <c r="P257" s="35">
        <f>IF(AND($B$18&gt;0),(IF(63&lt;$B$18,($B$4/2-$B$13),IF(MOD($B$18-1,2)=0,(($B$22-1)/2*$B$21),(-(($B$22-1)/2*$B$21)))))*$B$53+(-38),999)</f>
        <v>-11.2307692307692</v>
      </c>
      <c r="Q257" s="35">
        <f>IF(AND($B$18&gt;0),(IF(63&lt;$B$18,(63-($B$18-1)/2)*$B$17,(($B$18-1)-($B$18-1)/2)*$B$17))*$B$53+(0),999)</f>
        <v>26.7692307692308</v>
      </c>
      <c r="R257" s="35">
        <f>IF(AND($B$22&gt;0),(IF(63&lt;$B$22,(63-($B$22-1)/2)*$B$21,(($B$22-1)-($B$22-1)/2)*$B$21))*$B$53+(-38),999)</f>
        <v>-11.2307692307692</v>
      </c>
      <c r="S257" s="35">
        <f>IF(AND($B$22&gt;0),(IF(63&lt;$B$22,($B$5/2-IF($B$3=3,0,$B$13)),IF(MOD($B$22-1,2)=0,(($B$18-1)/2*$B$17),(-(($B$18-1)/2*$B$17)))))*$B$53+(0),999)</f>
        <v>26.7692307692308</v>
      </c>
      <c r="T257" s="35">
        <f>IF(AND($B$30&gt;0,$B$29&gt;0),(IF(63&lt;$B$30,($B$4/2-$B$13),IF(MOD($B$30-1,2)=0,(($B$31-1)/2*$B$29),(-(($B$31-1)/2*$B$29)))))*$B$53+(-38),999)</f>
        <v>999</v>
      </c>
      <c r="U257" s="35">
        <f>IF(AND($B$30&gt;0,$B$29&gt;0),(IF(63&lt;$B$30,(63-($B$30-1)/2)*$B$29,(($B$30-1)-($B$30-1)/2)*$B$29))*$B$53+(0),999)</f>
        <v>999</v>
      </c>
      <c r="V257" s="35">
        <f>IF(AND($B$31&gt;0,$B$29&gt;0),(IF(63&lt;$B$31,(63-($B$31-1)/2)*$B$29,(($B$31-1)-($B$31-1)/2)*$B$29))*$B$53+(-38),999)</f>
        <v>999</v>
      </c>
      <c r="W257" s="35">
        <f>IF(AND($B$31&gt;0,$B$29&gt;0),(IF(63&lt;$B$31,($B$5/2-$B$13),IF(MOD($B$31-1,2)=0,(($B$30-1)/2*$B$29),(-(($B$30-1)/2*$B$29)))))*$B$53+(0),999)</f>
        <v>999</v>
      </c>
    </row>
    <row r="258" spans="16:23" x14ac:dyDescent="0.3">
      <c r="P258" s="35">
        <f>IF(AND($B$18&gt;0),(IF(63&lt;$B$18,(-$B$4/2+$B$13),IF(MOD($B$18-1,2)=0,(($B$22-1)/2*$B$21),(-(($B$22-1)/2*$B$21)))))*$B$53+(-38),999)</f>
        <v>-11.2307692307692</v>
      </c>
      <c r="Q258" s="35">
        <f>IF(AND($B$18&gt;0),(IF(63&lt;$B$18,(63-($B$18-1)/2)*$B$17,(($B$18-1)-($B$18-1)/2)*$B$17))*$B$53+(0),999)</f>
        <v>26.7692307692308</v>
      </c>
      <c r="R258" s="35">
        <f>IF(AND($B$22&gt;0),(IF(63&lt;$B$22,(63-($B$22-1)/2)*$B$21,(($B$22-1)-($B$22-1)/2)*$B$21))*$B$53+(-38),999)</f>
        <v>-11.2307692307692</v>
      </c>
      <c r="S258" s="35">
        <f>IF(AND($B$22&gt;0),(IF(63&lt;$B$22,(-$B$5/2+IF($B$3=3,0,$B$13)),IF(MOD($B$22-1,2)=0,(($B$18-1)/2*$B$17),(-(($B$18-1)/2*$B$17)))))*$B$53+(0),999)</f>
        <v>26.7692307692308</v>
      </c>
      <c r="T258" s="35">
        <f>IF(AND($B$30&gt;0,$B$29&gt;0),(IF(63&lt;$B$30,(-$B$4/2+$B$13),IF(MOD($B$30-1,2)=0,(($B$31-1)/2*$B$29),(-(($B$31-1)/2*$B$29)))))*$B$53+(-38),999)</f>
        <v>999</v>
      </c>
      <c r="U258" s="35">
        <f>IF(AND($B$30&gt;0,$B$29&gt;0),(IF(63&lt;$B$30,(63-($B$30-1)/2)*$B$29,(($B$30-1)-($B$30-1)/2)*$B$29))*$B$53+(0),999)</f>
        <v>999</v>
      </c>
      <c r="V258" s="35">
        <f>IF(AND($B$31&gt;0,$B$29&gt;0),(IF(63&lt;$B$31,(63-($B$31-1)/2)*$B$29,(($B$31-1)-($B$31-1)/2)*$B$29))*$B$53+(-38),999)</f>
        <v>999</v>
      </c>
      <c r="W258" s="35">
        <f>IF(AND($B$31&gt;0,$B$29&gt;0),(IF(63&lt;$B$31,(-$B$5/2+$B$13),IF(MOD($B$31-1,2)=0,(($B$30-1)/2*$B$29),(-(($B$30-1)/2*$B$29)))))*$B$53+(0),999)</f>
        <v>999</v>
      </c>
    </row>
    <row r="259" spans="16:23" x14ac:dyDescent="0.3">
      <c r="P259" s="35">
        <f>IF(AND($B$18&gt;0),(IF(63&lt;$B$18,(-(($B$22-1)/2*$B$21)),IF(MOD($B$18-1,2)=0,(($B$22-1)/2*$B$21),(-(($B$22-1)/2*$B$21)))))*$B$53+(-38),999)</f>
        <v>-11.2307692307692</v>
      </c>
      <c r="Q259" s="35">
        <f>IF(AND($B$18&gt;0),(IF(63&lt;$B$18,(63-($B$18-1)/2)*$B$17,(($B$18-1)-($B$18-1)/2)*$B$17))*$B$53+(0),999)</f>
        <v>26.7692307692308</v>
      </c>
      <c r="R259" s="35">
        <f>IF(AND($B$22&gt;0),(IF(63&lt;$B$22,(63-($B$22-1)/2)*$B$21,(($B$22-1)-($B$22-1)/2)*$B$21))*$B$53+(-38),999)</f>
        <v>-11.2307692307692</v>
      </c>
      <c r="S259" s="35">
        <f>IF(AND($B$22&gt;0),(IF(63&lt;$B$22,(-(($B$18-1)/2*$B$17)),IF(MOD($B$22-1,2)=0,(($B$18-1)/2*$B$17),(-(($B$18-1)/2*$B$17)))))*$B$53+(0),999)</f>
        <v>26.7692307692308</v>
      </c>
      <c r="T259" s="35">
        <f>IF(AND($B$30&gt;0,$B$29&gt;0),(IF(63&lt;$B$30,(-(($B$31-1)/2*$B$29)),IF(MOD($B$30-1,2)=0,(($B$31-1)/2*$B$29),(-(($B$31-1)/2*$B$29)))))*$B$53+(-38),999)</f>
        <v>999</v>
      </c>
      <c r="U259" s="35">
        <f>IF(AND($B$30&gt;0,$B$29&gt;0),(IF(63&lt;$B$30,(63-($B$30-1)/2)*$B$29,(($B$30-1)-($B$30-1)/2)*$B$29))*$B$53+(0),999)</f>
        <v>999</v>
      </c>
      <c r="V259" s="35">
        <f>IF(AND($B$31&gt;0,$B$29&gt;0),(IF(63&lt;$B$31,(63-($B$31-1)/2)*$B$29,(($B$31-1)-($B$31-1)/2)*$B$29))*$B$53+(-38),999)</f>
        <v>999</v>
      </c>
      <c r="W259" s="35">
        <f>IF(AND($B$31&gt;0,$B$29&gt;0),(IF(63&lt;$B$31,(-(($B$30-1)/2*$B$29)),IF(MOD($B$31-1,2)=0,(($B$30-1)/2*$B$29),(-(($B$30-1)/2*$B$29)))))*$B$53+(0),999)</f>
        <v>999</v>
      </c>
    </row>
    <row r="260" spans="16:23" x14ac:dyDescent="0.3">
      <c r="P260" s="35">
        <f>IF(AND($B$18&gt;0),(IF(64&lt;$B$18,(-(($B$22-1)/2*$B$21)),IF(MOD($B$18-1,2)=0,(($B$22-1)/2*$B$21),(-(($B$22-1)/2*$B$21)))))*$B$53+(-38),999)</f>
        <v>-11.2307692307692</v>
      </c>
      <c r="Q260" s="35">
        <f>IF(AND($B$18&gt;0),(IF(64&lt;$B$18,(64-($B$18-1)/2)*$B$17,(($B$18-1)-($B$18-1)/2)*$B$17))*$B$53+(0),999)</f>
        <v>26.7692307692308</v>
      </c>
      <c r="R260" s="35">
        <f>IF(AND($B$22&gt;0),(IF(64&lt;$B$22,(64-($B$22-1)/2)*$B$21,(($B$22-1)-($B$22-1)/2)*$B$21))*$B$53+(-38),999)</f>
        <v>-11.2307692307692</v>
      </c>
      <c r="S260" s="35">
        <f>IF(AND($B$22&gt;0),(IF(64&lt;$B$22,(-(($B$18-1)/2*$B$17)),IF(MOD($B$22-1,2)=0,(($B$18-1)/2*$B$17),(-(($B$18-1)/2*$B$17)))))*$B$53+(0),999)</f>
        <v>26.7692307692308</v>
      </c>
      <c r="T260" s="35">
        <f>IF(AND($B$30&gt;0,$B$29&gt;0),(IF(64&lt;$B$30,(-(($B$31-1)/2*$B$29)),IF(MOD($B$30-1,2)=0,(($B$31-1)/2*$B$29),(-(($B$31-1)/2*$B$29)))))*$B$53+(-38),999)</f>
        <v>999</v>
      </c>
      <c r="U260" s="35">
        <f>IF(AND($B$30&gt;0,$B$29&gt;0),(IF(64&lt;$B$30,(64-($B$30-1)/2)*$B$29,(($B$30-1)-($B$30-1)/2)*$B$29))*$B$53+(0),999)</f>
        <v>999</v>
      </c>
      <c r="V260" s="35">
        <f>IF(AND($B$31&gt;0,$B$29&gt;0),(IF(64&lt;$B$31,(64-($B$31-1)/2)*$B$29,(($B$31-1)-($B$31-1)/2)*$B$29))*$B$53+(-38),999)</f>
        <v>999</v>
      </c>
      <c r="W260" s="35">
        <f>IF(AND($B$31&gt;0,$B$29&gt;0),(IF(64&lt;$B$31,(-(($B$30-1)/2*$B$29)),IF(MOD($B$31-1,2)=0,(($B$30-1)/2*$B$29),(-(($B$30-1)/2*$B$29)))))*$B$53+(0),999)</f>
        <v>999</v>
      </c>
    </row>
    <row r="261" spans="16:23" x14ac:dyDescent="0.3">
      <c r="P261" s="35">
        <f>IF(AND($B$18&gt;0),(IF(64&lt;$B$18,(-$B$4/2+$B$13),IF(MOD($B$18-1,2)=0,(($B$22-1)/2*$B$21),(-(($B$22-1)/2*$B$21)))))*$B$53+(-38),999)</f>
        <v>-11.2307692307692</v>
      </c>
      <c r="Q261" s="35">
        <f>IF(AND($B$18&gt;0),(IF(64&lt;$B$18,(64-($B$18-1)/2)*$B$17,(($B$18-1)-($B$18-1)/2)*$B$17))*$B$53+(0),999)</f>
        <v>26.7692307692308</v>
      </c>
      <c r="R261" s="35">
        <f>IF(AND($B$22&gt;0),(IF(64&lt;$B$22,(64-($B$22-1)/2)*$B$21,(($B$22-1)-($B$22-1)/2)*$B$21))*$B$53+(-38),999)</f>
        <v>-11.2307692307692</v>
      </c>
      <c r="S261" s="35">
        <f>IF(AND($B$22&gt;0),(IF(64&lt;$B$22,(-$B$5/2+IF($B$3=3,0,$B$13)),IF(MOD($B$22-1,2)=0,(($B$18-1)/2*$B$17),(-(($B$18-1)/2*$B$17)))))*$B$53+(0),999)</f>
        <v>26.7692307692308</v>
      </c>
      <c r="T261" s="35">
        <f>IF(AND($B$30&gt;0,$B$29&gt;0),(IF(64&lt;$B$30,(-$B$4/2+$B$13),IF(MOD($B$30-1,2)=0,(($B$31-1)/2*$B$29),(-(($B$31-1)/2*$B$29)))))*$B$53+(-38),999)</f>
        <v>999</v>
      </c>
      <c r="U261" s="35">
        <f>IF(AND($B$30&gt;0,$B$29&gt;0),(IF(64&lt;$B$30,(64-($B$30-1)/2)*$B$29,(($B$30-1)-($B$30-1)/2)*$B$29))*$B$53+(0),999)</f>
        <v>999</v>
      </c>
      <c r="V261" s="35">
        <f>IF(AND($B$31&gt;0,$B$29&gt;0),(IF(64&lt;$B$31,(64-($B$31-1)/2)*$B$29,(($B$31-1)-($B$31-1)/2)*$B$29))*$B$53+(-38),999)</f>
        <v>999</v>
      </c>
      <c r="W261" s="35">
        <f>IF(AND($B$31&gt;0,$B$29&gt;0),(IF(64&lt;$B$31,(-$B$5/2+$B$13),IF(MOD($B$31-1,2)=0,(($B$30-1)/2*$B$29),(-(($B$30-1)/2*$B$29)))))*$B$53+(0),999)</f>
        <v>999</v>
      </c>
    </row>
    <row r="262" spans="16:23" x14ac:dyDescent="0.3">
      <c r="P262" s="35">
        <f>IF(AND($B$18&gt;0),(IF(64&lt;$B$18,($B$4/2-$B$13),IF(MOD($B$18-1,2)=0,(($B$22-1)/2*$B$21),(-(($B$22-1)/2*$B$21)))))*$B$53+(-38),999)</f>
        <v>-11.2307692307692</v>
      </c>
      <c r="Q262" s="35">
        <f>IF(AND($B$18&gt;0),(IF(64&lt;$B$18,(64-($B$18-1)/2)*$B$17,(($B$18-1)-($B$18-1)/2)*$B$17))*$B$53+(0),999)</f>
        <v>26.7692307692308</v>
      </c>
      <c r="R262" s="35">
        <f>IF(AND($B$22&gt;0),(IF(64&lt;$B$22,(64-($B$22-1)/2)*$B$21,(($B$22-1)-($B$22-1)/2)*$B$21))*$B$53+(-38),999)</f>
        <v>-11.2307692307692</v>
      </c>
      <c r="S262" s="35">
        <f>IF(AND($B$22&gt;0),(IF(64&lt;$B$22,($B$5/2-IF($B$3=3,0,$B$13)),IF(MOD($B$22-1,2)=0,(($B$18-1)/2*$B$17),(-(($B$18-1)/2*$B$17)))))*$B$53+(0),999)</f>
        <v>26.7692307692308</v>
      </c>
      <c r="T262" s="35">
        <f>IF(AND($B$30&gt;0,$B$29&gt;0),(IF(64&lt;$B$30,($B$4/2-$B$13),IF(MOD($B$30-1,2)=0,(($B$31-1)/2*$B$29),(-(($B$31-1)/2*$B$29)))))*$B$53+(-38),999)</f>
        <v>999</v>
      </c>
      <c r="U262" s="35">
        <f>IF(AND($B$30&gt;0,$B$29&gt;0),(IF(64&lt;$B$30,(64-($B$30-1)/2)*$B$29,(($B$30-1)-($B$30-1)/2)*$B$29))*$B$53+(0),999)</f>
        <v>999</v>
      </c>
      <c r="V262" s="35">
        <f>IF(AND($B$31&gt;0,$B$29&gt;0),(IF(64&lt;$B$31,(64-($B$31-1)/2)*$B$29,(($B$31-1)-($B$31-1)/2)*$B$29))*$B$53+(-38),999)</f>
        <v>999</v>
      </c>
      <c r="W262" s="35">
        <f>IF(AND($B$31&gt;0,$B$29&gt;0),(IF(64&lt;$B$31,($B$5/2-$B$13),IF(MOD($B$31-1,2)=0,(($B$30-1)/2*$B$29),(-(($B$30-1)/2*$B$29)))))*$B$53+(0),999)</f>
        <v>999</v>
      </c>
    </row>
    <row r="263" spans="16:23" x14ac:dyDescent="0.3">
      <c r="P263" s="35">
        <f>IF(AND($B$18&gt;0),(IF(64&lt;$B$18,(($B$22-1)/2*$B$21),IF(MOD($B$18-1,2)=0,(($B$22-1)/2*$B$21),(-(($B$22-1)/2*$B$21)))))*$B$53+(-38),999)</f>
        <v>-11.2307692307692</v>
      </c>
      <c r="Q263" s="35">
        <f>IF(AND($B$18&gt;0),(IF(64&lt;$B$18,(64-($B$18-1)/2)*$B$17,(($B$18-1)-($B$18-1)/2)*$B$17))*$B$53+(0),999)</f>
        <v>26.7692307692308</v>
      </c>
      <c r="R263" s="35">
        <f>IF(AND($B$22&gt;0),(IF(64&lt;$B$22,(64-($B$22-1)/2)*$B$21,(($B$22-1)-($B$22-1)/2)*$B$21))*$B$53+(-38),999)</f>
        <v>-11.2307692307692</v>
      </c>
      <c r="S263" s="35">
        <f>IF(AND($B$22&gt;0),(IF(64&lt;$B$22,(($B$18-1)/2*$B$17),IF(MOD($B$22-1,2)=0,(($B$18-1)/2*$B$17),(-(($B$18-1)/2*$B$17)))))*$B$53+(0),999)</f>
        <v>26.7692307692308</v>
      </c>
      <c r="T263" s="35">
        <f>IF(AND($B$30&gt;0,$B$29&gt;0),(IF(64&lt;$B$30,(($B$31-1)/2*$B$29),IF(MOD($B$30-1,2)=0,(($B$31-1)/2*$B$29),(-(($B$31-1)/2*$B$29)))))*$B$53+(-38),999)</f>
        <v>999</v>
      </c>
      <c r="U263" s="35">
        <f>IF(AND($B$30&gt;0,$B$29&gt;0),(IF(64&lt;$B$30,(64-($B$30-1)/2)*$B$29,(($B$30-1)-($B$30-1)/2)*$B$29))*$B$53+(0),999)</f>
        <v>999</v>
      </c>
      <c r="V263" s="35">
        <f>IF(AND($B$31&gt;0,$B$29&gt;0),(IF(64&lt;$B$31,(64-($B$31-1)/2)*$B$29,(($B$31-1)-($B$31-1)/2)*$B$29))*$B$53+(-38),999)</f>
        <v>999</v>
      </c>
      <c r="W263" s="35">
        <f>IF(AND($B$31&gt;0,$B$29&gt;0),(IF(64&lt;$B$31,(($B$30-1)/2*$B$29),IF(MOD($B$31-1,2)=0,(($B$30-1)/2*$B$29),(-(($B$30-1)/2*$B$29)))))*$B$53+(0),999)</f>
        <v>999</v>
      </c>
    </row>
    <row r="264" spans="16:23" x14ac:dyDescent="0.3">
      <c r="P264" s="35">
        <f>IF(AND($B$18&gt;0),(IF(65&lt;$B$18,(($B$22-1)/2*$B$21),IF(MOD($B$18-1,2)=0,(($B$22-1)/2*$B$21),(-(($B$22-1)/2*$B$21)))))*$B$53+(-38),999)</f>
        <v>-11.2307692307692</v>
      </c>
      <c r="Q264" s="35">
        <f>IF(AND($B$18&gt;0),(IF(65&lt;$B$18,(65-($B$18-1)/2)*$B$17,(($B$18-1)-($B$18-1)/2)*$B$17))*$B$53+(0),999)</f>
        <v>26.7692307692308</v>
      </c>
      <c r="R264" s="35">
        <f>IF(AND($B$22&gt;0),(IF(65&lt;$B$22,(65-($B$22-1)/2)*$B$21,(($B$22-1)-($B$22-1)/2)*$B$21))*$B$53+(-38),999)</f>
        <v>-11.2307692307692</v>
      </c>
      <c r="S264" s="35">
        <f>IF(AND($B$22&gt;0),(IF(65&lt;$B$22,(($B$18-1)/2*$B$17),IF(MOD($B$22-1,2)=0,(($B$18-1)/2*$B$17),(-(($B$18-1)/2*$B$17)))))*$B$53+(0),999)</f>
        <v>26.7692307692308</v>
      </c>
      <c r="T264" s="35">
        <f>IF(AND($B$30&gt;0,$B$29&gt;0),(IF(65&lt;$B$30,(($B$31-1)/2*$B$29),IF(MOD($B$30-1,2)=0,(($B$31-1)/2*$B$29),(-(($B$31-1)/2*$B$29)))))*$B$53+(-38),999)</f>
        <v>999</v>
      </c>
      <c r="U264" s="35">
        <f>IF(AND($B$30&gt;0,$B$29&gt;0),(IF(65&lt;$B$30,(65-($B$30-1)/2)*$B$29,(($B$30-1)-($B$30-1)/2)*$B$29))*$B$53+(0),999)</f>
        <v>999</v>
      </c>
      <c r="V264" s="35">
        <f>IF(AND($B$31&gt;0,$B$29&gt;0),(IF(65&lt;$B$31,(65-($B$31-1)/2)*$B$29,(($B$31-1)-($B$31-1)/2)*$B$29))*$B$53+(-38),999)</f>
        <v>999</v>
      </c>
      <c r="W264" s="35">
        <f>IF(AND($B$31&gt;0,$B$29&gt;0),(IF(65&lt;$B$31,(($B$30-1)/2*$B$29),IF(MOD($B$31-1,2)=0,(($B$30-1)/2*$B$29),(-(($B$30-1)/2*$B$29)))))*$B$53+(0),999)</f>
        <v>999</v>
      </c>
    </row>
    <row r="265" spans="16:23" x14ac:dyDescent="0.3">
      <c r="P265" s="35">
        <f>IF(AND($B$18&gt;0),(IF(65&lt;$B$18,($B$4/2-$B$13),IF(MOD($B$18-1,2)=0,(($B$22-1)/2*$B$21),(-(($B$22-1)/2*$B$21)))))*$B$53+(-38),999)</f>
        <v>-11.2307692307692</v>
      </c>
      <c r="Q265" s="35">
        <f>IF(AND($B$18&gt;0),(IF(65&lt;$B$18,(65-($B$18-1)/2)*$B$17,(($B$18-1)-($B$18-1)/2)*$B$17))*$B$53+(0),999)</f>
        <v>26.7692307692308</v>
      </c>
      <c r="R265" s="35">
        <f>IF(AND($B$22&gt;0),(IF(65&lt;$B$22,(65-($B$22-1)/2)*$B$21,(($B$22-1)-($B$22-1)/2)*$B$21))*$B$53+(-38),999)</f>
        <v>-11.2307692307692</v>
      </c>
      <c r="S265" s="35">
        <f>IF(AND($B$22&gt;0),(IF(65&lt;$B$22,($B$5/2-IF($B$3=3,0,$B$13)),IF(MOD($B$22-1,2)=0,(($B$18-1)/2*$B$17),(-(($B$18-1)/2*$B$17)))))*$B$53+(0),999)</f>
        <v>26.7692307692308</v>
      </c>
      <c r="T265" s="35">
        <f>IF(AND($B$30&gt;0,$B$29&gt;0),(IF(65&lt;$B$30,($B$4/2-$B$13),IF(MOD($B$30-1,2)=0,(($B$31-1)/2*$B$29),(-(($B$31-1)/2*$B$29)))))*$B$53+(-38),999)</f>
        <v>999</v>
      </c>
      <c r="U265" s="35">
        <f>IF(AND($B$30&gt;0,$B$29&gt;0),(IF(65&lt;$B$30,(65-($B$30-1)/2)*$B$29,(($B$30-1)-($B$30-1)/2)*$B$29))*$B$53+(0),999)</f>
        <v>999</v>
      </c>
      <c r="V265" s="35">
        <f>IF(AND($B$31&gt;0,$B$29&gt;0),(IF(65&lt;$B$31,(65-($B$31-1)/2)*$B$29,(($B$31-1)-($B$31-1)/2)*$B$29))*$B$53+(-38),999)</f>
        <v>999</v>
      </c>
      <c r="W265" s="35">
        <f>IF(AND($B$31&gt;0,$B$29&gt;0),(IF(65&lt;$B$31,($B$5/2-$B$13),IF(MOD($B$31-1,2)=0,(($B$30-1)/2*$B$29),(-(($B$30-1)/2*$B$29)))))*$B$53+(0),999)</f>
        <v>999</v>
      </c>
    </row>
    <row r="266" spans="16:23" x14ac:dyDescent="0.3">
      <c r="P266" s="35">
        <f>IF(AND($B$18&gt;0),(IF(65&lt;$B$18,(-$B$4/2+$B$13),IF(MOD($B$18-1,2)=0,(($B$22-1)/2*$B$21),(-(($B$22-1)/2*$B$21)))))*$B$53+(-38),999)</f>
        <v>-11.2307692307692</v>
      </c>
      <c r="Q266" s="35">
        <f>IF(AND($B$18&gt;0),(IF(65&lt;$B$18,(65-($B$18-1)/2)*$B$17,(($B$18-1)-($B$18-1)/2)*$B$17))*$B$53+(0),999)</f>
        <v>26.7692307692308</v>
      </c>
      <c r="R266" s="35">
        <f>IF(AND($B$22&gt;0),(IF(65&lt;$B$22,(65-($B$22-1)/2)*$B$21,(($B$22-1)-($B$22-1)/2)*$B$21))*$B$53+(-38),999)</f>
        <v>-11.2307692307692</v>
      </c>
      <c r="S266" s="35">
        <f>IF(AND($B$22&gt;0),(IF(65&lt;$B$22,(-$B$5/2+IF($B$3=3,0,$B$13)),IF(MOD($B$22-1,2)=0,(($B$18-1)/2*$B$17),(-(($B$18-1)/2*$B$17)))))*$B$53+(0),999)</f>
        <v>26.7692307692308</v>
      </c>
      <c r="T266" s="35">
        <f>IF(AND($B$30&gt;0,$B$29&gt;0),(IF(65&lt;$B$30,(-$B$4/2+$B$13),IF(MOD($B$30-1,2)=0,(($B$31-1)/2*$B$29),(-(($B$31-1)/2*$B$29)))))*$B$53+(-38),999)</f>
        <v>999</v>
      </c>
      <c r="U266" s="35">
        <f>IF(AND($B$30&gt;0,$B$29&gt;0),(IF(65&lt;$B$30,(65-($B$30-1)/2)*$B$29,(($B$30-1)-($B$30-1)/2)*$B$29))*$B$53+(0),999)</f>
        <v>999</v>
      </c>
      <c r="V266" s="35">
        <f>IF(AND($B$31&gt;0,$B$29&gt;0),(IF(65&lt;$B$31,(65-($B$31-1)/2)*$B$29,(($B$31-1)-($B$31-1)/2)*$B$29))*$B$53+(-38),999)</f>
        <v>999</v>
      </c>
      <c r="W266" s="35">
        <f>IF(AND($B$31&gt;0,$B$29&gt;0),(IF(65&lt;$B$31,(-$B$5/2+$B$13),IF(MOD($B$31-1,2)=0,(($B$30-1)/2*$B$29),(-(($B$30-1)/2*$B$29)))))*$B$53+(0),999)</f>
        <v>999</v>
      </c>
    </row>
    <row r="267" spans="16:23" x14ac:dyDescent="0.3">
      <c r="P267" s="35">
        <f>IF(AND($B$18&gt;0),(IF(65&lt;$B$18,(-(($B$22-1)/2*$B$21)),IF(MOD($B$18-1,2)=0,(($B$22-1)/2*$B$21),(-(($B$22-1)/2*$B$21)))))*$B$53+(-38),999)</f>
        <v>-11.2307692307692</v>
      </c>
      <c r="Q267" s="35">
        <f>IF(AND($B$18&gt;0),(IF(65&lt;$B$18,(65-($B$18-1)/2)*$B$17,(($B$18-1)-($B$18-1)/2)*$B$17))*$B$53+(0),999)</f>
        <v>26.7692307692308</v>
      </c>
      <c r="R267" s="35">
        <f>IF(AND($B$22&gt;0),(IF(65&lt;$B$22,(65-($B$22-1)/2)*$B$21,(($B$22-1)-($B$22-1)/2)*$B$21))*$B$53+(-38),999)</f>
        <v>-11.2307692307692</v>
      </c>
      <c r="S267" s="35">
        <f>IF(AND($B$22&gt;0),(IF(65&lt;$B$22,(-(($B$18-1)/2*$B$17)),IF(MOD($B$22-1,2)=0,(($B$18-1)/2*$B$17),(-(($B$18-1)/2*$B$17)))))*$B$53+(0),999)</f>
        <v>26.7692307692308</v>
      </c>
      <c r="T267" s="35">
        <f>IF(AND($B$30&gt;0,$B$29&gt;0),(IF(65&lt;$B$30,(-(($B$31-1)/2*$B$29)),IF(MOD($B$30-1,2)=0,(($B$31-1)/2*$B$29),(-(($B$31-1)/2*$B$29)))))*$B$53+(-38),999)</f>
        <v>999</v>
      </c>
      <c r="U267" s="35">
        <f>IF(AND($B$30&gt;0,$B$29&gt;0),(IF(65&lt;$B$30,(65-($B$30-1)/2)*$B$29,(($B$30-1)-($B$30-1)/2)*$B$29))*$B$53+(0),999)</f>
        <v>999</v>
      </c>
      <c r="V267" s="35">
        <f>IF(AND($B$31&gt;0,$B$29&gt;0),(IF(65&lt;$B$31,(65-($B$31-1)/2)*$B$29,(($B$31-1)-($B$31-1)/2)*$B$29))*$B$53+(-38),999)</f>
        <v>999</v>
      </c>
      <c r="W267" s="35">
        <f>IF(AND($B$31&gt;0,$B$29&gt;0),(IF(65&lt;$B$31,(-(($B$30-1)/2*$B$29)),IF(MOD($B$31-1,2)=0,(($B$30-1)/2*$B$29),(-(($B$30-1)/2*$B$29)))))*$B$53+(0),999)</f>
        <v>999</v>
      </c>
    </row>
    <row r="268" spans="16:23" x14ac:dyDescent="0.3">
      <c r="P268" s="35">
        <f>IF(AND($B$18&gt;0),(IF(66&lt;$B$18,(-(($B$22-1)/2*$B$21)),IF(MOD($B$18-1,2)=0,(($B$22-1)/2*$B$21),(-(($B$22-1)/2*$B$21)))))*$B$53+(-38),999)</f>
        <v>-11.2307692307692</v>
      </c>
      <c r="Q268" s="35">
        <f>IF(AND($B$18&gt;0),(IF(66&lt;$B$18,(66-($B$18-1)/2)*$B$17,(($B$18-1)-($B$18-1)/2)*$B$17))*$B$53+(0),999)</f>
        <v>26.7692307692308</v>
      </c>
      <c r="R268" s="35">
        <f>IF(AND($B$22&gt;0),(IF(66&lt;$B$22,(66-($B$22-1)/2)*$B$21,(($B$22-1)-($B$22-1)/2)*$B$21))*$B$53+(-38),999)</f>
        <v>-11.2307692307692</v>
      </c>
      <c r="S268" s="35">
        <f>IF(AND($B$22&gt;0),(IF(66&lt;$B$22,(-(($B$18-1)/2*$B$17)),IF(MOD($B$22-1,2)=0,(($B$18-1)/2*$B$17),(-(($B$18-1)/2*$B$17)))))*$B$53+(0),999)</f>
        <v>26.7692307692308</v>
      </c>
      <c r="T268" s="35">
        <f>IF(AND($B$30&gt;0,$B$29&gt;0),(IF(66&lt;$B$30,(-(($B$31-1)/2*$B$29)),IF(MOD($B$30-1,2)=0,(($B$31-1)/2*$B$29),(-(($B$31-1)/2*$B$29)))))*$B$53+(-38),999)</f>
        <v>999</v>
      </c>
      <c r="U268" s="35">
        <f>IF(AND($B$30&gt;0,$B$29&gt;0),(IF(66&lt;$B$30,(66-($B$30-1)/2)*$B$29,(($B$30-1)-($B$30-1)/2)*$B$29))*$B$53+(0),999)</f>
        <v>999</v>
      </c>
      <c r="V268" s="35">
        <f>IF(AND($B$31&gt;0,$B$29&gt;0),(IF(66&lt;$B$31,(66-($B$31-1)/2)*$B$29,(($B$31-1)-($B$31-1)/2)*$B$29))*$B$53+(-38),999)</f>
        <v>999</v>
      </c>
      <c r="W268" s="35">
        <f>IF(AND($B$31&gt;0,$B$29&gt;0),(IF(66&lt;$B$31,(-(($B$30-1)/2*$B$29)),IF(MOD($B$31-1,2)=0,(($B$30-1)/2*$B$29),(-(($B$30-1)/2*$B$29)))))*$B$53+(0),999)</f>
        <v>999</v>
      </c>
    </row>
    <row r="269" spans="16:23" x14ac:dyDescent="0.3">
      <c r="P269" s="35">
        <f>IF(AND($B$18&gt;0),(IF(66&lt;$B$18,(-$B$4/2+$B$13),IF(MOD($B$18-1,2)=0,(($B$22-1)/2*$B$21),(-(($B$22-1)/2*$B$21)))))*$B$53+(-38),999)</f>
        <v>-11.2307692307692</v>
      </c>
      <c r="Q269" s="35">
        <f>IF(AND($B$18&gt;0),(IF(66&lt;$B$18,(66-($B$18-1)/2)*$B$17,(($B$18-1)-($B$18-1)/2)*$B$17))*$B$53+(0),999)</f>
        <v>26.7692307692308</v>
      </c>
      <c r="R269" s="35">
        <f>IF(AND($B$22&gt;0),(IF(66&lt;$B$22,(66-($B$22-1)/2)*$B$21,(($B$22-1)-($B$22-1)/2)*$B$21))*$B$53+(-38),999)</f>
        <v>-11.2307692307692</v>
      </c>
      <c r="S269" s="35">
        <f>IF(AND($B$22&gt;0),(IF(66&lt;$B$22,(-$B$5/2+IF($B$3=3,0,$B$13)),IF(MOD($B$22-1,2)=0,(($B$18-1)/2*$B$17),(-(($B$18-1)/2*$B$17)))))*$B$53+(0),999)</f>
        <v>26.7692307692308</v>
      </c>
      <c r="T269" s="35">
        <f>IF(AND($B$30&gt;0,$B$29&gt;0),(IF(66&lt;$B$30,(-$B$4/2+$B$13),IF(MOD($B$30-1,2)=0,(($B$31-1)/2*$B$29),(-(($B$31-1)/2*$B$29)))))*$B$53+(-38),999)</f>
        <v>999</v>
      </c>
      <c r="U269" s="35">
        <f>IF(AND($B$30&gt;0,$B$29&gt;0),(IF(66&lt;$B$30,(66-($B$30-1)/2)*$B$29,(($B$30-1)-($B$30-1)/2)*$B$29))*$B$53+(0),999)</f>
        <v>999</v>
      </c>
      <c r="V269" s="35">
        <f>IF(AND($B$31&gt;0,$B$29&gt;0),(IF(66&lt;$B$31,(66-($B$31-1)/2)*$B$29,(($B$31-1)-($B$31-1)/2)*$B$29))*$B$53+(-38),999)</f>
        <v>999</v>
      </c>
      <c r="W269" s="35">
        <f>IF(AND($B$31&gt;0,$B$29&gt;0),(IF(66&lt;$B$31,(-$B$5/2+$B$13),IF(MOD($B$31-1,2)=0,(($B$30-1)/2*$B$29),(-(($B$30-1)/2*$B$29)))))*$B$53+(0),999)</f>
        <v>999</v>
      </c>
    </row>
    <row r="270" spans="16:23" x14ac:dyDescent="0.3">
      <c r="P270" s="35">
        <f>IF(AND($B$18&gt;0),(IF(66&lt;$B$18,($B$4/2-$B$13),IF(MOD($B$18-1,2)=0,(($B$22-1)/2*$B$21),(-(($B$22-1)/2*$B$21)))))*$B$53+(-38),999)</f>
        <v>-11.2307692307692</v>
      </c>
      <c r="Q270" s="35">
        <f>IF(AND($B$18&gt;0),(IF(66&lt;$B$18,(66-($B$18-1)/2)*$B$17,(($B$18-1)-($B$18-1)/2)*$B$17))*$B$53+(0),999)</f>
        <v>26.7692307692308</v>
      </c>
      <c r="R270" s="35">
        <f>IF(AND($B$22&gt;0),(IF(66&lt;$B$22,(66-($B$22-1)/2)*$B$21,(($B$22-1)-($B$22-1)/2)*$B$21))*$B$53+(-38),999)</f>
        <v>-11.2307692307692</v>
      </c>
      <c r="S270" s="35">
        <f>IF(AND($B$22&gt;0),(IF(66&lt;$B$22,($B$5/2-IF($B$3=3,0,$B$13)),IF(MOD($B$22-1,2)=0,(($B$18-1)/2*$B$17),(-(($B$18-1)/2*$B$17)))))*$B$53+(0),999)</f>
        <v>26.7692307692308</v>
      </c>
      <c r="T270" s="35">
        <f>IF(AND($B$30&gt;0,$B$29&gt;0),(IF(66&lt;$B$30,($B$4/2-$B$13),IF(MOD($B$30-1,2)=0,(($B$31-1)/2*$B$29),(-(($B$31-1)/2*$B$29)))))*$B$53+(-38),999)</f>
        <v>999</v>
      </c>
      <c r="U270" s="35">
        <f>IF(AND($B$30&gt;0,$B$29&gt;0),(IF(66&lt;$B$30,(66-($B$30-1)/2)*$B$29,(($B$30-1)-($B$30-1)/2)*$B$29))*$B$53+(0),999)</f>
        <v>999</v>
      </c>
      <c r="V270" s="35">
        <f>IF(AND($B$31&gt;0,$B$29&gt;0),(IF(66&lt;$B$31,(66-($B$31-1)/2)*$B$29,(($B$31-1)-($B$31-1)/2)*$B$29))*$B$53+(-38),999)</f>
        <v>999</v>
      </c>
      <c r="W270" s="35">
        <f>IF(AND($B$31&gt;0,$B$29&gt;0),(IF(66&lt;$B$31,($B$5/2-$B$13),IF(MOD($B$31-1,2)=0,(($B$30-1)/2*$B$29),(-(($B$30-1)/2*$B$29)))))*$B$53+(0),999)</f>
        <v>999</v>
      </c>
    </row>
    <row r="271" spans="16:23" x14ac:dyDescent="0.3">
      <c r="P271" s="35">
        <f>IF(AND($B$18&gt;0),(IF(66&lt;$B$18,(($B$22-1)/2*$B$21),IF(MOD($B$18-1,2)=0,(($B$22-1)/2*$B$21),(-(($B$22-1)/2*$B$21)))))*$B$53+(-38),999)</f>
        <v>-11.2307692307692</v>
      </c>
      <c r="Q271" s="35">
        <f>IF(AND($B$18&gt;0),(IF(66&lt;$B$18,(66-($B$18-1)/2)*$B$17,(($B$18-1)-($B$18-1)/2)*$B$17))*$B$53+(0),999)</f>
        <v>26.7692307692308</v>
      </c>
      <c r="R271" s="35">
        <f>IF(AND($B$22&gt;0),(IF(66&lt;$B$22,(66-($B$22-1)/2)*$B$21,(($B$22-1)-($B$22-1)/2)*$B$21))*$B$53+(-38),999)</f>
        <v>-11.2307692307692</v>
      </c>
      <c r="S271" s="35">
        <f>IF(AND($B$22&gt;0),(IF(66&lt;$B$22,(($B$18-1)/2*$B$17),IF(MOD($B$22-1,2)=0,(($B$18-1)/2*$B$17),(-(($B$18-1)/2*$B$17)))))*$B$53+(0),999)</f>
        <v>26.7692307692308</v>
      </c>
      <c r="T271" s="35">
        <f>IF(AND($B$30&gt;0,$B$29&gt;0),(IF(66&lt;$B$30,(($B$31-1)/2*$B$29),IF(MOD($B$30-1,2)=0,(($B$31-1)/2*$B$29),(-(($B$31-1)/2*$B$29)))))*$B$53+(-38),999)</f>
        <v>999</v>
      </c>
      <c r="U271" s="35">
        <f>IF(AND($B$30&gt;0,$B$29&gt;0),(IF(66&lt;$B$30,(66-($B$30-1)/2)*$B$29,(($B$30-1)-($B$30-1)/2)*$B$29))*$B$53+(0),999)</f>
        <v>999</v>
      </c>
      <c r="V271" s="35">
        <f>IF(AND($B$31&gt;0,$B$29&gt;0),(IF(66&lt;$B$31,(66-($B$31-1)/2)*$B$29,(($B$31-1)-($B$31-1)/2)*$B$29))*$B$53+(-38),999)</f>
        <v>999</v>
      </c>
      <c r="W271" s="35">
        <f>IF(AND($B$31&gt;0,$B$29&gt;0),(IF(66&lt;$B$31,(($B$30-1)/2*$B$29),IF(MOD($B$31-1,2)=0,(($B$30-1)/2*$B$29),(-(($B$30-1)/2*$B$29)))))*$B$53+(0),999)</f>
        <v>999</v>
      </c>
    </row>
    <row r="272" spans="16:23" x14ac:dyDescent="0.3">
      <c r="P272" s="35">
        <f>IF(AND($B$18&gt;0),(IF(67&lt;$B$18,(($B$22-1)/2*$B$21),IF(MOD($B$18-1,2)=0,(($B$22-1)/2*$B$21),(-(($B$22-1)/2*$B$21)))))*$B$53+(-38),999)</f>
        <v>-11.2307692307692</v>
      </c>
      <c r="Q272" s="35">
        <f>IF(AND($B$18&gt;0),(IF(67&lt;$B$18,(67-($B$18-1)/2)*$B$17,(($B$18-1)-($B$18-1)/2)*$B$17))*$B$53+(0),999)</f>
        <v>26.7692307692308</v>
      </c>
      <c r="R272" s="35">
        <f>IF(AND($B$22&gt;0),(IF(67&lt;$B$22,(67-($B$22-1)/2)*$B$21,(($B$22-1)-($B$22-1)/2)*$B$21))*$B$53+(-38),999)</f>
        <v>-11.2307692307692</v>
      </c>
      <c r="S272" s="35">
        <f>IF(AND($B$22&gt;0),(IF(67&lt;$B$22,(($B$18-1)/2*$B$17),IF(MOD($B$22-1,2)=0,(($B$18-1)/2*$B$17),(-(($B$18-1)/2*$B$17)))))*$B$53+(0),999)</f>
        <v>26.7692307692308</v>
      </c>
      <c r="T272" s="35">
        <f>IF(AND($B$30&gt;0,$B$29&gt;0),(IF(67&lt;$B$30,(($B$31-1)/2*$B$29),IF(MOD($B$30-1,2)=0,(($B$31-1)/2*$B$29),(-(($B$31-1)/2*$B$29)))))*$B$53+(-38),999)</f>
        <v>999</v>
      </c>
      <c r="U272" s="35">
        <f>IF(AND($B$30&gt;0,$B$29&gt;0),(IF(67&lt;$B$30,(67-($B$30-1)/2)*$B$29,(($B$30-1)-($B$30-1)/2)*$B$29))*$B$53+(0),999)</f>
        <v>999</v>
      </c>
      <c r="V272" s="35">
        <f>IF(AND($B$31&gt;0,$B$29&gt;0),(IF(67&lt;$B$31,(67-($B$31-1)/2)*$B$29,(($B$31-1)-($B$31-1)/2)*$B$29))*$B$53+(-38),999)</f>
        <v>999</v>
      </c>
      <c r="W272" s="35">
        <f>IF(AND($B$31&gt;0,$B$29&gt;0),(IF(67&lt;$B$31,(($B$30-1)/2*$B$29),IF(MOD($B$31-1,2)=0,(($B$30-1)/2*$B$29),(-(($B$30-1)/2*$B$29)))))*$B$53+(0),999)</f>
        <v>999</v>
      </c>
    </row>
    <row r="273" spans="16:23" x14ac:dyDescent="0.3">
      <c r="P273" s="35">
        <f>IF(AND($B$18&gt;0),(IF(67&lt;$B$18,($B$4/2-$B$13),IF(MOD($B$18-1,2)=0,(($B$22-1)/2*$B$21),(-(($B$22-1)/2*$B$21)))))*$B$53+(-38),999)</f>
        <v>-11.2307692307692</v>
      </c>
      <c r="Q273" s="35">
        <f>IF(AND($B$18&gt;0),(IF(67&lt;$B$18,(67-($B$18-1)/2)*$B$17,(($B$18-1)-($B$18-1)/2)*$B$17))*$B$53+(0),999)</f>
        <v>26.7692307692308</v>
      </c>
      <c r="R273" s="35">
        <f>IF(AND($B$22&gt;0),(IF(67&lt;$B$22,(67-($B$22-1)/2)*$B$21,(($B$22-1)-($B$22-1)/2)*$B$21))*$B$53+(-38),999)</f>
        <v>-11.2307692307692</v>
      </c>
      <c r="S273" s="35">
        <f>IF(AND($B$22&gt;0),(IF(67&lt;$B$22,($B$5/2-IF($B$3=3,0,$B$13)),IF(MOD($B$22-1,2)=0,(($B$18-1)/2*$B$17),(-(($B$18-1)/2*$B$17)))))*$B$53+(0),999)</f>
        <v>26.7692307692308</v>
      </c>
      <c r="T273" s="35">
        <f>IF(AND($B$30&gt;0,$B$29&gt;0),(IF(67&lt;$B$30,($B$4/2-$B$13),IF(MOD($B$30-1,2)=0,(($B$31-1)/2*$B$29),(-(($B$31-1)/2*$B$29)))))*$B$53+(-38),999)</f>
        <v>999</v>
      </c>
      <c r="U273" s="35">
        <f>IF(AND($B$30&gt;0,$B$29&gt;0),(IF(67&lt;$B$30,(67-($B$30-1)/2)*$B$29,(($B$30-1)-($B$30-1)/2)*$B$29))*$B$53+(0),999)</f>
        <v>999</v>
      </c>
      <c r="V273" s="35">
        <f>IF(AND($B$31&gt;0,$B$29&gt;0),(IF(67&lt;$B$31,(67-($B$31-1)/2)*$B$29,(($B$31-1)-($B$31-1)/2)*$B$29))*$B$53+(-38),999)</f>
        <v>999</v>
      </c>
      <c r="W273" s="35">
        <f>IF(AND($B$31&gt;0,$B$29&gt;0),(IF(67&lt;$B$31,($B$5/2-$B$13),IF(MOD($B$31-1,2)=0,(($B$30-1)/2*$B$29),(-(($B$30-1)/2*$B$29)))))*$B$53+(0),999)</f>
        <v>999</v>
      </c>
    </row>
    <row r="274" spans="16:23" x14ac:dyDescent="0.3">
      <c r="P274" s="35">
        <f>IF(AND($B$18&gt;0),(IF(67&lt;$B$18,(-$B$4/2+$B$13),IF(MOD($B$18-1,2)=0,(($B$22-1)/2*$B$21),(-(($B$22-1)/2*$B$21)))))*$B$53+(-38),999)</f>
        <v>-11.2307692307692</v>
      </c>
      <c r="Q274" s="35">
        <f>IF(AND($B$18&gt;0),(IF(67&lt;$B$18,(67-($B$18-1)/2)*$B$17,(($B$18-1)-($B$18-1)/2)*$B$17))*$B$53+(0),999)</f>
        <v>26.7692307692308</v>
      </c>
      <c r="R274" s="35">
        <f>IF(AND($B$22&gt;0),(IF(67&lt;$B$22,(67-($B$22-1)/2)*$B$21,(($B$22-1)-($B$22-1)/2)*$B$21))*$B$53+(-38),999)</f>
        <v>-11.2307692307692</v>
      </c>
      <c r="S274" s="35">
        <f>IF(AND($B$22&gt;0),(IF(67&lt;$B$22,(-$B$5/2+IF($B$3=3,0,$B$13)),IF(MOD($B$22-1,2)=0,(($B$18-1)/2*$B$17),(-(($B$18-1)/2*$B$17)))))*$B$53+(0),999)</f>
        <v>26.7692307692308</v>
      </c>
      <c r="T274" s="35">
        <f>IF(AND($B$30&gt;0,$B$29&gt;0),(IF(67&lt;$B$30,(-$B$4/2+$B$13),IF(MOD($B$30-1,2)=0,(($B$31-1)/2*$B$29),(-(($B$31-1)/2*$B$29)))))*$B$53+(-38),999)</f>
        <v>999</v>
      </c>
      <c r="U274" s="35">
        <f>IF(AND($B$30&gt;0,$B$29&gt;0),(IF(67&lt;$B$30,(67-($B$30-1)/2)*$B$29,(($B$30-1)-($B$30-1)/2)*$B$29))*$B$53+(0),999)</f>
        <v>999</v>
      </c>
      <c r="V274" s="35">
        <f>IF(AND($B$31&gt;0,$B$29&gt;0),(IF(67&lt;$B$31,(67-($B$31-1)/2)*$B$29,(($B$31-1)-($B$31-1)/2)*$B$29))*$B$53+(-38),999)</f>
        <v>999</v>
      </c>
      <c r="W274" s="35">
        <f>IF(AND($B$31&gt;0,$B$29&gt;0),(IF(67&lt;$B$31,(-$B$5/2+$B$13),IF(MOD($B$31-1,2)=0,(($B$30-1)/2*$B$29),(-(($B$30-1)/2*$B$29)))))*$B$53+(0),999)</f>
        <v>999</v>
      </c>
    </row>
    <row r="275" spans="16:23" x14ac:dyDescent="0.3">
      <c r="P275" s="35">
        <f>IF(AND($B$18&gt;0),(IF(67&lt;$B$18,(-(($B$22-1)/2*$B$21)),IF(MOD($B$18-1,2)=0,(($B$22-1)/2*$B$21),(-(($B$22-1)/2*$B$21)))))*$B$53+(-38),999)</f>
        <v>-11.2307692307692</v>
      </c>
      <c r="Q275" s="35">
        <f>IF(AND($B$18&gt;0),(IF(67&lt;$B$18,(67-($B$18-1)/2)*$B$17,(($B$18-1)-($B$18-1)/2)*$B$17))*$B$53+(0),999)</f>
        <v>26.7692307692308</v>
      </c>
      <c r="R275" s="35">
        <f>IF(AND($B$22&gt;0),(IF(67&lt;$B$22,(67-($B$22-1)/2)*$B$21,(($B$22-1)-($B$22-1)/2)*$B$21))*$B$53+(-38),999)</f>
        <v>-11.2307692307692</v>
      </c>
      <c r="S275" s="35">
        <f>IF(AND($B$22&gt;0),(IF(67&lt;$B$22,(-(($B$18-1)/2*$B$17)),IF(MOD($B$22-1,2)=0,(($B$18-1)/2*$B$17),(-(($B$18-1)/2*$B$17)))))*$B$53+(0),999)</f>
        <v>26.7692307692308</v>
      </c>
      <c r="T275" s="35">
        <f>IF(AND($B$30&gt;0,$B$29&gt;0),(IF(67&lt;$B$30,(-(($B$31-1)/2*$B$29)),IF(MOD($B$30-1,2)=0,(($B$31-1)/2*$B$29),(-(($B$31-1)/2*$B$29)))))*$B$53+(-38),999)</f>
        <v>999</v>
      </c>
      <c r="U275" s="35">
        <f>IF(AND($B$30&gt;0,$B$29&gt;0),(IF(67&lt;$B$30,(67-($B$30-1)/2)*$B$29,(($B$30-1)-($B$30-1)/2)*$B$29))*$B$53+(0),999)</f>
        <v>999</v>
      </c>
      <c r="V275" s="35">
        <f>IF(AND($B$31&gt;0,$B$29&gt;0),(IF(67&lt;$B$31,(67-($B$31-1)/2)*$B$29,(($B$31-1)-($B$31-1)/2)*$B$29))*$B$53+(-38),999)</f>
        <v>999</v>
      </c>
      <c r="W275" s="35">
        <f>IF(AND($B$31&gt;0,$B$29&gt;0),(IF(67&lt;$B$31,(-(($B$30-1)/2*$B$29)),IF(MOD($B$31-1,2)=0,(($B$30-1)/2*$B$29),(-(($B$30-1)/2*$B$29)))))*$B$53+(0),999)</f>
        <v>999</v>
      </c>
    </row>
    <row r="276" spans="16:23" x14ac:dyDescent="0.3">
      <c r="P276" s="35">
        <f>IF(AND($B$18&gt;0),(IF(68&lt;$B$18,(-(($B$22-1)/2*$B$21)),IF(MOD($B$18-1,2)=0,(($B$22-1)/2*$B$21),(-(($B$22-1)/2*$B$21)))))*$B$53+(-38),999)</f>
        <v>-11.2307692307692</v>
      </c>
      <c r="Q276" s="35">
        <f>IF(AND($B$18&gt;0),(IF(68&lt;$B$18,(68-($B$18-1)/2)*$B$17,(($B$18-1)-($B$18-1)/2)*$B$17))*$B$53+(0),999)</f>
        <v>26.7692307692308</v>
      </c>
      <c r="R276" s="35">
        <f>IF(AND($B$22&gt;0),(IF(68&lt;$B$22,(68-($B$22-1)/2)*$B$21,(($B$22-1)-($B$22-1)/2)*$B$21))*$B$53+(-38),999)</f>
        <v>-11.2307692307692</v>
      </c>
      <c r="S276" s="35">
        <f>IF(AND($B$22&gt;0),(IF(68&lt;$B$22,(-(($B$18-1)/2*$B$17)),IF(MOD($B$22-1,2)=0,(($B$18-1)/2*$B$17),(-(($B$18-1)/2*$B$17)))))*$B$53+(0),999)</f>
        <v>26.7692307692308</v>
      </c>
      <c r="T276" s="35">
        <f>IF(AND($B$30&gt;0,$B$29&gt;0),(IF(68&lt;$B$30,(-(($B$31-1)/2*$B$29)),IF(MOD($B$30-1,2)=0,(($B$31-1)/2*$B$29),(-(($B$31-1)/2*$B$29)))))*$B$53+(-38),999)</f>
        <v>999</v>
      </c>
      <c r="U276" s="35">
        <f>IF(AND($B$30&gt;0,$B$29&gt;0),(IF(68&lt;$B$30,(68-($B$30-1)/2)*$B$29,(($B$30-1)-($B$30-1)/2)*$B$29))*$B$53+(0),999)</f>
        <v>999</v>
      </c>
      <c r="V276" s="35">
        <f>IF(AND($B$31&gt;0,$B$29&gt;0),(IF(68&lt;$B$31,(68-($B$31-1)/2)*$B$29,(($B$31-1)-($B$31-1)/2)*$B$29))*$B$53+(-38),999)</f>
        <v>999</v>
      </c>
      <c r="W276" s="35">
        <f>IF(AND($B$31&gt;0,$B$29&gt;0),(IF(68&lt;$B$31,(-(($B$30-1)/2*$B$29)),IF(MOD($B$31-1,2)=0,(($B$30-1)/2*$B$29),(-(($B$30-1)/2*$B$29)))))*$B$53+(0),999)</f>
        <v>999</v>
      </c>
    </row>
    <row r="277" spans="16:23" x14ac:dyDescent="0.3">
      <c r="P277" s="35">
        <f>IF(AND($B$18&gt;0),(IF(68&lt;$B$18,(-$B$4/2+$B$13),IF(MOD($B$18-1,2)=0,(($B$22-1)/2*$B$21),(-(($B$22-1)/2*$B$21)))))*$B$53+(-38),999)</f>
        <v>-11.2307692307692</v>
      </c>
      <c r="Q277" s="35">
        <f>IF(AND($B$18&gt;0),(IF(68&lt;$B$18,(68-($B$18-1)/2)*$B$17,(($B$18-1)-($B$18-1)/2)*$B$17))*$B$53+(0),999)</f>
        <v>26.7692307692308</v>
      </c>
      <c r="R277" s="35">
        <f>IF(AND($B$22&gt;0),(IF(68&lt;$B$22,(68-($B$22-1)/2)*$B$21,(($B$22-1)-($B$22-1)/2)*$B$21))*$B$53+(-38),999)</f>
        <v>-11.2307692307692</v>
      </c>
      <c r="S277" s="35">
        <f>IF(AND($B$22&gt;0),(IF(68&lt;$B$22,(-$B$5/2+IF($B$3=3,0,$B$13)),IF(MOD($B$22-1,2)=0,(($B$18-1)/2*$B$17),(-(($B$18-1)/2*$B$17)))))*$B$53+(0),999)</f>
        <v>26.7692307692308</v>
      </c>
      <c r="T277" s="35">
        <f>IF(AND($B$30&gt;0,$B$29&gt;0),(IF(68&lt;$B$30,(-$B$4/2+$B$13),IF(MOD($B$30-1,2)=0,(($B$31-1)/2*$B$29),(-(($B$31-1)/2*$B$29)))))*$B$53+(-38),999)</f>
        <v>999</v>
      </c>
      <c r="U277" s="35">
        <f>IF(AND($B$30&gt;0,$B$29&gt;0),(IF(68&lt;$B$30,(68-($B$30-1)/2)*$B$29,(($B$30-1)-($B$30-1)/2)*$B$29))*$B$53+(0),999)</f>
        <v>999</v>
      </c>
      <c r="V277" s="35">
        <f>IF(AND($B$31&gt;0,$B$29&gt;0),(IF(68&lt;$B$31,(68-($B$31-1)/2)*$B$29,(($B$31-1)-($B$31-1)/2)*$B$29))*$B$53+(-38),999)</f>
        <v>999</v>
      </c>
      <c r="W277" s="35">
        <f>IF(AND($B$31&gt;0,$B$29&gt;0),(IF(68&lt;$B$31,(-$B$5/2+$B$13),IF(MOD($B$31-1,2)=0,(($B$30-1)/2*$B$29),(-(($B$30-1)/2*$B$29)))))*$B$53+(0),999)</f>
        <v>999</v>
      </c>
    </row>
    <row r="278" spans="16:23" x14ac:dyDescent="0.3">
      <c r="P278" s="35">
        <f>IF(AND($B$18&gt;0),(IF(68&lt;$B$18,($B$4/2-$B$13),IF(MOD($B$18-1,2)=0,(($B$22-1)/2*$B$21),(-(($B$22-1)/2*$B$21)))))*$B$53+(-38),999)</f>
        <v>-11.2307692307692</v>
      </c>
      <c r="Q278" s="35">
        <f>IF(AND($B$18&gt;0),(IF(68&lt;$B$18,(68-($B$18-1)/2)*$B$17,(($B$18-1)-($B$18-1)/2)*$B$17))*$B$53+(0),999)</f>
        <v>26.7692307692308</v>
      </c>
      <c r="R278" s="35">
        <f>IF(AND($B$22&gt;0),(IF(68&lt;$B$22,(68-($B$22-1)/2)*$B$21,(($B$22-1)-($B$22-1)/2)*$B$21))*$B$53+(-38),999)</f>
        <v>-11.2307692307692</v>
      </c>
      <c r="S278" s="35">
        <f>IF(AND($B$22&gt;0),(IF(68&lt;$B$22,($B$5/2-IF($B$3=3,0,$B$13)),IF(MOD($B$22-1,2)=0,(($B$18-1)/2*$B$17),(-(($B$18-1)/2*$B$17)))))*$B$53+(0),999)</f>
        <v>26.7692307692308</v>
      </c>
      <c r="T278" s="35">
        <f>IF(AND($B$30&gt;0,$B$29&gt;0),(IF(68&lt;$B$30,($B$4/2-$B$13),IF(MOD($B$30-1,2)=0,(($B$31-1)/2*$B$29),(-(($B$31-1)/2*$B$29)))))*$B$53+(-38),999)</f>
        <v>999</v>
      </c>
      <c r="U278" s="35">
        <f>IF(AND($B$30&gt;0,$B$29&gt;0),(IF(68&lt;$B$30,(68-($B$30-1)/2)*$B$29,(($B$30-1)-($B$30-1)/2)*$B$29))*$B$53+(0),999)</f>
        <v>999</v>
      </c>
      <c r="V278" s="35">
        <f>IF(AND($B$31&gt;0,$B$29&gt;0),(IF(68&lt;$B$31,(68-($B$31-1)/2)*$B$29,(($B$31-1)-($B$31-1)/2)*$B$29))*$B$53+(-38),999)</f>
        <v>999</v>
      </c>
      <c r="W278" s="35">
        <f>IF(AND($B$31&gt;0,$B$29&gt;0),(IF(68&lt;$B$31,($B$5/2-$B$13),IF(MOD($B$31-1,2)=0,(($B$30-1)/2*$B$29),(-(($B$30-1)/2*$B$29)))))*$B$53+(0),999)</f>
        <v>999</v>
      </c>
    </row>
    <row r="279" spans="16:23" x14ac:dyDescent="0.3">
      <c r="P279" s="35">
        <f>IF(AND($B$18&gt;0),(IF(68&lt;$B$18,(($B$22-1)/2*$B$21),IF(MOD($B$18-1,2)=0,(($B$22-1)/2*$B$21),(-(($B$22-1)/2*$B$21)))))*$B$53+(-38),999)</f>
        <v>-11.2307692307692</v>
      </c>
      <c r="Q279" s="35">
        <f>IF(AND($B$18&gt;0),(IF(68&lt;$B$18,(68-($B$18-1)/2)*$B$17,(($B$18-1)-($B$18-1)/2)*$B$17))*$B$53+(0),999)</f>
        <v>26.7692307692308</v>
      </c>
      <c r="R279" s="35">
        <f>IF(AND($B$22&gt;0),(IF(68&lt;$B$22,(68-($B$22-1)/2)*$B$21,(($B$22-1)-($B$22-1)/2)*$B$21))*$B$53+(-38),999)</f>
        <v>-11.2307692307692</v>
      </c>
      <c r="S279" s="35">
        <f>IF(AND($B$22&gt;0),(IF(68&lt;$B$22,(($B$18-1)/2*$B$17),IF(MOD($B$22-1,2)=0,(($B$18-1)/2*$B$17),(-(($B$18-1)/2*$B$17)))))*$B$53+(0),999)</f>
        <v>26.7692307692308</v>
      </c>
      <c r="T279" s="35">
        <f>IF(AND($B$30&gt;0,$B$29&gt;0),(IF(68&lt;$B$30,(($B$31-1)/2*$B$29),IF(MOD($B$30-1,2)=0,(($B$31-1)/2*$B$29),(-(($B$31-1)/2*$B$29)))))*$B$53+(-38),999)</f>
        <v>999</v>
      </c>
      <c r="U279" s="35">
        <f>IF(AND($B$30&gt;0,$B$29&gt;0),(IF(68&lt;$B$30,(68-($B$30-1)/2)*$B$29,(($B$30-1)-($B$30-1)/2)*$B$29))*$B$53+(0),999)</f>
        <v>999</v>
      </c>
      <c r="V279" s="35">
        <f>IF(AND($B$31&gt;0,$B$29&gt;0),(IF(68&lt;$B$31,(68-($B$31-1)/2)*$B$29,(($B$31-1)-($B$31-1)/2)*$B$29))*$B$53+(-38),999)</f>
        <v>999</v>
      </c>
      <c r="W279" s="35">
        <f>IF(AND($B$31&gt;0,$B$29&gt;0),(IF(68&lt;$B$31,(($B$30-1)/2*$B$29),IF(MOD($B$31-1,2)=0,(($B$30-1)/2*$B$29),(-(($B$30-1)/2*$B$29)))))*$B$53+(0),999)</f>
        <v>999</v>
      </c>
    </row>
    <row r="280" spans="16:23" x14ac:dyDescent="0.3">
      <c r="P280" s="35">
        <f>IF(AND($B$18&gt;0),(IF(69&lt;$B$18,(($B$22-1)/2*$B$21),IF(MOD($B$18-1,2)=0,(($B$22-1)/2*$B$21),(-(($B$22-1)/2*$B$21)))))*$B$53+(-38),999)</f>
        <v>-11.2307692307692</v>
      </c>
      <c r="Q280" s="35">
        <f>IF(AND($B$18&gt;0),(IF(69&lt;$B$18,(69-($B$18-1)/2)*$B$17,(($B$18-1)-($B$18-1)/2)*$B$17))*$B$53+(0),999)</f>
        <v>26.7692307692308</v>
      </c>
      <c r="R280" s="35">
        <f>IF(AND($B$22&gt;0),(IF(69&lt;$B$22,(69-($B$22-1)/2)*$B$21,(($B$22-1)-($B$22-1)/2)*$B$21))*$B$53+(-38),999)</f>
        <v>-11.2307692307692</v>
      </c>
      <c r="S280" s="35">
        <f>IF(AND($B$22&gt;0),(IF(69&lt;$B$22,(($B$18-1)/2*$B$17),IF(MOD($B$22-1,2)=0,(($B$18-1)/2*$B$17),(-(($B$18-1)/2*$B$17)))))*$B$53+(0),999)</f>
        <v>26.7692307692308</v>
      </c>
      <c r="T280" s="35">
        <f>IF(AND($B$30&gt;0,$B$29&gt;0),(IF(69&lt;$B$30,(($B$31-1)/2*$B$29),IF(MOD($B$30-1,2)=0,(($B$31-1)/2*$B$29),(-(($B$31-1)/2*$B$29)))))*$B$53+(-38),999)</f>
        <v>999</v>
      </c>
      <c r="U280" s="35">
        <f>IF(AND($B$30&gt;0,$B$29&gt;0),(IF(69&lt;$B$30,(69-($B$30-1)/2)*$B$29,(($B$30-1)-($B$30-1)/2)*$B$29))*$B$53+(0),999)</f>
        <v>999</v>
      </c>
      <c r="V280" s="35">
        <f>IF(AND($B$31&gt;0,$B$29&gt;0),(IF(69&lt;$B$31,(69-($B$31-1)/2)*$B$29,(($B$31-1)-($B$31-1)/2)*$B$29))*$B$53+(-38),999)</f>
        <v>999</v>
      </c>
      <c r="W280" s="35">
        <f>IF(AND($B$31&gt;0,$B$29&gt;0),(IF(69&lt;$B$31,(($B$30-1)/2*$B$29),IF(MOD($B$31-1,2)=0,(($B$30-1)/2*$B$29),(-(($B$30-1)/2*$B$29)))))*$B$53+(0),999)</f>
        <v>999</v>
      </c>
    </row>
    <row r="281" spans="16:23" x14ac:dyDescent="0.3">
      <c r="P281" s="35">
        <f>IF(AND($B$18&gt;0),(IF(69&lt;$B$18,($B$4/2-$B$13),IF(MOD($B$18-1,2)=0,(($B$22-1)/2*$B$21),(-(($B$22-1)/2*$B$21)))))*$B$53+(-38),999)</f>
        <v>-11.2307692307692</v>
      </c>
      <c r="Q281" s="35">
        <f>IF(AND($B$18&gt;0),(IF(69&lt;$B$18,(69-($B$18-1)/2)*$B$17,(($B$18-1)-($B$18-1)/2)*$B$17))*$B$53+(0),999)</f>
        <v>26.7692307692308</v>
      </c>
      <c r="R281" s="35">
        <f>IF(AND($B$22&gt;0),(IF(69&lt;$B$22,(69-($B$22-1)/2)*$B$21,(($B$22-1)-($B$22-1)/2)*$B$21))*$B$53+(-38),999)</f>
        <v>-11.2307692307692</v>
      </c>
      <c r="S281" s="35">
        <f>IF(AND($B$22&gt;0),(IF(69&lt;$B$22,($B$5/2-IF($B$3=3,0,$B$13)),IF(MOD($B$22-1,2)=0,(($B$18-1)/2*$B$17),(-(($B$18-1)/2*$B$17)))))*$B$53+(0),999)</f>
        <v>26.7692307692308</v>
      </c>
      <c r="T281" s="35">
        <f>IF(AND($B$30&gt;0,$B$29&gt;0),(IF(69&lt;$B$30,($B$4/2-$B$13),IF(MOD($B$30-1,2)=0,(($B$31-1)/2*$B$29),(-(($B$31-1)/2*$B$29)))))*$B$53+(-38),999)</f>
        <v>999</v>
      </c>
      <c r="U281" s="35">
        <f>IF(AND($B$30&gt;0,$B$29&gt;0),(IF(69&lt;$B$30,(69-($B$30-1)/2)*$B$29,(($B$30-1)-($B$30-1)/2)*$B$29))*$B$53+(0),999)</f>
        <v>999</v>
      </c>
      <c r="V281" s="35">
        <f>IF(AND($B$31&gt;0,$B$29&gt;0),(IF(69&lt;$B$31,(69-($B$31-1)/2)*$B$29,(($B$31-1)-($B$31-1)/2)*$B$29))*$B$53+(-38),999)</f>
        <v>999</v>
      </c>
      <c r="W281" s="35">
        <f>IF(AND($B$31&gt;0,$B$29&gt;0),(IF(69&lt;$B$31,($B$5/2-$B$13),IF(MOD($B$31-1,2)=0,(($B$30-1)/2*$B$29),(-(($B$30-1)/2*$B$29)))))*$B$53+(0),999)</f>
        <v>999</v>
      </c>
    </row>
    <row r="282" spans="16:23" x14ac:dyDescent="0.3">
      <c r="P282" s="35">
        <f>IF(AND($B$18&gt;0),(IF(69&lt;$B$18,(-$B$4/2+$B$13),IF(MOD($B$18-1,2)=0,(($B$22-1)/2*$B$21),(-(($B$22-1)/2*$B$21)))))*$B$53+(-38),999)</f>
        <v>-11.2307692307692</v>
      </c>
      <c r="Q282" s="35">
        <f>IF(AND($B$18&gt;0),(IF(69&lt;$B$18,(69-($B$18-1)/2)*$B$17,(($B$18-1)-($B$18-1)/2)*$B$17))*$B$53+(0),999)</f>
        <v>26.7692307692308</v>
      </c>
      <c r="R282" s="35">
        <f>IF(AND($B$22&gt;0),(IF(69&lt;$B$22,(69-($B$22-1)/2)*$B$21,(($B$22-1)-($B$22-1)/2)*$B$21))*$B$53+(-38),999)</f>
        <v>-11.2307692307692</v>
      </c>
      <c r="S282" s="35">
        <f>IF(AND($B$22&gt;0),(IF(69&lt;$B$22,(-$B$5/2+IF($B$3=3,0,$B$13)),IF(MOD($B$22-1,2)=0,(($B$18-1)/2*$B$17),(-(($B$18-1)/2*$B$17)))))*$B$53+(0),999)</f>
        <v>26.7692307692308</v>
      </c>
      <c r="T282" s="35">
        <f>IF(AND($B$30&gt;0,$B$29&gt;0),(IF(69&lt;$B$30,(-$B$4/2+$B$13),IF(MOD($B$30-1,2)=0,(($B$31-1)/2*$B$29),(-(($B$31-1)/2*$B$29)))))*$B$53+(-38),999)</f>
        <v>999</v>
      </c>
      <c r="U282" s="35">
        <f>IF(AND($B$30&gt;0,$B$29&gt;0),(IF(69&lt;$B$30,(69-($B$30-1)/2)*$B$29,(($B$30-1)-($B$30-1)/2)*$B$29))*$B$53+(0),999)</f>
        <v>999</v>
      </c>
      <c r="V282" s="35">
        <f>IF(AND($B$31&gt;0,$B$29&gt;0),(IF(69&lt;$B$31,(69-($B$31-1)/2)*$B$29,(($B$31-1)-($B$31-1)/2)*$B$29))*$B$53+(-38),999)</f>
        <v>999</v>
      </c>
      <c r="W282" s="35">
        <f>IF(AND($B$31&gt;0,$B$29&gt;0),(IF(69&lt;$B$31,(-$B$5/2+$B$13),IF(MOD($B$31-1,2)=0,(($B$30-1)/2*$B$29),(-(($B$30-1)/2*$B$29)))))*$B$53+(0),999)</f>
        <v>999</v>
      </c>
    </row>
    <row r="283" spans="16:23" x14ac:dyDescent="0.3">
      <c r="P283" s="35">
        <f>IF(AND($B$18&gt;0),(IF(69&lt;$B$18,(-(($B$22-1)/2*$B$21)),IF(MOD($B$18-1,2)=0,(($B$22-1)/2*$B$21),(-(($B$22-1)/2*$B$21)))))*$B$53+(-38),999)</f>
        <v>-11.2307692307692</v>
      </c>
      <c r="Q283" s="35">
        <f>IF(AND($B$18&gt;0),(IF(69&lt;$B$18,(69-($B$18-1)/2)*$B$17,(($B$18-1)-($B$18-1)/2)*$B$17))*$B$53+(0),999)</f>
        <v>26.7692307692308</v>
      </c>
      <c r="R283" s="35">
        <f>IF(AND($B$22&gt;0),(IF(69&lt;$B$22,(69-($B$22-1)/2)*$B$21,(($B$22-1)-($B$22-1)/2)*$B$21))*$B$53+(-38),999)</f>
        <v>-11.2307692307692</v>
      </c>
      <c r="S283" s="35">
        <f>IF(AND($B$22&gt;0),(IF(69&lt;$B$22,(-(($B$18-1)/2*$B$17)),IF(MOD($B$22-1,2)=0,(($B$18-1)/2*$B$17),(-(($B$18-1)/2*$B$17)))))*$B$53+(0),999)</f>
        <v>26.7692307692308</v>
      </c>
      <c r="T283" s="35">
        <f>IF(AND($B$30&gt;0,$B$29&gt;0),(IF(69&lt;$B$30,(-(($B$31-1)/2*$B$29)),IF(MOD($B$30-1,2)=0,(($B$31-1)/2*$B$29),(-(($B$31-1)/2*$B$29)))))*$B$53+(-38),999)</f>
        <v>999</v>
      </c>
      <c r="U283" s="35">
        <f>IF(AND($B$30&gt;0,$B$29&gt;0),(IF(69&lt;$B$30,(69-($B$30-1)/2)*$B$29,(($B$30-1)-($B$30-1)/2)*$B$29))*$B$53+(0),999)</f>
        <v>999</v>
      </c>
      <c r="V283" s="35">
        <f>IF(AND($B$31&gt;0,$B$29&gt;0),(IF(69&lt;$B$31,(69-($B$31-1)/2)*$B$29,(($B$31-1)-($B$31-1)/2)*$B$29))*$B$53+(-38),999)</f>
        <v>999</v>
      </c>
      <c r="W283" s="35">
        <f>IF(AND($B$31&gt;0,$B$29&gt;0),(IF(69&lt;$B$31,(-(($B$30-1)/2*$B$29)),IF(MOD($B$31-1,2)=0,(($B$30-1)/2*$B$29),(-(($B$30-1)/2*$B$29)))))*$B$53+(0),999)</f>
        <v>999</v>
      </c>
    </row>
    <row r="284" spans="16:23" x14ac:dyDescent="0.3">
      <c r="P284" s="35">
        <f>IF(AND($B$18&gt;0),(IF(70&lt;$B$18,(-(($B$22-1)/2*$B$21)),IF(MOD($B$18-1,2)=0,(($B$22-1)/2*$B$21),(-(($B$22-1)/2*$B$21)))))*$B$53+(-38),999)</f>
        <v>-11.2307692307692</v>
      </c>
      <c r="Q284" s="35">
        <f>IF(AND($B$18&gt;0),(IF(70&lt;$B$18,(70-($B$18-1)/2)*$B$17,(($B$18-1)-($B$18-1)/2)*$B$17))*$B$53+(0),999)</f>
        <v>26.7692307692308</v>
      </c>
      <c r="R284" s="35">
        <f>IF(AND($B$22&gt;0),(IF(70&lt;$B$22,(70-($B$22-1)/2)*$B$21,(($B$22-1)-($B$22-1)/2)*$B$21))*$B$53+(-38),999)</f>
        <v>-11.2307692307692</v>
      </c>
      <c r="S284" s="35">
        <f>IF(AND($B$22&gt;0),(IF(70&lt;$B$22,(-(($B$18-1)/2*$B$17)),IF(MOD($B$22-1,2)=0,(($B$18-1)/2*$B$17),(-(($B$18-1)/2*$B$17)))))*$B$53+(0),999)</f>
        <v>26.7692307692308</v>
      </c>
      <c r="T284" s="35">
        <f>IF(AND($B$30&gt;0,$B$29&gt;0),(IF(70&lt;$B$30,(-(($B$31-1)/2*$B$29)),IF(MOD($B$30-1,2)=0,(($B$31-1)/2*$B$29),(-(($B$31-1)/2*$B$29)))))*$B$53+(-38),999)</f>
        <v>999</v>
      </c>
      <c r="U284" s="35">
        <f>IF(AND($B$30&gt;0,$B$29&gt;0),(IF(70&lt;$B$30,(70-($B$30-1)/2)*$B$29,(($B$30-1)-($B$30-1)/2)*$B$29))*$B$53+(0),999)</f>
        <v>999</v>
      </c>
      <c r="V284" s="35">
        <f>IF(AND($B$31&gt;0,$B$29&gt;0),(IF(70&lt;$B$31,(70-($B$31-1)/2)*$B$29,(($B$31-1)-($B$31-1)/2)*$B$29))*$B$53+(-38),999)</f>
        <v>999</v>
      </c>
      <c r="W284" s="35">
        <f>IF(AND($B$31&gt;0,$B$29&gt;0),(IF(70&lt;$B$31,(-(($B$30-1)/2*$B$29)),IF(MOD($B$31-1,2)=0,(($B$30-1)/2*$B$29),(-(($B$30-1)/2*$B$29)))))*$B$53+(0),999)</f>
        <v>999</v>
      </c>
    </row>
    <row r="285" spans="16:23" x14ac:dyDescent="0.3">
      <c r="P285" s="35">
        <f>IF(AND($B$18&gt;0),(IF(70&lt;$B$18,(-$B$4/2+$B$13),IF(MOD($B$18-1,2)=0,(($B$22-1)/2*$B$21),(-(($B$22-1)/2*$B$21)))))*$B$53+(-38),999)</f>
        <v>-11.2307692307692</v>
      </c>
      <c r="Q285" s="35">
        <f>IF(AND($B$18&gt;0),(IF(70&lt;$B$18,(70-($B$18-1)/2)*$B$17,(($B$18-1)-($B$18-1)/2)*$B$17))*$B$53+(0),999)</f>
        <v>26.7692307692308</v>
      </c>
      <c r="R285" s="35">
        <f>IF(AND($B$22&gt;0),(IF(70&lt;$B$22,(70-($B$22-1)/2)*$B$21,(($B$22-1)-($B$22-1)/2)*$B$21))*$B$53+(-38),999)</f>
        <v>-11.2307692307692</v>
      </c>
      <c r="S285" s="35">
        <f>IF(AND($B$22&gt;0),(IF(70&lt;$B$22,(-$B$5/2+IF($B$3=3,0,$B$13)),IF(MOD($B$22-1,2)=0,(($B$18-1)/2*$B$17),(-(($B$18-1)/2*$B$17)))))*$B$53+(0),999)</f>
        <v>26.7692307692308</v>
      </c>
      <c r="T285" s="35">
        <f>IF(AND($B$30&gt;0,$B$29&gt;0),(IF(70&lt;$B$30,(-$B$4/2+$B$13),IF(MOD($B$30-1,2)=0,(($B$31-1)/2*$B$29),(-(($B$31-1)/2*$B$29)))))*$B$53+(-38),999)</f>
        <v>999</v>
      </c>
      <c r="U285" s="35">
        <f>IF(AND($B$30&gt;0,$B$29&gt;0),(IF(70&lt;$B$30,(70-($B$30-1)/2)*$B$29,(($B$30-1)-($B$30-1)/2)*$B$29))*$B$53+(0),999)</f>
        <v>999</v>
      </c>
      <c r="V285" s="35">
        <f>IF(AND($B$31&gt;0,$B$29&gt;0),(IF(70&lt;$B$31,(70-($B$31-1)/2)*$B$29,(($B$31-1)-($B$31-1)/2)*$B$29))*$B$53+(-38),999)</f>
        <v>999</v>
      </c>
      <c r="W285" s="35">
        <f>IF(AND($B$31&gt;0,$B$29&gt;0),(IF(70&lt;$B$31,(-$B$5/2+$B$13),IF(MOD($B$31-1,2)=0,(($B$30-1)/2*$B$29),(-(($B$30-1)/2*$B$29)))))*$B$53+(0),999)</f>
        <v>999</v>
      </c>
    </row>
    <row r="286" spans="16:23" x14ac:dyDescent="0.3">
      <c r="P286" s="35">
        <f>IF(AND($B$18&gt;0),(IF(70&lt;$B$18,($B$4/2-$B$13),IF(MOD($B$18-1,2)=0,(($B$22-1)/2*$B$21),(-(($B$22-1)/2*$B$21)))))*$B$53+(-38),999)</f>
        <v>-11.2307692307692</v>
      </c>
      <c r="Q286" s="35">
        <f>IF(AND($B$18&gt;0),(IF(70&lt;$B$18,(70-($B$18-1)/2)*$B$17,(($B$18-1)-($B$18-1)/2)*$B$17))*$B$53+(0),999)</f>
        <v>26.7692307692308</v>
      </c>
      <c r="R286" s="35">
        <f>IF(AND($B$22&gt;0),(IF(70&lt;$B$22,(70-($B$22-1)/2)*$B$21,(($B$22-1)-($B$22-1)/2)*$B$21))*$B$53+(-38),999)</f>
        <v>-11.2307692307692</v>
      </c>
      <c r="S286" s="35">
        <f>IF(AND($B$22&gt;0),(IF(70&lt;$B$22,($B$5/2-IF($B$3=3,0,$B$13)),IF(MOD($B$22-1,2)=0,(($B$18-1)/2*$B$17),(-(($B$18-1)/2*$B$17)))))*$B$53+(0),999)</f>
        <v>26.7692307692308</v>
      </c>
      <c r="T286" s="35">
        <f>IF(AND($B$30&gt;0,$B$29&gt;0),(IF(70&lt;$B$30,($B$4/2-$B$13),IF(MOD($B$30-1,2)=0,(($B$31-1)/2*$B$29),(-(($B$31-1)/2*$B$29)))))*$B$53+(-38),999)</f>
        <v>999</v>
      </c>
      <c r="U286" s="35">
        <f>IF(AND($B$30&gt;0,$B$29&gt;0),(IF(70&lt;$B$30,(70-($B$30-1)/2)*$B$29,(($B$30-1)-($B$30-1)/2)*$B$29))*$B$53+(0),999)</f>
        <v>999</v>
      </c>
      <c r="V286" s="35">
        <f>IF(AND($B$31&gt;0,$B$29&gt;0),(IF(70&lt;$B$31,(70-($B$31-1)/2)*$B$29,(($B$31-1)-($B$31-1)/2)*$B$29))*$B$53+(-38),999)</f>
        <v>999</v>
      </c>
      <c r="W286" s="35">
        <f>IF(AND($B$31&gt;0,$B$29&gt;0),(IF(70&lt;$B$31,($B$5/2-$B$13),IF(MOD($B$31-1,2)=0,(($B$30-1)/2*$B$29),(-(($B$30-1)/2*$B$29)))))*$B$53+(0),999)</f>
        <v>999</v>
      </c>
    </row>
    <row r="287" spans="16:23" x14ac:dyDescent="0.3">
      <c r="P287" s="35">
        <f>IF(AND($B$18&gt;0),(IF(70&lt;$B$18,(($B$22-1)/2*$B$21),IF(MOD($B$18-1,2)=0,(($B$22-1)/2*$B$21),(-(($B$22-1)/2*$B$21)))))*$B$53+(-38),999)</f>
        <v>-11.2307692307692</v>
      </c>
      <c r="Q287" s="35">
        <f>IF(AND($B$18&gt;0),(IF(70&lt;$B$18,(70-($B$18-1)/2)*$B$17,(($B$18-1)-($B$18-1)/2)*$B$17))*$B$53+(0),999)</f>
        <v>26.7692307692308</v>
      </c>
      <c r="R287" s="35">
        <f>IF(AND($B$22&gt;0),(IF(70&lt;$B$22,(70-($B$22-1)/2)*$B$21,(($B$22-1)-($B$22-1)/2)*$B$21))*$B$53+(-38),999)</f>
        <v>-11.2307692307692</v>
      </c>
      <c r="S287" s="35">
        <f>IF(AND($B$22&gt;0),(IF(70&lt;$B$22,(($B$18-1)/2*$B$17),IF(MOD($B$22-1,2)=0,(($B$18-1)/2*$B$17),(-(($B$18-1)/2*$B$17)))))*$B$53+(0),999)</f>
        <v>26.7692307692308</v>
      </c>
      <c r="T287" s="35">
        <f>IF(AND($B$30&gt;0,$B$29&gt;0),(IF(70&lt;$B$30,(($B$31-1)/2*$B$29),IF(MOD($B$30-1,2)=0,(($B$31-1)/2*$B$29),(-(($B$31-1)/2*$B$29)))))*$B$53+(-38),999)</f>
        <v>999</v>
      </c>
      <c r="U287" s="35">
        <f>IF(AND($B$30&gt;0,$B$29&gt;0),(IF(70&lt;$B$30,(70-($B$30-1)/2)*$B$29,(($B$30-1)-($B$30-1)/2)*$B$29))*$B$53+(0),999)</f>
        <v>999</v>
      </c>
      <c r="V287" s="35">
        <f>IF(AND($B$31&gt;0,$B$29&gt;0),(IF(70&lt;$B$31,(70-($B$31-1)/2)*$B$29,(($B$31-1)-($B$31-1)/2)*$B$29))*$B$53+(-38),999)</f>
        <v>999</v>
      </c>
      <c r="W287" s="35">
        <f>IF(AND($B$31&gt;0,$B$29&gt;0),(IF(70&lt;$B$31,(($B$30-1)/2*$B$29),IF(MOD($B$31-1,2)=0,(($B$30-1)/2*$B$29),(-(($B$30-1)/2*$B$29)))))*$B$53+(0),999)</f>
        <v>999</v>
      </c>
    </row>
    <row r="288" spans="16:23" x14ac:dyDescent="0.3">
      <c r="P288" s="35">
        <f>IF(AND($B$18&gt;0),(IF(71&lt;$B$18,(($B$22-1)/2*$B$21),IF(MOD($B$18-1,2)=0,(($B$22-1)/2*$B$21),(-(($B$22-1)/2*$B$21)))))*$B$53+(-38),999)</f>
        <v>-11.2307692307692</v>
      </c>
      <c r="Q288" s="35">
        <f>IF(AND($B$18&gt;0),(IF(71&lt;$B$18,(71-($B$18-1)/2)*$B$17,(($B$18-1)-($B$18-1)/2)*$B$17))*$B$53+(0),999)</f>
        <v>26.7692307692308</v>
      </c>
      <c r="R288" s="35">
        <f>IF(AND($B$22&gt;0),(IF(71&lt;$B$22,(71-($B$22-1)/2)*$B$21,(($B$22-1)-($B$22-1)/2)*$B$21))*$B$53+(-38),999)</f>
        <v>-11.2307692307692</v>
      </c>
      <c r="S288" s="35">
        <f>IF(AND($B$22&gt;0),(IF(71&lt;$B$22,(($B$18-1)/2*$B$17),IF(MOD($B$22-1,2)=0,(($B$18-1)/2*$B$17),(-(($B$18-1)/2*$B$17)))))*$B$53+(0),999)</f>
        <v>26.7692307692308</v>
      </c>
      <c r="T288" s="35">
        <f>IF(AND($B$30&gt;0,$B$29&gt;0),(IF(71&lt;$B$30,(($B$31-1)/2*$B$29),IF(MOD($B$30-1,2)=0,(($B$31-1)/2*$B$29),(-(($B$31-1)/2*$B$29)))))*$B$53+(-38),999)</f>
        <v>999</v>
      </c>
      <c r="U288" s="35">
        <f>IF(AND($B$30&gt;0,$B$29&gt;0),(IF(71&lt;$B$30,(71-($B$30-1)/2)*$B$29,(($B$30-1)-($B$30-1)/2)*$B$29))*$B$53+(0),999)</f>
        <v>999</v>
      </c>
      <c r="V288" s="35">
        <f>IF(AND($B$31&gt;0,$B$29&gt;0),(IF(71&lt;$B$31,(71-($B$31-1)/2)*$B$29,(($B$31-1)-($B$31-1)/2)*$B$29))*$B$53+(-38),999)</f>
        <v>999</v>
      </c>
      <c r="W288" s="35">
        <f>IF(AND($B$31&gt;0,$B$29&gt;0),(IF(71&lt;$B$31,(($B$30-1)/2*$B$29),IF(MOD($B$31-1,2)=0,(($B$30-1)/2*$B$29),(-(($B$30-1)/2*$B$29)))))*$B$53+(0),999)</f>
        <v>999</v>
      </c>
    </row>
    <row r="289" spans="16:23" x14ac:dyDescent="0.3">
      <c r="P289" s="35">
        <f>IF(AND($B$18&gt;0),(IF(71&lt;$B$18,($B$4/2-$B$13),IF(MOD($B$18-1,2)=0,(($B$22-1)/2*$B$21),(-(($B$22-1)/2*$B$21)))))*$B$53+(-38),999)</f>
        <v>-11.2307692307692</v>
      </c>
      <c r="Q289" s="35">
        <f>IF(AND($B$18&gt;0),(IF(71&lt;$B$18,(71-($B$18-1)/2)*$B$17,(($B$18-1)-($B$18-1)/2)*$B$17))*$B$53+(0),999)</f>
        <v>26.7692307692308</v>
      </c>
      <c r="R289" s="35">
        <f>IF(AND($B$22&gt;0),(IF(71&lt;$B$22,(71-($B$22-1)/2)*$B$21,(($B$22-1)-($B$22-1)/2)*$B$21))*$B$53+(-38),999)</f>
        <v>-11.2307692307692</v>
      </c>
      <c r="S289" s="35">
        <f>IF(AND($B$22&gt;0),(IF(71&lt;$B$22,($B$5/2-IF($B$3=3,0,$B$13)),IF(MOD($B$22-1,2)=0,(($B$18-1)/2*$B$17),(-(($B$18-1)/2*$B$17)))))*$B$53+(0),999)</f>
        <v>26.7692307692308</v>
      </c>
      <c r="T289" s="35">
        <f>IF(AND($B$30&gt;0,$B$29&gt;0),(IF(71&lt;$B$30,($B$4/2-$B$13),IF(MOD($B$30-1,2)=0,(($B$31-1)/2*$B$29),(-(($B$31-1)/2*$B$29)))))*$B$53+(-38),999)</f>
        <v>999</v>
      </c>
      <c r="U289" s="35">
        <f>IF(AND($B$30&gt;0,$B$29&gt;0),(IF(71&lt;$B$30,(71-($B$30-1)/2)*$B$29,(($B$30-1)-($B$30-1)/2)*$B$29))*$B$53+(0),999)</f>
        <v>999</v>
      </c>
      <c r="V289" s="35">
        <f>IF(AND($B$31&gt;0,$B$29&gt;0),(IF(71&lt;$B$31,(71-($B$31-1)/2)*$B$29,(($B$31-1)-($B$31-1)/2)*$B$29))*$B$53+(-38),999)</f>
        <v>999</v>
      </c>
      <c r="W289" s="35">
        <f>IF(AND($B$31&gt;0,$B$29&gt;0),(IF(71&lt;$B$31,($B$5/2-$B$13),IF(MOD($B$31-1,2)=0,(($B$30-1)/2*$B$29),(-(($B$30-1)/2*$B$29)))))*$B$53+(0),999)</f>
        <v>999</v>
      </c>
    </row>
    <row r="290" spans="16:23" x14ac:dyDescent="0.3">
      <c r="P290" s="35">
        <f>IF(AND($B$18&gt;0),(IF(71&lt;$B$18,(-$B$4/2+$B$13),IF(MOD($B$18-1,2)=0,(($B$22-1)/2*$B$21),(-(($B$22-1)/2*$B$21)))))*$B$53+(-38),999)</f>
        <v>-11.2307692307692</v>
      </c>
      <c r="Q290" s="35">
        <f>IF(AND($B$18&gt;0),(IF(71&lt;$B$18,(71-($B$18-1)/2)*$B$17,(($B$18-1)-($B$18-1)/2)*$B$17))*$B$53+(0),999)</f>
        <v>26.7692307692308</v>
      </c>
      <c r="R290" s="35">
        <f>IF(AND($B$22&gt;0),(IF(71&lt;$B$22,(71-($B$22-1)/2)*$B$21,(($B$22-1)-($B$22-1)/2)*$B$21))*$B$53+(-38),999)</f>
        <v>-11.2307692307692</v>
      </c>
      <c r="S290" s="35">
        <f>IF(AND($B$22&gt;0),(IF(71&lt;$B$22,(-$B$5/2+IF($B$3=3,0,$B$13)),IF(MOD($B$22-1,2)=0,(($B$18-1)/2*$B$17),(-(($B$18-1)/2*$B$17)))))*$B$53+(0),999)</f>
        <v>26.7692307692308</v>
      </c>
      <c r="T290" s="35">
        <f>IF(AND($B$30&gt;0,$B$29&gt;0),(IF(71&lt;$B$30,(-$B$4/2+$B$13),IF(MOD($B$30-1,2)=0,(($B$31-1)/2*$B$29),(-(($B$31-1)/2*$B$29)))))*$B$53+(-38),999)</f>
        <v>999</v>
      </c>
      <c r="U290" s="35">
        <f>IF(AND($B$30&gt;0,$B$29&gt;0),(IF(71&lt;$B$30,(71-($B$30-1)/2)*$B$29,(($B$30-1)-($B$30-1)/2)*$B$29))*$B$53+(0),999)</f>
        <v>999</v>
      </c>
      <c r="V290" s="35">
        <f>IF(AND($B$31&gt;0,$B$29&gt;0),(IF(71&lt;$B$31,(71-($B$31-1)/2)*$B$29,(($B$31-1)-($B$31-1)/2)*$B$29))*$B$53+(-38),999)</f>
        <v>999</v>
      </c>
      <c r="W290" s="35">
        <f>IF(AND($B$31&gt;0,$B$29&gt;0),(IF(71&lt;$B$31,(-$B$5/2+$B$13),IF(MOD($B$31-1,2)=0,(($B$30-1)/2*$B$29),(-(($B$30-1)/2*$B$29)))))*$B$53+(0),999)</f>
        <v>999</v>
      </c>
    </row>
    <row r="291" spans="16:23" x14ac:dyDescent="0.3">
      <c r="P291" s="35">
        <f>IF(AND($B$18&gt;0),(IF(71&lt;$B$18,(-(($B$22-1)/2*$B$21)),IF(MOD($B$18-1,2)=0,(($B$22-1)/2*$B$21),(-(($B$22-1)/2*$B$21)))))*$B$53+(-38),999)</f>
        <v>-11.2307692307692</v>
      </c>
      <c r="Q291" s="35">
        <f>IF(AND($B$18&gt;0),(IF(71&lt;$B$18,(71-($B$18-1)/2)*$B$17,(($B$18-1)-($B$18-1)/2)*$B$17))*$B$53+(0),999)</f>
        <v>26.7692307692308</v>
      </c>
      <c r="R291" s="35">
        <f>IF(AND($B$22&gt;0),(IF(71&lt;$B$22,(71-($B$22-1)/2)*$B$21,(($B$22-1)-($B$22-1)/2)*$B$21))*$B$53+(-38),999)</f>
        <v>-11.2307692307692</v>
      </c>
      <c r="S291" s="35">
        <f>IF(AND($B$22&gt;0),(IF(71&lt;$B$22,(-(($B$18-1)/2*$B$17)),IF(MOD($B$22-1,2)=0,(($B$18-1)/2*$B$17),(-(($B$18-1)/2*$B$17)))))*$B$53+(0),999)</f>
        <v>26.7692307692308</v>
      </c>
      <c r="T291" s="35">
        <f>IF(AND($B$30&gt;0,$B$29&gt;0),(IF(71&lt;$B$30,(-(($B$31-1)/2*$B$29)),IF(MOD($B$30-1,2)=0,(($B$31-1)/2*$B$29),(-(($B$31-1)/2*$B$29)))))*$B$53+(-38),999)</f>
        <v>999</v>
      </c>
      <c r="U291" s="35">
        <f>IF(AND($B$30&gt;0,$B$29&gt;0),(IF(71&lt;$B$30,(71-($B$30-1)/2)*$B$29,(($B$30-1)-($B$30-1)/2)*$B$29))*$B$53+(0),999)</f>
        <v>999</v>
      </c>
      <c r="V291" s="35">
        <f>IF(AND($B$31&gt;0,$B$29&gt;0),(IF(71&lt;$B$31,(71-($B$31-1)/2)*$B$29,(($B$31-1)-($B$31-1)/2)*$B$29))*$B$53+(-38),999)</f>
        <v>999</v>
      </c>
      <c r="W291" s="35">
        <f>IF(AND($B$31&gt;0,$B$29&gt;0),(IF(71&lt;$B$31,(-(($B$30-1)/2*$B$29)),IF(MOD($B$31-1,2)=0,(($B$30-1)/2*$B$29),(-(($B$30-1)/2*$B$29)))))*$B$53+(0),999)</f>
        <v>999</v>
      </c>
    </row>
    <row r="292" spans="16:23" x14ac:dyDescent="0.3">
      <c r="P292" s="35">
        <f>IF(AND($B$18&gt;0),(IF(72&lt;$B$18,(-(($B$22-1)/2*$B$21)),IF(MOD($B$18-1,2)=0,(($B$22-1)/2*$B$21),(-(($B$22-1)/2*$B$21)))))*$B$53+(-38),999)</f>
        <v>-11.2307692307692</v>
      </c>
      <c r="Q292" s="35">
        <f>IF(AND($B$18&gt;0),(IF(72&lt;$B$18,(72-($B$18-1)/2)*$B$17,(($B$18-1)-($B$18-1)/2)*$B$17))*$B$53+(0),999)</f>
        <v>26.7692307692308</v>
      </c>
      <c r="R292" s="35">
        <f>IF(AND($B$22&gt;0),(IF(72&lt;$B$22,(72-($B$22-1)/2)*$B$21,(($B$22-1)-($B$22-1)/2)*$B$21))*$B$53+(-38),999)</f>
        <v>-11.2307692307692</v>
      </c>
      <c r="S292" s="35">
        <f>IF(AND($B$22&gt;0),(IF(72&lt;$B$22,(-(($B$18-1)/2*$B$17)),IF(MOD($B$22-1,2)=0,(($B$18-1)/2*$B$17),(-(($B$18-1)/2*$B$17)))))*$B$53+(0),999)</f>
        <v>26.7692307692308</v>
      </c>
      <c r="T292" s="35">
        <f>IF(AND($B$30&gt;0,$B$29&gt;0),(IF(72&lt;$B$30,(-(($B$31-1)/2*$B$29)),IF(MOD($B$30-1,2)=0,(($B$31-1)/2*$B$29),(-(($B$31-1)/2*$B$29)))))*$B$53+(-38),999)</f>
        <v>999</v>
      </c>
      <c r="U292" s="35">
        <f>IF(AND($B$30&gt;0,$B$29&gt;0),(IF(72&lt;$B$30,(72-($B$30-1)/2)*$B$29,(($B$30-1)-($B$30-1)/2)*$B$29))*$B$53+(0),999)</f>
        <v>999</v>
      </c>
      <c r="V292" s="35">
        <f>IF(AND($B$31&gt;0,$B$29&gt;0),(IF(72&lt;$B$31,(72-($B$31-1)/2)*$B$29,(($B$31-1)-($B$31-1)/2)*$B$29))*$B$53+(-38),999)</f>
        <v>999</v>
      </c>
      <c r="W292" s="35">
        <f>IF(AND($B$31&gt;0,$B$29&gt;0),(IF(72&lt;$B$31,(-(($B$30-1)/2*$B$29)),IF(MOD($B$31-1,2)=0,(($B$30-1)/2*$B$29),(-(($B$30-1)/2*$B$29)))))*$B$53+(0),999)</f>
        <v>999</v>
      </c>
    </row>
    <row r="293" spans="16:23" x14ac:dyDescent="0.3">
      <c r="P293" s="35">
        <f>IF(AND($B$18&gt;0),(IF(72&lt;$B$18,(-$B$4/2+$B$13),IF(MOD($B$18-1,2)=0,(($B$22-1)/2*$B$21),(-(($B$22-1)/2*$B$21)))))*$B$53+(-38),999)</f>
        <v>-11.2307692307692</v>
      </c>
      <c r="Q293" s="35">
        <f>IF(AND($B$18&gt;0),(IF(72&lt;$B$18,(72-($B$18-1)/2)*$B$17,(($B$18-1)-($B$18-1)/2)*$B$17))*$B$53+(0),999)</f>
        <v>26.7692307692308</v>
      </c>
      <c r="R293" s="35">
        <f>IF(AND($B$22&gt;0),(IF(72&lt;$B$22,(72-($B$22-1)/2)*$B$21,(($B$22-1)-($B$22-1)/2)*$B$21))*$B$53+(-38),999)</f>
        <v>-11.2307692307692</v>
      </c>
      <c r="S293" s="35">
        <f>IF(AND($B$22&gt;0),(IF(72&lt;$B$22,(-$B$5/2+IF($B$3=3,0,$B$13)),IF(MOD($B$22-1,2)=0,(($B$18-1)/2*$B$17),(-(($B$18-1)/2*$B$17)))))*$B$53+(0),999)</f>
        <v>26.7692307692308</v>
      </c>
      <c r="T293" s="35">
        <f>IF(AND($B$30&gt;0,$B$29&gt;0),(IF(72&lt;$B$30,(-$B$4/2+$B$13),IF(MOD($B$30-1,2)=0,(($B$31-1)/2*$B$29),(-(($B$31-1)/2*$B$29)))))*$B$53+(-38),999)</f>
        <v>999</v>
      </c>
      <c r="U293" s="35">
        <f>IF(AND($B$30&gt;0,$B$29&gt;0),(IF(72&lt;$B$30,(72-($B$30-1)/2)*$B$29,(($B$30-1)-($B$30-1)/2)*$B$29))*$B$53+(0),999)</f>
        <v>999</v>
      </c>
      <c r="V293" s="35">
        <f>IF(AND($B$31&gt;0,$B$29&gt;0),(IF(72&lt;$B$31,(72-($B$31-1)/2)*$B$29,(($B$31-1)-($B$31-1)/2)*$B$29))*$B$53+(-38),999)</f>
        <v>999</v>
      </c>
      <c r="W293" s="35">
        <f>IF(AND($B$31&gt;0,$B$29&gt;0),(IF(72&lt;$B$31,(-$B$5/2+$B$13),IF(MOD($B$31-1,2)=0,(($B$30-1)/2*$B$29),(-(($B$30-1)/2*$B$29)))))*$B$53+(0),999)</f>
        <v>999</v>
      </c>
    </row>
    <row r="294" spans="16:23" x14ac:dyDescent="0.3">
      <c r="P294" s="35">
        <f>IF(AND($B$18&gt;0),(IF(72&lt;$B$18,($B$4/2-$B$13),IF(MOD($B$18-1,2)=0,(($B$22-1)/2*$B$21),(-(($B$22-1)/2*$B$21)))))*$B$53+(-38),999)</f>
        <v>-11.2307692307692</v>
      </c>
      <c r="Q294" s="35">
        <f>IF(AND($B$18&gt;0),(IF(72&lt;$B$18,(72-($B$18-1)/2)*$B$17,(($B$18-1)-($B$18-1)/2)*$B$17))*$B$53+(0),999)</f>
        <v>26.7692307692308</v>
      </c>
      <c r="R294" s="35">
        <f>IF(AND($B$22&gt;0),(IF(72&lt;$B$22,(72-($B$22-1)/2)*$B$21,(($B$22-1)-($B$22-1)/2)*$B$21))*$B$53+(-38),999)</f>
        <v>-11.2307692307692</v>
      </c>
      <c r="S294" s="35">
        <f>IF(AND($B$22&gt;0),(IF(72&lt;$B$22,($B$5/2-IF($B$3=3,0,$B$13)),IF(MOD($B$22-1,2)=0,(($B$18-1)/2*$B$17),(-(($B$18-1)/2*$B$17)))))*$B$53+(0),999)</f>
        <v>26.7692307692308</v>
      </c>
      <c r="T294" s="35">
        <f>IF(AND($B$30&gt;0,$B$29&gt;0),(IF(72&lt;$B$30,($B$4/2-$B$13),IF(MOD($B$30-1,2)=0,(($B$31-1)/2*$B$29),(-(($B$31-1)/2*$B$29)))))*$B$53+(-38),999)</f>
        <v>999</v>
      </c>
      <c r="U294" s="35">
        <f>IF(AND($B$30&gt;0,$B$29&gt;0),(IF(72&lt;$B$30,(72-($B$30-1)/2)*$B$29,(($B$30-1)-($B$30-1)/2)*$B$29))*$B$53+(0),999)</f>
        <v>999</v>
      </c>
      <c r="V294" s="35">
        <f>IF(AND($B$31&gt;0,$B$29&gt;0),(IF(72&lt;$B$31,(72-($B$31-1)/2)*$B$29,(($B$31-1)-($B$31-1)/2)*$B$29))*$B$53+(-38),999)</f>
        <v>999</v>
      </c>
      <c r="W294" s="35">
        <f>IF(AND($B$31&gt;0,$B$29&gt;0),(IF(72&lt;$B$31,($B$5/2-$B$13),IF(MOD($B$31-1,2)=0,(($B$30-1)/2*$B$29),(-(($B$30-1)/2*$B$29)))))*$B$53+(0),999)</f>
        <v>999</v>
      </c>
    </row>
    <row r="295" spans="16:23" x14ac:dyDescent="0.3">
      <c r="P295" s="35">
        <f>IF(AND($B$18&gt;0),(IF(72&lt;$B$18,(($B$22-1)/2*$B$21),IF(MOD($B$18-1,2)=0,(($B$22-1)/2*$B$21),(-(($B$22-1)/2*$B$21)))))*$B$53+(-38),999)</f>
        <v>-11.2307692307692</v>
      </c>
      <c r="Q295" s="35">
        <f>IF(AND($B$18&gt;0),(IF(72&lt;$B$18,(72-($B$18-1)/2)*$B$17,(($B$18-1)-($B$18-1)/2)*$B$17))*$B$53+(0),999)</f>
        <v>26.7692307692308</v>
      </c>
      <c r="R295" s="35">
        <f>IF(AND($B$22&gt;0),(IF(72&lt;$B$22,(72-($B$22-1)/2)*$B$21,(($B$22-1)-($B$22-1)/2)*$B$21))*$B$53+(-38),999)</f>
        <v>-11.2307692307692</v>
      </c>
      <c r="S295" s="35">
        <f>IF(AND($B$22&gt;0),(IF(72&lt;$B$22,(($B$18-1)/2*$B$17),IF(MOD($B$22-1,2)=0,(($B$18-1)/2*$B$17),(-(($B$18-1)/2*$B$17)))))*$B$53+(0),999)</f>
        <v>26.7692307692308</v>
      </c>
      <c r="T295" s="35">
        <f>IF(AND($B$30&gt;0,$B$29&gt;0),(IF(72&lt;$B$30,(($B$31-1)/2*$B$29),IF(MOD($B$30-1,2)=0,(($B$31-1)/2*$B$29),(-(($B$31-1)/2*$B$29)))))*$B$53+(-38),999)</f>
        <v>999</v>
      </c>
      <c r="U295" s="35">
        <f>IF(AND($B$30&gt;0,$B$29&gt;0),(IF(72&lt;$B$30,(72-($B$30-1)/2)*$B$29,(($B$30-1)-($B$30-1)/2)*$B$29))*$B$53+(0),999)</f>
        <v>999</v>
      </c>
      <c r="V295" s="35">
        <f>IF(AND($B$31&gt;0,$B$29&gt;0),(IF(72&lt;$B$31,(72-($B$31-1)/2)*$B$29,(($B$31-1)-($B$31-1)/2)*$B$29))*$B$53+(-38),999)</f>
        <v>999</v>
      </c>
      <c r="W295" s="35">
        <f>IF(AND($B$31&gt;0,$B$29&gt;0),(IF(72&lt;$B$31,(($B$30-1)/2*$B$29),IF(MOD($B$31-1,2)=0,(($B$30-1)/2*$B$29),(-(($B$30-1)/2*$B$29)))))*$B$53+(0),999)</f>
        <v>999</v>
      </c>
    </row>
    <row r="296" spans="16:23" x14ac:dyDescent="0.3">
      <c r="P296" s="35">
        <f>IF(AND($B$18&gt;0),(IF(73&lt;$B$18,(($B$22-1)/2*$B$21),IF(MOD($B$18-1,2)=0,(($B$22-1)/2*$B$21),(-(($B$22-1)/2*$B$21)))))*$B$53+(-38),999)</f>
        <v>-11.2307692307692</v>
      </c>
      <c r="Q296" s="35">
        <f>IF(AND($B$18&gt;0),(IF(73&lt;$B$18,(73-($B$18-1)/2)*$B$17,(($B$18-1)-($B$18-1)/2)*$B$17))*$B$53+(0),999)</f>
        <v>26.7692307692308</v>
      </c>
      <c r="R296" s="35">
        <f>IF(AND($B$22&gt;0),(IF(73&lt;$B$22,(73-($B$22-1)/2)*$B$21,(($B$22-1)-($B$22-1)/2)*$B$21))*$B$53+(-38),999)</f>
        <v>-11.2307692307692</v>
      </c>
      <c r="S296" s="35">
        <f>IF(AND($B$22&gt;0),(IF(73&lt;$B$22,(($B$18-1)/2*$B$17),IF(MOD($B$22-1,2)=0,(($B$18-1)/2*$B$17),(-(($B$18-1)/2*$B$17)))))*$B$53+(0),999)</f>
        <v>26.7692307692308</v>
      </c>
      <c r="T296" s="35">
        <f>IF(AND($B$30&gt;0,$B$29&gt;0),(IF(73&lt;$B$30,(($B$31-1)/2*$B$29),IF(MOD($B$30-1,2)=0,(($B$31-1)/2*$B$29),(-(($B$31-1)/2*$B$29)))))*$B$53+(-38),999)</f>
        <v>999</v>
      </c>
      <c r="U296" s="35">
        <f>IF(AND($B$30&gt;0,$B$29&gt;0),(IF(73&lt;$B$30,(73-($B$30-1)/2)*$B$29,(($B$30-1)-($B$30-1)/2)*$B$29))*$B$53+(0),999)</f>
        <v>999</v>
      </c>
      <c r="V296" s="35">
        <f>IF(AND($B$31&gt;0,$B$29&gt;0),(IF(73&lt;$B$31,(73-($B$31-1)/2)*$B$29,(($B$31-1)-($B$31-1)/2)*$B$29))*$B$53+(-38),999)</f>
        <v>999</v>
      </c>
      <c r="W296" s="35">
        <f>IF(AND($B$31&gt;0,$B$29&gt;0),(IF(73&lt;$B$31,(($B$30-1)/2*$B$29),IF(MOD($B$31-1,2)=0,(($B$30-1)/2*$B$29),(-(($B$30-1)/2*$B$29)))))*$B$53+(0),999)</f>
        <v>999</v>
      </c>
    </row>
    <row r="297" spans="16:23" x14ac:dyDescent="0.3">
      <c r="P297" s="35">
        <f>IF(AND($B$18&gt;0),(IF(73&lt;$B$18,($B$4/2-$B$13),IF(MOD($B$18-1,2)=0,(($B$22-1)/2*$B$21),(-(($B$22-1)/2*$B$21)))))*$B$53+(-38),999)</f>
        <v>-11.2307692307692</v>
      </c>
      <c r="Q297" s="35">
        <f>IF(AND($B$18&gt;0),(IF(73&lt;$B$18,(73-($B$18-1)/2)*$B$17,(($B$18-1)-($B$18-1)/2)*$B$17))*$B$53+(0),999)</f>
        <v>26.7692307692308</v>
      </c>
      <c r="R297" s="35">
        <f>IF(AND($B$22&gt;0),(IF(73&lt;$B$22,(73-($B$22-1)/2)*$B$21,(($B$22-1)-($B$22-1)/2)*$B$21))*$B$53+(-38),999)</f>
        <v>-11.2307692307692</v>
      </c>
      <c r="S297" s="35">
        <f>IF(AND($B$22&gt;0),(IF(73&lt;$B$22,($B$5/2-IF($B$3=3,0,$B$13)),IF(MOD($B$22-1,2)=0,(($B$18-1)/2*$B$17),(-(($B$18-1)/2*$B$17)))))*$B$53+(0),999)</f>
        <v>26.7692307692308</v>
      </c>
      <c r="T297" s="35">
        <f>IF(AND($B$30&gt;0,$B$29&gt;0),(IF(73&lt;$B$30,($B$4/2-$B$13),IF(MOD($B$30-1,2)=0,(($B$31-1)/2*$B$29),(-(($B$31-1)/2*$B$29)))))*$B$53+(-38),999)</f>
        <v>999</v>
      </c>
      <c r="U297" s="35">
        <f>IF(AND($B$30&gt;0,$B$29&gt;0),(IF(73&lt;$B$30,(73-($B$30-1)/2)*$B$29,(($B$30-1)-($B$30-1)/2)*$B$29))*$B$53+(0),999)</f>
        <v>999</v>
      </c>
      <c r="V297" s="35">
        <f>IF(AND($B$31&gt;0,$B$29&gt;0),(IF(73&lt;$B$31,(73-($B$31-1)/2)*$B$29,(($B$31-1)-($B$31-1)/2)*$B$29))*$B$53+(-38),999)</f>
        <v>999</v>
      </c>
      <c r="W297" s="35">
        <f>IF(AND($B$31&gt;0,$B$29&gt;0),(IF(73&lt;$B$31,($B$5/2-$B$13),IF(MOD($B$31-1,2)=0,(($B$30-1)/2*$B$29),(-(($B$30-1)/2*$B$29)))))*$B$53+(0),999)</f>
        <v>999</v>
      </c>
    </row>
    <row r="298" spans="16:23" x14ac:dyDescent="0.3">
      <c r="P298" s="35">
        <f>IF(AND($B$18&gt;0),(IF(73&lt;$B$18,(-$B$4/2+$B$13),IF(MOD($B$18-1,2)=0,(($B$22-1)/2*$B$21),(-(($B$22-1)/2*$B$21)))))*$B$53+(-38),999)</f>
        <v>-11.2307692307692</v>
      </c>
      <c r="Q298" s="35">
        <f>IF(AND($B$18&gt;0),(IF(73&lt;$B$18,(73-($B$18-1)/2)*$B$17,(($B$18-1)-($B$18-1)/2)*$B$17))*$B$53+(0),999)</f>
        <v>26.7692307692308</v>
      </c>
      <c r="R298" s="35">
        <f>IF(AND($B$22&gt;0),(IF(73&lt;$B$22,(73-($B$22-1)/2)*$B$21,(($B$22-1)-($B$22-1)/2)*$B$21))*$B$53+(-38),999)</f>
        <v>-11.2307692307692</v>
      </c>
      <c r="S298" s="35">
        <f>IF(AND($B$22&gt;0),(IF(73&lt;$B$22,(-$B$5/2+IF($B$3=3,0,$B$13)),IF(MOD($B$22-1,2)=0,(($B$18-1)/2*$B$17),(-(($B$18-1)/2*$B$17)))))*$B$53+(0),999)</f>
        <v>26.7692307692308</v>
      </c>
      <c r="T298" s="35">
        <f>IF(AND($B$30&gt;0,$B$29&gt;0),(IF(73&lt;$B$30,(-$B$4/2+$B$13),IF(MOD($B$30-1,2)=0,(($B$31-1)/2*$B$29),(-(($B$31-1)/2*$B$29)))))*$B$53+(-38),999)</f>
        <v>999</v>
      </c>
      <c r="U298" s="35">
        <f>IF(AND($B$30&gt;0,$B$29&gt;0),(IF(73&lt;$B$30,(73-($B$30-1)/2)*$B$29,(($B$30-1)-($B$30-1)/2)*$B$29))*$B$53+(0),999)</f>
        <v>999</v>
      </c>
      <c r="V298" s="35">
        <f>IF(AND($B$31&gt;0,$B$29&gt;0),(IF(73&lt;$B$31,(73-($B$31-1)/2)*$B$29,(($B$31-1)-($B$31-1)/2)*$B$29))*$B$53+(-38),999)</f>
        <v>999</v>
      </c>
      <c r="W298" s="35">
        <f>IF(AND($B$31&gt;0,$B$29&gt;0),(IF(73&lt;$B$31,(-$B$5/2+$B$13),IF(MOD($B$31-1,2)=0,(($B$30-1)/2*$B$29),(-(($B$30-1)/2*$B$29)))))*$B$53+(0),999)</f>
        <v>999</v>
      </c>
    </row>
    <row r="299" spans="16:23" x14ac:dyDescent="0.3">
      <c r="P299" s="35">
        <f>IF(AND($B$18&gt;0),(IF(73&lt;$B$18,(-(($B$22-1)/2*$B$21)),IF(MOD($B$18-1,2)=0,(($B$22-1)/2*$B$21),(-(($B$22-1)/2*$B$21)))))*$B$53+(-38),999)</f>
        <v>-11.2307692307692</v>
      </c>
      <c r="Q299" s="35">
        <f>IF(AND($B$18&gt;0),(IF(73&lt;$B$18,(73-($B$18-1)/2)*$B$17,(($B$18-1)-($B$18-1)/2)*$B$17))*$B$53+(0),999)</f>
        <v>26.7692307692308</v>
      </c>
      <c r="R299" s="35">
        <f>IF(AND($B$22&gt;0),(IF(73&lt;$B$22,(73-($B$22-1)/2)*$B$21,(($B$22-1)-($B$22-1)/2)*$B$21))*$B$53+(-38),999)</f>
        <v>-11.2307692307692</v>
      </c>
      <c r="S299" s="35">
        <f>IF(AND($B$22&gt;0),(IF(73&lt;$B$22,(-(($B$18-1)/2*$B$17)),IF(MOD($B$22-1,2)=0,(($B$18-1)/2*$B$17),(-(($B$18-1)/2*$B$17)))))*$B$53+(0),999)</f>
        <v>26.7692307692308</v>
      </c>
      <c r="T299" s="35">
        <f>IF(AND($B$30&gt;0,$B$29&gt;0),(IF(73&lt;$B$30,(-(($B$31-1)/2*$B$29)),IF(MOD($B$30-1,2)=0,(($B$31-1)/2*$B$29),(-(($B$31-1)/2*$B$29)))))*$B$53+(-38),999)</f>
        <v>999</v>
      </c>
      <c r="U299" s="35">
        <f>IF(AND($B$30&gt;0,$B$29&gt;0),(IF(73&lt;$B$30,(73-($B$30-1)/2)*$B$29,(($B$30-1)-($B$30-1)/2)*$B$29))*$B$53+(0),999)</f>
        <v>999</v>
      </c>
      <c r="V299" s="35">
        <f>IF(AND($B$31&gt;0,$B$29&gt;0),(IF(73&lt;$B$31,(73-($B$31-1)/2)*$B$29,(($B$31-1)-($B$31-1)/2)*$B$29))*$B$53+(-38),999)</f>
        <v>999</v>
      </c>
      <c r="W299" s="35">
        <f>IF(AND($B$31&gt;0,$B$29&gt;0),(IF(73&lt;$B$31,(-(($B$30-1)/2*$B$29)),IF(MOD($B$31-1,2)=0,(($B$30-1)/2*$B$29),(-(($B$30-1)/2*$B$29)))))*$B$53+(0),999)</f>
        <v>999</v>
      </c>
    </row>
    <row r="300" spans="16:23" x14ac:dyDescent="0.3">
      <c r="P300" s="35">
        <f>IF(AND($B$18&gt;0),(IF(74&lt;$B$18,(-(($B$22-1)/2*$B$21)),IF(MOD($B$18-1,2)=0,(($B$22-1)/2*$B$21),(-(($B$22-1)/2*$B$21)))))*$B$53+(-38),999)</f>
        <v>-11.2307692307692</v>
      </c>
      <c r="Q300" s="35">
        <f>IF(AND($B$18&gt;0),(IF(74&lt;$B$18,(74-($B$18-1)/2)*$B$17,(($B$18-1)-($B$18-1)/2)*$B$17))*$B$53+(0),999)</f>
        <v>26.7692307692308</v>
      </c>
      <c r="R300" s="35">
        <f>IF(AND($B$22&gt;0),(IF(74&lt;$B$22,(74-($B$22-1)/2)*$B$21,(($B$22-1)-($B$22-1)/2)*$B$21))*$B$53+(-38),999)</f>
        <v>-11.2307692307692</v>
      </c>
      <c r="S300" s="35">
        <f>IF(AND($B$22&gt;0),(IF(74&lt;$B$22,(-(($B$18-1)/2*$B$17)),IF(MOD($B$22-1,2)=0,(($B$18-1)/2*$B$17),(-(($B$18-1)/2*$B$17)))))*$B$53+(0),999)</f>
        <v>26.7692307692308</v>
      </c>
      <c r="T300" s="35">
        <f>IF(AND($B$30&gt;0,$B$29&gt;0),(IF(74&lt;$B$30,(-(($B$31-1)/2*$B$29)),IF(MOD($B$30-1,2)=0,(($B$31-1)/2*$B$29),(-(($B$31-1)/2*$B$29)))))*$B$53+(-38),999)</f>
        <v>999</v>
      </c>
      <c r="U300" s="35">
        <f>IF(AND($B$30&gt;0,$B$29&gt;0),(IF(74&lt;$B$30,(74-($B$30-1)/2)*$B$29,(($B$30-1)-($B$30-1)/2)*$B$29))*$B$53+(0),999)</f>
        <v>999</v>
      </c>
      <c r="V300" s="35">
        <f>IF(AND($B$31&gt;0,$B$29&gt;0),(IF(74&lt;$B$31,(74-($B$31-1)/2)*$B$29,(($B$31-1)-($B$31-1)/2)*$B$29))*$B$53+(-38),999)</f>
        <v>999</v>
      </c>
      <c r="W300" s="35">
        <f>IF(AND($B$31&gt;0,$B$29&gt;0),(IF(74&lt;$B$31,(-(($B$30-1)/2*$B$29)),IF(MOD($B$31-1,2)=0,(($B$30-1)/2*$B$29),(-(($B$30-1)/2*$B$29)))))*$B$53+(0),999)</f>
        <v>999</v>
      </c>
    </row>
    <row r="301" spans="16:23" x14ac:dyDescent="0.3">
      <c r="P301" s="35">
        <f>IF(AND($B$18&gt;0),(IF(74&lt;$B$18,(-$B$4/2+$B$13),IF(MOD($B$18-1,2)=0,(($B$22-1)/2*$B$21),(-(($B$22-1)/2*$B$21)))))*$B$53+(-38),999)</f>
        <v>-11.2307692307692</v>
      </c>
      <c r="Q301" s="35">
        <f>IF(AND($B$18&gt;0),(IF(74&lt;$B$18,(74-($B$18-1)/2)*$B$17,(($B$18-1)-($B$18-1)/2)*$B$17))*$B$53+(0),999)</f>
        <v>26.7692307692308</v>
      </c>
      <c r="R301" s="35">
        <f>IF(AND($B$22&gt;0),(IF(74&lt;$B$22,(74-($B$22-1)/2)*$B$21,(($B$22-1)-($B$22-1)/2)*$B$21))*$B$53+(-38),999)</f>
        <v>-11.2307692307692</v>
      </c>
      <c r="S301" s="35">
        <f>IF(AND($B$22&gt;0),(IF(74&lt;$B$22,(-$B$5/2+IF($B$3=3,0,$B$13)),IF(MOD($B$22-1,2)=0,(($B$18-1)/2*$B$17),(-(($B$18-1)/2*$B$17)))))*$B$53+(0),999)</f>
        <v>26.7692307692308</v>
      </c>
      <c r="T301" s="35">
        <f>IF(AND($B$30&gt;0,$B$29&gt;0),(IF(74&lt;$B$30,(-$B$4/2+$B$13),IF(MOD($B$30-1,2)=0,(($B$31-1)/2*$B$29),(-(($B$31-1)/2*$B$29)))))*$B$53+(-38),999)</f>
        <v>999</v>
      </c>
      <c r="U301" s="35">
        <f>IF(AND($B$30&gt;0,$B$29&gt;0),(IF(74&lt;$B$30,(74-($B$30-1)/2)*$B$29,(($B$30-1)-($B$30-1)/2)*$B$29))*$B$53+(0),999)</f>
        <v>999</v>
      </c>
      <c r="V301" s="35">
        <f>IF(AND($B$31&gt;0,$B$29&gt;0),(IF(74&lt;$B$31,(74-($B$31-1)/2)*$B$29,(($B$31-1)-($B$31-1)/2)*$B$29))*$B$53+(-38),999)</f>
        <v>999</v>
      </c>
      <c r="W301" s="35">
        <f>IF(AND($B$31&gt;0,$B$29&gt;0),(IF(74&lt;$B$31,(-$B$5/2+$B$13),IF(MOD($B$31-1,2)=0,(($B$30-1)/2*$B$29),(-(($B$30-1)/2*$B$29)))))*$B$53+(0),999)</f>
        <v>999</v>
      </c>
    </row>
    <row r="302" spans="16:23" x14ac:dyDescent="0.3">
      <c r="P302" s="35">
        <f>IF(AND($B$18&gt;0),(IF(74&lt;$B$18,($B$4/2-$B$13),IF(MOD($B$18-1,2)=0,(($B$22-1)/2*$B$21),(-(($B$22-1)/2*$B$21)))))*$B$53+(-38),999)</f>
        <v>-11.2307692307692</v>
      </c>
      <c r="Q302" s="35">
        <f>IF(AND($B$18&gt;0),(IF(74&lt;$B$18,(74-($B$18-1)/2)*$B$17,(($B$18-1)-($B$18-1)/2)*$B$17))*$B$53+(0),999)</f>
        <v>26.7692307692308</v>
      </c>
      <c r="R302" s="35">
        <f>IF(AND($B$22&gt;0),(IF(74&lt;$B$22,(74-($B$22-1)/2)*$B$21,(($B$22-1)-($B$22-1)/2)*$B$21))*$B$53+(-38),999)</f>
        <v>-11.2307692307692</v>
      </c>
      <c r="S302" s="35">
        <f>IF(AND($B$22&gt;0),(IF(74&lt;$B$22,($B$5/2-IF($B$3=3,0,$B$13)),IF(MOD($B$22-1,2)=0,(($B$18-1)/2*$B$17),(-(($B$18-1)/2*$B$17)))))*$B$53+(0),999)</f>
        <v>26.7692307692308</v>
      </c>
      <c r="T302" s="35">
        <f>IF(AND($B$30&gt;0,$B$29&gt;0),(IF(74&lt;$B$30,($B$4/2-$B$13),IF(MOD($B$30-1,2)=0,(($B$31-1)/2*$B$29),(-(($B$31-1)/2*$B$29)))))*$B$53+(-38),999)</f>
        <v>999</v>
      </c>
      <c r="U302" s="35">
        <f>IF(AND($B$30&gt;0,$B$29&gt;0),(IF(74&lt;$B$30,(74-($B$30-1)/2)*$B$29,(($B$30-1)-($B$30-1)/2)*$B$29))*$B$53+(0),999)</f>
        <v>999</v>
      </c>
      <c r="V302" s="35">
        <f>IF(AND($B$31&gt;0,$B$29&gt;0),(IF(74&lt;$B$31,(74-($B$31-1)/2)*$B$29,(($B$31-1)-($B$31-1)/2)*$B$29))*$B$53+(-38),999)</f>
        <v>999</v>
      </c>
      <c r="W302" s="35">
        <f>IF(AND($B$31&gt;0,$B$29&gt;0),(IF(74&lt;$B$31,($B$5/2-$B$13),IF(MOD($B$31-1,2)=0,(($B$30-1)/2*$B$29),(-(($B$30-1)/2*$B$29)))))*$B$53+(0),999)</f>
        <v>999</v>
      </c>
    </row>
    <row r="303" spans="16:23" x14ac:dyDescent="0.3">
      <c r="P303" s="35">
        <f>IF(AND($B$18&gt;0),(IF(74&lt;$B$18,(($B$22-1)/2*$B$21),IF(MOD($B$18-1,2)=0,(($B$22-1)/2*$B$21),(-(($B$22-1)/2*$B$21)))))*$B$53+(-38),999)</f>
        <v>-11.2307692307692</v>
      </c>
      <c r="Q303" s="35">
        <f>IF(AND($B$18&gt;0),(IF(74&lt;$B$18,(74-($B$18-1)/2)*$B$17,(($B$18-1)-($B$18-1)/2)*$B$17))*$B$53+(0),999)</f>
        <v>26.7692307692308</v>
      </c>
      <c r="R303" s="35">
        <f>IF(AND($B$22&gt;0),(IF(74&lt;$B$22,(74-($B$22-1)/2)*$B$21,(($B$22-1)-($B$22-1)/2)*$B$21))*$B$53+(-38),999)</f>
        <v>-11.2307692307692</v>
      </c>
      <c r="S303" s="35">
        <f>IF(AND($B$22&gt;0),(IF(74&lt;$B$22,(($B$18-1)/2*$B$17),IF(MOD($B$22-1,2)=0,(($B$18-1)/2*$B$17),(-(($B$18-1)/2*$B$17)))))*$B$53+(0),999)</f>
        <v>26.7692307692308</v>
      </c>
      <c r="T303" s="35">
        <f>IF(AND($B$30&gt;0,$B$29&gt;0),(IF(74&lt;$B$30,(($B$31-1)/2*$B$29),IF(MOD($B$30-1,2)=0,(($B$31-1)/2*$B$29),(-(($B$31-1)/2*$B$29)))))*$B$53+(-38),999)</f>
        <v>999</v>
      </c>
      <c r="U303" s="35">
        <f>IF(AND($B$30&gt;0,$B$29&gt;0),(IF(74&lt;$B$30,(74-($B$30-1)/2)*$B$29,(($B$30-1)-($B$30-1)/2)*$B$29))*$B$53+(0),999)</f>
        <v>999</v>
      </c>
      <c r="V303" s="35">
        <f>IF(AND($B$31&gt;0,$B$29&gt;0),(IF(74&lt;$B$31,(74-($B$31-1)/2)*$B$29,(($B$31-1)-($B$31-1)/2)*$B$29))*$B$53+(-38),999)</f>
        <v>999</v>
      </c>
      <c r="W303" s="35">
        <f>IF(AND($B$31&gt;0,$B$29&gt;0),(IF(74&lt;$B$31,(($B$30-1)/2*$B$29),IF(MOD($B$31-1,2)=0,(($B$30-1)/2*$B$29),(-(($B$30-1)/2*$B$29)))))*$B$53+(0),999)</f>
        <v>999</v>
      </c>
    </row>
    <row r="304" spans="16:23" x14ac:dyDescent="0.3">
      <c r="P304" s="35">
        <f>IF(AND($B$18&gt;0),(IF(75&lt;$B$18,(($B$22-1)/2*$B$21),IF(MOD($B$18-1,2)=0,(($B$22-1)/2*$B$21),(-(($B$22-1)/2*$B$21)))))*$B$53+(-38),999)</f>
        <v>-11.2307692307692</v>
      </c>
      <c r="Q304" s="35">
        <f>IF(AND($B$18&gt;0),(IF(75&lt;$B$18,(75-($B$18-1)/2)*$B$17,(($B$18-1)-($B$18-1)/2)*$B$17))*$B$53+(0),999)</f>
        <v>26.7692307692308</v>
      </c>
      <c r="R304" s="35">
        <f>IF(AND($B$22&gt;0),(IF(75&lt;$B$22,(75-($B$22-1)/2)*$B$21,(($B$22-1)-($B$22-1)/2)*$B$21))*$B$53+(-38),999)</f>
        <v>-11.2307692307692</v>
      </c>
      <c r="S304" s="35">
        <f>IF(AND($B$22&gt;0),(IF(75&lt;$B$22,(($B$18-1)/2*$B$17),IF(MOD($B$22-1,2)=0,(($B$18-1)/2*$B$17),(-(($B$18-1)/2*$B$17)))))*$B$53+(0),999)</f>
        <v>26.7692307692308</v>
      </c>
      <c r="T304" s="35">
        <f>IF(AND($B$30&gt;0,$B$29&gt;0),(IF(75&lt;$B$30,(($B$31-1)/2*$B$29),IF(MOD($B$30-1,2)=0,(($B$31-1)/2*$B$29),(-(($B$31-1)/2*$B$29)))))*$B$53+(-38),999)</f>
        <v>999</v>
      </c>
      <c r="U304" s="35">
        <f>IF(AND($B$30&gt;0,$B$29&gt;0),(IF(75&lt;$B$30,(75-($B$30-1)/2)*$B$29,(($B$30-1)-($B$30-1)/2)*$B$29))*$B$53+(0),999)</f>
        <v>999</v>
      </c>
      <c r="V304" s="35">
        <f>IF(AND($B$31&gt;0,$B$29&gt;0),(IF(75&lt;$B$31,(75-($B$31-1)/2)*$B$29,(($B$31-1)-($B$31-1)/2)*$B$29))*$B$53+(-38),999)</f>
        <v>999</v>
      </c>
      <c r="W304" s="35">
        <f>IF(AND($B$31&gt;0,$B$29&gt;0),(IF(75&lt;$B$31,(($B$30-1)/2*$B$29),IF(MOD($B$31-1,2)=0,(($B$30-1)/2*$B$29),(-(($B$30-1)/2*$B$29)))))*$B$53+(0),999)</f>
        <v>999</v>
      </c>
    </row>
    <row r="305" spans="16:23" x14ac:dyDescent="0.3">
      <c r="P305" s="35">
        <f>IF(AND($B$18&gt;0),(IF(75&lt;$B$18,($B$4/2-$B$13),IF(MOD($B$18-1,2)=0,(($B$22-1)/2*$B$21),(-(($B$22-1)/2*$B$21)))))*$B$53+(-38),999)</f>
        <v>-11.2307692307692</v>
      </c>
      <c r="Q305" s="35">
        <f>IF(AND($B$18&gt;0),(IF(75&lt;$B$18,(75-($B$18-1)/2)*$B$17,(($B$18-1)-($B$18-1)/2)*$B$17))*$B$53+(0),999)</f>
        <v>26.7692307692308</v>
      </c>
      <c r="R305" s="35">
        <f>IF(AND($B$22&gt;0),(IF(75&lt;$B$22,(75-($B$22-1)/2)*$B$21,(($B$22-1)-($B$22-1)/2)*$B$21))*$B$53+(-38),999)</f>
        <v>-11.2307692307692</v>
      </c>
      <c r="S305" s="35">
        <f>IF(AND($B$22&gt;0),(IF(75&lt;$B$22,($B$5/2-IF($B$3=3,0,$B$13)),IF(MOD($B$22-1,2)=0,(($B$18-1)/2*$B$17),(-(($B$18-1)/2*$B$17)))))*$B$53+(0),999)</f>
        <v>26.7692307692308</v>
      </c>
      <c r="T305" s="35">
        <f>IF(AND($B$30&gt;0,$B$29&gt;0),(IF(75&lt;$B$30,($B$4/2-$B$13),IF(MOD($B$30-1,2)=0,(($B$31-1)/2*$B$29),(-(($B$31-1)/2*$B$29)))))*$B$53+(-38),999)</f>
        <v>999</v>
      </c>
      <c r="U305" s="35">
        <f>IF(AND($B$30&gt;0,$B$29&gt;0),(IF(75&lt;$B$30,(75-($B$30-1)/2)*$B$29,(($B$30-1)-($B$30-1)/2)*$B$29))*$B$53+(0),999)</f>
        <v>999</v>
      </c>
      <c r="V305" s="35">
        <f>IF(AND($B$31&gt;0,$B$29&gt;0),(IF(75&lt;$B$31,(75-($B$31-1)/2)*$B$29,(($B$31-1)-($B$31-1)/2)*$B$29))*$B$53+(-38),999)</f>
        <v>999</v>
      </c>
      <c r="W305" s="35">
        <f>IF(AND($B$31&gt;0,$B$29&gt;0),(IF(75&lt;$B$31,($B$5/2-$B$13),IF(MOD($B$31-1,2)=0,(($B$30-1)/2*$B$29),(-(($B$30-1)/2*$B$29)))))*$B$53+(0),999)</f>
        <v>999</v>
      </c>
    </row>
    <row r="306" spans="16:23" x14ac:dyDescent="0.3">
      <c r="P306" s="35">
        <f>IF(AND($B$18&gt;0),(IF(75&lt;$B$18,(-$B$4/2+$B$13),IF(MOD($B$18-1,2)=0,(($B$22-1)/2*$B$21),(-(($B$22-1)/2*$B$21)))))*$B$53+(-38),999)</f>
        <v>-11.2307692307692</v>
      </c>
      <c r="Q306" s="35">
        <f>IF(AND($B$18&gt;0),(IF(75&lt;$B$18,(75-($B$18-1)/2)*$B$17,(($B$18-1)-($B$18-1)/2)*$B$17))*$B$53+(0),999)</f>
        <v>26.7692307692308</v>
      </c>
      <c r="R306" s="35">
        <f>IF(AND($B$22&gt;0),(IF(75&lt;$B$22,(75-($B$22-1)/2)*$B$21,(($B$22-1)-($B$22-1)/2)*$B$21))*$B$53+(-38),999)</f>
        <v>-11.2307692307692</v>
      </c>
      <c r="S306" s="35">
        <f>IF(AND($B$22&gt;0),(IF(75&lt;$B$22,(-$B$5/2+IF($B$3=3,0,$B$13)),IF(MOD($B$22-1,2)=0,(($B$18-1)/2*$B$17),(-(($B$18-1)/2*$B$17)))))*$B$53+(0),999)</f>
        <v>26.7692307692308</v>
      </c>
      <c r="T306" s="35">
        <f>IF(AND($B$30&gt;0,$B$29&gt;0),(IF(75&lt;$B$30,(-$B$4/2+$B$13),IF(MOD($B$30-1,2)=0,(($B$31-1)/2*$B$29),(-(($B$31-1)/2*$B$29)))))*$B$53+(-38),999)</f>
        <v>999</v>
      </c>
      <c r="U306" s="35">
        <f>IF(AND($B$30&gt;0,$B$29&gt;0),(IF(75&lt;$B$30,(75-($B$30-1)/2)*$B$29,(($B$30-1)-($B$30-1)/2)*$B$29))*$B$53+(0),999)</f>
        <v>999</v>
      </c>
      <c r="V306" s="35">
        <f>IF(AND($B$31&gt;0,$B$29&gt;0),(IF(75&lt;$B$31,(75-($B$31-1)/2)*$B$29,(($B$31-1)-($B$31-1)/2)*$B$29))*$B$53+(-38),999)</f>
        <v>999</v>
      </c>
      <c r="W306" s="35">
        <f>IF(AND($B$31&gt;0,$B$29&gt;0),(IF(75&lt;$B$31,(-$B$5/2+$B$13),IF(MOD($B$31-1,2)=0,(($B$30-1)/2*$B$29),(-(($B$30-1)/2*$B$29)))))*$B$53+(0),999)</f>
        <v>999</v>
      </c>
    </row>
    <row r="307" spans="16:23" x14ac:dyDescent="0.3">
      <c r="P307" s="35">
        <f>IF(AND($B$18&gt;0),(IF(75&lt;$B$18,(-(($B$22-1)/2*$B$21)),IF(MOD($B$18-1,2)=0,(($B$22-1)/2*$B$21),(-(($B$22-1)/2*$B$21)))))*$B$53+(-38),999)</f>
        <v>-11.2307692307692</v>
      </c>
      <c r="Q307" s="35">
        <f>IF(AND($B$18&gt;0),(IF(75&lt;$B$18,(75-($B$18-1)/2)*$B$17,(($B$18-1)-($B$18-1)/2)*$B$17))*$B$53+(0),999)</f>
        <v>26.7692307692308</v>
      </c>
      <c r="R307" s="35">
        <f>IF(AND($B$22&gt;0),(IF(75&lt;$B$22,(75-($B$22-1)/2)*$B$21,(($B$22-1)-($B$22-1)/2)*$B$21))*$B$53+(-38),999)</f>
        <v>-11.2307692307692</v>
      </c>
      <c r="S307" s="35">
        <f>IF(AND($B$22&gt;0),(IF(75&lt;$B$22,(-(($B$18-1)/2*$B$17)),IF(MOD($B$22-1,2)=0,(($B$18-1)/2*$B$17),(-(($B$18-1)/2*$B$17)))))*$B$53+(0),999)</f>
        <v>26.7692307692308</v>
      </c>
      <c r="T307" s="35">
        <f>IF(AND($B$30&gt;0,$B$29&gt;0),(IF(75&lt;$B$30,(-(($B$31-1)/2*$B$29)),IF(MOD($B$30-1,2)=0,(($B$31-1)/2*$B$29),(-(($B$31-1)/2*$B$29)))))*$B$53+(-38),999)</f>
        <v>999</v>
      </c>
      <c r="U307" s="35">
        <f>IF(AND($B$30&gt;0,$B$29&gt;0),(IF(75&lt;$B$30,(75-($B$30-1)/2)*$B$29,(($B$30-1)-($B$30-1)/2)*$B$29))*$B$53+(0),999)</f>
        <v>999</v>
      </c>
      <c r="V307" s="35">
        <f>IF(AND($B$31&gt;0,$B$29&gt;0),(IF(75&lt;$B$31,(75-($B$31-1)/2)*$B$29,(($B$31-1)-($B$31-1)/2)*$B$29))*$B$53+(-38),999)</f>
        <v>999</v>
      </c>
      <c r="W307" s="35">
        <f>IF(AND($B$31&gt;0,$B$29&gt;0),(IF(75&lt;$B$31,(-(($B$30-1)/2*$B$29)),IF(MOD($B$31-1,2)=0,(($B$30-1)/2*$B$29),(-(($B$30-1)/2*$B$29)))))*$B$53+(0),999)</f>
        <v>999</v>
      </c>
    </row>
    <row r="308" spans="16:23" x14ac:dyDescent="0.3">
      <c r="P308" s="35">
        <f>IF(AND($B$18&gt;0),(IF(76&lt;$B$18,(-(($B$22-1)/2*$B$21)),IF(MOD($B$18-1,2)=0,(($B$22-1)/2*$B$21),(-(($B$22-1)/2*$B$21)))))*$B$53+(-38),999)</f>
        <v>-11.2307692307692</v>
      </c>
      <c r="Q308" s="35">
        <f>IF(AND($B$18&gt;0),(IF(76&lt;$B$18,(76-($B$18-1)/2)*$B$17,(($B$18-1)-($B$18-1)/2)*$B$17))*$B$53+(0),999)</f>
        <v>26.7692307692308</v>
      </c>
      <c r="R308" s="35">
        <f>IF(AND($B$22&gt;0),(IF(76&lt;$B$22,(76-($B$22-1)/2)*$B$21,(($B$22-1)-($B$22-1)/2)*$B$21))*$B$53+(-38),999)</f>
        <v>-11.2307692307692</v>
      </c>
      <c r="S308" s="35">
        <f>IF(AND($B$22&gt;0),(IF(76&lt;$B$22,(-(($B$18-1)/2*$B$17)),IF(MOD($B$22-1,2)=0,(($B$18-1)/2*$B$17),(-(($B$18-1)/2*$B$17)))))*$B$53+(0),999)</f>
        <v>26.7692307692308</v>
      </c>
      <c r="T308" s="35">
        <f>IF(AND($B$30&gt;0,$B$29&gt;0),(IF(76&lt;$B$30,(-(($B$31-1)/2*$B$29)),IF(MOD($B$30-1,2)=0,(($B$31-1)/2*$B$29),(-(($B$31-1)/2*$B$29)))))*$B$53+(-38),999)</f>
        <v>999</v>
      </c>
      <c r="U308" s="35">
        <f>IF(AND($B$30&gt;0,$B$29&gt;0),(IF(76&lt;$B$30,(76-($B$30-1)/2)*$B$29,(($B$30-1)-($B$30-1)/2)*$B$29))*$B$53+(0),999)</f>
        <v>999</v>
      </c>
      <c r="V308" s="35">
        <f>IF(AND($B$31&gt;0,$B$29&gt;0),(IF(76&lt;$B$31,(76-($B$31-1)/2)*$B$29,(($B$31-1)-($B$31-1)/2)*$B$29))*$B$53+(-38),999)</f>
        <v>999</v>
      </c>
      <c r="W308" s="35">
        <f>IF(AND($B$31&gt;0,$B$29&gt;0),(IF(76&lt;$B$31,(-(($B$30-1)/2*$B$29)),IF(MOD($B$31-1,2)=0,(($B$30-1)/2*$B$29),(-(($B$30-1)/2*$B$29)))))*$B$53+(0),999)</f>
        <v>999</v>
      </c>
    </row>
    <row r="309" spans="16:23" x14ac:dyDescent="0.3">
      <c r="P309" s="35">
        <f>IF(AND($B$18&gt;0),(IF(76&lt;$B$18,(-$B$4/2+$B$13),IF(MOD($B$18-1,2)=0,(($B$22-1)/2*$B$21),(-(($B$22-1)/2*$B$21)))))*$B$53+(-38),999)</f>
        <v>-11.2307692307692</v>
      </c>
      <c r="Q309" s="35">
        <f>IF(AND($B$18&gt;0),(IF(76&lt;$B$18,(76-($B$18-1)/2)*$B$17,(($B$18-1)-($B$18-1)/2)*$B$17))*$B$53+(0),999)</f>
        <v>26.7692307692308</v>
      </c>
      <c r="R309" s="35">
        <f>IF(AND($B$22&gt;0),(IF(76&lt;$B$22,(76-($B$22-1)/2)*$B$21,(($B$22-1)-($B$22-1)/2)*$B$21))*$B$53+(-38),999)</f>
        <v>-11.2307692307692</v>
      </c>
      <c r="S309" s="35">
        <f>IF(AND($B$22&gt;0),(IF(76&lt;$B$22,(-$B$5/2+IF($B$3=3,0,$B$13)),IF(MOD($B$22-1,2)=0,(($B$18-1)/2*$B$17),(-(($B$18-1)/2*$B$17)))))*$B$53+(0),999)</f>
        <v>26.7692307692308</v>
      </c>
      <c r="T309" s="35">
        <f>IF(AND($B$30&gt;0,$B$29&gt;0),(IF(76&lt;$B$30,(-$B$4/2+$B$13),IF(MOD($B$30-1,2)=0,(($B$31-1)/2*$B$29),(-(($B$31-1)/2*$B$29)))))*$B$53+(-38),999)</f>
        <v>999</v>
      </c>
      <c r="U309" s="35">
        <f>IF(AND($B$30&gt;0,$B$29&gt;0),(IF(76&lt;$B$30,(76-($B$30-1)/2)*$B$29,(($B$30-1)-($B$30-1)/2)*$B$29))*$B$53+(0),999)</f>
        <v>999</v>
      </c>
      <c r="V309" s="35">
        <f>IF(AND($B$31&gt;0,$B$29&gt;0),(IF(76&lt;$B$31,(76-($B$31-1)/2)*$B$29,(($B$31-1)-($B$31-1)/2)*$B$29))*$B$53+(-38),999)</f>
        <v>999</v>
      </c>
      <c r="W309" s="35">
        <f>IF(AND($B$31&gt;0,$B$29&gt;0),(IF(76&lt;$B$31,(-$B$5/2+$B$13),IF(MOD($B$31-1,2)=0,(($B$30-1)/2*$B$29),(-(($B$30-1)/2*$B$29)))))*$B$53+(0),999)</f>
        <v>999</v>
      </c>
    </row>
    <row r="310" spans="16:23" x14ac:dyDescent="0.3">
      <c r="P310" s="35">
        <f>IF(AND($B$18&gt;0),(IF(76&lt;$B$18,($B$4/2-$B$13),IF(MOD($B$18-1,2)=0,(($B$22-1)/2*$B$21),(-(($B$22-1)/2*$B$21)))))*$B$53+(-38),999)</f>
        <v>-11.2307692307692</v>
      </c>
      <c r="Q310" s="35">
        <f>IF(AND($B$18&gt;0),(IF(76&lt;$B$18,(76-($B$18-1)/2)*$B$17,(($B$18-1)-($B$18-1)/2)*$B$17))*$B$53+(0),999)</f>
        <v>26.7692307692308</v>
      </c>
      <c r="R310" s="35">
        <f>IF(AND($B$22&gt;0),(IF(76&lt;$B$22,(76-($B$22-1)/2)*$B$21,(($B$22-1)-($B$22-1)/2)*$B$21))*$B$53+(-38),999)</f>
        <v>-11.2307692307692</v>
      </c>
      <c r="S310" s="35">
        <f>IF(AND($B$22&gt;0),(IF(76&lt;$B$22,($B$5/2-IF($B$3=3,0,$B$13)),IF(MOD($B$22-1,2)=0,(($B$18-1)/2*$B$17),(-(($B$18-1)/2*$B$17)))))*$B$53+(0),999)</f>
        <v>26.7692307692308</v>
      </c>
      <c r="T310" s="35">
        <f>IF(AND($B$30&gt;0,$B$29&gt;0),(IF(76&lt;$B$30,($B$4/2-$B$13),IF(MOD($B$30-1,2)=0,(($B$31-1)/2*$B$29),(-(($B$31-1)/2*$B$29)))))*$B$53+(-38),999)</f>
        <v>999</v>
      </c>
      <c r="U310" s="35">
        <f>IF(AND($B$30&gt;0,$B$29&gt;0),(IF(76&lt;$B$30,(76-($B$30-1)/2)*$B$29,(($B$30-1)-($B$30-1)/2)*$B$29))*$B$53+(0),999)</f>
        <v>999</v>
      </c>
      <c r="V310" s="35">
        <f>IF(AND($B$31&gt;0,$B$29&gt;0),(IF(76&lt;$B$31,(76-($B$31-1)/2)*$B$29,(($B$31-1)-($B$31-1)/2)*$B$29))*$B$53+(-38),999)</f>
        <v>999</v>
      </c>
      <c r="W310" s="35">
        <f>IF(AND($B$31&gt;0,$B$29&gt;0),(IF(76&lt;$B$31,($B$5/2-$B$13),IF(MOD($B$31-1,2)=0,(($B$30-1)/2*$B$29),(-(($B$30-1)/2*$B$29)))))*$B$53+(0),999)</f>
        <v>999</v>
      </c>
    </row>
    <row r="311" spans="16:23" x14ac:dyDescent="0.3">
      <c r="P311" s="35">
        <f>IF(AND($B$18&gt;0),(IF(76&lt;$B$18,(($B$22-1)/2*$B$21),IF(MOD($B$18-1,2)=0,(($B$22-1)/2*$B$21),(-(($B$22-1)/2*$B$21)))))*$B$53+(-38),999)</f>
        <v>-11.2307692307692</v>
      </c>
      <c r="Q311" s="35">
        <f>IF(AND($B$18&gt;0),(IF(76&lt;$B$18,(76-($B$18-1)/2)*$B$17,(($B$18-1)-($B$18-1)/2)*$B$17))*$B$53+(0),999)</f>
        <v>26.7692307692308</v>
      </c>
      <c r="R311" s="35">
        <f>IF(AND($B$22&gt;0),(IF(76&lt;$B$22,(76-($B$22-1)/2)*$B$21,(($B$22-1)-($B$22-1)/2)*$B$21))*$B$53+(-38),999)</f>
        <v>-11.2307692307692</v>
      </c>
      <c r="S311" s="35">
        <f>IF(AND($B$22&gt;0),(IF(76&lt;$B$22,(($B$18-1)/2*$B$17),IF(MOD($B$22-1,2)=0,(($B$18-1)/2*$B$17),(-(($B$18-1)/2*$B$17)))))*$B$53+(0),999)</f>
        <v>26.7692307692308</v>
      </c>
      <c r="T311" s="35">
        <f>IF(AND($B$30&gt;0,$B$29&gt;0),(IF(76&lt;$B$30,(($B$31-1)/2*$B$29),IF(MOD($B$30-1,2)=0,(($B$31-1)/2*$B$29),(-(($B$31-1)/2*$B$29)))))*$B$53+(-38),999)</f>
        <v>999</v>
      </c>
      <c r="U311" s="35">
        <f>IF(AND($B$30&gt;0,$B$29&gt;0),(IF(76&lt;$B$30,(76-($B$30-1)/2)*$B$29,(($B$30-1)-($B$30-1)/2)*$B$29))*$B$53+(0),999)</f>
        <v>999</v>
      </c>
      <c r="V311" s="35">
        <f>IF(AND($B$31&gt;0,$B$29&gt;0),(IF(76&lt;$B$31,(76-($B$31-1)/2)*$B$29,(($B$31-1)-($B$31-1)/2)*$B$29))*$B$53+(-38),999)</f>
        <v>999</v>
      </c>
      <c r="W311" s="35">
        <f>IF(AND($B$31&gt;0,$B$29&gt;0),(IF(76&lt;$B$31,(($B$30-1)/2*$B$29),IF(MOD($B$31-1,2)=0,(($B$30-1)/2*$B$29),(-(($B$30-1)/2*$B$29)))))*$B$53+(0),999)</f>
        <v>999</v>
      </c>
    </row>
    <row r="312" spans="16:23" x14ac:dyDescent="0.3">
      <c r="P312" s="35">
        <f>IF(AND($B$18&gt;0),(IF(77&lt;$B$18,(($B$22-1)/2*$B$21),IF(MOD($B$18-1,2)=0,(($B$22-1)/2*$B$21),(-(($B$22-1)/2*$B$21)))))*$B$53+(-38),999)</f>
        <v>-11.2307692307692</v>
      </c>
      <c r="Q312" s="35">
        <f>IF(AND($B$18&gt;0),(IF(77&lt;$B$18,(77-($B$18-1)/2)*$B$17,(($B$18-1)-($B$18-1)/2)*$B$17))*$B$53+(0),999)</f>
        <v>26.7692307692308</v>
      </c>
      <c r="R312" s="35">
        <f>IF(AND($B$22&gt;0),(IF(77&lt;$B$22,(77-($B$22-1)/2)*$B$21,(($B$22-1)-($B$22-1)/2)*$B$21))*$B$53+(-38),999)</f>
        <v>-11.2307692307692</v>
      </c>
      <c r="S312" s="35">
        <f>IF(AND($B$22&gt;0),(IF(77&lt;$B$22,(($B$18-1)/2*$B$17),IF(MOD($B$22-1,2)=0,(($B$18-1)/2*$B$17),(-(($B$18-1)/2*$B$17)))))*$B$53+(0),999)</f>
        <v>26.7692307692308</v>
      </c>
      <c r="T312" s="35">
        <f>IF(AND($B$30&gt;0,$B$29&gt;0),(IF(77&lt;$B$30,(($B$31-1)/2*$B$29),IF(MOD($B$30-1,2)=0,(($B$31-1)/2*$B$29),(-(($B$31-1)/2*$B$29)))))*$B$53+(-38),999)</f>
        <v>999</v>
      </c>
      <c r="U312" s="35">
        <f>IF(AND($B$30&gt;0,$B$29&gt;0),(IF(77&lt;$B$30,(77-($B$30-1)/2)*$B$29,(($B$30-1)-($B$30-1)/2)*$B$29))*$B$53+(0),999)</f>
        <v>999</v>
      </c>
      <c r="V312" s="35">
        <f>IF(AND($B$31&gt;0,$B$29&gt;0),(IF(77&lt;$B$31,(77-($B$31-1)/2)*$B$29,(($B$31-1)-($B$31-1)/2)*$B$29))*$B$53+(-38),999)</f>
        <v>999</v>
      </c>
      <c r="W312" s="35">
        <f>IF(AND($B$31&gt;0,$B$29&gt;0),(IF(77&lt;$B$31,(($B$30-1)/2*$B$29),IF(MOD($B$31-1,2)=0,(($B$30-1)/2*$B$29),(-(($B$30-1)/2*$B$29)))))*$B$53+(0),999)</f>
        <v>999</v>
      </c>
    </row>
    <row r="313" spans="16:23" x14ac:dyDescent="0.3">
      <c r="P313" s="35">
        <f>IF(AND($B$18&gt;0),(IF(77&lt;$B$18,($B$4/2-$B$13),IF(MOD($B$18-1,2)=0,(($B$22-1)/2*$B$21),(-(($B$22-1)/2*$B$21)))))*$B$53+(-38),999)</f>
        <v>-11.2307692307692</v>
      </c>
      <c r="Q313" s="35">
        <f>IF(AND($B$18&gt;0),(IF(77&lt;$B$18,(77-($B$18-1)/2)*$B$17,(($B$18-1)-($B$18-1)/2)*$B$17))*$B$53+(0),999)</f>
        <v>26.7692307692308</v>
      </c>
      <c r="R313" s="35">
        <f>IF(AND($B$22&gt;0),(IF(77&lt;$B$22,(77-($B$22-1)/2)*$B$21,(($B$22-1)-($B$22-1)/2)*$B$21))*$B$53+(-38),999)</f>
        <v>-11.2307692307692</v>
      </c>
      <c r="S313" s="35">
        <f>IF(AND($B$22&gt;0),(IF(77&lt;$B$22,($B$5/2-IF($B$3=3,0,$B$13)),IF(MOD($B$22-1,2)=0,(($B$18-1)/2*$B$17),(-(($B$18-1)/2*$B$17)))))*$B$53+(0),999)</f>
        <v>26.7692307692308</v>
      </c>
      <c r="T313" s="35">
        <f>IF(AND($B$30&gt;0,$B$29&gt;0),(IF(77&lt;$B$30,($B$4/2-$B$13),IF(MOD($B$30-1,2)=0,(($B$31-1)/2*$B$29),(-(($B$31-1)/2*$B$29)))))*$B$53+(-38),999)</f>
        <v>999</v>
      </c>
      <c r="U313" s="35">
        <f>IF(AND($B$30&gt;0,$B$29&gt;0),(IF(77&lt;$B$30,(77-($B$30-1)/2)*$B$29,(($B$30-1)-($B$30-1)/2)*$B$29))*$B$53+(0),999)</f>
        <v>999</v>
      </c>
      <c r="V313" s="35">
        <f>IF(AND($B$31&gt;0,$B$29&gt;0),(IF(77&lt;$B$31,(77-($B$31-1)/2)*$B$29,(($B$31-1)-($B$31-1)/2)*$B$29))*$B$53+(-38),999)</f>
        <v>999</v>
      </c>
      <c r="W313" s="35">
        <f>IF(AND($B$31&gt;0,$B$29&gt;0),(IF(77&lt;$B$31,($B$5/2-$B$13),IF(MOD($B$31-1,2)=0,(($B$30-1)/2*$B$29),(-(($B$30-1)/2*$B$29)))))*$B$53+(0),999)</f>
        <v>999</v>
      </c>
    </row>
    <row r="314" spans="16:23" x14ac:dyDescent="0.3">
      <c r="P314" s="35">
        <f>IF(AND($B$18&gt;0),(IF(77&lt;$B$18,(-$B$4/2+$B$13),IF(MOD($B$18-1,2)=0,(($B$22-1)/2*$B$21),(-(($B$22-1)/2*$B$21)))))*$B$53+(-38),999)</f>
        <v>-11.2307692307692</v>
      </c>
      <c r="Q314" s="35">
        <f>IF(AND($B$18&gt;0),(IF(77&lt;$B$18,(77-($B$18-1)/2)*$B$17,(($B$18-1)-($B$18-1)/2)*$B$17))*$B$53+(0),999)</f>
        <v>26.7692307692308</v>
      </c>
      <c r="R314" s="35">
        <f>IF(AND($B$22&gt;0),(IF(77&lt;$B$22,(77-($B$22-1)/2)*$B$21,(($B$22-1)-($B$22-1)/2)*$B$21))*$B$53+(-38),999)</f>
        <v>-11.2307692307692</v>
      </c>
      <c r="S314" s="35">
        <f>IF(AND($B$22&gt;0),(IF(77&lt;$B$22,(-$B$5/2+IF($B$3=3,0,$B$13)),IF(MOD($B$22-1,2)=0,(($B$18-1)/2*$B$17),(-(($B$18-1)/2*$B$17)))))*$B$53+(0),999)</f>
        <v>26.7692307692308</v>
      </c>
      <c r="T314" s="35">
        <f>IF(AND($B$30&gt;0,$B$29&gt;0),(IF(77&lt;$B$30,(-$B$4/2+$B$13),IF(MOD($B$30-1,2)=0,(($B$31-1)/2*$B$29),(-(($B$31-1)/2*$B$29)))))*$B$53+(-38),999)</f>
        <v>999</v>
      </c>
      <c r="U314" s="35">
        <f>IF(AND($B$30&gt;0,$B$29&gt;0),(IF(77&lt;$B$30,(77-($B$30-1)/2)*$B$29,(($B$30-1)-($B$30-1)/2)*$B$29))*$B$53+(0),999)</f>
        <v>999</v>
      </c>
      <c r="V314" s="35">
        <f>IF(AND($B$31&gt;0,$B$29&gt;0),(IF(77&lt;$B$31,(77-($B$31-1)/2)*$B$29,(($B$31-1)-($B$31-1)/2)*$B$29))*$B$53+(-38),999)</f>
        <v>999</v>
      </c>
      <c r="W314" s="35">
        <f>IF(AND($B$31&gt;0,$B$29&gt;0),(IF(77&lt;$B$31,(-$B$5/2+$B$13),IF(MOD($B$31-1,2)=0,(($B$30-1)/2*$B$29),(-(($B$30-1)/2*$B$29)))))*$B$53+(0),999)</f>
        <v>999</v>
      </c>
    </row>
    <row r="315" spans="16:23" x14ac:dyDescent="0.3">
      <c r="P315" s="35">
        <f>IF(AND($B$18&gt;0),(IF(77&lt;$B$18,(-(($B$22-1)/2*$B$21)),IF(MOD($B$18-1,2)=0,(($B$22-1)/2*$B$21),(-(($B$22-1)/2*$B$21)))))*$B$53+(-38),999)</f>
        <v>-11.2307692307692</v>
      </c>
      <c r="Q315" s="35">
        <f>IF(AND($B$18&gt;0),(IF(77&lt;$B$18,(77-($B$18-1)/2)*$B$17,(($B$18-1)-($B$18-1)/2)*$B$17))*$B$53+(0),999)</f>
        <v>26.7692307692308</v>
      </c>
      <c r="R315" s="35">
        <f>IF(AND($B$22&gt;0),(IF(77&lt;$B$22,(77-($B$22-1)/2)*$B$21,(($B$22-1)-($B$22-1)/2)*$B$21))*$B$53+(-38),999)</f>
        <v>-11.2307692307692</v>
      </c>
      <c r="S315" s="35">
        <f>IF(AND($B$22&gt;0),(IF(77&lt;$B$22,(-(($B$18-1)/2*$B$17)),IF(MOD($B$22-1,2)=0,(($B$18-1)/2*$B$17),(-(($B$18-1)/2*$B$17)))))*$B$53+(0),999)</f>
        <v>26.7692307692308</v>
      </c>
      <c r="T315" s="35">
        <f>IF(AND($B$30&gt;0,$B$29&gt;0),(IF(77&lt;$B$30,(-(($B$31-1)/2*$B$29)),IF(MOD($B$30-1,2)=0,(($B$31-1)/2*$B$29),(-(($B$31-1)/2*$B$29)))))*$B$53+(-38),999)</f>
        <v>999</v>
      </c>
      <c r="U315" s="35">
        <f>IF(AND($B$30&gt;0,$B$29&gt;0),(IF(77&lt;$B$30,(77-($B$30-1)/2)*$B$29,(($B$30-1)-($B$30-1)/2)*$B$29))*$B$53+(0),999)</f>
        <v>999</v>
      </c>
      <c r="V315" s="35">
        <f>IF(AND($B$31&gt;0,$B$29&gt;0),(IF(77&lt;$B$31,(77-($B$31-1)/2)*$B$29,(($B$31-1)-($B$31-1)/2)*$B$29))*$B$53+(-38),999)</f>
        <v>999</v>
      </c>
      <c r="W315" s="35">
        <f>IF(AND($B$31&gt;0,$B$29&gt;0),(IF(77&lt;$B$31,(-(($B$30-1)/2*$B$29)),IF(MOD($B$31-1,2)=0,(($B$30-1)/2*$B$29),(-(($B$30-1)/2*$B$29)))))*$B$53+(0),999)</f>
        <v>999</v>
      </c>
    </row>
    <row r="316" spans="16:23" x14ac:dyDescent="0.3">
      <c r="P316" s="35">
        <f>IF(AND($B$18&gt;0),(IF(78&lt;$B$18,(-(($B$22-1)/2*$B$21)),IF(MOD($B$18-1,2)=0,(($B$22-1)/2*$B$21),(-(($B$22-1)/2*$B$21)))))*$B$53+(-38),999)</f>
        <v>-11.2307692307692</v>
      </c>
      <c r="Q316" s="35">
        <f>IF(AND($B$18&gt;0),(IF(78&lt;$B$18,(78-($B$18-1)/2)*$B$17,(($B$18-1)-($B$18-1)/2)*$B$17))*$B$53+(0),999)</f>
        <v>26.7692307692308</v>
      </c>
      <c r="R316" s="35">
        <f>IF(AND($B$22&gt;0),(IF(78&lt;$B$22,(78-($B$22-1)/2)*$B$21,(($B$22-1)-($B$22-1)/2)*$B$21))*$B$53+(-38),999)</f>
        <v>-11.2307692307692</v>
      </c>
      <c r="S316" s="35">
        <f>IF(AND($B$22&gt;0),(IF(78&lt;$B$22,(-(($B$18-1)/2*$B$17)),IF(MOD($B$22-1,2)=0,(($B$18-1)/2*$B$17),(-(($B$18-1)/2*$B$17)))))*$B$53+(0),999)</f>
        <v>26.7692307692308</v>
      </c>
      <c r="T316" s="35">
        <f>IF(AND($B$30&gt;0,$B$29&gt;0),(IF(78&lt;$B$30,(-(($B$31-1)/2*$B$29)),IF(MOD($B$30-1,2)=0,(($B$31-1)/2*$B$29),(-(($B$31-1)/2*$B$29)))))*$B$53+(-38),999)</f>
        <v>999</v>
      </c>
      <c r="U316" s="35">
        <f>IF(AND($B$30&gt;0,$B$29&gt;0),(IF(78&lt;$B$30,(78-($B$30-1)/2)*$B$29,(($B$30-1)-($B$30-1)/2)*$B$29))*$B$53+(0),999)</f>
        <v>999</v>
      </c>
      <c r="V316" s="35">
        <f>IF(AND($B$31&gt;0,$B$29&gt;0),(IF(78&lt;$B$31,(78-($B$31-1)/2)*$B$29,(($B$31-1)-($B$31-1)/2)*$B$29))*$B$53+(-38),999)</f>
        <v>999</v>
      </c>
      <c r="W316" s="35">
        <f>IF(AND($B$31&gt;0,$B$29&gt;0),(IF(78&lt;$B$31,(-(($B$30-1)/2*$B$29)),IF(MOD($B$31-1,2)=0,(($B$30-1)/2*$B$29),(-(($B$30-1)/2*$B$29)))))*$B$53+(0),999)</f>
        <v>999</v>
      </c>
    </row>
    <row r="317" spans="16:23" x14ac:dyDescent="0.3">
      <c r="P317" s="35">
        <f>IF(AND($B$18&gt;0),(IF(78&lt;$B$18,(-$B$4/2+$B$13),IF(MOD($B$18-1,2)=0,(($B$22-1)/2*$B$21),(-(($B$22-1)/2*$B$21)))))*$B$53+(-38),999)</f>
        <v>-11.2307692307692</v>
      </c>
      <c r="Q317" s="35">
        <f>IF(AND($B$18&gt;0),(IF(78&lt;$B$18,(78-($B$18-1)/2)*$B$17,(($B$18-1)-($B$18-1)/2)*$B$17))*$B$53+(0),999)</f>
        <v>26.7692307692308</v>
      </c>
      <c r="R317" s="35">
        <f>IF(AND($B$22&gt;0),(IF(78&lt;$B$22,(78-($B$22-1)/2)*$B$21,(($B$22-1)-($B$22-1)/2)*$B$21))*$B$53+(-38),999)</f>
        <v>-11.2307692307692</v>
      </c>
      <c r="S317" s="35">
        <f>IF(AND($B$22&gt;0),(IF(78&lt;$B$22,(-$B$5/2+IF($B$3=3,0,$B$13)),IF(MOD($B$22-1,2)=0,(($B$18-1)/2*$B$17),(-(($B$18-1)/2*$B$17)))))*$B$53+(0),999)</f>
        <v>26.7692307692308</v>
      </c>
      <c r="T317" s="35">
        <f>IF(AND($B$30&gt;0,$B$29&gt;0),(IF(78&lt;$B$30,(-$B$4/2+$B$13),IF(MOD($B$30-1,2)=0,(($B$31-1)/2*$B$29),(-(($B$31-1)/2*$B$29)))))*$B$53+(-38),999)</f>
        <v>999</v>
      </c>
      <c r="U317" s="35">
        <f>IF(AND($B$30&gt;0,$B$29&gt;0),(IF(78&lt;$B$30,(78-($B$30-1)/2)*$B$29,(($B$30-1)-($B$30-1)/2)*$B$29))*$B$53+(0),999)</f>
        <v>999</v>
      </c>
      <c r="V317" s="35">
        <f>IF(AND($B$31&gt;0,$B$29&gt;0),(IF(78&lt;$B$31,(78-($B$31-1)/2)*$B$29,(($B$31-1)-($B$31-1)/2)*$B$29))*$B$53+(-38),999)</f>
        <v>999</v>
      </c>
      <c r="W317" s="35">
        <f>IF(AND($B$31&gt;0,$B$29&gt;0),(IF(78&lt;$B$31,(-$B$5/2+$B$13),IF(MOD($B$31-1,2)=0,(($B$30-1)/2*$B$29),(-(($B$30-1)/2*$B$29)))))*$B$53+(0),999)</f>
        <v>999</v>
      </c>
    </row>
    <row r="318" spans="16:23" x14ac:dyDescent="0.3">
      <c r="P318" s="35">
        <f>IF(AND($B$18&gt;0),(IF(78&lt;$B$18,($B$4/2-$B$13),IF(MOD($B$18-1,2)=0,(($B$22-1)/2*$B$21),(-(($B$22-1)/2*$B$21)))))*$B$53+(-38),999)</f>
        <v>-11.2307692307692</v>
      </c>
      <c r="Q318" s="35">
        <f>IF(AND($B$18&gt;0),(IF(78&lt;$B$18,(78-($B$18-1)/2)*$B$17,(($B$18-1)-($B$18-1)/2)*$B$17))*$B$53+(0),999)</f>
        <v>26.7692307692308</v>
      </c>
      <c r="R318" s="35">
        <f>IF(AND($B$22&gt;0),(IF(78&lt;$B$22,(78-($B$22-1)/2)*$B$21,(($B$22-1)-($B$22-1)/2)*$B$21))*$B$53+(-38),999)</f>
        <v>-11.2307692307692</v>
      </c>
      <c r="S318" s="35">
        <f>IF(AND($B$22&gt;0),(IF(78&lt;$B$22,($B$5/2-IF($B$3=3,0,$B$13)),IF(MOD($B$22-1,2)=0,(($B$18-1)/2*$B$17),(-(($B$18-1)/2*$B$17)))))*$B$53+(0),999)</f>
        <v>26.7692307692308</v>
      </c>
      <c r="T318" s="35">
        <f>IF(AND($B$30&gt;0,$B$29&gt;0),(IF(78&lt;$B$30,($B$4/2-$B$13),IF(MOD($B$30-1,2)=0,(($B$31-1)/2*$B$29),(-(($B$31-1)/2*$B$29)))))*$B$53+(-38),999)</f>
        <v>999</v>
      </c>
      <c r="U318" s="35">
        <f>IF(AND($B$30&gt;0,$B$29&gt;0),(IF(78&lt;$B$30,(78-($B$30-1)/2)*$B$29,(($B$30-1)-($B$30-1)/2)*$B$29))*$B$53+(0),999)</f>
        <v>999</v>
      </c>
      <c r="V318" s="35">
        <f>IF(AND($B$31&gt;0,$B$29&gt;0),(IF(78&lt;$B$31,(78-($B$31-1)/2)*$B$29,(($B$31-1)-($B$31-1)/2)*$B$29))*$B$53+(-38),999)</f>
        <v>999</v>
      </c>
      <c r="W318" s="35">
        <f>IF(AND($B$31&gt;0,$B$29&gt;0),(IF(78&lt;$B$31,($B$5/2-$B$13),IF(MOD($B$31-1,2)=0,(($B$30-1)/2*$B$29),(-(($B$30-1)/2*$B$29)))))*$B$53+(0),999)</f>
        <v>999</v>
      </c>
    </row>
    <row r="319" spans="16:23" x14ac:dyDescent="0.3">
      <c r="P319" s="35">
        <f>IF(AND($B$18&gt;0),(IF(78&lt;$B$18,(($B$22-1)/2*$B$21),IF(MOD($B$18-1,2)=0,(($B$22-1)/2*$B$21),(-(($B$22-1)/2*$B$21)))))*$B$53+(-38),999)</f>
        <v>-11.2307692307692</v>
      </c>
      <c r="Q319" s="35">
        <f>IF(AND($B$18&gt;0),(IF(78&lt;$B$18,(78-($B$18-1)/2)*$B$17,(($B$18-1)-($B$18-1)/2)*$B$17))*$B$53+(0),999)</f>
        <v>26.7692307692308</v>
      </c>
      <c r="R319" s="35">
        <f>IF(AND($B$22&gt;0),(IF(78&lt;$B$22,(78-($B$22-1)/2)*$B$21,(($B$22-1)-($B$22-1)/2)*$B$21))*$B$53+(-38),999)</f>
        <v>-11.2307692307692</v>
      </c>
      <c r="S319" s="35">
        <f>IF(AND($B$22&gt;0),(IF(78&lt;$B$22,(($B$18-1)/2*$B$17),IF(MOD($B$22-1,2)=0,(($B$18-1)/2*$B$17),(-(($B$18-1)/2*$B$17)))))*$B$53+(0),999)</f>
        <v>26.7692307692308</v>
      </c>
      <c r="T319" s="35">
        <f>IF(AND($B$30&gt;0,$B$29&gt;0),(IF(78&lt;$B$30,(($B$31-1)/2*$B$29),IF(MOD($B$30-1,2)=0,(($B$31-1)/2*$B$29),(-(($B$31-1)/2*$B$29)))))*$B$53+(-38),999)</f>
        <v>999</v>
      </c>
      <c r="U319" s="35">
        <f>IF(AND($B$30&gt;0,$B$29&gt;0),(IF(78&lt;$B$30,(78-($B$30-1)/2)*$B$29,(($B$30-1)-($B$30-1)/2)*$B$29))*$B$53+(0),999)</f>
        <v>999</v>
      </c>
      <c r="V319" s="35">
        <f>IF(AND($B$31&gt;0,$B$29&gt;0),(IF(78&lt;$B$31,(78-($B$31-1)/2)*$B$29,(($B$31-1)-($B$31-1)/2)*$B$29))*$B$53+(-38),999)</f>
        <v>999</v>
      </c>
      <c r="W319" s="35">
        <f>IF(AND($B$31&gt;0,$B$29&gt;0),(IF(78&lt;$B$31,(($B$30-1)/2*$B$29),IF(MOD($B$31-1,2)=0,(($B$30-1)/2*$B$29),(-(($B$30-1)/2*$B$29)))))*$B$53+(0),999)</f>
        <v>999</v>
      </c>
    </row>
    <row r="320" spans="16:23" x14ac:dyDescent="0.3">
      <c r="P320" s="35">
        <f>IF(AND($B$18&gt;0),(IF(79&lt;$B$18,(($B$22-1)/2*$B$21),IF(MOD($B$18-1,2)=0,(($B$22-1)/2*$B$21),(-(($B$22-1)/2*$B$21)))))*$B$53+(-38),999)</f>
        <v>-11.2307692307692</v>
      </c>
      <c r="Q320" s="35">
        <f>IF(AND($B$18&gt;0),(IF(79&lt;$B$18,(79-($B$18-1)/2)*$B$17,(($B$18-1)-($B$18-1)/2)*$B$17))*$B$53+(0),999)</f>
        <v>26.7692307692308</v>
      </c>
      <c r="R320" s="35">
        <f>IF(AND($B$22&gt;0),(IF(79&lt;$B$22,(79-($B$22-1)/2)*$B$21,(($B$22-1)-($B$22-1)/2)*$B$21))*$B$53+(-38),999)</f>
        <v>-11.2307692307692</v>
      </c>
      <c r="S320" s="35">
        <f>IF(AND($B$22&gt;0),(IF(79&lt;$B$22,(($B$18-1)/2*$B$17),IF(MOD($B$22-1,2)=0,(($B$18-1)/2*$B$17),(-(($B$18-1)/2*$B$17)))))*$B$53+(0),999)</f>
        <v>26.7692307692308</v>
      </c>
      <c r="T320" s="35">
        <f>IF(AND($B$30&gt;0,$B$29&gt;0),(IF(79&lt;$B$30,(($B$31-1)/2*$B$29),IF(MOD($B$30-1,2)=0,(($B$31-1)/2*$B$29),(-(($B$31-1)/2*$B$29)))))*$B$53+(-38),999)</f>
        <v>999</v>
      </c>
      <c r="U320" s="35">
        <f>IF(AND($B$30&gt;0,$B$29&gt;0),(IF(79&lt;$B$30,(79-($B$30-1)/2)*$B$29,(($B$30-1)-($B$30-1)/2)*$B$29))*$B$53+(0),999)</f>
        <v>999</v>
      </c>
      <c r="V320" s="35">
        <f>IF(AND($B$31&gt;0,$B$29&gt;0),(IF(79&lt;$B$31,(79-($B$31-1)/2)*$B$29,(($B$31-1)-($B$31-1)/2)*$B$29))*$B$53+(-38),999)</f>
        <v>999</v>
      </c>
      <c r="W320" s="35">
        <f>IF(AND($B$31&gt;0,$B$29&gt;0),(IF(79&lt;$B$31,(($B$30-1)/2*$B$29),IF(MOD($B$31-1,2)=0,(($B$30-1)/2*$B$29),(-(($B$30-1)/2*$B$29)))))*$B$53+(0),999)</f>
        <v>999</v>
      </c>
    </row>
    <row r="321" spans="16:23" x14ac:dyDescent="0.3">
      <c r="P321" s="35">
        <f>IF(AND($B$18&gt;0),(IF(79&lt;$B$18,($B$4/2-$B$13),IF(MOD($B$18-1,2)=0,(($B$22-1)/2*$B$21),(-(($B$22-1)/2*$B$21)))))*$B$53+(-38),999)</f>
        <v>-11.2307692307692</v>
      </c>
      <c r="Q321" s="35">
        <f>IF(AND($B$18&gt;0),(IF(79&lt;$B$18,(79-($B$18-1)/2)*$B$17,(($B$18-1)-($B$18-1)/2)*$B$17))*$B$53+(0),999)</f>
        <v>26.7692307692308</v>
      </c>
      <c r="R321" s="35">
        <f>IF(AND($B$22&gt;0),(IF(79&lt;$B$22,(79-($B$22-1)/2)*$B$21,(($B$22-1)-($B$22-1)/2)*$B$21))*$B$53+(-38),999)</f>
        <v>-11.2307692307692</v>
      </c>
      <c r="S321" s="35">
        <f>IF(AND($B$22&gt;0),(IF(79&lt;$B$22,($B$5/2-IF($B$3=3,0,$B$13)),IF(MOD($B$22-1,2)=0,(($B$18-1)/2*$B$17),(-(($B$18-1)/2*$B$17)))))*$B$53+(0),999)</f>
        <v>26.7692307692308</v>
      </c>
      <c r="T321" s="35">
        <f>IF(AND($B$30&gt;0,$B$29&gt;0),(IF(79&lt;$B$30,($B$4/2-$B$13),IF(MOD($B$30-1,2)=0,(($B$31-1)/2*$B$29),(-(($B$31-1)/2*$B$29)))))*$B$53+(-38),999)</f>
        <v>999</v>
      </c>
      <c r="U321" s="35">
        <f>IF(AND($B$30&gt;0,$B$29&gt;0),(IF(79&lt;$B$30,(79-($B$30-1)/2)*$B$29,(($B$30-1)-($B$30-1)/2)*$B$29))*$B$53+(0),999)</f>
        <v>999</v>
      </c>
      <c r="V321" s="35">
        <f>IF(AND($B$31&gt;0,$B$29&gt;0),(IF(79&lt;$B$31,(79-($B$31-1)/2)*$B$29,(($B$31-1)-($B$31-1)/2)*$B$29))*$B$53+(-38),999)</f>
        <v>999</v>
      </c>
      <c r="W321" s="35">
        <f>IF(AND($B$31&gt;0,$B$29&gt;0),(IF(79&lt;$B$31,($B$5/2-$B$13),IF(MOD($B$31-1,2)=0,(($B$30-1)/2*$B$29),(-(($B$30-1)/2*$B$29)))))*$B$53+(0),999)</f>
        <v>999</v>
      </c>
    </row>
    <row r="322" spans="16:23" x14ac:dyDescent="0.3">
      <c r="P322" s="35">
        <f>IF(AND($B$18&gt;0),(IF(79&lt;$B$18,(-$B$4/2+$B$13),IF(MOD($B$18-1,2)=0,(($B$22-1)/2*$B$21),(-(($B$22-1)/2*$B$21)))))*$B$53+(-38),999)</f>
        <v>-11.2307692307692</v>
      </c>
      <c r="Q322" s="35">
        <f>IF(AND($B$18&gt;0),(IF(79&lt;$B$18,(79-($B$18-1)/2)*$B$17,(($B$18-1)-($B$18-1)/2)*$B$17))*$B$53+(0),999)</f>
        <v>26.7692307692308</v>
      </c>
      <c r="R322" s="35">
        <f>IF(AND($B$22&gt;0),(IF(79&lt;$B$22,(79-($B$22-1)/2)*$B$21,(($B$22-1)-($B$22-1)/2)*$B$21))*$B$53+(-38),999)</f>
        <v>-11.2307692307692</v>
      </c>
      <c r="S322" s="35">
        <f>IF(AND($B$22&gt;0),(IF(79&lt;$B$22,(-$B$5/2+IF($B$3=3,0,$B$13)),IF(MOD($B$22-1,2)=0,(($B$18-1)/2*$B$17),(-(($B$18-1)/2*$B$17)))))*$B$53+(0),999)</f>
        <v>26.7692307692308</v>
      </c>
      <c r="T322" s="35">
        <f>IF(AND($B$30&gt;0,$B$29&gt;0),(IF(79&lt;$B$30,(-$B$4/2+$B$13),IF(MOD($B$30-1,2)=0,(($B$31-1)/2*$B$29),(-(($B$31-1)/2*$B$29)))))*$B$53+(-38),999)</f>
        <v>999</v>
      </c>
      <c r="U322" s="35">
        <f>IF(AND($B$30&gt;0,$B$29&gt;0),(IF(79&lt;$B$30,(79-($B$30-1)/2)*$B$29,(($B$30-1)-($B$30-1)/2)*$B$29))*$B$53+(0),999)</f>
        <v>999</v>
      </c>
      <c r="V322" s="35">
        <f>IF(AND($B$31&gt;0,$B$29&gt;0),(IF(79&lt;$B$31,(79-($B$31-1)/2)*$B$29,(($B$31-1)-($B$31-1)/2)*$B$29))*$B$53+(-38),999)</f>
        <v>999</v>
      </c>
      <c r="W322" s="35">
        <f>IF(AND($B$31&gt;0,$B$29&gt;0),(IF(79&lt;$B$31,(-$B$5/2+$B$13),IF(MOD($B$31-1,2)=0,(($B$30-1)/2*$B$29),(-(($B$30-1)/2*$B$29)))))*$B$53+(0),999)</f>
        <v>999</v>
      </c>
    </row>
    <row r="323" spans="16:23" x14ac:dyDescent="0.3">
      <c r="P323" s="35">
        <f>IF(AND($B$18&gt;0),(IF(79&lt;$B$18,(-(($B$22-1)/2*$B$21)),IF(MOD($B$18-1,2)=0,(($B$22-1)/2*$B$21),(-(($B$22-1)/2*$B$21)))))*$B$53+(-38),999)</f>
        <v>-11.2307692307692</v>
      </c>
      <c r="Q323" s="35">
        <f>IF(AND($B$18&gt;0),(IF(79&lt;$B$18,(79-($B$18-1)/2)*$B$17,(($B$18-1)-($B$18-1)/2)*$B$17))*$B$53+(0),999)</f>
        <v>26.7692307692308</v>
      </c>
      <c r="R323" s="35">
        <f>IF(AND($B$22&gt;0),(IF(79&lt;$B$22,(79-($B$22-1)/2)*$B$21,(($B$22-1)-($B$22-1)/2)*$B$21))*$B$53+(-38),999)</f>
        <v>-11.2307692307692</v>
      </c>
      <c r="S323" s="35">
        <f>IF(AND($B$22&gt;0),(IF(79&lt;$B$22,(-(($B$18-1)/2*$B$17)),IF(MOD($B$22-1,2)=0,(($B$18-1)/2*$B$17),(-(($B$18-1)/2*$B$17)))))*$B$53+(0),999)</f>
        <v>26.7692307692308</v>
      </c>
      <c r="T323" s="35">
        <f>IF(AND($B$30&gt;0,$B$29&gt;0),(IF(79&lt;$B$30,(-(($B$31-1)/2*$B$29)),IF(MOD($B$30-1,2)=0,(($B$31-1)/2*$B$29),(-(($B$31-1)/2*$B$29)))))*$B$53+(-38),999)</f>
        <v>999</v>
      </c>
      <c r="U323" s="35">
        <f>IF(AND($B$30&gt;0,$B$29&gt;0),(IF(79&lt;$B$30,(79-($B$30-1)/2)*$B$29,(($B$30-1)-($B$30-1)/2)*$B$29))*$B$53+(0),999)</f>
        <v>999</v>
      </c>
      <c r="V323" s="35">
        <f>IF(AND($B$31&gt;0,$B$29&gt;0),(IF(79&lt;$B$31,(79-($B$31-1)/2)*$B$29,(($B$31-1)-($B$31-1)/2)*$B$29))*$B$53+(-38),999)</f>
        <v>999</v>
      </c>
      <c r="W323" s="35">
        <f>IF(AND($B$31&gt;0,$B$29&gt;0),(IF(79&lt;$B$31,(-(($B$30-1)/2*$B$29)),IF(MOD($B$31-1,2)=0,(($B$30-1)/2*$B$29),(-(($B$30-1)/2*$B$29)))))*$B$53+(0),999)</f>
        <v>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09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inlineStr">
        <is>
          <t>ZAPATA DE LINDERO (COLUMNA AL PAÑO DEL LINDERO) — ACI 318-19</t>
        </is>
      </c>
      <c r="C1" s="37"/>
      <c r="D1" s="37"/>
      <c r="E1" s="37"/>
      <c r="F1" s="37"/>
      <c r="H1" s="44" t="inlineStr">
        <is>
          <t>TABLA POR COMBINACIÓN — la memoria (col. B–F) toma de aquí lo que rige</t>
        </is>
      </c>
      <c r="I1" s="37"/>
      <c r="J1" s="37"/>
      <c r="K1" s="37"/>
      <c r="L1" s="37"/>
      <c r="M1" s="37"/>
      <c r="N1" s="37"/>
    </row>
    <row r="2" spans="2:14" ht="36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inlineStr">
        <is>
          <t>Cada columna es una combinación de la hoja COMBINACIONES. Bloque S: presiones y estabilidad con la carga TOTAL (zapata, relleno y dado por su γD). Bloque U: diseño con presión NETA, ACI 13.2.6.3 y R13.2.6.3. X es perpendicular al lindero.</t>
        </is>
      </c>
      <c r="I2" s="37"/>
      <c r="J2" s="37"/>
      <c r="K2" s="37"/>
      <c r="L2" s="37"/>
      <c r="M2" s="37"/>
      <c r="N2" s="37"/>
    </row>
    <row r="3" spans="2:14" ht="27.75" customHeight="1" x14ac:dyDescent="0.3">
      <c r="B3" s="40" t="inlineStr">
        <is>
          <t>Se capturan sólo las celdas amarillas de las secciones 1, 2 y 13; cargas, materiales y suelo vienen de DATOS. A la derecha (columnas H a N) está la tabla por combinación de donde salen los valores que rigen.</t>
        </is>
      </c>
      <c r="C3" s="37"/>
      <c r="D3" s="37"/>
      <c r="E3" s="37"/>
      <c r="F3" s="37"/>
    </row>
    <row r="4" spans="2:14" ht="54" customHeight="1" x14ac:dyDescent="0.3">
      <c r="B4" s="36" t="inlineStr">
        <is>
          <t>CÓMO TRABAJA: el dado queda al paño del lindero y la zapata crece hacia adentro, así que la carga cae a una distancia e del centro. Con CONTRATRABE DE EQUILIBRIO (liga a la columna interior) la contratrabe toma P·e y el momento en X, y la zapata recibe presión uniforme en X. SIN contratrabe el suelo toma toda la excentricidad y casi nunca pasa con D + L.</t>
        </is>
      </c>
      <c r="C4" s="37"/>
      <c r="D4" s="37"/>
      <c r="E4" s="37"/>
      <c r="F4" s="37"/>
      <c r="H4" s="44" t="inlineStr">
        <is>
          <t>BLOQUE S — SERVICIO</t>
        </is>
      </c>
      <c r="I4" s="37"/>
      <c r="J4" s="37"/>
      <c r="K4" s="37"/>
      <c r="L4" s="37"/>
      <c r="M4" s="37"/>
      <c r="N4" s="37"/>
    </row>
    <row r="5" spans="2:14" x14ac:dyDescent="0.3">
      <c r="H5" s="22" t="inlineStr">
        <is>
          <t>Combinación</t>
        </is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27.75" customHeight="1" x14ac:dyDescent="0.3">
      <c r="B6" s="38" t="inlineStr">
        <is>
          <t>1. GEOMETRÍA — el dado queda al paño del lindero; X es perpendicular al lindero</t>
        </is>
      </c>
      <c r="C6" s="37"/>
      <c r="D6" s="37"/>
      <c r="E6" s="37"/>
      <c r="F6" s="37"/>
      <c r="H6" s="5" t="inlineStr">
        <is>
          <t>Descripción</t>
        </is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ht="15.45" customHeight="1" x14ac:dyDescent="0.3">
      <c r="B7" s="1" t="inlineStr">
        <is>
          <t>Concepto</t>
        </is>
      </c>
      <c r="C7" s="1" t="inlineStr">
        <is>
          <t>Valor</t>
        </is>
      </c>
      <c r="D7" s="1" t="inlineStr">
        <is>
          <t>Unidad</t>
        </is>
      </c>
      <c r="E7" s="1" t="inlineStr">
        <is>
          <t>Cómo se calcula / de dónde sale</t>
        </is>
      </c>
      <c r="F7" s="1" t="inlineStr">
        <is>
          <t>Referencia</t>
        </is>
      </c>
      <c r="H7" s="5" t="inlineStr">
        <is>
          <t>γD</t>
        </is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 t="inlineStr">
        <is>
          <t>—</t>
        </is>
      </c>
    </row>
    <row r="8" spans="2:14" ht="15.45" customHeight="1" x14ac:dyDescent="0.3">
      <c r="B8" s="2" t="inlineStr">
        <is>
          <t>Lx — lado perpendicular al lindero</t>
        </is>
      </c>
      <c r="C8" s="14">
        <v>1.8</v>
      </c>
      <c r="D8" s="4" t="inlineStr">
        <is>
          <t>m</t>
        </is>
      </c>
      <c r="E8" s="5" t="inlineStr">
        <is>
          <t>CAPTURA. La zapata sólo crece hacia adentro del predio.</t>
        </is>
      </c>
      <c r="F8" s="6" t="inlineStr">
        <is>
          <t>Propuesta — se verifica en la sección 5</t>
        </is>
      </c>
      <c r="H8" s="5" t="inlineStr">
        <is>
          <t>γA</t>
        </is>
      </c>
      <c r="I8" s="20">
        <f>COMBINACIONES!$G$6</f>
        <v>0</v>
      </c>
      <c r="J8" s="20">
        <f>COMBINACIONES!$G$7</f>
        <v>0.7</v>
      </c>
      <c r="K8" s="20">
        <f>COMBINACIONES!$G$8</f>
        <v>0.525</v>
      </c>
      <c r="L8" s="20">
        <f>COMBINACIONES!$G$9</f>
        <v>0.7</v>
      </c>
      <c r="M8" s="20">
        <f>COMBINACIONES!$G$10</f>
        <v>0.7</v>
      </c>
      <c r="N8" s="24" t="inlineStr">
        <is>
          <t>—</t>
        </is>
      </c>
    </row>
    <row r="9" spans="2:14" ht="15.45" customHeight="1" x14ac:dyDescent="0.3">
      <c r="B9" s="2" t="inlineStr">
        <is>
          <t>Ly — lado paralelo al lindero</t>
        </is>
      </c>
      <c r="C9" s="14">
        <v>2.6</v>
      </c>
      <c r="D9" s="4" t="inlineStr">
        <is>
          <t>m</t>
        </is>
      </c>
      <c r="E9" s="5" t="inlineStr">
        <is>
          <t>CAPTURA. La columna queda centrada en Ly.</t>
        </is>
      </c>
      <c r="F9" s="6" t="inlineStr">
        <is>
          <t>Propuesta — se verifica en la sección 5</t>
        </is>
      </c>
      <c r="H9" s="5" t="inlineStr">
        <is>
          <t>P de la columna</t>
        </is>
      </c>
      <c r="I9" s="19">
        <f>COMBINACIONES!$E$19</f>
        <v>42</v>
      </c>
      <c r="J9" s="19">
        <f>COMBINACIONES!$E$20</f>
        <v>34.2</v>
      </c>
      <c r="K9" s="19">
        <f>COMBINACIONES!$E$21</f>
        <v>42.15</v>
      </c>
      <c r="L9" s="19">
        <f>COMBINACIONES!$E$22</f>
        <v>22.2</v>
      </c>
      <c r="M9" s="19">
        <f>COMBINACIONES!$E$23</f>
        <v>13.8</v>
      </c>
      <c r="N9" s="24" t="inlineStr">
        <is>
          <t>t</t>
        </is>
      </c>
    </row>
    <row r="10" spans="2:14" ht="27.75" customHeight="1" x14ac:dyDescent="0.3">
      <c r="B10" s="2" t="inlineStr">
        <is>
          <t>h — peralte total de la zapata</t>
        </is>
      </c>
      <c r="C10" s="14">
        <v>0.5</v>
      </c>
      <c r="D10" s="4" t="inlineStr">
        <is>
          <t>m</t>
        </is>
      </c>
      <c r="E10" s="5" t="inlineStr">
        <is>
          <t>CAPTURA. Los mínimos por penetración y por dovelas salen en las secciones 4 y 12.</t>
        </is>
      </c>
      <c r="F10" s="6" t="inlineStr">
        <is>
          <t>Propuesta — se verifica en las secciones 6, 9 y 12</t>
        </is>
      </c>
      <c r="H10" s="5" t="inlineStr">
        <is>
          <t>Mx de la columna</t>
        </is>
      </c>
      <c r="I10" s="19">
        <f>COMBINACIONES!$F$19</f>
        <v>1.2000000000000002</v>
      </c>
      <c r="J10" s="19">
        <f>COMBINACIONES!$F$20</f>
        <v>4.6499999999999995</v>
      </c>
      <c r="K10" s="19">
        <f>COMBINACIONES!$F$21</f>
        <v>3.9875000000000003</v>
      </c>
      <c r="L10" s="19">
        <f>COMBINACIONES!$F$22</f>
        <v>4.33</v>
      </c>
      <c r="M10" s="19">
        <f>COMBINACIONES!$F$23</f>
        <v>4.33</v>
      </c>
      <c r="N10" s="24" t="inlineStr">
        <is>
          <t>t·m</t>
        </is>
      </c>
    </row>
    <row r="11" spans="2:14" ht="27.75" customHeight="1" x14ac:dyDescent="0.3">
      <c r="B11" s="2" t="inlineStr">
        <is>
          <t>Df — profundidad de desplante</t>
        </is>
      </c>
      <c r="C11" s="14">
        <v>1.5</v>
      </c>
      <c r="D11" s="4" t="inlineStr">
        <is>
          <t>m</t>
        </is>
      </c>
      <c r="E11" s="5" t="inlineStr">
        <is>
          <t>CAPTURA. Del nivel de terreno a la cara inferior de la zapata.</t>
        </is>
      </c>
      <c r="F11" s="6" t="inlineStr">
        <is>
          <t>Estudio de mecánica de suelos / proyecto</t>
        </is>
      </c>
      <c r="H11" s="5" t="inlineStr">
        <is>
          <t>My de la columna</t>
        </is>
      </c>
      <c r="I11" s="19">
        <f>COMBINACIONES!$G$19</f>
        <v>0.8999999999999999</v>
      </c>
      <c r="J11" s="19">
        <f>COMBINACIONES!$G$20</f>
        <v>5.1499999999999995</v>
      </c>
      <c r="K11" s="19">
        <f>COMBINACIONES!$G$21</f>
        <v>4.2375</v>
      </c>
      <c r="L11" s="19">
        <f>COMBINACIONES!$G$22</f>
        <v>4.91</v>
      </c>
      <c r="M11" s="19">
        <f>COMBINACIONES!$G$23</f>
        <v>4.91</v>
      </c>
      <c r="N11" s="24" t="inlineStr">
        <is>
          <t>t·m</t>
        </is>
      </c>
    </row>
    <row r="12" spans="2:14" ht="15.45" customHeight="1" x14ac:dyDescent="0.3">
      <c r="B12" s="2" t="inlineStr">
        <is>
          <t>r — recubrimiento libre inferior</t>
        </is>
      </c>
      <c r="C12" s="16">
        <v>7.5</v>
      </c>
      <c r="D12" s="4" t="inlineStr">
        <is>
          <t>cm</t>
        </is>
      </c>
      <c r="E12" s="5" t="inlineStr">
        <is>
          <t>CAPTURA. Concreto colado contra el suelo: 75 mm.</t>
        </is>
      </c>
      <c r="F12" s="6" t="inlineStr">
        <is>
          <t>ACI 318-19, Tabla 20.5.1.3.1 (ver TABLAS)</t>
        </is>
      </c>
      <c r="H12" s="5" t="inlineStr">
        <is>
          <t>Vx de la columna</t>
        </is>
      </c>
      <c r="I12" s="19">
        <f>COMBINACIONES!$H$19</f>
        <v>0.30000000000000004</v>
      </c>
      <c r="J12" s="19">
        <f>COMBINACIONES!$H$20</f>
        <v>1.95</v>
      </c>
      <c r="K12" s="19">
        <f>COMBINACIONES!$H$21</f>
        <v>1.5875</v>
      </c>
      <c r="L12" s="19">
        <f>COMBINACIONES!$H$22</f>
        <v>1.87</v>
      </c>
      <c r="M12" s="19">
        <f>COMBINACIONES!$H$23</f>
        <v>1.87</v>
      </c>
      <c r="N12" s="24" t="inlineStr">
        <is>
          <t>t</t>
        </is>
      </c>
    </row>
    <row r="13" spans="2:14" ht="27.75" customHeight="1" x14ac:dyDescent="0.3">
      <c r="B13" s="2" t="inlineStr">
        <is>
          <t>r_lat — recubrimiento en las puntas de las varillas</t>
        </is>
      </c>
      <c r="C13" s="16">
        <v>7.5</v>
      </c>
      <c r="D13" s="4" t="inlineStr">
        <is>
          <t>cm</t>
        </is>
      </c>
      <c r="E13" s="5" t="inlineStr">
        <is>
          <t>CAPTURA. Caras laterales coladas contra el suelo (también la del lindero).</t>
        </is>
      </c>
      <c r="F13" s="6" t="inlineStr">
        <is>
          <t>ACI 318-19, Tabla 20.5.1.3.1</t>
        </is>
      </c>
      <c r="H13" s="5" t="inlineStr">
        <is>
          <t>Vy de la columna</t>
        </is>
      </c>
      <c r="I13" s="19">
        <f>COMBINACIONES!$I$19</f>
        <v>0.4</v>
      </c>
      <c r="J13" s="19">
        <f>COMBINACIONES!$I$20</f>
        <v>1.7</v>
      </c>
      <c r="K13" s="19">
        <f>COMBINACIONES!$I$21</f>
        <v>1.425</v>
      </c>
      <c r="L13" s="19">
        <f>COMBINACIONES!$I$22</f>
        <v>1.5799999999999998</v>
      </c>
      <c r="M13" s="19">
        <f>COMBINACIONES!$I$23</f>
        <v>1.5799999999999998</v>
      </c>
      <c r="N13" s="24" t="inlineStr">
        <is>
          <t>t</t>
        </is>
      </c>
    </row>
    <row r="14" spans="2:14" ht="27.75" customHeight="1" x14ac:dyDescent="0.3">
      <c r="B14" s="2" t="inlineStr">
        <is>
          <t>r_sup — recubrimiento superior</t>
        </is>
      </c>
      <c r="C14" s="16">
        <v>5</v>
      </c>
      <c r="D14" s="4" t="inlineStr">
        <is>
          <t>cm</t>
        </is>
      </c>
      <c r="E14" s="5" t="inlineStr">
        <is>
          <t>CAPTURA. Cara superior bajo relleno: 50 mm (40 mm para #5 y menores).</t>
        </is>
      </c>
      <c r="F14" s="6" t="inlineStr">
        <is>
          <t>ACI 318-19, Tabla 20.5.1.3.1</t>
        </is>
      </c>
      <c r="H14" s="5" t="inlineStr">
        <is>
          <t>P en el eje de la columna = P + γD·W_dado</t>
        </is>
      </c>
      <c r="I14" s="19">
        <f>I9+I7*$C$57</f>
        <v>42.69</v>
      </c>
      <c r="J14" s="19">
        <f>J9+J7*$C$57</f>
        <v>34.89</v>
      </c>
      <c r="K14" s="19">
        <f>K9+K7*$C$57</f>
        <v>42.839999999999996</v>
      </c>
      <c r="L14" s="19">
        <f>L9+L7*$C$57</f>
        <v>22.614</v>
      </c>
      <c r="M14" s="19">
        <f>M9+M7*$C$57</f>
        <v>14.214</v>
      </c>
      <c r="N14" s="24" t="inlineStr">
        <is>
          <t>t</t>
        </is>
      </c>
    </row>
    <row r="15" spans="2:14" ht="40.2" customHeight="1" x14ac:dyDescent="0.3">
      <c r="B15" s="2" t="inlineStr">
        <is>
          <t>¿Lleva contratrabe de equilibrio a la columna interior?</t>
        </is>
      </c>
      <c r="C15" s="3" t="inlineStr">
        <is>
          <t>SÍ</t>
        </is>
      </c>
      <c r="D15" s="4" t="inlineStr">
        <is>
          <t>—</t>
        </is>
      </c>
      <c r="E15" s="5" t="inlineStr">
        <is>
          <t>CAPTURA (lista). SÍ: la contratrabe toma P·e y el momento de la columna en X, y la zapata recibe presión uniforme en X. NO: el suelo toma toda la excentricidad.</t>
        </is>
      </c>
      <c r="F15" s="6" t="inlineStr">
        <is>
          <t>ACI 318-19, 13.2.6.4, pág. 200 · Bowles 5ª ed., §9.4</t>
        </is>
      </c>
      <c r="H15" s="5" t="inlineStr">
        <is>
          <t>My en el desplante = My + Vx·brazo</t>
        </is>
      </c>
      <c r="I15" s="19">
        <f>I11+I12*$C$22</f>
        <v>1.395</v>
      </c>
      <c r="J15" s="19">
        <f>J11+J12*$C$22</f>
        <v>8.3675</v>
      </c>
      <c r="K15" s="19">
        <f>K11+K12*$C$22</f>
        <v>6.856875</v>
      </c>
      <c r="L15" s="19">
        <f>L11+L12*$C$22</f>
        <v>7.9955</v>
      </c>
      <c r="M15" s="19">
        <f>M11+M12*$C$22</f>
        <v>7.9955</v>
      </c>
      <c r="N15" s="24" t="inlineStr">
        <is>
          <t>t·m</t>
        </is>
      </c>
    </row>
    <row r="16" spans="2:14" ht="27.75" customHeight="1" x14ac:dyDescent="0.3">
      <c r="B16" s="2" t="inlineStr">
        <is>
          <t>Ls — distancia entre ejes, columna de lindero a columna interior</t>
        </is>
      </c>
      <c r="C16" s="14">
        <v>6</v>
      </c>
      <c r="D16" s="4" t="inlineStr">
        <is>
          <t>m</t>
        </is>
      </c>
      <c r="E16" s="5" t="inlineStr">
        <is>
          <t>CAPTURA. Sólo se usa con contratrabe.</t>
        </is>
      </c>
      <c r="F16" s="6" t="inlineStr">
        <is>
          <t>Retícula del proyecto</t>
        </is>
      </c>
      <c r="H16" s="5" t="inlineStr">
        <is>
          <t>Mx en el desplante = Mx + Vy·brazo</t>
        </is>
      </c>
      <c r="I16" s="19">
        <f>I10+I13*$C$22</f>
        <v>1.8600000000000003</v>
      </c>
      <c r="J16" s="19">
        <f>J10+J13*$C$22</f>
        <v>7.454999999999999</v>
      </c>
      <c r="K16" s="19">
        <f>K10+K13*$C$22</f>
        <v>6.33875</v>
      </c>
      <c r="L16" s="19">
        <f>L10+L13*$C$22</f>
        <v>6.936999999999999</v>
      </c>
      <c r="M16" s="19">
        <f>M10+M13*$C$22</f>
        <v>6.936999999999999</v>
      </c>
      <c r="N16" s="24" t="inlineStr">
        <is>
          <t>t·m</t>
        </is>
      </c>
    </row>
    <row r="17" spans="2:14" ht="27.75" customHeight="1" x14ac:dyDescent="0.3">
      <c r="B17" s="2" t="inlineStr">
        <is>
          <t>P muerta de servicio de la columna interior (caso D)</t>
        </is>
      </c>
      <c r="C17" s="14">
        <v>30</v>
      </c>
      <c r="D17" s="4" t="inlineStr">
        <is>
          <t>t</t>
        </is>
      </c>
      <c r="E17" s="5" t="inlineStr">
        <is>
          <t>CAPTURA. Para revisar que la contratrabe no levante la columna interior. Sólo con contratrabe.</t>
        </is>
      </c>
      <c r="F17" s="6" t="inlineStr">
        <is>
          <t>Modelo de análisis (STAAD) · tabla de reacciones</t>
        </is>
      </c>
      <c r="H17" s="5" t="inlineStr">
        <is>
          <t>R — carga de la columna que toma la zapata (con contratrabe = (P·Ls + My)/(Ls − e))</t>
        </is>
      </c>
      <c r="I17" s="19">
        <f>IF($C$15="SÍ",(I14*$C$16+I15)/($C$16-$C$24),I14)</f>
        <v>48.13738317757009</v>
      </c>
      <c r="J17" s="19">
        <f>IF($C$15="SÍ",(J14*$C$16+J15)/($C$16-$C$24),J14)</f>
        <v>40.69299065420561</v>
      </c>
      <c r="K17" s="19">
        <f>IF($C$15="SÍ",(K14*$C$16+K15)/($C$16-$C$24),K14)</f>
        <v>49.32651869158878</v>
      </c>
      <c r="L17" s="19">
        <f>IF($C$15="SÍ",(L14*$C$16+L15)/($C$16-$C$24),L14)</f>
        <v>26.855981308411216</v>
      </c>
      <c r="M17" s="19">
        <f>IF($C$15="SÍ",(M14*$C$16+M15)/($C$16-$C$24),M14)</f>
        <v>17.435420560747666</v>
      </c>
      <c r="N17" s="24" t="inlineStr">
        <is>
          <t>t</t>
        </is>
      </c>
    </row>
    <row r="18" spans="2:14" ht="15.45" customHeight="1" x14ac:dyDescent="0.3">
      <c r="B18" s="2" t="inlineStr">
        <is>
          <t>A — área de la zapata</t>
        </is>
      </c>
      <c r="C18" s="10">
        <f>$C$8*$C$9</f>
        <v>4.680000000000001</v>
      </c>
      <c r="D18" s="4" t="inlineStr">
        <is>
          <t>m²</t>
        </is>
      </c>
      <c r="E18" s="5" t="inlineStr">
        <is>
          <t>CALCULADA = Lx · Ly.</t>
        </is>
      </c>
      <c r="F18" s="6" t="inlineStr">
        <is>
          <t>Geometría</t>
        </is>
      </c>
      <c r="H18" s="5" t="inlineStr">
        <is>
          <t>ΔP = R − P (se lo quita a la columna interior)</t>
        </is>
      </c>
      <c r="I18" s="19">
        <f>I17-I14</f>
        <v>5.447383177570096</v>
      </c>
      <c r="J18" s="19">
        <f>J17-J14</f>
        <v>5.802990654205608</v>
      </c>
      <c r="K18" s="19">
        <f>K17-K14</f>
        <v>6.486518691588785</v>
      </c>
      <c r="L18" s="19">
        <f>L17-L14</f>
        <v>4.241981308411216</v>
      </c>
      <c r="M18" s="19">
        <f>M17-M14</f>
        <v>3.2214205607476654</v>
      </c>
      <c r="N18" s="24" t="inlineStr">
        <is>
          <t>t</t>
        </is>
      </c>
    </row>
    <row r="19" spans="2:14" ht="15.45" customHeight="1" x14ac:dyDescent="0.3">
      <c r="B19" s="2" t="inlineStr">
        <is>
          <t>β — relación lado largo / lado corto</t>
        </is>
      </c>
      <c r="C19" s="10">
        <f>MAX($C$8,$C$9)/MIN($C$8,$C$9)</f>
        <v>1.4444444444444444</v>
      </c>
      <c r="D19" s="4" t="inlineStr">
        <is>
          <t>—</t>
        </is>
      </c>
      <c r="E19" s="5" t="inlineStr">
        <is>
          <t>CALCULADA.</t>
        </is>
      </c>
      <c r="F19" s="6" t="inlineStr">
        <is>
          <t>ACI 318-19, 13.3.3.3, pág. 204</t>
        </is>
      </c>
      <c r="H19" s="5" t="inlineStr">
        <is>
          <t>γD · (W_zap + W_rell)</t>
        </is>
      </c>
      <c r="I19" s="19">
        <f>I7*$C$58</f>
        <v>12.704</v>
      </c>
      <c r="J19" s="19">
        <f>J7*$C$58</f>
        <v>12.704</v>
      </c>
      <c r="K19" s="19">
        <f>K7*$C$58</f>
        <v>12.704</v>
      </c>
      <c r="L19" s="19">
        <f>L7*$C$58</f>
        <v>7.6224</v>
      </c>
      <c r="M19" s="19">
        <f>M7*$C$58</f>
        <v>7.6224</v>
      </c>
      <c r="N19" s="24" t="inlineStr">
        <is>
          <t>t</t>
        </is>
      </c>
    </row>
    <row r="20" spans="2:14" ht="15.45" customHeight="1" x14ac:dyDescent="0.3">
      <c r="B20" s="2" t="inlineStr">
        <is>
          <t>h_rell — relleno sobre la zapata</t>
        </is>
      </c>
      <c r="C20" s="9">
        <f>$C$11-$C$10</f>
        <v>1</v>
      </c>
      <c r="D20" s="4" t="inlineStr">
        <is>
          <t>m</t>
        </is>
      </c>
      <c r="E20" s="5" t="inlineStr">
        <is>
          <t>CALCULADA = Df − h.</t>
        </is>
      </c>
      <c r="F20" s="6" t="inlineStr">
        <is>
          <t>Geometría</t>
        </is>
      </c>
      <c r="H20" s="5" t="inlineStr">
        <is>
          <t>P total sobre el terreno</t>
        </is>
      </c>
      <c r="I20" s="19">
        <f>I17+I19</f>
        <v>60.841383177570094</v>
      </c>
      <c r="J20" s="19">
        <f>J17+J19</f>
        <v>53.39699065420561</v>
      </c>
      <c r="K20" s="19">
        <f>K17+K19</f>
        <v>62.03051869158878</v>
      </c>
      <c r="L20" s="19">
        <f>L17+L19</f>
        <v>34.478381308411215</v>
      </c>
      <c r="M20" s="19">
        <f>M17+M19</f>
        <v>25.057820560747665</v>
      </c>
      <c r="N20" s="24" t="inlineStr">
        <is>
          <t>t</t>
        </is>
      </c>
    </row>
    <row r="21" spans="2:14" ht="27.75" customHeight="1" x14ac:dyDescent="0.3">
      <c r="B21" s="2" t="inlineStr">
        <is>
          <t>H_dado — altura del dado sobre la zapata</t>
        </is>
      </c>
      <c r="C21" s="9">
        <f>$C$11-$C$10+DATOS!$C$66</f>
        <v>1.15</v>
      </c>
      <c r="D21" s="4" t="inlineStr">
        <is>
          <t>m</t>
        </is>
      </c>
      <c r="E21" s="5" t="inlineStr">
        <is>
          <t>CALCULADA = Df − h + altura del dado sobre el terreno (DATOS).</t>
        </is>
      </c>
      <c r="F21" s="6" t="inlineStr">
        <is>
          <t>Geometría</t>
        </is>
      </c>
      <c r="H21" s="5" t="inlineStr">
        <is>
          <t>M en X respecto al centro de la zapata (sin contratrabe = P·e + My)</t>
        </is>
      </c>
      <c r="I21" s="19">
        <f>IF($C$15="SÍ",0,I14*$C$24+I15)</f>
        <v>0</v>
      </c>
      <c r="J21" s="19">
        <f>IF($C$15="SÍ",0,J14*$C$24+J15)</f>
        <v>0</v>
      </c>
      <c r="K21" s="19">
        <f>IF($C$15="SÍ",0,K14*$C$24+K15)</f>
        <v>0</v>
      </c>
      <c r="L21" s="19">
        <f>IF($C$15="SÍ",0,L14*$C$24+L15)</f>
        <v>0</v>
      </c>
      <c r="M21" s="19">
        <f>IF($C$15="SÍ",0,M14*$C$24+M15)</f>
        <v>0</v>
      </c>
      <c r="N21" s="24" t="inlineStr">
        <is>
          <t>t·m</t>
        </is>
      </c>
    </row>
    <row r="22" spans="2:14" ht="15.45" customHeight="1" x14ac:dyDescent="0.3">
      <c r="B22" s="2" t="inlineStr">
        <is>
          <t>Brazo del cortante V hasta el desplante</t>
        </is>
      </c>
      <c r="C22" s="9">
        <f>IF(DATOS!$C$70="CARA SUPERIOR DEL DADO",$C$21+$C$10,$C$10)</f>
        <v>1.65</v>
      </c>
      <c r="D22" s="4" t="inlineStr">
        <is>
          <t>m</t>
        </is>
      </c>
      <c r="E22" s="5" t="inlineStr">
        <is>
          <t>CALCULADA. M_desplante = M + V·brazo.</t>
        </is>
      </c>
      <c r="F22" s="6" t="inlineStr">
        <is>
          <t>Estática · DATOS, sección 6</t>
        </is>
      </c>
      <c r="H22" s="5" t="inlineStr">
        <is>
          <t>ex = M / P</t>
        </is>
      </c>
      <c r="I22" s="20">
        <f>IF(I20&gt;0,I21/I20,99)</f>
        <v>0</v>
      </c>
      <c r="J22" s="20">
        <f>IF(J20&gt;0,J21/J20,99)</f>
        <v>0</v>
      </c>
      <c r="K22" s="20">
        <f>IF(K20&gt;0,K21/K20,99)</f>
        <v>0</v>
      </c>
      <c r="L22" s="20">
        <f>IF(L20&gt;0,L21/L20,99)</f>
        <v>0</v>
      </c>
      <c r="M22" s="20">
        <f>IF(M20&gt;0,M21/M20,99)</f>
        <v>0</v>
      </c>
      <c r="N22" s="24" t="inlineStr">
        <is>
          <t>m</t>
        </is>
      </c>
    </row>
    <row r="23" spans="2:14" ht="27.75" customHeight="1" x14ac:dyDescent="0.3">
      <c r="B23" s="2" t="inlineStr">
        <is>
          <t>Brazo del cortante V hasta la cara superior de la zapata</t>
        </is>
      </c>
      <c r="C23" s="9">
        <f>IF(DATOS!$C$70="CARA SUPERIOR DEL DADO",$C$21,0)</f>
        <v>1.15</v>
      </c>
      <c r="D23" s="4" t="inlineStr">
        <is>
          <t>m</t>
        </is>
      </c>
      <c r="E23" s="5" t="inlineStr">
        <is>
          <t>CALCULADA. Para el momento que el dado le pasa a la zapata (penetración).</t>
        </is>
      </c>
      <c r="F23" s="6" t="inlineStr">
        <is>
          <t>Estática</t>
        </is>
      </c>
      <c r="H23" s="5" t="inlineStr">
        <is>
          <t>ey = Mx / P</t>
        </is>
      </c>
      <c r="I23" s="20">
        <f>IF(I20&gt;0,I16/I20,99)</f>
        <v>0.03057129708197876</v>
      </c>
      <c r="J23" s="20">
        <f>IF(J20&gt;0,J16/J20,99)</f>
        <v>0.13961460952505636</v>
      </c>
      <c r="K23" s="20">
        <f>IF(K20&gt;0,K16/K20,99)</f>
        <v>0.10218760271078504</v>
      </c>
      <c r="L23" s="20">
        <f>IF(L20&gt;0,L16/L20,99)</f>
        <v>0.20119854055641745</v>
      </c>
      <c r="M23" s="20">
        <f>IF(M20&gt;0,M16/M20,99)</f>
        <v>0.2768397188886652</v>
      </c>
      <c r="N23" s="24" t="inlineStr">
        <is>
          <t>m</t>
        </is>
      </c>
    </row>
    <row r="24" spans="2:14" ht="27.75" customHeight="1" x14ac:dyDescent="0.3">
      <c r="B24" s="2" t="inlineStr">
        <is>
          <t>e — del eje de la columna al centro de la zapata</t>
        </is>
      </c>
      <c r="C24" s="10">
        <f>$C$8/2-DATOS!$C$64/2</f>
        <v>0.65</v>
      </c>
      <c r="D24" s="4" t="inlineStr">
        <is>
          <t>m</t>
        </is>
      </c>
      <c r="E24" s="5" t="inlineStr">
        <is>
          <t>CALCULADA = Lx/2 − cx/2.</t>
        </is>
      </c>
      <c r="F24" s="6" t="inlineStr">
        <is>
          <t>Geometría</t>
        </is>
      </c>
      <c r="H24" s="5" t="inlineStr">
        <is>
          <t>Índice de núcleo 6ex/Lx + 6ey/Ly (≤ 1: contacto total)</t>
        </is>
      </c>
      <c r="I24" s="20">
        <f>6*I22/$C$8+6*I23/$C$9</f>
        <v>0.07054914711225868</v>
      </c>
      <c r="J24" s="20">
        <f>6*J22/$C$8+6*J23/$C$9</f>
        <v>0.32218756044243774</v>
      </c>
      <c r="K24" s="20">
        <f>6*K22/$C$8+6*K23/$C$9</f>
        <v>0.23581754471719626</v>
      </c>
      <c r="L24" s="20">
        <f>6*L22/$C$8+6*L23/$C$9</f>
        <v>0.46430432436096336</v>
      </c>
      <c r="M24" s="20">
        <f>6*M22/$C$8+6*M23/$C$9</f>
        <v>0.6388608897430735</v>
      </c>
      <c r="N24" s="24" t="inlineStr">
        <is>
          <t>—</t>
        </is>
      </c>
    </row>
    <row r="25" spans="2:14" ht="27.75" customHeight="1" x14ac:dyDescent="0.3">
      <c r="B25" s="2" t="inlineStr">
        <is>
          <t>Ix — momento de inercia de la base (gira alrededor de X)</t>
        </is>
      </c>
      <c r="C25" s="15">
        <f>$C$8*$C$9^3/12</f>
        <v>2.6364</v>
      </c>
      <c r="D25" s="4" t="inlineStr">
        <is>
          <t>m⁴</t>
        </is>
      </c>
      <c r="E25" s="5" t="inlineStr">
        <is>
          <t>CALCULADA = Lx·Ly³/12.</t>
        </is>
      </c>
      <c r="F25" s="6" t="inlineStr">
        <is>
          <t>Mecánica de materiales</t>
        </is>
      </c>
      <c r="H25" s="5" t="inlineStr">
        <is>
          <t>Kx (factor uniaxial en X)</t>
        </is>
      </c>
      <c r="I25" s="20">
        <f>IF(I22&lt;=$C$8/6,1+6*I22/$C$8,IF(I22&lt;$C$8/2,4*$C$8/(3*($C$8-2*I22)),999))</f>
        <v>1</v>
      </c>
      <c r="J25" s="20">
        <f>IF(J22&lt;=$C$8/6,1+6*J22/$C$8,IF(J22&lt;$C$8/2,4*$C$8/(3*($C$8-2*J22)),999))</f>
        <v>1</v>
      </c>
      <c r="K25" s="20">
        <f>IF(K22&lt;=$C$8/6,1+6*K22/$C$8,IF(K22&lt;$C$8/2,4*$C$8/(3*($C$8-2*K22)),999))</f>
        <v>1</v>
      </c>
      <c r="L25" s="20">
        <f>IF(L22&lt;=$C$8/6,1+6*L22/$C$8,IF(L22&lt;$C$8/2,4*$C$8/(3*($C$8-2*L22)),999))</f>
        <v>1</v>
      </c>
      <c r="M25" s="20">
        <f>IF(M22&lt;=$C$8/6,1+6*M22/$C$8,IF(M22&lt;$C$8/2,4*$C$8/(3*($C$8-2*M22)),999))</f>
        <v>1</v>
      </c>
      <c r="N25" s="24" t="inlineStr">
        <is>
          <t>—</t>
        </is>
      </c>
    </row>
    <row r="26" spans="2:14" ht="27.75" customHeight="1" x14ac:dyDescent="0.3">
      <c r="B26" s="2" t="inlineStr">
        <is>
          <t>Iy — momento de inercia de la base (gira alrededor de Y)</t>
        </is>
      </c>
      <c r="C26" s="15">
        <f>$C$9*$C$8^3/12</f>
        <v>1.2636</v>
      </c>
      <c r="D26" s="4" t="inlineStr">
        <is>
          <t>m⁴</t>
        </is>
      </c>
      <c r="E26" s="5" t="inlineStr">
        <is>
          <t>CALCULADA = Ly·Lx³/12.</t>
        </is>
      </c>
      <c r="F26" s="6" t="inlineStr">
        <is>
          <t>Mecánica de materiales</t>
        </is>
      </c>
      <c r="H26" s="5" t="inlineStr">
        <is>
          <t>Ky (factor uniaxial en Y)</t>
        </is>
      </c>
      <c r="I26" s="20">
        <f>IF(I23&lt;=$C$9/6,1+6*I23/$C$9,IF(I23&lt;$C$9/2,4*$C$9/(3*($C$9-2*I23)),999))</f>
        <v>1.0705491471122586</v>
      </c>
      <c r="J26" s="20">
        <f>IF(J23&lt;=$C$9/6,1+6*J23/$C$9,IF(J23&lt;$C$9/2,4*$C$9/(3*($C$9-2*J23)),999))</f>
        <v>1.3221875604424378</v>
      </c>
      <c r="K26" s="20">
        <f>IF(K23&lt;=$C$9/6,1+6*K23/$C$9,IF(K23&lt;$C$9/2,4*$C$9/(3*($C$9-2*K23)),999))</f>
        <v>1.2358175447171962</v>
      </c>
      <c r="L26" s="20">
        <f>IF(L23&lt;=$C$9/6,1+6*L23/$C$9,IF(L23&lt;$C$9/2,4*$C$9/(3*($C$9-2*L23)),999))</f>
        <v>1.4643043243609632</v>
      </c>
      <c r="M26" s="20">
        <f>IF(M23&lt;=$C$9/6,1+6*M23/$C$9,IF(M23&lt;$C$9/2,4*$C$9/(3*($C$9-2*M23)),999))</f>
        <v>1.6388608897430736</v>
      </c>
      <c r="N26" s="24" t="inlineStr">
        <is>
          <t>—</t>
        </is>
      </c>
    </row>
    <row r="27" spans="2:14" ht="27.75" customHeight="1" x14ac:dyDescent="0.3">
      <c r="B27" s="2" t="inlineStr">
        <is>
          <t>Ancho del apoyo para las varillas ‖ Y</t>
        </is>
      </c>
      <c r="C27" s="9">
        <f>IF($C$15="SÍ",MIN(DATOS!$C$65,$C$238),DATOS!$C$65)</f>
        <v>0.4</v>
      </c>
      <c r="D27" s="4" t="inlineStr">
        <is>
          <t>m</t>
        </is>
      </c>
      <c r="E27" s="5" t="inlineStr">
        <is>
          <t>CALCULADA: con contratrabe, el menor entre cy y el ancho de la contratrabe; sin ella, cy.</t>
        </is>
      </c>
      <c r="F27" s="6" t="inlineStr">
        <is>
          <t>ACI 318-19, Tabla 13.2.7.1, pág. 202</t>
        </is>
      </c>
      <c r="H27" s="5" t="inlineStr">
        <is>
          <t>q máx</t>
        </is>
      </c>
      <c r="I27" s="19">
        <f>IF(I20&lt;=0,999,IF(I24&lt;=1,I20/$C$18*(1+I24),MIN(999,I20/$C$18*I25*I26)))</f>
        <v>13.917455314076447</v>
      </c>
      <c r="J27" s="19">
        <f>IF(J20&lt;=0,999,IF(J24&lt;=1,J20/$C$18*(1+J24),MIN(999,J20/$C$18*J25*J26)))</f>
        <v>15.08564889060935</v>
      </c>
      <c r="K27" s="19">
        <f>IF(K20&lt;=0,999,IF(K24&lt;=1,K20/$C$18*(1+K24),MIN(999,K20/$C$18*K25*K26)))</f>
        <v>16.380000706618244</v>
      </c>
      <c r="L27" s="19">
        <f>IF(L20&lt;=0,999,IF(L24&lt;=1,L20/$C$18*(1+L24),MIN(999,L20/$C$18*L25*L26)))</f>
        <v>10.787786933092466</v>
      </c>
      <c r="M27" s="19">
        <f>IF(M20&lt;=0,999,IF(M24&lt;=1,M20/$C$18*(1+M24),MIN(999,M20/$C$18*M25*M26)))</f>
        <v>8.774846602395128</v>
      </c>
      <c r="N27" s="24" t="inlineStr">
        <is>
          <t>t/m²</t>
        </is>
      </c>
    </row>
    <row r="28" spans="2:14" ht="15.45" customHeight="1" x14ac:dyDescent="0.3">
      <c r="B28" s="2" t="inlineStr">
        <is>
          <t>Volado en X desde la cara interior del dado</t>
        </is>
      </c>
      <c r="C28" s="9">
        <f>$C$8-DATOS!$C$64</f>
        <v>1.3</v>
      </c>
      <c r="D28" s="4" t="inlineStr">
        <is>
          <t>m</t>
        </is>
      </c>
      <c r="E28" s="5" t="inlineStr">
        <is>
          <t>CALCULADA = Lx − cx.</t>
        </is>
      </c>
      <c r="F28" s="6" t="inlineStr">
        <is>
          <t>Geometría</t>
        </is>
      </c>
      <c r="H28" s="5" t="inlineStr">
        <is>
          <t>q mín (0 = despegue)</t>
        </is>
      </c>
      <c r="I28" s="19">
        <f>IF(I20&lt;=0,0,IF(I24&lt;=1,I20/$C$18*(1-I24),0))</f>
        <v>12.08313578744923</v>
      </c>
      <c r="J28" s="19">
        <f>IF(J20&lt;=0,0,IF(J24&lt;=1,J20/$C$18*(1-J24),0))</f>
        <v>7.73357788469219</v>
      </c>
      <c r="K28" s="19">
        <f>IF(K20&lt;=0,0,IF(K24&lt;=1,K20/$C$18*(1-K24),0))</f>
        <v>10.128767965000888</v>
      </c>
      <c r="L28" s="19">
        <f>IF(L20&lt;=0,0,IF(L24&lt;=1,L20/$C$18*(1-L24),0))</f>
        <v>3.9465640534080504</v>
      </c>
      <c r="M28" s="19">
        <f>IF(M20&lt;=0,0,IF(M24&lt;=1,M20/$C$18*(1-M24),0))</f>
        <v>1.9336237227107111</v>
      </c>
      <c r="N28" s="24" t="inlineStr">
        <is>
          <t>t/m²</t>
        </is>
      </c>
    </row>
    <row r="29" spans="2:14" ht="15.45" customHeight="1" x14ac:dyDescent="0.3">
      <c r="B29" s="2" t="inlineStr">
        <is>
          <t>Volado en Y desde la cara del apoyo</t>
        </is>
      </c>
      <c r="C29" s="9">
        <f>($C$9-$C$27)/2</f>
        <v>1.1</v>
      </c>
      <c r="D29" s="4" t="inlineStr">
        <is>
          <t>m</t>
        </is>
      </c>
      <c r="E29" s="5" t="inlineStr">
        <is>
          <t>CALCULADA = (Ly − ancho del apoyo)/2.</t>
        </is>
      </c>
      <c r="F29" s="6" t="inlineStr">
        <is>
          <t>Geometría</t>
        </is>
      </c>
      <c r="H29" s="5" t="inlineStr">
        <is>
          <t>Contacto</t>
        </is>
      </c>
      <c r="I29" s="18" t="str">
        <f>IF(I24&lt;=1,"TOTAL","PARCIAL")</f>
        <v>TOTAL</v>
      </c>
      <c r="J29" s="18" t="str">
        <f>IF(J24&lt;=1,"TOTAL","PARCIAL")</f>
        <v>TOTAL</v>
      </c>
      <c r="K29" s="18" t="str">
        <f>IF(K24&lt;=1,"TOTAL","PARCIAL")</f>
        <v>TOTAL</v>
      </c>
      <c r="L29" s="18" t="str">
        <f>IF(L24&lt;=1,"TOTAL","PARCIAL")</f>
        <v>TOTAL</v>
      </c>
      <c r="M29" s="18" t="str">
        <f>IF(M24&lt;=1,"TOTAL","PARCIAL")</f>
        <v>TOTAL</v>
      </c>
      <c r="N29" s="24" t="inlineStr">
        <is>
          <t>—</t>
        </is>
      </c>
    </row>
    <row r="30" spans="2:14" ht="27.75" customHeight="1" x14ac:dyDescent="0.3">
      <c r="B30" s="2" t="inlineStr">
        <is>
          <t>Ln — claro libre de la contratrabe</t>
        </is>
      </c>
      <c r="C30" s="9">
        <f>IF($C$15="SÍ",$C$16-$C$8,0)</f>
        <v>4.2</v>
      </c>
      <c r="D30" s="4" t="inlineStr">
        <is>
          <t>m</t>
        </is>
      </c>
      <c r="E30" s="5" t="inlineStr">
        <is>
          <t>CALCULADA = Ls − Lx: de la orilla interior de la zapata al paño del dado interior (dados iguales).</t>
        </is>
      </c>
      <c r="F30" s="6" t="inlineStr">
        <is>
          <t>Geometría</t>
        </is>
      </c>
      <c r="H30" s="5" t="inlineStr">
        <is>
          <t>q adm (con incremento si hay A)</t>
        </is>
      </c>
      <c r="I30" s="19">
        <f>DATOS!$C$30*IF(I8&gt;0,DATOS!$C$31,1)</f>
        <v>18</v>
      </c>
      <c r="J30" s="19">
        <f>DATOS!$C$30*IF(J8&gt;0,DATOS!$C$31,1)</f>
        <v>18</v>
      </c>
      <c r="K30" s="19">
        <f>DATOS!$C$30*IF(K8&gt;0,DATOS!$C$31,1)</f>
        <v>18</v>
      </c>
      <c r="L30" s="19">
        <f>DATOS!$C$30*IF(L8&gt;0,DATOS!$C$31,1)</f>
        <v>18</v>
      </c>
      <c r="M30" s="19">
        <f>DATOS!$C$30*IF(M8&gt;0,DATOS!$C$31,1)</f>
        <v>18</v>
      </c>
      <c r="N30" s="24" t="inlineStr">
        <is>
          <t>t/m²</t>
        </is>
      </c>
    </row>
    <row r="31" spans="2:14" ht="15.45" customHeight="1" x14ac:dyDescent="0.3">
      <c r="B31" s="25" t="inlineStr">
        <is>
          <t>¿La geometría es coherente?</t>
        </is>
      </c>
      <c r="C31" s="26" t="str">
        <f>IF(AND($C$28&gt;0,$C$29&gt;0,$C$20&gt;=0,OR($C$15="NO",$C$30&gt;0)),"CUMPLE","NO CUMPLE — Lx &gt; cx, Ly &gt; apoyo, Df ≥ h y Ls &gt; Lx")</f>
        <v>CUMPLE</v>
      </c>
      <c r="D31" s="4" t="inlineStr">
        <is>
          <t>—</t>
        </is>
      </c>
      <c r="E31" s="5" t="inlineStr">
        <is>
          <t>Revisa volados, desplante y que la contratrabe tenga claro.</t>
        </is>
      </c>
      <c r="F31" s="6" t="inlineStr">
        <is>
          <t>Geometría</t>
        </is>
      </c>
      <c r="H31" s="5" t="inlineStr">
        <is>
          <t>q máx / q adm</t>
        </is>
      </c>
      <c r="I31" s="20">
        <f>I27/I30</f>
        <v>0.773191961893136</v>
      </c>
      <c r="J31" s="20">
        <f>J27/J30</f>
        <v>0.8380916050338528</v>
      </c>
      <c r="K31" s="20">
        <f>K27/K30</f>
        <v>0.9100000392565691</v>
      </c>
      <c r="L31" s="20">
        <f>L27/L30</f>
        <v>0.5993214962829148</v>
      </c>
      <c r="M31" s="20">
        <f>M27/M30</f>
        <v>0.4874914779108404</v>
      </c>
      <c r="N31" s="24" t="inlineStr">
        <is>
          <t>—</t>
        </is>
      </c>
    </row>
    <row r="32" spans="2:14" ht="15.45" customHeight="1" x14ac:dyDescent="0.3">
      <c r="H32" s="5" t="inlineStr">
        <is>
          <t>FS volteo X = Lx/(2ex)</t>
        </is>
      </c>
      <c r="I32" s="19">
        <f>IF(I22&gt;0.0001,$C$8/(2*I22),99)</f>
        <v>99</v>
      </c>
      <c r="J32" s="19">
        <f>IF(J22&gt;0.0001,$C$8/(2*J22),99)</f>
        <v>99</v>
      </c>
      <c r="K32" s="19">
        <f>IF(K22&gt;0.0001,$C$8/(2*K22),99)</f>
        <v>99</v>
      </c>
      <c r="L32" s="19">
        <f>IF(L22&gt;0.0001,$C$8/(2*L22),99)</f>
        <v>99</v>
      </c>
      <c r="M32" s="19">
        <f>IF(M22&gt;0.0001,$C$8/(2*M22),99)</f>
        <v>99</v>
      </c>
      <c r="N32" s="24" t="inlineStr">
        <is>
          <t>—</t>
        </is>
      </c>
    </row>
    <row r="33" spans="2:14" ht="18" customHeight="1" x14ac:dyDescent="0.3">
      <c r="B33" s="38" t="inlineStr">
        <is>
          <t>2. VARILLAS Y PERALTES EFECTIVOS</t>
        </is>
      </c>
      <c r="C33" s="37"/>
      <c r="D33" s="37"/>
      <c r="E33" s="37"/>
      <c r="F33" s="37"/>
      <c r="H33" s="5" t="inlineStr">
        <is>
          <t>FS volteo Y = Ly/(2ey)</t>
        </is>
      </c>
      <c r="I33" s="19">
        <f>IF(I23&gt;0.0001,$C$9/(2*I23),99)</f>
        <v>42.52354738217264</v>
      </c>
      <c r="J33" s="19">
        <f>IF(J23&gt;0.0001,$C$9/(2*J23),99)</f>
        <v>9.311346458815198</v>
      </c>
      <c r="K33" s="19">
        <f>IF(K23&gt;0.0001,$C$9/(2*K23),99)</f>
        <v>12.721699751380859</v>
      </c>
      <c r="L33" s="19">
        <f>IF(L23&gt;0.0001,$C$9/(2*L23),99)</f>
        <v>6.461279472529132</v>
      </c>
      <c r="M33" s="19">
        <f>IF(M23&gt;0.0001,$C$9/(2*M23),99)</f>
        <v>4.695857968714425</v>
      </c>
      <c r="N33" s="24" t="inlineStr">
        <is>
          <t>—</t>
        </is>
      </c>
    </row>
    <row r="34" spans="2:14" ht="15.45" customHeight="1" x14ac:dyDescent="0.3">
      <c r="B34" s="1" t="inlineStr">
        <is>
          <t>Concepto</t>
        </is>
      </c>
      <c r="C34" s="1" t="inlineStr">
        <is>
          <t>Valor</t>
        </is>
      </c>
      <c r="D34" s="1" t="inlineStr">
        <is>
          <t>Unidad</t>
        </is>
      </c>
      <c r="E34" s="1" t="inlineStr">
        <is>
          <t>Cómo se calcula / de dónde sale</t>
        </is>
      </c>
      <c r="F34" s="1" t="inlineStr">
        <is>
          <t>Referencia</t>
        </is>
      </c>
      <c r="H34" s="5" t="inlineStr">
        <is>
          <t>V horizontal = √(Vx² + Vy²)</t>
        </is>
      </c>
      <c r="I34" s="19">
        <f>SQRT(I12^2+I13^2)</f>
        <v>0.5</v>
      </c>
      <c r="J34" s="19">
        <f>SQRT(J12^2+J13^2)</f>
        <v>2.586986664055306</v>
      </c>
      <c r="K34" s="19">
        <f>SQRT(K12^2+K13^2)</f>
        <v>2.1332560207345015</v>
      </c>
      <c r="L34" s="19">
        <f>SQRT(L12^2+L13^2)</f>
        <v>2.4481217289996016</v>
      </c>
      <c r="M34" s="19">
        <f>SQRT(M12^2+M13^2)</f>
        <v>2.4481217289996016</v>
      </c>
      <c r="N34" s="24" t="inlineStr">
        <is>
          <t>t</t>
        </is>
      </c>
    </row>
    <row r="35" spans="2:14" ht="27.75" customHeight="1" x14ac:dyDescent="0.3">
      <c r="B35" s="2" t="inlineStr">
        <is>
          <t>Varilla del lecho inferior ‖ X (se reparte sobre Ly)</t>
        </is>
      </c>
      <c r="C35" s="8">
        <v>5</v>
      </c>
      <c r="D35" s="4" t="inlineStr">
        <is>
          <t>#</t>
        </is>
      </c>
      <c r="E35" s="5" t="inlineStr">
        <is>
          <t>CAPTURA (lista).</t>
        </is>
      </c>
      <c r="F35" s="6" t="inlineStr">
        <is>
          <t>Propuesta</t>
        </is>
      </c>
      <c r="H35" s="5" t="inlineStr">
        <is>
          <t>FS deslizamiento = μ·P/V</t>
        </is>
      </c>
      <c r="I35" s="19">
        <f>IF(I34&gt;0.0001,DATOS!$C$33*I20/I34,99)</f>
        <v>54.757244859813085</v>
      </c>
      <c r="J35" s="19">
        <f>IF(J34&gt;0.0001,DATOS!$C$33*J20/J34,99)</f>
        <v>9.288275864834079</v>
      </c>
      <c r="K35" s="19">
        <f>IF(K34&gt;0.0001,DATOS!$C$33*K20/K34,99)</f>
        <v>13.085036741911537</v>
      </c>
      <c r="L35" s="19">
        <f>IF(L34&gt;0.0001,DATOS!$C$33*L20/L34,99)</f>
        <v>6.33762259653861</v>
      </c>
      <c r="M35" s="19">
        <f>IF(M34&gt;0.0001,DATOS!$C$33*M20/M34,99)</f>
        <v>4.605987977952499</v>
      </c>
      <c r="N35" s="24" t="inlineStr">
        <is>
          <t>—</t>
        </is>
      </c>
    </row>
    <row r="36" spans="2:14" ht="27.75" customHeight="1" x14ac:dyDescent="0.3">
      <c r="B36" s="2" t="inlineStr">
        <is>
          <t>Varilla del lecho inferior ‖ Y (se reparte sobre Lx)</t>
        </is>
      </c>
      <c r="C36" s="8">
        <v>5</v>
      </c>
      <c r="D36" s="4" t="inlineStr">
        <is>
          <t>#</t>
        </is>
      </c>
      <c r="E36" s="5" t="inlineStr">
        <is>
          <t>CAPTURA (lista).</t>
        </is>
      </c>
      <c r="F36" s="6" t="inlineStr">
        <is>
          <t>Propuesta</t>
        </is>
      </c>
      <c r="H36" s="5" t="inlineStr">
        <is>
          <t>Margen en la columna interior = γD·PD,int − ΔP</t>
        </is>
      </c>
      <c r="I36" s="19">
        <f>IF($C$15="SÍ",I7*$C$17-I18,0)</f>
        <v>24.552616822429904</v>
      </c>
      <c r="J36" s="19">
        <f>IF($C$15="SÍ",J7*$C$17-J18,0)</f>
        <v>24.197009345794392</v>
      </c>
      <c r="K36" s="19">
        <f>IF($C$15="SÍ",K7*$C$17-K18,0)</f>
        <v>23.513481308411215</v>
      </c>
      <c r="L36" s="19">
        <f>IF($C$15="SÍ",L7*$C$17-L18,0)</f>
        <v>13.758018691588784</v>
      </c>
      <c r="M36" s="19">
        <f>IF($C$15="SÍ",M7*$C$17-M18,0)</f>
        <v>14.778579439252335</v>
      </c>
      <c r="N36" s="24" t="inlineStr">
        <is>
          <t>t</t>
        </is>
      </c>
    </row>
    <row r="37" spans="2:14" ht="27.75" customHeight="1" x14ac:dyDescent="0.3">
      <c r="B37" s="2" t="inlineStr">
        <is>
          <t>¿Qué varillas van hasta abajo?</t>
        </is>
      </c>
      <c r="C37" s="3" t="inlineStr">
        <is>
          <t>‖ Y</t>
        </is>
      </c>
      <c r="D37" s="4" t="inlineStr">
        <is>
          <t>—</t>
        </is>
      </c>
      <c r="E37" s="5" t="inlineStr">
        <is>
          <t>CAPTURA (lista). Con contratrabe conviene abajo ‖ Y (es la dirección que trabaja); sin ella, ‖ X.</t>
        </is>
      </c>
      <c r="F37" s="6" t="inlineStr">
        <is>
          <t>Práctica de armado</t>
        </is>
      </c>
    </row>
    <row r="38" spans="2:14" ht="27.75" customHeight="1" x14ac:dyDescent="0.3">
      <c r="B38" s="2" t="inlineStr">
        <is>
          <t>Separación ‖ X que tú fijas (0 = la calcula la hoja)</t>
        </is>
      </c>
      <c r="C38" s="16">
        <v>0</v>
      </c>
      <c r="D38" s="4" t="inlineStr">
        <is>
          <t>cm</t>
        </is>
      </c>
      <c r="E38" s="5" t="inlineStr">
        <is>
          <t>CAPTURA. Déjala en 0 para que la hoja proponga la separación; si pones un valor, la hoja la revisa.</t>
        </is>
      </c>
      <c r="F38" s="6" t="inlineStr">
        <is>
          <t>Propuesta</t>
        </is>
      </c>
      <c r="H38" s="44" t="inlineStr">
        <is>
          <t>BLOQUE U — RESISTENCIA (cargas factorizadas)</t>
        </is>
      </c>
      <c r="I38" s="37"/>
      <c r="J38" s="37"/>
      <c r="K38" s="37"/>
      <c r="L38" s="37"/>
      <c r="M38" s="37"/>
      <c r="N38" s="37"/>
    </row>
    <row r="39" spans="2:14" ht="27.75" customHeight="1" x14ac:dyDescent="0.3">
      <c r="B39" s="2" t="inlineStr">
        <is>
          <t>Separación ‖ Y que tú fijas (0 = la calcula la hoja)</t>
        </is>
      </c>
      <c r="C39" s="16">
        <v>0</v>
      </c>
      <c r="D39" s="4" t="inlineStr">
        <is>
          <t>cm</t>
        </is>
      </c>
      <c r="E39" s="5" t="inlineStr">
        <is>
          <t>CAPTURA. Mismo criterio.</t>
        </is>
      </c>
      <c r="F39" s="6" t="inlineStr">
        <is>
          <t>Propuesta</t>
        </is>
      </c>
      <c r="H39" s="22" t="inlineStr">
        <is>
          <t>Combinación</t>
        </is>
      </c>
      <c r="I39" s="1" t="str">
        <f>COMBINACIONES!$B$11</f>
        <v>U1</v>
      </c>
      <c r="J39" s="1" t="str">
        <f>COMBINACIONES!$B$12</f>
        <v>U2</v>
      </c>
      <c r="K39" s="1" t="str">
        <f>COMBINACIONES!$B$13</f>
        <v>U3</v>
      </c>
      <c r="L39" s="1" t="str">
        <f>COMBINACIONES!$B$14</f>
        <v>U4</v>
      </c>
      <c r="M39" s="1" t="str">
        <f>COMBINACIONES!$B$15</f>
        <v>U5</v>
      </c>
      <c r="N39" s="23"/>
    </row>
    <row r="40" spans="2:14" ht="27.75" customHeight="1" x14ac:dyDescent="0.3">
      <c r="B40" s="2" t="inlineStr">
        <is>
          <t>¿Lleva parrilla superior?</t>
        </is>
      </c>
      <c r="C40" s="3" t="inlineStr">
        <is>
          <t>NO</t>
        </is>
      </c>
      <c r="D40" s="4" t="inlineStr">
        <is>
          <t>—</t>
        </is>
      </c>
      <c r="E40" s="5" t="inlineStr">
        <is>
          <t>CAPTURA (lista). Se vuelve obligatoria si hay momento negativo (sección 10).</t>
        </is>
      </c>
      <c r="F40" s="6" t="inlineStr">
        <is>
          <t>Práctica · sección 10 de esta hoja</t>
        </is>
      </c>
      <c r="H40" s="5" t="inlineStr">
        <is>
          <t>Descripción</t>
        </is>
      </c>
      <c r="I40" s="18" t="str">
        <f>COMBINACIONES!$C$11</f>
        <v>1.4D</v>
      </c>
      <c r="J40" s="18" t="str">
        <f>COMBINACIONES!$C$12</f>
        <v>1.2D + 1.6L</v>
      </c>
      <c r="K40" s="18" t="str">
        <f>COMBINACIONES!$C$13</f>
        <v>1.2D + 1.0L + 1.0E</v>
      </c>
      <c r="L40" s="18" t="str">
        <f>COMBINACIONES!$C$14</f>
        <v>0.9D + 1.0E  (P de A suma)</v>
      </c>
      <c r="M40" s="18" t="str">
        <f>COMBINACIONES!$C$15</f>
        <v>0.9D + 1.0E  (P de A resta)</v>
      </c>
      <c r="N40" s="24"/>
    </row>
    <row r="41" spans="2:14" ht="15.45" customHeight="1" x14ac:dyDescent="0.3">
      <c r="B41" s="2" t="inlineStr">
        <is>
          <t>Varilla de la parrilla superior</t>
        </is>
      </c>
      <c r="C41" s="8">
        <v>4</v>
      </c>
      <c r="D41" s="4" t="inlineStr">
        <is>
          <t>#</t>
        </is>
      </c>
      <c r="E41" s="5" t="inlineStr">
        <is>
          <t>CAPTURA (lista). Sólo se usa si hay parrilla superior.</t>
        </is>
      </c>
      <c r="F41" s="6" t="inlineStr">
        <is>
          <t>Propuesta</t>
        </is>
      </c>
      <c r="H41" s="5" t="inlineStr">
        <is>
          <t>γD</t>
        </is>
      </c>
      <c r="I41" s="19">
        <f>COMBINACIONES!$E$11</f>
        <v>1.4</v>
      </c>
      <c r="J41" s="19">
        <f>COMBINACIONES!$E$12</f>
        <v>1.2</v>
      </c>
      <c r="K41" s="19">
        <f>COMBINACIONES!$E$13</f>
        <v>1.2</v>
      </c>
      <c r="L41" s="19">
        <f>COMBINACIONES!$E$14</f>
        <v>0.9</v>
      </c>
      <c r="M41" s="19">
        <f>COMBINACIONES!$E$15</f>
        <v>0.9</v>
      </c>
      <c r="N41" s="24" t="inlineStr">
        <is>
          <t>—</t>
        </is>
      </c>
    </row>
    <row r="42" spans="2:14" ht="15.45" customHeight="1" x14ac:dyDescent="0.3">
      <c r="B42" s="2" t="inlineStr">
        <is>
          <t>db ‖ X</t>
        </is>
      </c>
      <c r="C42" s="9">
        <f>INDEX(TABLAS!$C$6:$C$13,MATCH($C$35,TABLAS!$B$6:$B$13,0))</f>
        <v>1.59</v>
      </c>
      <c r="D42" s="4" t="inlineStr">
        <is>
          <t>cm</t>
        </is>
      </c>
      <c r="E42" s="5" t="inlineStr">
        <is>
          <t>CALCULADA con la tabla de varillas.</t>
        </is>
      </c>
      <c r="F42" s="6" t="inlineStr">
        <is>
          <t>TABLAS, tabla 1</t>
        </is>
      </c>
      <c r="H42" s="5" t="inlineStr">
        <is>
          <t>γA</t>
        </is>
      </c>
      <c r="I42" s="19">
        <f>COMBINACIONES!$G$11</f>
        <v>0</v>
      </c>
      <c r="J42" s="19">
        <f>COMBINACIONES!$G$12</f>
        <v>0</v>
      </c>
      <c r="K42" s="19">
        <f>COMBINACIONES!$G$13</f>
        <v>1</v>
      </c>
      <c r="L42" s="19">
        <f>COMBINACIONES!$G$14</f>
        <v>1</v>
      </c>
      <c r="M42" s="19">
        <f>COMBINACIONES!$G$15</f>
        <v>1</v>
      </c>
      <c r="N42" s="24" t="inlineStr">
        <is>
          <t>—</t>
        </is>
      </c>
    </row>
    <row r="43" spans="2:14" ht="15.45" customHeight="1" x14ac:dyDescent="0.3">
      <c r="B43" s="2" t="inlineStr">
        <is>
          <t>Área de una varilla ‖ X</t>
        </is>
      </c>
      <c r="C43" s="9">
        <f>INDEX(TABLAS!$D$6:$D$13,MATCH($C$35,TABLAS!$B$6:$B$13,0))</f>
        <v>1.98</v>
      </c>
      <c r="D43" s="4" t="inlineStr">
        <is>
          <t>cm²</t>
        </is>
      </c>
      <c r="E43" s="5" t="inlineStr">
        <is>
          <t>CALCULADA con la tabla de varillas.</t>
        </is>
      </c>
      <c r="F43" s="6" t="inlineStr">
        <is>
          <t>TABLAS, tabla 1</t>
        </is>
      </c>
      <c r="H43" s="5" t="inlineStr">
        <is>
          <t>Pu de la columna</t>
        </is>
      </c>
      <c r="I43" s="19">
        <f>COMBINACIONES!$E$24</f>
        <v>42</v>
      </c>
      <c r="J43" s="19">
        <f>COMBINACIONES!$E$25</f>
        <v>55.2</v>
      </c>
      <c r="K43" s="19">
        <f>COMBINACIONES!$E$26</f>
        <v>54</v>
      </c>
      <c r="L43" s="19">
        <f>COMBINACIONES!$E$27</f>
        <v>33</v>
      </c>
      <c r="M43" s="19">
        <f>COMBINACIONES!$E$28</f>
        <v>21</v>
      </c>
      <c r="N43" s="24" t="inlineStr">
        <is>
          <t>t</t>
        </is>
      </c>
    </row>
    <row r="44" spans="2:14" ht="15.45" customHeight="1" x14ac:dyDescent="0.3">
      <c r="B44" s="2" t="inlineStr">
        <is>
          <t>db ‖ Y</t>
        </is>
      </c>
      <c r="C44" s="9">
        <f>INDEX(TABLAS!$C$6:$C$13,MATCH($C$36,TABLAS!$B$6:$B$13,0))</f>
        <v>1.59</v>
      </c>
      <c r="D44" s="4" t="inlineStr">
        <is>
          <t>cm</t>
        </is>
      </c>
      <c r="E44" s="5" t="inlineStr">
        <is>
          <t>CALCULADA.</t>
        </is>
      </c>
      <c r="F44" s="6" t="inlineStr">
        <is>
          <t>TABLAS, tabla 1</t>
        </is>
      </c>
      <c r="H44" s="5" t="inlineStr">
        <is>
          <t>Mux de la columna</t>
        </is>
      </c>
      <c r="I44" s="19">
        <f>COMBINACIONES!$F$24</f>
        <v>1.1199999999999999</v>
      </c>
      <c r="J44" s="19">
        <f>COMBINACIONES!$F$25</f>
        <v>1.6</v>
      </c>
      <c r="K44" s="19">
        <f>COMBINACIONES!$F$26</f>
        <v>6.859999999999999</v>
      </c>
      <c r="L44" s="19">
        <f>COMBINACIONES!$F$27</f>
        <v>6.22</v>
      </c>
      <c r="M44" s="19">
        <f>COMBINACIONES!$F$28</f>
        <v>6.22</v>
      </c>
      <c r="N44" s="24" t="inlineStr">
        <is>
          <t>t·m</t>
        </is>
      </c>
    </row>
    <row r="45" spans="2:14" ht="15.45" customHeight="1" x14ac:dyDescent="0.3">
      <c r="B45" s="2" t="inlineStr">
        <is>
          <t>Área de una varilla ‖ Y</t>
        </is>
      </c>
      <c r="C45" s="9">
        <f>INDEX(TABLAS!$D$6:$D$13,MATCH($C$36,TABLAS!$B$6:$B$13,0))</f>
        <v>1.98</v>
      </c>
      <c r="D45" s="4" t="inlineStr">
        <is>
          <t>cm²</t>
        </is>
      </c>
      <c r="E45" s="5" t="inlineStr">
        <is>
          <t>CALCULADA.</t>
        </is>
      </c>
      <c r="F45" s="6" t="inlineStr">
        <is>
          <t>TABLAS, tabla 1</t>
        </is>
      </c>
      <c r="H45" s="5" t="inlineStr">
        <is>
          <t>Muy de la columna</t>
        </is>
      </c>
      <c r="I45" s="19">
        <f>COMBINACIONES!$G$24</f>
        <v>0.84</v>
      </c>
      <c r="J45" s="19">
        <f>COMBINACIONES!$G$25</f>
        <v>1.2</v>
      </c>
      <c r="K45" s="19">
        <f>COMBINACIONES!$G$26</f>
        <v>7.52</v>
      </c>
      <c r="L45" s="19">
        <f>COMBINACIONES!$G$27</f>
        <v>7.04</v>
      </c>
      <c r="M45" s="19">
        <f>COMBINACIONES!$G$28</f>
        <v>7.04</v>
      </c>
      <c r="N45" s="24" t="inlineStr">
        <is>
          <t>t·m</t>
        </is>
      </c>
    </row>
    <row r="46" spans="2:14" ht="15.45" customHeight="1" x14ac:dyDescent="0.3">
      <c r="B46" s="2" t="inlineStr">
        <is>
          <t>db de la parrilla superior</t>
        </is>
      </c>
      <c r="C46" s="9">
        <f>INDEX(TABLAS!$C$6:$C$13,MATCH($C$41,TABLAS!$B$6:$B$13,0))</f>
        <v>1.27</v>
      </c>
      <c r="D46" s="4" t="inlineStr">
        <is>
          <t>cm</t>
        </is>
      </c>
      <c r="E46" s="5" t="inlineStr">
        <is>
          <t>CALCULADA.</t>
        </is>
      </c>
      <c r="F46" s="6" t="inlineStr">
        <is>
          <t>TABLAS, tabla 1</t>
        </is>
      </c>
      <c r="H46" s="5" t="inlineStr">
        <is>
          <t>Vux de la columna</t>
        </is>
      </c>
      <c r="I46" s="19">
        <f>COMBINACIONES!$H$24</f>
        <v>0.27999999999999997</v>
      </c>
      <c r="J46" s="19">
        <f>COMBINACIONES!$H$25</f>
        <v>0.4</v>
      </c>
      <c r="K46" s="19">
        <f>COMBINACIONES!$H$26</f>
        <v>2.84</v>
      </c>
      <c r="L46" s="19">
        <f>COMBINACIONES!$H$27</f>
        <v>2.68</v>
      </c>
      <c r="M46" s="19">
        <f>COMBINACIONES!$H$28</f>
        <v>2.68</v>
      </c>
      <c r="N46" s="24" t="inlineStr">
        <is>
          <t>t</t>
        </is>
      </c>
    </row>
    <row r="47" spans="2:14" ht="15.45" customHeight="1" x14ac:dyDescent="0.3">
      <c r="B47" s="2" t="inlineStr">
        <is>
          <t>Área de una varilla de la parrilla superior</t>
        </is>
      </c>
      <c r="C47" s="9">
        <f>INDEX(TABLAS!$D$6:$D$13,MATCH($C$41,TABLAS!$B$6:$B$13,0))</f>
        <v>1.27</v>
      </c>
      <c r="D47" s="4" t="inlineStr">
        <is>
          <t>cm²</t>
        </is>
      </c>
      <c r="E47" s="5" t="inlineStr">
        <is>
          <t>CALCULADA.</t>
        </is>
      </c>
      <c r="F47" s="6" t="inlineStr">
        <is>
          <t>TABLAS, tabla 1</t>
        </is>
      </c>
      <c r="H47" s="5" t="inlineStr">
        <is>
          <t>Vuy de la columna</t>
        </is>
      </c>
      <c r="I47" s="19">
        <f>COMBINACIONES!$I$24</f>
        <v>0.42</v>
      </c>
      <c r="J47" s="19">
        <f>COMBINACIONES!$I$25</f>
        <v>0.52</v>
      </c>
      <c r="K47" s="19">
        <f>COMBINACIONES!$I$26</f>
        <v>2.46</v>
      </c>
      <c r="L47" s="19">
        <f>COMBINACIONES!$I$27</f>
        <v>2.27</v>
      </c>
      <c r="M47" s="19">
        <f>COMBINACIONES!$I$28</f>
        <v>2.27</v>
      </c>
      <c r="N47" s="24" t="inlineStr">
        <is>
          <t>t</t>
        </is>
      </c>
    </row>
    <row r="48" spans="2:14" ht="27.75" customHeight="1" x14ac:dyDescent="0.3">
      <c r="B48" s="2" t="inlineStr">
        <is>
          <t>dx — peralte efectivo de las varillas ‖ X</t>
        </is>
      </c>
      <c r="C48" s="10">
        <f>$C$10*100-$C$12-IF($C$37="‖ X",$C$42/2,$C$44+$C$42/2)</f>
        <v>40.115</v>
      </c>
      <c r="D48" s="4" t="inlineStr">
        <is>
          <t>cm</t>
        </is>
      </c>
      <c r="E48" s="5" t="inlineStr">
        <is>
          <t>CALCULADA = h − r − db/2, restando además el lecho de abajo si ‖ X va encima.</t>
        </is>
      </c>
      <c r="F48" s="6" t="inlineStr">
        <is>
          <t>Geometría</t>
        </is>
      </c>
      <c r="H48" s="5" t="inlineStr">
        <is>
          <t>Pu en el eje de la columna = Pu + γD·W_dado</t>
        </is>
      </c>
      <c r="I48" s="20">
        <f>I43+I41*$C$57</f>
        <v>42.966</v>
      </c>
      <c r="J48" s="20">
        <f>J43+J41*$C$57</f>
        <v>56.028000000000006</v>
      </c>
      <c r="K48" s="20">
        <f>K43+K41*$C$57</f>
        <v>54.828</v>
      </c>
      <c r="L48" s="20">
        <f>L43+L41*$C$57</f>
        <v>33.621</v>
      </c>
      <c r="M48" s="20">
        <f>M43+M41*$C$57</f>
        <v>21.621</v>
      </c>
      <c r="N48" s="24" t="inlineStr">
        <is>
          <t>t</t>
        </is>
      </c>
    </row>
    <row r="49" spans="2:14" ht="15.45" customHeight="1" x14ac:dyDescent="0.3">
      <c r="B49" s="2" t="inlineStr">
        <is>
          <t>dy — peralte efectivo de las varillas ‖ Y</t>
        </is>
      </c>
      <c r="C49" s="10">
        <f>$C$10*100-$C$12-IF($C$37="‖ Y",$C$44/2,$C$42+$C$44/2)</f>
        <v>41.705</v>
      </c>
      <c r="D49" s="4" t="inlineStr">
        <is>
          <t>cm</t>
        </is>
      </c>
      <c r="E49" s="5" t="inlineStr">
        <is>
          <t>CALCULADA con el mismo criterio.</t>
        </is>
      </c>
      <c r="F49" s="6" t="inlineStr">
        <is>
          <t>Geometría</t>
        </is>
      </c>
      <c r="H49" s="5" t="inlineStr">
        <is>
          <t>Muy en el desplante = Muy + Vux·brazo</t>
        </is>
      </c>
      <c r="I49" s="20">
        <f>I45+I46*$C$22</f>
        <v>1.3019999999999998</v>
      </c>
      <c r="J49" s="20">
        <f>J45+J46*$C$22</f>
        <v>1.8599999999999999</v>
      </c>
      <c r="K49" s="20">
        <f>K45+K46*$C$22</f>
        <v>12.206</v>
      </c>
      <c r="L49" s="20">
        <f>L45+L46*$C$22</f>
        <v>11.462</v>
      </c>
      <c r="M49" s="20">
        <f>M45+M46*$C$22</f>
        <v>11.462</v>
      </c>
      <c r="N49" s="24" t="inlineStr">
        <is>
          <t>t·m</t>
        </is>
      </c>
    </row>
    <row r="50" spans="2:14" ht="15.45" customHeight="1" x14ac:dyDescent="0.3">
      <c r="B50" s="2" t="inlineStr">
        <is>
          <t>d_prom — peralte efectivo promedio</t>
        </is>
      </c>
      <c r="C50" s="10">
        <f>($C$48+$C$49)/2</f>
        <v>40.91</v>
      </c>
      <c r="D50" s="4" t="inlineStr">
        <is>
          <t>cm</t>
        </is>
      </c>
      <c r="E50" s="5" t="inlineStr">
        <is>
          <t>CALCULADA. Es el que se usa en penetración.</t>
        </is>
      </c>
      <c r="F50" s="6" t="inlineStr">
        <is>
          <t>Geometría</t>
        </is>
      </c>
      <c r="H50" s="5" t="inlineStr">
        <is>
          <t>Mux en el desplante = Mux + Vuy·brazo</t>
        </is>
      </c>
      <c r="I50" s="20">
        <f>I44+I47*$C$22</f>
        <v>1.8129999999999997</v>
      </c>
      <c r="J50" s="20">
        <f>J44+J47*$C$22</f>
        <v>2.458</v>
      </c>
      <c r="K50" s="20">
        <f>K44+K47*$C$22</f>
        <v>10.919</v>
      </c>
      <c r="L50" s="20">
        <f>L44+L47*$C$22</f>
        <v>9.965499999999999</v>
      </c>
      <c r="M50" s="20">
        <f>M44+M47*$C$22</f>
        <v>9.965499999999999</v>
      </c>
      <c r="N50" s="24" t="inlineStr">
        <is>
          <t>t·m</t>
        </is>
      </c>
    </row>
    <row r="51" spans="2:14" ht="15.45" customHeight="1" x14ac:dyDescent="0.3">
      <c r="B51" s="25" t="inlineStr">
        <is>
          <t>¿El peralte efectivo es de al menos 15 cm?</t>
        </is>
      </c>
      <c r="C51" s="26" t="str">
        <f>IF(MIN($C$48,$C$49)&gt;=15,"CUMPLE","NO CUMPLE — aumentar h")</f>
        <v>CUMPLE</v>
      </c>
      <c r="D51" s="4" t="inlineStr">
        <is>
          <t>—</t>
        </is>
      </c>
      <c r="E51" s="5" t="inlineStr">
        <is>
          <t>Peralte efectivo del refuerzo inferior ≥ 150 mm.</t>
        </is>
      </c>
      <c r="F51" s="6" t="inlineStr">
        <is>
          <t>ACI 318-19, 13.3.1.2, pág. 203</t>
        </is>
      </c>
      <c r="H51" s="5" t="inlineStr">
        <is>
          <t>Ru — carga factorizada que toma la zapata</t>
        </is>
      </c>
      <c r="I51" s="20">
        <f>IF($C$15="SÍ",(I48*$C$16+I49)/($C$16-$C$24),I48)</f>
        <v>48.42953271028038</v>
      </c>
      <c r="J51" s="20">
        <f>IF($C$15="SÍ",(J48*$C$16+J49)/($C$16-$C$24),J48)</f>
        <v>63.182803738317766</v>
      </c>
      <c r="K51" s="20">
        <f>IF($C$15="SÍ",(K48*$C$16+K49)/($C$16-$C$24),K48)</f>
        <v>63.77084112149534</v>
      </c>
      <c r="L51" s="20">
        <f>IF($C$15="SÍ",(L48*$C$16+L49)/($C$16-$C$24),L48)</f>
        <v>39.84822429906542</v>
      </c>
      <c r="M51" s="20">
        <f>IF($C$15="SÍ",(M48*$C$16+M49)/($C$16-$C$24),M48)</f>
        <v>26.390280373831775</v>
      </c>
      <c r="N51" s="24" t="inlineStr">
        <is>
          <t>t</t>
        </is>
      </c>
    </row>
    <row r="52" spans="2:14" ht="15.45" customHeight="1" x14ac:dyDescent="0.3">
      <c r="H52" s="5" t="inlineStr">
        <is>
          <t>ΔPu = Ru − Pu</t>
        </is>
      </c>
      <c r="I52" s="20">
        <f>I51-I48</f>
        <v>5.463532710280376</v>
      </c>
      <c r="J52" s="20">
        <f>J51-J48</f>
        <v>7.15480373831776</v>
      </c>
      <c r="K52" s="20">
        <f>K51-K48</f>
        <v>8.942841121495334</v>
      </c>
      <c r="L52" s="20">
        <f>L51-L48</f>
        <v>6.227224299065419</v>
      </c>
      <c r="M52" s="20">
        <f>M51-M48</f>
        <v>4.769280373831776</v>
      </c>
      <c r="N52" s="24" t="inlineStr">
        <is>
          <t>t</t>
        </is>
      </c>
    </row>
    <row r="53" spans="2:14" ht="18" customHeight="1" x14ac:dyDescent="0.3">
      <c r="B53" s="38" t="inlineStr">
        <is>
          <t>3. PESO DE LA CIMENTACIÓN Y DEL RELLENO (servicio, sin factorizar)</t>
        </is>
      </c>
      <c r="C53" s="37"/>
      <c r="D53" s="37"/>
      <c r="E53" s="37"/>
      <c r="F53" s="37"/>
      <c r="H53" s="5" t="inlineStr">
        <is>
          <t>γD · (W_zap + W_rell)</t>
        </is>
      </c>
      <c r="I53" s="20">
        <f>I41*$C$58</f>
        <v>17.7856</v>
      </c>
      <c r="J53" s="20">
        <f>J41*$C$58</f>
        <v>15.2448</v>
      </c>
      <c r="K53" s="20">
        <f>K41*$C$58</f>
        <v>15.2448</v>
      </c>
      <c r="L53" s="20">
        <f>L41*$C$58</f>
        <v>11.4336</v>
      </c>
      <c r="M53" s="20">
        <f>M41*$C$58</f>
        <v>11.4336</v>
      </c>
      <c r="N53" s="24" t="inlineStr">
        <is>
          <t>t</t>
        </is>
      </c>
    </row>
    <row r="54" spans="2:14" ht="15.45" customHeight="1" x14ac:dyDescent="0.3">
      <c r="B54" s="1" t="inlineStr">
        <is>
          <t>Concepto</t>
        </is>
      </c>
      <c r="C54" s="1" t="inlineStr">
        <is>
          <t>Valor</t>
        </is>
      </c>
      <c r="D54" s="1" t="inlineStr">
        <is>
          <t>Unidad</t>
        </is>
      </c>
      <c r="E54" s="1" t="inlineStr">
        <is>
          <t>Cómo se calcula / de dónde sale</t>
        </is>
      </c>
      <c r="F54" s="1" t="inlineStr">
        <is>
          <t>Referencia</t>
        </is>
      </c>
      <c r="H54" s="5" t="inlineStr">
        <is>
          <t>w_u = peso factorizado repartido</t>
        </is>
      </c>
      <c r="I54" s="20">
        <f>I53/$C$18</f>
        <v>3.8003418803418794</v>
      </c>
      <c r="J54" s="20">
        <f>J53/$C$18</f>
        <v>3.257435897435897</v>
      </c>
      <c r="K54" s="20">
        <f>K53/$C$18</f>
        <v>3.257435897435897</v>
      </c>
      <c r="L54" s="20">
        <f>L53/$C$18</f>
        <v>2.443076923076923</v>
      </c>
      <c r="M54" s="20">
        <f>M53/$C$18</f>
        <v>2.443076923076923</v>
      </c>
      <c r="N54" s="24" t="inlineStr">
        <is>
          <t>t/m²</t>
        </is>
      </c>
    </row>
    <row r="55" spans="2:14" ht="15.45" customHeight="1" x14ac:dyDescent="0.3">
      <c r="B55" s="2" t="inlineStr">
        <is>
          <t>W_zap — peso de la zapata</t>
        </is>
      </c>
      <c r="C55" s="10">
        <f>$C$8*$C$9*$C$10*DATOS!$C$24</f>
        <v>5.6160000000000005</v>
      </c>
      <c r="D55" s="4" t="inlineStr">
        <is>
          <t>t</t>
        </is>
      </c>
      <c r="E55" s="5" t="inlineStr">
        <is>
          <t>CALCULADA = Lx · Ly · h · γc.</t>
        </is>
      </c>
      <c r="F55" s="6" t="inlineStr">
        <is>
          <t>Geometría</t>
        </is>
      </c>
      <c r="H55" s="5" t="inlineStr">
        <is>
          <t>P total factorizada</t>
        </is>
      </c>
      <c r="I55" s="20">
        <f>I51+I53</f>
        <v>66.21513271028037</v>
      </c>
      <c r="J55" s="20">
        <f>J51+J53</f>
        <v>78.42760373831777</v>
      </c>
      <c r="K55" s="20">
        <f>K51+K53</f>
        <v>79.01564112149534</v>
      </c>
      <c r="L55" s="20">
        <f>L51+L53</f>
        <v>51.28182429906542</v>
      </c>
      <c r="M55" s="20">
        <f>M51+M53</f>
        <v>37.82388037383178</v>
      </c>
      <c r="N55" s="24" t="inlineStr">
        <is>
          <t>t</t>
        </is>
      </c>
    </row>
    <row r="56" spans="2:14" ht="27.75" customHeight="1" x14ac:dyDescent="0.3">
      <c r="B56" s="2" t="inlineStr">
        <is>
          <t>W_rell — relleno sobre la zapata</t>
        </is>
      </c>
      <c r="C56" s="10">
        <f>($C$18-DATOS!$C$64*DATOS!$C$65)*$C$20*DATOS!$C$32</f>
        <v>7.088000000000001</v>
      </c>
      <c r="D56" s="4" t="inlineStr">
        <is>
          <t>t</t>
        </is>
      </c>
      <c r="E56" s="5" t="inlineStr">
        <is>
          <t>CALCULADA = (A − área del dado) · h_rell · γs.</t>
        </is>
      </c>
      <c r="F56" s="6" t="inlineStr">
        <is>
          <t>Geometría</t>
        </is>
      </c>
      <c r="H56" s="5" t="inlineStr">
        <is>
          <t>M en X respecto al centro (sin contratrabe = Pu·e + Muy)</t>
        </is>
      </c>
      <c r="I56" s="20">
        <f>IF($C$15="SÍ",0,I48*$C$24+I49)</f>
        <v>0</v>
      </c>
      <c r="J56" s="20">
        <f>IF($C$15="SÍ",0,J48*$C$24+J49)</f>
        <v>0</v>
      </c>
      <c r="K56" s="20">
        <f>IF($C$15="SÍ",0,K48*$C$24+K49)</f>
        <v>0</v>
      </c>
      <c r="L56" s="20">
        <f>IF($C$15="SÍ",0,L48*$C$24+L49)</f>
        <v>0</v>
      </c>
      <c r="M56" s="20">
        <f>IF($C$15="SÍ",0,M48*$C$24+M49)</f>
        <v>0</v>
      </c>
      <c r="N56" s="24" t="inlineStr">
        <is>
          <t>t·m</t>
        </is>
      </c>
    </row>
    <row r="57" spans="2:14" ht="27.75" customHeight="1" x14ac:dyDescent="0.3">
      <c r="B57" s="2" t="inlineStr">
        <is>
          <t>W_dado — peso del dado</t>
        </is>
      </c>
      <c r="C57" s="10">
        <f>DATOS!$C$64*DATOS!$C$65*$C$21*DATOS!$C$24</f>
        <v>0.69</v>
      </c>
      <c r="D57" s="4" t="inlineStr">
        <is>
          <t>t</t>
        </is>
      </c>
      <c r="E57" s="5" t="inlineStr">
        <is>
          <t>CALCULADA = cx · cy · H_dado · γc. Cae en el eje de la columna, no en el centro de la zapata.</t>
        </is>
      </c>
      <c r="F57" s="6" t="inlineStr">
        <is>
          <t>Geometría</t>
        </is>
      </c>
      <c r="H57" s="5" t="inlineStr">
        <is>
          <t>ex = M / P total</t>
        </is>
      </c>
      <c r="I57" s="20">
        <f>IF(I55&gt;0,I56/I55,99)</f>
        <v>0</v>
      </c>
      <c r="J57" s="20">
        <f>IF(J55&gt;0,J56/J55,99)</f>
        <v>0</v>
      </c>
      <c r="K57" s="20">
        <f>IF(K55&gt;0,K56/K55,99)</f>
        <v>0</v>
      </c>
      <c r="L57" s="20">
        <f>IF(L55&gt;0,L56/L55,99)</f>
        <v>0</v>
      </c>
      <c r="M57" s="20">
        <f>IF(M55&gt;0,M56/M55,99)</f>
        <v>0</v>
      </c>
      <c r="N57" s="24" t="inlineStr">
        <is>
          <t>m</t>
        </is>
      </c>
    </row>
    <row r="58" spans="2:14" ht="15.45" customHeight="1" x14ac:dyDescent="0.3">
      <c r="B58" s="2" t="inlineStr">
        <is>
          <t>W_zap + W_rell (en el centro de la zapata)</t>
        </is>
      </c>
      <c r="C58" s="10">
        <f>$C$55+$C$56</f>
        <v>12.704</v>
      </c>
      <c r="D58" s="4" t="inlineStr">
        <is>
          <t>t</t>
        </is>
      </c>
      <c r="E58" s="5" t="inlineStr">
        <is>
          <t>CALCULADA. En cada combinación se multiplica por su γD.</t>
        </is>
      </c>
      <c r="F58" s="6" t="inlineStr">
        <is>
          <t>ASCE/SEI 7-16, §2.4.1</t>
        </is>
      </c>
      <c r="H58" s="5" t="inlineStr">
        <is>
          <t>Contacto en X</t>
        </is>
      </c>
      <c r="I58" s="18" t="str">
        <f>IF(I57&lt;=$C$8/6,"TOTAL",IF(I57&lt;$C$8/2,"PARCIAL","INESTABLE"))</f>
        <v>TOTAL</v>
      </c>
      <c r="J58" s="18" t="str">
        <f>IF(J57&lt;=$C$8/6,"TOTAL",IF(J57&lt;$C$8/2,"PARCIAL","INESTABLE"))</f>
        <v>TOTAL</v>
      </c>
      <c r="K58" s="18" t="str">
        <f>IF(K57&lt;=$C$8/6,"TOTAL",IF(K57&lt;$C$8/2,"PARCIAL","INESTABLE"))</f>
        <v>TOTAL</v>
      </c>
      <c r="L58" s="18" t="str">
        <f>IF(L57&lt;=$C$8/6,"TOTAL",IF(L57&lt;$C$8/2,"PARCIAL","INESTABLE"))</f>
        <v>TOTAL</v>
      </c>
      <c r="M58" s="18" t="str">
        <f>IF(M57&lt;=$C$8/6,"TOTAL",IF(M57&lt;$C$8/2,"PARCIAL","INESTABLE"))</f>
        <v>TOTAL</v>
      </c>
      <c r="N58" s="24" t="inlineStr">
        <is>
          <t>—</t>
        </is>
      </c>
    </row>
    <row r="59" spans="2:14" ht="15.45" customHeight="1" x14ac:dyDescent="0.3">
      <c r="H59" s="5" t="inlineStr">
        <is>
          <t>q total en la orilla del lindero</t>
        </is>
      </c>
      <c r="I59" s="20">
        <f>IF(I57&lt;=$C$8/6,I55/$C$18+I56*($C$8/2)/$C$26,IF(I57&lt;$C$8/2,2*I55/(3*$C$9*($C$8/2-I57)),999))</f>
        <v>14.148532630401787</v>
      </c>
      <c r="J59" s="20">
        <f>IF(J57&lt;=$C$8/6,J55/$C$18+J56*($C$8/2)/$C$26,IF(J57&lt;$C$8/2,2*J55/(3*$C$9*($C$8/2-J57)),999))</f>
        <v>16.758034986820036</v>
      </c>
      <c r="K59" s="20">
        <f>IF(K57&lt;=$C$8/6,K55/$C$18+K56*($C$8/2)/$C$26,IF(K57&lt;$C$8/2,2*K55/(3*$C$9*($C$8/2-K57)),999))</f>
        <v>16.883684000319512</v>
      </c>
      <c r="L59" s="20">
        <f>IF(L57&lt;=$C$8/6,L55/$C$18+L56*($C$8/2)/$C$26,IF(L57&lt;$C$8/2,2*L55/(3*$C$9*($C$8/2-L57)),999))</f>
        <v>10.957654764757567</v>
      </c>
      <c r="M59" s="20">
        <f>IF(M57&lt;=$C$8/6,M55/$C$18+M56*($C$8/2)/$C$26,IF(M57&lt;$C$8/2,2*M55/(3*$C$9*($C$8/2-M57)),999))</f>
        <v>8.082025720904225</v>
      </c>
      <c r="N59" s="24" t="inlineStr">
        <is>
          <t>t/m²</t>
        </is>
      </c>
    </row>
    <row r="60" spans="2:14" ht="18" customHeight="1" x14ac:dyDescent="0.3">
      <c r="B60" s="38" t="inlineStr">
        <is>
          <t>4. DIMENSIONES MÍNIMAS SUGERIDAS (orientativas — la revisión formal está en las secciones 5 a 12)</t>
        </is>
      </c>
      <c r="C60" s="37"/>
      <c r="D60" s="37"/>
      <c r="E60" s="37"/>
      <c r="F60" s="37"/>
      <c r="H60" s="5" t="inlineStr">
        <is>
          <t>pendiente de q hacia adentro (X)</t>
        </is>
      </c>
      <c r="I60" s="20">
        <f>IF(I57&lt;=$C$8/6,I56/$C$26,IF(I57&lt;$C$8/2,I59/(3*($C$8/2-I57)),0))</f>
        <v>0</v>
      </c>
      <c r="J60" s="20">
        <f>IF(J57&lt;=$C$8/6,J56/$C$26,IF(J57&lt;$C$8/2,J59/(3*($C$8/2-J57)),0))</f>
        <v>0</v>
      </c>
      <c r="K60" s="20">
        <f>IF(K57&lt;=$C$8/6,K56/$C$26,IF(K57&lt;$C$8/2,K59/(3*($C$8/2-K57)),0))</f>
        <v>0</v>
      </c>
      <c r="L60" s="20">
        <f>IF(L57&lt;=$C$8/6,L56/$C$26,IF(L57&lt;$C$8/2,L59/(3*($C$8/2-L57)),0))</f>
        <v>0</v>
      </c>
      <c r="M60" s="20">
        <f>IF(M57&lt;=$C$8/6,M56/$C$26,IF(M57&lt;$C$8/2,M59/(3*($C$8/2-M57)),0))</f>
        <v>0</v>
      </c>
      <c r="N60" s="24" t="inlineStr">
        <is>
          <t>t/m³</t>
        </is>
      </c>
    </row>
    <row r="61" spans="2:14" ht="15.45" customHeight="1" x14ac:dyDescent="0.3">
      <c r="B61" s="1" t="inlineStr">
        <is>
          <t>Concepto</t>
        </is>
      </c>
      <c r="C61" s="1" t="inlineStr">
        <is>
          <t>Valor</t>
        </is>
      </c>
      <c r="D61" s="1" t="inlineStr">
        <is>
          <t>Unidad</t>
        </is>
      </c>
      <c r="E61" s="1" t="inlineStr">
        <is>
          <t>Cómo se calcula / de dónde sale</t>
        </is>
      </c>
      <c r="F61" s="1" t="inlineStr">
        <is>
          <t>Referencia</t>
        </is>
      </c>
      <c r="H61" s="5" t="inlineStr">
        <is>
          <t>fin del contacto, medido desde el lindero</t>
        </is>
      </c>
      <c r="I61" s="20">
        <f>IF(I60&gt;0,MIN($C$8,I59/I60),$C$8)</f>
        <v>1.8</v>
      </c>
      <c r="J61" s="20">
        <f>IF(J60&gt;0,MIN($C$8,J59/J60),$C$8)</f>
        <v>1.8</v>
      </c>
      <c r="K61" s="20">
        <f>IF(K60&gt;0,MIN($C$8,K59/K60),$C$8)</f>
        <v>1.8</v>
      </c>
      <c r="L61" s="20">
        <f>IF(L60&gt;0,MIN($C$8,L59/L60),$C$8)</f>
        <v>1.8</v>
      </c>
      <c r="M61" s="20">
        <f>IF(M60&gt;0,MIN($C$8,M59/M60),$C$8)</f>
        <v>1.8</v>
      </c>
      <c r="N61" s="24" t="inlineStr">
        <is>
          <t>m</t>
        </is>
      </c>
    </row>
    <row r="62" spans="2:14" ht="27.75" customHeight="1" x14ac:dyDescent="0.3">
      <c r="B62" s="2" t="inlineStr">
        <is>
          <t>q_neta — capacidad que queda para la columna</t>
        </is>
      </c>
      <c r="C62" s="10">
        <f>DATOS!$C$30-($C$10*DATOS!$C$24+$C$20*DATOS!$C$32)</f>
        <v>15.2</v>
      </c>
      <c r="D62" s="4" t="inlineStr">
        <is>
          <t>t/m²</t>
        </is>
      </c>
      <c r="E62" s="5" t="inlineStr">
        <is>
          <t>CALCULADA = qa − (h·γc + h_rell·γs).</t>
        </is>
      </c>
      <c r="F62" s="6" t="inlineStr">
        <is>
          <t>Bowles 5ª ed., §8.2, pág. 404</t>
        </is>
      </c>
      <c r="H62" s="5" t="inlineStr">
        <is>
          <t>Mu en la cara interior del dado, varillas ‖ X (+ = tensión abajo)</t>
        </is>
      </c>
      <c r="I62" s="20">
        <f>IF($C$15="SÍ",0,$C$9*((I59-I60*DATOS!$C$64)*MAX(0,I61-DATOS!$C$64)^2/2-I60*MAX(0,I61-DATOS!$C$64)^3/3)-I54*$C$9*$C$28^2/2)</f>
        <v>0</v>
      </c>
      <c r="J62" s="20">
        <f>IF($C$15="SÍ",0,$C$9*((J59-J60*DATOS!$C$64)*MAX(0,J61-DATOS!$C$64)^2/2-J60*MAX(0,J61-DATOS!$C$64)^3/3)-J54*$C$9*$C$28^2/2)</f>
        <v>0</v>
      </c>
      <c r="K62" s="20">
        <f>IF($C$15="SÍ",0,$C$9*((K59-K60*DATOS!$C$64)*MAX(0,K61-DATOS!$C$64)^2/2-K60*MAX(0,K61-DATOS!$C$64)^3/3)-K54*$C$9*$C$28^2/2)</f>
        <v>0</v>
      </c>
      <c r="L62" s="20">
        <f>IF($C$15="SÍ",0,$C$9*((L59-L60*DATOS!$C$64)*MAX(0,L61-DATOS!$C$64)^2/2-L60*MAX(0,L61-DATOS!$C$64)^3/3)-L54*$C$9*$C$28^2/2)</f>
        <v>0</v>
      </c>
      <c r="M62" s="20">
        <f>IF($C$15="SÍ",0,$C$9*((M59-M60*DATOS!$C$64)*MAX(0,M61-DATOS!$C$64)^2/2-M60*MAX(0,M61-DATOS!$C$64)^3/3)-M54*$C$9*$C$28^2/2)</f>
        <v>0</v>
      </c>
      <c r="N62" s="24" t="inlineStr">
        <is>
          <t>t·m</t>
        </is>
      </c>
    </row>
    <row r="63" spans="2:14" ht="27.75" customHeight="1" x14ac:dyDescent="0.3">
      <c r="B63" s="2" t="inlineStr">
        <is>
          <t>P de servicio S1 + peso del dado</t>
        </is>
      </c>
      <c r="C63" s="10">
        <f>COMBINACIONES!$E$19+$C$57</f>
        <v>42.69</v>
      </c>
      <c r="D63" s="4" t="inlineStr">
        <is>
          <t>t</t>
        </is>
      </c>
      <c r="E63" s="5" t="inlineStr">
        <is>
          <t>CALCULADA = P(D + L) de COMBINACIONES + W_dado.</t>
        </is>
      </c>
      <c r="F63" s="6" t="inlineStr">
        <is>
          <t>COMBINACIONES, sección 2</t>
        </is>
      </c>
      <c r="H63" s="5" t="inlineStr">
        <is>
          <t>sección de cortante ‖ X (a d de la cara), desde el lindero</t>
        </is>
      </c>
      <c r="I63" s="20">
        <f>DATOS!$C$64+$C$48/100</f>
        <v>0.90115</v>
      </c>
      <c r="J63" s="20">
        <f>DATOS!$C$64+$C$48/100</f>
        <v>0.90115</v>
      </c>
      <c r="K63" s="20">
        <f>DATOS!$C$64+$C$48/100</f>
        <v>0.90115</v>
      </c>
      <c r="L63" s="20">
        <f>DATOS!$C$64+$C$48/100</f>
        <v>0.90115</v>
      </c>
      <c r="M63" s="20">
        <f>DATOS!$C$64+$C$48/100</f>
        <v>0.90115</v>
      </c>
      <c r="N63" s="24" t="inlineStr">
        <is>
          <t>m</t>
        </is>
      </c>
    </row>
    <row r="64" spans="2:14" ht="27.75" customHeight="1" x14ac:dyDescent="0.3">
      <c r="B64" s="2" t="inlineStr">
        <is>
          <t>R — carga que baja a la zapata con S1</t>
        </is>
      </c>
      <c r="C64" s="10">
        <f>IF($C$15="SÍ",$C$63*$C$16/($C$16-$C$24),$C$63)</f>
        <v>47.876635514018695</v>
      </c>
      <c r="D64" s="4" t="inlineStr">
        <is>
          <t>t</t>
        </is>
      </c>
      <c r="E64" s="5" t="inlineStr">
        <is>
          <t>CALCULADA. Con contratrabe R = P·Ls/(Ls − e), mayor que P; sin ella R = P.</t>
        </is>
      </c>
      <c r="F64" s="6" t="inlineStr">
        <is>
          <t>Estática (momentos respecto a la columna interior) · Bowles 5ª ed., §9.4</t>
        </is>
      </c>
      <c r="H64" s="5" t="inlineStr">
        <is>
          <t>Vu en una dirección, X</t>
        </is>
      </c>
      <c r="I64" s="20">
        <f>IF(OR($C$15="SÍ",I63&gt;=$C$8),0,MAX(0,$C$9*((I59-I60*I63)*MAX(0,I61-I63)-I60*MAX(0,I61-I63)^2/2)-I54*$C$9*($C$8-I63)))</f>
        <v>0</v>
      </c>
      <c r="J64" s="20">
        <f>IF(OR($C$15="SÍ",J63&gt;=$C$8),0,MAX(0,$C$9*((J59-J60*J63)*MAX(0,J61-J63)-J60*MAX(0,J61-J63)^2/2)-J54*$C$9*($C$8-J63)))</f>
        <v>0</v>
      </c>
      <c r="K64" s="20">
        <f>IF(OR($C$15="SÍ",K63&gt;=$C$8),0,MAX(0,$C$9*((K59-K60*K63)*MAX(0,K61-K63)-K60*MAX(0,K61-K63)^2/2)-K54*$C$9*($C$8-K63)))</f>
        <v>0</v>
      </c>
      <c r="L64" s="20">
        <f>IF(OR($C$15="SÍ",L63&gt;=$C$8),0,MAX(0,$C$9*((L59-L60*L63)*MAX(0,L61-L63)-L60*MAX(0,L61-L63)^2/2)-L54*$C$9*($C$8-L63)))</f>
        <v>0</v>
      </c>
      <c r="M64" s="20">
        <f>IF(OR($C$15="SÍ",M63&gt;=$C$8),0,MAX(0,$C$9*((M59-M60*M63)*MAX(0,M61-M63)-M60*MAX(0,M61-M63)^2/2)-M54*$C$9*($C$8-M63)))</f>
        <v>0</v>
      </c>
      <c r="N64" s="24" t="inlineStr">
        <is>
          <t>t</t>
        </is>
      </c>
    </row>
    <row r="65" spans="2:14" ht="27.75" customHeight="1" x14ac:dyDescent="0.3">
      <c r="B65" s="2" t="inlineStr">
        <is>
          <t>Área mínima con presión uniforme</t>
        </is>
      </c>
      <c r="C65" s="10">
        <f>IF($C$62&gt;0,$C$64/$C$62,999)</f>
        <v>3.149778652238072</v>
      </c>
      <c r="D65" s="4" t="inlineStr">
        <is>
          <t>m²</t>
        </is>
      </c>
      <c r="E65" s="5" t="inlineStr">
        <is>
          <t>CALCULADA = R / q_neta. Sin contratrabe la presión no es uniforme y hace falta más (sección 5).</t>
        </is>
      </c>
      <c r="F65" s="6" t="inlineStr">
        <is>
          <t>ACI 318-19, 13.3.1.1, pág. 203</t>
        </is>
      </c>
      <c r="H65" s="5" t="inlineStr">
        <is>
          <t>M con tensión arriba ‖ X</t>
        </is>
      </c>
      <c r="I65" s="20">
        <f>-I62</f>
        <v>0</v>
      </c>
      <c r="J65" s="20">
        <f>-J62</f>
        <v>0</v>
      </c>
      <c r="K65" s="20">
        <f>-K62</f>
        <v>0</v>
      </c>
      <c r="L65" s="20">
        <f>-L62</f>
        <v>0</v>
      </c>
      <c r="M65" s="20">
        <f>-M62</f>
        <v>0</v>
      </c>
      <c r="N65" s="24" t="inlineStr">
        <is>
          <t>t·m</t>
        </is>
      </c>
    </row>
    <row r="66" spans="2:14" ht="15.45" customHeight="1" x14ac:dyDescent="0.3">
      <c r="B66" s="25" t="inlineStr">
        <is>
          <t>¿El área capturada alcanza?</t>
        </is>
      </c>
      <c r="C66" s="26" t="str">
        <f>IF($C$18&gt;=$C$65,"CUMPLE","NO CUMPLE — aumentar Lx · Ly")</f>
        <v>CUMPLE</v>
      </c>
      <c r="D66" s="4" t="inlineStr">
        <is>
          <t>—</t>
        </is>
      </c>
      <c r="E66" s="5" t="inlineStr">
        <is>
          <t>Sólo es un primer filtro.</t>
        </is>
      </c>
      <c r="F66" s="6" t="inlineStr">
        <is>
          <t>ACI 318-19, 13.3.1.1, pág. 203</t>
        </is>
      </c>
      <c r="H66" s="5" t="inlineStr">
        <is>
          <t>ey = Mx / P total</t>
        </is>
      </c>
      <c r="I66" s="20">
        <f>IF(I55&gt;0,I50/I55,99)</f>
        <v>0.027380448030401947</v>
      </c>
      <c r="J66" s="20">
        <f>IF(J55&gt;0,J50/J55,99)</f>
        <v>0.03134100600856536</v>
      </c>
      <c r="K66" s="20">
        <f>IF(K55&gt;0,K50/K55,99)</f>
        <v>0.13818783021972603</v>
      </c>
      <c r="L66" s="20">
        <f>IF(L55&gt;0,L50/L55,99)</f>
        <v>0.1943281101289061</v>
      </c>
      <c r="M66" s="20">
        <f>IF(M55&gt;0,M50/M55,99)</f>
        <v>0.26347111669945344</v>
      </c>
      <c r="N66" s="24" t="inlineStr">
        <is>
          <t>m</t>
        </is>
      </c>
    </row>
    <row r="67" spans="2:14" ht="15.45" customHeight="1" x14ac:dyDescent="0.3">
      <c r="B67" s="2" t="inlineStr">
        <is>
          <t>φ·vc de penetración pasado a t/m² (λs = 1)</t>
        </is>
      </c>
      <c r="C67" s="10">
        <f>DATOS!$C$87*0.33*DATOS!$C$23*DATOS!$C$17*DATOS!$C$89*10</f>
        <v>124.96421812863073</v>
      </c>
      <c r="D67" s="4" t="inlineStr">
        <is>
          <t>t/m²</t>
        </is>
      </c>
      <c r="E67" s="5" t="inlineStr">
        <is>
          <t>CALCULADA = φ · 0.33 λ √f'c [MPa] → kg/cm² → t/m².</t>
        </is>
      </c>
      <c r="F67" s="6" t="inlineStr">
        <is>
          <t>ACI 318-19, Tabla 22.6.5.2(a)</t>
        </is>
      </c>
      <c r="H67" s="5" t="inlineStr">
        <is>
          <t>Contacto en Y</t>
        </is>
      </c>
      <c r="I67" s="18" t="str">
        <f>IF(I66&lt;=$C$9/6,"TOTAL",IF(I66&lt;$C$9/2,"PARCIAL","INESTABLE"))</f>
        <v>TOTAL</v>
      </c>
      <c r="J67" s="18" t="str">
        <f>IF(J66&lt;=$C$9/6,"TOTAL",IF(J66&lt;$C$9/2,"PARCIAL","INESTABLE"))</f>
        <v>TOTAL</v>
      </c>
      <c r="K67" s="18" t="str">
        <f>IF(K66&lt;=$C$9/6,"TOTAL",IF(K66&lt;$C$9/2,"PARCIAL","INESTABLE"))</f>
        <v>TOTAL</v>
      </c>
      <c r="L67" s="18" t="str">
        <f>IF(L66&lt;=$C$9/6,"TOTAL",IF(L66&lt;$C$9/2,"PARCIAL","INESTABLE"))</f>
        <v>TOTAL</v>
      </c>
      <c r="M67" s="18" t="str">
        <f>IF(M66&lt;=$C$9/6,"TOTAL",IF(M66&lt;$C$9/2,"PARCIAL","INESTABLE"))</f>
        <v>TOTAL</v>
      </c>
      <c r="N67" s="24" t="inlineStr">
        <is>
          <t>—</t>
        </is>
      </c>
    </row>
    <row r="68" spans="2:14" ht="15.45" customHeight="1" x14ac:dyDescent="0.3">
      <c r="B68" s="2" t="inlineStr">
        <is>
          <t>Pu máxima de la columna (con peso del dado)</t>
        </is>
      </c>
      <c r="C68" s="10">
        <f>MAX($I$48:$M$48)</f>
        <v>56.028000000000006</v>
      </c>
      <c r="D68" s="4" t="inlineStr">
        <is>
          <t>t</t>
        </is>
      </c>
      <c r="E68" s="5" t="inlineStr">
        <is>
          <t>CALCULADA.</t>
        </is>
      </c>
      <c r="F68" s="6" t="inlineStr">
        <is>
          <t>Tabla por combinación (col. H–N)</t>
        </is>
      </c>
      <c r="H68" s="5" t="inlineStr">
        <is>
          <t>q total en la orilla cargada (Y)</t>
        </is>
      </c>
      <c r="I68" s="20">
        <f>IF(I66&lt;=$C$9/6,I55/($C$9*$C$8)+I50*($C$9/2)/$C$25,IF(I66&lt;$C$9/2,2*I55/(3*$C$8*($C$9/2-I66)),999))</f>
        <v>15.042516851309085</v>
      </c>
      <c r="J68" s="20">
        <f>IF(J66&lt;=$C$9/6,J55/($C$9*$C$8)+J50*($C$9/2)/$C$25,IF(J66&lt;$C$9/2,2*J55/(3*$C$8*($C$9/2-J66)),999))</f>
        <v>17.97006654500544</v>
      </c>
      <c r="K68" s="20">
        <f>IF(K66&lt;=$C$9/6,K55/($C$9*$C$8)+K50*($C$9/2)/$C$25,IF(K66&lt;$C$9/2,2*K55/(3*$C$8*($C$9/2-K66)),999))</f>
        <v>22.267806288287954</v>
      </c>
      <c r="L68" s="20">
        <f>IF(L66&lt;=$C$9/6,L55/($C$9*$C$8)+L50*($C$9/2)/$C$25,IF(L66&lt;$C$9/2,2*L55/(3*$C$8*($C$9/2-L66)),999))</f>
        <v>15.871609399866047</v>
      </c>
      <c r="M68" s="20">
        <f>IF(M66&lt;=$C$9/6,M55/($C$9*$C$8)+M50*($C$9/2)/$C$25,IF(M66&lt;$C$9/2,2*M55/(3*$C$8*($C$9/2-M66)),999))</f>
        <v>12.995980356012705</v>
      </c>
      <c r="N68" s="24" t="inlineStr">
        <is>
          <t>t/m²</t>
        </is>
      </c>
    </row>
    <row r="69" spans="2:14" ht="15.45" customHeight="1" x14ac:dyDescent="0.3">
      <c r="B69" s="2" t="inlineStr">
        <is>
          <t>Presión neta factorizada media máxima</t>
        </is>
      </c>
      <c r="C69" s="10">
        <f>MAX($I$51:$M$51)/$C$18</f>
        <v>13.626248102883617</v>
      </c>
      <c r="D69" s="4" t="inlineStr">
        <is>
          <t>t/m²</t>
        </is>
      </c>
      <c r="E69" s="5" t="inlineStr">
        <is>
          <t>CALCULADA = Ru / A.</t>
        </is>
      </c>
      <c r="F69" s="6" t="inlineStr">
        <is>
          <t>Tabla por combinación</t>
        </is>
      </c>
      <c r="H69" s="5" t="inlineStr">
        <is>
          <t>pendiente de q (Y)</t>
        </is>
      </c>
      <c r="I69" s="20">
        <f>IF(I66&lt;=$C$9/6,I50/$C$25,IF(I66&lt;$C$9/2,I68/(3*($C$9/2-I66)),0))</f>
        <v>0.6876801699286905</v>
      </c>
      <c r="J69" s="20">
        <f>IF(J66&lt;=$C$9/6,J50/$C$25,IF(J66&lt;$C$9/2,J68/(3*($C$9/2-J66)),0))</f>
        <v>0.9323319678349264</v>
      </c>
      <c r="K69" s="20">
        <f>IF(K66&lt;=$C$9/6,K50/$C$25,IF(K66&lt;$C$9/2,K68/(3*($C$9/2-K66)),0))</f>
        <v>4.141632529206494</v>
      </c>
      <c r="L69" s="20">
        <f>IF(L66&lt;=$C$9/6,L50/$C$25,IF(L66&lt;$C$9/2,L68/(3*($C$9/2-L66)),0))</f>
        <v>3.7799651039296003</v>
      </c>
      <c r="M69" s="20">
        <f>IF(M66&lt;=$C$9/6,M50/$C$25,IF(M66&lt;$C$9/2,M68/(3*($C$9/2-M66)),0))</f>
        <v>3.7799651039296003</v>
      </c>
      <c r="N69" s="24" t="inlineStr">
        <is>
          <t>t/m³</t>
        </is>
      </c>
    </row>
    <row r="70" spans="2:14" ht="27.75" customHeight="1" x14ac:dyDescent="0.3">
      <c r="B70" s="2" t="inlineStr">
        <is>
          <t>d mínimo por penetración (perímetro de 3 lados, sin momento)</t>
        </is>
      </c>
      <c r="C70" s="9">
        <f>100*(-($C$67*(2*DATOS!$C$64+DATOS!$C$65)+$C$69*(DATOS!$C$64+DATOS!$C$65/2))+SQRT(($C$67*(2*DATOS!$C$64+DATOS!$C$65)+$C$69*(DATOS!$C$64+DATOS!$C$65/2))^2-4*(2*$C$67+$C$69/2)*($C$69*DATOS!$C$64*DATOS!$C$65-$C$68)))/(2*(2*$C$67+$C$69/2))</f>
        <v>20.93098145021883</v>
      </c>
      <c r="D70" s="4" t="inlineStr">
        <is>
          <t>cm</t>
        </is>
      </c>
      <c r="E70" s="5" t="inlineStr">
        <is>
          <t>CALCULADA de φvc·b₀·d = Pu − q·A_crít con b₀ = 2(cx + d/2) + (cy + d).</t>
        </is>
      </c>
      <c r="F70" s="6" t="inlineStr">
        <is>
          <t>ACI 318-19, 22.6.4.1 y Tabla 22.6.5.2</t>
        </is>
      </c>
      <c r="H70" s="5" t="inlineStr">
        <is>
          <t>q total al centro (ordenada)</t>
        </is>
      </c>
      <c r="I70" s="20">
        <f>I68-I69*$C$9/2</f>
        <v>14.148532630401787</v>
      </c>
      <c r="J70" s="20">
        <f>J68-J69*$C$9/2</f>
        <v>16.758034986820036</v>
      </c>
      <c r="K70" s="20">
        <f>K68-K69*$C$9/2</f>
        <v>16.883684000319512</v>
      </c>
      <c r="L70" s="20">
        <f>L68-L69*$C$9/2</f>
        <v>10.957654764757567</v>
      </c>
      <c r="M70" s="20">
        <f>M68-M69*$C$9/2</f>
        <v>8.082025720904223</v>
      </c>
      <c r="N70" s="24" t="inlineStr">
        <is>
          <t>t/m²</t>
        </is>
      </c>
    </row>
    <row r="71" spans="2:14" ht="15.45" customHeight="1" x14ac:dyDescent="0.3">
      <c r="B71" s="2" t="inlineStr">
        <is>
          <t>h mínimo sugerido por penetración</t>
        </is>
      </c>
      <c r="C71" s="9">
        <f>$C$70+$C$12+MAX($C$42,$C$44)</f>
        <v>30.02098145021883</v>
      </c>
      <c r="D71" s="4" t="inlineStr">
        <is>
          <t>cm</t>
        </is>
      </c>
      <c r="E71" s="5" t="inlineStr">
        <is>
          <t>CALCULADA = d + r + db.</t>
        </is>
      </c>
      <c r="F71" s="6" t="inlineStr">
        <is>
          <t>Geometría</t>
        </is>
      </c>
      <c r="H71" s="5" t="inlineStr">
        <is>
          <t>inicio del contacto útil para Mu</t>
        </is>
      </c>
      <c r="I71" s="20">
        <f>IF(I69&gt;0,MAX($C$27/2,-I70/I69),$C$27/2)</f>
        <v>0.2</v>
      </c>
      <c r="J71" s="20">
        <f>IF(J69&gt;0,MAX($C$27/2,-J70/J69),$C$27/2)</f>
        <v>0.2</v>
      </c>
      <c r="K71" s="20">
        <f>IF(K69&gt;0,MAX($C$27/2,-K70/K69),$C$27/2)</f>
        <v>0.2</v>
      </c>
      <c r="L71" s="20">
        <f>IF(L69&gt;0,MAX($C$27/2,-L70/L69),$C$27/2)</f>
        <v>0.2</v>
      </c>
      <c r="M71" s="20">
        <f>IF(M69&gt;0,MAX($C$27/2,-M70/M69),$C$27/2)</f>
        <v>0.2</v>
      </c>
      <c r="N71" s="24" t="inlineStr">
        <is>
          <t>m</t>
        </is>
      </c>
    </row>
    <row r="72" spans="2:14" ht="15.45" customHeight="1" x14ac:dyDescent="0.3">
      <c r="H72" s="5" t="inlineStr">
        <is>
          <t>Mu en la cara del apoyo, varillas ‖ Y</t>
        </is>
      </c>
      <c r="I72" s="20">
        <f>$C$8*IF(I71&lt;$C$9/2,(I70-I69*$C$27/2)*(($C$9/2)^2-I71^2)/2+I69*(($C$9/2)^3-I71^3)/3-I70*$C$27/2*($C$9/2-I71),0)-I54*$C$8*$C$29^2/2</f>
        <v>11.968137851530763</v>
      </c>
      <c r="J72" s="20">
        <f>$C$8*IF(J71&lt;$C$9/2,(J70-J69*$C$27/2)*(($C$9/2)^2-J71^2)/2+J69*(($C$9/2)^3-J71^3)/3-J70*$C$27/2*($C$9/2-J71),0)-J54*$C$8*$C$29^2/2</f>
        <v>15.649774620446745</v>
      </c>
      <c r="K72" s="20">
        <f>$C$8*IF(K71&lt;$C$9/2,(K70-K69*$C$27/2)*(($C$9/2)^2-K71^2)/2+K69*(($C$9/2)^3-K71^3)/3-K70*$C$27/2*($C$9/2-K71),0)-K54*$C$8*$C$29^2/2</f>
        <v>19.048539486725737</v>
      </c>
      <c r="L72" s="20">
        <f>$C$8*IF(L71&lt;$C$9/2,(L70-L69*$C$27/2)*(($C$9/2)^2-L71^2)/2+L69*(($C$9/2)^3-L71^3)/3-L70*$C$27/2*($C$9/2-L71),0)-L54*$C$8*$C$29^2/2</f>
        <v>13.114331801224266</v>
      </c>
      <c r="M72" s="20">
        <f>$C$8*IF(M71&lt;$C$9/2,(M70-M69*$C$27/2)*(($C$9/2)^2-M71^2)/2+M69*(($C$9/2)^3-M71^3)/3-M70*$C$27/2*($C$9/2-M71),0)-M54*$C$8*$C$29^2/2</f>
        <v>9.982771772467979</v>
      </c>
      <c r="N72" s="24" t="inlineStr">
        <is>
          <t>t·m</t>
        </is>
      </c>
    </row>
    <row r="73" spans="2:14" ht="18" customHeight="1" x14ac:dyDescent="0.3">
      <c r="B73" s="38" t="inlineStr">
        <is>
          <t>5. PRESIONES DE SERVICIO, VOLTEO, DESLIZAMIENTO Y LEVANTAMIENTO (sale de la tabla por combinación)</t>
        </is>
      </c>
      <c r="C73" s="37"/>
      <c r="D73" s="37"/>
      <c r="E73" s="37"/>
      <c r="F73" s="37"/>
      <c r="H73" s="5" t="inlineStr">
        <is>
          <t>sección de cortante (a d de la cara)</t>
        </is>
      </c>
      <c r="I73" s="20">
        <f>$C$27/2+$C$49/100</f>
        <v>0.61705</v>
      </c>
      <c r="J73" s="20">
        <f>$C$27/2+$C$49/100</f>
        <v>0.61705</v>
      </c>
      <c r="K73" s="20">
        <f>$C$27/2+$C$49/100</f>
        <v>0.61705</v>
      </c>
      <c r="L73" s="20">
        <f>$C$27/2+$C$49/100</f>
        <v>0.61705</v>
      </c>
      <c r="M73" s="20">
        <f>$C$27/2+$C$49/100</f>
        <v>0.61705</v>
      </c>
      <c r="N73" s="24" t="inlineStr">
        <is>
          <t>m</t>
        </is>
      </c>
    </row>
    <row r="74" spans="2:14" ht="15.45" customHeight="1" x14ac:dyDescent="0.3">
      <c r="B74" s="1" t="inlineStr">
        <is>
          <t>Concepto</t>
        </is>
      </c>
      <c r="C74" s="1" t="inlineStr">
        <is>
          <t>Valor</t>
        </is>
      </c>
      <c r="D74" s="1" t="inlineStr">
        <is>
          <t>Unidad</t>
        </is>
      </c>
      <c r="E74" s="1" t="inlineStr">
        <is>
          <t>Cómo se calcula / de dónde sale</t>
        </is>
      </c>
      <c r="F74" s="1" t="inlineStr">
        <is>
          <t>Referencia</t>
        </is>
      </c>
      <c r="H74" s="5" t="inlineStr">
        <is>
          <t>inicio del contacto útil para Vu</t>
        </is>
      </c>
      <c r="I74" s="20">
        <f>IF(I69&gt;0,MAX(I73,-I70/I69),I73)</f>
        <v>0.61705</v>
      </c>
      <c r="J74" s="20">
        <f>IF(J69&gt;0,MAX(J73,-J70/J69),J73)</f>
        <v>0.61705</v>
      </c>
      <c r="K74" s="20">
        <f>IF(K69&gt;0,MAX(K73,-K70/K69),K73)</f>
        <v>0.61705</v>
      </c>
      <c r="L74" s="20">
        <f>IF(L69&gt;0,MAX(L73,-L70/L69),L73)</f>
        <v>0.61705</v>
      </c>
      <c r="M74" s="20">
        <f>IF(M69&gt;0,MAX(M73,-M70/M69),M73)</f>
        <v>0.61705</v>
      </c>
      <c r="N74" s="24" t="inlineStr">
        <is>
          <t>m</t>
        </is>
      </c>
    </row>
    <row r="75" spans="2:14" ht="27.75" customHeight="1" x14ac:dyDescent="0.3">
      <c r="B75" s="2" t="inlineStr">
        <is>
          <t>q_máx — presión máxima de servicio que rige</t>
        </is>
      </c>
      <c r="C75" s="10">
        <f>MAX($I$27:$M$27)</f>
        <v>16.380000706618244</v>
      </c>
      <c r="D75" s="4" t="inlineStr">
        <is>
          <t>t/m²</t>
        </is>
      </c>
      <c r="E75" s="5" t="inlineStr">
        <is>
          <t>CALCULADA. Presión total (incluye zapata, relleno y dado).</t>
        </is>
      </c>
      <c r="F75" s="6" t="inlineStr">
        <is>
          <t>Bowles 5ª ed., §8.10, págs. 449–453 · ACI 318-19, R13.2.6.3, pág. 200</t>
        </is>
      </c>
      <c r="H75" s="5" t="inlineStr">
        <is>
          <t>Vu en una dirección, Y</t>
        </is>
      </c>
      <c r="I75" s="20">
        <f>IF(I73&gt;=$C$9/2,0,MAX(0,$C$8*IF(I74&lt;$C$9/2,I70*($C$9/2-I74)+I69*(($C$9/2)^2-I74^2)/2,0)-I54*$C$8*($C$9/2-I73)))</f>
        <v>13.53144467240158</v>
      </c>
      <c r="J75" s="20">
        <f>IF(J73&gt;=$C$9/2,0,MAX(0,$C$8*IF(J74&lt;$C$9/2,J70*($C$9/2-J74)+J69*(($C$9/2)^2-J74^2)/2,0)-J54*$C$8*($C$9/2-J73)))</f>
        <v>17.69501094310302</v>
      </c>
      <c r="K75" s="20">
        <f>IF(K73&gt;=$C$9/2,0,MAX(0,$C$8*IF(K74&lt;$C$9/2,K70*($C$9/2-K74)+K69*(($C$9/2)^2-K74^2)/2,0)-K54*$C$8*($C$9/2-K73)))</f>
        <v>21.631069586785934</v>
      </c>
      <c r="L75" s="20">
        <f>IF(L73&gt;=$C$9/2,0,MAX(0,$C$8*IF(L74&lt;$C$9/2,L70*($C$9/2-L74)+L69*(($C$9/2)^2-L74^2)/2,0)-L54*$C$8*($C$9/2-L73)))</f>
        <v>14.921080677761342</v>
      </c>
      <c r="M75" s="20">
        <f>IF(M73&gt;=$C$9/2,0,MAX(0,$C$8*IF(M74&lt;$C$9/2,M70*($C$9/2-M74)+M69*(($C$9/2)^2-M74^2)/2,0)-M54*$C$8*($C$9/2-M73)))</f>
        <v>11.38604113786199</v>
      </c>
      <c r="N75" s="24" t="inlineStr">
        <is>
          <t>t</t>
        </is>
      </c>
    </row>
    <row r="76" spans="2:14" ht="15.45" customHeight="1" x14ac:dyDescent="0.3">
      <c r="B76" s="2" t="inlineStr">
        <is>
          <t>Combinación que da q_máx</t>
        </is>
      </c>
      <c r="C76" s="7" t="str">
        <f>INDEX($I$5:$M$5,MATCH($C$75,$I$27:$M$27,0))</f>
        <v>S3</v>
      </c>
      <c r="D76" s="4" t="inlineStr">
        <is>
          <t>—</t>
        </is>
      </c>
      <c r="E76" s="5" t="inlineStr">
        <is>
          <t>CALCULADA.</t>
        </is>
      </c>
      <c r="F76" s="6" t="inlineStr">
        <is>
          <t>COMBINACIONES</t>
        </is>
      </c>
      <c r="H76" s="5" t="inlineStr">
        <is>
          <t>fin del contacto en el lado ligero</t>
        </is>
      </c>
      <c r="I76" s="20">
        <f>IF(I69&gt;0,MIN($C$9/2,I70/I69),$C$9/2)</f>
        <v>1.3</v>
      </c>
      <c r="J76" s="20">
        <f>IF(J69&gt;0,MIN($C$9/2,J70/J69),$C$9/2)</f>
        <v>1.3</v>
      </c>
      <c r="K76" s="20">
        <f>IF(K69&gt;0,MIN($C$9/2,K70/K69),$C$9/2)</f>
        <v>1.3</v>
      </c>
      <c r="L76" s="20">
        <f>IF(L69&gt;0,MIN($C$9/2,L70/L69),$C$9/2)</f>
        <v>1.3</v>
      </c>
      <c r="M76" s="20">
        <f>IF(M69&gt;0,MIN($C$9/2,M70/M69),$C$9/2)</f>
        <v>1.3</v>
      </c>
      <c r="N76" s="24" t="inlineStr">
        <is>
          <t>m</t>
        </is>
      </c>
    </row>
    <row r="77" spans="2:14" ht="15.45" customHeight="1" x14ac:dyDescent="0.3">
      <c r="B77" s="2" t="inlineStr">
        <is>
          <t>q_máx / q_adm (la más desfavorable)</t>
        </is>
      </c>
      <c r="C77" s="10">
        <f>MAX($I$31:$M$31)</f>
        <v>0.9100000392565691</v>
      </c>
      <c r="D77" s="4" t="inlineStr">
        <is>
          <t>—</t>
        </is>
      </c>
      <c r="E77" s="5" t="inlineStr">
        <is>
          <t>CALCULADA.</t>
        </is>
      </c>
      <c r="F77" s="6" t="inlineStr">
        <is>
          <t>DATOS, sección 3</t>
        </is>
      </c>
      <c r="H77" s="5" t="inlineStr">
        <is>
          <t>M con tensión arriba, lado ligero ‖ Y</t>
        </is>
      </c>
      <c r="I77" s="20">
        <f>I54*$C$8*$C$29^2/2-$C$8*IF(I76&gt;$C$27/2,(I70+I69*$C$27/2)*(I76^2-($C$27/2)^2)/2-I69*(I76^3-($C$27/2)^3)/3-I70*$C$27/2*(I76-$C$27/2),0)</f>
        <v>-10.57022160209972</v>
      </c>
      <c r="J77" s="20">
        <f>J54*$C$8*$C$29^2/2-$C$8*IF(J76&gt;$C$27/2,(J70+J69*$C$27/2)*(J76^2-($C$27/2)^2)/2-J69*(J76^3-($C$27/2)^3)/3-J70*$C$27/2*(J76-$C$27/2),0)</f>
        <v>-13.754530196231908</v>
      </c>
      <c r="K77" s="20">
        <f>K54*$C$8*$C$29^2/2-$C$8*IF(K76&gt;$C$27/2,(K70+K69*$C$27/2)*(K76^2-($C$27/2)^2)/2-K69*(K76^3-($C$27/2)^3)/3-K70*$C$27/2*(K76-$C$27/2),0)</f>
        <v>-10.62942888135478</v>
      </c>
      <c r="L77" s="20">
        <f>L54*$C$8*$C$29^2/2-$C$8*IF(L76&gt;$C$27/2,(L70+L69*$C$27/2)*(L76^2-($C$27/2)^2)/2-L69*(L76^3-($C$27/2)^3)/3-L70*$C$27/2*(L76-$C$27/2),0)</f>
        <v>-5.430418737956176</v>
      </c>
      <c r="M77" s="20">
        <f>M54*$C$8*$C$29^2/2-$C$8*IF(M76&gt;$C$27/2,(M70+M69*$C$27/2)*(M76^2-($C$27/2)^2)/2-M69*(M76^3-($C$27/2)^3)/3-M70*$C$27/2*(M76-$C$27/2),0)</f>
        <v>-2.298858709199887</v>
      </c>
      <c r="N77" s="24" t="inlineStr">
        <is>
          <t>t·m</t>
        </is>
      </c>
    </row>
    <row r="78" spans="2:14" ht="15.45" customHeight="1" x14ac:dyDescent="0.3">
      <c r="B78" s="25" t="inlineStr">
        <is>
          <t>Presión máxima contra la admisible</t>
        </is>
      </c>
      <c r="C78" s="26" t="str">
        <f>IF($C$77&lt;=1,"CUMPLE","NO CUMPLE — aumentar Lx y/o Ly")</f>
        <v>CUMPLE</v>
      </c>
      <c r="D78" s="4" t="inlineStr">
        <is>
          <t>—</t>
        </is>
      </c>
      <c r="E78" s="5" t="inlineStr">
        <is>
          <t>q_máx ≤ qa (con el incremento si hay acción accidental).</t>
        </is>
      </c>
      <c r="F78" s="6" t="inlineStr">
        <is>
          <t>ACI 318-19, 13.3.1.1, pág. 203</t>
        </is>
      </c>
      <c r="H78" s="5" t="inlineStr">
        <is>
          <t>Índice de núcleo con cargas factorizadas</t>
        </is>
      </c>
      <c r="I78" s="20">
        <f>6*I57/$C$8+6*I66/$C$9</f>
        <v>0.06318564930092757</v>
      </c>
      <c r="J78" s="20">
        <f>6*J57/$C$8+6*J66/$C$9</f>
        <v>0.07232539848130468</v>
      </c>
      <c r="K78" s="20">
        <f>6*K57/$C$8+6*K66/$C$9</f>
        <v>0.31889499281475236</v>
      </c>
      <c r="L78" s="20">
        <f>6*L57/$C$8+6*L66/$C$9</f>
        <v>0.4484494849128603</v>
      </c>
      <c r="M78" s="20">
        <f>6*M57/$C$8+6*M66/$C$9</f>
        <v>0.608010269306431</v>
      </c>
      <c r="N78" s="24" t="inlineStr">
        <is>
          <t>—</t>
        </is>
      </c>
    </row>
    <row r="79" spans="2:14" ht="15.45" customHeight="1" x14ac:dyDescent="0.3">
      <c r="B79" s="2" t="inlineStr">
        <is>
          <t>q_mín — presión mínima (0 = hay despegue)</t>
        </is>
      </c>
      <c r="C79" s="10">
        <f>MIN($I$28:$M$28)</f>
        <v>1.9336237227107111</v>
      </c>
      <c r="D79" s="4" t="inlineStr">
        <is>
          <t>t/m²</t>
        </is>
      </c>
      <c r="E79" s="5" t="inlineStr">
        <is>
          <t>CALCULADA.</t>
        </is>
      </c>
      <c r="F79" s="6" t="inlineStr">
        <is>
          <t>Bowles 5ª ed., §8.10, pág. 453</t>
        </is>
      </c>
      <c r="H79" s="5" t="inlineStr">
        <is>
          <t>Vu de penetración = Pu − (Ru/A)·A_crít</t>
        </is>
      </c>
      <c r="I79" s="20">
        <f>IF(I78&lt;=1,I48-I51*$C$97/$C$18,I48)</f>
        <v>36.337917544424876</v>
      </c>
      <c r="J79" s="20">
        <f>IF(J78&lt;=1,J48-J51*$C$97/$C$18,J48)</f>
        <v>47.3807798119123</v>
      </c>
      <c r="K79" s="20">
        <f>IF(K78&lt;=1,K48-K51*$C$97/$C$18,K48)</f>
        <v>46.10030081398395</v>
      </c>
      <c r="L79" s="20">
        <f>IF(L78&lt;=1,L48-L51*$C$97/$C$18,L48)</f>
        <v>28.167358356532475</v>
      </c>
      <c r="M79" s="20">
        <f>IF(M78&lt;=1,M48-M51*$C$97/$C$18,M48)</f>
        <v>18.00921717752456</v>
      </c>
      <c r="N79" s="24" t="inlineStr">
        <is>
          <t>t</t>
        </is>
      </c>
    </row>
    <row r="80" spans="2:14" ht="40.2" customHeight="1" x14ac:dyDescent="0.3">
      <c r="B80" s="25" t="inlineStr">
        <is>
          <t>Con carga sostenida (S1 = D + L), ¿toda la zapata está comprimida?</t>
        </is>
      </c>
      <c r="C80" s="26" t="str">
        <f>IF(INDEX($I$24:$M$24,1)&lt;=1,"CUMPLE — resultante dentro del núcleo central","NO CUMPLE — con D + L no debe haber despegue: usa contratrabe o agranda la zapata")</f>
        <v>CUMPLE — resultante dentro del núcleo central</v>
      </c>
      <c r="D80" s="4" t="inlineStr">
        <is>
          <t>—</t>
        </is>
      </c>
      <c r="E80" s="5" t="inlineStr">
        <is>
          <t>Sin contratrabe casi nunca cumple: la carga de la columna cae en la orilla.</t>
        </is>
      </c>
      <c r="F80" s="6" t="inlineStr">
        <is>
          <t>Bowles 5ª ed., §8.10, pág. 453 (e ≤ L/6)</t>
        </is>
      </c>
      <c r="H80" s="5" t="inlineStr">
        <is>
          <t>Msc alrededor de Y = (sin contratrabe: |Muy| + |Vux|·brazo) + Vu·excentricidad</t>
        </is>
      </c>
      <c r="I80" s="20">
        <f>IF($C$15="SÍ",0,ABS(I45)+ABS(I46)*$C$23)+I79*$C$100/100</f>
        <v>8.736447776705507</v>
      </c>
      <c r="J80" s="20">
        <f>IF($C$15="SÍ",0,ABS(J45)+ABS(J46)*$C$23)+J79*$C$100/100</f>
        <v>11.391398748711808</v>
      </c>
      <c r="K80" s="20">
        <f>IF($C$15="SÍ",0,ABS(K45)+ABS(K46)*$C$23)+K79*$C$100/100</f>
        <v>11.08354297021562</v>
      </c>
      <c r="L80" s="20">
        <f>IF($C$15="SÍ",0,ABS(L45)+ABS(L46)*$C$23)+L79*$C$100/100</f>
        <v>6.77206268049751</v>
      </c>
      <c r="M80" s="20">
        <f>IF($C$15="SÍ",0,ABS(M45)+ABS(M46)*$C$23)+M79*$C$100/100</f>
        <v>4.32981843768123</v>
      </c>
      <c r="N80" s="24" t="inlineStr">
        <is>
          <t>t·m</t>
        </is>
      </c>
    </row>
    <row r="81" spans="2:14" ht="27.75" customHeight="1" x14ac:dyDescent="0.3">
      <c r="B81" s="2" t="inlineStr">
        <is>
          <t>Combinaciones con contacto parcial (despegue)</t>
        </is>
      </c>
      <c r="C81" s="27">
        <f>COUNTIF($I$29:$M$29,"PARCIAL")</f>
        <v>0</v>
      </c>
      <c r="D81" s="4" t="inlineStr">
        <is>
          <t>—</t>
        </is>
      </c>
      <c r="E81" s="5" t="inlineStr">
        <is>
          <t>CALCULADA.</t>
        </is>
      </c>
      <c r="F81" s="6" t="inlineStr">
        <is>
          <t>Tabla por combinación</t>
        </is>
      </c>
      <c r="H81" s="5" t="inlineStr">
        <is>
          <t>Msc alrededor de X = |Mux| + |Vuy|·brazo dado</t>
        </is>
      </c>
      <c r="I81" s="20">
        <f>ABS(I44)+ABS(I47)*$C$23</f>
        <v>1.6029999999999998</v>
      </c>
      <c r="J81" s="20">
        <f>ABS(J44)+ABS(J47)*$C$23</f>
        <v>2.198</v>
      </c>
      <c r="K81" s="20">
        <f>ABS(K44)+ABS(K47)*$C$23</f>
        <v>9.689</v>
      </c>
      <c r="L81" s="20">
        <f>ABS(L44)+ABS(L47)*$C$23</f>
        <v>8.830499999999999</v>
      </c>
      <c r="M81" s="20">
        <f>ABS(M44)+ABS(M47)*$C$23</f>
        <v>8.830499999999999</v>
      </c>
      <c r="N81" s="24" t="inlineStr">
        <is>
          <t>t·m</t>
        </is>
      </c>
    </row>
    <row r="82" spans="2:14" ht="15.45" customHeight="1" x14ac:dyDescent="0.3">
      <c r="B82" s="2" t="inlineStr">
        <is>
          <t>P total mínima sobre el terreno</t>
        </is>
      </c>
      <c r="C82" s="10">
        <f>MIN($I$20:$M$20)</f>
        <v>25.057820560747665</v>
      </c>
      <c r="D82" s="4" t="inlineStr">
        <is>
          <t>t</t>
        </is>
      </c>
      <c r="E82" s="5" t="inlineStr">
        <is>
          <t>CALCULADA.</t>
        </is>
      </c>
      <c r="F82" s="6" t="inlineStr">
        <is>
          <t>Tabla por combinación</t>
        </is>
      </c>
      <c r="H82" s="5" t="inlineStr">
        <is>
          <t>vu máx de penetración</t>
        </is>
      </c>
      <c r="I82" s="20">
        <f>I79*1000/($C$96*$C$50)+$C$110*I80*100000*$C$115/$C$111+$C$113*I81*100000*($C$95/2)/$C$114</f>
        <v>6.684690185812272</v>
      </c>
      <c r="J82" s="20">
        <f>J79*1000/($C$96*$C$50)+$C$110*J80*100000*$C$115/$C$111+$C$113*J81*100000*($C$95/2)/$C$114</f>
        <v>8.730218889703565</v>
      </c>
      <c r="K82" s="20">
        <f>K79*1000/($C$96*$C$50)+$C$110*K80*100000*$C$115/$C$111+$C$113*K81*100000*($C$95/2)/$C$114</f>
        <v>9.480890399300892</v>
      </c>
      <c r="L82" s="20">
        <f>L79*1000/($C$96*$C$50)+$C$110*L80*100000*$C$115/$C$111+$C$113*L81*100000*($C$95/2)/$C$114</f>
        <v>6.173154010104394</v>
      </c>
      <c r="M82" s="20">
        <f>M79*1000/($C$96*$C$50)+$C$110*M80*100000*$C$115/$C$111+$C$113*M81*100000*($C$95/2)/$C$114</f>
        <v>4.36302640243119</v>
      </c>
      <c r="N82" s="24" t="inlineStr">
        <is>
          <t>kg/cm²</t>
        </is>
      </c>
    </row>
    <row r="83" spans="2:14" ht="27.75" customHeight="1" x14ac:dyDescent="0.3">
      <c r="B83" s="25" t="inlineStr">
        <is>
          <t>¿Hay levantamiento neto?</t>
        </is>
      </c>
      <c r="C83" s="26" t="str">
        <f>IF($C$82&gt;0,"CUMPLE — no hay levantamiento","NO CUMPLE — tensión neta: lastrar o anclar")</f>
        <v>CUMPLE — no hay levantamiento</v>
      </c>
      <c r="D83" s="4" t="inlineStr">
        <is>
          <t>—</t>
        </is>
      </c>
      <c r="E83" s="5" t="inlineStr">
        <is>
          <t>P total &gt; 0 en todas las combinaciones.</t>
        </is>
      </c>
      <c r="F83" s="6" t="inlineStr">
        <is>
          <t>ACI 318-19, 13.2.6.1, págs. 199–200</t>
        </is>
      </c>
    </row>
    <row r="84" spans="2:14" ht="18" customHeight="1" x14ac:dyDescent="0.3">
      <c r="B84" s="2" t="inlineStr">
        <is>
          <t>FS al volteo mínimo, dirección X</t>
        </is>
      </c>
      <c r="C84" s="9">
        <f>MIN($I$32:$M$32)</f>
        <v>99</v>
      </c>
      <c r="D84" s="4" t="inlineStr">
        <is>
          <t>—</t>
        </is>
      </c>
      <c r="E84" s="5" t="inlineStr">
        <is>
          <t>CALCULADA. Con contratrabe no hay volteo en X (99).</t>
        </is>
      </c>
      <c r="F84" s="6" t="inlineStr">
        <is>
          <t>Bowles 5ª ed., §8.10, pág. 450</t>
        </is>
      </c>
      <c r="H84" s="44" t="inlineStr">
        <is>
          <t>BLOQUE U — CONTRATRABE DE EQUILIBRIO</t>
        </is>
      </c>
      <c r="I84" s="37"/>
      <c r="J84" s="37"/>
      <c r="K84" s="37"/>
      <c r="L84" s="37"/>
      <c r="M84" s="37"/>
      <c r="N84" s="37"/>
    </row>
    <row r="85" spans="2:14" ht="27.75" customHeight="1" x14ac:dyDescent="0.3">
      <c r="B85" s="2" t="inlineStr">
        <is>
          <t>FS al volteo mínimo, dirección Y</t>
        </is>
      </c>
      <c r="C85" s="9">
        <f>MIN($I$33:$M$33)</f>
        <v>4.695857968714425</v>
      </c>
      <c r="D85" s="4" t="inlineStr">
        <is>
          <t>—</t>
        </is>
      </c>
      <c r="E85" s="5" t="inlineStr">
        <is>
          <t>CALCULADA.</t>
        </is>
      </c>
      <c r="F85" s="6" t="inlineStr">
        <is>
          <t>Bowles 5ª ed., §8.10, pág. 450</t>
        </is>
      </c>
      <c r="H85" s="5" t="inlineStr">
        <is>
          <t>w = Ru / Lx (reacción neta, por metro de contratrabe)</t>
        </is>
      </c>
      <c r="I85" s="20">
        <f>IF($C$15="SÍ",I51/$C$8,0)</f>
        <v>26.905295950155764</v>
      </c>
      <c r="J85" s="20">
        <f>IF($C$15="SÍ",J51/$C$8,0)</f>
        <v>35.10155763239876</v>
      </c>
      <c r="K85" s="20">
        <f>IF($C$15="SÍ",K51/$C$8,0)</f>
        <v>35.42824506749741</v>
      </c>
      <c r="L85" s="20">
        <f>IF($C$15="SÍ",L51/$C$8,0)</f>
        <v>22.137902388369678</v>
      </c>
      <c r="M85" s="20">
        <f>IF($C$15="SÍ",M51/$C$8,0)</f>
        <v>14.661266874350986</v>
      </c>
      <c r="N85" s="24" t="inlineStr">
        <is>
          <t>t/m</t>
        </is>
      </c>
    </row>
    <row r="86" spans="2:14" ht="15.45" customHeight="1" x14ac:dyDescent="0.3">
      <c r="B86" s="25" t="inlineStr">
        <is>
          <t>Revisión por volteo</t>
        </is>
      </c>
      <c r="C86" s="26" t="str">
        <f>IF(MIN($C$84,$C$85)&gt;=DATOS!$C$34,"CUMPLE","NO CUMPLE — aumentar dimensiones o usar contratrabe")</f>
        <v>CUMPLE</v>
      </c>
      <c r="D86" s="4" t="inlineStr">
        <is>
          <t>—</t>
        </is>
      </c>
      <c r="E86" s="5" t="inlineStr">
        <is>
          <t>FS ≥ el exigido en DATOS.</t>
        </is>
      </c>
      <c r="F86" s="6" t="inlineStr">
        <is>
          <t>ACI 318-19, 13.2.6.1, págs. 199–200</t>
        </is>
      </c>
      <c r="H86" s="5" t="inlineStr">
        <is>
          <t>del eje de la columna al punto de cortante nulo</t>
        </is>
      </c>
      <c r="I86" s="20">
        <f>IF(I85&gt;0,MAX(0,I48/I85-DATOS!$C$64/2),0)</f>
        <v>1.3469346733668341</v>
      </c>
      <c r="J86" s="20">
        <f>IF(J85&gt;0,MAX(0,J48/J85-DATOS!$C$64/2),0)</f>
        <v>1.3461684830842415</v>
      </c>
      <c r="K86" s="20">
        <f>IF(K85&gt;0,MAX(0,K48/K85-DATOS!$C$64/2),0)</f>
        <v>1.2975787721221428</v>
      </c>
      <c r="L86" s="20">
        <f>IF(L85&gt;0,MAX(0,L48/L85-DATOS!$C$64/2),0)</f>
        <v>1.268707572658874</v>
      </c>
      <c r="M86" s="20">
        <f>IF(M85&gt;0,MAX(0,M48/M85-DATOS!$C$64/2),0)</f>
        <v>1.2247020285010057</v>
      </c>
      <c r="N86" s="24" t="inlineStr">
        <is>
          <t>m</t>
        </is>
      </c>
    </row>
    <row r="87" spans="2:14" ht="27.75" customHeight="1" x14ac:dyDescent="0.3">
      <c r="B87" s="2" t="inlineStr">
        <is>
          <t>FS al deslizamiento mínimo</t>
        </is>
      </c>
      <c r="C87" s="9">
        <f>MIN($I$35:$M$35)</f>
        <v>4.605987977952499</v>
      </c>
      <c r="D87" s="4" t="inlineStr">
        <is>
          <t>—</t>
        </is>
      </c>
      <c r="E87" s="5" t="inlineStr">
        <is>
          <t>CALCULADA = μ·P total / V. Todo el cortante se le deja a la zapata (del lado seguro).</t>
        </is>
      </c>
      <c r="F87" s="6" t="inlineStr">
        <is>
          <t>NAVFAC DM 7.02, Tabla 1, pág. 7.2-63</t>
        </is>
      </c>
      <c r="H87" s="5" t="inlineStr">
        <is>
          <t>Mu con tensión arriba = Pu·s₀ + Muy − w(s₀ + cx/2)²/2</t>
        </is>
      </c>
      <c r="I87" s="20">
        <f>IF($C$15="SÍ",MAX(0,I48*I86+I49-I85*(I86+DATOS!$C$64/2)^2/2),0)</f>
        <v>24.8674475879397</v>
      </c>
      <c r="J87" s="20">
        <f>IF($C$15="SÍ",MAX(0,J48*J86+J49-J85*(J86+DATOS!$C$64/2)^2/2),0)</f>
        <v>32.568063885121944</v>
      </c>
      <c r="K87" s="20">
        <f>IF($C$15="SÍ",MAX(0,K48*K86+K49-K85*(K86+DATOS!$C$64/2)^2/2),0)</f>
        <v>40.92432445895643</v>
      </c>
      <c r="L87" s="20">
        <f>IF($C$15="SÍ",MAX(0,L48*L86+L49-L85*(L86+DATOS!$C$64/2)^2/2),0)</f>
        <v>28.586983650182002</v>
      </c>
      <c r="M87" s="20">
        <f>IF($C$15="SÍ",MAX(0,M48*M86+M49-M85*(M86+DATOS!$C$64/2)^2/2),0)</f>
        <v>21.999016279110123</v>
      </c>
      <c r="N87" s="24" t="inlineStr">
        <is>
          <t>t·m</t>
        </is>
      </c>
    </row>
    <row r="88" spans="2:14" ht="27.75" customHeight="1" x14ac:dyDescent="0.3">
      <c r="B88" s="25" t="inlineStr">
        <is>
          <t>Revisión por deslizamiento</t>
        </is>
      </c>
      <c r="C88" s="26" t="str">
        <f>IF($C$87&gt;=DATOS!$C$35,"CUMPLE","NO CUMPLE — aumentar peso, dentellón o contratrabe")</f>
        <v>CUMPLE</v>
      </c>
      <c r="D88" s="4" t="inlineStr">
        <is>
          <t>—</t>
        </is>
      </c>
      <c r="E88" s="5" t="inlineStr">
        <is>
          <t>FS ≥ el exigido en DATOS.</t>
        </is>
      </c>
      <c r="F88" s="6" t="inlineStr">
        <is>
          <t>ACI 318-19, 13.2.6.1, págs. 199–200</t>
        </is>
      </c>
      <c r="H88" s="5" t="inlineStr">
        <is>
          <t>Mu con tensión abajo (Muy en sentido contrario, en el paño)</t>
        </is>
      </c>
      <c r="I88" s="20">
        <f>IF($C$15="SÍ",MAX(0,I49-I48*DATOS!$C$64/2+(I48*$C$16-I49)/($C$16-$C$24)/$C$8*DATOS!$C$64^2/2),0)</f>
        <v>0</v>
      </c>
      <c r="J88" s="20">
        <f>IF($C$15="SÍ",MAX(0,J49-J48*DATOS!$C$64/2+(J48*$C$16-J49)/($C$16-$C$24)/$C$8*DATOS!$C$64^2/2),0)</f>
        <v>0</v>
      </c>
      <c r="K88" s="20">
        <f>IF($C$15="SÍ",MAX(0,K49-K48*DATOS!$C$64/2+(K48*$C$16-K49)/($C$16-$C$24)/$C$8*DATOS!$C$64^2/2),0)</f>
        <v>2.610656282450674</v>
      </c>
      <c r="L88" s="20">
        <f>IF($C$15="SÍ",MAX(0,L49-L48*DATOS!$C$64/2+(L48*$C$16-L49)/($C$16-$C$24)/$C$8*DATOS!$C$64^2/2),0)</f>
        <v>5.526428089304257</v>
      </c>
      <c r="M88" s="20">
        <f>IF($C$15="SÍ",MAX(0,M49-M48*DATOS!$C$64/2+(M48*$C$16-M49)/($C$16-$C$24)/$C$8*DATOS!$C$64^2/2),0)</f>
        <v>7.591848650051921</v>
      </c>
      <c r="N88" s="24" t="inlineStr">
        <is>
          <t>t·m</t>
        </is>
      </c>
    </row>
    <row r="89" spans="2:14" ht="27.75" customHeight="1" x14ac:dyDescent="0.3">
      <c r="B89" s="2" t="inlineStr">
        <is>
          <t>ΔP máximo — lo que la contratrabe le quita a la columna interior</t>
        </is>
      </c>
      <c r="C89" s="10">
        <f>MAX($I$18:$M$18)</f>
        <v>6.486518691588785</v>
      </c>
      <c r="D89" s="4" t="inlineStr">
        <is>
          <t>t</t>
        </is>
      </c>
      <c r="E89" s="5" t="inlineStr">
        <is>
          <t>CALCULADA = R − P.</t>
        </is>
      </c>
      <c r="F89" s="6" t="inlineStr">
        <is>
          <t>Estática</t>
        </is>
      </c>
      <c r="H89" s="5" t="inlineStr">
        <is>
          <t>Vu = máx(Pu − w(cx + d) ; ΔPu)</t>
        </is>
      </c>
      <c r="I89" s="20">
        <f>IF($C$15="SÍ",MAX(ABS(I48-I85*(DATOS!$C$64+$C$251/100)),ABS(I52)),0)</f>
        <v>7.242493302180684</v>
      </c>
      <c r="J89" s="20">
        <f>IF($C$15="SÍ",MAX(ABS(J48-J85*(DATOS!$C$64+$C$251/100)),ABS(J52)),0)</f>
        <v>9.421906853582556</v>
      </c>
      <c r="K89" s="20">
        <f>IF($C$15="SÍ",MAX(ABS(K48-K85*(DATOS!$C$64+$C$251/100)),ABS(K52)),0)</f>
        <v>8.942841121495334</v>
      </c>
      <c r="L89" s="20">
        <f>IF($C$15="SÍ",MAX(ABS(L48-L85*(DATOS!$C$64+$C$251/100)),ABS(L52)),0)</f>
        <v>6.227224299065419</v>
      </c>
      <c r="M89" s="20">
        <f>IF($C$15="SÍ",MAX(ABS(M48-M85*(DATOS!$C$64+$C$251/100)),ABS(M52)),0)</f>
        <v>4.769280373831776</v>
      </c>
      <c r="N89" s="24" t="inlineStr">
        <is>
          <t>t</t>
        </is>
      </c>
    </row>
    <row r="90" spans="2:14" ht="40.2" customHeight="1" x14ac:dyDescent="0.3">
      <c r="B90" s="25" t="inlineStr">
        <is>
          <t>¿La contratrabe levanta la columna interior?</t>
        </is>
      </c>
      <c r="C90" s="26" t="str">
        <f>IF($C$15="NO","CUMPLE — no aplica",IF(MIN($I$36:$M$36)&gt;=0,"CUMPLE — γD·PD interior ≥ ΔP en todas","NO CUMPLE — la columna interior se levanta: más Ls o lastre"))</f>
        <v>CUMPLE — γD·PD interior ≥ ΔP en todas</v>
      </c>
      <c r="D90" s="4" t="inlineStr">
        <is>
          <t>—</t>
        </is>
      </c>
      <c r="E90" s="5" t="inlineStr">
        <is>
          <t>Se revisa con cada combinación (con 0.6D en S4 y S5). La zapata interior se diseña sin descontar ΔP.</t>
        </is>
      </c>
      <c r="F90" s="6" t="inlineStr">
        <is>
          <t>Bowles 5ª ed., §9.4</t>
        </is>
      </c>
      <c r="H90" s="5" t="inlineStr">
        <is>
          <t>Vu de gravedad (combinaciones sin A)</t>
        </is>
      </c>
      <c r="I90" s="20">
        <f>IF(I42=0,I89,0)</f>
        <v>7.242493302180684</v>
      </c>
      <c r="J90" s="20">
        <f>IF(J42=0,J89,0)</f>
        <v>9.421906853582556</v>
      </c>
      <c r="K90" s="20">
        <f>IF(K42=0,K89,0)</f>
        <v>0</v>
      </c>
      <c r="L90" s="20">
        <f>IF(L42=0,L89,0)</f>
        <v>0</v>
      </c>
      <c r="M90" s="20">
        <f>IF(M42=0,M89,0)</f>
        <v>0</v>
      </c>
      <c r="N90" s="24" t="inlineStr">
        <is>
          <t>t</t>
        </is>
      </c>
    </row>
    <row r="91" spans="2:14" ht="15.45" customHeight="1" x14ac:dyDescent="0.3">
      <c r="H91" s="5" t="inlineStr">
        <is>
          <t>Nu de amarre = máx(fracción·Pu ; Vux)</t>
        </is>
      </c>
      <c r="I91" s="20">
        <f>IF($C$15="SÍ",MAX($C$244*I48,ABS(I46)),0)</f>
        <v>4.296600000000001</v>
      </c>
      <c r="J91" s="20">
        <f>IF($C$15="SÍ",MAX($C$244*J48,ABS(J46)),0)</f>
        <v>5.602800000000001</v>
      </c>
      <c r="K91" s="20">
        <f>IF($C$15="SÍ",MAX($C$244*K48,ABS(K46)),0)</f>
        <v>5.482800000000001</v>
      </c>
      <c r="L91" s="20">
        <f>IF($C$15="SÍ",MAX($C$244*L48,ABS(L46)),0)</f>
        <v>3.3621000000000003</v>
      </c>
      <c r="M91" s="20">
        <f>IF($C$15="SÍ",MAX($C$244*M48,ABS(M46)),0)</f>
        <v>2.68</v>
      </c>
      <c r="N91" s="24" t="inlineStr">
        <is>
          <t>t</t>
        </is>
      </c>
    </row>
    <row r="92" spans="2:14" ht="18" customHeight="1" x14ac:dyDescent="0.3">
      <c r="B92" s="38" t="inlineStr">
        <is>
          <t>6. CORTANTE EN DOS DIRECCIONES (PENETRACIÓN) — columna de borde, perímetro de 3 lados a d/2</t>
        </is>
      </c>
      <c r="C92" s="37"/>
      <c r="D92" s="37"/>
      <c r="E92" s="37"/>
      <c r="F92" s="37"/>
    </row>
    <row r="93" spans="2:14" x14ac:dyDescent="0.3">
      <c r="B93" s="1" t="inlineStr">
        <is>
          <t>Concepto</t>
        </is>
      </c>
      <c r="C93" s="1" t="inlineStr">
        <is>
          <t>Valor</t>
        </is>
      </c>
      <c r="D93" s="1" t="inlineStr">
        <is>
          <t>Unidad</t>
        </is>
      </c>
      <c r="E93" s="1" t="inlineStr">
        <is>
          <t>Cómo se calcula / de dónde sale</t>
        </is>
      </c>
      <c r="F93" s="1" t="inlineStr">
        <is>
          <t>Referencia</t>
        </is>
      </c>
    </row>
    <row r="94" spans="2:14" ht="27.75" customHeight="1" x14ac:dyDescent="0.3">
      <c r="B94" s="2" t="inlineStr">
        <is>
          <t>b₁ — lado perpendicular al lindero = cx + d/2</t>
        </is>
      </c>
      <c r="C94" s="9">
        <f>DATOS!$C$64*100+$C$50/2</f>
        <v>70.455</v>
      </c>
      <c r="D94" s="4" t="inlineStr">
        <is>
          <t>cm</t>
        </is>
      </c>
      <c r="E94" s="5" t="inlineStr">
        <is>
          <t>CALCULADA: el perímetro crítico se corta en el lindero.</t>
        </is>
      </c>
      <c r="F94" s="6" t="inlineStr">
        <is>
          <t>ACI 318-19, 22.6.4.1</t>
        </is>
      </c>
    </row>
    <row r="95" spans="2:14" ht="15.45" customHeight="1" x14ac:dyDescent="0.3">
      <c r="B95" s="2" t="inlineStr">
        <is>
          <t>b₂ — lado paralelo al lindero = cy + d</t>
        </is>
      </c>
      <c r="C95" s="9">
        <f>DATOS!$C$65*100+$C$50</f>
        <v>90.91</v>
      </c>
      <c r="D95" s="4" t="inlineStr">
        <is>
          <t>cm</t>
        </is>
      </c>
      <c r="E95" s="5" t="inlineStr">
        <is>
          <t>CALCULADA.</t>
        </is>
      </c>
      <c r="F95" s="6" t="inlineStr">
        <is>
          <t>ACI 318-19, 22.6.4.1</t>
        </is>
      </c>
    </row>
    <row r="96" spans="2:14" ht="15.45" customHeight="1" x14ac:dyDescent="0.3">
      <c r="B96" s="2" t="inlineStr">
        <is>
          <t>b₀ — perímetro crítico = 2b₁ + b₂</t>
        </is>
      </c>
      <c r="C96" s="9">
        <f>2*$C$94+$C$95</f>
        <v>231.82</v>
      </c>
      <c r="D96" s="4" t="inlineStr">
        <is>
          <t>cm</t>
        </is>
      </c>
      <c r="E96" s="5" t="inlineStr">
        <is>
          <t>CALCULADA (tres lados).</t>
        </is>
      </c>
      <c r="F96" s="6" t="inlineStr">
        <is>
          <t>ACI 318-19, 22.6.4.1</t>
        </is>
      </c>
    </row>
    <row r="97" spans="2:14" ht="15.45" customHeight="1" x14ac:dyDescent="0.3">
      <c r="B97" s="2" t="inlineStr">
        <is>
          <t>Área dentro de la sección crítica</t>
        </is>
      </c>
      <c r="C97" s="10">
        <f>$C$94*$C$95/10000</f>
        <v>0.640506405</v>
      </c>
      <c r="D97" s="4" t="inlineStr">
        <is>
          <t>m²</t>
        </is>
      </c>
      <c r="E97" s="5" t="inlineStr">
        <is>
          <t>CALCULADA.</t>
        </is>
      </c>
      <c r="F97" s="6" t="inlineStr">
        <is>
          <t>ACI 318-19, 13.2.7.2, pág. 202</t>
        </is>
      </c>
    </row>
    <row r="98" spans="2:14" ht="27.75" customHeight="1" x14ac:dyDescent="0.3">
      <c r="B98" s="2" t="inlineStr">
        <is>
          <t>c_AB — del centroide de la sección crítica a su cara interior</t>
        </is>
      </c>
      <c r="C98" s="9">
        <f>$C$94^2/(2*$C$94+$C$95)</f>
        <v>21.4127643214563</v>
      </c>
      <c r="D98" s="4" t="inlineStr">
        <is>
          <t>cm</t>
        </is>
      </c>
      <c r="E98" s="5" t="inlineStr">
        <is>
          <t>CALCULADA = b₁²/(2b₁ + b₂).</t>
        </is>
      </c>
      <c r="F98" s="6" t="inlineStr">
        <is>
          <t>ACI 318-19, R8.4.4.2.3</t>
        </is>
      </c>
    </row>
    <row r="99" spans="2:14" ht="15.45" customHeight="1" x14ac:dyDescent="0.3">
      <c r="B99" s="2" t="inlineStr">
        <is>
          <t>c_CD — del centroide al lindero</t>
        </is>
      </c>
      <c r="C99" s="9">
        <f>$C$94-$C$98</f>
        <v>49.0422356785437</v>
      </c>
      <c r="D99" s="4" t="inlineStr">
        <is>
          <t>cm</t>
        </is>
      </c>
      <c r="E99" s="5" t="inlineStr">
        <is>
          <t>CALCULADA = b₁ − c_AB.</t>
        </is>
      </c>
      <c r="F99" s="6" t="inlineStr">
        <is>
          <t>ACI 318-19, R8.4.4.2.3</t>
        </is>
      </c>
    </row>
    <row r="100" spans="2:14" ht="27.75" customHeight="1" x14ac:dyDescent="0.3">
      <c r="B100" s="2" t="inlineStr">
        <is>
          <t>Del eje de la columna al centroide de la sección crítica</t>
        </is>
      </c>
      <c r="C100" s="9">
        <f>ABS($C$99-DATOS!$C$64*100/2)</f>
        <v>24.042235678543697</v>
      </c>
      <c r="D100" s="4" t="inlineStr">
        <is>
          <t>cm</t>
        </is>
      </c>
      <c r="E100" s="5" t="inlineStr">
        <is>
          <t>CALCULADA. Vu llevado a ese centroide genera momento.</t>
        </is>
      </c>
      <c r="F100" s="6" t="inlineStr">
        <is>
          <t>ACI 318-19, R8.4.4.2.3</t>
        </is>
      </c>
    </row>
    <row r="101" spans="2:14" ht="15.45" customHeight="1" x14ac:dyDescent="0.3">
      <c r="B101" s="2" t="inlineStr">
        <is>
          <t>β — relación de lados del dado</t>
        </is>
      </c>
      <c r="C101" s="9">
        <f>MAX(DATOS!$C$64,DATOS!$C$65)/MIN(DATOS!$C$64,DATOS!$C$65)</f>
        <v>1</v>
      </c>
      <c r="D101" s="4" t="inlineStr">
        <is>
          <t>—</t>
        </is>
      </c>
      <c r="E101" s="5" t="inlineStr">
        <is>
          <t>CALCULADA.</t>
        </is>
      </c>
      <c r="F101" s="6" t="inlineStr">
        <is>
          <t>ACI 318-19, Tabla 22.6.5.2</t>
        </is>
      </c>
    </row>
    <row r="102" spans="2:14" ht="15.45" customHeight="1" x14ac:dyDescent="0.3">
      <c r="B102" s="2" t="inlineStr">
        <is>
          <t>αs — columna de borde</t>
        </is>
      </c>
      <c r="C102" s="27">
        <v>30</v>
      </c>
      <c r="D102" s="4" t="inlineStr">
        <is>
          <t>—</t>
        </is>
      </c>
      <c r="E102" s="5" t="inlineStr">
        <is>
          <t>FIJO.</t>
        </is>
      </c>
      <c r="F102" s="6" t="inlineStr">
        <is>
          <t>ACI 318-19, Tabla 22.6.5.2 · TABLAS, tabla 5</t>
        </is>
      </c>
    </row>
    <row r="103" spans="2:14" ht="15.45" customHeight="1" x14ac:dyDescent="0.3">
      <c r="B103" s="2" t="inlineStr">
        <is>
          <t>λs — factor de tamaño</t>
        </is>
      </c>
      <c r="C103" s="10">
        <f>IF(DATOS!$C$90="SÍ",1,MIN(1,SQRT(2/(1+0.004*$C$50*10))))</f>
        <v>1</v>
      </c>
      <c r="D103" s="4" t="inlineStr">
        <is>
          <t>—</t>
        </is>
      </c>
      <c r="E103" s="5" t="inlineStr">
        <is>
          <t>CALCULADA.</t>
        </is>
      </c>
      <c r="F103" s="6" t="inlineStr">
        <is>
          <t>ACI 318-19, 13.2.6.2, pág. 200 · 22.5.5.1.3</t>
        </is>
      </c>
    </row>
    <row r="104" spans="2:14" ht="15.45" customHeight="1" x14ac:dyDescent="0.3">
      <c r="B104" s="2" t="inlineStr">
        <is>
          <t>vc (a) = 0.33 λs λ √f'c</t>
        </is>
      </c>
      <c r="C104" s="9">
        <f>0.33*$C$103*DATOS!$C$23*DATOS!$C$17*DATOS!$C$89</f>
        <v>16.6618957504841</v>
      </c>
      <c r="D104" s="4" t="inlineStr">
        <is>
          <t>kg/cm²</t>
        </is>
      </c>
      <c r="E104" s="5" t="inlineStr">
        <is>
          <t>CALCULADA en MPa → kg/cm².</t>
        </is>
      </c>
      <c r="F104" s="6" t="inlineStr">
        <is>
          <t>ACI 318-19, Tabla 22.6.5.2(a)</t>
        </is>
      </c>
    </row>
    <row r="105" spans="2:14" ht="15.45" customHeight="1" x14ac:dyDescent="0.3">
      <c r="B105" s="2" t="inlineStr">
        <is>
          <t>vc (b) = 0.17 (1 + 2/β) λs λ √f'c</t>
        </is>
      </c>
      <c r="C105" s="9">
        <f>0.17*(1+2/$C$101)*$C$103*DATOS!$C$23*DATOS!$C$17*DATOS!$C$89</f>
        <v>25.750202523475423</v>
      </c>
      <c r="D105" s="4" t="inlineStr">
        <is>
          <t>kg/cm²</t>
        </is>
      </c>
      <c r="E105" s="5" t="inlineStr">
        <is>
          <t>CALCULADA.</t>
        </is>
      </c>
      <c r="F105" s="6" t="inlineStr">
        <is>
          <t>ACI 318-19, Tabla 22.6.5.2(b)</t>
        </is>
      </c>
    </row>
    <row r="106" spans="2:14" ht="15.45" customHeight="1" x14ac:dyDescent="0.3">
      <c r="B106" s="2" t="inlineStr">
        <is>
          <t>vc (c) = 0.083 (2 + αs d/b₀) λs λ √f'c</t>
        </is>
      </c>
      <c r="C106" s="9">
        <f>0.083*(2+$C$102*$C$50/$C$96)*$C$103*DATOS!$C$23*DATOS!$C$17*DATOS!$C$89</f>
        <v>30.567918134326494</v>
      </c>
      <c r="D106" s="4" t="inlineStr">
        <is>
          <t>kg/cm²</t>
        </is>
      </c>
      <c r="E106" s="5" t="inlineStr">
        <is>
          <t>CALCULADA con αs = 30.</t>
        </is>
      </c>
      <c r="F106" s="6" t="inlineStr">
        <is>
          <t>ACI 318-19, Tabla 22.6.5.2(c)</t>
        </is>
      </c>
    </row>
    <row r="107" spans="2:14" ht="15.45" customHeight="1" x14ac:dyDescent="0.3">
      <c r="B107" s="2" t="inlineStr">
        <is>
          <t>vc — el menor de los tres</t>
        </is>
      </c>
      <c r="C107" s="9">
        <f>MIN($C$104,$C$105,$C$106)</f>
        <v>16.6618957504841</v>
      </c>
      <c r="D107" s="4" t="inlineStr">
        <is>
          <t>kg/cm²</t>
        </is>
      </c>
      <c r="E107" s="5" t="inlineStr">
        <is>
          <t>CALCULADA.</t>
        </is>
      </c>
      <c r="F107" s="6" t="inlineStr">
        <is>
          <t>ACI 318-19, 22.6.5.2</t>
        </is>
      </c>
    </row>
    <row r="108" spans="2:14" ht="15.45" customHeight="1" x14ac:dyDescent="0.3">
      <c r="B108" s="2" t="inlineStr">
        <is>
          <t>φ vc</t>
        </is>
      </c>
      <c r="C108" s="9">
        <f>DATOS!$C$87*$C$107</f>
        <v>12.496421812863074</v>
      </c>
      <c r="D108" s="4" t="inlineStr">
        <is>
          <t>kg/cm²</t>
        </is>
      </c>
      <c r="E108" s="5" t="inlineStr">
        <is>
          <t>CALCULADA con φ = 0.75.</t>
        </is>
      </c>
      <c r="F108" s="6" t="inlineStr">
        <is>
          <t>ACI 318-19, Tabla 21.2.1(b)</t>
        </is>
      </c>
    </row>
    <row r="109" spans="2:14" ht="27.75" customHeight="1" x14ac:dyDescent="0.3">
      <c r="B109" s="2" t="inlineStr">
        <is>
          <t>γf para el momento perpendicular al lindero (gira alrededor de Y)</t>
        </is>
      </c>
      <c r="C109" s="10">
        <f>1/(1+2/3*SQRT($C$94/$C$95))</f>
        <v>0.6301622679782258</v>
      </c>
      <c r="D109" s="4" t="inlineStr">
        <is>
          <t>—</t>
        </is>
      </c>
      <c r="E109" s="5" t="inlineStr">
        <is>
          <t>CALCULADA. No se usa el aumento de γf para columnas de borde (del lado seguro).</t>
        </is>
      </c>
      <c r="F109" s="6" t="inlineStr">
        <is>
          <t>ACI 318-19, ec. 8.4.2.2.2</t>
        </is>
      </c>
    </row>
    <row r="110" spans="2:14" ht="15.45" customHeight="1" x14ac:dyDescent="0.3">
      <c r="B110" s="2" t="inlineStr">
        <is>
          <t>γv para el momento alrededor de Y</t>
        </is>
      </c>
      <c r="C110" s="10">
        <f>1-$C$109</f>
        <v>0.36983773202177417</v>
      </c>
      <c r="D110" s="4" t="inlineStr">
        <is>
          <t>—</t>
        </is>
      </c>
      <c r="E110" s="5" t="inlineStr">
        <is>
          <t>CALCULADA.</t>
        </is>
      </c>
      <c r="F110" s="6" t="inlineStr">
        <is>
          <t>ACI 318-19, 8.4.4.2.2</t>
        </is>
      </c>
    </row>
    <row r="111" spans="2:14" ht="27.75" customHeight="1" x14ac:dyDescent="0.3">
      <c r="B111" s="2" t="inlineStr">
        <is>
          <t>Jc para el momento alrededor de Y</t>
        </is>
      </c>
      <c r="C111" s="9">
        <f>$C$50*$C$94^3/6+$C$94*$C$50^3/6+2*$C$94*$C$50*($C$94/2-$C$98)^2+$C$95*$C$50*$C$98^2</f>
        <v>5993982.638458731</v>
      </c>
      <c r="D111" s="4" t="inlineStr">
        <is>
          <t>cm⁴</t>
        </is>
      </c>
      <c r="E111" s="5" t="inlineStr">
        <is>
          <t>CALCULADA = d b₁³/6 + b₁ d³/6 + 2 b₁ d (b₁/2 − c_AB)² + b₂ d c_AB².</t>
        </is>
      </c>
      <c r="F111" s="6" t="inlineStr">
        <is>
          <t>ACI 318-19, R8.4.4.2.3</t>
        </is>
      </c>
    </row>
    <row r="112" spans="2:14" ht="27.75" customHeight="1" x14ac:dyDescent="0.3">
      <c r="B112" s="2" t="inlineStr">
        <is>
          <t>γf para el momento paralelo al lindero (gira alrededor de X)</t>
        </is>
      </c>
      <c r="C112" s="10">
        <f>1/(1+2/3*SQRT($C$95/$C$94))</f>
        <v>0.5690600494554767</v>
      </c>
      <c r="D112" s="4" t="inlineStr">
        <is>
          <t>—</t>
        </is>
      </c>
      <c r="E112" s="5" t="inlineStr">
        <is>
          <t>CALCULADA.</t>
        </is>
      </c>
      <c r="F112" s="6" t="inlineStr">
        <is>
          <t>ACI 318-19, ec. 8.4.2.2.2</t>
        </is>
      </c>
    </row>
    <row r="113" spans="2:14" ht="15.45" customHeight="1" x14ac:dyDescent="0.3">
      <c r="B113" s="2" t="inlineStr">
        <is>
          <t>γv para el momento alrededor de X</t>
        </is>
      </c>
      <c r="C113" s="10">
        <f>1-$C$112</f>
        <v>0.4309399505445233</v>
      </c>
      <c r="D113" s="4" t="inlineStr">
        <is>
          <t>—</t>
        </is>
      </c>
      <c r="E113" s="5" t="inlineStr">
        <is>
          <t>CALCULADA.</t>
        </is>
      </c>
      <c r="F113" s="6" t="inlineStr">
        <is>
          <t>ACI 318-19, 8.4.4.2.2</t>
        </is>
      </c>
    </row>
    <row r="114" spans="2:14" ht="15.45" customHeight="1" x14ac:dyDescent="0.3">
      <c r="B114" s="2" t="inlineStr">
        <is>
          <t>Jc para el momento alrededor de X</t>
        </is>
      </c>
      <c r="C114" s="9">
        <f>$C$50*$C$95^3/12+$C$95*$C$50^3/12+2*$C$94*$C$50*($C$95/2)^2</f>
        <v>14990764.170195667</v>
      </c>
      <c r="D114" s="4" t="inlineStr">
        <is>
          <t>cm⁴</t>
        </is>
      </c>
      <c r="E114" s="5" t="inlineStr">
        <is>
          <t>CALCULADA = d b₂³/12 + b₂ d³/12 + 2 b₁ d (b₂/2)².</t>
        </is>
      </c>
      <c r="F114" s="6" t="inlineStr">
        <is>
          <t>ACI 318-19, R8.4.4.2.3</t>
        </is>
      </c>
    </row>
    <row r="115" spans="2:14" ht="27.75" customHeight="1" x14ac:dyDescent="0.3">
      <c r="B115" s="2" t="inlineStr">
        <is>
          <t>Distancia mayor del centroide a una cara (momento alrededor de Y)</t>
        </is>
      </c>
      <c r="C115" s="9">
        <f>MAX($C$98,$C$99)</f>
        <v>49.0422356785437</v>
      </c>
      <c r="D115" s="4" t="inlineStr">
        <is>
          <t>cm</t>
        </is>
      </c>
      <c r="E115" s="5" t="inlineStr">
        <is>
          <t>CALCULADA.</t>
        </is>
      </c>
      <c r="F115" s="6" t="inlineStr">
        <is>
          <t>ACI 318-19, R8.4.4.2.3</t>
        </is>
      </c>
    </row>
    <row r="116" spans="2:14" ht="27.75" customHeight="1" x14ac:dyDescent="0.3">
      <c r="B116" s="2" t="inlineStr">
        <is>
          <t>vu máximo (cortante directo + momento transferido)</t>
        </is>
      </c>
      <c r="C116" s="10">
        <f>MAX($I$82:$M$82)</f>
        <v>9.480890399300892</v>
      </c>
      <c r="D116" s="4" t="inlineStr">
        <is>
          <t>kg/cm²</t>
        </is>
      </c>
      <c r="E116" s="5" t="inlineStr">
        <is>
          <t>CALCULADA.</t>
        </is>
      </c>
      <c r="F116" s="6" t="inlineStr">
        <is>
          <t>ACI 318-19, 8.4.4.2.3 · 13.2.6.3, pág. 200</t>
        </is>
      </c>
    </row>
    <row r="117" spans="2:14" ht="15.45" customHeight="1" x14ac:dyDescent="0.3">
      <c r="B117" s="2" t="inlineStr">
        <is>
          <t>Combinación que rige</t>
        </is>
      </c>
      <c r="C117" s="7" t="str">
        <f>INDEX($I$39:$M$39,MATCH($C$116,$I$82:$M$82,0))</f>
        <v>U3</v>
      </c>
      <c r="D117" s="4" t="inlineStr">
        <is>
          <t>—</t>
        </is>
      </c>
      <c r="E117" s="5" t="inlineStr">
        <is>
          <t>CALCULADA.</t>
        </is>
      </c>
      <c r="F117" s="6" t="inlineStr">
        <is>
          <t>COMBINACIONES</t>
        </is>
      </c>
    </row>
    <row r="118" spans="2:14" ht="15.45" customHeight="1" x14ac:dyDescent="0.3">
      <c r="B118" s="2" t="inlineStr">
        <is>
          <t>Relación demanda/capacidad por penetración</t>
        </is>
      </c>
      <c r="C118" s="10">
        <f>$C$116/$C$108</f>
        <v>0.7586884102729171</v>
      </c>
      <c r="D118" s="4" t="inlineStr">
        <is>
          <t>—</t>
        </is>
      </c>
      <c r="E118" s="5" t="inlineStr">
        <is>
          <t>CALCULADA.</t>
        </is>
      </c>
      <c r="F118" s="6" t="inlineStr">
        <is>
          <t>Revisión de esta hoja</t>
        </is>
      </c>
    </row>
    <row r="119" spans="2:14" ht="15.45" customHeight="1" x14ac:dyDescent="0.3">
      <c r="B119" s="25" t="inlineStr">
        <is>
          <t>Revisión por penetración</t>
        </is>
      </c>
      <c r="C119" s="26" t="str">
        <f>IF($C$118&lt;=1,"CUMPLE","NO CUMPLE — aumentar h")</f>
        <v>CUMPLE</v>
      </c>
      <c r="D119" s="4" t="inlineStr">
        <is>
          <t>—</t>
        </is>
      </c>
      <c r="E119" s="5" t="inlineStr">
        <is>
          <t>vu ≤ φvc.</t>
        </is>
      </c>
      <c r="F119" s="6" t="inlineStr">
        <is>
          <t>ACI 318-19, 22.6.1 y 22.6.5</t>
        </is>
      </c>
    </row>
    <row r="121" spans="2:14" ht="18" customHeight="1" x14ac:dyDescent="0.3">
      <c r="B121" s="38" t="inlineStr">
        <is>
          <t>7. FLEXIÓN Y ARMADO — varillas ‖ X (perpendiculares al lindero)</t>
        </is>
      </c>
      <c r="C121" s="37"/>
      <c r="D121" s="37"/>
      <c r="E121" s="37"/>
      <c r="F121" s="37"/>
    </row>
    <row r="122" spans="2:14" x14ac:dyDescent="0.3">
      <c r="B122" s="1" t="inlineStr">
        <is>
          <t>Concepto</t>
        </is>
      </c>
      <c r="C122" s="1" t="inlineStr">
        <is>
          <t>Valor</t>
        </is>
      </c>
      <c r="D122" s="1" t="inlineStr">
        <is>
          <t>Unidad</t>
        </is>
      </c>
      <c r="E122" s="1" t="inlineStr">
        <is>
          <t>Cómo se calcula / de dónde sale</t>
        </is>
      </c>
      <c r="F122" s="1" t="inlineStr">
        <is>
          <t>Referencia</t>
        </is>
      </c>
    </row>
    <row r="123" spans="2:14" ht="40.2" customHeight="1" x14ac:dyDescent="0.3">
      <c r="B123" s="2" t="inlineStr">
        <is>
          <t>Mu en la cara interior del dado, ‖ X</t>
        </is>
      </c>
      <c r="C123" s="10">
        <f>MAX(0,MAX($I$62:$M$62))</f>
        <v>0</v>
      </c>
      <c r="D123" s="4" t="inlineStr">
        <is>
          <t>t·m</t>
        </is>
      </c>
      <c r="E123" s="5" t="inlineStr">
        <is>
          <t>CALCULADA. Sin contratrabe: volado desde la cara interior del dado hasta la orilla. Con contratrabe es 0: la flexión en X la toma la contratrabe y aquí va el mínimo.</t>
        </is>
      </c>
      <c r="F123" s="6" t="inlineStr">
        <is>
          <t>ACI 318-19, 13.2.6.6 y 13.2.7.1, págs. 201–202</t>
        </is>
      </c>
    </row>
    <row r="124" spans="2:14" ht="15.45" customHeight="1" x14ac:dyDescent="0.3">
      <c r="B124" s="2" t="inlineStr">
        <is>
          <t>Combinación que rige</t>
        </is>
      </c>
      <c r="C124" s="7" t="str">
        <f>IF($C$123&gt;0,INDEX($I$39:$M$39,MATCH($C$123,$I$62:$M$62,0)),"—")</f>
        <v>—</v>
      </c>
      <c r="D124" s="4" t="inlineStr">
        <is>
          <t>—</t>
        </is>
      </c>
      <c r="E124" s="5" t="inlineStr">
        <is>
          <t>CALCULADA.</t>
        </is>
      </c>
      <c r="F124" s="6" t="inlineStr">
        <is>
          <t>COMBINACIONES</t>
        </is>
      </c>
    </row>
    <row r="125" spans="2:14" ht="40.2" customHeight="1" x14ac:dyDescent="0.3">
      <c r="B125" s="2" t="inlineStr">
        <is>
          <t>Factor por franja central (zapata rectangular)</t>
        </is>
      </c>
      <c r="C125" s="10">
        <f>IF(AND($C$15="NO",$C$8&lt;$C$9),2*$C$19/($C$19+1),1)</f>
        <v>1</v>
      </c>
      <c r="D125" s="4" t="inlineStr">
        <is>
          <t>—</t>
        </is>
      </c>
      <c r="E125" s="5" t="inlineStr">
        <is>
          <t>CALCULADA = 2β/(β + 1) en la dirección corta. Sólo sin contratrabe (zapata en dos direcciones); con contratrabe el acero va repartido parejo.</t>
        </is>
      </c>
      <c r="F125" s="6" t="inlineStr">
        <is>
          <t>ACI 318-19, 13.3.3.3 y 13.3.2.2, págs. 203–204</t>
        </is>
      </c>
    </row>
    <row r="126" spans="2:14" ht="27.75" customHeight="1" x14ac:dyDescent="0.3">
      <c r="B126" s="2" t="inlineStr">
        <is>
          <t>As requerida por flexión</t>
        </is>
      </c>
      <c r="C126" s="9">
        <f>IF($C$123&lt;=0,0,IF((1-2*$C$123*100000/(DATOS!$C$86*0.85*DATOS!$C$15*($C$9*100)*$C$48^2))&lt;0,9999,0.85*DATOS!$C$15*($C$9*100)/DATOS!$C$18*$C$48*(1-SQRT((1-2*$C$123*100000/(DATOS!$C$86*0.85*DATOS!$C$15*($C$9*100)*$C$48^2))))))</f>
        <v>0</v>
      </c>
      <c r="D126" s="4" t="inlineStr">
        <is>
          <t>cm²</t>
        </is>
      </c>
      <c r="E126" s="5" t="inlineStr">
        <is>
          <t>CALCULADA con b = ancho total de la zapata. 9999 = la sección no alcanza.</t>
        </is>
      </c>
      <c r="F126" s="6" t="inlineStr">
        <is>
          <t>ACI 318-19, 22.2 y 22.3</t>
        </is>
      </c>
    </row>
    <row r="127" spans="2:14" ht="15.45" customHeight="1" x14ac:dyDescent="0.3">
      <c r="B127" s="2" t="inlineStr">
        <is>
          <t>As mínima = ρmín · b · h</t>
        </is>
      </c>
      <c r="C127" s="9">
        <f>DATOS!$C$92*$C$9*100*$C$10*100</f>
        <v>23.400000000000002</v>
      </c>
      <c r="D127" s="4" t="inlineStr">
        <is>
          <t>cm²</t>
        </is>
      </c>
      <c r="E127" s="5" t="inlineStr">
        <is>
          <t>CALCULADA.</t>
        </is>
      </c>
      <c r="F127" s="6" t="inlineStr">
        <is>
          <t>ACI 318-19, 7.6.1.1, 8.6.1.1 y 24.4.3.2</t>
        </is>
      </c>
    </row>
    <row r="128" spans="2:14" ht="15.45" customHeight="1" x14ac:dyDescent="0.3">
      <c r="B128" s="2" t="inlineStr">
        <is>
          <t>As de diseño</t>
        </is>
      </c>
      <c r="C128" s="9">
        <f>MAX($C$126,$C$127)*$C$125</f>
        <v>23.400000000000002</v>
      </c>
      <c r="D128" s="4" t="inlineStr">
        <is>
          <t>cm²</t>
        </is>
      </c>
      <c r="E128" s="5" t="inlineStr">
        <is>
          <t>CALCULADA.</t>
        </is>
      </c>
      <c r="F128" s="6" t="inlineStr">
        <is>
          <t>ACI 318-19, 13.3.3.3, pág. 204</t>
        </is>
      </c>
    </row>
    <row r="129" spans="2:14" ht="15.45" customHeight="1" x14ac:dyDescent="0.3">
      <c r="B129" s="2" t="inlineStr">
        <is>
          <t>Varillas necesarias</t>
        </is>
      </c>
      <c r="C129" s="27">
        <f>MAX(2,CEILING($C$128/$C$43,1))</f>
        <v>12</v>
      </c>
      <c r="D129" s="4" t="inlineStr">
        <is>
          <t>pzas</t>
        </is>
      </c>
      <c r="E129" s="5" t="inlineStr">
        <is>
          <t>CALCULADA.</t>
        </is>
      </c>
      <c r="F129" s="6" t="inlineStr">
        <is>
          <t>Geometría</t>
        </is>
      </c>
    </row>
    <row r="130" spans="2:14" ht="15.45" customHeight="1" x14ac:dyDescent="0.3">
      <c r="B130" s="2" t="inlineStr">
        <is>
          <t>Separación calculada</t>
        </is>
      </c>
      <c r="C130" s="11">
        <f>MAX(DATOS!$C$91,FLOOR(($C$9*100-2*$C$13-$C$42)/($C$129-1),DATOS!$C$91))</f>
        <v>20</v>
      </c>
      <c r="D130" s="4" t="inlineStr">
        <is>
          <t>cm</t>
        </is>
      </c>
      <c r="E130" s="5" t="inlineStr">
        <is>
          <t>CALCULADA y redondeada hacia abajo.</t>
        </is>
      </c>
      <c r="F130" s="6" t="inlineStr">
        <is>
          <t>Práctica de armado</t>
        </is>
      </c>
    </row>
    <row r="131" spans="2:14" ht="15.45" customHeight="1" x14ac:dyDescent="0.3">
      <c r="B131" s="2" t="inlineStr">
        <is>
          <t>Separación máxima = menor de 2h y 45 cm</t>
        </is>
      </c>
      <c r="C131" s="11">
        <f>MIN(2*$C$10*100,45)</f>
        <v>45</v>
      </c>
      <c r="D131" s="4" t="inlineStr">
        <is>
          <t>cm</t>
        </is>
      </c>
      <c r="E131" s="5" t="inlineStr">
        <is>
          <t>CALCULADA.</t>
        </is>
      </c>
      <c r="F131" s="6" t="inlineStr">
        <is>
          <t>ACI 318-19, 8.7.2.2</t>
        </is>
      </c>
    </row>
    <row r="132" spans="2:14" ht="15.45" customHeight="1" x14ac:dyDescent="0.3">
      <c r="B132" s="2" t="inlineStr">
        <is>
          <t>Separación mínima centro a centro</t>
        </is>
      </c>
      <c r="C132" s="9">
        <f>$C$42+MAX(2.5,$C$42,4/3*DATOS!$C$25/10)</f>
        <v>4.123333333333333</v>
      </c>
      <c r="D132" s="4" t="inlineStr">
        <is>
          <t>cm</t>
        </is>
      </c>
      <c r="E132" s="5" t="inlineStr">
        <is>
          <t>CALCULADA = db + máx(25 mm, db, 4/3 del agregado).</t>
        </is>
      </c>
      <c r="F132" s="6" t="inlineStr">
        <is>
          <t>ACI 318-19, 25.2.1</t>
        </is>
      </c>
    </row>
    <row r="133" spans="2:14" ht="15.45" customHeight="1" x14ac:dyDescent="0.3">
      <c r="B133" s="25" t="inlineStr">
        <is>
          <t>SEPARACIÓN ADOPTADA</t>
        </is>
      </c>
      <c r="C133" s="28">
        <f>IF($C$38&gt;0,$C$38,MIN($C$130,FLOOR($C$131,DATOS!$C$91)))</f>
        <v>20</v>
      </c>
      <c r="D133" s="4" t="inlineStr">
        <is>
          <t>cm</t>
        </is>
      </c>
      <c r="E133" s="5" t="inlineStr">
        <is>
          <t>La que tú fijaste en la sección 2 o la calculada.</t>
        </is>
      </c>
      <c r="F133" s="6" t="inlineStr">
        <is>
          <t>Práctica de armado</t>
        </is>
      </c>
    </row>
    <row r="134" spans="2:14" ht="15.45" customHeight="1" x14ac:dyDescent="0.3">
      <c r="B134" s="2" t="inlineStr">
        <is>
          <t>Varillas que entran con esa separación</t>
        </is>
      </c>
      <c r="C134" s="27">
        <f>INT(($C$9*100-2*$C$13-$C$42)/$C$133)+1</f>
        <v>13</v>
      </c>
      <c r="D134" s="4" t="inlineStr">
        <is>
          <t>pzas</t>
        </is>
      </c>
      <c r="E134" s="5" t="inlineStr">
        <is>
          <t>CALCULADA.</t>
        </is>
      </c>
      <c r="F134" s="6" t="inlineStr">
        <is>
          <t>Práctica de armado</t>
        </is>
      </c>
    </row>
    <row r="135" spans="2:14" ht="15.45" customHeight="1" x14ac:dyDescent="0.3">
      <c r="B135" s="2" t="inlineStr">
        <is>
          <t>As colocada</t>
        </is>
      </c>
      <c r="C135" s="9">
        <f>$C$134*$C$43</f>
        <v>25.74</v>
      </c>
      <c r="D135" s="4" t="inlineStr">
        <is>
          <t>cm²</t>
        </is>
      </c>
      <c r="E135" s="5" t="inlineStr">
        <is>
          <t>CALCULADA.</t>
        </is>
      </c>
      <c r="F135" s="6" t="inlineStr">
        <is>
          <t>Geometría</t>
        </is>
      </c>
    </row>
    <row r="136" spans="2:14" ht="15.45" customHeight="1" x14ac:dyDescent="0.3">
      <c r="B136" s="25" t="inlineStr">
        <is>
          <t>¿El armado cubre el As de diseño?</t>
        </is>
      </c>
      <c r="C136" s="26" t="str">
        <f>IF($C$135&gt;=$C$128,"CUMPLE","NO CUMPLE — cerrar la separación")</f>
        <v>CUMPLE</v>
      </c>
      <c r="D136" s="4" t="inlineStr">
        <is>
          <t>—</t>
        </is>
      </c>
      <c r="E136" s="5" t="inlineStr">
        <is>
          <t>As colocada ≥ As de diseño.</t>
        </is>
      </c>
      <c r="F136" s="6" t="inlineStr">
        <is>
          <t>ACI 318-19, 8.6.1.1 y 13.3.3.3</t>
        </is>
      </c>
    </row>
    <row r="137" spans="2:14" ht="15.45" customHeight="1" x14ac:dyDescent="0.3">
      <c r="B137" s="25" t="inlineStr">
        <is>
          <t>¿La separación está dentro de los límites?</t>
        </is>
      </c>
      <c r="C137" s="26" t="str">
        <f>IF($C$133&gt;$C$131,"NO CUMPLE — mayor que la máxima",IF($C$133&lt;$C$132,"NO CUMPLE — muy juntas: usar varilla más gruesa","CUMPLE"))</f>
        <v>CUMPLE</v>
      </c>
      <c r="D137" s="4" t="inlineStr">
        <is>
          <t>—</t>
        </is>
      </c>
      <c r="E137" s="5" t="inlineStr">
        <is>
          <t>Entre la mínima y la máxima.</t>
        </is>
      </c>
      <c r="F137" s="6" t="inlineStr">
        <is>
          <t>ACI 318-19, 8.7.2.2 y 25.2.1</t>
        </is>
      </c>
    </row>
    <row r="138" spans="2:14" ht="15.45" customHeight="1" x14ac:dyDescent="0.3">
      <c r="B138" s="2" t="inlineStr">
        <is>
          <t>a — profundidad del bloque de compresión</t>
        </is>
      </c>
      <c r="C138" s="10">
        <f>$C$135*DATOS!$C$18/(0.85*DATOS!$C$15*$C$9*100)</f>
        <v>1.956705882352941</v>
      </c>
      <c r="D138" s="4" t="inlineStr">
        <is>
          <t>cm</t>
        </is>
      </c>
      <c r="E138" s="5" t="inlineStr">
        <is>
          <t>CALCULADA.</t>
        </is>
      </c>
      <c r="F138" s="6" t="inlineStr">
        <is>
          <t>ACI 318-19, 22.2.2.4.1</t>
        </is>
      </c>
    </row>
    <row r="139" spans="2:14" ht="15.45" customHeight="1" x14ac:dyDescent="0.3">
      <c r="B139" s="2" t="inlineStr">
        <is>
          <t>εt — deformación del acero de tensión</t>
        </is>
      </c>
      <c r="C139" s="13">
        <f>0.003*($C$48-$C$138/DATOS!$C$22)/($C$138/DATOS!$C$22)</f>
        <v>0.04927829635642136</v>
      </c>
      <c r="D139" s="4" t="inlineStr">
        <is>
          <t>—</t>
        </is>
      </c>
      <c r="E139" s="5" t="inlineStr">
        <is>
          <t>CALCULADA con c = a/β₁.</t>
        </is>
      </c>
      <c r="F139" s="6" t="inlineStr">
        <is>
          <t>ACI 318-19, 22.2.2.1</t>
        </is>
      </c>
    </row>
    <row r="140" spans="2:14" ht="15.45" customHeight="1" x14ac:dyDescent="0.3">
      <c r="B140" s="2" t="inlineStr">
        <is>
          <t>φ según εt</t>
        </is>
      </c>
      <c r="C140" s="9">
        <f>IF($C$139&gt;=DATOS!$C$21+0.003,0.9,IF($C$139&lt;=DATOS!$C$21,0.65,0.65+0.25*($C$139-DATOS!$C$21)/0.003))</f>
        <v>0.9</v>
      </c>
      <c r="D140" s="4" t="inlineStr">
        <is>
          <t>—</t>
        </is>
      </c>
      <c r="E140" s="5" t="inlineStr">
        <is>
          <t>CALCULADA: 0.90 si εt ≥ εty + 0.003.</t>
        </is>
      </c>
      <c r="F140" s="6" t="inlineStr">
        <is>
          <t>ACI 318-19, Tabla 21.2.2</t>
        </is>
      </c>
    </row>
    <row r="141" spans="2:14" ht="15.45" customHeight="1" x14ac:dyDescent="0.3">
      <c r="B141" s="2" t="inlineStr">
        <is>
          <t>φMn con el armado colocado</t>
        </is>
      </c>
      <c r="C141" s="10">
        <f>$C$140*$C$135*DATOS!$C$18*($C$48-$C$138/2)/100000</f>
        <v>38.07886176211765</v>
      </c>
      <c r="D141" s="4" t="inlineStr">
        <is>
          <t>t·m</t>
        </is>
      </c>
      <c r="E141" s="5" t="inlineStr">
        <is>
          <t>CALCULADA.</t>
        </is>
      </c>
      <c r="F141" s="6" t="inlineStr">
        <is>
          <t>ACI 318-19, 22.3</t>
        </is>
      </c>
    </row>
    <row r="142" spans="2:14" ht="27.75" customHeight="1" x14ac:dyDescent="0.3">
      <c r="B142" s="25" t="inlineStr">
        <is>
          <t>φMn contra Mu y sección controlada por tensión</t>
        </is>
      </c>
      <c r="C142" s="26" t="str">
        <f>IF(AND($C$141&gt;=$C$123,$C$139&gt;=DATOS!$C$21+0.003),"CUMPLE","NO CUMPLE — aumentar h o el armado")</f>
        <v>CUMPLE</v>
      </c>
      <c r="D142" s="4" t="inlineStr">
        <is>
          <t>—</t>
        </is>
      </c>
      <c r="E142" s="5" t="inlineStr">
        <is>
          <t>φMn ≥ Mu con φ = 0.90.</t>
        </is>
      </c>
      <c r="F142" s="6" t="inlineStr">
        <is>
          <t>ACI 318-19, 7.3.3.1, 21.2.2 y 22.3</t>
        </is>
      </c>
    </row>
    <row r="143" spans="2:14" ht="27.75" customHeight="1" x14ac:dyDescent="0.3">
      <c r="B143" s="25" t="inlineStr">
        <is>
          <t>ARMADO ‖ X</t>
        </is>
      </c>
      <c r="C143" s="26" t="str">
        <f>"#"&amp;$C$35&amp;" @ "&amp;TEXT($C$133,"0.0")&amp;" cm  ("&amp;$C$134&amp;" pzas)"</f>
        <v>#5 @ 20.0 cm  (13 pzas)</v>
      </c>
      <c r="D143" s="4" t="inlineStr">
        <is>
          <t>—</t>
        </is>
      </c>
      <c r="E143" s="5" t="inlineStr">
        <is>
          <t>Es lo que va al plano.</t>
        </is>
      </c>
      <c r="F143" s="6" t="inlineStr">
        <is>
          <t>Resultado</t>
        </is>
      </c>
    </row>
    <row r="145" spans="2:14" ht="18" customHeight="1" x14ac:dyDescent="0.3">
      <c r="B145" s="38" t="inlineStr">
        <is>
          <t>8. FLEXIÓN Y ARMADO — varillas ‖ Y (paralelas al lindero)</t>
        </is>
      </c>
      <c r="C145" s="37"/>
      <c r="D145" s="37"/>
      <c r="E145" s="37"/>
      <c r="F145" s="37"/>
    </row>
    <row r="146" spans="2:14" x14ac:dyDescent="0.3">
      <c r="B146" s="1" t="inlineStr">
        <is>
          <t>Concepto</t>
        </is>
      </c>
      <c r="C146" s="1" t="inlineStr">
        <is>
          <t>Valor</t>
        </is>
      </c>
      <c r="D146" s="1" t="inlineStr">
        <is>
          <t>Unidad</t>
        </is>
      </c>
      <c r="E146" s="1" t="inlineStr">
        <is>
          <t>Cómo se calcula / de dónde sale</t>
        </is>
      </c>
      <c r="F146" s="1" t="inlineStr">
        <is>
          <t>Referencia</t>
        </is>
      </c>
    </row>
    <row r="147" spans="2:14" ht="40.2" customHeight="1" x14ac:dyDescent="0.3">
      <c r="B147" s="2" t="inlineStr">
        <is>
          <t>Mu en la cara del apoyo, ‖ Y</t>
        </is>
      </c>
      <c r="C147" s="10">
        <f>MAX(0,MAX($I$72:$M$72))</f>
        <v>19.048539486725737</v>
      </c>
      <c r="D147" s="4" t="inlineStr">
        <is>
          <t>t·m</t>
        </is>
      </c>
      <c r="E147" s="5" t="inlineStr">
        <is>
          <t>CALCULADA con la presión neta factorizada en todo el ancho Lx. Con contratrabe la zapata trabaja en una dirección: dos volados a los lados de la contratrabe.</t>
        </is>
      </c>
      <c r="F147" s="6" t="inlineStr">
        <is>
          <t>ACI 318-19, 13.2.6.6, 13.2.7.1 y 13.3.2, págs. 201–203</t>
        </is>
      </c>
    </row>
    <row r="148" spans="2:14" ht="15.45" customHeight="1" x14ac:dyDescent="0.3">
      <c r="B148" s="2" t="inlineStr">
        <is>
          <t>Combinación que rige</t>
        </is>
      </c>
      <c r="C148" s="7" t="str">
        <f>IF($C$147&gt;0,INDEX($I$39:$M$39,MATCH($C$147,$I$72:$M$72,0)),"—")</f>
        <v>U3</v>
      </c>
      <c r="D148" s="4" t="inlineStr">
        <is>
          <t>—</t>
        </is>
      </c>
      <c r="E148" s="5" t="inlineStr">
        <is>
          <t>CALCULADA.</t>
        </is>
      </c>
      <c r="F148" s="6" t="inlineStr">
        <is>
          <t>COMBINACIONES</t>
        </is>
      </c>
    </row>
    <row r="149" spans="2:14" ht="40.2" customHeight="1" x14ac:dyDescent="0.3">
      <c r="B149" s="2" t="inlineStr">
        <is>
          <t>Factor por franja central (zapata rectangular)</t>
        </is>
      </c>
      <c r="C149" s="10">
        <f>IF(AND($C$15="NO",$C$9&lt;$C$8),2*$C$19/($C$19+1),1)</f>
        <v>1</v>
      </c>
      <c r="D149" s="4" t="inlineStr">
        <is>
          <t>—</t>
        </is>
      </c>
      <c r="E149" s="5" t="inlineStr">
        <is>
          <t>CALCULADA = 2β/(β + 1) en la dirección corta. Sólo sin contratrabe (zapata en dos direcciones); con contratrabe el acero va repartido parejo.</t>
        </is>
      </c>
      <c r="F149" s="6" t="inlineStr">
        <is>
          <t>ACI 318-19, 13.3.3.3 y 13.3.2.2, págs. 203–204</t>
        </is>
      </c>
    </row>
    <row r="150" spans="2:14" ht="27.75" customHeight="1" x14ac:dyDescent="0.3">
      <c r="B150" s="2" t="inlineStr">
        <is>
          <t>As requerida por flexión</t>
        </is>
      </c>
      <c r="C150" s="9">
        <f>IF($C$147&lt;=0,0,IF((1-2*$C$147*100000/(DATOS!$C$86*0.85*DATOS!$C$15*($C$8*100)*$C$49^2))&lt;0,9999,0.85*DATOS!$C$15*($C$8*100)/DATOS!$C$18*$C$49*(1-SQRT((1-2*$C$147*100000/(DATOS!$C$86*0.85*DATOS!$C$15*($C$8*100)*$C$49^2))))))</f>
        <v>12.281767840992545</v>
      </c>
      <c r="D150" s="4" t="inlineStr">
        <is>
          <t>cm²</t>
        </is>
      </c>
      <c r="E150" s="5" t="inlineStr">
        <is>
          <t>CALCULADA con b = ancho total de la zapata. 9999 = la sección no alcanza.</t>
        </is>
      </c>
      <c r="F150" s="6" t="inlineStr">
        <is>
          <t>ACI 318-19, 22.2 y 22.3</t>
        </is>
      </c>
    </row>
    <row r="151" spans="2:14" ht="15.45" customHeight="1" x14ac:dyDescent="0.3">
      <c r="B151" s="2" t="inlineStr">
        <is>
          <t>As mínima = ρmín · b · h</t>
        </is>
      </c>
      <c r="C151" s="9">
        <f>DATOS!$C$92*$C$8*100*$C$10*100</f>
        <v>16.2</v>
      </c>
      <c r="D151" s="4" t="inlineStr">
        <is>
          <t>cm²</t>
        </is>
      </c>
      <c r="E151" s="5" t="inlineStr">
        <is>
          <t>CALCULADA.</t>
        </is>
      </c>
      <c r="F151" s="6" t="inlineStr">
        <is>
          <t>ACI 318-19, 7.6.1.1, 8.6.1.1 y 24.4.3.2</t>
        </is>
      </c>
    </row>
    <row r="152" spans="2:14" ht="15.45" customHeight="1" x14ac:dyDescent="0.3">
      <c r="B152" s="2" t="inlineStr">
        <is>
          <t>As de diseño</t>
        </is>
      </c>
      <c r="C152" s="9">
        <f>MAX($C$150,$C$151)*$C$149</f>
        <v>16.2</v>
      </c>
      <c r="D152" s="4" t="inlineStr">
        <is>
          <t>cm²</t>
        </is>
      </c>
      <c r="E152" s="5" t="inlineStr">
        <is>
          <t>CALCULADA.</t>
        </is>
      </c>
      <c r="F152" s="6" t="inlineStr">
        <is>
          <t>ACI 318-19, 13.3.3.3, pág. 204</t>
        </is>
      </c>
    </row>
    <row r="153" spans="2:14" ht="15.45" customHeight="1" x14ac:dyDescent="0.3">
      <c r="B153" s="2" t="inlineStr">
        <is>
          <t>Varillas necesarias</t>
        </is>
      </c>
      <c r="C153" s="27">
        <f>MAX(2,CEILING($C$152/$C$45,1))</f>
        <v>9</v>
      </c>
      <c r="D153" s="4" t="inlineStr">
        <is>
          <t>pzas</t>
        </is>
      </c>
      <c r="E153" s="5" t="inlineStr">
        <is>
          <t>CALCULADA.</t>
        </is>
      </c>
      <c r="F153" s="6" t="inlineStr">
        <is>
          <t>Geometría</t>
        </is>
      </c>
    </row>
    <row r="154" spans="2:14" ht="15.45" customHeight="1" x14ac:dyDescent="0.3">
      <c r="B154" s="2" t="inlineStr">
        <is>
          <t>Separación calculada</t>
        </is>
      </c>
      <c r="C154" s="11">
        <f>MAX(DATOS!$C$91,FLOOR(($C$8*100-2*$C$13-$C$44)/($C$153-1),DATOS!$C$91))</f>
        <v>20</v>
      </c>
      <c r="D154" s="4" t="inlineStr">
        <is>
          <t>cm</t>
        </is>
      </c>
      <c r="E154" s="5" t="inlineStr">
        <is>
          <t>CALCULADA y redondeada hacia abajo.</t>
        </is>
      </c>
      <c r="F154" s="6" t="inlineStr">
        <is>
          <t>Práctica de armado</t>
        </is>
      </c>
    </row>
    <row r="155" spans="2:14" ht="15.45" customHeight="1" x14ac:dyDescent="0.3">
      <c r="B155" s="2" t="inlineStr">
        <is>
          <t>Separación máxima = menor de 2h y 45 cm</t>
        </is>
      </c>
      <c r="C155" s="11">
        <f>MIN(2*$C$10*100,45)</f>
        <v>45</v>
      </c>
      <c r="D155" s="4" t="inlineStr">
        <is>
          <t>cm</t>
        </is>
      </c>
      <c r="E155" s="5" t="inlineStr">
        <is>
          <t>CALCULADA.</t>
        </is>
      </c>
      <c r="F155" s="6" t="inlineStr">
        <is>
          <t>ACI 318-19, 8.7.2.2</t>
        </is>
      </c>
    </row>
    <row r="156" spans="2:14" ht="15.45" customHeight="1" x14ac:dyDescent="0.3">
      <c r="B156" s="2" t="inlineStr">
        <is>
          <t>Separación mínima centro a centro</t>
        </is>
      </c>
      <c r="C156" s="9">
        <f>$C$44+MAX(2.5,$C$44,4/3*DATOS!$C$25/10)</f>
        <v>4.123333333333333</v>
      </c>
      <c r="D156" s="4" t="inlineStr">
        <is>
          <t>cm</t>
        </is>
      </c>
      <c r="E156" s="5" t="inlineStr">
        <is>
          <t>CALCULADA = db + máx(25 mm, db, 4/3 del agregado).</t>
        </is>
      </c>
      <c r="F156" s="6" t="inlineStr">
        <is>
          <t>ACI 318-19, 25.2.1</t>
        </is>
      </c>
    </row>
    <row r="157" spans="2:14" ht="15.45" customHeight="1" x14ac:dyDescent="0.3">
      <c r="B157" s="25" t="inlineStr">
        <is>
          <t>SEPARACIÓN ADOPTADA</t>
        </is>
      </c>
      <c r="C157" s="28">
        <f>IF($C$39&gt;0,$C$39,MIN($C$154,FLOOR($C$155,DATOS!$C$91)))</f>
        <v>20</v>
      </c>
      <c r="D157" s="4" t="inlineStr">
        <is>
          <t>cm</t>
        </is>
      </c>
      <c r="E157" s="5" t="inlineStr">
        <is>
          <t>La que tú fijaste en la sección 2 o la calculada.</t>
        </is>
      </c>
      <c r="F157" s="6" t="inlineStr">
        <is>
          <t>Práctica de armado</t>
        </is>
      </c>
    </row>
    <row r="158" spans="2:14" ht="15.45" customHeight="1" x14ac:dyDescent="0.3">
      <c r="B158" s="2" t="inlineStr">
        <is>
          <t>Varillas que entran con esa separación</t>
        </is>
      </c>
      <c r="C158" s="27">
        <f>INT(($C$8*100-2*$C$13-$C$44)/$C$157)+1</f>
        <v>9</v>
      </c>
      <c r="D158" s="4" t="inlineStr">
        <is>
          <t>pzas</t>
        </is>
      </c>
      <c r="E158" s="5" t="inlineStr">
        <is>
          <t>CALCULADA.</t>
        </is>
      </c>
      <c r="F158" s="6" t="inlineStr">
        <is>
          <t>Práctica de armado</t>
        </is>
      </c>
    </row>
    <row r="159" spans="2:14" ht="15.45" customHeight="1" x14ac:dyDescent="0.3">
      <c r="B159" s="2" t="inlineStr">
        <is>
          <t>As colocada</t>
        </is>
      </c>
      <c r="C159" s="9">
        <f>$C$158*$C$45</f>
        <v>17.82</v>
      </c>
      <c r="D159" s="4" t="inlineStr">
        <is>
          <t>cm²</t>
        </is>
      </c>
      <c r="E159" s="5" t="inlineStr">
        <is>
          <t>CALCULADA.</t>
        </is>
      </c>
      <c r="F159" s="6" t="inlineStr">
        <is>
          <t>Geometría</t>
        </is>
      </c>
    </row>
    <row r="160" spans="2:14" ht="15.45" customHeight="1" x14ac:dyDescent="0.3">
      <c r="B160" s="25" t="inlineStr">
        <is>
          <t>¿El armado cubre el As de diseño?</t>
        </is>
      </c>
      <c r="C160" s="26" t="str">
        <f>IF($C$159&gt;=$C$152,"CUMPLE","NO CUMPLE — cerrar la separación")</f>
        <v>CUMPLE</v>
      </c>
      <c r="D160" s="4" t="inlineStr">
        <is>
          <t>—</t>
        </is>
      </c>
      <c r="E160" s="5" t="inlineStr">
        <is>
          <t>As colocada ≥ As de diseño.</t>
        </is>
      </c>
      <c r="F160" s="6" t="inlineStr">
        <is>
          <t>ACI 318-19, 8.6.1.1 y 13.3.3.3</t>
        </is>
      </c>
    </row>
    <row r="161" spans="2:14" ht="15.45" customHeight="1" x14ac:dyDescent="0.3">
      <c r="B161" s="25" t="inlineStr">
        <is>
          <t>¿La separación está dentro de los límites?</t>
        </is>
      </c>
      <c r="C161" s="26" t="str">
        <f>IF($C$157&gt;$C$155,"NO CUMPLE — mayor que la máxima",IF($C$157&lt;$C$156,"NO CUMPLE — muy juntas: usar varilla más gruesa","CUMPLE"))</f>
        <v>CUMPLE</v>
      </c>
      <c r="D161" s="4" t="inlineStr">
        <is>
          <t>—</t>
        </is>
      </c>
      <c r="E161" s="5" t="inlineStr">
        <is>
          <t>Entre la mínima y la máxima.</t>
        </is>
      </c>
      <c r="F161" s="6" t="inlineStr">
        <is>
          <t>ACI 318-19, 8.7.2.2 y 25.2.1</t>
        </is>
      </c>
    </row>
    <row r="162" spans="2:14" ht="15.45" customHeight="1" x14ac:dyDescent="0.3">
      <c r="B162" s="2" t="inlineStr">
        <is>
          <t>a — profundidad del bloque de compresión</t>
        </is>
      </c>
      <c r="C162" s="10">
        <f>$C$159*DATOS!$C$18/(0.85*DATOS!$C$15*$C$8*100)</f>
        <v>1.956705882352941</v>
      </c>
      <c r="D162" s="4" t="inlineStr">
        <is>
          <t>cm</t>
        </is>
      </c>
      <c r="E162" s="5" t="inlineStr">
        <is>
          <t>CALCULADA.</t>
        </is>
      </c>
      <c r="F162" s="6" t="inlineStr">
        <is>
          <t>ACI 318-19, 22.2.2.4.1</t>
        </is>
      </c>
    </row>
    <row r="163" spans="2:14" ht="15.45" customHeight="1" x14ac:dyDescent="0.3">
      <c r="B163" s="2" t="inlineStr">
        <is>
          <t>εt — deformación del acero de tensión</t>
        </is>
      </c>
      <c r="C163" s="13">
        <f>0.003*($C$49-$C$162/DATOS!$C$22)/($C$162/DATOS!$C$22)</f>
        <v>0.051350401334776336</v>
      </c>
      <c r="D163" s="4" t="inlineStr">
        <is>
          <t>—</t>
        </is>
      </c>
      <c r="E163" s="5" t="inlineStr">
        <is>
          <t>CALCULADA con c = a/β₁.</t>
        </is>
      </c>
      <c r="F163" s="6" t="inlineStr">
        <is>
          <t>ACI 318-19, 22.2.2.1</t>
        </is>
      </c>
    </row>
    <row r="164" spans="2:14" ht="15.45" customHeight="1" x14ac:dyDescent="0.3">
      <c r="B164" s="2" t="inlineStr">
        <is>
          <t>φ según εt</t>
        </is>
      </c>
      <c r="C164" s="9">
        <f>IF($C$163&gt;=DATOS!$C$21+0.003,0.9,IF($C$163&lt;=DATOS!$C$21,0.65,0.65+0.25*($C$163-DATOS!$C$21)/0.003))</f>
        <v>0.9</v>
      </c>
      <c r="D164" s="4" t="inlineStr">
        <is>
          <t>—</t>
        </is>
      </c>
      <c r="E164" s="5" t="inlineStr">
        <is>
          <t>CALCULADA: 0.90 si εt ≥ εty + 0.003.</t>
        </is>
      </c>
      <c r="F164" s="6" t="inlineStr">
        <is>
          <t>ACI 318-19, Tabla 21.2.2</t>
        </is>
      </c>
    </row>
    <row r="165" spans="2:14" ht="15.45" customHeight="1" x14ac:dyDescent="0.3">
      <c r="B165" s="2" t="inlineStr">
        <is>
          <t>φMn con el armado colocado</t>
        </is>
      </c>
      <c r="C165" s="10">
        <f>$C$164*$C$159*DATOS!$C$18*($C$49-$C$162/2)/100000</f>
        <v>27.433306552235297</v>
      </c>
      <c r="D165" s="4" t="inlineStr">
        <is>
          <t>t·m</t>
        </is>
      </c>
      <c r="E165" s="5" t="inlineStr">
        <is>
          <t>CALCULADA.</t>
        </is>
      </c>
      <c r="F165" s="6" t="inlineStr">
        <is>
          <t>ACI 318-19, 22.3</t>
        </is>
      </c>
    </row>
    <row r="166" spans="2:14" ht="27.75" customHeight="1" x14ac:dyDescent="0.3">
      <c r="B166" s="25" t="inlineStr">
        <is>
          <t>φMn contra Mu y sección controlada por tensión</t>
        </is>
      </c>
      <c r="C166" s="26" t="str">
        <f>IF(AND($C$165&gt;=$C$147,$C$163&gt;=DATOS!$C$21+0.003),"CUMPLE","NO CUMPLE — aumentar h o el armado")</f>
        <v>CUMPLE</v>
      </c>
      <c r="D166" s="4" t="inlineStr">
        <is>
          <t>—</t>
        </is>
      </c>
      <c r="E166" s="5" t="inlineStr">
        <is>
          <t>φMn ≥ Mu con φ = 0.90.</t>
        </is>
      </c>
      <c r="F166" s="6" t="inlineStr">
        <is>
          <t>ACI 318-19, 7.3.3.1, 21.2.2 y 22.3</t>
        </is>
      </c>
    </row>
    <row r="167" spans="2:14" ht="27.75" customHeight="1" x14ac:dyDescent="0.3">
      <c r="B167" s="25" t="inlineStr">
        <is>
          <t>ARMADO ‖ Y</t>
        </is>
      </c>
      <c r="C167" s="26" t="str">
        <f>"#"&amp;$C$36&amp;" @ "&amp;TEXT($C$157,"0.0")&amp;" cm  ("&amp;$C$158&amp;" pzas)"</f>
        <v>#5 @ 20.0 cm  (9 pzas)</v>
      </c>
      <c r="D167" s="4" t="inlineStr">
        <is>
          <t>—</t>
        </is>
      </c>
      <c r="E167" s="5" t="inlineStr">
        <is>
          <t>Es lo que va al plano.</t>
        </is>
      </c>
      <c r="F167" s="6" t="inlineStr">
        <is>
          <t>Resultado</t>
        </is>
      </c>
    </row>
    <row r="169" spans="2:14" ht="18" customHeight="1" x14ac:dyDescent="0.3">
      <c r="B169" s="38" t="inlineStr">
        <is>
          <t>9. CORTANTE EN UNA DIRECCIÓN — sección crítica a d de la cara del apoyo</t>
        </is>
      </c>
      <c r="C169" s="37"/>
      <c r="D169" s="37"/>
      <c r="E169" s="37"/>
      <c r="F169" s="37"/>
    </row>
    <row r="170" spans="2:14" x14ac:dyDescent="0.3">
      <c r="B170" s="1" t="inlineStr">
        <is>
          <t>Concepto</t>
        </is>
      </c>
      <c r="C170" s="1" t="inlineStr">
        <is>
          <t>Valor</t>
        </is>
      </c>
      <c r="D170" s="1" t="inlineStr">
        <is>
          <t>Unidad</t>
        </is>
      </c>
      <c r="E170" s="1" t="inlineStr">
        <is>
          <t>Cómo se calcula / de dónde sale</t>
        </is>
      </c>
      <c r="F170" s="1" t="inlineStr">
        <is>
          <t>Referencia</t>
        </is>
      </c>
    </row>
    <row r="171" spans="2:14" ht="40.2" customHeight="1" x14ac:dyDescent="0.3">
      <c r="B171" s="2" t="inlineStr">
        <is>
          <t>Vu en la sección crítica, dirección X</t>
        </is>
      </c>
      <c r="C171" s="10">
        <f>MAX(0,MAX($I$64:$M$64))</f>
        <v>0</v>
      </c>
      <c r="D171" s="4" t="inlineStr">
        <is>
          <t>t</t>
        </is>
      </c>
      <c r="E171" s="5" t="inlineStr">
        <is>
          <t>CALCULADA con la presión neta factorizada más allá de la sección crítica, en todo el ancho Ly. Con contratrabe es 0 (lo toma la contratrabe).</t>
        </is>
      </c>
      <c r="F171" s="6" t="inlineStr">
        <is>
          <t>ACI 318-19, 13.2.7.2, pág. 202</t>
        </is>
      </c>
    </row>
    <row r="172" spans="2:14" ht="15.45" customHeight="1" x14ac:dyDescent="0.3">
      <c r="B172" s="2" t="inlineStr">
        <is>
          <t>ρw con el armado colocado ‖ X</t>
        </is>
      </c>
      <c r="C172" s="13">
        <f>$C$135/($C$9*100*$C$48)</f>
        <v>0.0024679047737753957</v>
      </c>
      <c r="D172" s="4" t="inlineStr">
        <is>
          <t>—</t>
        </is>
      </c>
      <c r="E172" s="5" t="inlineStr">
        <is>
          <t>CALCULADA = As / (b d).</t>
        </is>
      </c>
      <c r="F172" s="6" t="inlineStr">
        <is>
          <t>ACI 318-19, 22.5.5.1</t>
        </is>
      </c>
    </row>
    <row r="173" spans="2:14" ht="15.45" customHeight="1" x14ac:dyDescent="0.3">
      <c r="B173" s="2" t="inlineStr">
        <is>
          <t>λs para dx</t>
        </is>
      </c>
      <c r="C173" s="10">
        <f>IF(DATOS!$C$90="SÍ",1,MIN(1,SQRT(2/(1+0.004*$C$48*10))))</f>
        <v>1</v>
      </c>
      <c r="D173" s="4" t="inlineStr">
        <is>
          <t>—</t>
        </is>
      </c>
      <c r="E173" s="5" t="inlineStr">
        <is>
          <t>CALCULADA.</t>
        </is>
      </c>
      <c r="F173" s="6" t="inlineStr">
        <is>
          <t>ACI 318-19, 13.2.6.2, pág. 200</t>
        </is>
      </c>
    </row>
    <row r="174" spans="2:14" ht="27.75" customHeight="1" x14ac:dyDescent="0.3">
      <c r="B174" s="2" t="inlineStr">
        <is>
          <t>Vc = 0.66 λs λ ρw^⅓ √f'c b d</t>
        </is>
      </c>
      <c r="C174" s="10">
        <f>0.66*$C$173*DATOS!$C$23*$C$172^(1/3)*DATOS!$C$17*DATOS!$C$89*$C$9*100*$C$48/1000</f>
        <v>46.96893206555144</v>
      </c>
      <c r="D174" s="4" t="inlineStr">
        <is>
          <t>t</t>
        </is>
      </c>
      <c r="E174" s="5" t="inlineStr">
        <is>
          <t>CALCULADA en MPa → kg/cm² → t. Miembros sin refuerzo por cortante.</t>
        </is>
      </c>
      <c r="F174" s="6" t="inlineStr">
        <is>
          <t>ACI 318-19, Tabla 22.5.5.1(c)</t>
        </is>
      </c>
    </row>
    <row r="175" spans="2:14" ht="15.45" customHeight="1" x14ac:dyDescent="0.3">
      <c r="B175" s="2" t="inlineStr">
        <is>
          <t>Vc máximo = 0.42 λ √f'c b d</t>
        </is>
      </c>
      <c r="C175" s="10">
        <f>0.42*DATOS!$C$23*DATOS!$C$17*DATOS!$C$89*$C$9*100*$C$48/1000</f>
        <v>221.1769718937852</v>
      </c>
      <c r="D175" s="4" t="inlineStr">
        <is>
          <t>t</t>
        </is>
      </c>
      <c r="E175" s="5" t="inlineStr">
        <is>
          <t>CALCULADA.</t>
        </is>
      </c>
      <c r="F175" s="6" t="inlineStr">
        <is>
          <t>ACI 318-19, 22.5.5.1.1</t>
        </is>
      </c>
    </row>
    <row r="176" spans="2:14" ht="15.45" customHeight="1" x14ac:dyDescent="0.3">
      <c r="B176" s="2" t="inlineStr">
        <is>
          <t>φVc</t>
        </is>
      </c>
      <c r="C176" s="10">
        <f>DATOS!$C$87*MIN($C$174,$C$175)</f>
        <v>35.226699049163585</v>
      </c>
      <c r="D176" s="4" t="inlineStr">
        <is>
          <t>t</t>
        </is>
      </c>
      <c r="E176" s="5" t="inlineStr">
        <is>
          <t>CALCULADA con φ = 0.75.</t>
        </is>
      </c>
      <c r="F176" s="6" t="inlineStr">
        <is>
          <t>ACI 318-19, Tabla 21.2.1(b)</t>
        </is>
      </c>
    </row>
    <row r="177" spans="2:14" ht="15.45" customHeight="1" x14ac:dyDescent="0.3">
      <c r="B177" s="25" t="inlineStr">
        <is>
          <t>Revisión por cortante en una dirección, X</t>
        </is>
      </c>
      <c r="C177" s="26" t="str">
        <f>IF($C$176&gt;=$C$171,"CUMPLE","NO CUMPLE — aumentar h o el armado")</f>
        <v>CUMPLE</v>
      </c>
      <c r="D177" s="4" t="inlineStr">
        <is>
          <t>—</t>
        </is>
      </c>
      <c r="E177" s="5" t="inlineStr">
        <is>
          <t>Vu ≤ φVc.</t>
        </is>
      </c>
      <c r="F177" s="6" t="inlineStr">
        <is>
          <t>ACI 318-19, 22.5.1.1</t>
        </is>
      </c>
    </row>
    <row r="178" spans="2:14" ht="27.75" customHeight="1" x14ac:dyDescent="0.3">
      <c r="B178" s="2" t="inlineStr">
        <is>
          <t>Vu en la sección crítica, dirección Y</t>
        </is>
      </c>
      <c r="C178" s="10">
        <f>MAX(0,MAX($I$75:$M$75))</f>
        <v>21.631069586785934</v>
      </c>
      <c r="D178" s="4" t="inlineStr">
        <is>
          <t>t</t>
        </is>
      </c>
      <c r="E178" s="5" t="inlineStr">
        <is>
          <t>CALCULADA con la presión neta factorizada más allá de la sección crítica, en todo el ancho Lx.</t>
        </is>
      </c>
      <c r="F178" s="6" t="inlineStr">
        <is>
          <t>ACI 318-19, 13.2.7.2, pág. 202</t>
        </is>
      </c>
    </row>
    <row r="179" spans="2:14" ht="15.45" customHeight="1" x14ac:dyDescent="0.3">
      <c r="B179" s="2" t="inlineStr">
        <is>
          <t>ρw con el armado colocado ‖ Y</t>
        </is>
      </c>
      <c r="C179" s="13">
        <f>$C$159/($C$8*100*$C$49)</f>
        <v>0.002373816089197938</v>
      </c>
      <c r="D179" s="4" t="inlineStr">
        <is>
          <t>—</t>
        </is>
      </c>
      <c r="E179" s="5" t="inlineStr">
        <is>
          <t>CALCULADA = As / (b d).</t>
        </is>
      </c>
      <c r="F179" s="6" t="inlineStr">
        <is>
          <t>ACI 318-19, 22.5.5.1</t>
        </is>
      </c>
    </row>
    <row r="180" spans="2:14" ht="15.45" customHeight="1" x14ac:dyDescent="0.3">
      <c r="B180" s="2" t="inlineStr">
        <is>
          <t>λs para dy</t>
        </is>
      </c>
      <c r="C180" s="10">
        <f>IF(DATOS!$C$90="SÍ",1,MIN(1,SQRT(2/(1+0.004*$C$49*10))))</f>
        <v>1</v>
      </c>
      <c r="D180" s="4" t="inlineStr">
        <is>
          <t>—</t>
        </is>
      </c>
      <c r="E180" s="5" t="inlineStr">
        <is>
          <t>CALCULADA.</t>
        </is>
      </c>
      <c r="F180" s="6" t="inlineStr">
        <is>
          <t>ACI 318-19, 13.2.6.2, pág. 200</t>
        </is>
      </c>
    </row>
    <row r="181" spans="2:14" ht="27.75" customHeight="1" x14ac:dyDescent="0.3">
      <c r="B181" s="2" t="inlineStr">
        <is>
          <t>Vc = 0.66 λs λ ρw^⅓ √f'c b d</t>
        </is>
      </c>
      <c r="C181" s="10">
        <f>0.66*$C$180*DATOS!$C$23*$C$179^(1/3)*DATOS!$C$17*DATOS!$C$89*$C$8*100*$C$49/1000</f>
        <v>33.37060360296151</v>
      </c>
      <c r="D181" s="4" t="inlineStr">
        <is>
          <t>t</t>
        </is>
      </c>
      <c r="E181" s="5" t="inlineStr">
        <is>
          <t>CALCULADA en MPa → kg/cm² → t. Miembros sin refuerzo por cortante.</t>
        </is>
      </c>
      <c r="F181" s="6" t="inlineStr">
        <is>
          <t>ACI 318-19, Tabla 22.5.5.1(c)</t>
        </is>
      </c>
    </row>
    <row r="182" spans="2:14" ht="15.45" customHeight="1" x14ac:dyDescent="0.3">
      <c r="B182" s="2" t="inlineStr">
        <is>
          <t>Vc máximo = 0.42 λ √f'c b d</t>
        </is>
      </c>
      <c r="C182" s="10">
        <f>0.42*DATOS!$C$23*DATOS!$C$17*DATOS!$C$89*$C$8*100*$C$49/1000</f>
        <v>159.19169026639335</v>
      </c>
      <c r="D182" s="4" t="inlineStr">
        <is>
          <t>t</t>
        </is>
      </c>
      <c r="E182" s="5" t="inlineStr">
        <is>
          <t>CALCULADA.</t>
        </is>
      </c>
      <c r="F182" s="6" t="inlineStr">
        <is>
          <t>ACI 318-19, 22.5.5.1.1</t>
        </is>
      </c>
    </row>
    <row r="183" spans="2:14" ht="15.45" customHeight="1" x14ac:dyDescent="0.3">
      <c r="B183" s="2" t="inlineStr">
        <is>
          <t>φVc</t>
        </is>
      </c>
      <c r="C183" s="10">
        <f>DATOS!$C$87*MIN($C$181,$C$182)</f>
        <v>25.027952702221132</v>
      </c>
      <c r="D183" s="4" t="inlineStr">
        <is>
          <t>t</t>
        </is>
      </c>
      <c r="E183" s="5" t="inlineStr">
        <is>
          <t>CALCULADA con φ = 0.75.</t>
        </is>
      </c>
      <c r="F183" s="6" t="inlineStr">
        <is>
          <t>ACI 318-19, Tabla 21.2.1(b)</t>
        </is>
      </c>
    </row>
    <row r="184" spans="2:14" ht="15.45" customHeight="1" x14ac:dyDescent="0.3">
      <c r="B184" s="25" t="inlineStr">
        <is>
          <t>Revisión por cortante en una dirección, Y</t>
        </is>
      </c>
      <c r="C184" s="26" t="str">
        <f>IF($C$183&gt;=$C$178,"CUMPLE","NO CUMPLE — aumentar h o el armado")</f>
        <v>CUMPLE</v>
      </c>
      <c r="D184" s="4" t="inlineStr">
        <is>
          <t>—</t>
        </is>
      </c>
      <c r="E184" s="5" t="inlineStr">
        <is>
          <t>Vu ≤ φVc.</t>
        </is>
      </c>
      <c r="F184" s="6" t="inlineStr">
        <is>
          <t>ACI 318-19, 22.5.1.1</t>
        </is>
      </c>
    </row>
    <row r="186" spans="2:14" ht="18" customHeight="1" x14ac:dyDescent="0.3">
      <c r="B186" s="38" t="inlineStr">
        <is>
          <t>10. PARRILLA SUPERIOR Y MOMENTO NEGATIVO POR DESPEGUE</t>
        </is>
      </c>
      <c r="C186" s="37"/>
      <c r="D186" s="37"/>
      <c r="E186" s="37"/>
      <c r="F186" s="37"/>
    </row>
    <row r="187" spans="2:14" x14ac:dyDescent="0.3">
      <c r="B187" s="1" t="inlineStr">
        <is>
          <t>Concepto</t>
        </is>
      </c>
      <c r="C187" s="1" t="inlineStr">
        <is>
          <t>Valor</t>
        </is>
      </c>
      <c r="D187" s="1" t="inlineStr">
        <is>
          <t>Unidad</t>
        </is>
      </c>
      <c r="E187" s="1" t="inlineStr">
        <is>
          <t>Cómo se calcula / de dónde sale</t>
        </is>
      </c>
      <c r="F187" s="1" t="inlineStr">
        <is>
          <t>Referencia</t>
        </is>
      </c>
    </row>
    <row r="188" spans="2:14" ht="27.75" customHeight="1" x14ac:dyDescent="0.3">
      <c r="B188" s="2" t="inlineStr">
        <is>
          <t>Momento con tensión arriba, franja ‖ X</t>
        </is>
      </c>
      <c r="C188" s="10">
        <f>MAX(0,MAX($I$65:$M$65))</f>
        <v>0</v>
      </c>
      <c r="D188" s="4" t="inlineStr">
        <is>
          <t>t·m</t>
        </is>
      </c>
      <c r="E188" s="5" t="inlineStr">
        <is>
          <t>CALCULADA: peso factorizado de zapata y relleno menos la reacción del suelo en el volado. Positivo = tensión arriba.</t>
        </is>
      </c>
      <c r="F188" s="6" t="inlineStr">
        <is>
          <t>ACI 318-19, 13.2.6.6, pág. 201</t>
        </is>
      </c>
    </row>
    <row r="189" spans="2:14" ht="15.45" customHeight="1" x14ac:dyDescent="0.3">
      <c r="B189" s="2" t="inlineStr">
        <is>
          <t>Momento con tensión arriba, franja ‖ Y</t>
        </is>
      </c>
      <c r="C189" s="10">
        <f>MAX(0,MAX($I$77:$M$77))</f>
        <v>0</v>
      </c>
      <c r="D189" s="4" t="inlineStr">
        <is>
          <t>t·m</t>
        </is>
      </c>
      <c r="E189" s="5" t="inlineStr">
        <is>
          <t>CALCULADA en el lado ligero.</t>
        </is>
      </c>
      <c r="F189" s="6" t="inlineStr">
        <is>
          <t>ACI 318-19, 13.2.6.6, pág. 201</t>
        </is>
      </c>
    </row>
    <row r="190" spans="2:14" ht="15.45" customHeight="1" x14ac:dyDescent="0.3">
      <c r="B190" s="2" t="inlineStr">
        <is>
          <t>Momento negativo por metro de ancho que rige</t>
        </is>
      </c>
      <c r="C190" s="10">
        <f>MAX($C$188/$C$9,$C$189/$C$8)</f>
        <v>0</v>
      </c>
      <c r="D190" s="4" t="inlineStr">
        <is>
          <t>t·m/m</t>
        </is>
      </c>
      <c r="E190" s="5" t="inlineStr">
        <is>
          <t>CALCULADA.</t>
        </is>
      </c>
      <c r="F190" s="6" t="inlineStr">
        <is>
          <t>Revisión de esta hoja</t>
        </is>
      </c>
    </row>
    <row r="191" spans="2:14" ht="15.45" customHeight="1" x14ac:dyDescent="0.3">
      <c r="B191" s="2" t="inlineStr">
        <is>
          <t>d de la parrilla superior</t>
        </is>
      </c>
      <c r="C191" s="9">
        <f>$C$10*100-$C$14-$C$46</f>
        <v>43.73</v>
      </c>
      <c r="D191" s="4" t="inlineStr">
        <is>
          <t>cm</t>
        </is>
      </c>
      <c r="E191" s="5" t="inlineStr">
        <is>
          <t>CALCULADA = h − r_sup − db (promedio de los dos lechos).</t>
        </is>
      </c>
      <c r="F191" s="6" t="inlineStr">
        <is>
          <t>Geometría</t>
        </is>
      </c>
    </row>
    <row r="192" spans="2:14" ht="15.45" customHeight="1" x14ac:dyDescent="0.3">
      <c r="B192" s="2" t="inlineStr">
        <is>
          <t>As superior requerida por cálculo</t>
        </is>
      </c>
      <c r="C192" s="9">
        <f>IF($C$190&lt;=0,0,IF((1-2*$C$190*100000/(DATOS!$C$86*0.85*DATOS!$C$15*(1*100)*$C$191^2))&lt;0,9999,0.85*DATOS!$C$15*(1*100)/DATOS!$C$18*$C$191*(1-SQRT((1-2*$C$190*100000/(DATOS!$C$86*0.85*DATOS!$C$15*(1*100)*$C$191^2))))))</f>
        <v>0</v>
      </c>
      <c r="D192" s="4" t="inlineStr">
        <is>
          <t>cm²/m</t>
        </is>
      </c>
      <c r="E192" s="5" t="inlineStr">
        <is>
          <t>CALCULADA con b = 100 cm.</t>
        </is>
      </c>
      <c r="F192" s="6" t="inlineStr">
        <is>
          <t>ACI 318-19, 22.3</t>
        </is>
      </c>
    </row>
    <row r="193" spans="2:14" ht="27.75" customHeight="1" x14ac:dyDescent="0.3">
      <c r="B193" s="2" t="inlineStr">
        <is>
          <t>As superior de diseño</t>
        </is>
      </c>
      <c r="C193" s="9">
        <f>IF($C$40="SÍ",IF($C$192&gt;0,MAX($C$192,DATOS!$C$92*100*$C$10*100),DATOS!$C$92/2*100*$C$10*100),0)</f>
        <v>0</v>
      </c>
      <c r="D193" s="4" t="inlineStr">
        <is>
          <t>cm²/m</t>
        </is>
      </c>
      <c r="E193" s="5" t="inlineStr">
        <is>
          <t>CALCULADA. Si el cálculo pide acero arriba: ρmín b h. Si no: práctica de ρmín/2 · b h.</t>
        </is>
      </c>
      <c r="F193" s="6" t="inlineStr">
        <is>
          <t>ACI 318-19, 8.6.1.1 · práctica</t>
        </is>
      </c>
    </row>
    <row r="194" spans="2:14" ht="27.75" customHeight="1" x14ac:dyDescent="0.3">
      <c r="B194" s="2" t="inlineStr">
        <is>
          <t>Separación de la parrilla superior (ambos sentidos)</t>
        </is>
      </c>
      <c r="C194" s="11">
        <f>IF($C$193&gt;0,MAX(DATOS!$C$91,MIN(FLOOR($C$47/$C$193*100,DATOS!$C$91),FLOOR(MIN(2*$C$10*100,45),DATOS!$C$91))),0)</f>
        <v>0</v>
      </c>
      <c r="D194" s="4" t="inlineStr">
        <is>
          <t>cm</t>
        </is>
      </c>
      <c r="E194" s="5" t="inlineStr">
        <is>
          <t>CALCULADA.</t>
        </is>
      </c>
      <c r="F194" s="6" t="inlineStr">
        <is>
          <t>ACI 318-19, 8.7.2.2</t>
        </is>
      </c>
    </row>
    <row r="195" spans="2:14" ht="15.45" customHeight="1" x14ac:dyDescent="0.3">
      <c r="B195" s="2" t="inlineStr">
        <is>
          <t>Varillas superiores ‖ X</t>
        </is>
      </c>
      <c r="C195" s="27">
        <f>IF($C$194&gt;0,INT(($C$9*100-2*$C$13-$C$46)/$C$194)+1,0)</f>
        <v>0</v>
      </c>
      <c r="D195" s="4" t="inlineStr">
        <is>
          <t>pzas</t>
        </is>
      </c>
      <c r="E195" s="5" t="inlineStr">
        <is>
          <t>CALCULADA.</t>
        </is>
      </c>
      <c r="F195" s="6" t="inlineStr">
        <is>
          <t>Geometría</t>
        </is>
      </c>
    </row>
    <row r="196" spans="2:14" ht="15.45" customHeight="1" x14ac:dyDescent="0.3">
      <c r="B196" s="2" t="inlineStr">
        <is>
          <t>Varillas superiores ‖ Y</t>
        </is>
      </c>
      <c r="C196" s="27">
        <f>IF($C$194&gt;0,INT(($C$8*100-2*$C$13-$C$46)/$C$194)+1,0)</f>
        <v>0</v>
      </c>
      <c r="D196" s="4" t="inlineStr">
        <is>
          <t>pzas</t>
        </is>
      </c>
      <c r="E196" s="5" t="inlineStr">
        <is>
          <t>CALCULADA.</t>
        </is>
      </c>
      <c r="F196" s="6" t="inlineStr">
        <is>
          <t>Geometría</t>
        </is>
      </c>
    </row>
    <row r="197" spans="2:14" ht="27.75" customHeight="1" x14ac:dyDescent="0.3">
      <c r="B197" s="25" t="inlineStr">
        <is>
          <t>¿La parrilla superior es coherente con el cálculo?</t>
        </is>
      </c>
      <c r="C197" s="26" t="str">
        <f>IF(AND($C$192&gt;0,$C$40="NO"),"NO CUMPLE — hay momento negativo: pon SÍ en parrilla superior (sección 2)",IF($C$40="SÍ","CUMPLE — se coloca","CUMPLE — no se requiere"))</f>
        <v>CUMPLE — no se requiere</v>
      </c>
      <c r="D197" s="4" t="inlineStr">
        <is>
          <t>—</t>
        </is>
      </c>
      <c r="E197" s="5" t="inlineStr">
        <is>
          <t>Si la zapata despega, el volado ligero cuelga y pide acero arriba.</t>
        </is>
      </c>
      <c r="F197" s="6" t="inlineStr">
        <is>
          <t>Revisión de esta hoja</t>
        </is>
      </c>
    </row>
    <row r="198" spans="2:14" ht="15.45" customHeight="1" x14ac:dyDescent="0.3">
      <c r="B198" s="25" t="inlineStr">
        <is>
          <t>ARMADO SUPERIOR</t>
        </is>
      </c>
      <c r="C198" s="26" t="str">
        <f>IF($C$194&gt;0,"#"&amp;$C$41&amp;" @ "&amp;TEXT($C$194,"0.0")&amp;" cm en ambos sentidos","No lleva")</f>
        <v>No lleva</v>
      </c>
      <c r="D198" s="4" t="inlineStr">
        <is>
          <t>—</t>
        </is>
      </c>
      <c r="E198" s="5" t="inlineStr">
        <is>
          <t>Resultado.</t>
        </is>
      </c>
      <c r="F198" s="6" t="inlineStr">
        <is>
          <t>Resultado</t>
        </is>
      </c>
    </row>
    <row r="200" spans="2:14" ht="18" customHeight="1" x14ac:dyDescent="0.3">
      <c r="B200" s="38" t="inlineStr">
        <is>
          <t>11. LONGITUD DE DESARROLLO DEL LECHO INFERIOR — desde la cara del apoyo, a cada lado</t>
        </is>
      </c>
      <c r="C200" s="37"/>
      <c r="D200" s="37"/>
      <c r="E200" s="37"/>
      <c r="F200" s="37"/>
    </row>
    <row r="201" spans="2:14" x14ac:dyDescent="0.3">
      <c r="B201" s="1" t="inlineStr">
        <is>
          <t>Concepto</t>
        </is>
      </c>
      <c r="C201" s="1" t="inlineStr">
        <is>
          <t>Valor</t>
        </is>
      </c>
      <c r="D201" s="1" t="inlineStr">
        <is>
          <t>Unidad</t>
        </is>
      </c>
      <c r="E201" s="1" t="inlineStr">
        <is>
          <t>Cómo se calcula / de dónde sale</t>
        </is>
      </c>
      <c r="F201" s="1" t="inlineStr">
        <is>
          <t>Referencia</t>
        </is>
      </c>
    </row>
    <row r="202" spans="2:14" ht="27.75" customHeight="1" x14ac:dyDescent="0.3">
      <c r="B202" s="2" t="inlineStr">
        <is>
          <t>ψc — factor por resistencia del concreto (ganchos)</t>
        </is>
      </c>
      <c r="C202" s="10">
        <f>IF(DATOS!$C$16&lt;40,DATOS!$C$16/105+0.6,1)</f>
        <v>0.8334907995285353</v>
      </c>
      <c r="D202" s="4" t="inlineStr">
        <is>
          <t>—</t>
        </is>
      </c>
      <c r="E202" s="5" t="inlineStr">
        <is>
          <t>CALCULADA.</t>
        </is>
      </c>
      <c r="F202" s="6" t="inlineStr">
        <is>
          <t>ACI 318-19, Tabla 25.4.3.2</t>
        </is>
      </c>
    </row>
    <row r="203" spans="2:14" ht="27.75" customHeight="1" x14ac:dyDescent="0.3">
      <c r="B203" s="2" t="inlineStr">
        <is>
          <t>cb — recubrimiento o media separación ‖ X</t>
        </is>
      </c>
      <c r="C203" s="9">
        <f>MIN($C$10*100-$C$48,$C$133/2,$C$13+$C$42/2)</f>
        <v>8.295</v>
      </c>
      <c r="D203" s="4" t="inlineStr">
        <is>
          <t>cm</t>
        </is>
      </c>
      <c r="E203" s="5" t="inlineStr">
        <is>
          <t>CALCULADA: el menor entre recubrimiento al centro de la varilla y media separación.</t>
        </is>
      </c>
      <c r="F203" s="6" t="inlineStr">
        <is>
          <t>ACI 318-19, 25.4.2.4</t>
        </is>
      </c>
    </row>
    <row r="204" spans="2:14" ht="27.75" customHeight="1" x14ac:dyDescent="0.3">
      <c r="B204" s="2" t="inlineStr">
        <is>
          <t>ld recta ‖ X</t>
        </is>
      </c>
      <c r="C204" s="9">
        <f>MAX(DATOS!$C$19/(1.1*DATOS!$C$23*DATOS!$C$17)*(IF($C$35&lt;=6,0.8,1)*DATOS!$C$26)/MIN(2.5,$C$203/$C$42)*$C$42,30)</f>
        <v>38.476294030430104</v>
      </c>
      <c r="D204" s="4" t="inlineStr">
        <is>
          <t>cm</t>
        </is>
      </c>
      <c r="E204" s="5" t="inlineStr">
        <is>
          <t>CALCULADA = [fy/(1.1λ√f'c)]·[ψs ψg/((cb + Ktr)/db)]·db, Ktr = 0; mínimo 300 mm.</t>
        </is>
      </c>
      <c r="F204" s="6" t="inlineStr">
        <is>
          <t>ACI 318-19, 25.4.2.4 y Tabla 25.4.2.5</t>
        </is>
      </c>
    </row>
    <row r="205" spans="2:14" ht="27.75" customHeight="1" x14ac:dyDescent="0.3">
      <c r="B205" s="2" t="inlineStr">
        <is>
          <t>ldh con gancho estándar ‖ X</t>
        </is>
      </c>
      <c r="C205" s="9">
        <f>MAX(DATOS!$C$19*IF($C$133&gt;=6*$C$42,1,1.6)*IF($C$13&gt;=6*$C$42,1,1.25)*$C$202/(23*DATOS!$C$23*DATOS!$C$17)*($C$42*10)^1.5/10,8*$C$42,15)</f>
        <v>23.890073787289197</v>
      </c>
      <c r="D205" s="4" t="inlineStr">
        <is>
          <t>cm</t>
        </is>
      </c>
      <c r="E205" s="5" t="inlineStr">
        <is>
          <t>CALCULADA = (fy ψe ψr ψo ψc/(23λ√f'c))·db^1.5 (db en mm), mínimo 8db y 150 mm.</t>
        </is>
      </c>
      <c r="F205" s="6" t="inlineStr">
        <is>
          <t>ACI 318-19, 25.4.3.1 y Tabla 25.4.3.2</t>
        </is>
      </c>
    </row>
    <row r="206" spans="2:14" ht="15.45" customHeight="1" x14ac:dyDescent="0.3">
      <c r="B206" s="2" t="inlineStr">
        <is>
          <t>Longitud disponible ‖ X hacia adentro</t>
        </is>
      </c>
      <c r="C206" s="11">
        <f>$C$28*100-$C$13</f>
        <v>122.5</v>
      </c>
      <c r="D206" s="4" t="inlineStr">
        <is>
          <t>cm</t>
        </is>
      </c>
      <c r="E206" s="5" t="inlineStr">
        <is>
          <t>CALCULADA = (Lx − cx) − r_lat.</t>
        </is>
      </c>
      <c r="F206" s="6" t="inlineStr">
        <is>
          <t>ACI 318-19, 13.2.8.3, pág. 203</t>
        </is>
      </c>
    </row>
    <row r="207" spans="2:14" ht="15.45" customHeight="1" x14ac:dyDescent="0.3">
      <c r="B207" s="2" t="inlineStr">
        <is>
          <t>Remate ‖ X hacia adentro</t>
        </is>
      </c>
      <c r="C207" s="7" t="str">
        <f>IF($C$206&gt;=$C$204,"RECTA",IF($C$206&gt;=$C$205,"GANCHO 90°","NO ALCANZA"))</f>
        <v>RECTA</v>
      </c>
      <c r="D207" s="4" t="inlineStr">
        <is>
          <t>—</t>
        </is>
      </c>
      <c r="E207" s="5" t="inlineStr">
        <is>
          <t>CALCULADA.</t>
        </is>
      </c>
      <c r="F207" s="6" t="inlineStr">
        <is>
          <t>ACI 318-19, 13.2.8, pág. 203</t>
        </is>
      </c>
    </row>
    <row r="208" spans="2:14" ht="27.75" customHeight="1" x14ac:dyDescent="0.3">
      <c r="B208" s="2" t="inlineStr">
        <is>
          <t>Longitud disponible ‖ X del lado del lindero</t>
        </is>
      </c>
      <c r="C208" s="11">
        <f>DATOS!$C$64*100-$C$13</f>
        <v>42.5</v>
      </c>
      <c r="D208" s="4" t="inlineStr">
        <is>
          <t>cm</t>
        </is>
      </c>
      <c r="E208" s="5" t="inlineStr">
        <is>
          <t>CALCULADA = cx − r_lat: del lado del lindero sólo está el ancho del dado.</t>
        </is>
      </c>
      <c r="F208" s="6" t="inlineStr">
        <is>
          <t>ACI 318-19, 13.2.8.2, pág. 203</t>
        </is>
      </c>
    </row>
    <row r="209" spans="2:14" ht="15.45" customHeight="1" x14ac:dyDescent="0.3">
      <c r="B209" s="2" t="inlineStr">
        <is>
          <t>Remate ‖ X en el lindero</t>
        </is>
      </c>
      <c r="C209" s="7" t="str">
        <f>IF($C$208&gt;=$C$204,"RECTA",IF($C$208&gt;=$C$205,"GANCHO 90°","NO ALCANZA"))</f>
        <v>RECTA</v>
      </c>
      <c r="D209" s="4" t="inlineStr">
        <is>
          <t>—</t>
        </is>
      </c>
      <c r="E209" s="5" t="inlineStr">
        <is>
          <t>CALCULADA. Lo normal es gancho en el lindero.</t>
        </is>
      </c>
      <c r="F209" s="6" t="inlineStr">
        <is>
          <t>ACI 318-19, 13.2.8, pág. 203</t>
        </is>
      </c>
    </row>
    <row r="210" spans="2:14" ht="15.45" customHeight="1" x14ac:dyDescent="0.3">
      <c r="B210" s="2" t="inlineStr">
        <is>
          <t>h necesario si el gancho va vertical ‖ X</t>
        </is>
      </c>
      <c r="C210" s="9">
        <f>$C$12+16*$C$42+$C$14</f>
        <v>37.94</v>
      </c>
      <c r="D210" s="4" t="inlineStr">
        <is>
          <t>cm</t>
        </is>
      </c>
      <c r="E210" s="5" t="inlineStr">
        <is>
          <t>CALCULADA ≈ r + (doblez + 12db ≈ 16db) + r_sup.</t>
        </is>
      </c>
      <c r="F210" s="6" t="inlineStr">
        <is>
          <t>ACI 318-19, 25.3.1 (Tabla 25.3.1)</t>
        </is>
      </c>
    </row>
    <row r="211" spans="2:14" ht="27.75" customHeight="1" x14ac:dyDescent="0.3">
      <c r="B211" s="25" t="inlineStr">
        <is>
          <t>Desarrollo ‖ X</t>
        </is>
      </c>
      <c r="C211" s="26" t="str">
        <f>IF(OR($C$207="NO ALCANZA",$C$209="NO ALCANZA"),"NO CUMPLE — agrandar el dado o la zapata, o bajar el diámetro",IF(AND($C$207="RECTA",$C$209="RECTA"),"CUMPLE — varilla recta",IF($C$210&lt;=$C$10*100,"CUMPLE — gancho estándar a 90° (12db) vertical","REVISAR — el gancho vertical no cabe en h: tiéndelo horizontal o baja el diámetro")))</f>
        <v>CUMPLE — varilla recta</v>
      </c>
      <c r="D211" s="4" t="inlineStr">
        <is>
          <t>—</t>
        </is>
      </c>
      <c r="E211" s="5" t="inlineStr">
        <is>
          <t>La varilla debe desarrollarse a cada lado de la sección crítica.</t>
        </is>
      </c>
      <c r="F211" s="6" t="inlineStr">
        <is>
          <t>ACI 318-19, 13.2.8.2 y 13.2.8.3, pág. 203</t>
        </is>
      </c>
    </row>
    <row r="212" spans="2:14" ht="15.45" customHeight="1" x14ac:dyDescent="0.3">
      <c r="B212" s="2" t="inlineStr">
        <is>
          <t>Longitud disponible ‖ Y</t>
        </is>
      </c>
      <c r="C212" s="11">
        <f>$C$29*100-$C$13</f>
        <v>102.50000000000001</v>
      </c>
      <c r="D212" s="4" t="inlineStr">
        <is>
          <t>cm</t>
        </is>
      </c>
      <c r="E212" s="5" t="inlineStr">
        <is>
          <t>CALCULADA = volado − r_lat.</t>
        </is>
      </c>
      <c r="F212" s="6" t="inlineStr">
        <is>
          <t>ACI 318-19, 13.2.8.3, pág. 203</t>
        </is>
      </c>
    </row>
    <row r="213" spans="2:14" ht="15.45" customHeight="1" x14ac:dyDescent="0.3">
      <c r="B213" s="2" t="inlineStr">
        <is>
          <t>cb — recubrimiento o media separación ‖ Y</t>
        </is>
      </c>
      <c r="C213" s="9">
        <f>MIN($C$10*100-$C$49,$C$157/2,$C$13+$C$44/2)</f>
        <v>8.295</v>
      </c>
      <c r="D213" s="4" t="inlineStr">
        <is>
          <t>cm</t>
        </is>
      </c>
      <c r="E213" s="5" t="inlineStr">
        <is>
          <t>CALCULADA.</t>
        </is>
      </c>
      <c r="F213" s="6" t="inlineStr">
        <is>
          <t>ACI 318-19, 25.4.2.4</t>
        </is>
      </c>
    </row>
    <row r="214" spans="2:14" ht="15.45" customHeight="1" x14ac:dyDescent="0.3">
      <c r="B214" s="2" t="inlineStr">
        <is>
          <t>ld recta ‖ Y</t>
        </is>
      </c>
      <c r="C214" s="9">
        <f>MAX(DATOS!$C$19/(1.1*DATOS!$C$23*DATOS!$C$17)*(IF($C$36&lt;=6,0.8,1)*DATOS!$C$26)/MIN(2.5,$C$213/$C$44)*$C$44,30)</f>
        <v>38.476294030430104</v>
      </c>
      <c r="D214" s="4" t="inlineStr">
        <is>
          <t>cm</t>
        </is>
      </c>
      <c r="E214" s="5" t="inlineStr">
        <is>
          <t>CALCULADA.</t>
        </is>
      </c>
      <c r="F214" s="6" t="inlineStr">
        <is>
          <t>ACI 318-19, 25.4.2.4 y Tabla 25.4.2.5</t>
        </is>
      </c>
    </row>
    <row r="215" spans="2:14" ht="15.45" customHeight="1" x14ac:dyDescent="0.3">
      <c r="B215" s="2" t="inlineStr">
        <is>
          <t>ldh con gancho estándar ‖ Y</t>
        </is>
      </c>
      <c r="C215" s="9">
        <f>MAX(DATOS!$C$19*IF($C$157&gt;=6*$C$44,1,1.6)*IF($C$13&gt;=6*$C$44,1,1.25)*$C$202/(23*DATOS!$C$23*DATOS!$C$17)*($C$44*10)^1.5/10,8*$C$44,15)</f>
        <v>23.890073787289197</v>
      </c>
      <c r="D215" s="4" t="inlineStr">
        <is>
          <t>cm</t>
        </is>
      </c>
      <c r="E215" s="5" t="inlineStr">
        <is>
          <t>CALCULADA.</t>
        </is>
      </c>
      <c r="F215" s="6" t="inlineStr">
        <is>
          <t>ACI 318-19, 25.4.3.1 y Tabla 25.4.3.2</t>
        </is>
      </c>
    </row>
    <row r="216" spans="2:14" ht="15.45" customHeight="1" x14ac:dyDescent="0.3">
      <c r="B216" s="2" t="inlineStr">
        <is>
          <t>Remate ‖ Y</t>
        </is>
      </c>
      <c r="C216" s="7" t="str">
        <f>IF($C$212&gt;=$C$214,"RECTA",IF($C$212&gt;=$C$215,"GANCHO 90°","NO ALCANZA"))</f>
        <v>RECTA</v>
      </c>
      <c r="D216" s="4" t="inlineStr">
        <is>
          <t>—</t>
        </is>
      </c>
      <c r="E216" s="5" t="inlineStr">
        <is>
          <t>CALCULADA.</t>
        </is>
      </c>
      <c r="F216" s="6" t="inlineStr">
        <is>
          <t>ACI 318-19, 13.2.8, pág. 203</t>
        </is>
      </c>
    </row>
    <row r="217" spans="2:14" ht="15.45" customHeight="1" x14ac:dyDescent="0.3">
      <c r="B217" s="2" t="inlineStr">
        <is>
          <t>h necesario si el gancho va vertical ‖ Y</t>
        </is>
      </c>
      <c r="C217" s="9">
        <f>$C$12+16*$C$44+$C$14</f>
        <v>37.94</v>
      </c>
      <c r="D217" s="4" t="inlineStr">
        <is>
          <t>cm</t>
        </is>
      </c>
      <c r="E217" s="5" t="inlineStr">
        <is>
          <t>CALCULADA.</t>
        </is>
      </c>
      <c r="F217" s="6" t="inlineStr">
        <is>
          <t>ACI 318-19, 25.3.1 (Tabla 25.3.1)</t>
        </is>
      </c>
    </row>
    <row r="218" spans="2:14" ht="27.75" customHeight="1" x14ac:dyDescent="0.3">
      <c r="B218" s="25" t="inlineStr">
        <is>
          <t>Desarrollo ‖ Y</t>
        </is>
      </c>
      <c r="C218" s="26" t="str">
        <f>IF($C$216="NO ALCANZA","NO CUMPLE — agrandar la zapata o bajar el diámetro",IF($C$216="RECTA","CUMPLE — varilla recta",IF($C$217&lt;=$C$10*100,"CUMPLE — gancho estándar a 90° (12db) vertical","REVISAR — el gancho vertical no cabe en h: tiéndelo horizontal o baja el diámetro")))</f>
        <v>CUMPLE — varilla recta</v>
      </c>
      <c r="D218" s="4" t="inlineStr">
        <is>
          <t>—</t>
        </is>
      </c>
      <c r="E218" s="5" t="inlineStr">
        <is>
          <t>La varilla debe desarrollarse a cada lado de la sección crítica.</t>
        </is>
      </c>
      <c r="F218" s="6" t="inlineStr">
        <is>
          <t>ACI 318-19, 13.2.8.2 y 13.2.8.3, pág. 203</t>
        </is>
      </c>
    </row>
    <row r="220" spans="2:14" ht="18" customHeight="1" x14ac:dyDescent="0.3">
      <c r="B220" s="38" t="inlineStr">
        <is>
          <t>12. TRANSFERENCIA DADO–ZAPATA: APLASTAMIENTO Y DOVELAS</t>
        </is>
      </c>
      <c r="C220" s="37"/>
      <c r="D220" s="37"/>
      <c r="E220" s="37"/>
      <c r="F220" s="37"/>
    </row>
    <row r="221" spans="2:14" x14ac:dyDescent="0.3">
      <c r="B221" s="1" t="inlineStr">
        <is>
          <t>Concepto</t>
        </is>
      </c>
      <c r="C221" s="1" t="inlineStr">
        <is>
          <t>Valor</t>
        </is>
      </c>
      <c r="D221" s="1" t="inlineStr">
        <is>
          <t>Unidad</t>
        </is>
      </c>
      <c r="E221" s="1" t="inlineStr">
        <is>
          <t>Cómo se calcula / de dónde sale</t>
        </is>
      </c>
      <c r="F221" s="1" t="inlineStr">
        <is>
          <t>Referencia</t>
        </is>
      </c>
    </row>
    <row r="222" spans="2:14" ht="15.45" customHeight="1" x14ac:dyDescent="0.3">
      <c r="B222" s="2" t="inlineStr">
        <is>
          <t>A₁ — área cargada (dado)</t>
        </is>
      </c>
      <c r="C222" s="10">
        <f>DATOS!$C$64*DATOS!$C$65</f>
        <v>0.25</v>
      </c>
      <c r="D222" s="4" t="inlineStr">
        <is>
          <t>m²</t>
        </is>
      </c>
      <c r="E222" s="5" t="inlineStr">
        <is>
          <t>CALCULADA.</t>
        </is>
      </c>
      <c r="F222" s="6" t="inlineStr">
        <is>
          <t>ACI 318-19, 22.8.3.2</t>
        </is>
      </c>
    </row>
    <row r="223" spans="2:14" ht="27.75" customHeight="1" x14ac:dyDescent="0.3">
      <c r="B223" s="2" t="inlineStr">
        <is>
          <t>A₂ — base del tronco de pirámide concéntrico</t>
        </is>
      </c>
      <c r="C223" s="10">
        <f>$C$222</f>
        <v>0.25</v>
      </c>
      <c r="D223" s="4" t="inlineStr">
        <is>
          <t>m²</t>
        </is>
      </c>
      <c r="E223" s="5" t="inlineStr">
        <is>
          <t>CALCULADA. Con el dado al paño del lindero no cabe un tronco concéntrico más grande: A₂ = A₁.</t>
        </is>
      </c>
      <c r="F223" s="6" t="inlineStr">
        <is>
          <t>ACI 318-19, 22.8.3.2 (Tabla 22.8.3.2)</t>
        </is>
      </c>
    </row>
    <row r="224" spans="2:14" ht="15.45" customHeight="1" x14ac:dyDescent="0.3">
      <c r="B224" s="2" t="inlineStr">
        <is>
          <t>√(A₂/A₁) ≤ 2</t>
        </is>
      </c>
      <c r="C224" s="10">
        <f>MIN(SQRT($C$223/$C$222),2)</f>
        <v>1</v>
      </c>
      <c r="D224" s="4" t="inlineStr">
        <is>
          <t>—</t>
        </is>
      </c>
      <c r="E224" s="5" t="inlineStr">
        <is>
          <t>CALCULADA (= 1).</t>
        </is>
      </c>
      <c r="F224" s="6" t="inlineStr">
        <is>
          <t>ACI 318-19, Tabla 22.8.3.2</t>
        </is>
      </c>
    </row>
    <row r="225" spans="2:14" ht="15.45" customHeight="1" x14ac:dyDescent="0.3">
      <c r="B225" s="2" t="inlineStr">
        <is>
          <t>φBn — aplastamiento resistente</t>
        </is>
      </c>
      <c r="C225" s="10">
        <f>DATOS!$C$88*0.85*DATOS!$C$15*$C$222*10000*$C$224/1000</f>
        <v>345.3125</v>
      </c>
      <c r="D225" s="4" t="inlineStr">
        <is>
          <t>t</t>
        </is>
      </c>
      <c r="E225" s="5" t="inlineStr">
        <is>
          <t>CALCULADA = φ 0.85 f'c A₁ √(A₂/A₁), φ = 0.65.</t>
        </is>
      </c>
      <c r="F225" s="6" t="inlineStr">
        <is>
          <t>ACI 318-19, 22.8.3.2 y Tabla 21.2.1(d)</t>
        </is>
      </c>
    </row>
    <row r="226" spans="2:14" ht="15.45" customHeight="1" x14ac:dyDescent="0.3">
      <c r="B226" s="2" t="inlineStr">
        <is>
          <t>Pu máxima sobre la zapata</t>
        </is>
      </c>
      <c r="C226" s="10">
        <f>$C$68</f>
        <v>56.028000000000006</v>
      </c>
      <c r="D226" s="4" t="inlineStr">
        <is>
          <t>t</t>
        </is>
      </c>
      <c r="E226" s="5" t="inlineStr">
        <is>
          <t>CALCULADA = sección 4.</t>
        </is>
      </c>
      <c r="F226" s="6" t="inlineStr">
        <is>
          <t>Tabla por combinación</t>
        </is>
      </c>
    </row>
    <row r="227" spans="2:14" ht="15.45" customHeight="1" x14ac:dyDescent="0.3">
      <c r="B227" s="25" t="inlineStr">
        <is>
          <t>Aplastamiento en la cara de la zapata</t>
        </is>
      </c>
      <c r="C227" s="26" t="str">
        <f>IF($C$225&gt;=$C$226,"CUMPLE","NO CUMPLE — dovelas por aplastamiento o dado mayor")</f>
        <v>CUMPLE</v>
      </c>
      <c r="D227" s="4" t="inlineStr">
        <is>
          <t>—</t>
        </is>
      </c>
      <c r="E227" s="5" t="inlineStr">
        <is>
          <t>φBn ≥ Pu.</t>
        </is>
      </c>
      <c r="F227" s="6" t="inlineStr">
        <is>
          <t>ACI 318-19, 16.3.3 y 22.8</t>
        </is>
      </c>
    </row>
    <row r="228" spans="2:14" ht="15.45" customHeight="1" x14ac:dyDescent="0.3">
      <c r="B228" s="2" t="inlineStr">
        <is>
          <t>As mínima de dovelas = 0.005 A_dado</t>
        </is>
      </c>
      <c r="C228" s="9">
        <f>0.005*$C$222*10000</f>
        <v>12.5</v>
      </c>
      <c r="D228" s="4" t="inlineStr">
        <is>
          <t>cm²</t>
        </is>
      </c>
      <c r="E228" s="5" t="inlineStr">
        <is>
          <t>CALCULADA.</t>
        </is>
      </c>
      <c r="F228" s="6" t="inlineStr">
        <is>
          <t>ACI 318-19, 16.3.4.1</t>
        </is>
      </c>
    </row>
    <row r="229" spans="2:14" ht="15.45" customHeight="1" x14ac:dyDescent="0.3">
      <c r="B229" s="2" t="inlineStr">
        <is>
          <t>Dovelas mínimas con la varilla del dado</t>
        </is>
      </c>
      <c r="C229" s="27">
        <f>MAX(4,CEILING($C$228/DATOS!$C$69,1))</f>
        <v>5</v>
      </c>
      <c r="D229" s="4" t="inlineStr">
        <is>
          <t>pzas</t>
        </is>
      </c>
      <c r="E229" s="5" t="inlineStr">
        <is>
          <t>CALCULADA.</t>
        </is>
      </c>
      <c r="F229" s="6" t="inlineStr">
        <is>
          <t>ACI 318-19, 16.3.4.1</t>
        </is>
      </c>
    </row>
    <row r="230" spans="2:14" ht="27.75" customHeight="1" x14ac:dyDescent="0.3">
      <c r="B230" s="2" t="inlineStr">
        <is>
          <t>ldc — desarrollo a compresión de la dovela</t>
        </is>
      </c>
      <c r="C230" s="9">
        <f>MAX(0.24*DATOS!$C$19/(DATOS!$C$23*DATOS!$C$17)*DATOS!$C$68,0.043*DATOS!$C$19*DATOS!$C$68,20)</f>
        <v>38.13145931978002</v>
      </c>
      <c r="D230" s="4" t="inlineStr">
        <is>
          <t>cm</t>
        </is>
      </c>
      <c r="E230" s="5" t="inlineStr">
        <is>
          <t>CALCULADA = máx(0.24 fy/(λ√f'c)·db ; 0.043 fy db ; 200 mm). El gancho no cuenta a compresión.</t>
        </is>
      </c>
      <c r="F230" s="6" t="inlineStr">
        <is>
          <t>ACI 318-19, 25.4.9.1 y 25.4.9.2</t>
        </is>
      </c>
    </row>
    <row r="231" spans="2:14" ht="15.45" customHeight="1" x14ac:dyDescent="0.3">
      <c r="B231" s="2" t="inlineStr">
        <is>
          <t>Peralte disponible para la dovela</t>
        </is>
      </c>
      <c r="C231" s="9">
        <f>$C$10*100-$C$12-$C$42-$C$44</f>
        <v>39.31999999999999</v>
      </c>
      <c r="D231" s="4" t="inlineStr">
        <is>
          <t>cm</t>
        </is>
      </c>
      <c r="E231" s="5" t="inlineStr">
        <is>
          <t>CALCULADA = h − r − los dos lechos.</t>
        </is>
      </c>
      <c r="F231" s="6" t="inlineStr">
        <is>
          <t>Geometría</t>
        </is>
      </c>
    </row>
    <row r="232" spans="2:14" ht="27.75" customHeight="1" x14ac:dyDescent="0.3">
      <c r="B232" s="25" t="inlineStr">
        <is>
          <t>Desarrollo de las dovelas dentro de la zapata</t>
        </is>
      </c>
      <c r="C232" s="26" t="str">
        <f>IF($C$231&gt;=$C$230,"CUMPLE","NO CUMPLE — aumentar h o usar dovelas más delgadas")</f>
        <v>CUMPLE</v>
      </c>
      <c r="D232" s="4" t="inlineStr">
        <is>
          <t>—</t>
        </is>
      </c>
      <c r="E232" s="5" t="inlineStr">
        <is>
          <t>ldc ≤ peralte disponible.</t>
        </is>
      </c>
      <c r="F232" s="6" t="inlineStr">
        <is>
          <t>ACI 318-19, 13.2.2.1, pág. 199 · 16.3.5.1</t>
        </is>
      </c>
    </row>
    <row r="233" spans="2:14" ht="15.45" customHeight="1" x14ac:dyDescent="0.3">
      <c r="B233" s="2" t="inlineStr">
        <is>
          <t>h mínimo por dovelas</t>
        </is>
      </c>
      <c r="C233" s="9">
        <f>$C$230+$C$12+$C$42+$C$44</f>
        <v>48.81145931978003</v>
      </c>
      <c r="D233" s="4" t="inlineStr">
        <is>
          <t>cm</t>
        </is>
      </c>
      <c r="E233" s="5" t="inlineStr">
        <is>
          <t>CALCULADA.</t>
        </is>
      </c>
      <c r="F233" s="6" t="inlineStr">
        <is>
          <t>Geometría</t>
        </is>
      </c>
    </row>
    <row r="234" spans="2:14" ht="52.5" customHeight="1" x14ac:dyDescent="0.3">
      <c r="B234" s="25" t="inlineStr">
        <is>
          <t>DOVELAS</t>
        </is>
      </c>
      <c r="C234" s="26" t="str">
        <f>"mín. "&amp;$C$229&amp;" dovelas #"&amp;DATOS!$C$67&amp;" con gancho 90° apoyado en la parrilla inferior"</f>
        <v>mín. 5 dovelas #6 con gancho 90° apoyado en la parrilla inferior</v>
      </c>
      <c r="D234" s="4" t="inlineStr">
        <is>
          <t>—</t>
        </is>
      </c>
      <c r="E234" s="5" t="inlineStr">
        <is>
          <t>Resultado.</t>
        </is>
      </c>
      <c r="F234" s="6" t="inlineStr">
        <is>
          <t>Resultado</t>
        </is>
      </c>
    </row>
    <row r="236" spans="2:14" ht="18" customHeight="1" x14ac:dyDescent="0.3">
      <c r="B236" s="38" t="inlineStr">
        <is>
          <t>13. CONTRATRABE DE EQUILIBRIO — captura y diseño (sólo si la sección 1 dice SÍ)</t>
        </is>
      </c>
      <c r="C236" s="37"/>
      <c r="D236" s="37"/>
      <c r="E236" s="37"/>
      <c r="F236" s="37"/>
    </row>
    <row r="237" spans="2:14" x14ac:dyDescent="0.3">
      <c r="B237" s="1" t="inlineStr">
        <is>
          <t>Concepto</t>
        </is>
      </c>
      <c r="C237" s="1" t="inlineStr">
        <is>
          <t>Valor</t>
        </is>
      </c>
      <c r="D237" s="1" t="inlineStr">
        <is>
          <t>Unidad</t>
        </is>
      </c>
      <c r="E237" s="1" t="inlineStr">
        <is>
          <t>Cómo se calcula / de dónde sale</t>
        </is>
      </c>
      <c r="F237" s="1" t="inlineStr">
        <is>
          <t>Referencia</t>
        </is>
      </c>
    </row>
    <row r="238" spans="2:14" ht="15.45" customHeight="1" x14ac:dyDescent="0.3">
      <c r="B238" s="2" t="inlineStr">
        <is>
          <t>b — ancho de la contratrabe</t>
        </is>
      </c>
      <c r="C238" s="14">
        <v>0.4</v>
      </c>
      <c r="D238" s="4" t="inlineStr">
        <is>
          <t>m</t>
        </is>
      </c>
      <c r="E238" s="5" t="inlineStr">
        <is>
          <t>CAPTURA.</t>
        </is>
      </c>
      <c r="F238" s="6" t="inlineStr">
        <is>
          <t>Propuesta</t>
        </is>
      </c>
    </row>
    <row r="239" spans="2:14" ht="27.75" customHeight="1" x14ac:dyDescent="0.3">
      <c r="B239" s="2" t="inlineStr">
        <is>
          <t>h — peralte total de la contratrabe</t>
        </is>
      </c>
      <c r="C239" s="14">
        <v>0.9</v>
      </c>
      <c r="D239" s="4" t="inlineStr">
        <is>
          <t>m</t>
        </is>
      </c>
      <c r="E239" s="5" t="inlineStr">
        <is>
          <t>CAPTURA. Entre zapatas no debe apoyarse en el suelo (relleno suelto o cimbra perdida abajo).</t>
        </is>
      </c>
      <c r="F239" s="6" t="inlineStr">
        <is>
          <t>Propuesta · Bowles 5ª ed., §9.4</t>
        </is>
      </c>
    </row>
    <row r="240" spans="2:14" ht="15.45" customHeight="1" x14ac:dyDescent="0.3">
      <c r="B240" s="2" t="inlineStr">
        <is>
          <t>Recubrimiento libre de la contratrabe</t>
        </is>
      </c>
      <c r="C240" s="16">
        <v>5</v>
      </c>
      <c r="D240" s="4" t="inlineStr">
        <is>
          <t>cm</t>
        </is>
      </c>
      <c r="E240" s="5" t="inlineStr">
        <is>
          <t>CAPTURA. En contacto con el suelo, cimbrada: 50 mm.</t>
        </is>
      </c>
      <c r="F240" s="6" t="inlineStr">
        <is>
          <t>ACI 318-19, Tabla 20.5.1.3.1</t>
        </is>
      </c>
    </row>
    <row r="241" spans="2:14" ht="15.45" customHeight="1" x14ac:dyDescent="0.3">
      <c r="B241" s="2" t="inlineStr">
        <is>
          <t>Varilla longitudinal</t>
        </is>
      </c>
      <c r="C241" s="8">
        <v>6</v>
      </c>
      <c r="D241" s="4" t="inlineStr">
        <is>
          <t>#</t>
        </is>
      </c>
      <c r="E241" s="5" t="inlineStr">
        <is>
          <t>CAPTURA (lista).</t>
        </is>
      </c>
      <c r="F241" s="6" t="inlineStr">
        <is>
          <t>Propuesta</t>
        </is>
      </c>
    </row>
    <row r="242" spans="2:14" ht="15.45" customHeight="1" x14ac:dyDescent="0.3">
      <c r="B242" s="2" t="inlineStr">
        <is>
          <t>Varilla del estribo</t>
        </is>
      </c>
      <c r="C242" s="16">
        <v>4</v>
      </c>
      <c r="D242" s="4" t="inlineStr">
        <is>
          <t>#</t>
        </is>
      </c>
      <c r="E242" s="5" t="inlineStr">
        <is>
          <t>CAPTURA (lista).</t>
        </is>
      </c>
      <c r="F242" s="6" t="inlineStr">
        <is>
          <t>Propuesta</t>
        </is>
      </c>
    </row>
    <row r="243" spans="2:14" ht="15.45" customHeight="1" x14ac:dyDescent="0.3">
      <c r="B243" s="2" t="inlineStr">
        <is>
          <t>Ramas del estribo</t>
        </is>
      </c>
      <c r="C243" s="8">
        <v>2</v>
      </c>
      <c r="D243" s="4" t="inlineStr">
        <is>
          <t>—</t>
        </is>
      </c>
      <c r="E243" s="5" t="inlineStr">
        <is>
          <t>CAPTURA.</t>
        </is>
      </c>
      <c r="F243" s="6" t="inlineStr">
        <is>
          <t>Propuesta</t>
        </is>
      </c>
    </row>
    <row r="244" spans="2:14" ht="27.75" customHeight="1" x14ac:dyDescent="0.3">
      <c r="B244" s="2" t="inlineStr">
        <is>
          <t>Fuerza de amarre como fracción de Pu</t>
        </is>
      </c>
      <c r="C244" s="14">
        <v>0.1</v>
      </c>
      <c r="D244" s="4" t="inlineStr">
        <is>
          <t>—</t>
        </is>
      </c>
      <c r="E244" s="5" t="inlineStr">
        <is>
          <t>CAPTURA. Tensión o compresión mínima de la liga (10 % de la carga de la columna).</t>
        </is>
      </c>
      <c r="F244" s="6" t="inlineStr">
        <is>
          <t>ACI 318-19, 18.13.3 · ASCE/SEI 7-16 §12.13.8.1 (por analogía)</t>
        </is>
      </c>
    </row>
    <row r="245" spans="2:14" ht="27.75" customHeight="1" x14ac:dyDescent="0.3">
      <c r="B245" s="2" t="inlineStr">
        <is>
          <t>¿Detallado sísmico de la contratrabe?</t>
        </is>
      </c>
      <c r="C245" s="3" t="inlineStr">
        <is>
          <t>SÍ</t>
        </is>
      </c>
      <c r="D245" s="4" t="inlineStr">
        <is>
          <t>—</t>
        </is>
      </c>
      <c r="E245" s="5" t="inlineStr">
        <is>
          <t>CAPTURA (lista). SÍ cuando toma momento de columnas del sistema sismorresistente: aplica 18.6.</t>
        </is>
      </c>
      <c r="F245" s="6" t="inlineStr">
        <is>
          <t>ACI 318-19, 18.13.3.3</t>
        </is>
      </c>
    </row>
    <row r="246" spans="2:14" ht="27.75" customHeight="1" x14ac:dyDescent="0.3">
      <c r="B246" s="2" t="inlineStr">
        <is>
          <t>Carga muerta adicional sobre la contratrabe (muro, firme)</t>
        </is>
      </c>
      <c r="C246" s="14">
        <v>0</v>
      </c>
      <c r="D246" s="4" t="inlineStr">
        <is>
          <t>t/m</t>
        </is>
      </c>
      <c r="E246" s="5" t="inlineStr">
        <is>
          <t>CAPTURA. 0 si no carga nada.</t>
        </is>
      </c>
      <c r="F246" s="6" t="inlineStr">
        <is>
          <t>Bajada de cargas</t>
        </is>
      </c>
    </row>
    <row r="247" spans="2:14" ht="15.45" customHeight="1" x14ac:dyDescent="0.3">
      <c r="B247" s="2" t="inlineStr">
        <is>
          <t>db longitudinal</t>
        </is>
      </c>
      <c r="C247" s="9">
        <f>INDEX(TABLAS!$C$6:$C$13,MATCH($C$241,TABLAS!$B$6:$B$13,0))</f>
        <v>1.91</v>
      </c>
      <c r="D247" s="4" t="inlineStr">
        <is>
          <t>cm</t>
        </is>
      </c>
      <c r="E247" s="5" t="inlineStr">
        <is>
          <t>CALCULADA.</t>
        </is>
      </c>
      <c r="F247" s="6" t="inlineStr">
        <is>
          <t>TABLAS, tabla 1</t>
        </is>
      </c>
    </row>
    <row r="248" spans="2:14" ht="15.45" customHeight="1" x14ac:dyDescent="0.3">
      <c r="B248" s="2" t="inlineStr">
        <is>
          <t>Área de una varilla longitudinal</t>
        </is>
      </c>
      <c r="C248" s="9">
        <f>INDEX(TABLAS!$D$6:$D$13,MATCH($C$241,TABLAS!$B$6:$B$13,0))</f>
        <v>2.85</v>
      </c>
      <c r="D248" s="4" t="inlineStr">
        <is>
          <t>cm²</t>
        </is>
      </c>
      <c r="E248" s="5" t="inlineStr">
        <is>
          <t>CALCULADA.</t>
        </is>
      </c>
      <c r="F248" s="6" t="inlineStr">
        <is>
          <t>TABLAS, tabla 1</t>
        </is>
      </c>
    </row>
    <row r="249" spans="2:14" ht="15.45" customHeight="1" x14ac:dyDescent="0.3">
      <c r="B249" s="2" t="inlineStr">
        <is>
          <t>db del estribo</t>
        </is>
      </c>
      <c r="C249" s="9">
        <f>INDEX(TABLAS!$C$6:$C$13,MATCH($C$242,TABLAS!$B$6:$B$13,0))</f>
        <v>1.27</v>
      </c>
      <c r="D249" s="4" t="inlineStr">
        <is>
          <t>cm</t>
        </is>
      </c>
      <c r="E249" s="5" t="inlineStr">
        <is>
          <t>CALCULADA.</t>
        </is>
      </c>
      <c r="F249" s="6" t="inlineStr">
        <is>
          <t>TABLAS, tabla 1</t>
        </is>
      </c>
    </row>
    <row r="250" spans="2:14" ht="15.45" customHeight="1" x14ac:dyDescent="0.3">
      <c r="B250" s="2" t="inlineStr">
        <is>
          <t>Área de una rama de estribo</t>
        </is>
      </c>
      <c r="C250" s="9">
        <f>INDEX(TABLAS!$D$6:$D$13,MATCH($C$242,TABLAS!$B$6:$B$13,0))</f>
        <v>1.27</v>
      </c>
      <c r="D250" s="4" t="inlineStr">
        <is>
          <t>cm²</t>
        </is>
      </c>
      <c r="E250" s="5" t="inlineStr">
        <is>
          <t>CALCULADA.</t>
        </is>
      </c>
      <c r="F250" s="6" t="inlineStr">
        <is>
          <t>TABLAS, tabla 1</t>
        </is>
      </c>
    </row>
    <row r="251" spans="2:14" ht="15.45" customHeight="1" x14ac:dyDescent="0.3">
      <c r="B251" s="2" t="inlineStr">
        <is>
          <t>d — peralte efectivo</t>
        </is>
      </c>
      <c r="C251" s="10">
        <f>$C$239*100-$C$240-$C$249-$C$247/2</f>
        <v>82.775</v>
      </c>
      <c r="D251" s="4" t="inlineStr">
        <is>
          <t>cm</t>
        </is>
      </c>
      <c r="E251" s="5" t="inlineStr">
        <is>
          <t>CALCULADA = h − r − estribo − db/2.</t>
        </is>
      </c>
      <c r="F251" s="6" t="inlineStr">
        <is>
          <t>Geometría</t>
        </is>
      </c>
    </row>
    <row r="252" spans="2:14" ht="15.45" customHeight="1" x14ac:dyDescent="0.3">
      <c r="B252" s="2" t="inlineStr">
        <is>
          <t>w_D — peso propio + carga adicional</t>
        </is>
      </c>
      <c r="C252" s="10">
        <f>$C$238*$C$239*DATOS!$C$24+$C$246</f>
        <v>0.8640000000000001</v>
      </c>
      <c r="D252" s="4" t="inlineStr">
        <is>
          <t>t/m</t>
        </is>
      </c>
      <c r="E252" s="5" t="inlineStr">
        <is>
          <t>CALCULADA.</t>
        </is>
      </c>
      <c r="F252" s="6" t="inlineStr">
        <is>
          <t>Geometría</t>
        </is>
      </c>
    </row>
    <row r="253" spans="2:14" ht="40.2" customHeight="1" x14ac:dyDescent="0.3">
      <c r="B253" s="2" t="inlineStr">
        <is>
          <t>Mu con tensión arriba (máximo, dentro de la zapata)</t>
        </is>
      </c>
      <c r="C253" s="10">
        <f>MAX($I$87:$M$87)</f>
        <v>40.92432445895643</v>
      </c>
      <c r="D253" s="4" t="inlineStr">
        <is>
          <t>t·m</t>
        </is>
      </c>
      <c r="E253" s="5" t="inlineStr">
        <is>
          <t>CALCULADA = Pu·s₀ + M − w(s₀ + cx/2)²/2 en el punto de cortante nulo, con w = Ru/Lx. Sin el peso propio de la contratrabe (chico frente a P·e).</t>
        </is>
      </c>
      <c r="F253" s="6" t="inlineStr">
        <is>
          <t>ACI 318-19, 13.2.6.4, pág. 200 · Bowles 5ª ed., §9.4</t>
        </is>
      </c>
    </row>
    <row r="254" spans="2:14" ht="27.75" customHeight="1" x14ac:dyDescent="0.3">
      <c r="B254" s="2" t="inlineStr">
        <is>
          <t>Mu con tensión abajo (momento de la columna en sentido contrario)</t>
        </is>
      </c>
      <c r="C254" s="10">
        <f>MAX($I$88:$M$88)</f>
        <v>7.591848650051921</v>
      </c>
      <c r="D254" s="4" t="inlineStr">
        <is>
          <t>t·m</t>
        </is>
      </c>
      <c r="E254" s="5" t="inlineStr">
        <is>
          <t>CALCULADA en el paño del dado.</t>
        </is>
      </c>
      <c r="F254" s="6" t="inlineStr">
        <is>
          <t>Estática</t>
        </is>
      </c>
    </row>
    <row r="255" spans="2:14" ht="27.75" customHeight="1" x14ac:dyDescent="0.3">
      <c r="B255" s="2" t="inlineStr">
        <is>
          <t>Vu de análisis</t>
        </is>
      </c>
      <c r="C255" s="10">
        <f>MAX($I$89:$M$89)</f>
        <v>9.421906853582556</v>
      </c>
      <c r="D255" s="4" t="inlineStr">
        <is>
          <t>t</t>
        </is>
      </c>
      <c r="E255" s="5" t="inlineStr">
        <is>
          <t>CALCULADA: el mayor entre el cortante a d del paño del dado y ΔPu en el claro.</t>
        </is>
      </c>
      <c r="F255" s="6" t="inlineStr">
        <is>
          <t>Tabla por combinación</t>
        </is>
      </c>
    </row>
    <row r="256" spans="2:14" ht="27.75" customHeight="1" x14ac:dyDescent="0.3">
      <c r="B256" s="2" t="inlineStr">
        <is>
          <t>Vu de gravedad (combinaciones sin A)</t>
        </is>
      </c>
      <c r="C256" s="10">
        <f>MAX($I$90:$M$90)</f>
        <v>9.421906853582556</v>
      </c>
      <c r="D256" s="4" t="inlineStr">
        <is>
          <t>t</t>
        </is>
      </c>
      <c r="E256" s="5" t="inlineStr">
        <is>
          <t>CALCULADA. Es la parte de gravedad que se suma al cortante por capacidad.</t>
        </is>
      </c>
      <c r="F256" s="6" t="inlineStr">
        <is>
          <t>ACI 318-19, 18.6.5.1</t>
        </is>
      </c>
    </row>
    <row r="257" spans="2:14" ht="15.45" customHeight="1" x14ac:dyDescent="0.3">
      <c r="B257" s="2" t="inlineStr">
        <is>
          <t>Nu — fuerza axial de amarre</t>
        </is>
      </c>
      <c r="C257" s="10">
        <f>MAX($I$91:$M$91)</f>
        <v>5.602800000000001</v>
      </c>
      <c r="D257" s="4" t="inlineStr">
        <is>
          <t>t</t>
        </is>
      </c>
      <c r="E257" s="5" t="inlineStr">
        <is>
          <t>CALCULADA = máx(fracción · Pu ; Vx de la base).</t>
        </is>
      </c>
      <c r="F257" s="6" t="inlineStr">
        <is>
          <t>ACI 318-19, 18.13.3</t>
        </is>
      </c>
    </row>
    <row r="258" spans="2:14" ht="27.75" customHeight="1" x14ac:dyDescent="0.3">
      <c r="B258" s="2" t="inlineStr">
        <is>
          <t>As por la fuerza axial (mitad arriba, mitad abajo)</t>
        </is>
      </c>
      <c r="C258" s="9">
        <f>$C$257*1000/(DATOS!$C$86*DATOS!$C$18)</f>
        <v>1.4822222222222226</v>
      </c>
      <c r="D258" s="4" t="inlineStr">
        <is>
          <t>cm²</t>
        </is>
      </c>
      <c r="E258" s="5" t="inlineStr">
        <is>
          <t>CALCULADA = Nu/(φ fy).</t>
        </is>
      </c>
      <c r="F258" s="6" t="inlineStr">
        <is>
          <t>ACI 318-19, 22.4</t>
        </is>
      </c>
    </row>
    <row r="259" spans="2:14" ht="15.45" customHeight="1" x14ac:dyDescent="0.3">
      <c r="B259" s="2" t="inlineStr">
        <is>
          <t>As por flexión arriba</t>
        </is>
      </c>
      <c r="C259" s="9">
        <f>IF($C$253&lt;=0,0,IF((1-2*$C$253*100000/(DATOS!$C$86*0.85*DATOS!$C$15*($C$238*100)*$C$251^2))&lt;0,9999,0.85*DATOS!$C$15*($C$238*100)/DATOS!$C$18*$C$251*(1-SQRT((1-2*$C$253*100000/(DATOS!$C$86*0.85*DATOS!$C$15*($C$238*100)*$C$251^2))))))</f>
        <v>13.634322230687099</v>
      </c>
      <c r="D259" s="4" t="inlineStr">
        <is>
          <t>cm²</t>
        </is>
      </c>
      <c r="E259" s="5" t="inlineStr">
        <is>
          <t>CALCULADA con φ = 0.90.</t>
        </is>
      </c>
      <c r="F259" s="6" t="inlineStr">
        <is>
          <t>ACI 318-19, 22.3</t>
        </is>
      </c>
    </row>
    <row r="260" spans="2:14" ht="15.45" customHeight="1" x14ac:dyDescent="0.3">
      <c r="B260" s="2" t="inlineStr">
        <is>
          <t>As por flexión abajo</t>
        </is>
      </c>
      <c r="C260" s="9">
        <f>IF($C$254&lt;=0,0,IF((1-2*$C$254*100000/(DATOS!$C$86*0.85*DATOS!$C$15*($C$238*100)*$C$251^2))&lt;0,9999,0.85*DATOS!$C$15*($C$238*100)/DATOS!$C$18*$C$251*(1-SQRT((1-2*$C$254*100000/(DATOS!$C$86*0.85*DATOS!$C$15*($C$238*100)*$C$251^2))))))</f>
        <v>2.444198275867561</v>
      </c>
      <c r="D260" s="4" t="inlineStr">
        <is>
          <t>cm²</t>
        </is>
      </c>
      <c r="E260" s="5" t="inlineStr">
        <is>
          <t>CALCULADA.</t>
        </is>
      </c>
      <c r="F260" s="6" t="inlineStr">
        <is>
          <t>ACI 318-19, 22.3</t>
        </is>
      </c>
    </row>
    <row r="261" spans="2:14" ht="15.45" customHeight="1" x14ac:dyDescent="0.3">
      <c r="B261" s="2" t="inlineStr">
        <is>
          <t>As mínima de viga</t>
        </is>
      </c>
      <c r="C261" s="9">
        <f>MAX(0.25*DATOS!$C$17/DATOS!$C$19,1.4/DATOS!$C$19)*$C$238*100*$C$251</f>
        <v>11.254309733333335</v>
      </c>
      <c r="D261" s="4" t="inlineStr">
        <is>
          <t>cm²</t>
        </is>
      </c>
      <c r="E261" s="5" t="inlineStr">
        <is>
          <t>CALCULADA = máx(0.25√f'c/fy ; 1.4/fy)·b·d, en MPa.</t>
        </is>
      </c>
      <c r="F261" s="6" t="inlineStr">
        <is>
          <t>ACI 318-19, 9.6.1.2</t>
        </is>
      </c>
    </row>
    <row r="262" spans="2:14" ht="15.45" customHeight="1" x14ac:dyDescent="0.3">
      <c r="B262" s="2" t="inlineStr">
        <is>
          <t>As arriba de diseño</t>
        </is>
      </c>
      <c r="C262" s="9">
        <f>MAX($C$259,$C$261)+$C$258/2</f>
        <v>14.37543334179821</v>
      </c>
      <c r="D262" s="4" t="inlineStr">
        <is>
          <t>cm²</t>
        </is>
      </c>
      <c r="E262" s="5" t="inlineStr">
        <is>
          <t>CALCULADA.</t>
        </is>
      </c>
      <c r="F262" s="6" t="inlineStr">
        <is>
          <t>ACI 318-19, 9.6.1.2</t>
        </is>
      </c>
    </row>
    <row r="263" spans="2:14" ht="15.45" customHeight="1" x14ac:dyDescent="0.3">
      <c r="B263" s="2" t="inlineStr">
        <is>
          <t>Varillas arriba</t>
        </is>
      </c>
      <c r="C263" s="27">
        <f>MAX(2,CEILING($C$262/$C$248,1))</f>
        <v>6</v>
      </c>
      <c r="D263" s="4" t="inlineStr">
        <is>
          <t>pzas</t>
        </is>
      </c>
      <c r="E263" s="5" t="inlineStr">
        <is>
          <t>CALCULADA. Mínimo 2 corridas.</t>
        </is>
      </c>
      <c r="F263" s="6" t="inlineStr">
        <is>
          <t>ACI 318-19, 18.6.3.1</t>
        </is>
      </c>
    </row>
    <row r="264" spans="2:14" ht="27.75" customHeight="1" x14ac:dyDescent="0.3">
      <c r="B264" s="2" t="inlineStr">
        <is>
          <t>As abajo de diseño</t>
        </is>
      </c>
      <c r="C264" s="9">
        <f>MAX($C$260,$C$261,IF($C$245="SÍ",0.5*$C$263*$C$248,0))+$C$258/2</f>
        <v>11.995420844444446</v>
      </c>
      <c r="D264" s="4" t="inlineStr">
        <is>
          <t>cm²</t>
        </is>
      </c>
      <c r="E264" s="5" t="inlineStr">
        <is>
          <t>CALCULADA. Con detallado sísmico, abajo al menos la mitad de lo de arriba.</t>
        </is>
      </c>
      <c r="F264" s="6" t="inlineStr">
        <is>
          <t>ACI 318-19, 18.6.3.2</t>
        </is>
      </c>
    </row>
    <row r="265" spans="2:14" ht="15.45" customHeight="1" x14ac:dyDescent="0.3">
      <c r="B265" s="2" t="inlineStr">
        <is>
          <t>Varillas abajo</t>
        </is>
      </c>
      <c r="C265" s="27">
        <f>MAX(2,CEILING($C$264/$C$248,1))</f>
        <v>5</v>
      </c>
      <c r="D265" s="4" t="inlineStr">
        <is>
          <t>pzas</t>
        </is>
      </c>
      <c r="E265" s="5" t="inlineStr">
        <is>
          <t>CALCULADA.</t>
        </is>
      </c>
      <c r="F265" s="6" t="inlineStr">
        <is>
          <t>ACI 318-19, 18.6.3.1</t>
        </is>
      </c>
    </row>
    <row r="266" spans="2:14" ht="27.75" customHeight="1" x14ac:dyDescent="0.3">
      <c r="B266" s="2" t="inlineStr">
        <is>
          <t>Separación libre entre varillas del lecho más cargado</t>
        </is>
      </c>
      <c r="C266" s="9">
        <f>($C$238*100-2*($C$240+$C$249)-MAX($C$263,$C$265)*$C$247)/MAX(1,MAX($C$263,$C$265)-1)</f>
        <v>3.2</v>
      </c>
      <c r="D266" s="4" t="inlineStr">
        <is>
          <t>cm</t>
        </is>
      </c>
      <c r="E266" s="5" t="inlineStr">
        <is>
          <t>CALCULADA.</t>
        </is>
      </c>
      <c r="F266" s="6" t="inlineStr">
        <is>
          <t>Geometría</t>
        </is>
      </c>
    </row>
    <row r="267" spans="2:14" ht="15.45" customHeight="1" x14ac:dyDescent="0.3">
      <c r="B267" s="25" t="inlineStr">
        <is>
          <t>¿Caben en una sola capa?</t>
        </is>
      </c>
      <c r="C267" s="26" t="str">
        <f>IF($C$15="NO","NO APLICA",IF($C$266&gt;=MAX(2.5,$C$247,4/3*DATOS!$C$25/10),"CUMPLE","NO CUMPLE — ancho mayor o varilla más gruesa"))</f>
        <v>CUMPLE</v>
      </c>
      <c r="D267" s="4" t="inlineStr">
        <is>
          <t>—</t>
        </is>
      </c>
      <c r="E267" s="5" t="inlineStr">
        <is>
          <t>Separación libre ≥ máx(25 mm, db, 4/3 agregado).</t>
        </is>
      </c>
      <c r="F267" s="6" t="inlineStr">
        <is>
          <t>ACI 318-19, 25.2.1</t>
        </is>
      </c>
    </row>
    <row r="268" spans="2:14" ht="15.45" customHeight="1" x14ac:dyDescent="0.3">
      <c r="B268" s="2" t="inlineStr">
        <is>
          <t>ρ arriba</t>
        </is>
      </c>
      <c r="C268" s="13">
        <f>$C$263*$C$248/($C$238*100*$C$251)</f>
        <v>0.005164602839021444</v>
      </c>
      <c r="D268" s="4" t="inlineStr">
        <is>
          <t>—</t>
        </is>
      </c>
      <c r="E268" s="5" t="inlineStr">
        <is>
          <t>CALCULADA.</t>
        </is>
      </c>
      <c r="F268" s="6" t="inlineStr">
        <is>
          <t>ACI 318-19, 18.6.3.1</t>
        </is>
      </c>
    </row>
    <row r="269" spans="2:14" ht="15.45" customHeight="1" x14ac:dyDescent="0.3">
      <c r="B269" s="25" t="inlineStr">
        <is>
          <t>Cuantía máxima (0.025 con detallado sísmico)</t>
        </is>
      </c>
      <c r="C269" s="26" t="str">
        <f>IF($C$15="NO","NO APLICA",IF(OR($C$245="NO",$C$268&lt;=0.025),"CUMPLE","NO CUMPLE — aumentar la sección"))</f>
        <v>CUMPLE</v>
      </c>
      <c r="D269" s="4" t="inlineStr">
        <is>
          <t>—</t>
        </is>
      </c>
      <c r="E269" s="5" t="inlineStr">
        <is>
          <t>ρ ≤ 0.025.</t>
        </is>
      </c>
      <c r="F269" s="6" t="inlineStr">
        <is>
          <t>ACI 318-19, 18.6.3.1</t>
        </is>
      </c>
    </row>
    <row r="270" spans="2:14" ht="27.75" customHeight="1" x14ac:dyDescent="0.3">
      <c r="B270" s="2" t="inlineStr">
        <is>
          <t>a — bloque de compresión, acero arriba disponible para flexión</t>
        </is>
      </c>
      <c r="C270" s="10">
        <f>MAX(0.01,$C$263*$C$248-$C$258/2)*DATOS!$C$18/(0.85*DATOS!$C$15*$C$238*100)</f>
        <v>8.08321568627451</v>
      </c>
      <c r="D270" s="4" t="inlineStr">
        <is>
          <t>cm</t>
        </is>
      </c>
      <c r="E270" s="5" t="inlineStr">
        <is>
          <t>CALCULADA descontando el acero que toma la fuerza axial.</t>
        </is>
      </c>
      <c r="F270" s="6" t="inlineStr">
        <is>
          <t>ACI 318-19, 22.2</t>
        </is>
      </c>
    </row>
    <row r="271" spans="2:14" ht="15.45" customHeight="1" x14ac:dyDescent="0.3">
      <c r="B271" s="2" t="inlineStr">
        <is>
          <t>εt arriba</t>
        </is>
      </c>
      <c r="C271" s="13">
        <f>0.003*($C$251-$C$270/DATOS!$C$22)/($C$270/DATOS!$C$22)</f>
        <v>0.023112905827616655</v>
      </c>
      <c r="D271" s="4" t="inlineStr">
        <is>
          <t>—</t>
        </is>
      </c>
      <c r="E271" s="5" t="inlineStr">
        <is>
          <t>CALCULADA.</t>
        </is>
      </c>
      <c r="F271" s="6" t="inlineStr">
        <is>
          <t>ACI 318-19, 22.2.2.1</t>
        </is>
      </c>
    </row>
    <row r="272" spans="2:14" ht="15.45" customHeight="1" x14ac:dyDescent="0.3">
      <c r="B272" s="2" t="inlineStr">
        <is>
          <t>φMn arriba</t>
        </is>
      </c>
      <c r="C272" s="10">
        <f>IF($C$271&gt;=DATOS!$C$21+0.003,0.9,IF($C$271&lt;=DATOS!$C$21,0.65,0.65+0.25*($C$271-DATOS!$C$21)/0.003))*MAX(0.01,$C$263*$C$248-$C$258/2)*DATOS!$C$18*($C$251-$C$270/2)/100000</f>
        <v>48.686052774470596</v>
      </c>
      <c r="D272" s="4" t="inlineStr">
        <is>
          <t>t·m</t>
        </is>
      </c>
      <c r="E272" s="5" t="inlineStr">
        <is>
          <t>CALCULADA.</t>
        </is>
      </c>
      <c r="F272" s="6" t="inlineStr">
        <is>
          <t>ACI 318-19, 22.3 y Tabla 21.2.2</t>
        </is>
      </c>
    </row>
    <row r="273" spans="2:14" ht="15.45" customHeight="1" x14ac:dyDescent="0.3">
      <c r="B273" s="25" t="inlineStr">
        <is>
          <t>Flexión arriba</t>
        </is>
      </c>
      <c r="C273" s="26" t="str">
        <f>IF($C$15="NO","NO APLICA",IF($C$272&gt;=$C$253,"CUMPLE","NO CUMPLE — más varillas o sección mayor"))</f>
        <v>CUMPLE</v>
      </c>
      <c r="D273" s="4" t="inlineStr">
        <is>
          <t>—</t>
        </is>
      </c>
      <c r="E273" s="5" t="inlineStr">
        <is>
          <t>φMn ≥ Mu.</t>
        </is>
      </c>
      <c r="F273" s="6" t="inlineStr">
        <is>
          <t>ACI 318-19, 9.5.1.1</t>
        </is>
      </c>
    </row>
    <row r="274" spans="2:14" ht="27.75" customHeight="1" x14ac:dyDescent="0.3">
      <c r="B274" s="2" t="inlineStr">
        <is>
          <t>a — bloque de compresión, acero abajo disponible para flexión</t>
        </is>
      </c>
      <c r="C274" s="10">
        <f>MAX(0.01,$C$265*$C$248-$C$258/2)*DATOS!$C$18/(0.85*DATOS!$C$15*$C$238*100)</f>
        <v>6.674980392156862</v>
      </c>
      <c r="D274" s="4" t="inlineStr">
        <is>
          <t>cm</t>
        </is>
      </c>
      <c r="E274" s="5" t="inlineStr">
        <is>
          <t>CALCULADA.</t>
        </is>
      </c>
      <c r="F274" s="6" t="inlineStr">
        <is>
          <t>ACI 318-19, 22.2</t>
        </is>
      </c>
    </row>
    <row r="275" spans="2:14" ht="15.45" customHeight="1" x14ac:dyDescent="0.3">
      <c r="B275" s="2" t="inlineStr">
        <is>
          <t>εt abajo</t>
        </is>
      </c>
      <c r="C275" s="13">
        <f>0.003*($C$251-$C$274/DATOS!$C$22)/($C$274/DATOS!$C$22)</f>
        <v>0.02862200300213851</v>
      </c>
      <c r="D275" s="4" t="inlineStr">
        <is>
          <t>—</t>
        </is>
      </c>
      <c r="E275" s="5" t="inlineStr">
        <is>
          <t>CALCULADA.</t>
        </is>
      </c>
      <c r="F275" s="6" t="inlineStr">
        <is>
          <t>ACI 318-19, 22.2.2.1</t>
        </is>
      </c>
    </row>
    <row r="276" spans="2:14" ht="15.45" customHeight="1" x14ac:dyDescent="0.3">
      <c r="B276" s="2" t="inlineStr">
        <is>
          <t>φMn abajo</t>
        </is>
      </c>
      <c r="C276" s="10">
        <f>IF($C$275&gt;=DATOS!$C$21+0.003,0.9,IF($C$275&lt;=DATOS!$C$21,0.65,0.65+0.25*($C$275-DATOS!$C$21)/0.003))*MAX(0.01,$C$265*$C$248-$C$258/2)*DATOS!$C$18*($C$251-$C$274/2)/100000</f>
        <v>40.563652256235294</v>
      </c>
      <c r="D276" s="4" t="inlineStr">
        <is>
          <t>t·m</t>
        </is>
      </c>
      <c r="E276" s="5" t="inlineStr">
        <is>
          <t>CALCULADA.</t>
        </is>
      </c>
      <c r="F276" s="6" t="inlineStr">
        <is>
          <t>ACI 318-19, 22.3 y Tabla 21.2.2</t>
        </is>
      </c>
    </row>
    <row r="277" spans="2:14" ht="15.45" customHeight="1" x14ac:dyDescent="0.3">
      <c r="B277" s="25" t="inlineStr">
        <is>
          <t>Flexión abajo</t>
        </is>
      </c>
      <c r="C277" s="26" t="str">
        <f>IF($C$15="NO","NO APLICA",IF($C$276&gt;=$C$254,"CUMPLE","NO CUMPLE — más varillas o sección mayor"))</f>
        <v>CUMPLE</v>
      </c>
      <c r="D277" s="4" t="inlineStr">
        <is>
          <t>—</t>
        </is>
      </c>
      <c r="E277" s="5" t="inlineStr">
        <is>
          <t>φMn ≥ Mu.</t>
        </is>
      </c>
      <c r="F277" s="6" t="inlineStr">
        <is>
          <t>ACI 318-19, 9.5.1.1</t>
        </is>
      </c>
    </row>
    <row r="278" spans="2:14" ht="15.45" customHeight="1" x14ac:dyDescent="0.3">
      <c r="B278" s="2" t="inlineStr">
        <is>
          <t>Mpr arriba (1.25 fy, φ = 1)</t>
        </is>
      </c>
      <c r="C278" s="10">
        <f>$C$263*$C$248*1.25*DATOS!$C$18*($C$251-$C$263*$C$248*1.25*DATOS!$C$18/(0.85*DATOS!$C$15*$C$238*100)/2)/100000</f>
        <v>69.57034411764707</v>
      </c>
      <c r="D278" s="4" t="inlineStr">
        <is>
          <t>t·m</t>
        </is>
      </c>
      <c r="E278" s="5" t="inlineStr">
        <is>
          <t>CALCULADA.</t>
        </is>
      </c>
      <c r="F278" s="6" t="inlineStr">
        <is>
          <t>ACI 318-19, 18.6.5.1</t>
        </is>
      </c>
    </row>
    <row r="279" spans="2:14" ht="15.45" customHeight="1" x14ac:dyDescent="0.3">
      <c r="B279" s="2" t="inlineStr">
        <is>
          <t>Mpr abajo (1.25 fy, φ = 1)</t>
        </is>
      </c>
      <c r="C279" s="10">
        <f>$C$265*$C$248*1.25*DATOS!$C$18*($C$251-$C$265*$C$248*1.25*DATOS!$C$18/(0.85*DATOS!$C$15*$C$238*100)/2)/100000</f>
        <v>58.633746783088235</v>
      </c>
      <c r="D279" s="4" t="inlineStr">
        <is>
          <t>t·m</t>
        </is>
      </c>
      <c r="E279" s="5" t="inlineStr">
        <is>
          <t>CALCULADA.</t>
        </is>
      </c>
      <c r="F279" s="6" t="inlineStr">
        <is>
          <t>ACI 318-19, 18.6.5.1</t>
        </is>
      </c>
    </row>
    <row r="280" spans="2:14" ht="15.45" customHeight="1" x14ac:dyDescent="0.3">
      <c r="B280" s="2" t="inlineStr">
        <is>
          <t>Cortante por capacidad (Mpr⁺ + Mpr⁻)/Ln</t>
        </is>
      </c>
      <c r="C280" s="10">
        <f>IF($C$30&gt;0,($C$278+$C$279)/$C$30,0)</f>
        <v>30.52478354779412</v>
      </c>
      <c r="D280" s="4" t="inlineStr">
        <is>
          <t>t</t>
        </is>
      </c>
      <c r="E280" s="5" t="inlineStr">
        <is>
          <t>CALCULADA.</t>
        </is>
      </c>
      <c r="F280" s="6" t="inlineStr">
        <is>
          <t>ACI 318-19, 18.6.5.1</t>
        </is>
      </c>
    </row>
    <row r="281" spans="2:14" ht="15.45" customHeight="1" x14ac:dyDescent="0.3">
      <c r="B281" s="2" t="inlineStr">
        <is>
          <t>Ve = Vpr + Vu de gravedad + 1.2 w_D Ln/2</t>
        </is>
      </c>
      <c r="C281" s="10">
        <f>$C$280+$C$256+1.2*$C$252*$C$30/2</f>
        <v>42.123970401376674</v>
      </c>
      <c r="D281" s="4" t="inlineStr">
        <is>
          <t>t</t>
        </is>
      </c>
      <c r="E281" s="5" t="inlineStr">
        <is>
          <t>CALCULADA.</t>
        </is>
      </c>
      <c r="F281" s="6" t="inlineStr">
        <is>
          <t>ACI 318-19, 18.6.5.1</t>
        </is>
      </c>
    </row>
    <row r="282" spans="2:14" ht="27.75" customHeight="1" x14ac:dyDescent="0.3">
      <c r="B282" s="2" t="inlineStr">
        <is>
          <t>Vu de diseño</t>
        </is>
      </c>
      <c r="C282" s="10">
        <f>IF($C$245="SÍ",MAX($C$281,$C$255),$C$255)</f>
        <v>42.123970401376674</v>
      </c>
      <c r="D282" s="4" t="inlineStr">
        <is>
          <t>t</t>
        </is>
      </c>
      <c r="E282" s="5" t="inlineStr">
        <is>
          <t>CALCULADA: con detallado sísmico manda el cortante por capacidad.</t>
        </is>
      </c>
      <c r="F282" s="6" t="inlineStr">
        <is>
          <t>ACI 318-19, 18.6.5.1</t>
        </is>
      </c>
    </row>
    <row r="283" spans="2:14" ht="27.75" customHeight="1" x14ac:dyDescent="0.3">
      <c r="B283" s="2" t="inlineStr">
        <is>
          <t>Vc = (0.17 λ√f'c − Nu/6Ag) b d</t>
        </is>
      </c>
      <c r="C283" s="10">
        <f>MAX(0,0.17*DATOS!$C$23*DATOS!$C$17-$C$257*9806.65/(6*$C$238*$C$239*1000000))*DATOS!$C$89*$C$238*100*$C$251/1000</f>
        <v>27.560800384417195</v>
      </c>
      <c r="D283" s="4" t="inlineStr">
        <is>
          <t>t</t>
        </is>
      </c>
      <c r="E283" s="5" t="inlineStr">
        <is>
          <t>CALCULADA con la fuerza de amarre como tensión (del lado seguro).</t>
        </is>
      </c>
      <c r="F283" s="6" t="inlineStr">
        <is>
          <t>ACI 318-19, Tabla 22.5.5.1(a)</t>
        </is>
      </c>
    </row>
    <row r="284" spans="2:14" ht="27.75" customHeight="1" x14ac:dyDescent="0.3">
      <c r="B284" s="2" t="inlineStr">
        <is>
          <t>Vc que se considera</t>
        </is>
      </c>
      <c r="C284" s="10">
        <f>IF(AND($C$245="SÍ",$C$280&gt;=0.5*$C$282),0,$C$283)</f>
        <v>0</v>
      </c>
      <c r="D284" s="4" t="inlineStr">
        <is>
          <t>t</t>
        </is>
      </c>
      <c r="E284" s="5" t="inlineStr">
        <is>
          <t>CALCULADA: Vc = 0 si el cortante sísmico es ≥ la mitad del de diseño.</t>
        </is>
      </c>
      <c r="F284" s="6" t="inlineStr">
        <is>
          <t>ACI 318-19, 18.6.5.2</t>
        </is>
      </c>
    </row>
    <row r="285" spans="2:14" ht="15.45" customHeight="1" x14ac:dyDescent="0.3">
      <c r="B285" s="2" t="inlineStr">
        <is>
          <t>Vs requerido</t>
        </is>
      </c>
      <c r="C285" s="10">
        <f>MAX(0,$C$282/DATOS!$C$87-$C$284)</f>
        <v>56.16529386850223</v>
      </c>
      <c r="D285" s="4" t="inlineStr">
        <is>
          <t>t</t>
        </is>
      </c>
      <c r="E285" s="5" t="inlineStr">
        <is>
          <t>CALCULADA = Vu/φ − Vc.</t>
        </is>
      </c>
      <c r="F285" s="6" t="inlineStr">
        <is>
          <t>ACI 318-19, 22.5.1.1</t>
        </is>
      </c>
    </row>
    <row r="286" spans="2:14" ht="15.45" customHeight="1" x14ac:dyDescent="0.3">
      <c r="B286" s="25" t="inlineStr">
        <is>
          <t>Límite de la sección por cortante</t>
        </is>
      </c>
      <c r="C286" s="26" t="str">
        <f>IF($C$15="NO","NO APLICA",IF($C$285&lt;=0.66*DATOS!$C$17*DATOS!$C$89*$C$238*100*$C$251/1000,"CUMPLE","NO CUMPLE — aumentar la sección"))</f>
        <v>CUMPLE</v>
      </c>
      <c r="D286" s="4" t="inlineStr">
        <is>
          <t>—</t>
        </is>
      </c>
      <c r="E286" s="5" t="inlineStr">
        <is>
          <t>Vs ≤ 0.66√f'c b d.</t>
        </is>
      </c>
      <c r="F286" s="6" t="inlineStr">
        <is>
          <t>ACI 318-19, 22.5.1.2</t>
        </is>
      </c>
    </row>
    <row r="287" spans="2:14" ht="15.45" customHeight="1" x14ac:dyDescent="0.3">
      <c r="B287" s="2" t="inlineStr">
        <is>
          <t>Separación por resistencia</t>
        </is>
      </c>
      <c r="C287" s="11">
        <f>IF($C$285&lt;=0,999,$C$243*$C$250*DATOS!$C$18*$C$251/($C$285*1000))</f>
        <v>15.722230565862226</v>
      </c>
      <c r="D287" s="4" t="inlineStr">
        <is>
          <t>cm</t>
        </is>
      </c>
      <c r="E287" s="5" t="inlineStr">
        <is>
          <t>CALCULADA = Av fy d / Vs.</t>
        </is>
      </c>
      <c r="F287" s="6" t="inlineStr">
        <is>
          <t>ACI 318-19, 22.5.8.5.3</t>
        </is>
      </c>
    </row>
    <row r="288" spans="2:14" ht="15.45" customHeight="1" x14ac:dyDescent="0.3">
      <c r="B288" s="2" t="inlineStr">
        <is>
          <t>Separación por Av,mín</t>
        </is>
      </c>
      <c r="C288" s="11">
        <f>$C$243*$C$250*DATOS!$C$19/(MAX(0.062*DATOS!$C$17,0.35)*$C$238*100)</f>
        <v>74.72639548111246</v>
      </c>
      <c r="D288" s="4" t="inlineStr">
        <is>
          <t>cm</t>
        </is>
      </c>
      <c r="E288" s="5" t="inlineStr">
        <is>
          <t>CALCULADA con Av,mín/s = máx(0.062√f'c ; 0.35)·b/fyt.</t>
        </is>
      </c>
      <c r="F288" s="6" t="inlineStr">
        <is>
          <t>ACI 318-19, Tabla 9.6.3.4</t>
        </is>
      </c>
    </row>
    <row r="289" spans="2:14" ht="15.45" customHeight="1" x14ac:dyDescent="0.3">
      <c r="B289" s="2" t="inlineStr">
        <is>
          <t>Separación máxima</t>
        </is>
      </c>
      <c r="C289" s="11">
        <f>IF($C$285*1000&gt;0.33*DATOS!$C$17*DATOS!$C$89*$C$238*100*$C$251,MIN($C$251/4,30),MIN($C$251/2,60))</f>
        <v>20.69375</v>
      </c>
      <c r="D289" s="4" t="inlineStr">
        <is>
          <t>cm</t>
        </is>
      </c>
      <c r="E289" s="5" t="inlineStr">
        <is>
          <t>CALCULADA: d/2 ≤ 60 cm (d/4 ≤ 30 cm si Vs &gt; 0.33√f'c b d).</t>
        </is>
      </c>
      <c r="F289" s="6" t="inlineStr">
        <is>
          <t>ACI 318-19, Tabla 9.7.6.2.2</t>
        </is>
      </c>
    </row>
    <row r="290" spans="2:14" ht="15.45" customHeight="1" x14ac:dyDescent="0.3">
      <c r="B290" s="2" t="inlineStr">
        <is>
          <t>Separación máxima de liga sísmica</t>
        </is>
      </c>
      <c r="C290" s="11">
        <f>IF($C$245="SÍ",MIN(0.5*MIN($C$238,$C$239)*100,30),999)</f>
        <v>20</v>
      </c>
      <c r="D290" s="4" t="inlineStr">
        <is>
          <t>cm</t>
        </is>
      </c>
      <c r="E290" s="5" t="inlineStr">
        <is>
          <t>CALCULADA = menor de ½ de la menor dimensión y 300 mm.</t>
        </is>
      </c>
      <c r="F290" s="6" t="inlineStr">
        <is>
          <t>ACI 318-19, 18.13.3.2</t>
        </is>
      </c>
    </row>
    <row r="291" spans="2:14" ht="15.45" customHeight="1" x14ac:dyDescent="0.3">
      <c r="B291" s="25" t="inlineStr">
        <is>
          <t>SEPARACIÓN EN EL CENTRO DEL CLARO</t>
        </is>
      </c>
      <c r="C291" s="28">
        <f>MAX(DATOS!$C$91,FLOOR(MIN($C$287,$C$288,$C$289,$C$290),DATOS!$C$91))</f>
        <v>15</v>
      </c>
      <c r="D291" s="4" t="inlineStr">
        <is>
          <t>cm</t>
        </is>
      </c>
      <c r="E291" s="5" t="inlineStr">
        <is>
          <t>CALCULADA.</t>
        </is>
      </c>
      <c r="F291" s="6" t="inlineStr">
        <is>
          <t>Práctica de armado</t>
        </is>
      </c>
    </row>
    <row r="292" spans="2:14" ht="27.75" customHeight="1" x14ac:dyDescent="0.3">
      <c r="B292" s="25" t="inlineStr">
        <is>
          <t>SEPARACIÓN EN LA ZONA CONFINADA (2h desde cada paño)</t>
        </is>
      </c>
      <c r="C292" s="28">
        <f>IF($C$245="SÍ",MAX(DATOS!$C$91,FLOOR(MIN($C$291,$C$251/4,6*$C$247,15),DATOS!$C$91)),$C$291)</f>
        <v>10</v>
      </c>
      <c r="D292" s="4" t="inlineStr">
        <is>
          <t>cm</t>
        </is>
      </c>
      <c r="E292" s="5" t="inlineStr">
        <is>
          <t>CALCULADA = menor de d/4, 6db y 150 mm; primer estribo a 5 cm del paño.</t>
        </is>
      </c>
      <c r="F292" s="6" t="inlineStr">
        <is>
          <t>ACI 318-19, 18.6.4.1 y 18.6.4.4</t>
        </is>
      </c>
    </row>
    <row r="293" spans="2:14" ht="15.45" customHeight="1" x14ac:dyDescent="0.3">
      <c r="B293" s="2" t="inlineStr">
        <is>
          <t>Longitud de la zona confinada</t>
        </is>
      </c>
      <c r="C293" s="9">
        <f>2*$C$239</f>
        <v>1.8</v>
      </c>
      <c r="D293" s="4" t="inlineStr">
        <is>
          <t>m</t>
        </is>
      </c>
      <c r="E293" s="5" t="inlineStr">
        <is>
          <t>CALCULADA = 2h.</t>
        </is>
      </c>
      <c r="F293" s="6" t="inlineStr">
        <is>
          <t>ACI 318-19, 18.6.4.1</t>
        </is>
      </c>
    </row>
    <row r="294" spans="2:14" ht="27.75" customHeight="1" x14ac:dyDescent="0.3">
      <c r="B294" s="25" t="inlineStr">
        <is>
          <t>Dimensiones de la liga sísmica</t>
        </is>
      </c>
      <c r="C294" s="26" t="str">
        <f>IF(OR($C$15="NO",$C$245="NO"),"CUMPLE — no aplica",IF(AND(MIN($C$238,$C$239)&gt;=MIN($C$30/20,0.45),$C$238*100&gt;=MIN(0.3*$C$239*100,25),$C$30*100&gt;=4*$C$251),"CUMPLE","NO CUMPLE — revisar b, h o el claro"))</f>
        <v>CUMPLE</v>
      </c>
      <c r="D294" s="4" t="inlineStr">
        <is>
          <t>—</t>
        </is>
      </c>
      <c r="E294" s="5" t="inlineStr">
        <is>
          <t>Menor dimensión ≥ claro/20 (≤ 45 cm); b ≥ menor de 0.3h y 25 cm; Ln ≥ 4d.</t>
        </is>
      </c>
      <c r="F294" s="6" t="inlineStr">
        <is>
          <t>ACI 318-19, 18.13.3.2 y 18.6.2.1</t>
        </is>
      </c>
    </row>
    <row r="295" spans="2:14" ht="27.75" customHeight="1" x14ac:dyDescent="0.3">
      <c r="B295" s="2" t="inlineStr">
        <is>
          <t>ldh de la varilla de arriba, desde la cara interior del dado de lindero</t>
        </is>
      </c>
      <c r="C295" s="9">
        <f>MAX(DATOS!$C$19*1.6*$C$202/(23*DATOS!$C$23*DATOS!$C$17)*($C$247*10)^1.5/10,8*$C$247,15)</f>
        <v>40.260746685753666</v>
      </c>
      <c r="D295" s="4" t="inlineStr">
        <is>
          <t>cm</t>
        </is>
      </c>
      <c r="E295" s="5" t="inlineStr">
        <is>
          <t>CALCULADA con ψr = 1.6 y ψo = 1.0 (gancho dentro del núcleo del dado, recubrimiento lateral ≥ 65 mm).</t>
        </is>
      </c>
      <c r="F295" s="6" t="inlineStr">
        <is>
          <t>ACI 318-19, 25.4.3.1 y Tabla 25.4.3.2</t>
        </is>
      </c>
    </row>
    <row r="296" spans="2:14" ht="40.2" customHeight="1" x14ac:dyDescent="0.3">
      <c r="B296" s="25" t="inlineStr">
        <is>
          <t>Anclaje de la contratrabe en el dado de lindero</t>
        </is>
      </c>
      <c r="C296" s="26" t="str">
        <f>IF($C$15="NO","NO APLICA",IF(DATOS!$C$64*100-5&gt;=$C$295,"CUMPLE — gancho a 90° en la cara del lindero","NO CUMPLE — dado más ancho en X o varilla más delgada"))</f>
        <v>CUMPLE — gancho a 90° en la cara del lindero</v>
      </c>
      <c r="D296" s="4" t="inlineStr">
        <is>
          <t>—</t>
        </is>
      </c>
      <c r="E296" s="5" t="inlineStr">
        <is>
          <t>El momento máximo está junto a la columna: las varillas de arriba llegan a la cara del lindero y rematan con gancho; en la interior pasan corridas.</t>
        </is>
      </c>
      <c r="F296" s="6" t="inlineStr">
        <is>
          <t>ACI 318-19, 18.13.3.1 y 25.4.3</t>
        </is>
      </c>
    </row>
    <row r="297" spans="2:14" ht="27.75" customHeight="1" x14ac:dyDescent="0.3">
      <c r="B297" s="25" t="inlineStr">
        <is>
          <t>ARMADO LONGITUDINAL DE LA CONTRATRABE</t>
        </is>
      </c>
      <c r="C297" s="26" t="str">
        <f>IF($C$15="NO","No lleva",$C$263&amp;" #"&amp;$C$241&amp;" arriba + "&amp;$C$265&amp;" #"&amp;$C$241&amp;" abajo, corridas")</f>
        <v>6 #6 arriba + 5 #6 abajo, corridas</v>
      </c>
      <c r="D297" s="4" t="inlineStr">
        <is>
          <t>—</t>
        </is>
      </c>
      <c r="E297" s="5" t="inlineStr">
        <is>
          <t>Resultado.</t>
        </is>
      </c>
      <c r="F297" s="6" t="inlineStr">
        <is>
          <t>Resultado</t>
        </is>
      </c>
    </row>
    <row r="298" spans="2:14" ht="52.5" customHeight="1" x14ac:dyDescent="0.3">
      <c r="B298" s="25" t="inlineStr">
        <is>
          <t>ESTRIBOS DE LA CONTRATRABE</t>
        </is>
      </c>
      <c r="C298" s="26" t="str">
        <f>IF($C$15="NO","No lleva","E#"&amp;$C$242&amp;" ("&amp;$C$243&amp;" ramas) @ "&amp;TEXT($C$292,"0.0")&amp;" cm en "&amp;TEXT($C$293,"0.00")&amp;" m desde cada paño; resto @ "&amp;TEXT($C$291,"0.0")&amp;" cm")</f>
        <v>E#4 (2 ramas) @ 10.0 cm en 1.80 m desde cada paño; resto @ 15.0 cm</v>
      </c>
      <c r="D298" s="4" t="inlineStr">
        <is>
          <t>—</t>
        </is>
      </c>
      <c r="E298" s="5" t="inlineStr">
        <is>
          <t>Resultado.</t>
        </is>
      </c>
      <c r="F298" s="6" t="inlineStr">
        <is>
          <t>Resultado</t>
        </is>
      </c>
    </row>
    <row r="300" spans="2:14" ht="18" customHeight="1" x14ac:dyDescent="0.3">
      <c r="B300" s="38" t="inlineStr">
        <is>
          <t>14. ARMADO QUE SE ADOPTA — el que va al plano y al RESUMEN</t>
        </is>
      </c>
      <c r="C300" s="37"/>
      <c r="D300" s="37"/>
      <c r="E300" s="37"/>
      <c r="F300" s="37"/>
    </row>
    <row r="301" spans="2:14" x14ac:dyDescent="0.3">
      <c r="B301" s="1" t="inlineStr">
        <is>
          <t>Concepto</t>
        </is>
      </c>
      <c r="C301" s="1" t="inlineStr">
        <is>
          <t>Valor</t>
        </is>
      </c>
      <c r="D301" s="1" t="inlineStr">
        <is>
          <t>Unidad</t>
        </is>
      </c>
      <c r="E301" s="1" t="inlineStr">
        <is>
          <t>Cómo se calcula / de dónde sale</t>
        </is>
      </c>
      <c r="F301" s="1" t="inlineStr">
        <is>
          <t>Referencia</t>
        </is>
      </c>
    </row>
    <row r="302" spans="2:14" ht="64.8" customHeight="1" x14ac:dyDescent="0.3">
      <c r="B302" s="25" t="inlineStr">
        <is>
          <t>Zapata</t>
        </is>
      </c>
      <c r="C302" s="26" t="str">
        <f>"Lx × Ly × h = "&amp;TEXT($C$8,"0.00")&amp;" × "&amp;TEXT($C$9,"0.00")&amp;" × "&amp;TEXT($C$10,"0.00")&amp;" m;  Df = "&amp;TEXT($C$11,"0.00")&amp;" m;  dado al paño del lindero"</f>
        <v>Lx × Ly × h = 1.80 × 2.60 × 0.50 m;  Df = 1.50 m;  dado al paño del lindero</v>
      </c>
      <c r="D302" s="4" t="inlineStr">
        <is>
          <t>—</t>
        </is>
      </c>
      <c r="E302" s="5" t="inlineStr">
        <is>
          <t>Resultado.</t>
        </is>
      </c>
      <c r="F302" s="6" t="inlineStr">
        <is>
          <t>Secciones 1 a 5</t>
        </is>
      </c>
    </row>
    <row r="303" spans="2:14" ht="52.5" customHeight="1" x14ac:dyDescent="0.3">
      <c r="B303" s="25" t="inlineStr">
        <is>
          <t>Lecho inferior</t>
        </is>
      </c>
      <c r="C303" s="26" t="str">
        <f>"‖ X: "&amp;$C$143&amp;" · ‖ Y: "&amp;$C$167</f>
        <v>‖ X: #5 @ 20.0 cm  (13 pzas) · ‖ Y: #5 @ 20.0 cm  (9 pzas)</v>
      </c>
      <c r="D303" s="4" t="inlineStr">
        <is>
          <t>—</t>
        </is>
      </c>
      <c r="E303" s="5" t="inlineStr">
        <is>
          <t>Resultado.</t>
        </is>
      </c>
      <c r="F303" s="6" t="inlineStr">
        <is>
          <t>Secciones 7 y 8</t>
        </is>
      </c>
    </row>
    <row r="304" spans="2:14" ht="52.5" customHeight="1" x14ac:dyDescent="0.3">
      <c r="B304" s="25" t="inlineStr">
        <is>
          <t>Remate de las varillas inferiores</t>
        </is>
      </c>
      <c r="C304" s="26" t="str">
        <f>"‖ X: "&amp;$C$209&amp;" en el lindero, "&amp;$C$207&amp;" adentro · ‖ Y: "&amp;$C$216</f>
        <v>‖ X: RECTA en el lindero, RECTA adentro · ‖ Y: RECTA</v>
      </c>
      <c r="D304" s="4" t="inlineStr">
        <is>
          <t>—</t>
        </is>
      </c>
      <c r="E304" s="5" t="inlineStr">
        <is>
          <t>Resultado.</t>
        </is>
      </c>
      <c r="F304" s="6" t="inlineStr">
        <is>
          <t>Sección 11</t>
        </is>
      </c>
    </row>
    <row r="305" spans="2:14" ht="15.45" customHeight="1" x14ac:dyDescent="0.3">
      <c r="B305" s="25" t="inlineStr">
        <is>
          <t>Parrilla superior</t>
        </is>
      </c>
      <c r="C305" s="26" t="str">
        <f>$C$198</f>
        <v>No lleva</v>
      </c>
      <c r="D305" s="4" t="inlineStr">
        <is>
          <t>—</t>
        </is>
      </c>
      <c r="E305" s="5" t="inlineStr">
        <is>
          <t>Resultado.</t>
        </is>
      </c>
      <c r="F305" s="6" t="inlineStr">
        <is>
          <t>Sección 10</t>
        </is>
      </c>
    </row>
    <row r="306" spans="2:14" ht="52.5" customHeight="1" x14ac:dyDescent="0.3">
      <c r="B306" s="25" t="inlineStr">
        <is>
          <t>Dovelas</t>
        </is>
      </c>
      <c r="C306" s="26" t="str">
        <f>$C$234</f>
        <v>mín. 5 dovelas #6 con gancho 90° apoyado en la parrilla inferior</v>
      </c>
      <c r="D306" s="4" t="inlineStr">
        <is>
          <t>—</t>
        </is>
      </c>
      <c r="E306" s="5" t="inlineStr">
        <is>
          <t>Resultado.</t>
        </is>
      </c>
      <c r="F306" s="6" t="inlineStr">
        <is>
          <t>Sección 12</t>
        </is>
      </c>
    </row>
    <row r="307" spans="2:14" ht="27.75" customHeight="1" x14ac:dyDescent="0.3">
      <c r="B307" s="25" t="inlineStr">
        <is>
          <t>Contratrabe — longitudinal</t>
        </is>
      </c>
      <c r="C307" s="26" t="str">
        <f>$C$297</f>
        <v>6 #6 arriba + 5 #6 abajo, corridas</v>
      </c>
      <c r="D307" s="4" t="inlineStr">
        <is>
          <t>—</t>
        </is>
      </c>
      <c r="E307" s="5" t="inlineStr">
        <is>
          <t>Resultado.</t>
        </is>
      </c>
      <c r="F307" s="6" t="inlineStr">
        <is>
          <t>Sección 13</t>
        </is>
      </c>
    </row>
    <row r="308" spans="2:14" ht="52.5" customHeight="1" x14ac:dyDescent="0.3">
      <c r="B308" s="25" t="inlineStr">
        <is>
          <t>Contratrabe — estribos</t>
        </is>
      </c>
      <c r="C308" s="26" t="str">
        <f>$C$298</f>
        <v>E#4 (2 ramas) @ 10.0 cm en 1.80 m desde cada paño; resto @ 15.0 cm</v>
      </c>
      <c r="D308" s="4" t="inlineStr">
        <is>
          <t>—</t>
        </is>
      </c>
      <c r="E308" s="5" t="inlineStr">
        <is>
          <t>Resultado.</t>
        </is>
      </c>
      <c r="F308" s="6" t="inlineStr">
        <is>
          <t>Sección 13</t>
        </is>
      </c>
    </row>
    <row r="309" spans="2:14" ht="15.45" customHeight="1" x14ac:dyDescent="0.3">
      <c r="B309" s="2" t="inlineStr">
        <is>
          <t>Revisiones en rojo en esta hoja</t>
        </is>
      </c>
      <c r="C309" s="27">
        <f>COUNTIF($C$1:$C$308,"NO CUMPLE*")</f>
        <v>0</v>
      </c>
      <c r="D309" s="4" t="inlineStr">
        <is>
          <t>—</t>
        </is>
      </c>
      <c r="E309" s="5" t="inlineStr">
        <is>
          <t>CALCULADA. Si es mayor que cero, busca las celdas en rojo.</t>
        </is>
      </c>
      <c r="F309" s="6" t="inlineStr">
        <is>
          <t>Revisión de esta hoja</t>
        </is>
      </c>
    </row>
  </sheetData>
  <mergeCells count="23">
    <mergeCell ref="B1:F1"/>
    <mergeCell ref="B2:F2"/>
    <mergeCell ref="B3:F3"/>
    <mergeCell ref="B4:F4"/>
    <mergeCell ref="H1:N1"/>
    <mergeCell ref="H2:N2"/>
    <mergeCell ref="B6:F6"/>
    <mergeCell ref="B33:F33"/>
    <mergeCell ref="B53:F53"/>
    <mergeCell ref="B60:F60"/>
    <mergeCell ref="B73:F73"/>
    <mergeCell ref="B92:F92"/>
    <mergeCell ref="B121:F121"/>
    <mergeCell ref="B145:F145"/>
    <mergeCell ref="B169:F169"/>
    <mergeCell ref="B186:F186"/>
    <mergeCell ref="B200:F200"/>
    <mergeCell ref="B220:F220"/>
    <mergeCell ref="B236:F236"/>
    <mergeCell ref="B300:F300"/>
    <mergeCell ref="H4:N4"/>
    <mergeCell ref="H38:N38"/>
    <mergeCell ref="H84:N84"/>
  </mergeCells>
  <conditionalFormatting sqref="C1:N312">
    <cfRule type="expression" dxfId="9" priority="1" stopIfTrue="1">
      <formula>OR(ISNUMBER(FIND("NO CUMPLE",C1)),ISNUMBER(FIND("REVISAR",C1)),ISNUMBER(FIND("NO ALCANZA",C1)),ISNUMBER(FIND("INESTABLE",C1)))</formula>
    </cfRule>
    <cfRule type="expression" dxfId="8" priority="2">
      <formula>ISNUMBER(FIND("CUMPLE",C1))</formula>
    </cfRule>
  </conditionalFormatting>
  <dataValidations count="5">
    <dataValidation type="list" errorTitle="Valor no válido" error="Escoge un valor de la lista" sqref="C35 C36 C41 C241">
      <formula1>"3,4,5,6,8,10,12"</formula1>
    </dataValidation>
    <dataValidation type="list" errorTitle="Valor no válido" error="Escoge un valor de la lista" sqref="C37">
      <formula1>"‖ X,‖ Y"</formula1>
    </dataValidation>
    <dataValidation type="list" errorTitle="Valor no válido" error="Escoge un valor de la lista" sqref="C40">
      <formula1>"NO,SÍ"</formula1>
    </dataValidation>
    <dataValidation type="list" errorTitle="Valor no válido" error="Escoge un valor de la lista" sqref="C15 C245">
      <formula1>"SÍ,NO"</formula1>
    </dataValidation>
    <dataValidation type="list" errorTitle="Valor no válido" error="Escoge un valor de la lista" sqref="C242">
      <formula1>"2.5,3,4"</formula1>
    </dataValidation>
  </dataValidation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10</vt:i4>
      </vt:variant>
    </vt:vector>
  </HeadingPairs>
  <TitlesOfParts>
    <vt:vector size="21" baseType="lpstr">
      <vt:lpstr>DATOS</vt:lpstr>
      <vt:lpstr>COMBINACIONES</vt:lpstr>
      <vt:lpstr>AISLADA</vt:lpstr>
      <vt:lpstr>AISLADA_CT</vt:lpstr>
      <vt:lpstr>CORRIDA</vt:lpstr>
      <vt:lpstr>LINDERO</vt:lpstr>
      <vt:lpstr>CROQUIS</vt:lpstr>
      <vt:lpstr>RESUMEN</vt:lpstr>
      <vt:lpstr>TABLAS</vt:lpstr>
      <vt:lpstr>REFERENCIAS</vt:lpstr>
      <vt:lpstr>CROQUIS_DATOS</vt:lpstr>
      <vt:lpstr>AISLADA!Área_de_impresión</vt:lpstr>
      <vt:lpstr>AISLADA_CT!Área_de_impresión</vt:lpstr>
      <vt:lpstr>COMBINACIONES!Área_de_impresión</vt:lpstr>
      <vt:lpstr>CORRIDA!Área_de_impresión</vt:lpstr>
      <vt:lpstr>CROQUIS!Área_de_impresión</vt:lpstr>
      <vt:lpstr>DATOS!Área_de_impresión</vt:lpstr>
      <vt:lpstr>LINDERO!Área_de_impresión</vt:lpstr>
      <vt:lpstr>REFERENCIAS!Área_de_impresión</vt:lpstr>
      <vt:lpstr>RESUMEN!Área_de_impresión</vt:lpstr>
      <vt:lpstr>TABLAS!Área_de_impresión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dcterms:created xsi:type="dcterms:W3CDTF">2026-09-29T20:35:31Z</dcterms:created>
  <dcterms:modified xsi:type="dcterms:W3CDTF">2026-09-29T20:49:59Z</dcterms:modified>
</cp:coreProperties>
</file>