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01_GMI\007_PROYECTOS\001_NOSE _DOCKS_H5_H6\004_EXCEL\"/>
    </mc:Choice>
  </mc:AlternateContent>
  <xr:revisionPtr revIDLastSave="0" documentId="13_ncr:1_{701AC8CA-A59D-4840-8091-8C573EA1AD64}" xr6:coauthVersionLast="47" xr6:coauthVersionMax="47" xr10:uidLastSave="{00000000-0000-0000-0000-000000000000}"/>
  <bookViews>
    <workbookView xWindow="-108" yWindow="-108" windowWidth="23256" windowHeight="13176" tabRatio="500" xr2:uid="{00000000-000D-0000-FFFF-FFFF00000000}"/>
  </bookViews>
  <sheets>
    <sheet name="DATOS" sheetId="1" r:id="rId1"/>
    <sheet name="ABERTURAS" sheetId="2" r:id="rId2"/>
    <sheet name="PRESIONES" sheetId="3" r:id="rId3"/>
    <sheet name="LINEAS" sheetId="4" r:id="rId4"/>
    <sheet name="STAAD" sheetId="5" r:id="rId5"/>
    <sheet name="STAAD_ONEWAY" sheetId="6" r:id="rId6"/>
    <sheet name="STAAD_R2.1" sheetId="7" r:id="rId7"/>
    <sheet name="RECUBRIMIENTO" sheetId="8" r:id="rId8"/>
    <sheet name="TABLAS" sheetId="9" r:id="rId9"/>
    <sheet name="REFERENCIAS" sheetId="10" r:id="rId10"/>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<sst xmlns="http://schemas.openxmlformats.org/spreadsheetml/2006/main" count="2120" uniqueCount="927">
  <si>
    <t>PRESIONES DE VIENTO EN NAVES — EL SALVADOR (NORMA TÉCNICA PARA DISEÑO POR VIENTO 1997) — DATOS</t>
  </si>
  <si>
    <t>auxiliar del croquis (no se toca)</t>
  </si>
  <si>
    <t>P = C_p·C_z·K·P_o (ec. 4.1). Nave rectangular de una crujía con techo a dos aguas, a un agua (hacia el muro que elijas), plano o curvo. La hoja resuelve de una vez los cuatro vientos (±X, ±Z) con puertas cerradas y con puertas abiertas (PA) y arma las cargas para STAAD.</t>
  </si>
  <si>
    <t>s_k</t>
  </si>
  <si>
    <t>h_k</t>
  </si>
  <si>
    <t>eje dibujo</t>
  </si>
  <si>
    <t>M1 u</t>
  </si>
  <si>
    <t>M1 v</t>
  </si>
  <si>
    <t>M1 x'</t>
  </si>
  <si>
    <t>M1 y'</t>
  </si>
  <si>
    <t>M2 u</t>
  </si>
  <si>
    <t>M2 v</t>
  </si>
  <si>
    <t>M2 x'</t>
  </si>
  <si>
    <t>M2 y'</t>
  </si>
  <si>
    <t>M3 u</t>
  </si>
  <si>
    <t>M3 v</t>
  </si>
  <si>
    <t>M3 x'</t>
  </si>
  <si>
    <t>M3 y'</t>
  </si>
  <si>
    <t>M4 u</t>
  </si>
  <si>
    <t>M4 v</t>
  </si>
  <si>
    <t>M4 x'</t>
  </si>
  <si>
    <t>M4 y'</t>
  </si>
  <si>
    <t>techo x'</t>
  </si>
  <si>
    <t>techo y'</t>
  </si>
  <si>
    <t>ejes x'</t>
  </si>
  <si>
    <t>ejes y'</t>
  </si>
  <si>
    <t>A1 x'</t>
  </si>
  <si>
    <t>A1 y'</t>
  </si>
  <si>
    <t>A2 x'</t>
  </si>
  <si>
    <t>A2 y'</t>
  </si>
  <si>
    <t>A3 x'</t>
  </si>
  <si>
    <t>A3 y'</t>
  </si>
  <si>
    <t>A4 x'</t>
  </si>
  <si>
    <t>A4 y'</t>
  </si>
  <si>
    <t>A5 x'</t>
  </si>
  <si>
    <t>A5 y'</t>
  </si>
  <si>
    <t>A6 x'</t>
  </si>
  <si>
    <t>A6 y'</t>
  </si>
  <si>
    <t>A7 x'</t>
  </si>
  <si>
    <t>A7 y'</t>
  </si>
  <si>
    <t>A8 x'</t>
  </si>
  <si>
    <t>A8 y'</t>
  </si>
  <si>
    <t>A9 x'</t>
  </si>
  <si>
    <t>A9 y'</t>
  </si>
  <si>
    <t>A10 x'</t>
  </si>
  <si>
    <t>A10 y'</t>
  </si>
  <si>
    <t>A11 x'</t>
  </si>
  <si>
    <t>A11 y'</t>
  </si>
  <si>
    <t>A12 x'</t>
  </si>
  <si>
    <t>A12 y'</t>
  </si>
  <si>
    <t>A13 x'</t>
  </si>
  <si>
    <t>A13 y'</t>
  </si>
  <si>
    <t>A14 x'</t>
  </si>
  <si>
    <t>A14 y'</t>
  </si>
  <si>
    <t>A15 x'</t>
  </si>
  <si>
    <t>A15 y'</t>
  </si>
  <si>
    <t>A16 x'</t>
  </si>
  <si>
    <t>A16 y'</t>
  </si>
  <si>
    <t>A17 x'</t>
  </si>
  <si>
    <t>A17 y'</t>
  </si>
  <si>
    <t>A18 x'</t>
  </si>
  <si>
    <t>A18 y'</t>
  </si>
  <si>
    <t>A19 x'</t>
  </si>
  <si>
    <t>A19 y'</t>
  </si>
  <si>
    <t>A20 x'</t>
  </si>
  <si>
    <t>A20 y'</t>
  </si>
  <si>
    <t>CÓMO SE LLENA: sólo celdas amarillas con letra azul (aquí, en ABERTURAS y en LINEAS). Muro 1 = atrás (Z = 0: puerta y cortina), Muro 2 = frente (Z = L: abierto, sin muro en STAAD), Muro 3 = izquierdo (X = 0), Muro 4 = derecho (X = B), como se ven en el croquis. Los marcos quedan en el plano X-Y. Lo marcado EJEMPLO es del NOSE DOCK H5-H6 (modelo R3): cámbialo para otra nave.</t>
  </si>
  <si>
    <t>ext x'</t>
  </si>
  <si>
    <t>ext y'</t>
  </si>
  <si>
    <t>1. PROYECTO</t>
  </si>
  <si>
    <t>margen</t>
  </si>
  <si>
    <t>Concepto</t>
  </si>
  <si>
    <t>Valor</t>
  </si>
  <si>
    <t>Unidad</t>
  </si>
  <si>
    <t>Cómo se calcula / de dónde sale</t>
  </si>
  <si>
    <t>Referencia</t>
  </si>
  <si>
    <t>aspecto</t>
  </si>
  <si>
    <t>Proyecto</t>
  </si>
  <si>
    <t>HANGAR NOSE-DOCK H5-H6</t>
  </si>
  <si>
    <t>CAPTURA. Sólo para identificar la corrida.</t>
  </si>
  <si>
    <t>—</t>
  </si>
  <si>
    <t>s</t>
  </si>
  <si>
    <t>Ubicación</t>
  </si>
  <si>
    <t>Departamento de LA PAZ, EL SALVADOR</t>
  </si>
  <si>
    <t>CAPTURA.</t>
  </si>
  <si>
    <t>offX</t>
  </si>
  <si>
    <t>offY</t>
  </si>
  <si>
    <t>2. GEOMETRÍA DE LA NAVE</t>
  </si>
  <si>
    <t>B — ancho en X (de Muro 3 a Muro 4)</t>
  </si>
  <si>
    <t>m</t>
  </si>
  <si>
    <t>CAPTURA. EJEMPLO: NOSE DOCK, X de 0 a 10.08 m (claro de los marcos).</t>
  </si>
  <si>
    <t>Modelo STAAD / arquitectónico</t>
  </si>
  <si>
    <t>L — largo en Z (de Muro 1 a Muro 2)</t>
  </si>
  <si>
    <t>CAPTURA. EJEMPLO: NOSE DOCK, Z de 0 a 16.00 m.</t>
  </si>
  <si>
    <t>Tipo de techo</t>
  </si>
  <si>
    <t>UN AGUA</t>
  </si>
  <si>
    <t>SELECTOR: DOS AGUAS, UN AGUA, PLANO o CURVO.</t>
  </si>
  <si>
    <t>NTV 1997 · 4.3.1, pág. 5 · Tabla 4.2, pág. 6</t>
  </si>
  <si>
    <t>El agua escurre hacia (sólo UN AGUA)</t>
  </si>
  <si>
    <t>MURO 2 (Z = L)</t>
  </si>
  <si>
    <t>SELECTOR. El muro por donde baja el agua; el lado alto queda en el muro opuesto. Muro 3 = izquierda, Muro 4 = derecha, Muro 1 = atrás, Muro 2 = frente (como en la vista de STAAD). EJEMPLO: NOSE DOCK, alto en el eje 1 y bajo en el eje 4.</t>
  </si>
  <si>
    <t>Croquis / arquitectónico</t>
  </si>
  <si>
    <t>Cumbrera (o eje del arco) paralela a (DOS AGUAS y CURVO)</t>
  </si>
  <si>
    <t>L (EJE Z)</t>
  </si>
  <si>
    <t>SELECTOR. L (EJE Z): cumbrera a lo largo, hastiales en Muros 1 y 2. B (EJE X): cumbrera de lado a lado, hastiales en Muros 3 y 4.</t>
  </si>
  <si>
    <t>h_a — altura baja (alero, o lado bajo en UN AGUA)</t>
  </si>
  <si>
    <t>CAPTURA. Del piso al alero. EJEMPLO: NOSE DOCK, 9.82 m en el eje 4 (nodos 13 y 16).</t>
  </si>
  <si>
    <t>h_c — altura alta (cumbrera, clave o lado alto)</t>
  </si>
  <si>
    <t>CAPTURA. Con techo PLANO no se usa. EJEMPLO: NOSE DOCK, 10.62 m en el eje 1 (nodos 20 y 21).</t>
  </si>
  <si>
    <t>¿El arco arranca desde el suelo? (sólo CURVO)</t>
  </si>
  <si>
    <t>NO</t>
  </si>
  <si>
    <t>SELECTOR. Con SÍ la zona A1 de la Tabla 4.2 pasa a empuje 1.4r ≤ 0.9.</t>
  </si>
  <si>
    <t>NTV 1997 · Tabla 4.2, pág. 6</t>
  </si>
  <si>
    <t>Separación típica entre marcos</t>
  </si>
  <si>
    <t>CAPTURA. Sólo para la carga de un marco intermedio en 2D (PRESIONES §F). EJEMPLO: ejes 1-2 y 2-3 del NOSE DOCK.</t>
  </si>
  <si>
    <t>H — altura máxima de la nave</t>
  </si>
  <si>
    <t>CALCULADA.</t>
  </si>
  <si>
    <t>Eje de la pendiente del techo</t>
  </si>
  <si>
    <t>CALCULADA. Dirección en la que cambia la altura del techo (s va de 0 a S en ese eje).</t>
  </si>
  <si>
    <t>Croquis</t>
  </si>
  <si>
    <t>S — claro en el sentido de la pendiente</t>
  </si>
  <si>
    <t>Lado alto del techo (UN AGUA)</t>
  </si>
  <si>
    <t>CALCULADA: el muro opuesto al que escurre el agua.</t>
  </si>
  <si>
    <t>s del lado alto (UN AGUA)</t>
  </si>
  <si>
    <t>CALCULADA. 0 si el lado alto está en X = 0 o Z = 0; S si está en el otro extremo.</t>
  </si>
  <si>
    <t>θ — inclinación del techo</t>
  </si>
  <si>
    <t>°</t>
  </si>
  <si>
    <t>CALCULADA. Decide el C_p del faldón de barlovento.</t>
  </si>
  <si>
    <t>NTV 1997 · 4.3.1, pág. 5</t>
  </si>
  <si>
    <t>Pendiente del techo</t>
  </si>
  <si>
    <t>%</t>
  </si>
  <si>
    <t>Revisión de la geometría</t>
  </si>
  <si>
    <t>CALCULADA. Debe decir OK.</t>
  </si>
  <si>
    <t>Croquis con tus datos (se actualiza solo), visto como en STAAD: X a la derecha, Y arriba y Z hacia ti. Muro 2 (Z = L) al frente, Muro 1 (Z = 0, puerta y cortina) al fondo, Muro 3 (X = 0) a la izquierda y Muro 4 (X = B) a la derecha. Rojo = abertura FIJA; naranja punteado = OPERABLE.</t>
  </si>
  <si>
    <t>3. EXPOSICIÓN Y TIPO DE ESTRUCTURA</t>
  </si>
  <si>
    <t>Zona de exposición</t>
  </si>
  <si>
    <t>C</t>
  </si>
  <si>
    <t>SELECTOR. A: muchos edificios altos alrededor; B: construcciones medianas o bajas, o árboles; C: terreno abierto (aeropuertos, campo, costa). EJEMPLO: C por estar en aeropuerto.</t>
  </si>
  <si>
    <t>NTV 1997 · Tabla 4.1, pág. 5</t>
  </si>
  <si>
    <t>K — factor de exposición</t>
  </si>
  <si>
    <t>CALCULADA de la Tabla 4.1.</t>
  </si>
  <si>
    <t>a — exponente de variación con la altura</t>
  </si>
  <si>
    <t>CALCULADA. C_z = 1 hasta 10 m y (z/10)^(2/a) arriba.</t>
  </si>
  <si>
    <t>NTV 1997 · 4.2 y Tabla 4.1, pág. 5</t>
  </si>
  <si>
    <t>P_o — presión básica de diseño</t>
  </si>
  <si>
    <t>kg/m²</t>
  </si>
  <si>
    <t>FIJA por la norma (80 km/h a 10 m).</t>
  </si>
  <si>
    <t>NTV 1997 · 2.1, pág. 2 · 4.1, pág. 5</t>
  </si>
  <si>
    <t>T — periodo natural de la nave</t>
  </si>
  <si>
    <t>NTV 1997 · 3.1, pág. 3</t>
  </si>
  <si>
    <t>Esbeltez = H / dimensión menor en planta</t>
  </si>
  <si>
    <t>NTV 1997 · 2.1, pág. 2 · 3.1, pág. 3</t>
  </si>
  <si>
    <t>Tipo de estructura</t>
  </si>
  <si>
    <t>CALCULADA. Tipo 1: esbeltez ≤ 5 y T ≤ 2 s. Tipo 2: presiones × 1.3 por ráfaga. El Tipo 3 (vórtices) no lo cubre esta hoja.</t>
  </si>
  <si>
    <t>NTV 1997 · 3.1, pág. 3 · 4.6.1, pág. 7</t>
  </si>
  <si>
    <t>FR — factor por ráfaga</t>
  </si>
  <si>
    <t>NTV 1997 · 4.6.1, pág. 7</t>
  </si>
  <si>
    <t>4. CASOS DE VIENTO PARA STAAD</t>
  </si>
  <si>
    <t>Unidades del modelo STAAD</t>
  </si>
  <si>
    <t>CM KG</t>
  </si>
  <si>
    <t>Encabezado del .STD (UNIT)</t>
  </si>
  <si>
    <t>Número del primer caso de viento</t>
  </si>
  <si>
    <t>CAPTURA. Los 8 casos quedan seguidos. EJEMPLO: en el NOSE DOCK R3 los vientos son LOAD 8 a 15.</t>
  </si>
  <si>
    <t>001_NOSE_DOCK_H5_H6_R3.STD</t>
  </si>
  <si>
    <t>Factor de unidades de la carga lineal</t>
  </si>
  <si>
    <t>CALCULADA. kg/m × factor = unidades de STAAD.</t>
  </si>
  <si>
    <t>Formato del número en STAAD</t>
  </si>
  <si>
    <t>Número del primer caso B (sólo si hace falta)</t>
  </si>
  <si>
    <t>CAPTURA. Los casos B sólo existen con techo de 30° a 50° (±0.4) o curvo con 0.2 ≤ r ≤ 0.3 (+0.3). Usa números libres.</t>
  </si>
  <si>
    <t>Caso en STAAD</t>
  </si>
  <si>
    <t>Viento</t>
  </si>
  <si>
    <t>Puertas</t>
  </si>
  <si>
    <t>Título en STAAD (lo puedes cambiar)</t>
  </si>
  <si>
    <t>Qué es</t>
  </si>
  <si>
    <t>+X</t>
  </si>
  <si>
    <t>CERRADAS</t>
  </si>
  <si>
    <t>VIENTO X</t>
  </si>
  <si>
    <t>Operables cerradas; sólo cuentan las aberturas FIJAS. Viento sopla hacia +X: pega primero en el Muro 3 (X = 0).</t>
  </si>
  <si>
    <t>−X</t>
  </si>
  <si>
    <t>VIENTO -X</t>
  </si>
  <si>
    <t>Operables cerradas; sólo cuentan las aberturas FIJAS. Viento sopla hacia −X: pega primero en el Muro 4 (X = B).</t>
  </si>
  <si>
    <t>+Z</t>
  </si>
  <si>
    <t>VIENTO Z</t>
  </si>
  <si>
    <t>Operables cerradas; sólo cuentan las aberturas FIJAS. Viento sopla hacia +Z: pega primero en el Muro 1 (Z = 0).</t>
  </si>
  <si>
    <t>−Z</t>
  </si>
  <si>
    <t>VIENTO -Z</t>
  </si>
  <si>
    <t>Operables cerradas; sólo cuentan las aberturas FIJAS. Viento sopla hacia −Z: pega primero en el Muro 2 (Z = L).</t>
  </si>
  <si>
    <t>ABIERTAS (PA)</t>
  </si>
  <si>
    <t>VIENTO X PA</t>
  </si>
  <si>
    <t>Operables abiertas (puerta o cortina abierta en la tormenta). Viento sopla hacia +X: pega primero en el Muro 3 (X = 0).</t>
  </si>
  <si>
    <t>VIENTO -X PA</t>
  </si>
  <si>
    <t>Operables abiertas (puerta o cortina abierta en la tormenta). Viento sopla hacia −X: pega primero en el Muro 4 (X = B).</t>
  </si>
  <si>
    <t>VIENTO Z PA</t>
  </si>
  <si>
    <t>Operables abiertas (puerta o cortina abierta en la tormenta). Viento sopla hacia +Z: pega primero en el Muro 1 (Z = 0).</t>
  </si>
  <si>
    <t>VIENTO -Z PA</t>
  </si>
  <si>
    <t>Operables abiertas (puerta o cortina abierta en la tormenta). Viento sopla hacia −Z: pega primero en el Muro 2 (Z = L).</t>
  </si>
  <si>
    <t>ABERTURAS POR MURO (POSICIÓN Y TAMAÑO) Y PRESIÓN INTERIOR</t>
  </si>
  <si>
    <t>Captura cada abertura donde está: portones, cortinas, puertas, ventanas, louvers o un muro que no se forra. Con eso la hoja dibuja los muros, saca el área abierta de cada escenario, decide la presión interior (NTV 4.4, pág. 7) y descuenta las aberturas de las cargas de LINEAS.</t>
  </si>
  <si>
    <t>CÓMO SE LLENA: un renglón por abertura. x = distancia horizontal desde la esquina con el Muro 3 (en Muros 1 y 2, igual a la X de STAAD) o desde la esquina con el Muro 1 (en Muros 3 y 4, igual a la Z de STAAD); y = altura del piso a la parte baja. FIJA = siempre abierta (vano sin cerrar, louver, muro sin forro). OPERABLE = puerta o cortina: cerrada en los casos normales y abierta en los casos PA. Deja en blanco lo que no uses.</t>
  </si>
  <si>
    <t>A. LISTA DE ABERTURAS</t>
  </si>
  <si>
    <t>auxiliares (no se tocan)</t>
  </si>
  <si>
    <t>auxiliares de la elevación (no se tocan)</t>
  </si>
  <si>
    <t>#</t>
  </si>
  <si>
    <t>Descripción</t>
  </si>
  <si>
    <t>Muro</t>
  </si>
  <si>
    <t>Tipo</t>
  </si>
  <si>
    <t>x desde (m)</t>
  </si>
  <si>
    <t>y desde (m)</t>
  </si>
  <si>
    <t>Ancho (m)</t>
  </si>
  <si>
    <t>Alto (m)</t>
  </si>
  <si>
    <t>Área (m²)</t>
  </si>
  <si>
    <t>¿Cabe en el muro?</t>
  </si>
  <si>
    <t>Nota / de dónde sale</t>
  </si>
  <si>
    <t>nº muro</t>
  </si>
  <si>
    <t>u₁</t>
  </si>
  <si>
    <t>u₂</t>
  </si>
  <si>
    <t>v₁</t>
  </si>
  <si>
    <t>v₂</t>
  </si>
  <si>
    <t>tope en u₁</t>
  </si>
  <si>
    <t>tope en u₂</t>
  </si>
  <si>
    <t>abierta CERR</t>
  </si>
  <si>
    <t>abierta PA</t>
  </si>
  <si>
    <t>largo muro</t>
  </si>
  <si>
    <t>hueco</t>
  </si>
  <si>
    <t>desfase</t>
  </si>
  <si>
    <t>Puerta de servicio (muro de atrás)</t>
  </si>
  <si>
    <t>MURO 1</t>
  </si>
  <si>
    <t>OPERABLE</t>
  </si>
  <si>
    <t>Modelo R1.5: jambas en X = 64.25 y 194.39 cm, dintel a 240 cm</t>
  </si>
  <si>
    <t>ext x</t>
  </si>
  <si>
    <t>Vano del nose dock, cortina de oruga (muro de atrás)</t>
  </si>
  <si>
    <t>Modelo R1.5: jambas en X = 248.69 y 758.85 cm, dintel a 633 cm</t>
  </si>
  <si>
    <t>ext y</t>
  </si>
  <si>
    <t>Frente abierto (Z = L): en STAAD no hay muro ni largueros</t>
  </si>
  <si>
    <t>MURO 2</t>
  </si>
  <si>
    <t>FIJA</t>
  </si>
  <si>
    <t>Modelo R1.5: el eje 4 (Z = 16 m) no tiene muro ni largueros; se toma como frente abierto (NTV 4.4, pág. 7)</t>
  </si>
  <si>
    <t>B. ELEVACIÓN DE LOS CUATRO MUROS (X o Z crecen a la derecha, como en STAAD)</t>
  </si>
  <si>
    <t>Rojo = abertura FIJA; naranja punteado = OPERABLE (puerta o cortina). Cada muro se dibuja con su coordenada creciendo a la derecha, como en STAAD: Muros 1 y 2 con X (vistos de frente, igual que el croquis de DATOS), Muros 3 y 4 con Z. Así checas de un vistazo que cada abertura quedó donde va.</t>
  </si>
  <si>
    <t>C. LOS CUATRO MUROS: GEOMETRÍA Y ÁREA ABIERTA EN CADA ESCENARIO</t>
  </si>
  <si>
    <t>Un muro con 30% o más de su área abierta hace que la nave cuente como abierta de ese lado (NTV 2.1, pág. 2) y obliga a considerar presión interior (4.4, pág. 7). El área de los hastiales incluye la parte bajo el techo. CERR = operables cerradas; PA = operables abiertas.</t>
  </si>
  <si>
    <t>Longitud (m)</t>
  </si>
  <si>
    <t>¿Hastial?</t>
  </si>
  <si>
    <t>Altura (m)</t>
  </si>
  <si>
    <t>Área arriba de 10 m (m²)</t>
  </si>
  <si>
    <t>Abierta CERR (m²)</t>
  </si>
  <si>
    <t>% abierto CERR</t>
  </si>
  <si>
    <t>Abierta PA (m²)</t>
  </si>
  <si>
    <t>% abierto PA</t>
  </si>
  <si>
    <t>¿≥ 30%? CERR</t>
  </si>
  <si>
    <t>¿≥ 30%? PA</t>
  </si>
  <si>
    <t>Maciza CERR (m²)</t>
  </si>
  <si>
    <t>Maciza PA (m²)</t>
  </si>
  <si>
    <t>Muro 1 — atrás (Z = 0)</t>
  </si>
  <si>
    <t>Muro 2 — frente (Z = L)</t>
  </si>
  <si>
    <t>Muro 3 — izquierdo (X = 0)</t>
  </si>
  <si>
    <t>Muro 4 — derecho (X = B)</t>
  </si>
  <si>
    <t>D. PRESIÓN INTERIOR DE CADA CASO (NTV 4.4, pág. 7)</t>
  </si>
  <si>
    <t>Si en el escenario ningún muro llega a 30% abierto no hay presión interior. Si alguno llega, se ve dónde están principalmente las aberturas: barlovento +0.75, sotavento −0.6, caras paralelas al viento −0.5, uniformemente distribuidas −0.3. Criterio de esta hoja: «principalmente» = el área abierta de esa cara es por lo menos el doble de la del resto. + empuja las caras interiores hacia afuera (levanta el techo); − las jala hacia adentro.</t>
  </si>
  <si>
    <t>Caso</t>
  </si>
  <si>
    <t>Viento · puertas</t>
  </si>
  <si>
    <t>Muro de barlovento</t>
  </si>
  <si>
    <t>Muro de sotavento</t>
  </si>
  <si>
    <t>Abierta barlovento (m²)</t>
  </si>
  <si>
    <t>Abierta sotavento (m²)</t>
  </si>
  <si>
    <t>Abierta paralelas (m²)</t>
  </si>
  <si>
    <t>¿Algún muro ≥ 30%?</t>
  </si>
  <si>
    <t>Caso de la norma</t>
  </si>
  <si>
    <t>C_pi</t>
  </si>
  <si>
    <t>NTV 1997 · 2.1, pág. 2 · 4.4, pág. 7 · criterio del doble: REFERENCIAS</t>
  </si>
  <si>
    <t>PRESIONES DE VIENTO — LOS 8 CASOS (4 DIRECCIONES × PUERTAS CERRADAS / ABIERTAS)</t>
  </si>
  <si>
    <t>SIGNOS: p neta = C_pe·q − C_pi·q_H. + empuja hacia la superficie (hacia adentro en muros, hacia abajo en el techo); − succión (hacia afuera, levanta el techo). En STAAD (ejes globales): Muro 1 → GZ con el mismo signo; Muro 2 → GZ con signo contrario; Muro 3 → GX con el mismo signo; Muro 4 → GX con signo contrario; techo → GY con signo contrario, más la componente horizontal de la presión normal al techo en el eje de la pendiente. La hoja STAAD ya lo trae aplicado.</t>
  </si>
  <si>
    <t>A. PRESIÓN DINÁMICA q = C_z·K·P_o·FR</t>
  </si>
  <si>
    <t>Cómo se calcula</t>
  </si>
  <si>
    <t>q hasta 10 m = K·P_o·FR</t>
  </si>
  <si>
    <t>C_z = 1 hasta 10 m de altura.</t>
  </si>
  <si>
    <t>NTV 1997 · 4.1 y 4.2, pág. 5</t>
  </si>
  <si>
    <t>H — altura máxima</t>
  </si>
  <si>
    <t>De DATOS.</t>
  </si>
  <si>
    <t>C_z a la altura H</t>
  </si>
  <si>
    <t>(z/10)^(2/a) arriba de 10 m.</t>
  </si>
  <si>
    <t>NTV 1997 · 4.2, pág. 5</t>
  </si>
  <si>
    <t>q_H = C_z(H)·K·P_o·FR (techo y presión interior)</t>
  </si>
  <si>
    <t>Techo, presión interior y recubrimiento a la altura máxima: criterio del lado seguro.</t>
  </si>
  <si>
    <t>NTV 1997 · 4.1, pág. 5</t>
  </si>
  <si>
    <t>z de sotavento y laterales = H/2</t>
  </si>
  <si>
    <t>La succión es constante en toda la altura y se calcula a la mitad de la altura total del edificio.</t>
  </si>
  <si>
    <t>NTV 1997 · 4.3.1 nota, pág. 5 · Comentarios C4.3.1, págs. 4 y 5</t>
  </si>
  <si>
    <t>C_z a H/2</t>
  </si>
  <si>
    <t>Igual que arriba.</t>
  </si>
  <si>
    <t>q de sotavento y laterales</t>
  </si>
  <si>
    <t>Comentarios C4.3.1, págs. 4 y 5</t>
  </si>
  <si>
    <t>r = flecha / claro (sólo CURVO)</t>
  </si>
  <si>
    <t>Con arco desde el suelo la flecha es H.</t>
  </si>
  <si>
    <t>m — pendiente media del cuarto 1 del techo (dh/ds)</t>
  </si>
  <si>
    <t>Sirve para la componente horizontal de la presión normal al techo (s crece en el eje de la pendiente). Curvo: pendiente media de la parábola en ese cuarto.</t>
  </si>
  <si>
    <t>NTV 1997 · 4.5, pág. 7</t>
  </si>
  <si>
    <t>m — pendiente media del cuarto 2 del techo (dh/ds)</t>
  </si>
  <si>
    <t>m — pendiente media del cuarto 3 del techo (dh/ds)</t>
  </si>
  <si>
    <t>m — pendiente media del cuarto 4 del techo (dh/ds)</t>
  </si>
  <si>
    <t>¿Hay casos B distintos de los A?</t>
  </si>
  <si>
    <t>SÍ sólo con faldón de 30° a 50° (±0.4) o curvo con 0.2 ≤ r ≤ 0.3 (−0.8 ó +0.3).</t>
  </si>
  <si>
    <t>B. ROL Y C_pe DE CADA SUPERFICIE EN CADA DIRECCIÓN DEL VIENTO</t>
  </si>
  <si>
    <t>Techo por cuartos a lo largo del eje de la pendiente (s de 0 a S): cuarto 1 = 0 a S/4, …, cuarto 4 = 3S/4 a S. Dos aguas: faldones = cuartos 1-2 y 3-4. Curvo: A1 = cuarto de barlovento, A2 = mitad central, A3 = cuarto de sotavento. Un agua: el techo es de barlovento cuando el viento entra por el lado bajo. Viento paralelo a la cumbrera o techo plano: −0.7.</t>
  </si>
  <si>
    <t>Dirección del viento</t>
  </si>
  <si>
    <t>+X (pega en el Muro 3)</t>
  </si>
  <si>
    <t>−X (pega en el Muro 4)</t>
  </si>
  <si>
    <t>+Z (pega en el Muro 1)</t>
  </si>
  <si>
    <t>−Z (pega en el Muro 2)</t>
  </si>
  <si>
    <t>Superficie</t>
  </si>
  <si>
    <t>Rol</t>
  </si>
  <si>
    <t>C_pe A</t>
  </si>
  <si>
    <t>C_pe B</t>
  </si>
  <si>
    <t>LATERAL</t>
  </si>
  <si>
    <t>BARLOVENTO</t>
  </si>
  <si>
    <t>SOTAVENTO</t>
  </si>
  <si>
    <t>C. PRESIONES NETAS DE CADA CASO (kg/m²; + hacia la superficie, − succión)</t>
  </si>
  <si>
    <t>Muros de barlovento: C_z = 1 hasta 10 m y, arriba, el C_z de lo alto del muro (renglón «en lo alto»). Sotavento y laterales: q a H/2. Techo: q_H. Las presiones de cada renglón de LINEAS salen de aquí.</t>
  </si>
  <si>
    <t>C_pi del caso</t>
  </si>
  <si>
    <t>ABERTURAS §D · NTV 1997 · 4.4, pág. 7</t>
  </si>
  <si>
    <t>Muro 1 — atrás (Z = 0) — hasta 10 m</t>
  </si>
  <si>
    <t>NTV 1997 · 4.1 y 4.3.1, pág. 5 · 4.4, pág. 7</t>
  </si>
  <si>
    <t>Muro 2 — frente (Z = L) — hasta 10 m</t>
  </si>
  <si>
    <t>Muro 3 — izquierdo (X = 0) — hasta 10 m</t>
  </si>
  <si>
    <t>Muro 4 — derecho (X = B) — hasta 10 m</t>
  </si>
  <si>
    <t>Muro 1 — atrás (Z = 0) — en lo alto</t>
  </si>
  <si>
    <t>NTV 1997 · 4.2, pág. 5 (franja arriba de 10 m)</t>
  </si>
  <si>
    <t>Muro 2 — frente (Z = L) — en lo alto</t>
  </si>
  <si>
    <t>Muro 3 — izquierdo (X = 0) — en lo alto</t>
  </si>
  <si>
    <t>Muro 4 — derecho (X = B) — en lo alto</t>
  </si>
  <si>
    <t>Techo — cuarto 1, caso A</t>
  </si>
  <si>
    <t>NTV 1997 · 4.3.1, pág. 5 · 4.4, pág. 7</t>
  </si>
  <si>
    <t>Techo — cuarto 2, caso A</t>
  </si>
  <si>
    <t>Techo — cuarto 3, caso A</t>
  </si>
  <si>
    <t>Techo — cuarto 4, caso A</t>
  </si>
  <si>
    <t>Techo — cuarto 1, caso B</t>
  </si>
  <si>
    <t>Techo — cuarto 2, caso B</t>
  </si>
  <si>
    <t>Techo — cuarto 3, caso B</t>
  </si>
  <si>
    <t>Techo — cuarto 4, caso B</t>
  </si>
  <si>
    <t>D. FUERZAS TOTALES: LO QUE ENTRA A STAAD (LINEAS) CONTRA LO QUE DA LA NORMA (t)</t>
  </si>
  <si>
    <t>STAAD = Σ w·largo de los renglones de LINEAS (lo que vas a pegar), en ejes globales. Norma = Σ p·área maciza de cada muro y del techo. Diferencia normal: la franja de la base que baja directo a la cimentación (≈ 3 a 6%); en amarillo si pasa de 10% o de 0.2 t. Con succión pareja por todos lados la fuerza neta es casi cero: ahí sólo importa la diferencia.</t>
  </si>
  <si>
    <t>ΣFX que entra a STAAD</t>
  </si>
  <si>
    <t>FX según la norma</t>
  </si>
  <si>
    <t>Diferencia en X (STAAD − norma)</t>
  </si>
  <si>
    <t>ΣFZ que entra a STAAD</t>
  </si>
  <si>
    <t>FZ según la norma</t>
  </si>
  <si>
    <t>Diferencia en Z (STAAD − norma)</t>
  </si>
  <si>
    <t>ΣFY que entra a STAAD (+ = hacia arriba)</t>
  </si>
  <si>
    <t>RESESCO Art. 21, pág. 8 (volteo y anclas con 0.9 CM + 1.301 V)</t>
  </si>
  <si>
    <t>FY según la norma</t>
  </si>
  <si>
    <t>Diferencia en Y (STAAD − norma)</t>
  </si>
  <si>
    <t>E. COBERTURA DE CADA MURO: ÁREA MACIZA CONTRA ÁREA CARGADA EN LINEAS</t>
  </si>
  <si>
    <t>OK si LINEAS carga por lo menos 85% del área maciza (lo demás es la franja de la base). «SIN MIEMBROS» = el muro existe y tiene presión, pero no hay renglones suyos en LINEAS: en STAAD esa presión no entraría.</t>
  </si>
  <si>
    <t>Cargada CERR (m²)</t>
  </si>
  <si>
    <t>% CERR</t>
  </si>
  <si>
    <t>Cargada PA (m²)</t>
  </si>
  <si>
    <t>% PA</t>
  </si>
  <si>
    <t>Estado</t>
  </si>
  <si>
    <t>LINEAS §B · NTV 1997 · 4.5, pág. 7</t>
  </si>
  <si>
    <t>Techo (área en planta)</t>
  </si>
  <si>
    <t>LINEAS §A</t>
  </si>
  <si>
    <t>F. CARGA EN UN MARCO INTERMEDIO EN 2D (p × separación, kg/m)</t>
  </si>
  <si>
    <t>Sólo para revisar un marco aislado en el plano X-Y: columna del Muro 3, columna del Muro 4 y viga del techo por cuartos (los cuartos van a lo largo del marco sólo si la pendiente es en X). El marco extremo lleva la mitad. En el modelo 3D usa la hoja STAAD.</t>
  </si>
  <si>
    <t>Elemento</t>
  </si>
  <si>
    <t>Columna del Muro 3 (hasta 10 m)</t>
  </si>
  <si>
    <t>Criterio de esta hoja (REFERENCIAS)</t>
  </si>
  <si>
    <t>Columna del Muro 4 (hasta 10 m)</t>
  </si>
  <si>
    <t>Techo — cuarto 1 (caso A)</t>
  </si>
  <si>
    <t>Techo — cuarto 2 (caso A)</t>
  </si>
  <si>
    <t>Techo — cuarto 3 (caso A)</t>
  </si>
  <si>
    <t>Techo — cuarto 4 (caso A)</t>
  </si>
  <si>
    <t>COMBINACIONES (RESESCO Art. 21, págs. 7 y 8): con viento S se cambia por 0.91V → 1.05 CM + 1.275 CVR + 1.276 V y 0.9 CM + 1.301 V; con succión la viva va en cero (Art. 25.4, pág. 10). El NOSE DOCK R3 ya las trae (LOAD COMB 24 a 31 de servicio y 50 en adelante factorizadas).</t>
  </si>
  <si>
    <t>LINEAS DE CARGA: LOS MIEMBROS DE STAAD QUE RECIBEN EL VIENTO</t>
  </si>
  <si>
    <t>Cada renglón es un miembro (o grupo de miembros iguales) con su franja tributaria. La hoja descuenta sola las aberturas que caen en la franja (según el escenario), le pone la presión de cada caso y arma las líneas de la hoja STAAD.</t>
  </si>
  <si>
    <t>CÓMO SE LLENA: a₁–a₂ = tramo que cubre el miembro; b₁–b₂ = franja tributaria perpendicular a él. Muros: HORIZONTAL (larguero, dintel, viga) → a en X o Z y b en altura; VERTICAL (jamba, poste) → a en altura y b en X o Z. Techo: a a lo largo del miembro y b en el eje de la pendiente (s, de 0 a S). b₁ fin / b₂ fin sólo si la franja cambia a lo largo (orilla inclinada). Todo en metros y con las coordenadas de STAAD. EJEMPLO: NOSE DOCK R3 completo.</t>
  </si>
  <si>
    <t>A. TECHO — LARGUEROS Y VIGAS QUE RECIBEN LA LÁMINA DEL TECHO</t>
  </si>
  <si>
    <t>b en el eje de la pendiente (en el NOSE DOCK es Z). La presión de cada cuarto del techo se reparte según cuánto de la franja cae en él. Carga vertical → GY; la componente horizontal (presión normal al techo) → eje de la pendiente.</t>
  </si>
  <si>
    <t>ID</t>
  </si>
  <si>
    <t>Miembros de STAAD</t>
  </si>
  <si>
    <t>Sentido</t>
  </si>
  <si>
    <t>a₁ (m)</t>
  </si>
  <si>
    <t>a₂ (m)</t>
  </si>
  <si>
    <t>b₁ (m)</t>
  </si>
  <si>
    <t>b₂ (m)</t>
  </si>
  <si>
    <t>b₁ fin (m)</t>
  </si>
  <si>
    <t>b₂ fin (m)</t>
  </si>
  <si>
    <t>Largo (m)</t>
  </si>
  <si>
    <t>Ancho trib. (m)</t>
  </si>
  <si>
    <t>Área bruta (m²)</t>
  </si>
  <si>
    <t>z (m)</t>
  </si>
  <si>
    <t>b₁ prom</t>
  </si>
  <si>
    <t>b₂ prom</t>
  </si>
  <si>
    <t>w (kg/m), caso A</t>
  </si>
  <si>
    <t>horizontal del techo (kg/m, + hacia +s), caso A</t>
  </si>
  <si>
    <t>w (kg/m), caso B</t>
  </si>
  <si>
    <t>horizontal del techo (kg/m), caso B</t>
  </si>
  <si>
    <t>VM-1</t>
  </si>
  <si>
    <t>TECHO</t>
  </si>
  <si>
    <t>22 85 TO 88</t>
  </si>
  <si>
    <t>LT-1</t>
  </si>
  <si>
    <t>80 129 TO 132</t>
  </si>
  <si>
    <t>LT-2</t>
  </si>
  <si>
    <t>79 125 TO 128</t>
  </si>
  <si>
    <t>LT-3</t>
  </si>
  <si>
    <t>78 121 TO 124</t>
  </si>
  <si>
    <t>LT-4</t>
  </si>
  <si>
    <t>77 117 TO 120</t>
  </si>
  <si>
    <t>VM-2</t>
  </si>
  <si>
    <t>9 93 TO 96</t>
  </si>
  <si>
    <t>LT-5</t>
  </si>
  <si>
    <t>76 113 TO 116</t>
  </si>
  <si>
    <t>LT-6</t>
  </si>
  <si>
    <t>75 109 TO 112</t>
  </si>
  <si>
    <t>LT-7</t>
  </si>
  <si>
    <t>74 105 TO 108</t>
  </si>
  <si>
    <t>LT-8</t>
  </si>
  <si>
    <t>73 101 TO 104</t>
  </si>
  <si>
    <t>VM-3</t>
  </si>
  <si>
    <t>8 89 TO 92</t>
  </si>
  <si>
    <t>LT-9</t>
  </si>
  <si>
    <t>56 97 TO 100</t>
  </si>
  <si>
    <t>VM-4</t>
  </si>
  <si>
    <t>7 81 TO 84</t>
  </si>
  <si>
    <t>Totales del techo</t>
  </si>
  <si>
    <t>B. MUROS — LARGUEROS, DINTELES, JAMBAS Y FRANJAS ALTAS QUE LLEGAN A LAS VIGAS</t>
  </si>
  <si>
    <t>Las aberturas FIJAS se descuentan siempre y las OPERABLES sólo en los casos PA; con la puerta o cortina cerrada su presión la toman los miembros cuya franja la cubre (en el ejemplo: jambas del vano y dintel de la puerta). Barlovento arriba de 10 m con el C_z de lo alto de la franja.</t>
  </si>
  <si>
    <t>w (kg/m) normal al muro, + hacia adentro</t>
  </si>
  <si>
    <t>LA-1.1</t>
  </si>
  <si>
    <t>MURO 3</t>
  </si>
  <si>
    <t>261</t>
  </si>
  <si>
    <t>HORIZONTAL</t>
  </si>
  <si>
    <t>LA-1.2</t>
  </si>
  <si>
    <t>260</t>
  </si>
  <si>
    <t>LA-1.3</t>
  </si>
  <si>
    <t>259</t>
  </si>
  <si>
    <t>LA-2.1</t>
  </si>
  <si>
    <t>270</t>
  </si>
  <si>
    <t>LA-2.2</t>
  </si>
  <si>
    <t>269</t>
  </si>
  <si>
    <t>LA-2.3</t>
  </si>
  <si>
    <t>268</t>
  </si>
  <si>
    <t>LA-3.1</t>
  </si>
  <si>
    <t>279</t>
  </si>
  <si>
    <t>LA-3.2</t>
  </si>
  <si>
    <t>278</t>
  </si>
  <si>
    <t>LA-3.3</t>
  </si>
  <si>
    <t>277</t>
  </si>
  <si>
    <t>LA-4.1</t>
  </si>
  <si>
    <t>289</t>
  </si>
  <si>
    <t>LA-4.2</t>
  </si>
  <si>
    <t>288</t>
  </si>
  <si>
    <t>LA-4.3</t>
  </si>
  <si>
    <t>287</t>
  </si>
  <si>
    <t>LA-5.1</t>
  </si>
  <si>
    <t>297</t>
  </si>
  <si>
    <t>LA-5.2</t>
  </si>
  <si>
    <t>296</t>
  </si>
  <si>
    <t>LA-5.3</t>
  </si>
  <si>
    <t>295</t>
  </si>
  <si>
    <t>LA-6.1</t>
  </si>
  <si>
    <t>305</t>
  </si>
  <si>
    <t>LA-6.2</t>
  </si>
  <si>
    <t>304</t>
  </si>
  <si>
    <t>LA-6.3</t>
  </si>
  <si>
    <t>303</t>
  </si>
  <si>
    <t>LA-7.1</t>
  </si>
  <si>
    <t>314</t>
  </si>
  <si>
    <t>LA-7.2</t>
  </si>
  <si>
    <t>313</t>
  </si>
  <si>
    <t>LA-7.3</t>
  </si>
  <si>
    <t>312</t>
  </si>
  <si>
    <t>LA-8.1</t>
  </si>
  <si>
    <t>317</t>
  </si>
  <si>
    <t>LA-8.2</t>
  </si>
  <si>
    <t>316</t>
  </si>
  <si>
    <t>LA-8.3</t>
  </si>
  <si>
    <t>315</t>
  </si>
  <si>
    <t>LB-1.1</t>
  </si>
  <si>
    <t>MURO 4</t>
  </si>
  <si>
    <t>265</t>
  </si>
  <si>
    <t>LB-1.2</t>
  </si>
  <si>
    <t>266</t>
  </si>
  <si>
    <t>LB-1.3</t>
  </si>
  <si>
    <t>267</t>
  </si>
  <si>
    <t>LB-2.1</t>
  </si>
  <si>
    <t>274</t>
  </si>
  <si>
    <t>LB-2.2</t>
  </si>
  <si>
    <t>275</t>
  </si>
  <si>
    <t>LB-2.3</t>
  </si>
  <si>
    <t>276</t>
  </si>
  <si>
    <t>LB-3.1</t>
  </si>
  <si>
    <t>283</t>
  </si>
  <si>
    <t>LB-3.2</t>
  </si>
  <si>
    <t>284</t>
  </si>
  <si>
    <t>LB-3.3</t>
  </si>
  <si>
    <t>285</t>
  </si>
  <si>
    <t>LB-4.1</t>
  </si>
  <si>
    <t>292</t>
  </si>
  <si>
    <t>LB-4.2</t>
  </si>
  <si>
    <t>293</t>
  </si>
  <si>
    <t>LB-4.3</t>
  </si>
  <si>
    <t>294</t>
  </si>
  <si>
    <t>LB-5.1</t>
  </si>
  <si>
    <t>300</t>
  </si>
  <si>
    <t>LB-5.2</t>
  </si>
  <si>
    <t>301</t>
  </si>
  <si>
    <t>LB-5.3</t>
  </si>
  <si>
    <t>302</t>
  </si>
  <si>
    <t>LB-6.1</t>
  </si>
  <si>
    <t>307</t>
  </si>
  <si>
    <t>LB-6.2</t>
  </si>
  <si>
    <t>308</t>
  </si>
  <si>
    <t>LB-6.3</t>
  </si>
  <si>
    <t>309</t>
  </si>
  <si>
    <t>LB-7.1</t>
  </si>
  <si>
    <t>318</t>
  </si>
  <si>
    <t>LB-7.2</t>
  </si>
  <si>
    <t>311</t>
  </si>
  <si>
    <t>LB-7.3</t>
  </si>
  <si>
    <t>310</t>
  </si>
  <si>
    <t>LB-8.1</t>
  </si>
  <si>
    <t>321</t>
  </si>
  <si>
    <t>LB-8.2</t>
  </si>
  <si>
    <t>320</t>
  </si>
  <si>
    <t>LB-8.3</t>
  </si>
  <si>
    <t>319</t>
  </si>
  <si>
    <t>VA-1 (60)</t>
  </si>
  <si>
    <t>60</t>
  </si>
  <si>
    <t>VA-1 (59)</t>
  </si>
  <si>
    <t>59</t>
  </si>
  <si>
    <t>VA-1 (58)</t>
  </si>
  <si>
    <t>58</t>
  </si>
  <si>
    <t>VA-1 (57)</t>
  </si>
  <si>
    <t>57</t>
  </si>
  <si>
    <t>VA-1 (10)</t>
  </si>
  <si>
    <t>10</t>
  </si>
  <si>
    <t>VA-2 (68)</t>
  </si>
  <si>
    <t>68</t>
  </si>
  <si>
    <t>VA-2 (67)</t>
  </si>
  <si>
    <t>67</t>
  </si>
  <si>
    <t>VA-2 (66)</t>
  </si>
  <si>
    <t>66</t>
  </si>
  <si>
    <t>VA-2 (65)</t>
  </si>
  <si>
    <t>65</t>
  </si>
  <si>
    <t>VA-2 (43)</t>
  </si>
  <si>
    <t>43</t>
  </si>
  <si>
    <t>VA-3 (47)</t>
  </si>
  <si>
    <t>47</t>
  </si>
  <si>
    <t>VA-3 (54)</t>
  </si>
  <si>
    <t>54</t>
  </si>
  <si>
    <t>VB-1 (64)</t>
  </si>
  <si>
    <t>64</t>
  </si>
  <si>
    <t>VB-1 (63)</t>
  </si>
  <si>
    <t>63</t>
  </si>
  <si>
    <t>VB-1 (62)</t>
  </si>
  <si>
    <t>62</t>
  </si>
  <si>
    <t>VB-1 (61)</t>
  </si>
  <si>
    <t>61</t>
  </si>
  <si>
    <t>VB-1 (12)</t>
  </si>
  <si>
    <t>12</t>
  </si>
  <si>
    <t>VB-2 (72)</t>
  </si>
  <si>
    <t>72</t>
  </si>
  <si>
    <t>VB-2 (71)</t>
  </si>
  <si>
    <t>71</t>
  </si>
  <si>
    <t>VB-2 (70)</t>
  </si>
  <si>
    <t>70</t>
  </si>
  <si>
    <t>VB-2 (69)</t>
  </si>
  <si>
    <t>69</t>
  </si>
  <si>
    <t>VB-2 (50)</t>
  </si>
  <si>
    <t>50</t>
  </si>
  <si>
    <t>VB-3 (53)</t>
  </si>
  <si>
    <t>53</t>
  </si>
  <si>
    <t>VB-3 (55)</t>
  </si>
  <si>
    <t>55</t>
  </si>
  <si>
    <t>L1-1.1</t>
  </si>
  <si>
    <t>262</t>
  </si>
  <si>
    <t>L1-1.2</t>
  </si>
  <si>
    <t>263</t>
  </si>
  <si>
    <t>L1-1.3</t>
  </si>
  <si>
    <t>264</t>
  </si>
  <si>
    <t>L1-2.1</t>
  </si>
  <si>
    <t>271</t>
  </si>
  <si>
    <t>L1-2.2</t>
  </si>
  <si>
    <t>286</t>
  </si>
  <si>
    <t>L1-2.3</t>
  </si>
  <si>
    <t>272</t>
  </si>
  <si>
    <t>L1-2.4</t>
  </si>
  <si>
    <t>273</t>
  </si>
  <si>
    <t>L1-3.1</t>
  </si>
  <si>
    <t>280</t>
  </si>
  <si>
    <t>L1-3.2</t>
  </si>
  <si>
    <t>282</t>
  </si>
  <si>
    <t>L1-4.1</t>
  </si>
  <si>
    <t>290</t>
  </si>
  <si>
    <t>L1-4.2</t>
  </si>
  <si>
    <t>291</t>
  </si>
  <si>
    <t>L1-5.1</t>
  </si>
  <si>
    <t>298</t>
  </si>
  <si>
    <t>L1-5.2</t>
  </si>
  <si>
    <t>299</t>
  </si>
  <si>
    <t>L1-6.1</t>
  </si>
  <si>
    <t>326</t>
  </si>
  <si>
    <t>L1-6.2</t>
  </si>
  <si>
    <t>25</t>
  </si>
  <si>
    <t>L1-6.3</t>
  </si>
  <si>
    <t>327</t>
  </si>
  <si>
    <t>L1-7.1</t>
  </si>
  <si>
    <t>306</t>
  </si>
  <si>
    <t>L1-8.1</t>
  </si>
  <si>
    <t>322</t>
  </si>
  <si>
    <t>L1-9.1</t>
  </si>
  <si>
    <t>323</t>
  </si>
  <si>
    <t>VM-1 (franja alta)</t>
  </si>
  <si>
    <t>Jamba izq. del vano</t>
  </si>
  <si>
    <t>17 191 203 213 223 233</t>
  </si>
  <si>
    <t>VERTICAL</t>
  </si>
  <si>
    <t>Jamba der. del vano</t>
  </si>
  <si>
    <t>18 192 204 214 224 234</t>
  </si>
  <si>
    <t>Totales de muros</t>
  </si>
  <si>
    <t>LO QUE SE METE A STAAD — CASOS DE VIENTO LISTOS PARA PEGAR</t>
  </si>
  <si>
    <t>LO VIGENTE PARA EL .STD R3.3 (CASOS 8 A 15). STAAD_ONEWAY Y STAAD_R2.1 QUEDAN COMO HISTORIAL.</t>
  </si>
  <si>
    <t>B. RESUMEN DE LOS CASOS</t>
  </si>
  <si>
    <t>Muros: GZ en Muros 1 y 2, GX en Muros 3 y 4, con el signo ya puesto para que + empuje hacia adentro. Techo: GY (vertical) y G del eje de la pendiente (componente horizontal de la presión normal a la lámina).</t>
  </si>
  <si>
    <t>ΣFX (t)</t>
  </si>
  <si>
    <t>ΣFY (t)</t>
  </si>
  <si>
    <t>ΣFZ (t)</t>
  </si>
  <si>
    <t>Techo p (kg/m²)</t>
  </si>
  <si>
    <t>Barlovento p (kg/m²)</t>
  </si>
  <si>
    <t>¿Cobertura?</t>
  </si>
  <si>
    <t>Casos A — copia desde aquí</t>
  </si>
  <si>
    <t>Revisión</t>
  </si>
  <si>
    <t>Casos B (sólo si PRESIONES C22 = SÍ)</t>
  </si>
  <si>
    <t>MEMBER LOAD</t>
  </si>
  <si>
    <t>C. PRESIONES POR SUPERFICIE EN UNIDADES DE STAAD (si prefieres ONEWAY / FLOOR / ELEMENT LOAD)</t>
  </si>
  <si>
    <t>Con signo global ya aplicado. Muros: GZ (1 y 2) o GX (3 y 4). Techo: GY de la componente vertical. Es lo que usa el Walmart con ONEWAY LOAD por grupos de muro; si usas LINEAS no hace falta.</t>
  </si>
  <si>
    <t>Dirección</t>
  </si>
  <si>
    <t>Muro 1 — hasta 10 m</t>
  </si>
  <si>
    <t>GZ</t>
  </si>
  <si>
    <t>Muro 2 — hasta 10 m</t>
  </si>
  <si>
    <t>Muro 3 — hasta 10 m</t>
  </si>
  <si>
    <t>GX</t>
  </si>
  <si>
    <t>Muro 4 — hasta 10 m</t>
  </si>
  <si>
    <t>Muro 1 — en lo alto</t>
  </si>
  <si>
    <t>Muro 2 — en lo alto</t>
  </si>
  <si>
    <t>Muro 3 — en lo alto</t>
  </si>
  <si>
    <t>Muro 4 — en lo alto</t>
  </si>
  <si>
    <t>Techo — cuarto 1 (A)</t>
  </si>
  <si>
    <t>GY</t>
  </si>
  <si>
    <t>Techo — cuarto 2 (A)</t>
  </si>
  <si>
    <t>Techo — cuarto 3 (A)</t>
  </si>
  <si>
    <t>Techo — cuarto 4 (A)</t>
  </si>
  <si>
    <t>D. COMBINACIONES CON VIENTO (RESESCO Art. 21, págs. 7 y 8)</t>
  </si>
  <si>
    <t>Servicio (deformaciones): CM ± V de cada caso.</t>
  </si>
  <si>
    <t>Resistencia, ec. (2): U = 0.75 (1.4 CM + 1.7 CVR + 1.87·0.91 V) = 1.05 CM + 1.275 CVR + 1.276 V.</t>
  </si>
  <si>
    <t>Resistencia, ec. (3): U = 0.9 CM + 1.43·0.91 V = 0.9 CM + 1.301 V (levantamiento, anclas, volteo).</t>
  </si>
  <si>
    <t>Con succión la viva va en cero (Art. 25.4, pág. 10). El NOSE DOCK R3 ya trae LOAD COMB 24 a 31 y 50 en adelante.</t>
  </si>
  <si>
    <t>Si metes casos B, repite esas combinaciones con los números de los casos B.</t>
  </si>
  <si>
    <t>* FIN DE LOS CASOS DE VIENTO (LA SIGUIENTE LÍNEA DE TU .STD DEBE SER LA PRIMERA LOAD COMB)</t>
  </si>
  <si>
    <t>HISTORIAL R1.5 — CASOS DE VIENTO CON ONEWAY (LO VIGENTE PARA EL .STD R3.3 ESTÁ EN LA HOJA STAAD)</t>
  </si>
  <si>
    <t>Muros: ONEWAY LOAD sobre los grupos FLOOR _MURO1 (Z = 0), _MURO3 (X = 0) y _MURO4 (X = B) del .STD, con la presión neta de PRESIONES (filas 43, 45 y 46, «hasta 10 m») en kg/cm² (kg/m² × 0.0001) y el signo global (+ hacia adentro = +X en Muro 3, −X en Muro 4, +Z en Muro 1). STAAD la reparte a los largueros de los paneles cerrados. Techo: las mismas líneas UNI de la hoja STAAD. Complementos con UNI: la franja 0.60–1.20 m bajo los largueros de abajo (el panel base-larguero no cierra), la cortina a sus jambas (2.55 m c/u) y la puerta a sus postes (0.65 m c/u) cuando están cerradas.</t>
  </si>
  <si>
    <t>CÓMO SE USA: revisa PRESIONES y ABERTURAS como siempre; copia la columna B desde la fila 6 hasta la última y pégala en el .STD en lugar de los casos de viento. Unidades según DATOS C65 (CM KG: kg/cm² y kg/cm).</t>
  </si>
  <si>
    <t>Línea para STAAD</t>
  </si>
  <si>
    <t>Nota</t>
  </si>
  <si>
    <t>Encabezado del caso (hoja STAAD)</t>
  </si>
  <si>
    <t>* MUROS: PRESION NETA EN KG/CM2 (PresionesViento R1.5, PRESIONES FILAS 43-46)</t>
  </si>
  <si>
    <t>* QUE STAAD REPARTE A LOS LARGUEROS CON ONEWAY (PANELES CERRADOS).</t>
  </si>
  <si>
    <t>ONEWAY LOAD</t>
  </si>
  <si>
    <t>Muro 3 (X = 0): + hacia adentro = +X</t>
  </si>
  <si>
    <t>Muro 4 (X = B): + hacia adentro = −X</t>
  </si>
  <si>
    <t>Muro 1 (Z = 0): + hacia adentro = +Z</t>
  </si>
  <si>
    <t>* TECHO (IGUAL QUE R1.4)</t>
  </si>
  <si>
    <t>Techo: línea de la hoja STAAD</t>
  </si>
  <si>
    <t>* FRANJA 0.60-1.20 M BAJO LOS LARGUEROS DE ABAJO (EL PANEL BASE-LARGUERO</t>
  </si>
  <si>
    <t>* NO CIERRA Y ONEWAY NO LO CARGA): 0.60 M x PRESION</t>
  </si>
  <si>
    <t>Muro 3 · 0.60 m</t>
  </si>
  <si>
    <t>Muro 4 · 0.60 m</t>
  </si>
  <si>
    <t>Muro 1 · 0.60 m</t>
  </si>
  <si>
    <t>* CORTINA CERRADA 5.10 x 6.33 M: MITAD DEL ANCHO (2.55 M) A CADA JAMBA</t>
  </si>
  <si>
    <t>Cortina: línea de jamba de la hoja STAAD</t>
  </si>
  <si>
    <t>* PUERTA CERRADA 1.30 x 2.40 M: MITAD DEL ANCHO (0.65 M) A CADA POSTE</t>
  </si>
  <si>
    <t>Puerta · poste x = 0.64 m</t>
  </si>
  <si>
    <t>Puerta · poste x = 1.94 m</t>
  </si>
  <si>
    <t>*</t>
  </si>
  <si>
    <t>* PUERTAS ABIERTAS: SIN CARGA EN CORTINA NI PUERTA</t>
  </si>
  <si>
    <t>R2.1 — CASOS DE VIENTO PARA EL .STD R2.1 (8 A 11), LISTOS PARA PEGAR</t>
  </si>
  <si>
    <t>Viento con la cortina y la puerta del eje 1 CERRADAS (columnas C a F de PRESIONES); los casos con puertas abiertas ya no van. Muros con ONEWAY (kg/cm²); techo con la franja b de cada larguero y viga (AreasTributarias R2.1, hoja TECHO); franja de la base de 0.60 m; cortina a las jambas y puerta a sus postes.</t>
  </si>
  <si>
    <t>DATOS DE ESTA HOJA</t>
  </si>
  <si>
    <t>De dónde sale</t>
  </si>
  <si>
    <t>b — LT-1 a LT-8 y VM-2 (m)</t>
  </si>
  <si>
    <t>AreasTributarias R2.1 · TECHO H8</t>
  </si>
  <si>
    <t>b — VM-3 (m)</t>
  </si>
  <si>
    <t>AreasTributarias R2.1 · TECHO H17</t>
  </si>
  <si>
    <t>b — LT-9 (m)</t>
  </si>
  <si>
    <t>AreasTributarias R2.1 · TECHO H18</t>
  </si>
  <si>
    <t>b — VM-1, orilla eje 1 (m)</t>
  </si>
  <si>
    <t>AreasTributarias R2.1 · TECHO H7</t>
  </si>
  <si>
    <t>b — VM-4, orilla eje 4 (m)</t>
  </si>
  <si>
    <t>AreasTributarias R2.1 · TECHO H19</t>
  </si>
  <si>
    <t>Franja de la base bajo el primer larguero (m)</t>
  </si>
  <si>
    <t>Mitad de 1.20 m (ONEWAY no carga el panel base-larguero)</t>
  </si>
  <si>
    <t>Ancho de cortina a cada jamba (m)</t>
  </si>
  <si>
    <t>Mitad del vano de 5.1016 m (AreasTributarias DATOS C47)</t>
  </si>
  <si>
    <t>Ancho de puerta a cada poste (m)</t>
  </si>
  <si>
    <t>Mitad de la puerta de 1.30 m</t>
  </si>
  <si>
    <t>LOAD 8 LOADTYPE Wind  TITLE VIENTO X</t>
  </si>
  <si>
    <t>PRESIONES columna C (puertas cerradas)</t>
  </si>
  <si>
    <t>Muro 3 (X = 0), kg/m² · PRESIONES fila 45 · NTV 1997 4.1 y 4.3.1, pág. 5</t>
  </si>
  <si>
    <t>Muro 4 (X = 10.08), signo contrario · PRESIONES fila 46</t>
  </si>
  <si>
    <t>Muro 1 (Z = 0) · PRESIONES fila 43</t>
  </si>
  <si>
    <t>Techo, succión = GY + · PRESIONES filas 51 a 54 × b</t>
  </si>
  <si>
    <t>Franja de la base, muro 3</t>
  </si>
  <si>
    <t>Franja de la base, muro 4</t>
  </si>
  <si>
    <t>Franja de la base, muro 1</t>
  </si>
  <si>
    <t>Cortina cerrada a las jambas</t>
  </si>
  <si>
    <t>Puerta cerrada a sus postes</t>
  </si>
  <si>
    <t>LOAD 9 LOADTYPE Wind  TITLE VIENTO -X</t>
  </si>
  <si>
    <t>PRESIONES columna D (puertas cerradas)</t>
  </si>
  <si>
    <t>LOAD 10 LOADTYPE Wind  TITLE VIENTO Z</t>
  </si>
  <si>
    <t>PRESIONES columna E (puertas cerradas)</t>
  </si>
  <si>
    <t>LOAD 11 LOADTYPE Wind  TITLE VIENTO -Z</t>
  </si>
  <si>
    <t>PRESIONES columna F (puertas cerradas)</t>
  </si>
  <si>
    <t>RECUBRIMIENTO: LÁMINA, LARGUEROS Y SUS FIJACIONES (APÉNDICE DE LA NTV)</t>
  </si>
  <si>
    <t>Los elementos que recubren la estructura se diseñan con presiones locales mayores que las de la estructura principal (NTV 1.2.2, pág. 1 y Apéndice, págs. 8 a 10). Sirve para revisar lámina, tornillos y largueros; no se mete a los casos 8 a 15.</t>
  </si>
  <si>
    <t>CÓMO SE LLENA: sólo la sección B. A = área tributaria del elemento (claro × ancho); b = ancho tributario para sacar w en kg/m. Dónde: MURO, TECHO INTERIOR o TECHO ORILLA (franja de ancho b/10 en todo el perímetro del techo). EJEMPLO: NOSE DOCK.</t>
  </si>
  <si>
    <t>A. DATOS QUE SALEN DEL RESTO DEL LIBRO</t>
  </si>
  <si>
    <t>b — dimensión mínima de la nave</t>
  </si>
  <si>
    <t>NTV 1997 · Apéndice, pág. 8</t>
  </si>
  <si>
    <t>Franja de orilla del techo = b/10</t>
  </si>
  <si>
    <t>Zonas 3 y 5: franja de ese ancho en todo el perímetro del techo.</t>
  </si>
  <si>
    <t>NTV 1997 · Tabla A.2, pág. 9</t>
  </si>
  <si>
    <t>La Tabla A.2 es para H &lt; 20 m; arriba se usa la A.1.</t>
  </si>
  <si>
    <t>NTV 1997 · Apéndice, págs. 8 y 9</t>
  </si>
  <si>
    <t>¿Aplica la Tabla A.2?</t>
  </si>
  <si>
    <t>θ ≤ 30°: zonas 2 y 3; θ &gt; 30°: zonas 4 y 5.</t>
  </si>
  <si>
    <t>q_H</t>
  </si>
  <si>
    <t>A la altura máxima (lado seguro).</t>
  </si>
  <si>
    <t>C_pi para succión (el más desfavorable)</t>
  </si>
  <si>
    <t>+0.25 si algún escenario queda cerrado (aberturas ≤ 30%) y los C_pi de 4.4 si hay casos abiertos: se toma el mayor.</t>
  </si>
  <si>
    <t>NTV 1997 · Apéndice, pág. 8 · 4.4, pág. 7</t>
  </si>
  <si>
    <t>C_pi para empuje (el más desfavorable)</t>
  </si>
  <si>
    <t>−0.25 o el C_pi negativo de 4.4: se toma el menor.</t>
  </si>
  <si>
    <t>B. ELEMENTOS A REVISAR</t>
  </si>
  <si>
    <t>Dónde</t>
  </si>
  <si>
    <t>A (m²)</t>
  </si>
  <si>
    <t>b trib. (m)</t>
  </si>
  <si>
    <t>Zona</t>
  </si>
  <si>
    <t>C_p succión</t>
  </si>
  <si>
    <t>C_p empuje</t>
  </si>
  <si>
    <t>C_p neto succión</t>
  </si>
  <si>
    <t>C_p neto empuje</t>
  </si>
  <si>
    <t>p succión (kg/m²)</t>
  </si>
  <si>
    <t>p empuje (kg/m²)</t>
  </si>
  <si>
    <t>w succión (kg/m)</t>
  </si>
  <si>
    <t>w empuje (kg/m)</t>
  </si>
  <si>
    <t>Lámina de muro (1 m²)</t>
  </si>
  <si>
    <t>MURO</t>
  </si>
  <si>
    <t>NTV 1997 · Tabla A.2, pág. 9 · Apéndice, pág. 8</t>
  </si>
  <si>
    <t>Larguero de muro típico (LA/LB: 6.75 × 1.20)</t>
  </si>
  <si>
    <t>Larguero de muro corto (tramo 3-4: 2.50 × 1.20)</t>
  </si>
  <si>
    <t>Lámina de techo (1 m²)</t>
  </si>
  <si>
    <t>TECHO INTERIOR</t>
  </si>
  <si>
    <t>Larguero de techo típico (LT: 10.08 × 1.35)</t>
  </si>
  <si>
    <t>Lámina de techo en la orilla (1 m²)</t>
  </si>
  <si>
    <t>TECHO ORILLA</t>
  </si>
  <si>
    <t>Viga de orilla del eje 1 (VM-1: 10.08 × 0.675)</t>
  </si>
  <si>
    <t>Cómo se usa: con w succión y w empuje revisa cada larguero como viga simple o continua a flexión (con su contraventeo) y la lámina con la tabla del fabricante. Los extremos de todos los largueros de techo caen en la franja de orilla (zona 3): ahí la succión es mayor. Estas cargas no se suman a los casos 8 a 15 de STAAD.</t>
  </si>
  <si>
    <t>TABLAS DE LA NORMA TÉCNICA PARA DISEÑO POR VIENTO (1997) — VALORES DE CONSULTA</t>
  </si>
  <si>
    <t>Transcritas de la Norma Técnica para Diseño por Viento de El Salvador y del Reglamento para la Seguridad Estructural (RESESCO 1996). Páginas = numeración IMPRESA de cada documento.</t>
  </si>
  <si>
    <t>NTV TABLA 4.1 — FACTORES DE EXPOSICIÓN K Y a  ·  pág. 5</t>
  </si>
  <si>
    <t>P = C_p·C_z·K·P_o con P_o = 30 kg/m²; C_z = 1 hasta 10 m y (z/10)^(2/a) arriba de 10 m.</t>
  </si>
  <si>
    <t>K</t>
  </si>
  <si>
    <t>a</t>
  </si>
  <si>
    <t>A</t>
  </si>
  <si>
    <t>Terreno con muchos edificios altos: al menos la mitad de las construcciones de más de 20 m</t>
  </si>
  <si>
    <t>B</t>
  </si>
  <si>
    <t>Zonas con construcciones de mediana o baja altura, o con árboles</t>
  </si>
  <si>
    <t>Terreno abierto, prácticamente sin obstrucciones (aeropuertos, campo abierto, costa)</t>
  </si>
  <si>
    <t>NTV 4.3.1 — FACTORES DE PRESIÓN EXTERIOR C_p (EDIFICIOS CERRADOS)  ·  pág. 5</t>
  </si>
  <si>
    <t>Sotavento y laterales: constantes en toda la altura, calculados a la mitad de la altura total (nota de 4.3.1 y Comentarios C4.3.1, págs. 4 y 5).</t>
  </si>
  <si>
    <t>Condición</t>
  </si>
  <si>
    <t>C_p</t>
  </si>
  <si>
    <t>Muros verticales</t>
  </si>
  <si>
    <t>Constante en toda la altura</t>
  </si>
  <si>
    <t>Muros laterales</t>
  </si>
  <si>
    <t>Techo horizontal</t>
  </si>
  <si>
    <t>Todo el techo</t>
  </si>
  <si>
    <t>Techo inclinado o curvo</t>
  </si>
  <si>
    <t>Viento paralelo a las generatrices (a la cumbrera)</t>
  </si>
  <si>
    <t>Techo inclinado</t>
  </si>
  <si>
    <t>Faldón de sotavento, viento normal a la cumbrera</t>
  </si>
  <si>
    <t>Faldón de barlovento, θ &lt; 30°</t>
  </si>
  <si>
    <t>Faldón de barlovento, 30° ≤ θ ≤ 50°</t>
  </si>
  <si>
    <t>±0.4, el más desfavorable</t>
  </si>
  <si>
    <t>Faldón de barlovento, θ &gt; 50°</t>
  </si>
  <si>
    <t>NTV TABLA 4.2 — TECHOS CURVOS, VIENTO NORMAL A LAS GENERATRICES  ·  pág. 6</t>
  </si>
  <si>
    <t>r = flecha / claro. A1 = cuarto de barlovento, A2 = mitad central, A3 = cuarto de sotavento. El impreso trae «0.7 − r» en A2 del renglón intermedio; se tomó −0.7 − r como en los otros renglones.</t>
  </si>
  <si>
    <t>r</t>
  </si>
  <si>
    <t>Zona A1</t>
  </si>
  <si>
    <t>Zona A2</t>
  </si>
  <si>
    <t>Zona A3</t>
  </si>
  <si>
    <t>r &lt; 0.2</t>
  </si>
  <si>
    <t>−0.8</t>
  </si>
  <si>
    <t>−0.7 − r</t>
  </si>
  <si>
    <t>−0.5</t>
  </si>
  <si>
    <t>0.2 ≤ r ≤ 0.3</t>
  </si>
  <si>
    <t>−0.8 ó +0.3, el más desfavorable</t>
  </si>
  <si>
    <t>0.3 &lt; r ≤ 0.6</t>
  </si>
  <si>
    <t>2r − 0.3</t>
  </si>
  <si>
    <t>Arco desde el suelo</t>
  </si>
  <si>
    <t>1.4r ≤ 0.9 (empuje)</t>
  </si>
  <si>
    <t>igual</t>
  </si>
  <si>
    <t>NTV 4.4 — PRESIÓN INTERIOR C_pi  ·  pág. 7</t>
  </si>
  <si>
    <t>Se considera cuando en las paredes puede haber aberturas de 30% o más de su superficie (estructura abierta, 2.1, pág. 2).</t>
  </si>
  <si>
    <t>Aberturas principalmente en</t>
  </si>
  <si>
    <t>Barlovento</t>
  </si>
  <si>
    <t>La cara donde pega el viento</t>
  </si>
  <si>
    <t>Sotavento</t>
  </si>
  <si>
    <t>La cara opuesta</t>
  </si>
  <si>
    <t>Caras paralelas</t>
  </si>
  <si>
    <t>Muros paralelos a la dirección del viento</t>
  </si>
  <si>
    <t>Distribuidas</t>
  </si>
  <si>
    <t>Uniformemente en todas las caras</t>
  </si>
  <si>
    <t>NTV 3.1 — CLASIFICACIÓN POR SU RESPUESTA  ·  pág. 3</t>
  </si>
  <si>
    <t>El factor por ráfaga de 1.3 está en 4.6.1, pág. 7.</t>
  </si>
  <si>
    <t>Qué incluye</t>
  </si>
  <si>
    <t>Cómo se trata</t>
  </si>
  <si>
    <t>Tipo 1</t>
  </si>
  <si>
    <t>Esbeltez ≤ 5 y periodo ≤ 2 s: naves, bodegas y la mayoría de los edificios</t>
  </si>
  <si>
    <t>Presiones estáticas</t>
  </si>
  <si>
    <t>Tipo 2</t>
  </si>
  <si>
    <t>Esbeltez &gt; 5 o periodo &gt; 2 s: sensibles a ráfagas</t>
  </si>
  <si>
    <t>Presiones × 1.3</t>
  </si>
  <si>
    <t>Tipo 3</t>
  </si>
  <si>
    <t>Formas que generan vórtices periódicos (chimeneas, tanques elevados)</t>
  </si>
  <si>
    <t>Análisis dinámico</t>
  </si>
  <si>
    <t>RESESCO ART. 21 — COMBINACIONES CON VIENTO  ·  Reglamento 1996, págs. 7 y 8</t>
  </si>
  <si>
    <t>En las ecs. (2) y (3) se sustituye S por 0.91V. La viva va con su valor instantáneo y en cero cuando es favorable (Art. 25.4, pág. 10).</t>
  </si>
  <si>
    <t>Ecuación</t>
  </si>
  <si>
    <t>Combinación</t>
  </si>
  <si>
    <t>Factor del viento</t>
  </si>
  <si>
    <t>(2)</t>
  </si>
  <si>
    <t>U = 0.75 (1.4 CM + 1.7 CV + 1.87·0.91 V) = 1.05 CM + 1.275 CV + 1.276 V</t>
  </si>
  <si>
    <t>(3)</t>
  </si>
  <si>
    <t>U = 0.9 CM + 1.43·0.91 V = 0.9 CM + 1.301 V</t>
  </si>
  <si>
    <t>NTV APÉNDICE, TABLA A.2 — RECUBRIMIENTO, CONSTRUCCIONES CON H &lt; 20 m  ·  pág. 9</t>
  </si>
  <si>
    <t>A = área tributaria del elemento en m². Presión interior adicional: ±0.25 si las aberturas no pasan de 30%; si pasan, la de 4.4 (Apéndice, pág. 8). Franja de orilla = b/10 con b = dimensión mínima.</t>
  </si>
  <si>
    <t>Succión</t>
  </si>
  <si>
    <t>Empuje</t>
  </si>
  <si>
    <t>1</t>
  </si>
  <si>
    <t>Muros</t>
  </si>
  <si>
    <t>−2 + A/50 ≤ −1.1</t>
  </si>
  <si>
    <t>1.5 − A/100 ≥ 0.8</t>
  </si>
  <si>
    <t>2</t>
  </si>
  <si>
    <t>Techo, θ ≤ 30°, zona interior</t>
  </si>
  <si>
    <t>−1.4 + A/50 ≤ −1.2</t>
  </si>
  <si>
    <t>3</t>
  </si>
  <si>
    <t>Techo, θ ≤ 30°, franja de orilla b/10</t>
  </si>
  <si>
    <t>−3.0 + A/10 ≤ −2.0</t>
  </si>
  <si>
    <t>4</t>
  </si>
  <si>
    <t>Techo, θ &gt; 30°, zona interior</t>
  </si>
  <si>
    <t>1.3 − A/50 ≥ 1.1</t>
  </si>
  <si>
    <t>5</t>
  </si>
  <si>
    <t>Techo, θ &gt; 30°, franja de orilla b/10</t>
  </si>
  <si>
    <t>−1.7 + A/35 ≤ −1.4</t>
  </si>
  <si>
    <t>DE DÓNDE SALE CADA COSA</t>
  </si>
  <si>
    <t>Páginas IMPRESAS: la Norma Técnica para Diseño por Viento con la numeración de la Norma (sus Comentarios con la propia) y la RESESCO con la del Reglamento.</t>
  </si>
  <si>
    <t>DOCUMENTOS BASE</t>
  </si>
  <si>
    <t>Qué</t>
  </si>
  <si>
    <t>Página</t>
  </si>
  <si>
    <t>Para qué se usa</t>
  </si>
  <si>
    <t>Hoja donde cae</t>
  </si>
  <si>
    <t>NTV 1.2.2 — elementos expuestos y recubrimiento</t>
  </si>
  <si>
    <t>Los recubrimientos se diseñan con el Apéndice.</t>
  </si>
  <si>
    <t>RECUBRIMIENTO</t>
  </si>
  <si>
    <t>NTV 2.1 — definiciones</t>
  </si>
  <si>
    <t>Estructura abierta: aberturas de 30% o más en un lado. P_o = 30 kg/m².</t>
  </si>
  <si>
    <t>ABERTURAS · DATOS</t>
  </si>
  <si>
    <t>NTV 3.1 — clasificación Tipo 1, 2 y 3</t>
  </si>
  <si>
    <t>Esbeltez ≤ 5 y T ≤ 2 s = Tipo 1.</t>
  </si>
  <si>
    <t>DATOS</t>
  </si>
  <si>
    <t>NTV 4.1 y 4.2 — presión de diseño y C_z</t>
  </si>
  <si>
    <t>P = C_p·C_z·K·P_o; C_z = (z/10)^(2/a) arriba de 10 m.</t>
  </si>
  <si>
    <t>PRESIONES · LINEAS</t>
  </si>
  <si>
    <t>NTV Tabla 4.1 — exposición</t>
  </si>
  <si>
    <t>K y a para las zonas A, B y C.</t>
  </si>
  <si>
    <t>TABLAS · DATOS</t>
  </si>
  <si>
    <t>NTV 4.3.1 — C_p de edificios cerrados</t>
  </si>
  <si>
    <t>Barlovento +0.8, sotavento −0.5, laterales −0.7, techos.</t>
  </si>
  <si>
    <t>PRESIONES</t>
  </si>
  <si>
    <t>NTV Tabla 4.2 — techos curvos</t>
  </si>
  <si>
    <t>6</t>
  </si>
  <si>
    <t>Zonas A1, A2 y A3 en función de r.</t>
  </si>
  <si>
    <t>NTV 4.4 — presión interior</t>
  </si>
  <si>
    <t>7</t>
  </si>
  <si>
    <t>+0.75, −0.6, −0.5 o −0.3 según dónde estén las aberturas.</t>
  </si>
  <si>
    <t>ABERTURAS</t>
  </si>
  <si>
    <t>NTV 4.5 — área expuesta</t>
  </si>
  <si>
    <t>Proyección vertical en muros; superficie total en techos; presión normal a la superficie.</t>
  </si>
  <si>
    <t>NTV 4.6.1 — factor por ráfaga</t>
  </si>
  <si>
    <t>Tipo 2: presiones × 1.3.</t>
  </si>
  <si>
    <t>NTV Apéndice y Tabla A.2 — recubrimiento</t>
  </si>
  <si>
    <t>8 y 9</t>
  </si>
  <si>
    <t>Zonas 1 a 5, C_p en función del área tributaria, ±0.25 interior.</t>
  </si>
  <si>
    <t>RECUBRIMIENTO · TABLAS</t>
  </si>
  <si>
    <t>Comentarios NTV, C4.3.1</t>
  </si>
  <si>
    <t>4 y 5</t>
  </si>
  <si>
    <t>Sotavento y laterales constantes, calculados a la mitad de la altura total.</t>
  </si>
  <si>
    <t>RESESCO Art. 21 — combinaciones</t>
  </si>
  <si>
    <t>7 y 8</t>
  </si>
  <si>
    <t>Con viento S se sustituye por 0.91V.</t>
  </si>
  <si>
    <t>PRESIONES · STAAD · TABLAS</t>
  </si>
  <si>
    <t>RESESCO Art. 25.4 — viva favorable</t>
  </si>
  <si>
    <t>Con succión o volteo la viva va en cero.</t>
  </si>
  <si>
    <t>PRESIONES · STAAD</t>
  </si>
  <si>
    <t>CRITERIOS DE ESTA HOJA (LO QUE LA NORMA NO DICE CON TODAS SUS LETRAS)</t>
  </si>
  <si>
    <t>•  «Aberturas principalmente en una cara» = el área abierta de esa cara es por lo menos el doble de la suma de las otras.</t>
  </si>
  <si>
    <t>•  Presión interior cuando en el escenario algún muro llega a 30% abierto (2.1 dice «igual o mayor»; 4.4 dice «más de»: se toma el lado seguro).</t>
  </si>
  <si>
    <t>•  Dos escenarios: CERR (puertas y cortinas cerradas: sólo cuentan las aberturas FIJAS) y PA (todas abiertas). Con la puerta cerrada su presión la toman los miembros cuya franja la cubre.</t>
  </si>
  <si>
    <t>•  Techo, presión interior y recubrimiento con C_z a la altura máxima H; sotavento y laterales a H/2; barlovento con C_z = 1 hasta 10 m y, arriba, el C_z de lo alto de cada franja.</t>
  </si>
  <si>
    <t>•  El área de los hastiales incluye la parte bajo el techo: triángulo o trapecio en techos inclinados y ⅔ de la flecha × claro en techo curvo.</t>
  </si>
  <si>
    <t>•  Techo por cuartos a lo largo de la pendiente; cada línea toma la presión de los cuartos que cubre su franja. La presión es normal a la lámina: vertical p·(ancho en planta) y horizontal p·m·(ancho en planta).</t>
  </si>
  <si>
    <t>•  En el renglón intermedio de la Tabla 4.2 el impreso trae «0.7 − r» en A2; se tomó −0.7 − r.</t>
  </si>
  <si>
    <t>•  Cortina de oruga: sus tablillas trabajan horizontales entre guías, así que con la cortina cerrada la carga va a las jambas. Puerta de servicio: la mitad de arriba al dintel y la de abajo al piso.</t>
  </si>
  <si>
    <t>•  Carga en el marco intermedio en 2D = p neta × separación; el marco extremo lleva la mitad.</t>
  </si>
  <si>
    <t>•  No cubre el Tipo 3 (vórtices), aleros volados, parapetos ni techos con r &gt; 0.6.</t>
  </si>
  <si>
    <t>CAPTURA. Periodo del modo dominante de STAAD</t>
  </si>
  <si>
    <t>SELECTOR: CM KG , METER KG o METER KN. Las cargas salen en kg/cm, kg/m o kN/m.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</si>
</sst>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0%"/>
    <numFmt numFmtId="167" formatCode="0.0"/>
    <numFmt numFmtId="168" formatCode="0.00000000"/>
    <numFmt numFmtId="169" formatCode="0.00;\-0.00;;@"/>
    <numFmt numFmtId="170" formatCode="\+0.00;\-0.00;0.00"/>
    <numFmt numFmtId="171" formatCode="\+0.0;\-0.0;0.0"/>
    <numFmt numFmtId="172" formatCode="\+0.000;\-0.000;0.000"/>
    <numFmt numFmtId="173" formatCode="0.000000;\-0.000000;0"/>
  </numFmts>
  <fonts count="17" x14ac:knownFonts="1">
    <font>
      <sz val="11"/>
      <color theme="1"/>
      <name val="Calibri"/>
      <family val="2"/>
      <charset val="1"/>
    </font>
    <font>
      <b/>
      <sz val="13"/>
      <color rgb="FFFFFFFF"/>
      <name val="Arial"/>
      <charset val="1"/>
    </font>
    <font>
      <sz val="8"/>
      <color rgb="FF808080"/>
      <name val="Arial"/>
      <charset val="1"/>
    </font>
    <font>
      <sz val="9"/>
      <color rgb="FF595959"/>
      <name val="Arial"/>
      <charset val="1"/>
    </font>
    <font>
      <b/>
      <sz val="9"/>
      <color rgb="FF843C0C"/>
      <name val="Arial"/>
      <charset val="1"/>
    </font>
    <font>
      <b/>
      <sz val="10"/>
      <color rgb="FFFFFFFF"/>
      <name val="Arial"/>
      <charset val="1"/>
    </font>
    <font>
      <b/>
      <sz val="9"/>
      <color rgb="FF1F3864"/>
      <name val="Arial"/>
      <charset val="1"/>
    </font>
    <font>
      <sz val="10"/>
      <color rgb="FF1A1A1A"/>
      <name val="Arial"/>
      <charset val="1"/>
    </font>
    <font>
      <b/>
      <sz val="10"/>
      <color rgb="FF0000CC"/>
      <name val="Arial"/>
      <charset val="1"/>
    </font>
    <font>
      <sz val="8"/>
      <color rgb="FF1F4E79"/>
      <name val="Arial"/>
      <charset val="1"/>
    </font>
    <font>
      <b/>
      <sz val="10"/>
      <color rgb="FF1A1A1A"/>
      <name val="Arial"/>
      <charset val="1"/>
    </font>
    <font>
      <b/>
      <sz val="10"/>
      <color rgb="FF006100"/>
      <name val="Arial"/>
      <charset val="1"/>
    </font>
    <font>
      <b/>
      <sz val="8"/>
      <color rgb="FF0000CC"/>
      <name val="Arial"/>
      <charset val="1"/>
    </font>
    <font>
      <b/>
      <sz val="10"/>
      <color rgb="FF9C0006"/>
      <name val="Arial"/>
      <charset val="1"/>
    </font>
    <font>
      <sz val="8"/>
      <color rgb="FF1A1A1A"/>
      <name val="Arial"/>
      <charset val="1"/>
    </font>
    <font>
      <b/>
      <sz val="9"/>
      <color rgb="FF006100"/>
      <name val="Consolas"/>
      <charset val="1"/>
    </font>
    <font>
      <sz val="9"/>
      <color rgb="FF1A1A1A"/>
      <name val="Consolas"/>
      <charset val="1"/>
    </font>
  </fonts>
  <fills count="10">
    <fill>
      <patternFill patternType="none"/>
    </fill>
    <fill>
      <patternFill patternType="gray125"/>
    </fill>
    <fill>
      <patternFill patternType="solid">
        <fgColor rgb="FF1F3864"/>
        <bgColor rgb="FF1F4E79"/>
      </patternFill>
    </fill>
    <fill>
      <patternFill patternType="solid">
        <fgColor rgb="FFF7F7F7"/>
        <bgColor rgb="FFF2F2F2"/>
      </patternFill>
    </fill>
    <fill>
      <patternFill patternType="solid">
        <fgColor rgb="FFFFF0E0"/>
        <bgColor rgb="FFFFF2CC"/>
      </patternFill>
    </fill>
    <fill>
      <patternFill patternType="solid">
        <fgColor rgb="FF2E5C9A"/>
        <bgColor rgb="FF1F4E79"/>
      </patternFill>
    </fill>
    <fill>
      <patternFill patternType="solid">
        <fgColor rgb="FFD9E2F3"/>
        <bgColor rgb="FFD9D9D9"/>
      </patternFill>
    </fill>
    <fill>
      <patternFill patternType="solid">
        <fgColor rgb="FFFFF2CC"/>
        <bgColor rgb="FFFFF0E0"/>
      </patternFill>
    </fill>
    <fill>
      <patternFill patternType="solid">
        <fgColor rgb="FFF2F2F2"/>
        <bgColor rgb="FFF7F7F7"/>
      </patternFill>
    </fill>
    <fill>
      <patternFill patternType="solid">
        <fgColor rgb="FFE2EFDA"/>
        <bgColor rgb="FFF2F2F2"/>
      </patternFill>
    </fill>
  </fills>
  <borders count="1">
    <border>
      <left/>
      <right/>
      <top/>
      <bottom/>
      <diagonal/>
    </border>
  </borders>
  <cellStyleXfs count="1">
    <xf numFmtId="0" fontId="0" fillId="0" borderId="0"/>
  </cellStyleXfs>
  <cellXfs count="58">
    <xf numFmtId="0" fontId="0" fillId="0" borderId="0" xfId="0"/>
    <xf numFmtId="0" fontId="7" fillId="0" borderId="0" xfId="0" applyFont="1" applyAlignment="1">
      <alignment horizontal="left" vertical="center" wrapText="1"/>
    </xf>
    <xf numFmtId="0" fontId="6" fillId="6" borderId="0" xfId="0" applyFont="1" applyFill="1" applyAlignment="1">
      <alignment horizontal="center" vertical="center" wrapText="1"/>
    </xf>
    <xf numFmtId="0" fontId="10" fillId="0" borderId="0" xfId="0" applyFont="1" applyAlignment="1">
      <alignment horizontal="left" vertical="center" wrapText="1"/>
    </xf>
    <xf numFmtId="0" fontId="8" fillId="7" borderId="0" xfId="0" applyFont="1" applyFill="1" applyAlignment="1">
      <alignment horizontal="left" vertical="center" wrapText="1"/>
    </xf>
    <xf numFmtId="0" fontId="4" fillId="4" borderId="0" xfId="0" applyFont="1" applyFill="1" applyAlignment="1">
      <alignment horizontal="left" vertical="center" wrapText="1"/>
    </xf>
    <xf numFmtId="0" fontId="3" fillId="0" borderId="0" xfId="0" applyFont="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164" fontId="2" fillId="3" borderId="0" xfId="0" applyNumberFormat="1" applyFont="1" applyFill="1" applyAlignment="1">
      <alignment horizontal="center" vertical="center" wrapText="1"/>
    </xf>
    <xf numFmtId="165" fontId="2" fillId="3" borderId="0" xfId="0" applyNumberFormat="1" applyFont="1" applyFill="1" applyAlignment="1">
      <alignment horizontal="center" vertical="center" wrapText="1"/>
    </xf>
    <xf numFmtId="0" fontId="9" fillId="0" borderId="0" xfId="0" applyFont="1" applyAlignment="1">
      <alignment horizontal="left" vertical="center" wrapText="1"/>
    </xf>
    <xf numFmtId="2" fontId="8" fillId="7" borderId="0" xfId="0" applyNumberFormat="1" applyFont="1" applyFill="1" applyAlignment="1">
      <alignment horizontal="center" vertical="center" wrapText="1"/>
    </xf>
    <xf numFmtId="0" fontId="7" fillId="0" borderId="0" xfId="0" applyFont="1" applyAlignment="1">
      <alignment horizontal="center" vertical="center" wrapText="1"/>
    </xf>
    <xf numFmtId="0" fontId="8" fillId="7" borderId="0" xfId="0" applyFont="1" applyFill="1" applyAlignment="1">
      <alignment horizontal="center" vertical="center" wrapText="1"/>
    </xf>
    <xf numFmtId="2" fontId="7" fillId="0" borderId="0" xfId="0" applyNumberFormat="1" applyFont="1" applyAlignment="1">
      <alignment horizontal="center" vertical="center" wrapText="1"/>
    </xf>
    <xf numFmtId="166" fontId="7" fillId="0" borderId="0" xfId="0" applyNumberFormat="1" applyFont="1" applyAlignment="1">
      <alignment horizontal="center" vertical="center" wrapText="1"/>
    </xf>
    <xf numFmtId="0" fontId="10" fillId="0" borderId="0" xfId="0" applyFont="1" applyAlignment="1">
      <alignment horizontal="center" vertical="center" wrapText="1"/>
    </xf>
    <xf numFmtId="167" fontId="7"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11" fillId="9" borderId="0" xfId="0" applyFont="1" applyFill="1" applyAlignment="1">
      <alignment horizontal="center" vertical="center" wrapText="1"/>
    </xf>
    <xf numFmtId="1" fontId="8" fillId="7" borderId="0" xfId="0" applyNumberFormat="1" applyFont="1" applyFill="1" applyAlignment="1">
      <alignment horizontal="center" vertical="center" wrapText="1"/>
    </xf>
    <xf numFmtId="168" fontId="7" fillId="0" borderId="0" xfId="0" applyNumberFormat="1" applyFont="1" applyAlignment="1">
      <alignment horizontal="center" vertical="center" wrapText="1"/>
    </xf>
    <xf numFmtId="2" fontId="2" fillId="3" borderId="0" xfId="0" applyNumberFormat="1" applyFont="1" applyFill="1" applyAlignment="1">
      <alignment horizontal="center" vertical="center" wrapText="1"/>
    </xf>
    <xf numFmtId="164" fontId="8" fillId="7" borderId="0" xfId="0" applyNumberFormat="1" applyFont="1" applyFill="1" applyAlignment="1">
      <alignment horizontal="center" vertical="center" wrapText="1"/>
    </xf>
    <xf numFmtId="169" fontId="7" fillId="0" borderId="0" xfId="0" applyNumberFormat="1" applyFont="1" applyAlignment="1">
      <alignment horizontal="center" vertical="center" wrapText="1"/>
    </xf>
    <xf numFmtId="0" fontId="12" fillId="7" borderId="0" xfId="0" applyFont="1" applyFill="1" applyAlignment="1">
      <alignment horizontal="left" vertical="center" wrapText="1"/>
    </xf>
    <xf numFmtId="1" fontId="2" fillId="3" borderId="0" xfId="0" applyNumberFormat="1" applyFont="1" applyFill="1" applyAlignment="1">
      <alignment horizontal="center" vertical="center" wrapText="1"/>
    </xf>
    <xf numFmtId="2" fontId="11" fillId="9" borderId="0" xfId="0" applyNumberFormat="1" applyFont="1" applyFill="1" applyAlignment="1">
      <alignment horizontal="center" vertical="center" wrapText="1"/>
    </xf>
    <xf numFmtId="170" fontId="11" fillId="9" borderId="0" xfId="0" applyNumberFormat="1" applyFont="1" applyFill="1" applyAlignment="1">
      <alignment horizontal="center" vertical="center" wrapText="1"/>
    </xf>
    <xf numFmtId="165" fontId="7"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0" fontId="14" fillId="0" borderId="0" xfId="0" applyFont="1" applyAlignment="1">
      <alignment horizontal="center" vertical="center" wrapText="1"/>
    </xf>
    <xf numFmtId="170" fontId="7" fillId="0" borderId="0" xfId="0" applyNumberFormat="1" applyFont="1" applyAlignment="1">
      <alignment horizontal="center" vertical="center" wrapText="1"/>
    </xf>
    <xf numFmtId="171" fontId="11" fillId="9" borderId="0" xfId="0" applyNumberFormat="1" applyFont="1" applyFill="1" applyAlignment="1">
      <alignment horizontal="center" vertical="center" wrapText="1"/>
    </xf>
    <xf numFmtId="171" fontId="7" fillId="0" borderId="0" xfId="0" applyNumberFormat="1" applyFont="1" applyAlignment="1">
      <alignment horizontal="center" vertical="center" wrapText="1"/>
    </xf>
    <xf numFmtId="164" fontId="11" fillId="9" borderId="0" xfId="0" applyNumberFormat="1" applyFont="1" applyFill="1" applyAlignment="1">
      <alignment horizontal="center" vertical="center" wrapText="1"/>
    </xf>
    <xf numFmtId="172" fontId="10" fillId="0" borderId="0" xfId="0" applyNumberFormat="1" applyFont="1" applyAlignment="1">
      <alignment horizontal="center" vertical="center" wrapText="1"/>
    </xf>
    <xf numFmtId="166" fontId="10" fillId="0" borderId="0" xfId="0" applyNumberFormat="1" applyFont="1" applyAlignment="1">
      <alignment horizontal="center" vertical="center" wrapText="1"/>
    </xf>
    <xf numFmtId="165" fontId="8" fillId="7" borderId="0" xfId="0" applyNumberFormat="1" applyFont="1" applyFill="1" applyAlignment="1">
      <alignment horizontal="center" vertical="center" wrapText="1"/>
    </xf>
    <xf numFmtId="169" fontId="2" fillId="3" borderId="0" xfId="0" applyNumberFormat="1" applyFont="1" applyFill="1" applyAlignment="1">
      <alignment horizontal="center" vertical="center" wrapText="1"/>
    </xf>
    <xf numFmtId="0" fontId="3" fillId="0" borderId="0" xfId="0" applyFont="1" applyAlignment="1">
      <alignment horizontal="center" vertical="center" wrapText="1"/>
    </xf>
    <xf numFmtId="0" fontId="15" fillId="9" borderId="0" xfId="0" applyFont="1" applyFill="1" applyAlignment="1">
      <alignment horizontal="left" vertical="center"/>
    </xf>
    <xf numFmtId="0" fontId="16" fillId="0" borderId="0" xfId="0" applyFont="1" applyAlignment="1">
      <alignment horizontal="left" vertical="center"/>
    </xf>
    <xf numFmtId="173" fontId="7" fillId="0" borderId="0" xfId="0" applyNumberFormat="1" applyFont="1" applyAlignment="1">
      <alignment horizontal="center" vertical="center" wrapText="1"/>
    </xf>
    <xf numFmtId="171" fontId="16" fillId="0" borderId="0" xfId="0" applyNumberFormat="1" applyFont="1" applyAlignment="1">
      <alignment horizontal="left" vertical="center"/>
    </xf>
    <xf numFmtId="1" fontId="10" fillId="0" borderId="0" xfId="0" applyNumberFormat="1" applyFont="1" applyAlignment="1">
      <alignment horizontal="center" vertical="center" wrapText="1"/>
    </xf>
    <xf numFmtId="0" fontId="8" fillId="7" borderId="0" xfId="0" applyFont="1" applyFill="1" applyAlignment="1">
      <alignment horizontal="left" vertical="center" wrapText="1"/>
    </xf>
    <xf numFmtId="0" fontId="5" fillId="5" borderId="0" xfId="0" applyFont="1" applyFill="1" applyAlignment="1">
      <alignment horizontal="left" vertical="center"/>
    </xf>
    <xf numFmtId="0" fontId="3" fillId="8" borderId="0" xfId="0" applyFont="1" applyFill="1" applyAlignment="1">
      <alignment horizontal="left" vertical="center" wrapText="1"/>
    </xf>
    <xf numFmtId="0" fontId="1" fillId="2" borderId="0" xfId="0" applyFont="1" applyFill="1" applyAlignment="1">
      <alignment horizontal="left" vertical="center"/>
    </xf>
    <xf numFmtId="0" fontId="3" fillId="0" borderId="0" xfId="0" applyFont="1" applyAlignment="1">
      <alignment horizontal="left" vertical="center" wrapText="1"/>
    </xf>
    <xf numFmtId="0" fontId="4" fillId="4" borderId="0" xfId="0" applyFont="1" applyFill="1" applyAlignment="1">
      <alignment horizontal="left" vertical="center" wrapText="1"/>
    </xf>
    <xf numFmtId="0" fontId="7" fillId="0" borderId="0" xfId="0" applyFont="1" applyAlignment="1">
      <alignment horizontal="left" vertical="center" wrapText="1"/>
    </xf>
    <xf numFmtId="0" fontId="6" fillId="6" borderId="0" xfId="0" applyFont="1" applyFill="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left" vertical="center" wrapText="1"/>
    </xf>
  </cellXfs>
  <cellStyles count="1">
    <cellStyle name="Normal" xfId="0" builtinId="0"/>
  </cellStyles>
  <dxfs count="33">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color rgb="FFA6A6A6"/>
      </font>
      <fill>
        <patternFill>
          <bgColor rgb="FFF2F2F2"/>
        </patternFill>
      </fill>
    </dxf>
    <dxf>
      <font>
        <b/>
        <color rgb="FF9C5700"/>
      </font>
    </dxf>
    <dxf>
      <font>
        <b/>
        <color rgb="FF006100"/>
      </font>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color rgb="FFA6A6A6"/>
      </font>
      <fill>
        <patternFill>
          <bgColor rgb="FFF2F2F2"/>
        </patternFill>
      </fill>
    </dxf>
    <dxf>
      <font>
        <color rgb="FFA6A6A6"/>
      </font>
      <fill>
        <patternFill>
          <bgColor rgb="FFF2F2F2"/>
        </patternFill>
      </fill>
    </dxf>
    <dxf>
      <font>
        <color rgb="FFA6A6A6"/>
      </font>
      <fill>
        <patternFill>
          <bgColor rgb="FFF2F2F2"/>
        </patternFill>
      </fill>
    </dxf>
    <dxf>
      <font>
        <color rgb="FFA6A6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9C0006"/>
      <rgbColor rgb="FF1F7A1F"/>
      <rgbColor rgb="FF000080"/>
      <rgbColor rgb="FF9C5700"/>
      <rgbColor rgb="FF800080"/>
      <rgbColor rgb="FF008080"/>
      <rgbColor rgb="FFA6A6A6"/>
      <rgbColor rgb="FF808080"/>
      <rgbColor rgb="FF9999FF"/>
      <rgbColor rgb="FF993366"/>
      <rgbColor rgb="FFFFF2CC"/>
      <rgbColor rgb="FFE2EFDA"/>
      <rgbColor rgb="FF660066"/>
      <rgbColor rgb="FFFF8080"/>
      <rgbColor rgb="FF2E5C9A"/>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D9E2F3"/>
      <rgbColor rgb="FFFFF0E0"/>
      <rgbColor rgb="FFF7F7F7"/>
      <rgbColor rgb="FFFFC7CE"/>
      <rgbColor rgb="FF3366FF"/>
      <rgbColor rgb="FF33CCCC"/>
      <rgbColor rgb="FF99CC00"/>
      <rgbColor rgb="FFFFCC00"/>
      <rgbColor rgb="FFFF9900"/>
      <rgbColor rgb="FFED7D31"/>
      <rgbColor rgb="FF595959"/>
      <rgbColor rgb="FF878787"/>
      <rgbColor rgb="FF1F3864"/>
      <rgbColor rgb="FF339966"/>
      <rgbColor rgb="FF006100"/>
      <rgbColor rgb="FF375623"/>
      <rgbColor rgb="FF843C0C"/>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c:chart>
    <c:title>
      <c:tx>
        <c:rich>
          <a:bodyPr rot="0"/>
          <a:lstStyle/>
          <a:p>
            <a:pPr>
              <a:defRPr sz="1400" b="1">
                <a:solidFill>
                  <a:srgbClr val="000000"/>
                </a:solidFill>
                <a:latin typeface="Arial"/>
              </a:defRPr>
            </a:pPr>
            <a:r>
              <a:rPr lang="es-MX" sz="1400" b="1">
                <a:solidFill>
                  <a:srgbClr val="000000"/>
                </a:solidFill>
                <a:latin typeface="Arial"/>
              </a:rPr>
              <a:t>Croquis de la nave (vista como en STAAD)</a:t>
            </a:r>
          </a:p>
        </c:rich>
      </c:tx>
      <c:overlay val="0"/>
      <c:spPr>
        <a:noFill/>
        <a:ln>
          <a:noFill/>
        </a:ln>
      </c:spPr>
    </c:title>
    <c:autoTitleDeleted val="0"/>
    <c:plotArea>
      <c:layout>
        <c:manualLayout>
          <c:layoutTarget val="inner"/>
          <c:xMode val="edge"/>
          <c:yMode val="edge"/>
          <c:x val="0.01"/>
          <c:y val="0.1"/>
          <c:w val="0.79"/>
          <c:h val="0.88"/>
        </c:manualLayout>
      </c:layout>
      <c:scatterChart>
        <c:scatterStyle val="lineMarker"/>
        <c:varyColors val="0"/>
        <c:ser>
          <c:idx val="0"/>
          <c:order val="0"/>
          <c:tx>
            <c:v>Muro 1 · atrás (Z = 0)</c:v>
          </c:tx>
          <c:spPr>
            <a:ln w="31750">
              <a:solidFill>
                <a:srgbClr val="0070C0"/>
              </a:solidFill>
              <a:round/>
            </a:ln>
          </c:spPr>
          <c:marker>
            <c:symbol val="none"/>
          </c:marker>
          <c:xVal>
            <c:numRef>
              <c:f>DATOS!$AG$3:$AG$14</c:f>
              <c:numCache>
                <c:formatCode>General</c:formatCode>
                <c:ptCount val="12"/>
                <c:pt idx="0">
                  <c:v>0.562670615459681</c:v>
                </c:pt>
                <c:pt idx="1">
                  <c:v>1.00837410932181</c:v>
                </c:pt>
                <c:pt idx="2">
                  <c:v>1.00837410932181</c:v>
                </c:pt>
                <c:pt idx="3">
                  <c:v>0.952661172589048</c:v>
                </c:pt>
                <c:pt idx="4">
                  <c:v>0.896948235856281</c:v>
                </c:pt>
                <c:pt idx="5">
                  <c:v>0.841235299123515</c:v>
                </c:pt>
                <c:pt idx="6">
                  <c:v>0.785522362390748</c:v>
                </c:pt>
                <c:pt idx="7">
                  <c:v>0.729809425657981</c:v>
                </c:pt>
                <c:pt idx="8">
                  <c:v>0.674096488925214</c:v>
                </c:pt>
                <c:pt idx="9">
                  <c:v>0.618383552192448</c:v>
                </c:pt>
                <c:pt idx="10">
                  <c:v>0.562670615459681</c:v>
                </c:pt>
                <c:pt idx="11">
                  <c:v>0.562670615459681</c:v>
                </c:pt>
              </c:numCache>
            </c:numRef>
          </c:xVal>
          <c:yVal>
            <c:numRef>
              <c:f>DATOS!$AH$3:$AH$14</c:f>
              <c:numCache>
                <c:formatCode>General</c:formatCode>
                <c:ptCount val="12"/>
                <c:pt idx="0">
                  <c:v>0.35505193578848</c:v>
                </c:pt>
                <c:pt idx="1">
                  <c:v>0.35505193578848</c:v>
                </c:pt>
                <c:pt idx="2">
                  <c:v>0.841359773371105</c:v>
                </c:pt>
                <c:pt idx="3">
                  <c:v>0.841359773371105</c:v>
                </c:pt>
                <c:pt idx="4">
                  <c:v>0.841359773371105</c:v>
                </c:pt>
                <c:pt idx="5">
                  <c:v>0.841359773371105</c:v>
                </c:pt>
                <c:pt idx="6">
                  <c:v>0.841359773371105</c:v>
                </c:pt>
                <c:pt idx="7">
                  <c:v>0.841359773371105</c:v>
                </c:pt>
                <c:pt idx="8">
                  <c:v>0.841359773371105</c:v>
                </c:pt>
                <c:pt idx="9">
                  <c:v>0.841359773371105</c:v>
                </c:pt>
                <c:pt idx="10">
                  <c:v>0.841359773371105</c:v>
                </c:pt>
                <c:pt idx="11">
                  <c:v>0.35505193578848</c:v>
                </c:pt>
              </c:numCache>
            </c:numRef>
          </c:yVal>
          <c:smooth val="0"/>
        </c:ser>
        <c:ser>
          <c:idx val="1"/>
          <c:order val="1"/>
          <c:tx>
            <c:v>Muro 2 · frente (Z = L)</c:v>
          </c:tx>
          <c:spPr>
            <a:ln w="31750">
              <a:solidFill>
                <a:srgbClr val="7030A0"/>
              </a:solidFill>
              <a:round/>
            </a:ln>
          </c:spPr>
          <c:marker>
            <c:symbol val="none"/>
          </c:marker>
          <c:xVal>
            <c:numRef>
              <c:f>DATOS!$AK$3:$AK$14</c:f>
              <c:numCache>
                <c:formatCode>General</c:formatCode>
                <c:ptCount val="12"/>
                <c:pt idx="0">
                  <c:v>0.879951068717471</c:v>
                </c:pt>
                <c:pt idx="1">
                  <c:v>1.32565456257961</c:v>
                </c:pt>
                <c:pt idx="2">
                  <c:v>1.32565456257961</c:v>
                </c:pt>
                <c:pt idx="3">
                  <c:v>1.26994162584684</c:v>
                </c:pt>
                <c:pt idx="4">
                  <c:v>1.21422868911407</c:v>
                </c:pt>
                <c:pt idx="5">
                  <c:v>1.1585157523813</c:v>
                </c:pt>
                <c:pt idx="6">
                  <c:v>1.10280281564854</c:v>
                </c:pt>
                <c:pt idx="7">
                  <c:v>1.04708987891577</c:v>
                </c:pt>
                <c:pt idx="8">
                  <c:v>0.991376942183005</c:v>
                </c:pt>
                <c:pt idx="9">
                  <c:v>0.935664005450238</c:v>
                </c:pt>
                <c:pt idx="10">
                  <c:v>0.879951068717471</c:v>
                </c:pt>
                <c:pt idx="11">
                  <c:v>0.879951068717471</c:v>
                </c:pt>
              </c:numCache>
            </c:numRef>
          </c:xVal>
          <c:yVal>
            <c:numRef>
              <c:f>DATOS!$AL$3:$AL$14</c:f>
              <c:numCache>
                <c:formatCode>General</c:formatCode>
                <c:ptCount val="12"/>
                <c:pt idx="0">
                  <c:v>0.158640226628895</c:v>
                </c:pt>
                <c:pt idx="1">
                  <c:v>0.158640226628895</c:v>
                </c:pt>
                <c:pt idx="2">
                  <c:v>0.607176581680831</c:v>
                </c:pt>
                <c:pt idx="3">
                  <c:v>0.607176581680831</c:v>
                </c:pt>
                <c:pt idx="4">
                  <c:v>0.607176581680831</c:v>
                </c:pt>
                <c:pt idx="5">
                  <c:v>0.607176581680831</c:v>
                </c:pt>
                <c:pt idx="6">
                  <c:v>0.607176581680831</c:v>
                </c:pt>
                <c:pt idx="7">
                  <c:v>0.607176581680831</c:v>
                </c:pt>
                <c:pt idx="8">
                  <c:v>0.607176581680831</c:v>
                </c:pt>
                <c:pt idx="9">
                  <c:v>0.607176581680831</c:v>
                </c:pt>
                <c:pt idx="10">
                  <c:v>0.607176581680831</c:v>
                </c:pt>
                <c:pt idx="11">
                  <c:v>0.158640226628895</c:v>
                </c:pt>
              </c:numCache>
            </c:numRef>
          </c:yVal>
          <c:smooth val="0"/>
        </c:ser>
        <c:ser>
          <c:idx val="2"/>
          <c:order val="2"/>
          <c:tx>
            <c:v>Muro 3 · izquierdo (X = 0)</c:v>
          </c:tx>
          <c:spPr>
            <a:ln w="31750">
              <a:solidFill>
                <a:srgbClr val="00A04A"/>
              </a:solidFill>
              <a:round/>
            </a:ln>
          </c:spPr>
          <c:marker>
            <c:symbol val="none"/>
          </c:marker>
          <c:xVal>
            <c:numRef>
              <c:f>DATOS!$AO$3:$AO$14</c:f>
              <c:numCache>
                <c:formatCode>General</c:formatCode>
                <c:ptCount val="12"/>
                <c:pt idx="0">
                  <c:v>0.553907631512561</c:v>
                </c:pt>
                <c:pt idx="1">
                  <c:v>0.85849686664004</c:v>
                </c:pt>
                <c:pt idx="2">
                  <c:v>0.85849686664004</c:v>
                </c:pt>
                <c:pt idx="3">
                  <c:v>0.820423212249105</c:v>
                </c:pt>
                <c:pt idx="4">
                  <c:v>0.78234955785817</c:v>
                </c:pt>
                <c:pt idx="5">
                  <c:v>0.744275903467235</c:v>
                </c:pt>
                <c:pt idx="6">
                  <c:v>0.7062022490763</c:v>
                </c:pt>
                <c:pt idx="7">
                  <c:v>0.668128594685365</c:v>
                </c:pt>
                <c:pt idx="8">
                  <c:v>0.630054940294431</c:v>
                </c:pt>
                <c:pt idx="9">
                  <c:v>0.591981285903496</c:v>
                </c:pt>
                <c:pt idx="10">
                  <c:v>0.553907631512561</c:v>
                </c:pt>
                <c:pt idx="11">
                  <c:v>0.553907631512561</c:v>
                </c:pt>
              </c:numCache>
            </c:numRef>
          </c:xVal>
          <c:yVal>
            <c:numRef>
              <c:f>DATOS!$AP$3:$AP$14</c:f>
              <c:numCache>
                <c:formatCode>General</c:formatCode>
                <c:ptCount val="12"/>
                <c:pt idx="0">
                  <c:v>0.351123701605288</c:v>
                </c:pt>
                <c:pt idx="1">
                  <c:v>0.162568460812087</c:v>
                </c:pt>
                <c:pt idx="2">
                  <c:v>0.611104815864023</c:v>
                </c:pt>
                <c:pt idx="3">
                  <c:v>0.639395656279509</c:v>
                </c:pt>
                <c:pt idx="4">
                  <c:v>0.667686496694995</c:v>
                </c:pt>
                <c:pt idx="5">
                  <c:v>0.695977337110482</c:v>
                </c:pt>
                <c:pt idx="6">
                  <c:v>0.724268177525968</c:v>
                </c:pt>
                <c:pt idx="7">
                  <c:v>0.752559017941454</c:v>
                </c:pt>
                <c:pt idx="8">
                  <c:v>0.780849858356941</c:v>
                </c:pt>
                <c:pt idx="9">
                  <c:v>0.809140698772427</c:v>
                </c:pt>
                <c:pt idx="10">
                  <c:v>0.837431539187913</c:v>
                </c:pt>
                <c:pt idx="11">
                  <c:v>0.351123701605288</c:v>
                </c:pt>
              </c:numCache>
            </c:numRef>
          </c:yVal>
          <c:smooth val="0"/>
        </c:ser>
        <c:ser>
          <c:idx val="3"/>
          <c:order val="3"/>
          <c:tx>
            <c:v>Muro 4 · derecho (X = B)</c:v>
          </c:tx>
          <c:spPr>
            <a:ln w="31750">
              <a:solidFill>
                <a:srgbClr val="7F6000"/>
              </a:solidFill>
              <a:round/>
            </a:ln>
          </c:spPr>
          <c:marker>
            <c:symbol val="none"/>
          </c:marker>
          <c:xVal>
            <c:numRef>
              <c:f>DATOS!$AS$3:$AS$14</c:f>
              <c:numCache>
                <c:formatCode>General</c:formatCode>
                <c:ptCount val="12"/>
                <c:pt idx="0">
                  <c:v>1.02982831139925</c:v>
                </c:pt>
                <c:pt idx="1">
                  <c:v>1.33441754652673</c:v>
                </c:pt>
                <c:pt idx="2">
                  <c:v>1.33441754652673</c:v>
                </c:pt>
                <c:pt idx="3">
                  <c:v>1.29634389213579</c:v>
                </c:pt>
                <c:pt idx="4">
                  <c:v>1.25827023774486</c:v>
                </c:pt>
                <c:pt idx="5">
                  <c:v>1.22019658335392</c:v>
                </c:pt>
                <c:pt idx="6">
                  <c:v>1.18212292896299</c:v>
                </c:pt>
                <c:pt idx="7">
                  <c:v>1.14404927457205</c:v>
                </c:pt>
                <c:pt idx="8">
                  <c:v>1.10597562018112</c:v>
                </c:pt>
                <c:pt idx="9">
                  <c:v>1.06790196579018</c:v>
                </c:pt>
                <c:pt idx="10">
                  <c:v>1.02982831139925</c:v>
                </c:pt>
                <c:pt idx="11">
                  <c:v>1.02982831139925</c:v>
                </c:pt>
              </c:numCache>
            </c:numRef>
          </c:xVal>
          <c:yVal>
            <c:numRef>
              <c:f>DATOS!$AT$3:$AT$14</c:f>
              <c:numCache>
                <c:formatCode>General</c:formatCode>
                <c:ptCount val="12"/>
                <c:pt idx="0">
                  <c:v>0.351123701605288</c:v>
                </c:pt>
                <c:pt idx="1">
                  <c:v>0.162568460812087</c:v>
                </c:pt>
                <c:pt idx="2">
                  <c:v>0.611104815864023</c:v>
                </c:pt>
                <c:pt idx="3">
                  <c:v>0.639395656279509</c:v>
                </c:pt>
                <c:pt idx="4">
                  <c:v>0.667686496694995</c:v>
                </c:pt>
                <c:pt idx="5">
                  <c:v>0.695977337110482</c:v>
                </c:pt>
                <c:pt idx="6">
                  <c:v>0.724268177525968</c:v>
                </c:pt>
                <c:pt idx="7">
                  <c:v>0.752559017941454</c:v>
                </c:pt>
                <c:pt idx="8">
                  <c:v>0.780849858356941</c:v>
                </c:pt>
                <c:pt idx="9">
                  <c:v>0.809140698772427</c:v>
                </c:pt>
                <c:pt idx="10">
                  <c:v>0.837431539187913</c:v>
                </c:pt>
                <c:pt idx="11">
                  <c:v>0.351123701605288</c:v>
                </c:pt>
              </c:numCache>
            </c:numRef>
          </c:yVal>
          <c:smooth val="0"/>
        </c:ser>
        <c:ser>
          <c:idx val="4"/>
          <c:order val="4"/>
          <c:tx>
            <c:v>Techo</c:v>
          </c:tx>
          <c:spPr>
            <a:ln w="12700">
              <a:solidFill>
                <a:srgbClr val="808080"/>
              </a:solidFill>
              <a:round/>
            </a:ln>
          </c:spPr>
          <c:marker>
            <c:symbol val="none"/>
          </c:marker>
          <c:xVal>
            <c:numRef>
              <c:f>DATOS!$AU$3:$AU$27</c:f>
              <c:numCache>
                <c:formatCode>General</c:formatCode>
                <c:ptCount val="25"/>
                <c:pt idx="0">
                  <c:v>0.547562022447405</c:v>
                </c:pt>
                <c:pt idx="1">
                  <c:v>0.587222079104629</c:v>
                </c:pt>
                <c:pt idx="2">
                  <c:v>0.626882135761853</c:v>
                </c:pt>
                <c:pt idx="3">
                  <c:v>0.666542192419076</c:v>
                </c:pt>
                <c:pt idx="4">
                  <c:v>0.7062022490763</c:v>
                </c:pt>
                <c:pt idx="5">
                  <c:v>0.745862305733524</c:v>
                </c:pt>
                <c:pt idx="6">
                  <c:v>0.785522362390748</c:v>
                </c:pt>
                <c:pt idx="7">
                  <c:v>0.825182419047972</c:v>
                </c:pt>
                <c:pt idx="8">
                  <c:v>0.864842475705195</c:v>
                </c:pt>
                <c:pt idx="9">
                  <c:v>1.34076315559188</c:v>
                </c:pt>
                <c:pt idx="10">
                  <c:v>1.30110309893466</c:v>
                </c:pt>
                <c:pt idx="11">
                  <c:v>1.26144304227743</c:v>
                </c:pt>
                <c:pt idx="12">
                  <c:v>1.22178298562021</c:v>
                </c:pt>
                <c:pt idx="13">
                  <c:v>1.18212292896299</c:v>
                </c:pt>
                <c:pt idx="14">
                  <c:v>1.14246287230576</c:v>
                </c:pt>
                <c:pt idx="15">
                  <c:v>1.10280281564854</c:v>
                </c:pt>
                <c:pt idx="16">
                  <c:v>1.06314275899131</c:v>
                </c:pt>
                <c:pt idx="17">
                  <c:v>1.02348270233409</c:v>
                </c:pt>
                <c:pt idx="18">
                  <c:v>0.547562022447405</c:v>
                </c:pt>
                <c:pt idx="19">
                  <c:v>0.626882135761853</c:v>
                </c:pt>
                <c:pt idx="20">
                  <c:v>1.10280281564854</c:v>
                </c:pt>
                <c:pt idx="21">
                  <c:v>1.18212292896299</c:v>
                </c:pt>
                <c:pt idx="22">
                  <c:v>0.7062022490763</c:v>
                </c:pt>
                <c:pt idx="23">
                  <c:v>0.785522362390748</c:v>
                </c:pt>
                <c:pt idx="24">
                  <c:v>1.26144304227743</c:v>
                </c:pt>
              </c:numCache>
            </c:numRef>
          </c:xVal>
          <c:yVal>
            <c:numRef>
              <c:f>DATOS!$AV$3:$AV$27</c:f>
              <c:numCache>
                <c:formatCode>General</c:formatCode>
                <c:ptCount val="25"/>
                <c:pt idx="0">
                  <c:v>0.856468366383381</c:v>
                </c:pt>
                <c:pt idx="1">
                  <c:v>0.827195467422096</c:v>
                </c:pt>
                <c:pt idx="2">
                  <c:v>0.797922568460812</c:v>
                </c:pt>
                <c:pt idx="3">
                  <c:v>0.768649669499528</c:v>
                </c:pt>
                <c:pt idx="4">
                  <c:v>0.739376770538244</c:v>
                </c:pt>
                <c:pt idx="5">
                  <c:v>0.710103871576959</c:v>
                </c:pt>
                <c:pt idx="6">
                  <c:v>0.680830972615675</c:v>
                </c:pt>
                <c:pt idx="7">
                  <c:v>0.651558073654391</c:v>
                </c:pt>
                <c:pt idx="8">
                  <c:v>0.622285174693107</c:v>
                </c:pt>
                <c:pt idx="9">
                  <c:v>0.622285174693107</c:v>
                </c:pt>
                <c:pt idx="10">
                  <c:v>0.651558073654391</c:v>
                </c:pt>
                <c:pt idx="11">
                  <c:v>0.680830972615675</c:v>
                </c:pt>
                <c:pt idx="12">
                  <c:v>0.710103871576959</c:v>
                </c:pt>
                <c:pt idx="13">
                  <c:v>0.739376770538244</c:v>
                </c:pt>
                <c:pt idx="14">
                  <c:v>0.768649669499528</c:v>
                </c:pt>
                <c:pt idx="15">
                  <c:v>0.797922568460812</c:v>
                </c:pt>
                <c:pt idx="16">
                  <c:v>0.827195467422096</c:v>
                </c:pt>
                <c:pt idx="17">
                  <c:v>0.856468366383381</c:v>
                </c:pt>
                <c:pt idx="18">
                  <c:v>0.856468366383381</c:v>
                </c:pt>
                <c:pt idx="19">
                  <c:v>0.797922568460812</c:v>
                </c:pt>
                <c:pt idx="20">
                  <c:v>0.797922568460812</c:v>
                </c:pt>
                <c:pt idx="21">
                  <c:v>0.739376770538244</c:v>
                </c:pt>
                <c:pt idx="22">
                  <c:v>0.739376770538244</c:v>
                </c:pt>
                <c:pt idx="23">
                  <c:v>0.680830972615675</c:v>
                </c:pt>
                <c:pt idx="24">
                  <c:v>0.680830972615675</c:v>
                </c:pt>
              </c:numCache>
            </c:numRef>
          </c:yVal>
          <c:smooth val="0"/>
        </c:ser>
        <c:ser>
          <c:idx val="5"/>
          <c:order val="5"/>
          <c:tx>
            <c:v>Abertura FIJA</c:v>
          </c:tx>
          <c:spPr>
            <a:ln w="22225" cap="flat">
              <a:solidFill>
                <a:srgbClr val="C00000"/>
              </a:solidFill>
              <a:round/>
            </a:ln>
          </c:spPr>
          <c:marker>
            <c:symbol val="none"/>
          </c:marker>
          <c:xVal>
            <c:numRef>
              <c:f>DATOS!$BO$3:$BO$7</c:f>
              <c:numCache>
                <c:formatCode>General</c:formatCode>
                <c:ptCount val="5"/>
                <c:pt idx="0">
                  <c:v>0.864842475705195</c:v>
                </c:pt>
                <c:pt idx="1">
                  <c:v>0.864842475705195</c:v>
                </c:pt>
                <c:pt idx="2">
                  <c:v>0.864842475705195</c:v>
                </c:pt>
                <c:pt idx="3">
                  <c:v>0.864842475705195</c:v>
                </c:pt>
                <c:pt idx="4">
                  <c:v>0.864842475705195</c:v>
                </c:pt>
              </c:numCache>
            </c:numRef>
          </c:xVal>
          <c:yVal>
            <c:numRef>
              <c:f>DATOS!$BP$3:$BP$7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6"/>
          <c:order val="6"/>
          <c:tx>
            <c:v>Abertura OPERABLE</c:v>
          </c:tx>
          <c:spPr>
            <a:ln w="22225" cap="flat">
              <a:solidFill>
                <a:srgbClr val="ED7D31"/>
              </a:solidFill>
              <a:prstDash val="dash"/>
              <a:round/>
            </a:ln>
          </c:spPr>
          <c:marker>
            <c:symbol val="none"/>
          </c:marker>
          <c:xVal>
            <c:numRef>
              <c:f>DATOS!$BQ$3:$BQ$7</c:f>
              <c:numCache>
                <c:formatCode>General</c:formatCode>
                <c:ptCount val="5"/>
                <c:pt idx="0">
                  <c:v>0.577897244354865</c:v>
                </c:pt>
                <c:pt idx="1">
                  <c:v>0.639342003561664</c:v>
                </c:pt>
                <c:pt idx="2">
                  <c:v>0.639342003561664</c:v>
                </c:pt>
                <c:pt idx="3">
                  <c:v>0.577897244354865</c:v>
                </c:pt>
                <c:pt idx="4">
                  <c:v>0.577897244354865</c:v>
                </c:pt>
              </c:numCache>
            </c:numRef>
          </c:xVal>
          <c:yVal>
            <c:numRef>
              <c:f>DATOS!$BR$3:$BR$7</c:f>
              <c:numCache>
                <c:formatCode>General</c:formatCode>
                <c:ptCount val="5"/>
                <c:pt idx="0">
                  <c:v>0.35505193578848</c:v>
                </c:pt>
                <c:pt idx="1">
                  <c:v>0.35505193578848</c:v>
                </c:pt>
                <c:pt idx="2">
                  <c:v>0.468366383380548</c:v>
                </c:pt>
                <c:pt idx="3">
                  <c:v>0.468366383380548</c:v>
                </c:pt>
                <c:pt idx="4">
                  <c:v>0.35505193578848</c:v>
                </c:pt>
              </c:numCache>
            </c:numRef>
          </c:yVal>
          <c:smooth val="0"/>
        </c:ser>
        <c:ser>
          <c:idx val="7"/>
          <c:order val="7"/>
          <c:tx>
            <c:v>Fija 2</c:v>
          </c:tx>
          <c:spPr>
            <a:ln w="22225" cap="flat">
              <a:solidFill>
                <a:srgbClr val="C00000"/>
              </a:solidFill>
              <a:round/>
            </a:ln>
          </c:spPr>
          <c:marker>
            <c:symbol val="none"/>
          </c:marker>
          <c:xVal>
            <c:numRef>
              <c:f>DATOS!$BS$3:$BS$7</c:f>
              <c:numCache>
                <c:formatCode>General</c:formatCode>
                <c:ptCount val="5"/>
                <c:pt idx="0">
                  <c:v>0.864842475705195</c:v>
                </c:pt>
                <c:pt idx="1">
                  <c:v>0.864842475705195</c:v>
                </c:pt>
                <c:pt idx="2">
                  <c:v>0.864842475705195</c:v>
                </c:pt>
                <c:pt idx="3">
                  <c:v>0.864842475705195</c:v>
                </c:pt>
                <c:pt idx="4">
                  <c:v>0.864842475705195</c:v>
                </c:pt>
              </c:numCache>
            </c:numRef>
          </c:xVal>
          <c:yVal>
            <c:numRef>
              <c:f>DATOS!$BT$3:$BT$7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8"/>
          <c:order val="8"/>
          <c:tx>
            <c:v>Operable 2</c:v>
          </c:tx>
          <c:spPr>
            <a:ln w="22225" cap="flat">
              <a:solidFill>
                <a:srgbClr val="ED7D31"/>
              </a:solidFill>
              <a:prstDash val="dash"/>
              <a:round/>
            </a:ln>
          </c:spPr>
          <c:marker>
            <c:symbol val="none"/>
          </c:marker>
          <c:xVal>
            <c:numRef>
              <c:f>DATOS!$BU$3:$BU$7</c:f>
              <c:numCache>
                <c:formatCode>General</c:formatCode>
                <c:ptCount val="5"/>
                <c:pt idx="0">
                  <c:v>0.664979397329369</c:v>
                </c:pt>
                <c:pt idx="1">
                  <c:v>0.905848141427575</c:v>
                </c:pt>
                <c:pt idx="2">
                  <c:v>0.905848141427575</c:v>
                </c:pt>
                <c:pt idx="3">
                  <c:v>0.664979397329369</c:v>
                </c:pt>
                <c:pt idx="4">
                  <c:v>0.664979397329369</c:v>
                </c:pt>
              </c:numCache>
            </c:numRef>
          </c:xVal>
          <c:yVal>
            <c:numRef>
              <c:f>DATOS!$BV$3:$BV$7</c:f>
              <c:numCache>
                <c:formatCode>General</c:formatCode>
                <c:ptCount val="5"/>
                <c:pt idx="0">
                  <c:v>0.35505193578848</c:v>
                </c:pt>
                <c:pt idx="1">
                  <c:v>0.35505193578848</c:v>
                </c:pt>
                <c:pt idx="2">
                  <c:v>0.653918791312559</c:v>
                </c:pt>
                <c:pt idx="3">
                  <c:v>0.653918791312559</c:v>
                </c:pt>
                <c:pt idx="4">
                  <c:v>0.35505193578848</c:v>
                </c:pt>
              </c:numCache>
            </c:numRef>
          </c:yVal>
          <c:smooth val="0"/>
        </c:ser>
        <c:ser>
          <c:idx val="9"/>
          <c:order val="9"/>
          <c:tx>
            <c:v>Fija 3</c:v>
          </c:tx>
          <c:spPr>
            <a:ln w="22225" cap="flat">
              <a:solidFill>
                <a:srgbClr val="C00000"/>
              </a:solidFill>
              <a:round/>
            </a:ln>
          </c:spPr>
          <c:marker>
            <c:symbol val="none"/>
          </c:marker>
          <c:xVal>
            <c:numRef>
              <c:f>DATOS!$BW$3:$BW$7</c:f>
              <c:numCache>
                <c:formatCode>General</c:formatCode>
                <c:ptCount val="5"/>
                <c:pt idx="0">
                  <c:v>0.864842475705195</c:v>
                </c:pt>
                <c:pt idx="1">
                  <c:v>1.34076315559188</c:v>
                </c:pt>
                <c:pt idx="2">
                  <c:v>1.34076315559188</c:v>
                </c:pt>
                <c:pt idx="3">
                  <c:v>0.864842475705195</c:v>
                </c:pt>
                <c:pt idx="4">
                  <c:v>0.864842475705195</c:v>
                </c:pt>
              </c:numCache>
            </c:numRef>
          </c:xVal>
          <c:yVal>
            <c:numRef>
              <c:f>DATOS!$BX$3:$BX$7</c:f>
              <c:numCache>
                <c:formatCode>General</c:formatCode>
                <c:ptCount val="5"/>
                <c:pt idx="0">
                  <c:v>0.158640226628895</c:v>
                </c:pt>
                <c:pt idx="1">
                  <c:v>0.158640226628895</c:v>
                </c:pt>
                <c:pt idx="2">
                  <c:v>0.622285174693107</c:v>
                </c:pt>
                <c:pt idx="3">
                  <c:v>0.622285174693107</c:v>
                </c:pt>
                <c:pt idx="4">
                  <c:v>0.158640226628895</c:v>
                </c:pt>
              </c:numCache>
            </c:numRef>
          </c:yVal>
          <c:smooth val="0"/>
        </c:ser>
        <c:ser>
          <c:idx val="10"/>
          <c:order val="10"/>
          <c:tx>
            <c:v>Operable 3</c:v>
          </c:tx>
          <c:spPr>
            <a:ln w="22225" cap="flat">
              <a:solidFill>
                <a:srgbClr val="ED7D31"/>
              </a:solidFill>
              <a:prstDash val="dash"/>
              <a:round/>
            </a:ln>
          </c:spPr>
          <c:marker>
            <c:symbol val="none"/>
          </c:marker>
          <c:xVal>
            <c:numRef>
              <c:f>DATOS!$BY$3:$BY$7</c:f>
              <c:numCache>
                <c:formatCode>General</c:formatCode>
                <c:ptCount val="5"/>
                <c:pt idx="0">
                  <c:v>0.864842475705195</c:v>
                </c:pt>
                <c:pt idx="1">
                  <c:v>0.864842475705195</c:v>
                </c:pt>
                <c:pt idx="2">
                  <c:v>0.864842475705195</c:v>
                </c:pt>
                <c:pt idx="3">
                  <c:v>0.864842475705195</c:v>
                </c:pt>
                <c:pt idx="4">
                  <c:v>0.864842475705195</c:v>
                </c:pt>
              </c:numCache>
            </c:numRef>
          </c:xVal>
          <c:yVal>
            <c:numRef>
              <c:f>DATOS!$BZ$3:$BZ$7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1"/>
          <c:order val="11"/>
          <c:tx>
            <c:v>Fija 4</c:v>
          </c:tx>
          <c:spPr>
            <a:ln w="22225" cap="flat">
              <a:solidFill>
                <a:srgbClr val="C00000"/>
              </a:solidFill>
              <a:round/>
            </a:ln>
          </c:spPr>
          <c:marker>
            <c:symbol val="none"/>
          </c:marker>
          <c:xVal>
            <c:numRef>
              <c:f>DATOS!$CA$3:$CA$7</c:f>
              <c:numCache>
                <c:formatCode>General</c:formatCode>
                <c:ptCount val="5"/>
                <c:pt idx="0">
                  <c:v>0.864842475705195</c:v>
                </c:pt>
                <c:pt idx="1">
                  <c:v>0.864842475705195</c:v>
                </c:pt>
                <c:pt idx="2">
                  <c:v>0.864842475705195</c:v>
                </c:pt>
                <c:pt idx="3">
                  <c:v>0.864842475705195</c:v>
                </c:pt>
                <c:pt idx="4">
                  <c:v>0.864842475705195</c:v>
                </c:pt>
              </c:numCache>
            </c:numRef>
          </c:xVal>
          <c:yVal>
            <c:numRef>
              <c:f>DATOS!$CB$3:$CB$7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2"/>
          <c:order val="12"/>
          <c:tx>
            <c:v>Operable 4</c:v>
          </c:tx>
          <c:spPr>
            <a:ln w="22225" cap="flat">
              <a:solidFill>
                <a:srgbClr val="ED7D31"/>
              </a:solidFill>
              <a:prstDash val="dash"/>
              <a:round/>
            </a:ln>
          </c:spPr>
          <c:marker>
            <c:symbol val="none"/>
          </c:marker>
          <c:xVal>
            <c:numRef>
              <c:f>DATOS!$CC$3:$CC$7</c:f>
              <c:numCache>
                <c:formatCode>General</c:formatCode>
                <c:ptCount val="5"/>
                <c:pt idx="0">
                  <c:v>0.864842475705195</c:v>
                </c:pt>
                <c:pt idx="1">
                  <c:v>0.864842475705195</c:v>
                </c:pt>
                <c:pt idx="2">
                  <c:v>0.864842475705195</c:v>
                </c:pt>
                <c:pt idx="3">
                  <c:v>0.864842475705195</c:v>
                </c:pt>
                <c:pt idx="4">
                  <c:v>0.864842475705195</c:v>
                </c:pt>
              </c:numCache>
            </c:numRef>
          </c:xVal>
          <c:yVal>
            <c:numRef>
              <c:f>DATOS!$CD$3:$CD$7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3"/>
          <c:order val="13"/>
          <c:tx>
            <c:v>Fija 5</c:v>
          </c:tx>
          <c:spPr>
            <a:ln w="22225" cap="flat">
              <a:solidFill>
                <a:srgbClr val="C00000"/>
              </a:solidFill>
              <a:round/>
            </a:ln>
          </c:spPr>
          <c:marker>
            <c:symbol val="none"/>
          </c:marker>
          <c:xVal>
            <c:numRef>
              <c:f>DATOS!$CE$3:$CE$7</c:f>
              <c:numCache>
                <c:formatCode>General</c:formatCode>
                <c:ptCount val="5"/>
                <c:pt idx="0">
                  <c:v>0.864842475705195</c:v>
                </c:pt>
                <c:pt idx="1">
                  <c:v>0.864842475705195</c:v>
                </c:pt>
                <c:pt idx="2">
                  <c:v>0.864842475705195</c:v>
                </c:pt>
                <c:pt idx="3">
                  <c:v>0.864842475705195</c:v>
                </c:pt>
                <c:pt idx="4">
                  <c:v>0.864842475705195</c:v>
                </c:pt>
              </c:numCache>
            </c:numRef>
          </c:xVal>
          <c:yVal>
            <c:numRef>
              <c:f>DATOS!$CF$3:$CF$7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4"/>
          <c:order val="14"/>
          <c:tx>
            <c:v>Operable 5</c:v>
          </c:tx>
          <c:spPr>
            <a:ln w="22225" cap="flat">
              <a:solidFill>
                <a:srgbClr val="ED7D31"/>
              </a:solidFill>
              <a:prstDash val="dash"/>
              <a:round/>
            </a:ln>
          </c:spPr>
          <c:marker>
            <c:symbol val="none"/>
          </c:marker>
          <c:xVal>
            <c:numRef>
              <c:f>DATOS!$CG$3:$CG$7</c:f>
              <c:numCache>
                <c:formatCode>General</c:formatCode>
                <c:ptCount val="5"/>
                <c:pt idx="0">
                  <c:v>0.864842475705195</c:v>
                </c:pt>
                <c:pt idx="1">
                  <c:v>0.864842475705195</c:v>
                </c:pt>
                <c:pt idx="2">
                  <c:v>0.864842475705195</c:v>
                </c:pt>
                <c:pt idx="3">
                  <c:v>0.864842475705195</c:v>
                </c:pt>
                <c:pt idx="4">
                  <c:v>0.864842475705195</c:v>
                </c:pt>
              </c:numCache>
            </c:numRef>
          </c:xVal>
          <c:yVal>
            <c:numRef>
              <c:f>DATOS!$CH$3:$CH$7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5"/>
          <c:order val="15"/>
          <c:tx>
            <c:v>Fija 6</c:v>
          </c:tx>
          <c:spPr>
            <a:ln w="22225" cap="flat">
              <a:solidFill>
                <a:srgbClr val="C00000"/>
              </a:solidFill>
              <a:round/>
            </a:ln>
          </c:spPr>
          <c:marker>
            <c:symbol val="none"/>
          </c:marker>
          <c:xVal>
            <c:numRef>
              <c:f>DATOS!$CI$3:$CI$7</c:f>
              <c:numCache>
                <c:formatCode>General</c:formatCode>
                <c:ptCount val="5"/>
                <c:pt idx="0">
                  <c:v>0.864842475705195</c:v>
                </c:pt>
                <c:pt idx="1">
                  <c:v>0.864842475705195</c:v>
                </c:pt>
                <c:pt idx="2">
                  <c:v>0.864842475705195</c:v>
                </c:pt>
                <c:pt idx="3">
                  <c:v>0.864842475705195</c:v>
                </c:pt>
                <c:pt idx="4">
                  <c:v>0.864842475705195</c:v>
                </c:pt>
              </c:numCache>
            </c:numRef>
          </c:xVal>
          <c:yVal>
            <c:numRef>
              <c:f>DATOS!$CJ$3:$CJ$7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6"/>
          <c:order val="16"/>
          <c:tx>
            <c:v>Operable 6</c:v>
          </c:tx>
          <c:spPr>
            <a:ln w="22225" cap="flat">
              <a:solidFill>
                <a:srgbClr val="ED7D31"/>
              </a:solidFill>
              <a:prstDash val="dash"/>
              <a:round/>
            </a:ln>
          </c:spPr>
          <c:marker>
            <c:symbol val="none"/>
          </c:marker>
          <c:xVal>
            <c:numRef>
              <c:f>DATOS!$CK$3:$CK$7</c:f>
              <c:numCache>
                <c:formatCode>General</c:formatCode>
                <c:ptCount val="5"/>
                <c:pt idx="0">
                  <c:v>0.864842475705195</c:v>
                </c:pt>
                <c:pt idx="1">
                  <c:v>0.864842475705195</c:v>
                </c:pt>
                <c:pt idx="2">
                  <c:v>0.864842475705195</c:v>
                </c:pt>
                <c:pt idx="3">
                  <c:v>0.864842475705195</c:v>
                </c:pt>
                <c:pt idx="4">
                  <c:v>0.864842475705195</c:v>
                </c:pt>
              </c:numCache>
            </c:numRef>
          </c:xVal>
          <c:yVal>
            <c:numRef>
              <c:f>DATOS!$CL$3:$CL$7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7"/>
          <c:order val="17"/>
          <c:tx>
            <c:v>Fija 7</c:v>
          </c:tx>
          <c:spPr>
            <a:ln w="22225" cap="flat">
              <a:solidFill>
                <a:srgbClr val="C00000"/>
              </a:solidFill>
              <a:round/>
            </a:ln>
          </c:spPr>
          <c:marker>
            <c:symbol val="none"/>
          </c:marker>
          <c:xVal>
            <c:numRef>
              <c:f>DATOS!$CM$3:$CM$7</c:f>
              <c:numCache>
                <c:formatCode>General</c:formatCode>
                <c:ptCount val="5"/>
                <c:pt idx="0">
                  <c:v>0.864842475705195</c:v>
                </c:pt>
                <c:pt idx="1">
                  <c:v>0.864842475705195</c:v>
                </c:pt>
                <c:pt idx="2">
                  <c:v>0.864842475705195</c:v>
                </c:pt>
                <c:pt idx="3">
                  <c:v>0.864842475705195</c:v>
                </c:pt>
                <c:pt idx="4">
                  <c:v>0.864842475705195</c:v>
                </c:pt>
              </c:numCache>
            </c:numRef>
          </c:xVal>
          <c:yVal>
            <c:numRef>
              <c:f>DATOS!$CN$3:$CN$7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8"/>
          <c:order val="18"/>
          <c:tx>
            <c:v>Operable 7</c:v>
          </c:tx>
          <c:spPr>
            <a:ln w="22225" cap="flat">
              <a:solidFill>
                <a:srgbClr val="ED7D31"/>
              </a:solidFill>
              <a:prstDash val="dash"/>
              <a:round/>
            </a:ln>
          </c:spPr>
          <c:marker>
            <c:symbol val="none"/>
          </c:marker>
          <c:xVal>
            <c:numRef>
              <c:f>DATOS!$CO$3:$CO$7</c:f>
              <c:numCache>
                <c:formatCode>General</c:formatCode>
                <c:ptCount val="5"/>
                <c:pt idx="0">
                  <c:v>0.864842475705195</c:v>
                </c:pt>
                <c:pt idx="1">
                  <c:v>0.864842475705195</c:v>
                </c:pt>
                <c:pt idx="2">
                  <c:v>0.864842475705195</c:v>
                </c:pt>
                <c:pt idx="3">
                  <c:v>0.864842475705195</c:v>
                </c:pt>
                <c:pt idx="4">
                  <c:v>0.864842475705195</c:v>
                </c:pt>
              </c:numCache>
            </c:numRef>
          </c:xVal>
          <c:yVal>
            <c:numRef>
              <c:f>DATOS!$CP$3:$CP$7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9"/>
          <c:order val="19"/>
          <c:tx>
            <c:v>Fija 8</c:v>
          </c:tx>
          <c:spPr>
            <a:ln w="22225" cap="flat">
              <a:solidFill>
                <a:srgbClr val="C00000"/>
              </a:solidFill>
              <a:round/>
            </a:ln>
          </c:spPr>
          <c:marker>
            <c:symbol val="none"/>
          </c:marker>
          <c:xVal>
            <c:numRef>
              <c:f>DATOS!$CQ$3:$CQ$7</c:f>
              <c:numCache>
                <c:formatCode>General</c:formatCode>
                <c:ptCount val="5"/>
                <c:pt idx="0">
                  <c:v>0.864842475705195</c:v>
                </c:pt>
                <c:pt idx="1">
                  <c:v>0.864842475705195</c:v>
                </c:pt>
                <c:pt idx="2">
                  <c:v>0.864842475705195</c:v>
                </c:pt>
                <c:pt idx="3">
                  <c:v>0.864842475705195</c:v>
                </c:pt>
                <c:pt idx="4">
                  <c:v>0.864842475705195</c:v>
                </c:pt>
              </c:numCache>
            </c:numRef>
          </c:xVal>
          <c:yVal>
            <c:numRef>
              <c:f>DATOS!$CR$3:$CR$7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0"/>
          <c:order val="20"/>
          <c:tx>
            <c:v>Operable 8</c:v>
          </c:tx>
          <c:spPr>
            <a:ln w="22225" cap="flat">
              <a:solidFill>
                <a:srgbClr val="ED7D31"/>
              </a:solidFill>
              <a:prstDash val="dash"/>
              <a:round/>
            </a:ln>
          </c:spPr>
          <c:marker>
            <c:symbol val="none"/>
          </c:marker>
          <c:xVal>
            <c:numRef>
              <c:f>DATOS!$CS$3:$CS$7</c:f>
              <c:numCache>
                <c:formatCode>General</c:formatCode>
                <c:ptCount val="5"/>
                <c:pt idx="0">
                  <c:v>0.864842475705195</c:v>
                </c:pt>
                <c:pt idx="1">
                  <c:v>0.864842475705195</c:v>
                </c:pt>
                <c:pt idx="2">
                  <c:v>0.864842475705195</c:v>
                </c:pt>
                <c:pt idx="3">
                  <c:v>0.864842475705195</c:v>
                </c:pt>
                <c:pt idx="4">
                  <c:v>0.864842475705195</c:v>
                </c:pt>
              </c:numCache>
            </c:numRef>
          </c:xVal>
          <c:yVal>
            <c:numRef>
              <c:f>DATOS!$CT$3:$CT$7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1"/>
          <c:order val="21"/>
          <c:tx>
            <c:v>Fija 9</c:v>
          </c:tx>
          <c:spPr>
            <a:ln w="22225" cap="flat">
              <a:solidFill>
                <a:srgbClr val="C00000"/>
              </a:solidFill>
              <a:round/>
            </a:ln>
          </c:spPr>
          <c:marker>
            <c:symbol val="none"/>
          </c:marker>
          <c:xVal>
            <c:numRef>
              <c:f>DATOS!$CU$3:$CU$7</c:f>
              <c:numCache>
                <c:formatCode>General</c:formatCode>
                <c:ptCount val="5"/>
                <c:pt idx="0">
                  <c:v>0.864842475705195</c:v>
                </c:pt>
                <c:pt idx="1">
                  <c:v>0.864842475705195</c:v>
                </c:pt>
                <c:pt idx="2">
                  <c:v>0.864842475705195</c:v>
                </c:pt>
                <c:pt idx="3">
                  <c:v>0.864842475705195</c:v>
                </c:pt>
                <c:pt idx="4">
                  <c:v>0.864842475705195</c:v>
                </c:pt>
              </c:numCache>
            </c:numRef>
          </c:xVal>
          <c:yVal>
            <c:numRef>
              <c:f>DATOS!$CV$3:$CV$7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2"/>
          <c:order val="22"/>
          <c:tx>
            <c:v>Operable 9</c:v>
          </c:tx>
          <c:spPr>
            <a:ln w="22225" cap="flat">
              <a:solidFill>
                <a:srgbClr val="ED7D31"/>
              </a:solidFill>
              <a:prstDash val="dash"/>
              <a:round/>
            </a:ln>
          </c:spPr>
          <c:marker>
            <c:symbol val="none"/>
          </c:marker>
          <c:xVal>
            <c:numRef>
              <c:f>DATOS!$CW$3:$CW$7</c:f>
              <c:numCache>
                <c:formatCode>General</c:formatCode>
                <c:ptCount val="5"/>
                <c:pt idx="0">
                  <c:v>0.864842475705195</c:v>
                </c:pt>
                <c:pt idx="1">
                  <c:v>0.864842475705195</c:v>
                </c:pt>
                <c:pt idx="2">
                  <c:v>0.864842475705195</c:v>
                </c:pt>
                <c:pt idx="3">
                  <c:v>0.864842475705195</c:v>
                </c:pt>
                <c:pt idx="4">
                  <c:v>0.864842475705195</c:v>
                </c:pt>
              </c:numCache>
            </c:numRef>
          </c:xVal>
          <c:yVal>
            <c:numRef>
              <c:f>DATOS!$CX$3:$CX$7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3"/>
          <c:order val="23"/>
          <c:tx>
            <c:v>Fija 10</c:v>
          </c:tx>
          <c:spPr>
            <a:ln w="22225" cap="flat">
              <a:solidFill>
                <a:srgbClr val="C00000"/>
              </a:solidFill>
              <a:round/>
            </a:ln>
          </c:spPr>
          <c:marker>
            <c:symbol val="none"/>
          </c:marker>
          <c:xVal>
            <c:numRef>
              <c:f>DATOS!$CY$3:$CY$7</c:f>
              <c:numCache>
                <c:formatCode>General</c:formatCode>
                <c:ptCount val="5"/>
                <c:pt idx="0">
                  <c:v>0.864842475705195</c:v>
                </c:pt>
                <c:pt idx="1">
                  <c:v>0.864842475705195</c:v>
                </c:pt>
                <c:pt idx="2">
                  <c:v>0.864842475705195</c:v>
                </c:pt>
                <c:pt idx="3">
                  <c:v>0.864842475705195</c:v>
                </c:pt>
                <c:pt idx="4">
                  <c:v>0.864842475705195</c:v>
                </c:pt>
              </c:numCache>
            </c:numRef>
          </c:xVal>
          <c:yVal>
            <c:numRef>
              <c:f>DATOS!$CZ$3:$CZ$7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4"/>
          <c:order val="24"/>
          <c:tx>
            <c:v>Operable 10</c:v>
          </c:tx>
          <c:spPr>
            <a:ln w="22225" cap="flat">
              <a:solidFill>
                <a:srgbClr val="ED7D31"/>
              </a:solidFill>
              <a:prstDash val="dash"/>
              <a:round/>
            </a:ln>
          </c:spPr>
          <c:marker>
            <c:symbol val="none"/>
          </c:marker>
          <c:xVal>
            <c:numRef>
              <c:f>DATOS!$DA$3:$DA$7</c:f>
              <c:numCache>
                <c:formatCode>General</c:formatCode>
                <c:ptCount val="5"/>
                <c:pt idx="0">
                  <c:v>0.864842475705195</c:v>
                </c:pt>
                <c:pt idx="1">
                  <c:v>0.864842475705195</c:v>
                </c:pt>
                <c:pt idx="2">
                  <c:v>0.864842475705195</c:v>
                </c:pt>
                <c:pt idx="3">
                  <c:v>0.864842475705195</c:v>
                </c:pt>
                <c:pt idx="4">
                  <c:v>0.864842475705195</c:v>
                </c:pt>
              </c:numCache>
            </c:numRef>
          </c:xVal>
          <c:yVal>
            <c:numRef>
              <c:f>DATOS!$DB$3:$DB$7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5"/>
          <c:order val="25"/>
          <c:tx>
            <c:v>Fija 11</c:v>
          </c:tx>
          <c:spPr>
            <a:ln w="22225" cap="flat">
              <a:solidFill>
                <a:srgbClr val="C00000"/>
              </a:solidFill>
              <a:round/>
            </a:ln>
          </c:spPr>
          <c:marker>
            <c:symbol val="none"/>
          </c:marker>
          <c:xVal>
            <c:numRef>
              <c:f>DATOS!$DC$3:$DC$7</c:f>
              <c:numCache>
                <c:formatCode>General</c:formatCode>
                <c:ptCount val="5"/>
                <c:pt idx="0">
                  <c:v>0.864842475705195</c:v>
                </c:pt>
                <c:pt idx="1">
                  <c:v>0.864842475705195</c:v>
                </c:pt>
                <c:pt idx="2">
                  <c:v>0.864842475705195</c:v>
                </c:pt>
                <c:pt idx="3">
                  <c:v>0.864842475705195</c:v>
                </c:pt>
                <c:pt idx="4">
                  <c:v>0.864842475705195</c:v>
                </c:pt>
              </c:numCache>
            </c:numRef>
          </c:xVal>
          <c:yVal>
            <c:numRef>
              <c:f>DATOS!$DD$3:$DD$7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6"/>
          <c:order val="26"/>
          <c:tx>
            <c:v>Operable 11</c:v>
          </c:tx>
          <c:spPr>
            <a:ln w="22225" cap="flat">
              <a:solidFill>
                <a:srgbClr val="ED7D31"/>
              </a:solidFill>
              <a:prstDash val="dash"/>
              <a:round/>
            </a:ln>
          </c:spPr>
          <c:marker>
            <c:symbol val="none"/>
          </c:marker>
          <c:xVal>
            <c:numRef>
              <c:f>DATOS!$DE$3:$DE$7</c:f>
              <c:numCache>
                <c:formatCode>General</c:formatCode>
                <c:ptCount val="5"/>
                <c:pt idx="0">
                  <c:v>0.864842475705195</c:v>
                </c:pt>
                <c:pt idx="1">
                  <c:v>0.864842475705195</c:v>
                </c:pt>
                <c:pt idx="2">
                  <c:v>0.864842475705195</c:v>
                </c:pt>
                <c:pt idx="3">
                  <c:v>0.864842475705195</c:v>
                </c:pt>
                <c:pt idx="4">
                  <c:v>0.864842475705195</c:v>
                </c:pt>
              </c:numCache>
            </c:numRef>
          </c:xVal>
          <c:yVal>
            <c:numRef>
              <c:f>DATOS!$DF$3:$DF$7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7"/>
          <c:order val="27"/>
          <c:tx>
            <c:v>Fija 12</c:v>
          </c:tx>
          <c:spPr>
            <a:ln w="22225" cap="flat">
              <a:solidFill>
                <a:srgbClr val="C00000"/>
              </a:solidFill>
              <a:round/>
            </a:ln>
          </c:spPr>
          <c:marker>
            <c:symbol val="none"/>
          </c:marker>
          <c:xVal>
            <c:numRef>
              <c:f>DATOS!$DG$3:$DG$7</c:f>
              <c:numCache>
                <c:formatCode>General</c:formatCode>
                <c:ptCount val="5"/>
                <c:pt idx="0">
                  <c:v>0.864842475705195</c:v>
                </c:pt>
                <c:pt idx="1">
                  <c:v>0.864842475705195</c:v>
                </c:pt>
                <c:pt idx="2">
                  <c:v>0.864842475705195</c:v>
                </c:pt>
                <c:pt idx="3">
                  <c:v>0.864842475705195</c:v>
                </c:pt>
                <c:pt idx="4">
                  <c:v>0.864842475705195</c:v>
                </c:pt>
              </c:numCache>
            </c:numRef>
          </c:xVal>
          <c:yVal>
            <c:numRef>
              <c:f>DATOS!$DH$3:$DH$7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8"/>
          <c:order val="28"/>
          <c:tx>
            <c:v>Operable 12</c:v>
          </c:tx>
          <c:spPr>
            <a:ln w="22225" cap="flat">
              <a:solidFill>
                <a:srgbClr val="ED7D31"/>
              </a:solidFill>
              <a:prstDash val="dash"/>
              <a:round/>
            </a:ln>
          </c:spPr>
          <c:marker>
            <c:symbol val="none"/>
          </c:marker>
          <c:xVal>
            <c:numRef>
              <c:f>DATOS!$DI$3:$DI$7</c:f>
              <c:numCache>
                <c:formatCode>General</c:formatCode>
                <c:ptCount val="5"/>
                <c:pt idx="0">
                  <c:v>0.864842475705195</c:v>
                </c:pt>
                <c:pt idx="1">
                  <c:v>0.864842475705195</c:v>
                </c:pt>
                <c:pt idx="2">
                  <c:v>0.864842475705195</c:v>
                </c:pt>
                <c:pt idx="3">
                  <c:v>0.864842475705195</c:v>
                </c:pt>
                <c:pt idx="4">
                  <c:v>0.864842475705195</c:v>
                </c:pt>
              </c:numCache>
            </c:numRef>
          </c:xVal>
          <c:yVal>
            <c:numRef>
              <c:f>DATOS!$DJ$3:$DJ$7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9"/>
          <c:order val="29"/>
          <c:tx>
            <c:v>Fija 13</c:v>
          </c:tx>
          <c:spPr>
            <a:ln w="22225" cap="flat">
              <a:solidFill>
                <a:srgbClr val="C00000"/>
              </a:solidFill>
              <a:round/>
            </a:ln>
          </c:spPr>
          <c:marker>
            <c:symbol val="none"/>
          </c:marker>
          <c:xVal>
            <c:numRef>
              <c:f>DATOS!$DK$3:$DK$7</c:f>
              <c:numCache>
                <c:formatCode>General</c:formatCode>
                <c:ptCount val="5"/>
                <c:pt idx="0">
                  <c:v>0.864842475705195</c:v>
                </c:pt>
                <c:pt idx="1">
                  <c:v>0.864842475705195</c:v>
                </c:pt>
                <c:pt idx="2">
                  <c:v>0.864842475705195</c:v>
                </c:pt>
                <c:pt idx="3">
                  <c:v>0.864842475705195</c:v>
                </c:pt>
                <c:pt idx="4">
                  <c:v>0.864842475705195</c:v>
                </c:pt>
              </c:numCache>
            </c:numRef>
          </c:xVal>
          <c:yVal>
            <c:numRef>
              <c:f>DATOS!$DL$3:$DL$7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0"/>
          <c:order val="30"/>
          <c:tx>
            <c:v>Operable 13</c:v>
          </c:tx>
          <c:spPr>
            <a:ln w="22225" cap="flat">
              <a:solidFill>
                <a:srgbClr val="ED7D31"/>
              </a:solidFill>
              <a:prstDash val="dash"/>
              <a:round/>
            </a:ln>
          </c:spPr>
          <c:marker>
            <c:symbol val="none"/>
          </c:marker>
          <c:xVal>
            <c:numRef>
              <c:f>DATOS!$DM$3:$DM$7</c:f>
              <c:numCache>
                <c:formatCode>General</c:formatCode>
                <c:ptCount val="5"/>
                <c:pt idx="0">
                  <c:v>0.864842475705195</c:v>
                </c:pt>
                <c:pt idx="1">
                  <c:v>0.864842475705195</c:v>
                </c:pt>
                <c:pt idx="2">
                  <c:v>0.864842475705195</c:v>
                </c:pt>
                <c:pt idx="3">
                  <c:v>0.864842475705195</c:v>
                </c:pt>
                <c:pt idx="4">
                  <c:v>0.864842475705195</c:v>
                </c:pt>
              </c:numCache>
            </c:numRef>
          </c:xVal>
          <c:yVal>
            <c:numRef>
              <c:f>DATOS!$DN$3:$DN$7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1"/>
          <c:order val="31"/>
          <c:tx>
            <c:v>Fija 14</c:v>
          </c:tx>
          <c:spPr>
            <a:ln w="22225" cap="flat">
              <a:solidFill>
                <a:srgbClr val="C00000"/>
              </a:solidFill>
              <a:round/>
            </a:ln>
          </c:spPr>
          <c:marker>
            <c:symbol val="none"/>
          </c:marker>
          <c:xVal>
            <c:numRef>
              <c:f>DATOS!$DO$3:$DO$7</c:f>
              <c:numCache>
                <c:formatCode>General</c:formatCode>
                <c:ptCount val="5"/>
                <c:pt idx="0">
                  <c:v>0.864842475705195</c:v>
                </c:pt>
                <c:pt idx="1">
                  <c:v>0.864842475705195</c:v>
                </c:pt>
                <c:pt idx="2">
                  <c:v>0.864842475705195</c:v>
                </c:pt>
                <c:pt idx="3">
                  <c:v>0.864842475705195</c:v>
                </c:pt>
                <c:pt idx="4">
                  <c:v>0.864842475705195</c:v>
                </c:pt>
              </c:numCache>
            </c:numRef>
          </c:xVal>
          <c:yVal>
            <c:numRef>
              <c:f>DATOS!$DP$3:$DP$7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2"/>
          <c:order val="32"/>
          <c:tx>
            <c:v>Operable 14</c:v>
          </c:tx>
          <c:spPr>
            <a:ln w="22225" cap="flat">
              <a:solidFill>
                <a:srgbClr val="ED7D31"/>
              </a:solidFill>
              <a:prstDash val="dash"/>
              <a:round/>
            </a:ln>
          </c:spPr>
          <c:marker>
            <c:symbol val="none"/>
          </c:marker>
          <c:xVal>
            <c:numRef>
              <c:f>DATOS!$DQ$3:$DQ$7</c:f>
              <c:numCache>
                <c:formatCode>General</c:formatCode>
                <c:ptCount val="5"/>
                <c:pt idx="0">
                  <c:v>0.864842475705195</c:v>
                </c:pt>
                <c:pt idx="1">
                  <c:v>0.864842475705195</c:v>
                </c:pt>
                <c:pt idx="2">
                  <c:v>0.864842475705195</c:v>
                </c:pt>
                <c:pt idx="3">
                  <c:v>0.864842475705195</c:v>
                </c:pt>
                <c:pt idx="4">
                  <c:v>0.864842475705195</c:v>
                </c:pt>
              </c:numCache>
            </c:numRef>
          </c:xVal>
          <c:yVal>
            <c:numRef>
              <c:f>DATOS!$DR$3:$DR$7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3"/>
          <c:order val="33"/>
          <c:tx>
            <c:v>Fija 15</c:v>
          </c:tx>
          <c:spPr>
            <a:ln w="22225" cap="flat">
              <a:solidFill>
                <a:srgbClr val="C00000"/>
              </a:solidFill>
              <a:round/>
            </a:ln>
          </c:spPr>
          <c:marker>
            <c:symbol val="none"/>
          </c:marker>
          <c:xVal>
            <c:numRef>
              <c:f>DATOS!$DS$3:$DS$7</c:f>
              <c:numCache>
                <c:formatCode>General</c:formatCode>
                <c:ptCount val="5"/>
                <c:pt idx="0">
                  <c:v>0.864842475705195</c:v>
                </c:pt>
                <c:pt idx="1">
                  <c:v>0.864842475705195</c:v>
                </c:pt>
                <c:pt idx="2">
                  <c:v>0.864842475705195</c:v>
                </c:pt>
                <c:pt idx="3">
                  <c:v>0.864842475705195</c:v>
                </c:pt>
                <c:pt idx="4">
                  <c:v>0.864842475705195</c:v>
                </c:pt>
              </c:numCache>
            </c:numRef>
          </c:xVal>
          <c:yVal>
            <c:numRef>
              <c:f>DATOS!$DT$3:$DT$7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4"/>
          <c:order val="34"/>
          <c:tx>
            <c:v>Operable 15</c:v>
          </c:tx>
          <c:spPr>
            <a:ln w="22225" cap="flat">
              <a:solidFill>
                <a:srgbClr val="ED7D31"/>
              </a:solidFill>
              <a:prstDash val="dash"/>
              <a:round/>
            </a:ln>
          </c:spPr>
          <c:marker>
            <c:symbol val="none"/>
          </c:marker>
          <c:xVal>
            <c:numRef>
              <c:f>DATOS!$DU$3:$DU$7</c:f>
              <c:numCache>
                <c:formatCode>General</c:formatCode>
                <c:ptCount val="5"/>
                <c:pt idx="0">
                  <c:v>0.864842475705195</c:v>
                </c:pt>
                <c:pt idx="1">
                  <c:v>0.864842475705195</c:v>
                </c:pt>
                <c:pt idx="2">
                  <c:v>0.864842475705195</c:v>
                </c:pt>
                <c:pt idx="3">
                  <c:v>0.864842475705195</c:v>
                </c:pt>
                <c:pt idx="4">
                  <c:v>0.864842475705195</c:v>
                </c:pt>
              </c:numCache>
            </c:numRef>
          </c:xVal>
          <c:yVal>
            <c:numRef>
              <c:f>DATOS!$DV$3:$DV$7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5"/>
          <c:order val="35"/>
          <c:tx>
            <c:v>Fija 16</c:v>
          </c:tx>
          <c:spPr>
            <a:ln w="22225" cap="flat">
              <a:solidFill>
                <a:srgbClr val="C00000"/>
              </a:solidFill>
              <a:round/>
            </a:ln>
          </c:spPr>
          <c:marker>
            <c:symbol val="none"/>
          </c:marker>
          <c:xVal>
            <c:numRef>
              <c:f>DATOS!$DW$3:$DW$7</c:f>
              <c:numCache>
                <c:formatCode>General</c:formatCode>
                <c:ptCount val="5"/>
                <c:pt idx="0">
                  <c:v>0.864842475705195</c:v>
                </c:pt>
                <c:pt idx="1">
                  <c:v>0.864842475705195</c:v>
                </c:pt>
                <c:pt idx="2">
                  <c:v>0.864842475705195</c:v>
                </c:pt>
                <c:pt idx="3">
                  <c:v>0.864842475705195</c:v>
                </c:pt>
                <c:pt idx="4">
                  <c:v>0.864842475705195</c:v>
                </c:pt>
              </c:numCache>
            </c:numRef>
          </c:xVal>
          <c:yVal>
            <c:numRef>
              <c:f>DATOS!$DX$3:$DX$7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6"/>
          <c:order val="36"/>
          <c:tx>
            <c:v>Operable 16</c:v>
          </c:tx>
          <c:spPr>
            <a:ln w="22225" cap="flat">
              <a:solidFill>
                <a:srgbClr val="ED7D31"/>
              </a:solidFill>
              <a:prstDash val="dash"/>
              <a:round/>
            </a:ln>
          </c:spPr>
          <c:marker>
            <c:symbol val="none"/>
          </c:marker>
          <c:xVal>
            <c:numRef>
              <c:f>DATOS!$DY$3:$DY$7</c:f>
              <c:numCache>
                <c:formatCode>General</c:formatCode>
                <c:ptCount val="5"/>
                <c:pt idx="0">
                  <c:v>0.864842475705195</c:v>
                </c:pt>
                <c:pt idx="1">
                  <c:v>0.864842475705195</c:v>
                </c:pt>
                <c:pt idx="2">
                  <c:v>0.864842475705195</c:v>
                </c:pt>
                <c:pt idx="3">
                  <c:v>0.864842475705195</c:v>
                </c:pt>
                <c:pt idx="4">
                  <c:v>0.864842475705195</c:v>
                </c:pt>
              </c:numCache>
            </c:numRef>
          </c:xVal>
          <c:yVal>
            <c:numRef>
              <c:f>DATOS!$DZ$3:$DZ$7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7"/>
          <c:order val="37"/>
          <c:tx>
            <c:v>Fija 17</c:v>
          </c:tx>
          <c:spPr>
            <a:ln w="22225" cap="flat">
              <a:solidFill>
                <a:srgbClr val="C00000"/>
              </a:solidFill>
              <a:round/>
            </a:ln>
          </c:spPr>
          <c:marker>
            <c:symbol val="none"/>
          </c:marker>
          <c:xVal>
            <c:numRef>
              <c:f>DATOS!$EA$3:$EA$7</c:f>
              <c:numCache>
                <c:formatCode>General</c:formatCode>
                <c:ptCount val="5"/>
                <c:pt idx="0">
                  <c:v>0.864842475705195</c:v>
                </c:pt>
                <c:pt idx="1">
                  <c:v>0.864842475705195</c:v>
                </c:pt>
                <c:pt idx="2">
                  <c:v>0.864842475705195</c:v>
                </c:pt>
                <c:pt idx="3">
                  <c:v>0.864842475705195</c:v>
                </c:pt>
                <c:pt idx="4">
                  <c:v>0.864842475705195</c:v>
                </c:pt>
              </c:numCache>
            </c:numRef>
          </c:xVal>
          <c:yVal>
            <c:numRef>
              <c:f>DATOS!$EB$3:$EB$7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8"/>
          <c:order val="38"/>
          <c:tx>
            <c:v>Operable 17</c:v>
          </c:tx>
          <c:spPr>
            <a:ln w="22225" cap="flat">
              <a:solidFill>
                <a:srgbClr val="ED7D31"/>
              </a:solidFill>
              <a:prstDash val="dash"/>
              <a:round/>
            </a:ln>
          </c:spPr>
          <c:marker>
            <c:symbol val="none"/>
          </c:marker>
          <c:xVal>
            <c:numRef>
              <c:f>DATOS!$EC$3:$EC$7</c:f>
              <c:numCache>
                <c:formatCode>General</c:formatCode>
                <c:ptCount val="5"/>
                <c:pt idx="0">
                  <c:v>0.864842475705195</c:v>
                </c:pt>
                <c:pt idx="1">
                  <c:v>0.864842475705195</c:v>
                </c:pt>
                <c:pt idx="2">
                  <c:v>0.864842475705195</c:v>
                </c:pt>
                <c:pt idx="3">
                  <c:v>0.864842475705195</c:v>
                </c:pt>
                <c:pt idx="4">
                  <c:v>0.864842475705195</c:v>
                </c:pt>
              </c:numCache>
            </c:numRef>
          </c:xVal>
          <c:yVal>
            <c:numRef>
              <c:f>DATOS!$ED$3:$ED$7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9"/>
          <c:order val="39"/>
          <c:tx>
            <c:v>Fija 18</c:v>
          </c:tx>
          <c:spPr>
            <a:ln w="22225" cap="flat">
              <a:solidFill>
                <a:srgbClr val="C00000"/>
              </a:solidFill>
              <a:round/>
            </a:ln>
          </c:spPr>
          <c:marker>
            <c:symbol val="none"/>
          </c:marker>
          <c:xVal>
            <c:numRef>
              <c:f>DATOS!$EE$3:$EE$7</c:f>
              <c:numCache>
                <c:formatCode>General</c:formatCode>
                <c:ptCount val="5"/>
                <c:pt idx="0">
                  <c:v>0.864842475705195</c:v>
                </c:pt>
                <c:pt idx="1">
                  <c:v>0.864842475705195</c:v>
                </c:pt>
                <c:pt idx="2">
                  <c:v>0.864842475705195</c:v>
                </c:pt>
                <c:pt idx="3">
                  <c:v>0.864842475705195</c:v>
                </c:pt>
                <c:pt idx="4">
                  <c:v>0.864842475705195</c:v>
                </c:pt>
              </c:numCache>
            </c:numRef>
          </c:xVal>
          <c:yVal>
            <c:numRef>
              <c:f>DATOS!$EF$3:$EF$7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0"/>
          <c:order val="40"/>
          <c:tx>
            <c:v>Operable 18</c:v>
          </c:tx>
          <c:spPr>
            <a:ln w="22225" cap="flat">
              <a:solidFill>
                <a:srgbClr val="ED7D31"/>
              </a:solidFill>
              <a:prstDash val="dash"/>
              <a:round/>
            </a:ln>
          </c:spPr>
          <c:marker>
            <c:symbol val="none"/>
          </c:marker>
          <c:xVal>
            <c:numRef>
              <c:f>DATOS!$EG$3:$EG$7</c:f>
              <c:numCache>
                <c:formatCode>General</c:formatCode>
                <c:ptCount val="5"/>
                <c:pt idx="0">
                  <c:v>0.864842475705195</c:v>
                </c:pt>
                <c:pt idx="1">
                  <c:v>0.864842475705195</c:v>
                </c:pt>
                <c:pt idx="2">
                  <c:v>0.864842475705195</c:v>
                </c:pt>
                <c:pt idx="3">
                  <c:v>0.864842475705195</c:v>
                </c:pt>
                <c:pt idx="4">
                  <c:v>0.864842475705195</c:v>
                </c:pt>
              </c:numCache>
            </c:numRef>
          </c:xVal>
          <c:yVal>
            <c:numRef>
              <c:f>DATOS!$EH$3:$EH$7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1"/>
          <c:order val="41"/>
          <c:tx>
            <c:v>Fija 19</c:v>
          </c:tx>
          <c:spPr>
            <a:ln w="22225" cap="flat">
              <a:solidFill>
                <a:srgbClr val="C00000"/>
              </a:solidFill>
              <a:round/>
            </a:ln>
          </c:spPr>
          <c:marker>
            <c:symbol val="none"/>
          </c:marker>
          <c:xVal>
            <c:numRef>
              <c:f>DATOS!$EI$3:$EI$7</c:f>
              <c:numCache>
                <c:formatCode>General</c:formatCode>
                <c:ptCount val="5"/>
                <c:pt idx="0">
                  <c:v>0.864842475705195</c:v>
                </c:pt>
                <c:pt idx="1">
                  <c:v>0.864842475705195</c:v>
                </c:pt>
                <c:pt idx="2">
                  <c:v>0.864842475705195</c:v>
                </c:pt>
                <c:pt idx="3">
                  <c:v>0.864842475705195</c:v>
                </c:pt>
                <c:pt idx="4">
                  <c:v>0.864842475705195</c:v>
                </c:pt>
              </c:numCache>
            </c:numRef>
          </c:xVal>
          <c:yVal>
            <c:numRef>
              <c:f>DATOS!$EJ$3:$EJ$7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2"/>
          <c:order val="42"/>
          <c:tx>
            <c:v>Operable 19</c:v>
          </c:tx>
          <c:spPr>
            <a:ln w="22225" cap="flat">
              <a:solidFill>
                <a:srgbClr val="ED7D31"/>
              </a:solidFill>
              <a:prstDash val="dash"/>
              <a:round/>
            </a:ln>
          </c:spPr>
          <c:marker>
            <c:symbol val="none"/>
          </c:marker>
          <c:xVal>
            <c:numRef>
              <c:f>DATOS!$EK$3:$EK$7</c:f>
              <c:numCache>
                <c:formatCode>General</c:formatCode>
                <c:ptCount val="5"/>
                <c:pt idx="0">
                  <c:v>0.864842475705195</c:v>
                </c:pt>
                <c:pt idx="1">
                  <c:v>0.864842475705195</c:v>
                </c:pt>
                <c:pt idx="2">
                  <c:v>0.864842475705195</c:v>
                </c:pt>
                <c:pt idx="3">
                  <c:v>0.864842475705195</c:v>
                </c:pt>
                <c:pt idx="4">
                  <c:v>0.864842475705195</c:v>
                </c:pt>
              </c:numCache>
            </c:numRef>
          </c:xVal>
          <c:yVal>
            <c:numRef>
              <c:f>DATOS!$EL$3:$EL$7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3"/>
          <c:order val="43"/>
          <c:tx>
            <c:v>Fija 20</c:v>
          </c:tx>
          <c:spPr>
            <a:ln w="22225" cap="flat">
              <a:solidFill>
                <a:srgbClr val="C00000"/>
              </a:solidFill>
              <a:round/>
            </a:ln>
          </c:spPr>
          <c:marker>
            <c:symbol val="none"/>
          </c:marker>
          <c:xVal>
            <c:numRef>
              <c:f>DATOS!$EM$3:$EM$7</c:f>
              <c:numCache>
                <c:formatCode>General</c:formatCode>
                <c:ptCount val="5"/>
                <c:pt idx="0">
                  <c:v>0.864842475705195</c:v>
                </c:pt>
                <c:pt idx="1">
                  <c:v>0.864842475705195</c:v>
                </c:pt>
                <c:pt idx="2">
                  <c:v>0.864842475705195</c:v>
                </c:pt>
                <c:pt idx="3">
                  <c:v>0.864842475705195</c:v>
                </c:pt>
                <c:pt idx="4">
                  <c:v>0.864842475705195</c:v>
                </c:pt>
              </c:numCache>
            </c:numRef>
          </c:xVal>
          <c:yVal>
            <c:numRef>
              <c:f>DATOS!$EN$3:$EN$7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4"/>
          <c:order val="44"/>
          <c:tx>
            <c:v>Operable 20</c:v>
          </c:tx>
          <c:spPr>
            <a:ln w="22225" cap="flat">
              <a:solidFill>
                <a:srgbClr val="ED7D31"/>
              </a:solidFill>
              <a:prstDash val="dash"/>
              <a:round/>
            </a:ln>
          </c:spPr>
          <c:marker>
            <c:symbol val="none"/>
          </c:marker>
          <c:xVal>
            <c:numRef>
              <c:f>DATOS!$EO$3:$EO$7</c:f>
              <c:numCache>
                <c:formatCode>General</c:formatCode>
                <c:ptCount val="5"/>
                <c:pt idx="0">
                  <c:v>0.864842475705195</c:v>
                </c:pt>
                <c:pt idx="1">
                  <c:v>0.864842475705195</c:v>
                </c:pt>
                <c:pt idx="2">
                  <c:v>0.864842475705195</c:v>
                </c:pt>
                <c:pt idx="3">
                  <c:v>0.864842475705195</c:v>
                </c:pt>
                <c:pt idx="4">
                  <c:v>0.864842475705195</c:v>
                </c:pt>
              </c:numCache>
            </c:numRef>
          </c:xVal>
          <c:yVal>
            <c:numRef>
              <c:f>DATOS!$EP$3:$EP$7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5"/>
          <c:order val="45"/>
          <c:tx>
            <c:v>MURO 1 (Z = 0)</c:v>
          </c:tx>
          <c:spPr>
            <a:ln w="19050">
              <a:solidFill>
                <a:srgbClr val="0070C0"/>
              </a:solidFill>
              <a:round/>
            </a:ln>
          </c:spPr>
          <c:marker>
            <c:symbol val="none"/>
          </c:marker>
          <c:dLbls>
            <c:dLbl>
              <c:idx val="0"/>
              <c:spPr>
                <a:noFill/>
                <a:ln>
                  <a:noFill/>
                </a:ln>
              </c:spPr>
              <c:txPr>
                <a:bodyPr wrap="none"/>
                <a:lstStyle/>
                <a:p>
                  <a:pPr>
                    <a:defRPr sz="1000" b="1">
                      <a:solidFill>
                        <a:srgbClr val="0070C0"/>
                      </a:solidFill>
                      <a:latin typeface="Arial"/>
                      <a:cs typeface="Arial"/>
                    </a:defRPr>
                  </a:pPr>
                  <a:endParaRPr lang="es-MX"/>
                </a:p>
              </c:txPr>
              <c:dLblPos val="t"/>
              <c:showLegendKey val="0"/>
              <c:showVal val="0"/>
              <c:showCatName val="0"/>
              <c:showSerName val="1"/>
              <c:showPercent val="0"/>
              <c:showBubbleSize val="0"/>
            </c:dLbl>
            <c:showLegendKey val="0"/>
            <c:showVal val="0"/>
            <c:showCatName val="0"/>
            <c:showSerName val="0"/>
            <c:showPercent val="0"/>
            <c:showBubbleSize val="0"/>
          </c:dLbls>
          <c:xVal>
            <c:numRef>
              <c:f>DATOS!$BA$3:$BA$7</c:f>
              <c:numCache>
                <c:formatCode>General</c:formatCode>
                <c:ptCount val="5"/>
                <c:pt idx="0">
                  <c:v>0.785522362390748</c:v>
                </c:pt>
                <c:pt idx="1">
                  <c:v>0.785522362390748</c:v>
                </c:pt>
                <c:pt idx="2">
                  <c:v>0.772488874245417</c:v>
                </c:pt>
                <c:pt idx="3">
                  <c:v>0.785522362390748</c:v>
                </c:pt>
                <c:pt idx="4">
                  <c:v>0.798555850536079</c:v>
                </c:pt>
              </c:numCache>
            </c:numRef>
          </c:xVal>
          <c:yVal>
            <c:numRef>
              <c:f>DATOS!$BB$3:$BB$7</c:f>
              <c:numCache>
                <c:formatCode>General</c:formatCode>
                <c:ptCount val="5"/>
                <c:pt idx="0">
                  <c:v>0.936543909348442</c:v>
                </c:pt>
                <c:pt idx="1">
                  <c:v>0.841359773371105</c:v>
                </c:pt>
                <c:pt idx="2">
                  <c:v>0.865872199461806</c:v>
                </c:pt>
                <c:pt idx="3">
                  <c:v>0.841359773371105</c:v>
                </c:pt>
                <c:pt idx="4">
                  <c:v>0.865872199461806</c:v>
                </c:pt>
              </c:numCache>
            </c:numRef>
          </c:yVal>
          <c:smooth val="0"/>
        </c:ser>
        <c:ser>
          <c:idx val="46"/>
          <c:order val="46"/>
          <c:tx>
            <c:v>MURO 2 (Z = L)</c:v>
          </c:tx>
          <c:spPr>
            <a:ln w="19050">
              <a:solidFill>
                <a:srgbClr val="7030A0"/>
              </a:solidFill>
              <a:round/>
            </a:ln>
          </c:spPr>
          <c:marker>
            <c:symbol val="none"/>
          </c:marker>
          <c:dLbls>
            <c:dLbl>
              <c:idx val="0"/>
              <c:spPr>
                <a:noFill/>
                <a:ln>
                  <a:noFill/>
                </a:ln>
              </c:spPr>
              <c:txPr>
                <a:bodyPr wrap="none"/>
                <a:lstStyle/>
                <a:p>
                  <a:pPr>
                    <a:defRPr sz="1000" b="1">
                      <a:solidFill>
                        <a:srgbClr val="7030A0"/>
                      </a:solidFill>
                      <a:latin typeface="Arial"/>
                      <a:cs typeface="Arial"/>
                    </a:defRPr>
                  </a:pPr>
                  <a:endParaRPr lang="es-MX"/>
                </a:p>
              </c:txPr>
              <c:dLblPos val="b"/>
              <c:showLegendKey val="0"/>
              <c:showVal val="0"/>
              <c:showCatName val="0"/>
              <c:showSerName val="1"/>
              <c:showPercent val="0"/>
              <c:showBubbleSize val="0"/>
            </c:dLbl>
            <c:showLegendKey val="0"/>
            <c:showVal val="0"/>
            <c:showCatName val="0"/>
            <c:showSerName val="0"/>
            <c:showPercent val="0"/>
            <c:showBubbleSize val="0"/>
          </c:dLbls>
          <c:xVal>
            <c:numRef>
              <c:f>DATOS!$BC$3:$BC$7</c:f>
              <c:numCache>
                <c:formatCode>General</c:formatCode>
                <c:ptCount val="5"/>
                <c:pt idx="0">
                  <c:v>1.10280281564854</c:v>
                </c:pt>
                <c:pt idx="1">
                  <c:v>1.10280281564854</c:v>
                </c:pt>
                <c:pt idx="2">
                  <c:v>1.11583630379387</c:v>
                </c:pt>
                <c:pt idx="3">
                  <c:v>1.10280281564854</c:v>
                </c:pt>
                <c:pt idx="4">
                  <c:v>1.08976932750321</c:v>
                </c:pt>
              </c:numCache>
            </c:numRef>
          </c:xVal>
          <c:yVal>
            <c:numRef>
              <c:f>DATOS!$BD$3:$BD$7</c:f>
              <c:numCache>
                <c:formatCode>General</c:formatCode>
                <c:ptCount val="5"/>
                <c:pt idx="0">
                  <c:v>0.0634560906515581</c:v>
                </c:pt>
                <c:pt idx="1">
                  <c:v>0.158640226628895</c:v>
                </c:pt>
                <c:pt idx="2">
                  <c:v>0.134127800538194</c:v>
                </c:pt>
                <c:pt idx="3">
                  <c:v>0.158640226628895</c:v>
                </c:pt>
                <c:pt idx="4">
                  <c:v>0.134127800538194</c:v>
                </c:pt>
              </c:numCache>
            </c:numRef>
          </c:yVal>
          <c:smooth val="0"/>
        </c:ser>
        <c:ser>
          <c:idx val="47"/>
          <c:order val="47"/>
          <c:tx>
            <c:v>MURO 3 (X = 0)</c:v>
          </c:tx>
          <c:spPr>
            <a:ln w="19050">
              <a:solidFill>
                <a:srgbClr val="00A04A"/>
              </a:solidFill>
              <a:round/>
            </a:ln>
          </c:spPr>
          <c:marker>
            <c:symbol val="none"/>
          </c:marker>
          <c:dLbls>
            <c:dLbl>
              <c:idx val="0"/>
              <c:spPr>
                <a:noFill/>
                <a:ln>
                  <a:noFill/>
                </a:ln>
              </c:spPr>
              <c:txPr>
                <a:bodyPr wrap="none"/>
                <a:lstStyle/>
                <a:p>
                  <a:pPr>
                    <a:defRPr sz="1000" b="1">
                      <a:solidFill>
                        <a:srgbClr val="00A04A"/>
                      </a:solidFill>
                      <a:latin typeface="Arial"/>
                      <a:cs typeface="Arial"/>
                    </a:defRPr>
                  </a:pPr>
                  <a:endParaRPr lang="es-MX"/>
                </a:p>
              </c:txPr>
              <c:dLblPos val="l"/>
              <c:showLegendKey val="0"/>
              <c:showVal val="0"/>
              <c:showCatName val="0"/>
              <c:showSerName val="1"/>
              <c:showPercent val="0"/>
              <c:showBubbleSize val="0"/>
            </c:dLbl>
            <c:showLegendKey val="0"/>
            <c:showVal val="0"/>
            <c:showCatName val="0"/>
            <c:showSerName val="0"/>
            <c:showPercent val="0"/>
            <c:showBubbleSize val="0"/>
          </c:dLbls>
          <c:xVal>
            <c:numRef>
              <c:f>DATOS!$BE$3:$BE$7</c:f>
              <c:numCache>
                <c:formatCode>General</c:formatCode>
                <c:ptCount val="5"/>
                <c:pt idx="0">
                  <c:v>0.638896901065343</c:v>
                </c:pt>
                <c:pt idx="1">
                  <c:v>0.7062022490763</c:v>
                </c:pt>
                <c:pt idx="2">
                  <c:v>0.698085414214309</c:v>
                </c:pt>
                <c:pt idx="3">
                  <c:v>0.7062022490763</c:v>
                </c:pt>
                <c:pt idx="4">
                  <c:v>0.679653278514154</c:v>
                </c:pt>
              </c:numCache>
            </c:numRef>
          </c:xVal>
          <c:yVal>
            <c:numRef>
              <c:f>DATOS!$BF$3:$BF$7</c:f>
              <c:numCache>
                <c:formatCode>General</c:formatCode>
                <c:ptCount val="5"/>
                <c:pt idx="0">
                  <c:v>0.18954073319773</c:v>
                </c:pt>
                <c:pt idx="1">
                  <c:v>0.256846081208687</c:v>
                </c:pt>
                <c:pt idx="2">
                  <c:v>0.230297110646541</c:v>
                </c:pt>
                <c:pt idx="3">
                  <c:v>0.256846081208687</c:v>
                </c:pt>
                <c:pt idx="4">
                  <c:v>0.248729246346696</c:v>
                </c:pt>
              </c:numCache>
            </c:numRef>
          </c:yVal>
          <c:smooth val="0"/>
        </c:ser>
        <c:ser>
          <c:idx val="48"/>
          <c:order val="48"/>
          <c:tx>
            <c:v>MURO 4 (X = B)</c:v>
          </c:tx>
          <c:spPr>
            <a:ln w="19050">
              <a:solidFill>
                <a:srgbClr val="7F6000"/>
              </a:solidFill>
              <a:round/>
            </a:ln>
          </c:spPr>
          <c:marker>
            <c:symbol val="none"/>
          </c:marker>
          <c:dLbls>
            <c:dLbl>
              <c:idx val="0"/>
              <c:spPr>
                <a:noFill/>
                <a:ln>
                  <a:noFill/>
                </a:ln>
              </c:spPr>
              <c:txPr>
                <a:bodyPr wrap="none"/>
                <a:lstStyle/>
                <a:p>
                  <a:pPr>
                    <a:defRPr sz="1000" b="1">
                      <a:solidFill>
                        <a:srgbClr val="7F6000"/>
                      </a:solidFill>
                      <a:latin typeface="Arial"/>
                      <a:cs typeface="Arial"/>
                    </a:defRPr>
                  </a:pPr>
                  <a:endParaRPr lang="es-MX"/>
                </a:p>
              </c:txPr>
              <c:dLblPos val="r"/>
              <c:showLegendKey val="0"/>
              <c:showVal val="0"/>
              <c:showCatName val="0"/>
              <c:showSerName val="1"/>
              <c:showPercent val="0"/>
              <c:showBubbleSize val="0"/>
            </c:dLbl>
            <c:showLegendKey val="0"/>
            <c:showVal val="0"/>
            <c:showCatName val="0"/>
            <c:showSerName val="0"/>
            <c:showPercent val="0"/>
            <c:showBubbleSize val="0"/>
          </c:dLbls>
          <c:xVal>
            <c:numRef>
              <c:f>DATOS!$BG$3:$BG$7</c:f>
              <c:numCache>
                <c:formatCode>General</c:formatCode>
                <c:ptCount val="5"/>
                <c:pt idx="0">
                  <c:v>1.24942827697394</c:v>
                </c:pt>
                <c:pt idx="1">
                  <c:v>1.18212292896299</c:v>
                </c:pt>
                <c:pt idx="2">
                  <c:v>1.19023976382498</c:v>
                </c:pt>
                <c:pt idx="3">
                  <c:v>1.18212292896299</c:v>
                </c:pt>
                <c:pt idx="4">
                  <c:v>1.20867189952513</c:v>
                </c:pt>
              </c:numCache>
            </c:numRef>
          </c:xVal>
          <c:yVal>
            <c:numRef>
              <c:f>DATOS!$BH$3:$BH$7</c:f>
              <c:numCache>
                <c:formatCode>General</c:formatCode>
                <c:ptCount val="5"/>
                <c:pt idx="0">
                  <c:v>0.791573525536925</c:v>
                </c:pt>
                <c:pt idx="1">
                  <c:v>0.724268177525968</c:v>
                </c:pt>
                <c:pt idx="2">
                  <c:v>0.750817148088115</c:v>
                </c:pt>
                <c:pt idx="3">
                  <c:v>0.724268177525968</c:v>
                </c:pt>
                <c:pt idx="4">
                  <c:v>0.732385012387959</c:v>
                </c:pt>
              </c:numCache>
            </c:numRef>
          </c:yVal>
          <c:smooth val="0"/>
        </c:ser>
        <c:ser>
          <c:idx val="49"/>
          <c:order val="49"/>
          <c:tx>
            <c:v>X</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r"/>
              <c:showLegendKey val="0"/>
              <c:showVal val="0"/>
              <c:showCatName val="0"/>
              <c:showSerName val="1"/>
              <c:showPercent val="0"/>
              <c:showBubbleSize val="0"/>
            </c:dLbl>
            <c:showLegendKey val="0"/>
            <c:showVal val="0"/>
            <c:showCatName val="0"/>
            <c:showSerName val="0"/>
            <c:showPercent val="0"/>
            <c:showBubbleSize val="0"/>
          </c:dLbls>
          <c:xVal>
            <c:numRef>
              <c:f>DATOS!$BI$3:$BI$7</c:f>
              <c:numCache>
                <c:formatCode>General</c:formatCode>
                <c:ptCount val="5"/>
                <c:pt idx="0">
                  <c:v>1.49940338222078</c:v>
                </c:pt>
                <c:pt idx="1">
                  <c:v>1.57079148420378</c:v>
                </c:pt>
                <c:pt idx="2">
                  <c:v>1.54627905811308</c:v>
                </c:pt>
                <c:pt idx="3">
                  <c:v>1.57079148420378</c:v>
                </c:pt>
                <c:pt idx="4">
                  <c:v>1.54627905811308</c:v>
                </c:pt>
              </c:numCache>
            </c:numRef>
          </c:xVal>
          <c:yVal>
            <c:numRef>
              <c:f>DATOS!$BJ$3:$BJ$7</c:f>
              <c:numCache>
                <c:formatCode>General</c:formatCode>
                <c:ptCount val="5"/>
                <c:pt idx="0">
                  <c:v>0.237960339943343</c:v>
                </c:pt>
                <c:pt idx="1">
                  <c:v>0.237960339943343</c:v>
                </c:pt>
                <c:pt idx="2">
                  <c:v>0.224926851798012</c:v>
                </c:pt>
                <c:pt idx="3">
                  <c:v>0.237960339943343</c:v>
                </c:pt>
                <c:pt idx="4">
                  <c:v>0.250993828088674</c:v>
                </c:pt>
              </c:numCache>
            </c:numRef>
          </c:yVal>
          <c:smooth val="0"/>
        </c:ser>
        <c:ser>
          <c:idx val="50"/>
          <c:order val="50"/>
          <c:tx>
            <c:v>Y</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t"/>
              <c:showLegendKey val="0"/>
              <c:showVal val="0"/>
              <c:showCatName val="0"/>
              <c:showSerName val="1"/>
              <c:showPercent val="0"/>
              <c:showBubbleSize val="0"/>
            </c:dLbl>
            <c:showLegendKey val="0"/>
            <c:showVal val="0"/>
            <c:showCatName val="0"/>
            <c:showSerName val="0"/>
            <c:showPercent val="0"/>
            <c:showBubbleSize val="0"/>
          </c:dLbls>
          <c:xVal>
            <c:numRef>
              <c:f>DATOS!$BK$3:$BK$7</c:f>
              <c:numCache>
                <c:formatCode>General</c:formatCode>
                <c:ptCount val="5"/>
                <c:pt idx="0">
                  <c:v>1.49940338222078</c:v>
                </c:pt>
                <c:pt idx="1">
                  <c:v>1.49940338222078</c:v>
                </c:pt>
                <c:pt idx="2">
                  <c:v>1.51243687036611</c:v>
                </c:pt>
                <c:pt idx="3">
                  <c:v>1.49940338222078</c:v>
                </c:pt>
                <c:pt idx="4">
                  <c:v>1.48636989407545</c:v>
                </c:pt>
              </c:numCache>
            </c:numRef>
          </c:xVal>
          <c:yVal>
            <c:numRef>
              <c:f>DATOS!$BL$3:$BL$7</c:f>
              <c:numCache>
                <c:formatCode>General</c:formatCode>
                <c:ptCount val="5"/>
                <c:pt idx="0">
                  <c:v>0.237960339943343</c:v>
                </c:pt>
                <c:pt idx="1">
                  <c:v>0.309348441926346</c:v>
                </c:pt>
                <c:pt idx="2">
                  <c:v>0.284836015835645</c:v>
                </c:pt>
                <c:pt idx="3">
                  <c:v>0.309348441926346</c:v>
                </c:pt>
                <c:pt idx="4">
                  <c:v>0.284836015835645</c:v>
                </c:pt>
              </c:numCache>
            </c:numRef>
          </c:yVal>
          <c:smooth val="0"/>
        </c:ser>
        <c:ser>
          <c:idx val="51"/>
          <c:order val="51"/>
          <c:tx>
            <c:v>Z</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b"/>
              <c:showLegendKey val="0"/>
              <c:showVal val="0"/>
              <c:showCatName val="0"/>
              <c:showSerName val="1"/>
              <c:showPercent val="0"/>
              <c:showBubbleSize val="0"/>
            </c:dLbl>
            <c:showLegendKey val="0"/>
            <c:showVal val="0"/>
            <c:showCatName val="0"/>
            <c:showSerName val="0"/>
            <c:showPercent val="0"/>
            <c:showBubbleSize val="0"/>
          </c:dLbls>
          <c:xVal>
            <c:numRef>
              <c:f>DATOS!$BM$3:$BM$7</c:f>
              <c:numCache>
                <c:formatCode>General</c:formatCode>
                <c:ptCount val="5"/>
                <c:pt idx="0">
                  <c:v>1.49940338222078</c:v>
                </c:pt>
                <c:pt idx="1">
                  <c:v>1.56010219722512</c:v>
                </c:pt>
                <c:pt idx="2">
                  <c:v>1.5323998990296</c:v>
                </c:pt>
                <c:pt idx="3">
                  <c:v>1.56010219722512</c:v>
                </c:pt>
                <c:pt idx="4">
                  <c:v>1.54612037228928</c:v>
                </c:pt>
              </c:numCache>
            </c:numRef>
          </c:xVal>
          <c:yVal>
            <c:numRef>
              <c:f>DATOS!$BN$3:$BN$7</c:f>
              <c:numCache>
                <c:formatCode>General</c:formatCode>
                <c:ptCount val="5"/>
                <c:pt idx="0">
                  <c:v>0.237960339943343</c:v>
                </c:pt>
                <c:pt idx="1">
                  <c:v>0.200384883035891</c:v>
                </c:pt>
                <c:pt idx="2">
                  <c:v>0.202205190914428</c:v>
                </c:pt>
                <c:pt idx="3">
                  <c:v>0.200384883035891</c:v>
                </c:pt>
                <c:pt idx="4">
                  <c:v>0.224369032333916</c:v>
                </c:pt>
              </c:numCache>
            </c:numRef>
          </c:yVal>
          <c:smooth val="0"/>
        </c:ser>
        <c:axId val="70097699"/>
        <c:axId val="88719717"/>
      </c:scatterChart>
      <c:valAx>
        <c:axId val="70097699"/>
        <c:scaling>
          <c:orientation val="minMax"/>
          <c:max val="1.94"/>
          <c:min val="0"/>
        </c:scaling>
        <c:delete val="1"/>
        <c:axPos val="b"/>
        <c:numFmt formatCode="General" sourceLinked="0"/>
        <c:majorTickMark val="none"/>
        <c:minorTickMark val="none"/>
        <c:tickLblPos val="none"/>
        <c:spPr>
          <a:ln>
            <a:noFill/>
          </a:ln>
        </c:spPr>
        <c:crossAx val="88719717"/>
        <c:crosses val="autoZero"/>
        <c:crossBetween val="midCat"/>
      </c:valAx>
      <c:valAx>
        <c:axId val="88719717"/>
        <c:scaling>
          <c:orientation val="minMax"/>
          <c:max val="1"/>
          <c:min val="0"/>
        </c:scaling>
        <c:delete val="1"/>
        <c:axPos val="l"/>
        <c:numFmt formatCode="General" sourceLinked="0"/>
        <c:majorTickMark val="none"/>
        <c:minorTickMark val="none"/>
        <c:tickLblPos val="none"/>
        <c:spPr>
          <a:ln>
            <a:noFill/>
          </a:ln>
        </c:spPr>
        <c:crossAx val="70097699"/>
        <c:crosses val="autoZero"/>
        <c:crossBetween val="midCat"/>
      </c:valAx>
      <c:spPr>
        <a:noFill/>
        <a:ln>
          <a:noFill/>
        </a:ln>
      </c:spPr>
    </c:plotArea>
    <c:legend>
      <c:legendPos val="r"/>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layout>
        <c:manualLayout>
          <c:xMode val="edge"/>
          <c:yMode val="edge"/>
          <c:x val="0.8"/>
          <c:y val="0.3"/>
          <c:w val="0.19"/>
          <c:h val="0.45"/>
        </c:manualLayout>
      </c:layout>
      <c:overlay val="0"/>
      <c:spPr>
        <a:noFill/>
        <a:ln>
          <a:noFill/>
        </a:ln>
      </c:spPr>
      <c:txPr>
        <a:bodyPr wrap="none"/>
        <a:lstStyle/>
        <a:p>
          <a:pPr>
            <a:defRPr sz="900" b="0">
              <a:solidFill>
                <a:srgbClr val="000000"/>
              </a:solidFill>
              <a:latin typeface="Arial"/>
              <a:cs typeface="Arial"/>
            </a:defRPr>
          </a:pPr>
          <a:endParaRPr lang="es-MX"/>
        </a:p>
      </c:txPr>
    </c:legend>
    <c:plotVisOnly val="1"/>
    <c:dispBlanksAs val="gap"/>
  </c:chart>
  <c:spPr>
    <a:solidFill>
      <a:srgbClr val="FFFFFF"/>
    </a:solidFill>
    <a:ln w="9525">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scatterChart>
        <c:scatterStyle val="lineMarker"/>
        <c:varyColors val="0"/>
        <c:ser>
          <c:idx val="0"/>
          <c:order val="0"/>
          <c:tx>
            <c:v>Muro 1 (Z=0)</c:v>
          </c:tx>
          <c:spPr>
            <a:ln w="19080">
              <a:solidFill>
                <a:srgbClr val="0070C0"/>
              </a:solidFill>
              <a:round/>
            </a:ln>
          </c:spPr>
          <c:marker>
            <c:symbol val="none"/>
          </c:marker>
          <c:dPt>
            <c:idx val="10"/>
            <c:bubble3D val="0"/>
            <c:extLst>
              <c:ext xmlns:c16="http://schemas.microsoft.com/office/drawing/2014/chart" uri="{C3380CC4-5D6E-409C-BE32-E72D297353CC}">
                <c16:uniqueId val="{00000000-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0-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ABERTURAS!$Y$7:$Y$18</c:f>
              <c:numCache>
                <c:formatCode>0.000</c:formatCode>
                <c:ptCount val="12"/>
                <c:pt idx="0">
                  <c:v>6.9503846153846166E-2</c:v>
                </c:pt>
                <c:pt idx="1">
                  <c:v>0.68449574330164231</c:v>
                </c:pt>
                <c:pt idx="2">
                  <c:v>0.68449574330164231</c:v>
                </c:pt>
                <c:pt idx="3">
                  <c:v>0.60762175615816783</c:v>
                </c:pt>
                <c:pt idx="4">
                  <c:v>0.53074776901469334</c:v>
                </c:pt>
                <c:pt idx="5">
                  <c:v>0.45387378187121868</c:v>
                </c:pt>
                <c:pt idx="6">
                  <c:v>0.3769997947277442</c:v>
                </c:pt>
                <c:pt idx="7">
                  <c:v>0.30012580758426971</c:v>
                </c:pt>
                <c:pt idx="8">
                  <c:v>0.2232518204407952</c:v>
                </c:pt>
                <c:pt idx="9">
                  <c:v>0.14637783329732068</c:v>
                </c:pt>
                <c:pt idx="10">
                  <c:v>6.9503846153846166E-2</c:v>
                </c:pt>
                <c:pt idx="11">
                  <c:v>6.9503846153846166E-2</c:v>
                </c:pt>
              </c:numCache>
            </c:numRef>
          </c:xVal>
          <c:yVal>
            <c:numRef>
              <c:f>ABERTURAS!$Z$7:$Z$18</c:f>
              <c:numCache>
                <c:formatCode>0.000</c:formatCode>
                <c:ptCount val="12"/>
                <c:pt idx="0">
                  <c:v>6.9503846153846166E-2</c:v>
                </c:pt>
                <c:pt idx="1">
                  <c:v>6.9503846153846166E-2</c:v>
                </c:pt>
                <c:pt idx="2">
                  <c:v>0.71744173779170273</c:v>
                </c:pt>
                <c:pt idx="3">
                  <c:v>0.71744173779170273</c:v>
                </c:pt>
                <c:pt idx="4">
                  <c:v>0.71744173779170273</c:v>
                </c:pt>
                <c:pt idx="5">
                  <c:v>0.71744173779170273</c:v>
                </c:pt>
                <c:pt idx="6">
                  <c:v>0.71744173779170273</c:v>
                </c:pt>
                <c:pt idx="7">
                  <c:v>0.71744173779170273</c:v>
                </c:pt>
                <c:pt idx="8">
                  <c:v>0.71744173779170273</c:v>
                </c:pt>
                <c:pt idx="9">
                  <c:v>0.71744173779170273</c:v>
                </c:pt>
                <c:pt idx="10">
                  <c:v>0.71744173779170273</c:v>
                </c:pt>
                <c:pt idx="11">
                  <c:v>6.9503846153846166E-2</c:v>
                </c:pt>
              </c:numCache>
            </c:numRef>
          </c:yVal>
          <c:smooth val="0"/>
          <c:extLst>
            <c:ext xmlns:c16="http://schemas.microsoft.com/office/drawing/2014/chart" uri="{C3380CC4-5D6E-409C-BE32-E72D297353CC}">
              <c16:uniqueId val="{00000001-A658-41C7-A2F7-BAEF52D65728}"/>
            </c:ext>
          </c:extLst>
        </c:ser>
        <c:ser>
          <c:idx val="1"/>
          <c:order val="1"/>
          <c:tx>
            <c:v>Muro 2 (Z=L)</c:v>
          </c:tx>
          <c:spPr>
            <a:ln w="19080">
              <a:solidFill>
                <a:srgbClr val="7030A0"/>
              </a:solidFill>
              <a:round/>
            </a:ln>
          </c:spPr>
          <c:marker>
            <c:symbol val="none"/>
          </c:marker>
          <c:dPt>
            <c:idx val="10"/>
            <c:bubble3D val="0"/>
            <c:extLst>
              <c:ext xmlns:c16="http://schemas.microsoft.com/office/drawing/2014/chart" uri="{C3380CC4-5D6E-409C-BE32-E72D297353CC}">
                <c16:uniqueId val="{00000002-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ABERTURAS!$AA$7:$AA$18</c:f>
              <c:numCache>
                <c:formatCode>0.000</c:formatCode>
                <c:ptCount val="12"/>
                <c:pt idx="0">
                  <c:v>0.78211350475367347</c:v>
                </c:pt>
                <c:pt idx="1">
                  <c:v>1.3971054019014693</c:v>
                </c:pt>
                <c:pt idx="2">
                  <c:v>1.3971054019014693</c:v>
                </c:pt>
                <c:pt idx="3">
                  <c:v>1.320231414757995</c:v>
                </c:pt>
                <c:pt idx="4">
                  <c:v>1.2433574276145205</c:v>
                </c:pt>
                <c:pt idx="5">
                  <c:v>1.166483440471046</c:v>
                </c:pt>
                <c:pt idx="6">
                  <c:v>1.0896094533275713</c:v>
                </c:pt>
                <c:pt idx="7">
                  <c:v>1.0127354661840968</c:v>
                </c:pt>
                <c:pt idx="8">
                  <c:v>0.93586147904062245</c:v>
                </c:pt>
                <c:pt idx="9">
                  <c:v>0.85898749189714796</c:v>
                </c:pt>
                <c:pt idx="10">
                  <c:v>0.78211350475367347</c:v>
                </c:pt>
                <c:pt idx="11">
                  <c:v>0.78211350475367347</c:v>
                </c:pt>
              </c:numCache>
            </c:numRef>
          </c:xVal>
          <c:yVal>
            <c:numRef>
              <c:f>ABERTURAS!$AB$7:$AB$18</c:f>
              <c:numCache>
                <c:formatCode>0.000</c:formatCode>
                <c:ptCount val="12"/>
                <c:pt idx="0">
                  <c:v>6.9503846153846166E-2</c:v>
                </c:pt>
                <c:pt idx="1">
                  <c:v>6.9503846153846166E-2</c:v>
                </c:pt>
                <c:pt idx="2">
                  <c:v>0.66863285706568731</c:v>
                </c:pt>
                <c:pt idx="3">
                  <c:v>0.66863285706568731</c:v>
                </c:pt>
                <c:pt idx="4">
                  <c:v>0.66863285706568731</c:v>
                </c:pt>
                <c:pt idx="5">
                  <c:v>0.66863285706568731</c:v>
                </c:pt>
                <c:pt idx="6">
                  <c:v>0.66863285706568731</c:v>
                </c:pt>
                <c:pt idx="7">
                  <c:v>0.66863285706568731</c:v>
                </c:pt>
                <c:pt idx="8">
                  <c:v>0.66863285706568731</c:v>
                </c:pt>
                <c:pt idx="9">
                  <c:v>0.66863285706568731</c:v>
                </c:pt>
                <c:pt idx="10">
                  <c:v>0.66863285706568731</c:v>
                </c:pt>
                <c:pt idx="11">
                  <c:v>6.9503846153846166E-2</c:v>
                </c:pt>
              </c:numCache>
            </c:numRef>
          </c:yVal>
          <c:smooth val="0"/>
          <c:extLst>
            <c:ext xmlns:c16="http://schemas.microsoft.com/office/drawing/2014/chart" uri="{C3380CC4-5D6E-409C-BE32-E72D297353CC}">
              <c16:uniqueId val="{00000003-A658-41C7-A2F7-BAEF52D65728}"/>
            </c:ext>
          </c:extLst>
        </c:ser>
        <c:ser>
          <c:idx val="2"/>
          <c:order val="2"/>
          <c:tx>
            <c:v>Muro 3 (X=0)</c:v>
          </c:tx>
          <c:spPr>
            <a:ln w="19080">
              <a:solidFill>
                <a:srgbClr val="00A04A"/>
              </a:solidFill>
              <a:round/>
            </a:ln>
          </c:spPr>
          <c:marker>
            <c:symbol val="none"/>
          </c:marker>
          <c:dPt>
            <c:idx val="10"/>
            <c:bubble3D val="0"/>
            <c:extLst>
              <c:ext xmlns:c16="http://schemas.microsoft.com/office/drawing/2014/chart" uri="{C3380CC4-5D6E-409C-BE32-E72D297353CC}">
                <c16:uniqueId val="{00000004-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ABERTURAS!$AC$7:$AC$18</c:f>
              <c:numCache>
                <c:formatCode>0.000</c:formatCode>
                <c:ptCount val="12"/>
                <c:pt idx="0">
                  <c:v>1.4947231633535005</c:v>
                </c:pt>
                <c:pt idx="1">
                  <c:v>2.4709007778738119</c:v>
                </c:pt>
                <c:pt idx="2">
                  <c:v>2.4709007778738119</c:v>
                </c:pt>
                <c:pt idx="3">
                  <c:v>2.3488785760587731</c:v>
                </c:pt>
                <c:pt idx="4">
                  <c:v>2.2268563742437344</c:v>
                </c:pt>
                <c:pt idx="5">
                  <c:v>2.1048341724286952</c:v>
                </c:pt>
                <c:pt idx="6">
                  <c:v>1.9828119706136564</c:v>
                </c:pt>
                <c:pt idx="7">
                  <c:v>1.8607897687986172</c:v>
                </c:pt>
                <c:pt idx="8">
                  <c:v>1.7387675669835783</c:v>
                </c:pt>
                <c:pt idx="9">
                  <c:v>1.6167453651685395</c:v>
                </c:pt>
                <c:pt idx="10">
                  <c:v>1.4947231633535005</c:v>
                </c:pt>
                <c:pt idx="11">
                  <c:v>1.4947231633535005</c:v>
                </c:pt>
              </c:numCache>
            </c:numRef>
          </c:xVal>
          <c:yVal>
            <c:numRef>
              <c:f>ABERTURAS!$AD$7:$AD$18</c:f>
              <c:numCache>
                <c:formatCode>0.000</c:formatCode>
                <c:ptCount val="12"/>
                <c:pt idx="0">
                  <c:v>6.9503846153846166E-2</c:v>
                </c:pt>
                <c:pt idx="1">
                  <c:v>6.9503846153846166E-2</c:v>
                </c:pt>
                <c:pt idx="2">
                  <c:v>0.66863285706568731</c:v>
                </c:pt>
                <c:pt idx="3">
                  <c:v>0.67473396715643918</c:v>
                </c:pt>
                <c:pt idx="4">
                  <c:v>0.68083507724719117</c:v>
                </c:pt>
                <c:pt idx="5">
                  <c:v>0.68693618733794304</c:v>
                </c:pt>
                <c:pt idx="6">
                  <c:v>0.69303729742869502</c:v>
                </c:pt>
                <c:pt idx="7">
                  <c:v>0.699138407519447</c:v>
                </c:pt>
                <c:pt idx="8">
                  <c:v>0.70523951761019887</c:v>
                </c:pt>
                <c:pt idx="9">
                  <c:v>0.71134062770095086</c:v>
                </c:pt>
                <c:pt idx="10">
                  <c:v>0.71744173779170273</c:v>
                </c:pt>
                <c:pt idx="11">
                  <c:v>6.9503846153846166E-2</c:v>
                </c:pt>
              </c:numCache>
            </c:numRef>
          </c:yVal>
          <c:smooth val="0"/>
          <c:extLst>
            <c:ext xmlns:c16="http://schemas.microsoft.com/office/drawing/2014/chart" uri="{C3380CC4-5D6E-409C-BE32-E72D297353CC}">
              <c16:uniqueId val="{00000005-A658-41C7-A2F7-BAEF52D65728}"/>
            </c:ext>
          </c:extLst>
        </c:ser>
        <c:ser>
          <c:idx val="3"/>
          <c:order val="3"/>
          <c:tx>
            <c:v>Muro 4 (X=B)</c:v>
          </c:tx>
          <c:spPr>
            <a:ln w="19080">
              <a:solidFill>
                <a:srgbClr val="7F6000"/>
              </a:solidFill>
              <a:round/>
            </a:ln>
          </c:spPr>
          <c:marker>
            <c:symbol val="none"/>
          </c:marker>
          <c:dPt>
            <c:idx val="10"/>
            <c:bubble3D val="0"/>
            <c:extLst>
              <c:ext xmlns:c16="http://schemas.microsoft.com/office/drawing/2014/chart" uri="{C3380CC4-5D6E-409C-BE32-E72D297353CC}">
                <c16:uniqueId val="{00000006-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ABERTURAS!$AE$7:$AE$18</c:f>
              <c:numCache>
                <c:formatCode>0.000</c:formatCode>
                <c:ptCount val="12"/>
                <c:pt idx="0">
                  <c:v>2.5685185393258427</c:v>
                </c:pt>
                <c:pt idx="1">
                  <c:v>3.5446961538461541</c:v>
                </c:pt>
                <c:pt idx="2">
                  <c:v>3.5446961538461541</c:v>
                </c:pt>
                <c:pt idx="3">
                  <c:v>3.4226739520311154</c:v>
                </c:pt>
                <c:pt idx="4">
                  <c:v>3.3006517502160762</c:v>
                </c:pt>
                <c:pt idx="5">
                  <c:v>3.1786295484010374</c:v>
                </c:pt>
                <c:pt idx="6">
                  <c:v>3.0566073465859986</c:v>
                </c:pt>
                <c:pt idx="7">
                  <c:v>2.9345851447709594</c:v>
                </c:pt>
                <c:pt idx="8">
                  <c:v>2.8125629429559207</c:v>
                </c:pt>
                <c:pt idx="9">
                  <c:v>2.6905407411408819</c:v>
                </c:pt>
                <c:pt idx="10">
                  <c:v>2.5685185393258427</c:v>
                </c:pt>
                <c:pt idx="11">
                  <c:v>2.5685185393258427</c:v>
                </c:pt>
              </c:numCache>
            </c:numRef>
          </c:xVal>
          <c:yVal>
            <c:numRef>
              <c:f>ABERTURAS!$AF$7:$AF$18</c:f>
              <c:numCache>
                <c:formatCode>0.000</c:formatCode>
                <c:ptCount val="12"/>
                <c:pt idx="0">
                  <c:v>6.9503846153846166E-2</c:v>
                </c:pt>
                <c:pt idx="1">
                  <c:v>6.9503846153846166E-2</c:v>
                </c:pt>
                <c:pt idx="2">
                  <c:v>0.66863285706568731</c:v>
                </c:pt>
                <c:pt idx="3">
                  <c:v>0.67473396715643918</c:v>
                </c:pt>
                <c:pt idx="4">
                  <c:v>0.68083507724719117</c:v>
                </c:pt>
                <c:pt idx="5">
                  <c:v>0.68693618733794304</c:v>
                </c:pt>
                <c:pt idx="6">
                  <c:v>0.69303729742869502</c:v>
                </c:pt>
                <c:pt idx="7">
                  <c:v>0.699138407519447</c:v>
                </c:pt>
                <c:pt idx="8">
                  <c:v>0.70523951761019887</c:v>
                </c:pt>
                <c:pt idx="9">
                  <c:v>0.71134062770095086</c:v>
                </c:pt>
                <c:pt idx="10">
                  <c:v>0.71744173779170273</c:v>
                </c:pt>
                <c:pt idx="11">
                  <c:v>6.9503846153846166E-2</c:v>
                </c:pt>
              </c:numCache>
            </c:numRef>
          </c:yVal>
          <c:smooth val="0"/>
          <c:extLst>
            <c:ext xmlns:c16="http://schemas.microsoft.com/office/drawing/2014/chart" uri="{C3380CC4-5D6E-409C-BE32-E72D297353CC}">
              <c16:uniqueId val="{00000007-A658-41C7-A2F7-BAEF52D65728}"/>
            </c:ext>
          </c:extLst>
        </c:ser>
        <c:ser>
          <c:idx val="4"/>
          <c:order val="4"/>
          <c:tx>
            <c:v>Fija 1</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ABERTURAS!$AH$7:$AH$11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ABERTURAS!$AI$7:$AI$11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8-A658-41C7-A2F7-BAEF52D65728}"/>
            </c:ext>
          </c:extLst>
        </c:ser>
        <c:ser>
          <c:idx val="5"/>
          <c:order val="5"/>
          <c:tx>
            <c:v>Operable 1</c:v>
          </c:tx>
          <c:spPr>
            <a:ln w="19080">
              <a:solidFill>
                <a:srgbClr val="ED7D31"/>
              </a:solidFill>
              <a:prstDash val="dash"/>
              <a:round/>
            </a:ln>
          </c:spPr>
          <c:marker>
            <c:symbol val="none"/>
          </c:marker>
          <c:dPt>
            <c:idx val="2"/>
            <c:bubble3D val="0"/>
            <c:extLst>
              <c:ext xmlns:c16="http://schemas.microsoft.com/office/drawing/2014/chart" uri="{C3380CC4-5D6E-409C-BE32-E72D297353CC}">
                <c16:uniqueId val="{00000009-A658-41C7-A2F7-BAEF52D65728}"/>
              </c:ext>
            </c:extLst>
          </c:dPt>
          <c:dLbls>
            <c:dLbl>
              <c:idx val="2"/>
              <c:spPr/>
              <c:txPr>
                <a:bodyPr wrap="square"/>
                <a:lstStyle/>
                <a:p>
                  <a:pPr>
                    <a:defRPr sz="1000" b="0" strike="noStrike" spc="-1">
                      <a:solidFill>
                        <a:srgbClr val="000000"/>
                      </a:solidFill>
                      <a:latin typeface="Arial"/>
                    </a:defRPr>
                  </a:pPr>
                  <a:endParaRPr lang="es-MX"/>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A658-41C7-A2F7-BAEF52D65728}"/>
                </c:ext>
              </c:extLst>
            </c:dLbl>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ABERTURAS!$AJ$7:$AJ$11</c:f>
              <c:numCache>
                <c:formatCode>0.000</c:formatCode>
                <c:ptCount val="5"/>
                <c:pt idx="0">
                  <c:v>0.10870347848692741</c:v>
                </c:pt>
                <c:pt idx="1">
                  <c:v>0.18810332520797324</c:v>
                </c:pt>
                <c:pt idx="2">
                  <c:v>0.18810332520797324</c:v>
                </c:pt>
                <c:pt idx="3">
                  <c:v>0.10870347848692741</c:v>
                </c:pt>
                <c:pt idx="4">
                  <c:v>0.10870347848692741</c:v>
                </c:pt>
              </c:numCache>
            </c:numRef>
          </c:xVal>
          <c:yVal>
            <c:numRef>
              <c:f>ABERTURAS!$AK$7:$AK$11</c:f>
              <c:numCache>
                <c:formatCode>0.000</c:formatCode>
                <c:ptCount val="5"/>
                <c:pt idx="0">
                  <c:v>6.9503846153846166E-2</c:v>
                </c:pt>
                <c:pt idx="1">
                  <c:v>6.9503846153846166E-2</c:v>
                </c:pt>
                <c:pt idx="2">
                  <c:v>0.21593048833189288</c:v>
                </c:pt>
                <c:pt idx="3">
                  <c:v>0.21593048833189288</c:v>
                </c:pt>
                <c:pt idx="4">
                  <c:v>6.9503846153846166E-2</c:v>
                </c:pt>
              </c:numCache>
            </c:numRef>
          </c:yVal>
          <c:smooth val="0"/>
          <c:extLst>
            <c:ext xmlns:c16="http://schemas.microsoft.com/office/drawing/2014/chart" uri="{C3380CC4-5D6E-409C-BE32-E72D297353CC}">
              <c16:uniqueId val="{0000000A-A658-41C7-A2F7-BAEF52D65728}"/>
            </c:ext>
          </c:extLst>
        </c:ser>
        <c:ser>
          <c:idx val="6"/>
          <c:order val="6"/>
          <c:tx>
            <c:v>Fija 2</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ABERTURAS!$AL$7:$AL$11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ABERTURAS!$AM$7:$AM$11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B-A658-41C7-A2F7-BAEF52D65728}"/>
            </c:ext>
          </c:extLst>
        </c:ser>
        <c:ser>
          <c:idx val="7"/>
          <c:order val="7"/>
          <c:tx>
            <c:v>Operable 2</c:v>
          </c:tx>
          <c:spPr>
            <a:ln w="19080">
              <a:solidFill>
                <a:srgbClr val="ED7D31"/>
              </a:solidFill>
              <a:prstDash val="dash"/>
              <a:round/>
            </a:ln>
          </c:spPr>
          <c:marker>
            <c:symbol val="none"/>
          </c:marker>
          <c:dPt>
            <c:idx val="2"/>
            <c:bubble3D val="0"/>
            <c:extLst>
              <c:ext xmlns:c16="http://schemas.microsoft.com/office/drawing/2014/chart" uri="{C3380CC4-5D6E-409C-BE32-E72D297353CC}">
                <c16:uniqueId val="{0000000C-A658-41C7-A2F7-BAEF52D65728}"/>
              </c:ext>
            </c:extLst>
          </c:dPt>
          <c:dLbls>
            <c:dLbl>
              <c:idx val="2"/>
              <c:spPr/>
              <c:txPr>
                <a:bodyPr wrap="square"/>
                <a:lstStyle/>
                <a:p>
                  <a:pPr>
                    <a:defRPr sz="1000" b="0" strike="noStrike" spc="-1">
                      <a:solidFill>
                        <a:srgbClr val="000000"/>
                      </a:solidFill>
                      <a:latin typeface="Arial"/>
                    </a:defRPr>
                  </a:pPr>
                  <a:endParaRPr lang="es-MX"/>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A658-41C7-A2F7-BAEF52D65728}"/>
                </c:ext>
              </c:extLst>
            </c:dLbl>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ABERTURAS!$AN$7:$AN$11</c:f>
              <c:numCache>
                <c:formatCode>0.000</c:formatCode>
                <c:ptCount val="5"/>
                <c:pt idx="0">
                  <c:v>0.2212323530007563</c:v>
                </c:pt>
                <c:pt idx="1">
                  <c:v>0.5324865853905576</c:v>
                </c:pt>
                <c:pt idx="2">
                  <c:v>0.5324865853905576</c:v>
                </c:pt>
                <c:pt idx="3">
                  <c:v>0.2212323530007563</c:v>
                </c:pt>
                <c:pt idx="4">
                  <c:v>0.2212323530007563</c:v>
                </c:pt>
              </c:numCache>
            </c:numRef>
          </c:xVal>
          <c:yVal>
            <c:numRef>
              <c:f>ABERTURAS!$AO$7:$AO$11</c:f>
              <c:numCache>
                <c:formatCode>0.000</c:formatCode>
                <c:ptCount val="5"/>
                <c:pt idx="0">
                  <c:v>6.9503846153846166E-2</c:v>
                </c:pt>
                <c:pt idx="1">
                  <c:v>6.9503846153846166E-2</c:v>
                </c:pt>
                <c:pt idx="2">
                  <c:v>0.45570411489844431</c:v>
                </c:pt>
                <c:pt idx="3">
                  <c:v>0.45570411489844431</c:v>
                </c:pt>
                <c:pt idx="4">
                  <c:v>6.9503846153846166E-2</c:v>
                </c:pt>
              </c:numCache>
            </c:numRef>
          </c:yVal>
          <c:smooth val="0"/>
          <c:extLst>
            <c:ext xmlns:c16="http://schemas.microsoft.com/office/drawing/2014/chart" uri="{C3380CC4-5D6E-409C-BE32-E72D297353CC}">
              <c16:uniqueId val="{0000000D-A658-41C7-A2F7-BAEF52D65728}"/>
            </c:ext>
          </c:extLst>
        </c:ser>
        <c:ser>
          <c:idx val="8"/>
          <c:order val="8"/>
          <c:tx>
            <c:v>Fija 3</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ABERTURAS!$AP$7:$AP$11</c:f>
              <c:numCache>
                <c:formatCode>0.000</c:formatCode>
                <c:ptCount val="5"/>
                <c:pt idx="0">
                  <c:v>0.78211350475367347</c:v>
                </c:pt>
                <c:pt idx="1">
                  <c:v>1.3971054019014693</c:v>
                </c:pt>
                <c:pt idx="2">
                  <c:v>1.3971054019014693</c:v>
                </c:pt>
                <c:pt idx="3">
                  <c:v>0.78211350475367347</c:v>
                </c:pt>
                <c:pt idx="4">
                  <c:v>0.78211350475367347</c:v>
                </c:pt>
              </c:numCache>
            </c:numRef>
          </c:xVal>
          <c:yVal>
            <c:numRef>
              <c:f>ABERTURAS!$AQ$7:$AQ$11</c:f>
              <c:numCache>
                <c:formatCode>0.000</c:formatCode>
                <c:ptCount val="5"/>
                <c:pt idx="0">
                  <c:v>6.9503846153846166E-2</c:v>
                </c:pt>
                <c:pt idx="1">
                  <c:v>6.9503846153846166E-2</c:v>
                </c:pt>
                <c:pt idx="2">
                  <c:v>0.66863285706568731</c:v>
                </c:pt>
                <c:pt idx="3">
                  <c:v>0.66863285706568731</c:v>
                </c:pt>
                <c:pt idx="4">
                  <c:v>6.9503846153846166E-2</c:v>
                </c:pt>
              </c:numCache>
            </c:numRef>
          </c:yVal>
          <c:smooth val="0"/>
          <c:extLst>
            <c:ext xmlns:c16="http://schemas.microsoft.com/office/drawing/2014/chart" uri="{C3380CC4-5D6E-409C-BE32-E72D297353CC}">
              <c16:uniqueId val="{0000000E-A658-41C7-A2F7-BAEF52D65728}"/>
            </c:ext>
          </c:extLst>
        </c:ser>
        <c:ser>
          <c:idx val="9"/>
          <c:order val="9"/>
          <c:tx>
            <c:v>Operable 3</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ABERTURAS!$AR$7:$AR$11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ABERTURAS!$AS$7:$AS$11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F-A658-41C7-A2F7-BAEF52D65728}"/>
            </c:ext>
          </c:extLst>
        </c:ser>
        <c:ser>
          <c:idx val="10"/>
          <c:order val="10"/>
          <c:tx>
            <c:v>Fija 4</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ABERTURAS!$AT$7:$AT$11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ABERTURAS!$AU$7:$AU$11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0-A658-41C7-A2F7-BAEF52D65728}"/>
            </c:ext>
          </c:extLst>
        </c:ser>
        <c:ser>
          <c:idx val="11"/>
          <c:order val="11"/>
          <c:tx>
            <c:v>Operable 4</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ABERTURAS!$AV$7:$AV$11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ABERTURAS!$AW$7:$AW$11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1-A658-41C7-A2F7-BAEF52D65728}"/>
            </c:ext>
          </c:extLst>
        </c:ser>
        <c:ser>
          <c:idx val="12"/>
          <c:order val="12"/>
          <c:tx>
            <c:v>Fija 5</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ABERTURAS!$AX$7:$AX$11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ABERTURAS!$AY$7:$AY$11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2-A658-41C7-A2F7-BAEF52D65728}"/>
            </c:ext>
          </c:extLst>
        </c:ser>
        <c:ser>
          <c:idx val="13"/>
          <c:order val="13"/>
          <c:tx>
            <c:v>Operable 5</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ABERTURAS!$AZ$7:$AZ$11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ABERTURAS!$BA$7:$BA$11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3-A658-41C7-A2F7-BAEF52D65728}"/>
            </c:ext>
          </c:extLst>
        </c:ser>
        <c:ser>
          <c:idx val="14"/>
          <c:order val="14"/>
          <c:tx>
            <c:v>Fija 6</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ABERTURAS!$BB$7:$BB$11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ABERTURAS!$BC$7:$BC$11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4-A658-41C7-A2F7-BAEF52D65728}"/>
            </c:ext>
          </c:extLst>
        </c:ser>
        <c:ser>
          <c:idx val="15"/>
          <c:order val="15"/>
          <c:tx>
            <c:v>Operable 6</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ABERTURAS!$BD$7:$BD$11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ABERTURAS!$BE$7:$BE$11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5-A658-41C7-A2F7-BAEF52D65728}"/>
            </c:ext>
          </c:extLst>
        </c:ser>
        <c:ser>
          <c:idx val="16"/>
          <c:order val="16"/>
          <c:tx>
            <c:v>Fija 7</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ABERTURAS!$BF$7:$BF$11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ABERTURAS!$BG$7:$BG$11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6-A658-41C7-A2F7-BAEF52D65728}"/>
            </c:ext>
          </c:extLst>
        </c:ser>
        <c:ser>
          <c:idx val="17"/>
          <c:order val="17"/>
          <c:tx>
            <c:v>Operable 7</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ABERTURAS!$BH$7:$BH$11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ABERTURAS!$BI$7:$BI$11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7-A658-41C7-A2F7-BAEF52D65728}"/>
            </c:ext>
          </c:extLst>
        </c:ser>
        <c:ser>
          <c:idx val="18"/>
          <c:order val="18"/>
          <c:tx>
            <c:v>Fija 8</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ABERTURAS!$BJ$7:$BJ$11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ABERTURAS!$BK$7:$BK$11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8-A658-41C7-A2F7-BAEF52D65728}"/>
            </c:ext>
          </c:extLst>
        </c:ser>
        <c:ser>
          <c:idx val="19"/>
          <c:order val="19"/>
          <c:tx>
            <c:v>Operable 8</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ABERTURAS!$BL$7:$BL$11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ABERTURAS!$BM$7:$BM$11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9-A658-41C7-A2F7-BAEF52D65728}"/>
            </c:ext>
          </c:extLst>
        </c:ser>
        <c:ser>
          <c:idx val="20"/>
          <c:order val="20"/>
          <c:tx>
            <c:v>Fija 9</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ABERTURAS!$BN$7:$BN$11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ABERTURAS!$BO$7:$BO$11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A-A658-41C7-A2F7-BAEF52D65728}"/>
            </c:ext>
          </c:extLst>
        </c:ser>
        <c:ser>
          <c:idx val="21"/>
          <c:order val="21"/>
          <c:tx>
            <c:v>Operable 9</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ABERTURAS!$BP$7:$BP$11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ABERTURAS!$BQ$7:$BQ$11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B-A658-41C7-A2F7-BAEF52D65728}"/>
            </c:ext>
          </c:extLst>
        </c:ser>
        <c:ser>
          <c:idx val="22"/>
          <c:order val="22"/>
          <c:tx>
            <c:v>Fija 10</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ABERTURAS!$BR$7:$BR$11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ABERTURAS!$BS$7:$BS$11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C-A658-41C7-A2F7-BAEF52D65728}"/>
            </c:ext>
          </c:extLst>
        </c:ser>
        <c:ser>
          <c:idx val="23"/>
          <c:order val="23"/>
          <c:tx>
            <c:v>Operable 10</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ABERTURAS!$BT$7:$BT$11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ABERTURAS!$BU$7:$BU$11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D-A658-41C7-A2F7-BAEF52D65728}"/>
            </c:ext>
          </c:extLst>
        </c:ser>
        <c:ser>
          <c:idx val="24"/>
          <c:order val="24"/>
          <c:tx>
            <c:v>Fija 11</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ABERTURAS!$BV$7:$BV$11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ABERTURAS!$BW$7:$BW$11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E-A658-41C7-A2F7-BAEF52D65728}"/>
            </c:ext>
          </c:extLst>
        </c:ser>
        <c:ser>
          <c:idx val="25"/>
          <c:order val="25"/>
          <c:tx>
            <c:v>Operable 11</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ABERTURAS!$BX$7:$BX$11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ABERTURAS!$BY$7:$BY$11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F-A658-41C7-A2F7-BAEF52D65728}"/>
            </c:ext>
          </c:extLst>
        </c:ser>
        <c:ser>
          <c:idx val="26"/>
          <c:order val="26"/>
          <c:tx>
            <c:v>Fija 12</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ABERTURAS!$BZ$7:$BZ$11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ABERTURAS!$CA$7:$CA$11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0-A658-41C7-A2F7-BAEF52D65728}"/>
            </c:ext>
          </c:extLst>
        </c:ser>
        <c:ser>
          <c:idx val="27"/>
          <c:order val="27"/>
          <c:tx>
            <c:v>Operable 12</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ABERTURAS!$CB$7:$CB$11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ABERTURAS!$CC$7:$CC$11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1-A658-41C7-A2F7-BAEF52D65728}"/>
            </c:ext>
          </c:extLst>
        </c:ser>
        <c:ser>
          <c:idx val="28"/>
          <c:order val="28"/>
          <c:tx>
            <c:v>Fija 13</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ABERTURAS!$CD$7:$CD$11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ABERTURAS!$CE$7:$CE$11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2-A658-41C7-A2F7-BAEF52D65728}"/>
            </c:ext>
          </c:extLst>
        </c:ser>
        <c:ser>
          <c:idx val="29"/>
          <c:order val="29"/>
          <c:tx>
            <c:v>Operable 13</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ABERTURAS!$CF$7:$CF$11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ABERTURAS!$CG$7:$CG$11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3-A658-41C7-A2F7-BAEF52D65728}"/>
            </c:ext>
          </c:extLst>
        </c:ser>
        <c:ser>
          <c:idx val="30"/>
          <c:order val="30"/>
          <c:tx>
            <c:v>Fija 14</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ABERTURAS!$CH$7:$CH$11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ABERTURAS!$CI$7:$CI$11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4-A658-41C7-A2F7-BAEF52D65728}"/>
            </c:ext>
          </c:extLst>
        </c:ser>
        <c:ser>
          <c:idx val="31"/>
          <c:order val="31"/>
          <c:tx>
            <c:v>Operable 14</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ABERTURAS!$CJ$7:$CJ$11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ABERTURAS!$CK$7:$CK$11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5-A658-41C7-A2F7-BAEF52D65728}"/>
            </c:ext>
          </c:extLst>
        </c:ser>
        <c:ser>
          <c:idx val="32"/>
          <c:order val="32"/>
          <c:tx>
            <c:v>Fija 15</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ABERTURAS!$CL$7:$CL$11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ABERTURAS!$CM$7:$CM$11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6-A658-41C7-A2F7-BAEF52D65728}"/>
            </c:ext>
          </c:extLst>
        </c:ser>
        <c:ser>
          <c:idx val="33"/>
          <c:order val="33"/>
          <c:tx>
            <c:v>Operable 15</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ABERTURAS!$CN$7:$CN$11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ABERTURAS!$CO$7:$CO$11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7-A658-41C7-A2F7-BAEF52D65728}"/>
            </c:ext>
          </c:extLst>
        </c:ser>
        <c:ser>
          <c:idx val="34"/>
          <c:order val="34"/>
          <c:tx>
            <c:v>Fija 16</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ABERTURAS!$CP$7:$CP$11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ABERTURAS!$CQ$7:$CQ$11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8-A658-41C7-A2F7-BAEF52D65728}"/>
            </c:ext>
          </c:extLst>
        </c:ser>
        <c:ser>
          <c:idx val="35"/>
          <c:order val="35"/>
          <c:tx>
            <c:v>Operable 16</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ABERTURAS!$CR$7:$CR$11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ABERTURAS!$CS$7:$CS$11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9-A658-41C7-A2F7-BAEF52D65728}"/>
            </c:ext>
          </c:extLst>
        </c:ser>
        <c:ser>
          <c:idx val="36"/>
          <c:order val="36"/>
          <c:tx>
            <c:v>Fija 17</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ABERTURAS!$CT$7:$CT$11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ABERTURAS!$CU$7:$CU$11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A-A658-41C7-A2F7-BAEF52D65728}"/>
            </c:ext>
          </c:extLst>
        </c:ser>
        <c:ser>
          <c:idx val="37"/>
          <c:order val="37"/>
          <c:tx>
            <c:v>Operable 17</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ABERTURAS!$CV$7:$CV$11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ABERTURAS!$CW$7:$CW$11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B-A658-41C7-A2F7-BAEF52D65728}"/>
            </c:ext>
          </c:extLst>
        </c:ser>
        <c:ser>
          <c:idx val="38"/>
          <c:order val="38"/>
          <c:tx>
            <c:v>Fija 18</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ABERTURAS!$CX$7:$CX$11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ABERTURAS!$CY$7:$CY$11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C-A658-41C7-A2F7-BAEF52D65728}"/>
            </c:ext>
          </c:extLst>
        </c:ser>
        <c:ser>
          <c:idx val="39"/>
          <c:order val="39"/>
          <c:tx>
            <c:v>Operable 18</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ABERTURAS!$CZ$7:$CZ$11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ABERTURAS!$DA$7:$DA$11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D-A658-41C7-A2F7-BAEF52D65728}"/>
            </c:ext>
          </c:extLst>
        </c:ser>
        <c:ser>
          <c:idx val="40"/>
          <c:order val="40"/>
          <c:tx>
            <c:v>Fija 19</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ABERTURAS!$DB$7:$DB$11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ABERTURAS!$DC$7:$DC$11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E-A658-41C7-A2F7-BAEF52D65728}"/>
            </c:ext>
          </c:extLst>
        </c:ser>
        <c:ser>
          <c:idx val="41"/>
          <c:order val="41"/>
          <c:tx>
            <c:v>Operable 19</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ABERTURAS!$DD$7:$DD$11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ABERTURAS!$DE$7:$DE$11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F-A658-41C7-A2F7-BAEF52D65728}"/>
            </c:ext>
          </c:extLst>
        </c:ser>
        <c:ser>
          <c:idx val="42"/>
          <c:order val="42"/>
          <c:tx>
            <c:v>Fija 20</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ABERTURAS!$DF$7:$DF$11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ABERTURAS!$DG$7:$DG$11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30-A658-41C7-A2F7-BAEF52D65728}"/>
            </c:ext>
          </c:extLst>
        </c:ser>
        <c:ser>
          <c:idx val="43"/>
          <c:order val="43"/>
          <c:tx>
            <c:v>Operable 20</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ABERTURAS!$DH$7:$DH$11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ABERTURAS!$DI$7:$DI$11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31-A658-41C7-A2F7-BAEF52D65728}"/>
            </c:ext>
          </c:extLst>
        </c:ser>
        <c:dLbls>
          <c:showLegendKey val="0"/>
          <c:showVal val="0"/>
          <c:showCatName val="0"/>
          <c:showSerName val="0"/>
          <c:showPercent val="0"/>
          <c:showBubbleSize val="0"/>
        </c:dLbls>
        <c:axId val="82844841"/>
        <c:axId val="30979539"/>
      </c:scatterChart>
      <c:valAx>
        <c:axId val="82844841"/>
        <c:scaling>
          <c:orientation val="minMax"/>
          <c:max val="3.6141999999999999"/>
          <c:min val="0"/>
        </c:scaling>
        <c:delete val="1"/>
        <c:axPos val="b"/>
        <c:numFmt formatCode="0.000" sourceLinked="1"/>
        <c:majorTickMark val="none"/>
        <c:minorTickMark val="none"/>
        <c:tickLblPos val="nextTo"/>
        <c:crossAx val="30979539"/>
        <c:crosses val="autoZero"/>
        <c:crossBetween val="midCat"/>
      </c:valAx>
      <c:valAx>
        <c:axId val="30979539"/>
        <c:scaling>
          <c:orientation val="minMax"/>
          <c:max val="1.06"/>
          <c:min val="0"/>
        </c:scaling>
        <c:delete val="1"/>
        <c:axPos val="l"/>
        <c:numFmt formatCode="0.000" sourceLinked="1"/>
        <c:majorTickMark val="none"/>
        <c:minorTickMark val="none"/>
        <c:tickLblPos val="nextTo"/>
        <c:crossAx val="8284484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5</xdr:col>
      <xdr:colOff>0</xdr:colOff>
      <xdr:row>50</xdr:row>
      <xdr:rowOff>152400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10</xdr:col>
      <xdr:colOff>971280</xdr:colOff>
      <xdr:row>44</xdr:row>
      <xdr:rowOff>32040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P79"/>
  <sheetViews>
    <sheetView showGridLines="0" tabSelected="1" topLeftCell="A23" zoomScale="90" zoomScaleNormal="90" workbookViewId="0">
      <selection activeCell="B48" sqref="B48"/>
    </sheetView>
  </sheetViews>
  <sheetFormatPr baseColWidth="10" defaultColWidth="8.6640625" defaultRowHeight="14.4" x14ac:dyDescent="0.3"/>
  <cols>
    <col min="1" max="1" width="1.77734375" customWidth="1"/>
    <col min="2" max="2" width="46" customWidth="1"/>
    <col min="3" max="3" width="19" customWidth="1"/>
    <col min="4" max="4" width="13" customWidth="1"/>
    <col min="5" max="5" width="54" customWidth="1"/>
    <col min="6" max="6" width="44" customWidth="1"/>
  </cols>
  <sheetData>
    <row r="1" spans="2:27" ht="25.5" customHeight="1" x14ac:dyDescent="0.3">
      <c r="B1" s="51" t="s">
        <v>0</v>
      </c>
      <c r="C1" s="51"/>
      <c r="D1" s="51"/>
      <c r="E1" s="51"/>
      <c r="F1" s="51"/>
      <c r="AA1" s="8" t="s">
        <v>1</v>
      </c>
    </row>
    <row r="2" spans="2:146" ht="30" customHeight="1" x14ac:dyDescent="0.3">
      <c r="B2" s="52" t="s">
        <v>2</v>
      </c>
      <c r="C2" s="52"/>
      <c r="D2" s="52"/>
      <c r="E2" s="52"/>
      <c r="F2" s="52"/>
      <c r="AA2" s="9" t="s">
        <v>3</v>
      </c>
      <c r="AB2" s="9" t="s">
        <v>4</v>
      </c>
      <c r="AC2" s="9" t="s">
        <v>5</v>
      </c>
      <c r="AE2" s="9" t="s">
        <v>6</v>
      </c>
      <c r="AF2" s="9" t="s">
        <v>7</v>
      </c>
      <c r="AG2" s="9" t="s">
        <v>8</v>
      </c>
      <c r="AH2" s="9" t="s">
        <v>9</v>
      </c>
      <c r="AI2" s="9" t="s">
        <v>10</v>
      </c>
      <c r="AJ2" s="9" t="s">
        <v>11</v>
      </c>
      <c r="AK2" s="9" t="s">
        <v>12</v>
      </c>
      <c r="AL2" s="9" t="s">
        <v>13</v>
      </c>
      <c r="AM2" s="9" t="s">
        <v>14</v>
      </c>
      <c r="AN2" s="9" t="s">
        <v>15</v>
      </c>
      <c r="AO2" s="9" t="s">
        <v>16</v>
      </c>
      <c r="AP2" s="9" t="s">
        <v>17</v>
      </c>
      <c r="AQ2" s="9" t="s">
        <v>18</v>
      </c>
      <c r="AR2" s="9" t="s">
        <v>19</v>
      </c>
      <c r="AS2" s="9" t="s">
        <v>20</v>
      </c>
      <c r="AT2" s="9" t="s">
        <v>21</v>
      </c>
      <c r="AU2" s="9" t="inlineStr">
        <is>
          <t>techo x'</t>
        </is>
      </c>
      <c r="AV2" s="9" t="inlineStr">
        <is>
          <t>techo y'</t>
        </is>
      </c>
      <c r="AY2" s="9" t="inlineStr">
        <is>
          <t>parámetro</t>
        </is>
      </c>
      <c r="AZ2" s="9" t="inlineStr">
        <is>
          <t>valor</t>
        </is>
      </c>
      <c r="BA2" s="9" t="inlineStr">
        <is>
          <t>flecha M1 x'</t>
        </is>
      </c>
      <c r="BB2" s="9" t="inlineStr">
        <is>
          <t>flecha M1 y'</t>
        </is>
      </c>
      <c r="BC2" s="9" t="inlineStr">
        <is>
          <t>flecha M2 x'</t>
        </is>
      </c>
      <c r="BD2" s="9" t="inlineStr">
        <is>
          <t>flecha M2 y'</t>
        </is>
      </c>
      <c r="BE2" s="9" t="inlineStr">
        <is>
          <t>flecha M3 x'</t>
        </is>
      </c>
      <c r="BF2" s="9" t="inlineStr">
        <is>
          <t>flecha M3 y'</t>
        </is>
      </c>
      <c r="BG2" s="9" t="inlineStr">
        <is>
          <t>flecha M4 x'</t>
        </is>
      </c>
      <c r="BH2" s="9" t="inlineStr">
        <is>
          <t>flecha M4 y'</t>
        </is>
      </c>
      <c r="BI2" s="9" t="inlineStr">
        <is>
          <t>eje X x'</t>
        </is>
      </c>
      <c r="BJ2" s="9" t="inlineStr">
        <is>
          <t>eje X y'</t>
        </is>
      </c>
      <c r="BK2" s="9" t="inlineStr">
        <is>
          <t>eje Y x'</t>
        </is>
      </c>
      <c r="BL2" s="9" t="inlineStr">
        <is>
          <t>eje Y y'</t>
        </is>
      </c>
      <c r="BM2" s="9" t="inlineStr">
        <is>
          <t>eje Z x'</t>
        </is>
      </c>
      <c r="BN2" s="9" t="inlineStr">
        <is>
          <t>eje Z y'</t>
        </is>
      </c>
      <c r="BO2" s="9" t="inlineStr">
        <is>
          <t>A1 fija x'</t>
        </is>
      </c>
      <c r="BP2" s="9" t="inlineStr">
        <is>
          <t>A1 fija y'</t>
        </is>
      </c>
      <c r="BQ2" s="9" t="inlineStr">
        <is>
          <t>A1 oper x'</t>
        </is>
      </c>
      <c r="BR2" s="9" t="inlineStr">
        <is>
          <t>A1 oper y'</t>
        </is>
      </c>
      <c r="BS2" s="9" t="inlineStr">
        <is>
          <t>A2 fija x'</t>
        </is>
      </c>
      <c r="BT2" s="9" t="inlineStr">
        <is>
          <t>A2 fija y'</t>
        </is>
      </c>
      <c r="BU2" s="9" t="inlineStr">
        <is>
          <t>A2 oper x'</t>
        </is>
      </c>
      <c r="BV2" s="9" t="inlineStr">
        <is>
          <t>A2 oper y'</t>
        </is>
      </c>
      <c r="BW2" s="9" t="inlineStr">
        <is>
          <t>A3 fija x'</t>
        </is>
      </c>
      <c r="BX2" s="9" t="inlineStr">
        <is>
          <t>A3 fija y'</t>
        </is>
      </c>
      <c r="BY2" s="9" t="inlineStr">
        <is>
          <t>A3 oper x'</t>
        </is>
      </c>
      <c r="BZ2" s="9" t="inlineStr">
        <is>
          <t>A3 oper y'</t>
        </is>
      </c>
      <c r="CA2" s="9" t="inlineStr">
        <is>
          <t>A4 fija x'</t>
        </is>
      </c>
      <c r="CB2" s="9" t="inlineStr">
        <is>
          <t>A4 fija y'</t>
        </is>
      </c>
      <c r="CC2" s="9" t="inlineStr">
        <is>
          <t>A4 oper x'</t>
        </is>
      </c>
      <c r="CD2" s="9" t="inlineStr">
        <is>
          <t>A4 oper y'</t>
        </is>
      </c>
      <c r="CE2" s="9" t="inlineStr">
        <is>
          <t>A5 fija x'</t>
        </is>
      </c>
      <c r="CF2" s="9" t="inlineStr">
        <is>
          <t>A5 fija y'</t>
        </is>
      </c>
      <c r="CG2" s="9" t="inlineStr">
        <is>
          <t>A5 oper x'</t>
        </is>
      </c>
      <c r="CH2" s="9" t="inlineStr">
        <is>
          <t>A5 oper y'</t>
        </is>
      </c>
      <c r="CI2" s="9" t="inlineStr">
        <is>
          <t>A6 fija x'</t>
        </is>
      </c>
      <c r="CJ2" s="9" t="inlineStr">
        <is>
          <t>A6 fija y'</t>
        </is>
      </c>
      <c r="CK2" s="9" t="inlineStr">
        <is>
          <t>A6 oper x'</t>
        </is>
      </c>
      <c r="CL2" s="9" t="inlineStr">
        <is>
          <t>A6 oper y'</t>
        </is>
      </c>
      <c r="CM2" s="9" t="inlineStr">
        <is>
          <t>A7 fija x'</t>
        </is>
      </c>
      <c r="CN2" s="9" t="inlineStr">
        <is>
          <t>A7 fija y'</t>
        </is>
      </c>
      <c r="CO2" s="9" t="inlineStr">
        <is>
          <t>A7 oper x'</t>
        </is>
      </c>
      <c r="CP2" s="9" t="inlineStr">
        <is>
          <t>A7 oper y'</t>
        </is>
      </c>
      <c r="CQ2" s="9" t="inlineStr">
        <is>
          <t>A8 fija x'</t>
        </is>
      </c>
      <c r="CR2" s="9" t="inlineStr">
        <is>
          <t>A8 fija y'</t>
        </is>
      </c>
      <c r="CS2" s="9" t="inlineStr">
        <is>
          <t>A8 oper x'</t>
        </is>
      </c>
      <c r="CT2" s="9" t="inlineStr">
        <is>
          <t>A8 oper y'</t>
        </is>
      </c>
      <c r="CU2" s="9" t="inlineStr">
        <is>
          <t>A9 fija x'</t>
        </is>
      </c>
      <c r="CV2" s="9" t="inlineStr">
        <is>
          <t>A9 fija y'</t>
        </is>
      </c>
      <c r="CW2" s="9" t="inlineStr">
        <is>
          <t>A9 oper x'</t>
        </is>
      </c>
      <c r="CX2" s="9" t="inlineStr">
        <is>
          <t>A9 oper y'</t>
        </is>
      </c>
      <c r="CY2" s="9" t="inlineStr">
        <is>
          <t>A10 fija x'</t>
        </is>
      </c>
      <c r="CZ2" s="9" t="inlineStr">
        <is>
          <t>A10 fija y'</t>
        </is>
      </c>
      <c r="DA2" s="9" t="inlineStr">
        <is>
          <t>A10 oper x'</t>
        </is>
      </c>
      <c r="DB2" s="9" t="inlineStr">
        <is>
          <t>A10 oper y'</t>
        </is>
      </c>
      <c r="DC2" s="9" t="inlineStr">
        <is>
          <t>A11 fija x'</t>
        </is>
      </c>
      <c r="DD2" s="9" t="inlineStr">
        <is>
          <t>A11 fija y'</t>
        </is>
      </c>
      <c r="DE2" s="9" t="inlineStr">
        <is>
          <t>A11 oper x'</t>
        </is>
      </c>
      <c r="DF2" s="9" t="inlineStr">
        <is>
          <t>A11 oper y'</t>
        </is>
      </c>
      <c r="DG2" s="9" t="inlineStr">
        <is>
          <t>A12 fija x'</t>
        </is>
      </c>
      <c r="DH2" s="9" t="inlineStr">
        <is>
          <t>A12 fija y'</t>
        </is>
      </c>
      <c r="DI2" s="9" t="inlineStr">
        <is>
          <t>A12 oper x'</t>
        </is>
      </c>
      <c r="DJ2" s="9" t="inlineStr">
        <is>
          <t>A12 oper y'</t>
        </is>
      </c>
      <c r="DK2" s="9" t="inlineStr">
        <is>
          <t>A13 fija x'</t>
        </is>
      </c>
      <c r="DL2" s="9" t="inlineStr">
        <is>
          <t>A13 fija y'</t>
        </is>
      </c>
      <c r="DM2" s="9" t="inlineStr">
        <is>
          <t>A13 oper x'</t>
        </is>
      </c>
      <c r="DN2" s="9" t="inlineStr">
        <is>
          <t>A13 oper y'</t>
        </is>
      </c>
      <c r="DO2" s="9" t="inlineStr">
        <is>
          <t>A14 fija x'</t>
        </is>
      </c>
      <c r="DP2" s="9" t="inlineStr">
        <is>
          <t>A14 fija y'</t>
        </is>
      </c>
      <c r="DQ2" s="9" t="inlineStr">
        <is>
          <t>A14 oper x'</t>
        </is>
      </c>
      <c r="DR2" s="9" t="inlineStr">
        <is>
          <t>A14 oper y'</t>
        </is>
      </c>
      <c r="DS2" s="9" t="inlineStr">
        <is>
          <t>A15 fija x'</t>
        </is>
      </c>
      <c r="DT2" s="9" t="inlineStr">
        <is>
          <t>A15 fija y'</t>
        </is>
      </c>
      <c r="DU2" s="9" t="inlineStr">
        <is>
          <t>A15 oper x'</t>
        </is>
      </c>
      <c r="DV2" s="9" t="inlineStr">
        <is>
          <t>A15 oper y'</t>
        </is>
      </c>
      <c r="DW2" s="9" t="inlineStr">
        <is>
          <t>A16 fija x'</t>
        </is>
      </c>
      <c r="DX2" s="9" t="inlineStr">
        <is>
          <t>A16 fija y'</t>
        </is>
      </c>
      <c r="DY2" s="9" t="inlineStr">
        <is>
          <t>A16 oper x'</t>
        </is>
      </c>
      <c r="DZ2" s="9" t="inlineStr">
        <is>
          <t>A16 oper y'</t>
        </is>
      </c>
      <c r="EA2" s="9" t="inlineStr">
        <is>
          <t>A17 fija x'</t>
        </is>
      </c>
      <c r="EB2" s="9" t="inlineStr">
        <is>
          <t>A17 fija y'</t>
        </is>
      </c>
      <c r="EC2" s="9" t="inlineStr">
        <is>
          <t>A17 oper x'</t>
        </is>
      </c>
      <c r="ED2" s="9" t="inlineStr">
        <is>
          <t>A17 oper y'</t>
        </is>
      </c>
      <c r="EE2" s="9" t="inlineStr">
        <is>
          <t>A18 fija x'</t>
        </is>
      </c>
      <c r="EF2" s="9" t="inlineStr">
        <is>
          <t>A18 fija y'</t>
        </is>
      </c>
      <c r="EG2" s="9" t="inlineStr">
        <is>
          <t>A18 oper x'</t>
        </is>
      </c>
      <c r="EH2" s="9" t="inlineStr">
        <is>
          <t>A18 oper y'</t>
        </is>
      </c>
      <c r="EI2" s="9" t="inlineStr">
        <is>
          <t>A19 fija x'</t>
        </is>
      </c>
      <c r="EJ2" s="9" t="inlineStr">
        <is>
          <t>A19 fija y'</t>
        </is>
      </c>
      <c r="EK2" s="9" t="inlineStr">
        <is>
          <t>A19 oper x'</t>
        </is>
      </c>
      <c r="EL2" s="9" t="inlineStr">
        <is>
          <t>A19 oper y'</t>
        </is>
      </c>
      <c r="EM2" s="9" t="inlineStr">
        <is>
          <t>A20 fija x'</t>
        </is>
      </c>
      <c r="EN2" s="9" t="inlineStr">
        <is>
          <t>A20 fija y'</t>
        </is>
      </c>
      <c r="EO2" s="9" t="inlineStr">
        <is>
          <t>A20 oper x'</t>
        </is>
      </c>
      <c r="EP2" s="9" t="inlineStr">
        <is>
          <t>A20 oper y'</t>
        </is>
      </c>
    </row>
    <row r="3" spans="2:146" ht="45" customHeight="1" x14ac:dyDescent="0.3">
      <c r="B3" s="53" t="s">
        <v>66</v>
      </c>
      <c r="C3" s="53"/>
      <c r="D3" s="53"/>
      <c r="E3" s="53"/>
      <c r="F3" s="53"/>
      <c r="AA3" s="10">
        <f>$C$23*0/8</f>
        <v>0</v>
      </c>
      <c r="AB3" s="10">
        <f>IF($C$14="PLANO",$C$17,IF($C$14="DOS AGUAS",$C$17+($C$18-$C$17)*(1-ABS(2*($AA$3)/$C$23-1)),IF($C$14="UN AGUA",IF(N($C$25)=0,$C$18-($C$18-$C$17)*($AA$3)/$C$23,$C$17+($C$18-$C$17)*($AA$3)/$C$23),$C$17+4*($C$18-$C$17)*($AA$3)/$C$23*(1-($AA$3)/$C$23))))</f>
        <v>10.62</v>
      </c>
      <c r="AC3" s="9" t="str">
        <f>IF($C$22="Z","Z","X")</f>
        <v>Z</v>
      </c>
      <c r="AE3" s="10">
        <f>0</f>
        <v>0</v>
      </c>
      <c r="AF3" s="10">
        <f>0</f>
        <v>0</v>
      </c>
      <c r="AG3" s="10">
        <f>((($AZ$5+$AE3*($C$12-2*$AZ$5)/$C$12)-$AZ$3*$C$13)+$AZ$39)/$AZ$38</f>
        <v>0.562670615459681</v>
      </c>
      <c r="AH3" s="10">
        <f>((IF($AF3&gt;0,$AF3-$AZ$5,0)+$AZ$4*$C$13)+$AZ$40)/$AZ$38</f>
        <v>0.35505193578848</v>
      </c>
      <c r="AI3" s="10">
        <f>0</f>
        <v>0</v>
      </c>
      <c r="AJ3" s="10">
        <f>0</f>
        <v>0</v>
      </c>
      <c r="AK3" s="10">
        <f>((($AZ$5+$AI3*($C$12-2*$AZ$5)/$C$12))+$AZ$39)/$AZ$38</f>
        <v>0.879951068717471</v>
      </c>
      <c r="AL3" s="10">
        <f>((IF($AJ3&gt;0,$AJ3-$AZ$5,0))+$AZ$40)/$AZ$38</f>
        <v>0.158640226628895</v>
      </c>
      <c r="AM3" s="10">
        <f>0</f>
        <v>0</v>
      </c>
      <c r="AN3" s="10">
        <f>0</f>
        <v>0</v>
      </c>
      <c r="AO3" s="10">
        <f>((-$AZ$3*($C$13-($AZ$5+$AM3*($C$13-2*$AZ$5)/$C$13)))+$AZ$39)/$AZ$38</f>
        <v>0.553907631512561</v>
      </c>
      <c r="AP3" s="10">
        <f>((IF($AN3&gt;0,$AN3-$AZ$5,0)+$AZ$4*($C$13-($AZ$5+$AM3*($C$13-2*$AZ$5)/$C$13)))+$AZ$40)/$AZ$38</f>
        <v>0.351123701605288</v>
      </c>
      <c r="AQ3" s="10">
        <f>0</f>
        <v>0</v>
      </c>
      <c r="AR3" s="10">
        <f>0</f>
        <v>0</v>
      </c>
      <c r="AS3" s="10">
        <f>(($C$12-$AZ$3*($C$13-($AZ$5+$AQ3*($C$13-2*$AZ$5)/$C$13)))+$AZ$39)/$AZ$38</f>
        <v>1.02982831139925</v>
      </c>
      <c r="AT3" s="10">
        <f>((IF($AR3&gt;0,$AR3-$AZ$5,0)+$AZ$4*($C$13-($AZ$5+$AQ3*($C$13-2*$AZ$5)/$C$13)))+$AZ$40)/$AZ$38</f>
        <v>0.351123701605288</v>
      </c>
      <c r="AU3" s="10">
        <f>((IF($AC$3="Z",0,$AA$3)-$AZ$3*($C$13-IF($AC$3="Z",$AA$3,0)))+$AZ$39)/$AZ$38</f>
        <v>0.547562022447405</v>
      </c>
      <c r="AV3" s="10">
        <f>(($AB$3+$AZ$4*($C$13-IF($AC$3="Z",$AA$3,0)))+$AZ$40)/$AZ$38</f>
        <v>0.856468366383381</v>
      </c>
      <c r="AY3" s="9" t="inlineStr">
        <is>
          <t>kx</t>
        </is>
      </c>
      <c r="AZ3" s="11">
        <f>0.42</f>
        <v>0.42</v>
      </c>
      <c r="BA3" s="10">
        <f>(($AZ$17)+$AZ$39)/$AZ$38</f>
        <v>0.785522362390748</v>
      </c>
      <c r="BB3" s="10">
        <f>(($AZ$18)+$AZ$40)/$AZ$38</f>
        <v>0.936543909348442</v>
      </c>
      <c r="BC3" s="10">
        <f>(($AZ$21)+$AZ$39)/$AZ$38</f>
        <v>1.10280281564854</v>
      </c>
      <c r="BD3" s="10">
        <f>(($AZ$22)+$AZ$40)/$AZ$38</f>
        <v>0.0634560906515581</v>
      </c>
      <c r="BE3" s="10">
        <f>(($AZ$25)+$AZ$39)/$AZ$38</f>
        <v>0.638896901065343</v>
      </c>
      <c r="BF3" s="10">
        <f>(($AZ$26)+$AZ$40)/$AZ$38</f>
        <v>0.18954073319773</v>
      </c>
      <c r="BG3" s="10">
        <f>(($AZ$29)+$AZ$39)/$AZ$38</f>
        <v>1.24942827697394</v>
      </c>
      <c r="BH3" s="10">
        <f>(($AZ$30)+$AZ$40)/$AZ$38</f>
        <v>0.791573525536925</v>
      </c>
      <c r="BI3" s="10">
        <f>(($AZ$31)+$AZ$39)/$AZ$38</f>
        <v>1.49940338222078</v>
      </c>
      <c r="BJ3" s="10">
        <f>(($AZ$32)+$AZ$40)/$AZ$38</f>
        <v>0.237960339943343</v>
      </c>
      <c r="BK3" s="10">
        <f>(($AZ$31)+$AZ$39)/$AZ$38</f>
        <v>1.49940338222078</v>
      </c>
      <c r="BL3" s="10">
        <f>(($AZ$32)+$AZ$40)/$AZ$38</f>
        <v>0.237960339943343</v>
      </c>
      <c r="BM3" s="10">
        <f>(($AZ$31)+$AZ$39)/$AZ$38</f>
        <v>1.49940338222078</v>
      </c>
      <c r="BN3" s="10">
        <f>(($AZ$32)+$AZ$40)/$AZ$38</f>
        <v>0.237960339943343</v>
      </c>
      <c r="BO3" s="10">
        <f>((IF(AND(ABERTURAS!$K$7="OK",ABERTURAS!$E$7="FIJA"),CHOOSE(ABERTURAS!$N$7,ABERTURAS!$O$7-$AZ$3*$C$13,ABERTURAS!$O$7,-$AZ$3*($C$13-ABERTURAS!$O$7),$C$12-$AZ$3*($C$13-ABERTURAS!$O$7)),0))+$AZ$39)/$AZ$38</f>
        <v>0.864842475705195</v>
      </c>
      <c r="BP3" s="10">
        <f>((IF(AND(ABERTURAS!$K$7="OK",ABERTURAS!$E$7="FIJA"),ABERTURAS!$Q$7+CHOOSE(ABERTURAS!$N$7,$AZ$4*$C$13,0,$AZ$4*($C$13-ABERTURAS!$O$7),$AZ$4*($C$13-ABERTURAS!$O$7)),0))+$AZ$40)/$AZ$38</f>
        <v>0.158640226628895</v>
      </c>
      <c r="BQ3" s="10">
        <f>((IF(AND(ABERTURAS!$K$7="OK",ABERTURAS!$E$7="OPERABLE"),CHOOSE(ABERTURAS!$N$7,ABERTURAS!$O$7-$AZ$3*$C$13,ABERTURAS!$O$7,-$AZ$3*($C$13-ABERTURAS!$O$7),$C$12-$AZ$3*($C$13-ABERTURAS!$O$7)),0))+$AZ$39)/$AZ$38</f>
        <v>0.577897244354865</v>
      </c>
      <c r="BR3" s="10">
        <f>((IF(AND(ABERTURAS!$K$7="OK",ABERTURAS!$E$7="OPERABLE"),ABERTURAS!$Q$7+CHOOSE(ABERTURAS!$N$7,$AZ$4*$C$13,0,$AZ$4*($C$13-ABERTURAS!$O$7),$AZ$4*($C$13-ABERTURAS!$O$7)),0))+$AZ$40)/$AZ$38</f>
        <v>0.35505193578848</v>
      </c>
      <c r="BS3" s="10">
        <f>((IF(AND(ABERTURAS!$K$8="OK",ABERTURAS!$E$8="FIJA"),CHOOSE(ABERTURAS!$N$8,ABERTURAS!$O$8-$AZ$3*$C$13,ABERTURAS!$O$8,-$AZ$3*($C$13-ABERTURAS!$O$8),$C$12-$AZ$3*($C$13-ABERTURAS!$O$8)),0))+$AZ$39)/$AZ$38</f>
        <v>0.864842475705195</v>
      </c>
      <c r="BT3" s="10">
        <f>((IF(AND(ABERTURAS!$K$8="OK",ABERTURAS!$E$8="FIJA"),ABERTURAS!$Q$8+CHOOSE(ABERTURAS!$N$8,$AZ$4*$C$13,0,$AZ$4*($C$13-ABERTURAS!$O$8),$AZ$4*($C$13-ABERTURAS!$O$8)),0))+$AZ$40)/$AZ$38</f>
        <v>0.158640226628895</v>
      </c>
      <c r="BU3" s="10">
        <f>((IF(AND(ABERTURAS!$K$8="OK",ABERTURAS!$E$8="OPERABLE"),CHOOSE(ABERTURAS!$N$8,ABERTURAS!$O$8-$AZ$3*$C$13,ABERTURAS!$O$8,-$AZ$3*($C$13-ABERTURAS!$O$8),$C$12-$AZ$3*($C$13-ABERTURAS!$O$8)),0))+$AZ$39)/$AZ$38</f>
        <v>0.664979397329369</v>
      </c>
      <c r="BV3" s="10">
        <f>((IF(AND(ABERTURAS!$K$8="OK",ABERTURAS!$E$8="OPERABLE"),ABERTURAS!$Q$8+CHOOSE(ABERTURAS!$N$8,$AZ$4*$C$13,0,$AZ$4*($C$13-ABERTURAS!$O$8),$AZ$4*($C$13-ABERTURAS!$O$8)),0))+$AZ$40)/$AZ$38</f>
        <v>0.35505193578848</v>
      </c>
      <c r="BW3" s="10">
        <f>((IF(AND(ABERTURAS!$K$9="OK",ABERTURAS!$E$9="FIJA"),CHOOSE(ABERTURAS!$N$9,ABERTURAS!$O$9-$AZ$3*$C$13,ABERTURAS!$O$9,-$AZ$3*($C$13-ABERTURAS!$O$9),$C$12-$AZ$3*($C$13-ABERTURAS!$O$9)),0))+$AZ$39)/$AZ$38</f>
        <v>0.864842475705195</v>
      </c>
      <c r="BX3" s="10">
        <f>((IF(AND(ABERTURAS!$K$9="OK",ABERTURAS!$E$9="FIJA"),ABERTURAS!$Q$9+CHOOSE(ABERTURAS!$N$9,$AZ$4*$C$13,0,$AZ$4*($C$13-ABERTURAS!$O$9),$AZ$4*($C$13-ABERTURAS!$O$9)),0))+$AZ$40)/$AZ$38</f>
        <v>0.158640226628895</v>
      </c>
      <c r="BY3" s="10">
        <f>((IF(AND(ABERTURAS!$K$9="OK",ABERTURAS!$E$9="OPERABLE"),CHOOSE(ABERTURAS!$N$9,ABERTURAS!$O$9-$AZ$3*$C$13,ABERTURAS!$O$9,-$AZ$3*($C$13-ABERTURAS!$O$9),$C$12-$AZ$3*($C$13-ABERTURAS!$O$9)),0))+$AZ$39)/$AZ$38</f>
        <v>0.864842475705195</v>
      </c>
      <c r="BZ3" s="10">
        <f>((IF(AND(ABERTURAS!$K$9="OK",ABERTURAS!$E$9="OPERABLE"),ABERTURAS!$Q$9+CHOOSE(ABERTURAS!$N$9,$AZ$4*$C$13,0,$AZ$4*($C$13-ABERTURAS!$O$9),$AZ$4*($C$13-ABERTURAS!$O$9)),0))+$AZ$40)/$AZ$38</f>
        <v>0.158640226628895</v>
      </c>
      <c r="CA3" s="10">
        <f>((IF(AND(ABERTURAS!$K$10="OK",ABERTURAS!$E$10="FIJA"),CHOOSE(ABERTURAS!$N$10,ABERTURAS!$O$10-$AZ$3*$C$13,ABERTURAS!$O$10,-$AZ$3*($C$13-ABERTURAS!$O$10),$C$12-$AZ$3*($C$13-ABERTURAS!$O$10)),0))+$AZ$39)/$AZ$38</f>
        <v>0.864842475705195</v>
      </c>
      <c r="CB3" s="10">
        <f>((IF(AND(ABERTURAS!$K$10="OK",ABERTURAS!$E$10="FIJA"),ABERTURAS!$Q$10+CHOOSE(ABERTURAS!$N$10,$AZ$4*$C$13,0,$AZ$4*($C$13-ABERTURAS!$O$10),$AZ$4*($C$13-ABERTURAS!$O$10)),0))+$AZ$40)/$AZ$38</f>
        <v>0.158640226628895</v>
      </c>
      <c r="CC3" s="10">
        <f>((IF(AND(ABERTURAS!$K$10="OK",ABERTURAS!$E$10="OPERABLE"),CHOOSE(ABERTURAS!$N$10,ABERTURAS!$O$10-$AZ$3*$C$13,ABERTURAS!$O$10,-$AZ$3*($C$13-ABERTURAS!$O$10),$C$12-$AZ$3*($C$13-ABERTURAS!$O$10)),0))+$AZ$39)/$AZ$38</f>
        <v>0.864842475705195</v>
      </c>
      <c r="CD3" s="10">
        <f>((IF(AND(ABERTURAS!$K$10="OK",ABERTURAS!$E$10="OPERABLE"),ABERTURAS!$Q$10+CHOOSE(ABERTURAS!$N$10,$AZ$4*$C$13,0,$AZ$4*($C$13-ABERTURAS!$O$10),$AZ$4*($C$13-ABERTURAS!$O$10)),0))+$AZ$40)/$AZ$38</f>
        <v>0.158640226628895</v>
      </c>
      <c r="CE3" s="10">
        <f>((IF(AND(ABERTURAS!$K$11="OK",ABERTURAS!$E$11="FIJA"),CHOOSE(ABERTURAS!$N$11,ABERTURAS!$O$11-$AZ$3*$C$13,ABERTURAS!$O$11,-$AZ$3*($C$13-ABERTURAS!$O$11),$C$12-$AZ$3*($C$13-ABERTURAS!$O$11)),0))+$AZ$39)/$AZ$38</f>
        <v>0.864842475705195</v>
      </c>
      <c r="CF3" s="10">
        <f>((IF(AND(ABERTURAS!$K$11="OK",ABERTURAS!$E$11="FIJA"),ABERTURAS!$Q$11+CHOOSE(ABERTURAS!$N$11,$AZ$4*$C$13,0,$AZ$4*($C$13-ABERTURAS!$O$11),$AZ$4*($C$13-ABERTURAS!$O$11)),0))+$AZ$40)/$AZ$38</f>
        <v>0.158640226628895</v>
      </c>
      <c r="CG3" s="10">
        <f>((IF(AND(ABERTURAS!$K$11="OK",ABERTURAS!$E$11="OPERABLE"),CHOOSE(ABERTURAS!$N$11,ABERTURAS!$O$11-$AZ$3*$C$13,ABERTURAS!$O$11,-$AZ$3*($C$13-ABERTURAS!$O$11),$C$12-$AZ$3*($C$13-ABERTURAS!$O$11)),0))+$AZ$39)/$AZ$38</f>
        <v>0.864842475705195</v>
      </c>
      <c r="CH3" s="10">
        <f>((IF(AND(ABERTURAS!$K$11="OK",ABERTURAS!$E$11="OPERABLE"),ABERTURAS!$Q$11+CHOOSE(ABERTURAS!$N$11,$AZ$4*$C$13,0,$AZ$4*($C$13-ABERTURAS!$O$11),$AZ$4*($C$13-ABERTURAS!$O$11)),0))+$AZ$40)/$AZ$38</f>
        <v>0.158640226628895</v>
      </c>
      <c r="CI3" s="10">
        <f>((IF(AND(ABERTURAS!$K$12="OK",ABERTURAS!$E$12="FIJA"),CHOOSE(ABERTURAS!$N$12,ABERTURAS!$O$12-$AZ$3*$C$13,ABERTURAS!$O$12,-$AZ$3*($C$13-ABERTURAS!$O$12),$C$12-$AZ$3*($C$13-ABERTURAS!$O$12)),0))+$AZ$39)/$AZ$38</f>
        <v>0.864842475705195</v>
      </c>
      <c r="CJ3" s="10">
        <f>((IF(AND(ABERTURAS!$K$12="OK",ABERTURAS!$E$12="FIJA"),ABERTURAS!$Q$12+CHOOSE(ABERTURAS!$N$12,$AZ$4*$C$13,0,$AZ$4*($C$13-ABERTURAS!$O$12),$AZ$4*($C$13-ABERTURAS!$O$12)),0))+$AZ$40)/$AZ$38</f>
        <v>0.158640226628895</v>
      </c>
      <c r="CK3" s="10">
        <f>((IF(AND(ABERTURAS!$K$12="OK",ABERTURAS!$E$12="OPERABLE"),CHOOSE(ABERTURAS!$N$12,ABERTURAS!$O$12-$AZ$3*$C$13,ABERTURAS!$O$12,-$AZ$3*($C$13-ABERTURAS!$O$12),$C$12-$AZ$3*($C$13-ABERTURAS!$O$12)),0))+$AZ$39)/$AZ$38</f>
        <v>0.864842475705195</v>
      </c>
      <c r="CL3" s="10">
        <f>((IF(AND(ABERTURAS!$K$12="OK",ABERTURAS!$E$12="OPERABLE"),ABERTURAS!$Q$12+CHOOSE(ABERTURAS!$N$12,$AZ$4*$C$13,0,$AZ$4*($C$13-ABERTURAS!$O$12),$AZ$4*($C$13-ABERTURAS!$O$12)),0))+$AZ$40)/$AZ$38</f>
        <v>0.158640226628895</v>
      </c>
      <c r="CM3" s="10">
        <f>((IF(AND(ABERTURAS!$K$13="OK",ABERTURAS!$E$13="FIJA"),CHOOSE(ABERTURAS!$N$13,ABERTURAS!$O$13-$AZ$3*$C$13,ABERTURAS!$O$13,-$AZ$3*($C$13-ABERTURAS!$O$13),$C$12-$AZ$3*($C$13-ABERTURAS!$O$13)),0))+$AZ$39)/$AZ$38</f>
        <v>0.864842475705195</v>
      </c>
      <c r="CN3" s="10">
        <f>((IF(AND(ABERTURAS!$K$13="OK",ABERTURAS!$E$13="FIJA"),ABERTURAS!$Q$13+CHOOSE(ABERTURAS!$N$13,$AZ$4*$C$13,0,$AZ$4*($C$13-ABERTURAS!$O$13),$AZ$4*($C$13-ABERTURAS!$O$13)),0))+$AZ$40)/$AZ$38</f>
        <v>0.158640226628895</v>
      </c>
      <c r="CO3" s="10">
        <f>((IF(AND(ABERTURAS!$K$13="OK",ABERTURAS!$E$13="OPERABLE"),CHOOSE(ABERTURAS!$N$13,ABERTURAS!$O$13-$AZ$3*$C$13,ABERTURAS!$O$13,-$AZ$3*($C$13-ABERTURAS!$O$13),$C$12-$AZ$3*($C$13-ABERTURAS!$O$13)),0))+$AZ$39)/$AZ$38</f>
        <v>0.864842475705195</v>
      </c>
      <c r="CP3" s="10">
        <f>((IF(AND(ABERTURAS!$K$13="OK",ABERTURAS!$E$13="OPERABLE"),ABERTURAS!$Q$13+CHOOSE(ABERTURAS!$N$13,$AZ$4*$C$13,0,$AZ$4*($C$13-ABERTURAS!$O$13),$AZ$4*($C$13-ABERTURAS!$O$13)),0))+$AZ$40)/$AZ$38</f>
        <v>0.158640226628895</v>
      </c>
      <c r="CQ3" s="10">
        <f>((IF(AND(ABERTURAS!$K$14="OK",ABERTURAS!$E$14="FIJA"),CHOOSE(ABERTURAS!$N$14,ABERTURAS!$O$14-$AZ$3*$C$13,ABERTURAS!$O$14,-$AZ$3*($C$13-ABERTURAS!$O$14),$C$12-$AZ$3*($C$13-ABERTURAS!$O$14)),0))+$AZ$39)/$AZ$38</f>
        <v>0.864842475705195</v>
      </c>
      <c r="CR3" s="10">
        <f>((IF(AND(ABERTURAS!$K$14="OK",ABERTURAS!$E$14="FIJA"),ABERTURAS!$Q$14+CHOOSE(ABERTURAS!$N$14,$AZ$4*$C$13,0,$AZ$4*($C$13-ABERTURAS!$O$14),$AZ$4*($C$13-ABERTURAS!$O$14)),0))+$AZ$40)/$AZ$38</f>
        <v>0.158640226628895</v>
      </c>
      <c r="CS3" s="10">
        <f>((IF(AND(ABERTURAS!$K$14="OK",ABERTURAS!$E$14="OPERABLE"),CHOOSE(ABERTURAS!$N$14,ABERTURAS!$O$14-$AZ$3*$C$13,ABERTURAS!$O$14,-$AZ$3*($C$13-ABERTURAS!$O$14),$C$12-$AZ$3*($C$13-ABERTURAS!$O$14)),0))+$AZ$39)/$AZ$38</f>
        <v>0.864842475705195</v>
      </c>
      <c r="CT3" s="10">
        <f>((IF(AND(ABERTURAS!$K$14="OK",ABERTURAS!$E$14="OPERABLE"),ABERTURAS!$Q$14+CHOOSE(ABERTURAS!$N$14,$AZ$4*$C$13,0,$AZ$4*($C$13-ABERTURAS!$O$14),$AZ$4*($C$13-ABERTURAS!$O$14)),0))+$AZ$40)/$AZ$38</f>
        <v>0.158640226628895</v>
      </c>
      <c r="CU3" s="10">
        <f>((IF(AND(ABERTURAS!$K$15="OK",ABERTURAS!$E$15="FIJA"),CHOOSE(ABERTURAS!$N$15,ABERTURAS!$O$15-$AZ$3*$C$13,ABERTURAS!$O$15,-$AZ$3*($C$13-ABERTURAS!$O$15),$C$12-$AZ$3*($C$13-ABERTURAS!$O$15)),0))+$AZ$39)/$AZ$38</f>
        <v>0.864842475705195</v>
      </c>
      <c r="CV3" s="10">
        <f>((IF(AND(ABERTURAS!$K$15="OK",ABERTURAS!$E$15="FIJA"),ABERTURAS!$Q$15+CHOOSE(ABERTURAS!$N$15,$AZ$4*$C$13,0,$AZ$4*($C$13-ABERTURAS!$O$15),$AZ$4*($C$13-ABERTURAS!$O$15)),0))+$AZ$40)/$AZ$38</f>
        <v>0.158640226628895</v>
      </c>
      <c r="CW3" s="10">
        <f>((IF(AND(ABERTURAS!$K$15="OK",ABERTURAS!$E$15="OPERABLE"),CHOOSE(ABERTURAS!$N$15,ABERTURAS!$O$15-$AZ$3*$C$13,ABERTURAS!$O$15,-$AZ$3*($C$13-ABERTURAS!$O$15),$C$12-$AZ$3*($C$13-ABERTURAS!$O$15)),0))+$AZ$39)/$AZ$38</f>
        <v>0.864842475705195</v>
      </c>
      <c r="CX3" s="10">
        <f>((IF(AND(ABERTURAS!$K$15="OK",ABERTURAS!$E$15="OPERABLE"),ABERTURAS!$Q$15+CHOOSE(ABERTURAS!$N$15,$AZ$4*$C$13,0,$AZ$4*($C$13-ABERTURAS!$O$15),$AZ$4*($C$13-ABERTURAS!$O$15)),0))+$AZ$40)/$AZ$38</f>
        <v>0.158640226628895</v>
      </c>
      <c r="CY3" s="10">
        <f>((IF(AND(ABERTURAS!$K$16="OK",ABERTURAS!$E$16="FIJA"),CHOOSE(ABERTURAS!$N$16,ABERTURAS!$O$16-$AZ$3*$C$13,ABERTURAS!$O$16,-$AZ$3*($C$13-ABERTURAS!$O$16),$C$12-$AZ$3*($C$13-ABERTURAS!$O$16)),0))+$AZ$39)/$AZ$38</f>
        <v>0.864842475705195</v>
      </c>
      <c r="CZ3" s="10">
        <f>((IF(AND(ABERTURAS!$K$16="OK",ABERTURAS!$E$16="FIJA"),ABERTURAS!$Q$16+CHOOSE(ABERTURAS!$N$16,$AZ$4*$C$13,0,$AZ$4*($C$13-ABERTURAS!$O$16),$AZ$4*($C$13-ABERTURAS!$O$16)),0))+$AZ$40)/$AZ$38</f>
        <v>0.158640226628895</v>
      </c>
      <c r="DA3" s="10">
        <f>((IF(AND(ABERTURAS!$K$16="OK",ABERTURAS!$E$16="OPERABLE"),CHOOSE(ABERTURAS!$N$16,ABERTURAS!$O$16-$AZ$3*$C$13,ABERTURAS!$O$16,-$AZ$3*($C$13-ABERTURAS!$O$16),$C$12-$AZ$3*($C$13-ABERTURAS!$O$16)),0))+$AZ$39)/$AZ$38</f>
        <v>0.864842475705195</v>
      </c>
      <c r="DB3" s="10">
        <f>((IF(AND(ABERTURAS!$K$16="OK",ABERTURAS!$E$16="OPERABLE"),ABERTURAS!$Q$16+CHOOSE(ABERTURAS!$N$16,$AZ$4*$C$13,0,$AZ$4*($C$13-ABERTURAS!$O$16),$AZ$4*($C$13-ABERTURAS!$O$16)),0))+$AZ$40)/$AZ$38</f>
        <v>0.158640226628895</v>
      </c>
      <c r="DC3" s="10">
        <f>((IF(AND(ABERTURAS!$K$17="OK",ABERTURAS!$E$17="FIJA"),CHOOSE(ABERTURAS!$N$17,ABERTURAS!$O$17-$AZ$3*$C$13,ABERTURAS!$O$17,-$AZ$3*($C$13-ABERTURAS!$O$17),$C$12-$AZ$3*($C$13-ABERTURAS!$O$17)),0))+$AZ$39)/$AZ$38</f>
        <v>0.864842475705195</v>
      </c>
      <c r="DD3" s="10">
        <f>((IF(AND(ABERTURAS!$K$17="OK",ABERTURAS!$E$17="FIJA"),ABERTURAS!$Q$17+CHOOSE(ABERTURAS!$N$17,$AZ$4*$C$13,0,$AZ$4*($C$13-ABERTURAS!$O$17),$AZ$4*($C$13-ABERTURAS!$O$17)),0))+$AZ$40)/$AZ$38</f>
        <v>0.158640226628895</v>
      </c>
      <c r="DE3" s="10">
        <f>((IF(AND(ABERTURAS!$K$17="OK",ABERTURAS!$E$17="OPERABLE"),CHOOSE(ABERTURAS!$N$17,ABERTURAS!$O$17-$AZ$3*$C$13,ABERTURAS!$O$17,-$AZ$3*($C$13-ABERTURAS!$O$17),$C$12-$AZ$3*($C$13-ABERTURAS!$O$17)),0))+$AZ$39)/$AZ$38</f>
        <v>0.864842475705195</v>
      </c>
      <c r="DF3" s="10">
        <f>((IF(AND(ABERTURAS!$K$17="OK",ABERTURAS!$E$17="OPERABLE"),ABERTURAS!$Q$17+CHOOSE(ABERTURAS!$N$17,$AZ$4*$C$13,0,$AZ$4*($C$13-ABERTURAS!$O$17),$AZ$4*($C$13-ABERTURAS!$O$17)),0))+$AZ$40)/$AZ$38</f>
        <v>0.158640226628895</v>
      </c>
      <c r="DG3" s="10">
        <f>((IF(AND(ABERTURAS!$K$18="OK",ABERTURAS!$E$18="FIJA"),CHOOSE(ABERTURAS!$N$18,ABERTURAS!$O$18-$AZ$3*$C$13,ABERTURAS!$O$18,-$AZ$3*($C$13-ABERTURAS!$O$18),$C$12-$AZ$3*($C$13-ABERTURAS!$O$18)),0))+$AZ$39)/$AZ$38</f>
        <v>0.864842475705195</v>
      </c>
      <c r="DH3" s="10">
        <f>((IF(AND(ABERTURAS!$K$18="OK",ABERTURAS!$E$18="FIJA"),ABERTURAS!$Q$18+CHOOSE(ABERTURAS!$N$18,$AZ$4*$C$13,0,$AZ$4*($C$13-ABERTURAS!$O$18),$AZ$4*($C$13-ABERTURAS!$O$18)),0))+$AZ$40)/$AZ$38</f>
        <v>0.158640226628895</v>
      </c>
      <c r="DI3" s="10">
        <f>((IF(AND(ABERTURAS!$K$18="OK",ABERTURAS!$E$18="OPERABLE"),CHOOSE(ABERTURAS!$N$18,ABERTURAS!$O$18-$AZ$3*$C$13,ABERTURAS!$O$18,-$AZ$3*($C$13-ABERTURAS!$O$18),$C$12-$AZ$3*($C$13-ABERTURAS!$O$18)),0))+$AZ$39)/$AZ$38</f>
        <v>0.864842475705195</v>
      </c>
      <c r="DJ3" s="10">
        <f>((IF(AND(ABERTURAS!$K$18="OK",ABERTURAS!$E$18="OPERABLE"),ABERTURAS!$Q$18+CHOOSE(ABERTURAS!$N$18,$AZ$4*$C$13,0,$AZ$4*($C$13-ABERTURAS!$O$18),$AZ$4*($C$13-ABERTURAS!$O$18)),0))+$AZ$40)/$AZ$38</f>
        <v>0.158640226628895</v>
      </c>
      <c r="DK3" s="10">
        <f>((IF(AND(ABERTURAS!$K$19="OK",ABERTURAS!$E$19="FIJA"),CHOOSE(ABERTURAS!$N$19,ABERTURAS!$O$19-$AZ$3*$C$13,ABERTURAS!$O$19,-$AZ$3*($C$13-ABERTURAS!$O$19),$C$12-$AZ$3*($C$13-ABERTURAS!$O$19)),0))+$AZ$39)/$AZ$38</f>
        <v>0.864842475705195</v>
      </c>
      <c r="DL3" s="10">
        <f>((IF(AND(ABERTURAS!$K$19="OK",ABERTURAS!$E$19="FIJA"),ABERTURAS!$Q$19+CHOOSE(ABERTURAS!$N$19,$AZ$4*$C$13,0,$AZ$4*($C$13-ABERTURAS!$O$19),$AZ$4*($C$13-ABERTURAS!$O$19)),0))+$AZ$40)/$AZ$38</f>
        <v>0.158640226628895</v>
      </c>
      <c r="DM3" s="10">
        <f>((IF(AND(ABERTURAS!$K$19="OK",ABERTURAS!$E$19="OPERABLE"),CHOOSE(ABERTURAS!$N$19,ABERTURAS!$O$19-$AZ$3*$C$13,ABERTURAS!$O$19,-$AZ$3*($C$13-ABERTURAS!$O$19),$C$12-$AZ$3*($C$13-ABERTURAS!$O$19)),0))+$AZ$39)/$AZ$38</f>
        <v>0.864842475705195</v>
      </c>
      <c r="DN3" s="10">
        <f>((IF(AND(ABERTURAS!$K$19="OK",ABERTURAS!$E$19="OPERABLE"),ABERTURAS!$Q$19+CHOOSE(ABERTURAS!$N$19,$AZ$4*$C$13,0,$AZ$4*($C$13-ABERTURAS!$O$19),$AZ$4*($C$13-ABERTURAS!$O$19)),0))+$AZ$40)/$AZ$38</f>
        <v>0.158640226628895</v>
      </c>
      <c r="DO3" s="10">
        <f>((IF(AND(ABERTURAS!$K$20="OK",ABERTURAS!$E$20="FIJA"),CHOOSE(ABERTURAS!$N$20,ABERTURAS!$O$20-$AZ$3*$C$13,ABERTURAS!$O$20,-$AZ$3*($C$13-ABERTURAS!$O$20),$C$12-$AZ$3*($C$13-ABERTURAS!$O$20)),0))+$AZ$39)/$AZ$38</f>
        <v>0.864842475705195</v>
      </c>
      <c r="DP3" s="10">
        <f>((IF(AND(ABERTURAS!$K$20="OK",ABERTURAS!$E$20="FIJA"),ABERTURAS!$Q$20+CHOOSE(ABERTURAS!$N$20,$AZ$4*$C$13,0,$AZ$4*($C$13-ABERTURAS!$O$20),$AZ$4*($C$13-ABERTURAS!$O$20)),0))+$AZ$40)/$AZ$38</f>
        <v>0.158640226628895</v>
      </c>
      <c r="DQ3" s="10">
        <f>((IF(AND(ABERTURAS!$K$20="OK",ABERTURAS!$E$20="OPERABLE"),CHOOSE(ABERTURAS!$N$20,ABERTURAS!$O$20-$AZ$3*$C$13,ABERTURAS!$O$20,-$AZ$3*($C$13-ABERTURAS!$O$20),$C$12-$AZ$3*($C$13-ABERTURAS!$O$20)),0))+$AZ$39)/$AZ$38</f>
        <v>0.864842475705195</v>
      </c>
      <c r="DR3" s="10">
        <f>((IF(AND(ABERTURAS!$K$20="OK",ABERTURAS!$E$20="OPERABLE"),ABERTURAS!$Q$20+CHOOSE(ABERTURAS!$N$20,$AZ$4*$C$13,0,$AZ$4*($C$13-ABERTURAS!$O$20),$AZ$4*($C$13-ABERTURAS!$O$20)),0))+$AZ$40)/$AZ$38</f>
        <v>0.158640226628895</v>
      </c>
      <c r="DS3" s="10">
        <f>((IF(AND(ABERTURAS!$K$21="OK",ABERTURAS!$E$21="FIJA"),CHOOSE(ABERTURAS!$N$21,ABERTURAS!$O$21-$AZ$3*$C$13,ABERTURAS!$O$21,-$AZ$3*($C$13-ABERTURAS!$O$21),$C$12-$AZ$3*($C$13-ABERTURAS!$O$21)),0))+$AZ$39)/$AZ$38</f>
        <v>0.864842475705195</v>
      </c>
      <c r="DT3" s="10">
        <f>((IF(AND(ABERTURAS!$K$21="OK",ABERTURAS!$E$21="FIJA"),ABERTURAS!$Q$21+CHOOSE(ABERTURAS!$N$21,$AZ$4*$C$13,0,$AZ$4*($C$13-ABERTURAS!$O$21),$AZ$4*($C$13-ABERTURAS!$O$21)),0))+$AZ$40)/$AZ$38</f>
        <v>0.158640226628895</v>
      </c>
      <c r="DU3" s="10">
        <f>((IF(AND(ABERTURAS!$K$21="OK",ABERTURAS!$E$21="OPERABLE"),CHOOSE(ABERTURAS!$N$21,ABERTURAS!$O$21-$AZ$3*$C$13,ABERTURAS!$O$21,-$AZ$3*($C$13-ABERTURAS!$O$21),$C$12-$AZ$3*($C$13-ABERTURAS!$O$21)),0))+$AZ$39)/$AZ$38</f>
        <v>0.864842475705195</v>
      </c>
      <c r="DV3" s="10">
        <f>((IF(AND(ABERTURAS!$K$21="OK",ABERTURAS!$E$21="OPERABLE"),ABERTURAS!$Q$21+CHOOSE(ABERTURAS!$N$21,$AZ$4*$C$13,0,$AZ$4*($C$13-ABERTURAS!$O$21),$AZ$4*($C$13-ABERTURAS!$O$21)),0))+$AZ$40)/$AZ$38</f>
        <v>0.158640226628895</v>
      </c>
      <c r="DW3" s="10">
        <f>((IF(AND(ABERTURAS!$K$22="OK",ABERTURAS!$E$22="FIJA"),CHOOSE(ABERTURAS!$N$22,ABERTURAS!$O$22-$AZ$3*$C$13,ABERTURAS!$O$22,-$AZ$3*($C$13-ABERTURAS!$O$22),$C$12-$AZ$3*($C$13-ABERTURAS!$O$22)),0))+$AZ$39)/$AZ$38</f>
        <v>0.864842475705195</v>
      </c>
      <c r="DX3" s="10">
        <f>((IF(AND(ABERTURAS!$K$22="OK",ABERTURAS!$E$22="FIJA"),ABERTURAS!$Q$22+CHOOSE(ABERTURAS!$N$22,$AZ$4*$C$13,0,$AZ$4*($C$13-ABERTURAS!$O$22),$AZ$4*($C$13-ABERTURAS!$O$22)),0))+$AZ$40)/$AZ$38</f>
        <v>0.158640226628895</v>
      </c>
      <c r="DY3" s="10">
        <f>((IF(AND(ABERTURAS!$K$22="OK",ABERTURAS!$E$22="OPERABLE"),CHOOSE(ABERTURAS!$N$22,ABERTURAS!$O$22-$AZ$3*$C$13,ABERTURAS!$O$22,-$AZ$3*($C$13-ABERTURAS!$O$22),$C$12-$AZ$3*($C$13-ABERTURAS!$O$22)),0))+$AZ$39)/$AZ$38</f>
        <v>0.864842475705195</v>
      </c>
      <c r="DZ3" s="10">
        <f>((IF(AND(ABERTURAS!$K$22="OK",ABERTURAS!$E$22="OPERABLE"),ABERTURAS!$Q$22+CHOOSE(ABERTURAS!$N$22,$AZ$4*$C$13,0,$AZ$4*($C$13-ABERTURAS!$O$22),$AZ$4*($C$13-ABERTURAS!$O$22)),0))+$AZ$40)/$AZ$38</f>
        <v>0.158640226628895</v>
      </c>
      <c r="EA3" s="10">
        <f>((IF(AND(ABERTURAS!$K$23="OK",ABERTURAS!$E$23="FIJA"),CHOOSE(ABERTURAS!$N$23,ABERTURAS!$O$23-$AZ$3*$C$13,ABERTURAS!$O$23,-$AZ$3*($C$13-ABERTURAS!$O$23),$C$12-$AZ$3*($C$13-ABERTURAS!$O$23)),0))+$AZ$39)/$AZ$38</f>
        <v>0.864842475705195</v>
      </c>
      <c r="EB3" s="10">
        <f>((IF(AND(ABERTURAS!$K$23="OK",ABERTURAS!$E$23="FIJA"),ABERTURAS!$Q$23+CHOOSE(ABERTURAS!$N$23,$AZ$4*$C$13,0,$AZ$4*($C$13-ABERTURAS!$O$23),$AZ$4*($C$13-ABERTURAS!$O$23)),0))+$AZ$40)/$AZ$38</f>
        <v>0.158640226628895</v>
      </c>
      <c r="EC3" s="10">
        <f>((IF(AND(ABERTURAS!$K$23="OK",ABERTURAS!$E$23="OPERABLE"),CHOOSE(ABERTURAS!$N$23,ABERTURAS!$O$23-$AZ$3*$C$13,ABERTURAS!$O$23,-$AZ$3*($C$13-ABERTURAS!$O$23),$C$12-$AZ$3*($C$13-ABERTURAS!$O$23)),0))+$AZ$39)/$AZ$38</f>
        <v>0.864842475705195</v>
      </c>
      <c r="ED3" s="10">
        <f>((IF(AND(ABERTURAS!$K$23="OK",ABERTURAS!$E$23="OPERABLE"),ABERTURAS!$Q$23+CHOOSE(ABERTURAS!$N$23,$AZ$4*$C$13,0,$AZ$4*($C$13-ABERTURAS!$O$23),$AZ$4*($C$13-ABERTURAS!$O$23)),0))+$AZ$40)/$AZ$38</f>
        <v>0.158640226628895</v>
      </c>
      <c r="EE3" s="10">
        <f>((IF(AND(ABERTURAS!$K$24="OK",ABERTURAS!$E$24="FIJA"),CHOOSE(ABERTURAS!$N$24,ABERTURAS!$O$24-$AZ$3*$C$13,ABERTURAS!$O$24,-$AZ$3*($C$13-ABERTURAS!$O$24),$C$12-$AZ$3*($C$13-ABERTURAS!$O$24)),0))+$AZ$39)/$AZ$38</f>
        <v>0.864842475705195</v>
      </c>
      <c r="EF3" s="10">
        <f>((IF(AND(ABERTURAS!$K$24="OK",ABERTURAS!$E$24="FIJA"),ABERTURAS!$Q$24+CHOOSE(ABERTURAS!$N$24,$AZ$4*$C$13,0,$AZ$4*($C$13-ABERTURAS!$O$24),$AZ$4*($C$13-ABERTURAS!$O$24)),0))+$AZ$40)/$AZ$38</f>
        <v>0.158640226628895</v>
      </c>
      <c r="EG3" s="10">
        <f>((IF(AND(ABERTURAS!$K$24="OK",ABERTURAS!$E$24="OPERABLE"),CHOOSE(ABERTURAS!$N$24,ABERTURAS!$O$24-$AZ$3*$C$13,ABERTURAS!$O$24,-$AZ$3*($C$13-ABERTURAS!$O$24),$C$12-$AZ$3*($C$13-ABERTURAS!$O$24)),0))+$AZ$39)/$AZ$38</f>
        <v>0.864842475705195</v>
      </c>
      <c r="EH3" s="10">
        <f>((IF(AND(ABERTURAS!$K$24="OK",ABERTURAS!$E$24="OPERABLE"),ABERTURAS!$Q$24+CHOOSE(ABERTURAS!$N$24,$AZ$4*$C$13,0,$AZ$4*($C$13-ABERTURAS!$O$24),$AZ$4*($C$13-ABERTURAS!$O$24)),0))+$AZ$40)/$AZ$38</f>
        <v>0.158640226628895</v>
      </c>
      <c r="EI3" s="10">
        <f>((IF(AND(ABERTURAS!$K$25="OK",ABERTURAS!$E$25="FIJA"),CHOOSE(ABERTURAS!$N$25,ABERTURAS!$O$25-$AZ$3*$C$13,ABERTURAS!$O$25,-$AZ$3*($C$13-ABERTURAS!$O$25),$C$12-$AZ$3*($C$13-ABERTURAS!$O$25)),0))+$AZ$39)/$AZ$38</f>
        <v>0.864842475705195</v>
      </c>
      <c r="EJ3" s="10">
        <f>((IF(AND(ABERTURAS!$K$25="OK",ABERTURAS!$E$25="FIJA"),ABERTURAS!$Q$25+CHOOSE(ABERTURAS!$N$25,$AZ$4*$C$13,0,$AZ$4*($C$13-ABERTURAS!$O$25),$AZ$4*($C$13-ABERTURAS!$O$25)),0))+$AZ$40)/$AZ$38</f>
        <v>0.158640226628895</v>
      </c>
      <c r="EK3" s="10">
        <f>((IF(AND(ABERTURAS!$K$25="OK",ABERTURAS!$E$25="OPERABLE"),CHOOSE(ABERTURAS!$N$25,ABERTURAS!$O$25-$AZ$3*$C$13,ABERTURAS!$O$25,-$AZ$3*($C$13-ABERTURAS!$O$25),$C$12-$AZ$3*($C$13-ABERTURAS!$O$25)),0))+$AZ$39)/$AZ$38</f>
        <v>0.864842475705195</v>
      </c>
      <c r="EL3" s="10">
        <f>((IF(AND(ABERTURAS!$K$25="OK",ABERTURAS!$E$25="OPERABLE"),ABERTURAS!$Q$25+CHOOSE(ABERTURAS!$N$25,$AZ$4*$C$13,0,$AZ$4*($C$13-ABERTURAS!$O$25),$AZ$4*($C$13-ABERTURAS!$O$25)),0))+$AZ$40)/$AZ$38</f>
        <v>0.158640226628895</v>
      </c>
      <c r="EM3" s="10">
        <f>((IF(AND(ABERTURAS!$K$26="OK",ABERTURAS!$E$26="FIJA"),CHOOSE(ABERTURAS!$N$26,ABERTURAS!$O$26-$AZ$3*$C$13,ABERTURAS!$O$26,-$AZ$3*($C$13-ABERTURAS!$O$26),$C$12-$AZ$3*($C$13-ABERTURAS!$O$26)),0))+$AZ$39)/$AZ$38</f>
        <v>0.864842475705195</v>
      </c>
      <c r="EN3" s="10">
        <f>((IF(AND(ABERTURAS!$K$26="OK",ABERTURAS!$E$26="FIJA"),ABERTURAS!$Q$26+CHOOSE(ABERTURAS!$N$26,$AZ$4*$C$13,0,$AZ$4*($C$13-ABERTURAS!$O$26),$AZ$4*($C$13-ABERTURAS!$O$26)),0))+$AZ$40)/$AZ$38</f>
        <v>0.158640226628895</v>
      </c>
      <c r="EO3" s="10">
        <f>((IF(AND(ABERTURAS!$K$26="OK",ABERTURAS!$E$26="OPERABLE"),CHOOSE(ABERTURAS!$N$26,ABERTURAS!$O$26-$AZ$3*$C$13,ABERTURAS!$O$26,-$AZ$3*($C$13-ABERTURAS!$O$26),$C$12-$AZ$3*($C$13-ABERTURAS!$O$26)),0))+$AZ$39)/$AZ$38</f>
        <v>0.864842475705195</v>
      </c>
      <c r="EP3" s="10">
        <f>((IF(AND(ABERTURAS!$K$26="OK",ABERTURAS!$E$26="OPERABLE"),ABERTURAS!$Q$26+CHOOSE(ABERTURAS!$N$26,$AZ$4*$C$13,0,$AZ$4*($C$13-ABERTURAS!$O$26),$AZ$4*($C$13-ABERTURAS!$O$26)),0))+$AZ$40)/$AZ$38</f>
        <v>0.158640226628895</v>
      </c>
    </row>
    <row r="4" spans="2:146" ht="6" customHeight="1" x14ac:dyDescent="0.3">
      <c r="AA4" s="10">
        <f>$C$23*1/8</f>
        <v>2</v>
      </c>
      <c r="AB4" s="10">
        <f>IF($C$14="PLANO",$C$17,IF($C$14="DOS AGUAS",$C$17+($C$18-$C$17)*(1-ABS(2*($AA$4)/$C$23-1)),IF($C$14="UN AGUA",IF(N($C$25)=0,$C$18-($C$18-$C$17)*($AA$4)/$C$23,$C$17+($C$18-$C$17)*($AA$4)/$C$23),$C$17+4*($C$18-$C$17)*($AA$4)/$C$23*(1-($AA$4)/$C$23))))</f>
        <v>10.52</v>
      </c>
      <c r="AE4" s="10">
        <f>ABERTURAS!$D$51</f>
        <v>10.08</v>
      </c>
      <c r="AF4" s="10">
        <f>0</f>
        <v>0</v>
      </c>
      <c r="AG4" s="10">
        <f>((($AZ$5+$AE4*($C$12-2*$AZ$5)/$C$12)-$AZ$3*$C$13)+$AZ$39)/$AZ$38</f>
        <v>1.00837410932181</v>
      </c>
      <c r="AH4" s="10">
        <f>((IF($AF4&gt;0,$AF4-$AZ$5,0)+$AZ$4*$C$13)+$AZ$40)/$AZ$38</f>
        <v>0.35505193578848</v>
      </c>
      <c r="AI4" s="10">
        <f>ABERTURAS!$D$52</f>
        <v>10.08</v>
      </c>
      <c r="AJ4" s="10">
        <f>0</f>
        <v>0</v>
      </c>
      <c r="AK4" s="10">
        <f>((($AZ$5+$AI4*($C$12-2*$AZ$5)/$C$12))+$AZ$39)/$AZ$38</f>
        <v>1.32565456257961</v>
      </c>
      <c r="AL4" s="10">
        <f>((IF($AJ4&gt;0,$AJ4-$AZ$5,0))+$AZ$40)/$AZ$38</f>
        <v>0.158640226628895</v>
      </c>
      <c r="AM4" s="10">
        <f>ABERTURAS!$D$53</f>
        <v>16</v>
      </c>
      <c r="AN4" s="10">
        <f>0</f>
        <v>0</v>
      </c>
      <c r="AO4" s="10">
        <f>((-$AZ$3*($C$13-($AZ$5+$AM4*($C$13-2*$AZ$5)/$C$13)))+$AZ$39)/$AZ$38</f>
        <v>0.85849686664004</v>
      </c>
      <c r="AP4" s="10">
        <f>((IF($AN4&gt;0,$AN4-$AZ$5,0)+$AZ$4*($C$13-($AZ$5+$AM4*($C$13-2*$AZ$5)/$C$13)))+$AZ$40)/$AZ$38</f>
        <v>0.162568460812087</v>
      </c>
      <c r="AQ4" s="10">
        <f>ABERTURAS!$D$54</f>
        <v>16</v>
      </c>
      <c r="AR4" s="10">
        <f>0</f>
        <v>0</v>
      </c>
      <c r="AS4" s="10">
        <f>(($C$12-$AZ$3*($C$13-($AZ$5+$AQ4*($C$13-2*$AZ$5)/$C$13)))+$AZ$39)/$AZ$38</f>
        <v>1.33441754652673</v>
      </c>
      <c r="AT4" s="10">
        <f>((IF($AR4&gt;0,$AR4-$AZ$5,0)+$AZ$4*($C$13-($AZ$5+$AQ4*($C$13-2*$AZ$5)/$C$13)))+$AZ$40)/$AZ$38</f>
        <v>0.162568460812087</v>
      </c>
      <c r="AU4" s="10">
        <f>((IF($AC$3="Z",0,$AA$4)-$AZ$3*($C$13-IF($AC$3="Z",$AA$4,0)))+$AZ$39)/$AZ$38</f>
        <v>0.587222079104629</v>
      </c>
      <c r="AV4" s="10">
        <f>(($AB$4+$AZ$4*($C$13-IF($AC$3="Z",$AA$4,0)))+$AZ$40)/$AZ$38</f>
        <v>0.827195467422096</v>
      </c>
      <c r="AY4" s="9" t="inlineStr">
        <is>
          <t>ky</t>
        </is>
      </c>
      <c r="AZ4" s="11">
        <f>0.26</f>
        <v>0.26</v>
      </c>
      <c r="BA4" s="10">
        <f>(($AZ$15)+$AZ$39)/$AZ$38</f>
        <v>0.785522362390748</v>
      </c>
      <c r="BB4" s="10">
        <f>(($AZ$16)+$AZ$40)/$AZ$38</f>
        <v>0.841359773371105</v>
      </c>
      <c r="BC4" s="10">
        <f>(($AZ$19)+$AZ$39)/$AZ$38</f>
        <v>1.10280281564854</v>
      </c>
      <c r="BD4" s="10">
        <f>(($AZ$20)+$AZ$40)/$AZ$38</f>
        <v>0.158640226628895</v>
      </c>
      <c r="BE4" s="10">
        <f>(($AZ$23)+$AZ$39)/$AZ$38</f>
        <v>0.7062022490763</v>
      </c>
      <c r="BF4" s="10">
        <f>(($AZ$24)+$AZ$40)/$AZ$38</f>
        <v>0.256846081208687</v>
      </c>
      <c r="BG4" s="10">
        <f>(($AZ$27)+$AZ$39)/$AZ$38</f>
        <v>1.18212292896299</v>
      </c>
      <c r="BH4" s="10">
        <f>(($AZ$28)+$AZ$40)/$AZ$38</f>
        <v>0.724268177525968</v>
      </c>
      <c r="BI4" s="10">
        <f>(($AZ$31+$AZ$12)+$AZ$39)/$AZ$38</f>
        <v>1.57079148420378</v>
      </c>
      <c r="BJ4" s="10">
        <f>(($AZ$32)+$AZ$40)/$AZ$38</f>
        <v>0.237960339943343</v>
      </c>
      <c r="BK4" s="10">
        <f>(($AZ$31)+$AZ$39)/$AZ$38</f>
        <v>1.49940338222078</v>
      </c>
      <c r="BL4" s="10">
        <f>(($AZ$32+$AZ$12)+$AZ$40)/$AZ$38</f>
        <v>0.309348441926346</v>
      </c>
      <c r="BM4" s="10">
        <f>(($AZ$31+$AZ$12*$AZ$3/SQRT($AZ$3^2+$AZ$4^2))+$AZ$39)/$AZ$38</f>
        <v>1.56010219722512</v>
      </c>
      <c r="BN4" s="10">
        <f>(($AZ$32-$AZ$12*$AZ$4/SQRT($AZ$3^2+$AZ$4^2))+$AZ$40)/$AZ$38</f>
        <v>0.200384883035891</v>
      </c>
      <c r="BO4" s="10">
        <f>((IF(AND(ABERTURAS!$K$7="OK",ABERTURAS!$E$7="FIJA"),CHOOSE(ABERTURAS!$N$7,ABERTURAS!$P$7-$AZ$3*$C$13,ABERTURAS!$P$7,-$AZ$3*($C$13-ABERTURAS!$P$7),$C$12-$AZ$3*($C$13-ABERTURAS!$P$7)),0))+$AZ$39)/$AZ$38</f>
        <v>0.864842475705195</v>
      </c>
      <c r="BP4" s="10">
        <f>((IF(AND(ABERTURAS!$K$7="OK",ABERTURAS!$E$7="FIJA"),ABERTURAS!$Q$7+CHOOSE(ABERTURAS!$N$7,$AZ$4*$C$13,0,$AZ$4*($C$13-ABERTURAS!$P$7),$AZ$4*($C$13-ABERTURAS!$P$7)),0))+$AZ$40)/$AZ$38</f>
        <v>0.158640226628895</v>
      </c>
      <c r="BQ4" s="10">
        <f>((IF(AND(ABERTURAS!$K$7="OK",ABERTURAS!$E$7="OPERABLE"),CHOOSE(ABERTURAS!$N$7,ABERTURAS!$P$7-$AZ$3*$C$13,ABERTURAS!$P$7,-$AZ$3*($C$13-ABERTURAS!$P$7),$C$12-$AZ$3*($C$13-ABERTURAS!$P$7)),0))+$AZ$39)/$AZ$38</f>
        <v>0.639342003561664</v>
      </c>
      <c r="BR4" s="10">
        <f>((IF(AND(ABERTURAS!$K$7="OK",ABERTURAS!$E$7="OPERABLE"),ABERTURAS!$Q$7+CHOOSE(ABERTURAS!$N$7,$AZ$4*$C$13,0,$AZ$4*($C$13-ABERTURAS!$P$7),$AZ$4*($C$13-ABERTURAS!$P$7)),0))+$AZ$40)/$AZ$38</f>
        <v>0.35505193578848</v>
      </c>
      <c r="BS4" s="10">
        <f>((IF(AND(ABERTURAS!$K$8="OK",ABERTURAS!$E$8="FIJA"),CHOOSE(ABERTURAS!$N$8,ABERTURAS!$P$8-$AZ$3*$C$13,ABERTURAS!$P$8,-$AZ$3*($C$13-ABERTURAS!$P$8),$C$12-$AZ$3*($C$13-ABERTURAS!$P$8)),0))+$AZ$39)/$AZ$38</f>
        <v>0.864842475705195</v>
      </c>
      <c r="BT4" s="10">
        <f>((IF(AND(ABERTURAS!$K$8="OK",ABERTURAS!$E$8="FIJA"),ABERTURAS!$Q$8+CHOOSE(ABERTURAS!$N$8,$AZ$4*$C$13,0,$AZ$4*($C$13-ABERTURAS!$P$8),$AZ$4*($C$13-ABERTURAS!$P$8)),0))+$AZ$40)/$AZ$38</f>
        <v>0.158640226628895</v>
      </c>
      <c r="BU4" s="10">
        <f>((IF(AND(ABERTURAS!$K$8="OK",ABERTURAS!$E$8="OPERABLE"),CHOOSE(ABERTURAS!$N$8,ABERTURAS!$P$8-$AZ$3*$C$13,ABERTURAS!$P$8,-$AZ$3*($C$13-ABERTURAS!$P$8),$C$12-$AZ$3*($C$13-ABERTURAS!$P$8)),0))+$AZ$39)/$AZ$38</f>
        <v>0.905848141427575</v>
      </c>
      <c r="BV4" s="10">
        <f>((IF(AND(ABERTURAS!$K$8="OK",ABERTURAS!$E$8="OPERABLE"),ABERTURAS!$Q$8+CHOOSE(ABERTURAS!$N$8,$AZ$4*$C$13,0,$AZ$4*($C$13-ABERTURAS!$P$8),$AZ$4*($C$13-ABERTURAS!$P$8)),0))+$AZ$40)/$AZ$38</f>
        <v>0.35505193578848</v>
      </c>
      <c r="BW4" s="10">
        <f>((IF(AND(ABERTURAS!$K$9="OK",ABERTURAS!$E$9="FIJA"),CHOOSE(ABERTURAS!$N$9,ABERTURAS!$P$9-$AZ$3*$C$13,ABERTURAS!$P$9,-$AZ$3*($C$13-ABERTURAS!$P$9),$C$12-$AZ$3*($C$13-ABERTURAS!$P$9)),0))+$AZ$39)/$AZ$38</f>
        <v>1.34076315559188</v>
      </c>
      <c r="BX4" s="10">
        <f>((IF(AND(ABERTURAS!$K$9="OK",ABERTURAS!$E$9="FIJA"),ABERTURAS!$Q$9+CHOOSE(ABERTURAS!$N$9,$AZ$4*$C$13,0,$AZ$4*($C$13-ABERTURAS!$P$9),$AZ$4*($C$13-ABERTURAS!$P$9)),0))+$AZ$40)/$AZ$38</f>
        <v>0.158640226628895</v>
      </c>
      <c r="BY4" s="10">
        <f>((IF(AND(ABERTURAS!$K$9="OK",ABERTURAS!$E$9="OPERABLE"),CHOOSE(ABERTURAS!$N$9,ABERTURAS!$P$9-$AZ$3*$C$13,ABERTURAS!$P$9,-$AZ$3*($C$13-ABERTURAS!$P$9),$C$12-$AZ$3*($C$13-ABERTURAS!$P$9)),0))+$AZ$39)/$AZ$38</f>
        <v>0.864842475705195</v>
      </c>
      <c r="BZ4" s="10">
        <f>((IF(AND(ABERTURAS!$K$9="OK",ABERTURAS!$E$9="OPERABLE"),ABERTURAS!$Q$9+CHOOSE(ABERTURAS!$N$9,$AZ$4*$C$13,0,$AZ$4*($C$13-ABERTURAS!$P$9),$AZ$4*($C$13-ABERTURAS!$P$9)),0))+$AZ$40)/$AZ$38</f>
        <v>0.158640226628895</v>
      </c>
      <c r="CA4" s="10">
        <f>((IF(AND(ABERTURAS!$K$10="OK",ABERTURAS!$E$10="FIJA"),CHOOSE(ABERTURAS!$N$10,ABERTURAS!$P$10-$AZ$3*$C$13,ABERTURAS!$P$10,-$AZ$3*($C$13-ABERTURAS!$P$10),$C$12-$AZ$3*($C$13-ABERTURAS!$P$10)),0))+$AZ$39)/$AZ$38</f>
        <v>0.864842475705195</v>
      </c>
      <c r="CB4" s="10">
        <f>((IF(AND(ABERTURAS!$K$10="OK",ABERTURAS!$E$10="FIJA"),ABERTURAS!$Q$10+CHOOSE(ABERTURAS!$N$10,$AZ$4*$C$13,0,$AZ$4*($C$13-ABERTURAS!$P$10),$AZ$4*($C$13-ABERTURAS!$P$10)),0))+$AZ$40)/$AZ$38</f>
        <v>0.158640226628895</v>
      </c>
      <c r="CC4" s="10">
        <f>((IF(AND(ABERTURAS!$K$10="OK",ABERTURAS!$E$10="OPERABLE"),CHOOSE(ABERTURAS!$N$10,ABERTURAS!$P$10-$AZ$3*$C$13,ABERTURAS!$P$10,-$AZ$3*($C$13-ABERTURAS!$P$10),$C$12-$AZ$3*($C$13-ABERTURAS!$P$10)),0))+$AZ$39)/$AZ$38</f>
        <v>0.864842475705195</v>
      </c>
      <c r="CD4" s="10">
        <f>((IF(AND(ABERTURAS!$K$10="OK",ABERTURAS!$E$10="OPERABLE"),ABERTURAS!$Q$10+CHOOSE(ABERTURAS!$N$10,$AZ$4*$C$13,0,$AZ$4*($C$13-ABERTURAS!$P$10),$AZ$4*($C$13-ABERTURAS!$P$10)),0))+$AZ$40)/$AZ$38</f>
        <v>0.158640226628895</v>
      </c>
      <c r="CE4" s="10">
        <f>((IF(AND(ABERTURAS!$K$11="OK",ABERTURAS!$E$11="FIJA"),CHOOSE(ABERTURAS!$N$11,ABERTURAS!$P$11-$AZ$3*$C$13,ABERTURAS!$P$11,-$AZ$3*($C$13-ABERTURAS!$P$11),$C$12-$AZ$3*($C$13-ABERTURAS!$P$11)),0))+$AZ$39)/$AZ$38</f>
        <v>0.864842475705195</v>
      </c>
      <c r="CF4" s="10">
        <f>((IF(AND(ABERTURAS!$K$11="OK",ABERTURAS!$E$11="FIJA"),ABERTURAS!$Q$11+CHOOSE(ABERTURAS!$N$11,$AZ$4*$C$13,0,$AZ$4*($C$13-ABERTURAS!$P$11),$AZ$4*($C$13-ABERTURAS!$P$11)),0))+$AZ$40)/$AZ$38</f>
        <v>0.158640226628895</v>
      </c>
      <c r="CG4" s="10">
        <f>((IF(AND(ABERTURAS!$K$11="OK",ABERTURAS!$E$11="OPERABLE"),CHOOSE(ABERTURAS!$N$11,ABERTURAS!$P$11-$AZ$3*$C$13,ABERTURAS!$P$11,-$AZ$3*($C$13-ABERTURAS!$P$11),$C$12-$AZ$3*($C$13-ABERTURAS!$P$11)),0))+$AZ$39)/$AZ$38</f>
        <v>0.864842475705195</v>
      </c>
      <c r="CH4" s="10">
        <f>((IF(AND(ABERTURAS!$K$11="OK",ABERTURAS!$E$11="OPERABLE"),ABERTURAS!$Q$11+CHOOSE(ABERTURAS!$N$11,$AZ$4*$C$13,0,$AZ$4*($C$13-ABERTURAS!$P$11),$AZ$4*($C$13-ABERTURAS!$P$11)),0))+$AZ$40)/$AZ$38</f>
        <v>0.158640226628895</v>
      </c>
      <c r="CI4" s="10">
        <f>((IF(AND(ABERTURAS!$K$12="OK",ABERTURAS!$E$12="FIJA"),CHOOSE(ABERTURAS!$N$12,ABERTURAS!$P$12-$AZ$3*$C$13,ABERTURAS!$P$12,-$AZ$3*($C$13-ABERTURAS!$P$12),$C$12-$AZ$3*($C$13-ABERTURAS!$P$12)),0))+$AZ$39)/$AZ$38</f>
        <v>0.864842475705195</v>
      </c>
      <c r="CJ4" s="10">
        <f>((IF(AND(ABERTURAS!$K$12="OK",ABERTURAS!$E$12="FIJA"),ABERTURAS!$Q$12+CHOOSE(ABERTURAS!$N$12,$AZ$4*$C$13,0,$AZ$4*($C$13-ABERTURAS!$P$12),$AZ$4*($C$13-ABERTURAS!$P$12)),0))+$AZ$40)/$AZ$38</f>
        <v>0.158640226628895</v>
      </c>
      <c r="CK4" s="10">
        <f>((IF(AND(ABERTURAS!$K$12="OK",ABERTURAS!$E$12="OPERABLE"),CHOOSE(ABERTURAS!$N$12,ABERTURAS!$P$12-$AZ$3*$C$13,ABERTURAS!$P$12,-$AZ$3*($C$13-ABERTURAS!$P$12),$C$12-$AZ$3*($C$13-ABERTURAS!$P$12)),0))+$AZ$39)/$AZ$38</f>
        <v>0.864842475705195</v>
      </c>
      <c r="CL4" s="10">
        <f>((IF(AND(ABERTURAS!$K$12="OK",ABERTURAS!$E$12="OPERABLE"),ABERTURAS!$Q$12+CHOOSE(ABERTURAS!$N$12,$AZ$4*$C$13,0,$AZ$4*($C$13-ABERTURAS!$P$12),$AZ$4*($C$13-ABERTURAS!$P$12)),0))+$AZ$40)/$AZ$38</f>
        <v>0.158640226628895</v>
      </c>
      <c r="CM4" s="10">
        <f>((IF(AND(ABERTURAS!$K$13="OK",ABERTURAS!$E$13="FIJA"),CHOOSE(ABERTURAS!$N$13,ABERTURAS!$P$13-$AZ$3*$C$13,ABERTURAS!$P$13,-$AZ$3*($C$13-ABERTURAS!$P$13),$C$12-$AZ$3*($C$13-ABERTURAS!$P$13)),0))+$AZ$39)/$AZ$38</f>
        <v>0.864842475705195</v>
      </c>
      <c r="CN4" s="10">
        <f>((IF(AND(ABERTURAS!$K$13="OK",ABERTURAS!$E$13="FIJA"),ABERTURAS!$Q$13+CHOOSE(ABERTURAS!$N$13,$AZ$4*$C$13,0,$AZ$4*($C$13-ABERTURAS!$P$13),$AZ$4*($C$13-ABERTURAS!$P$13)),0))+$AZ$40)/$AZ$38</f>
        <v>0.158640226628895</v>
      </c>
      <c r="CO4" s="10">
        <f>((IF(AND(ABERTURAS!$K$13="OK",ABERTURAS!$E$13="OPERABLE"),CHOOSE(ABERTURAS!$N$13,ABERTURAS!$P$13-$AZ$3*$C$13,ABERTURAS!$P$13,-$AZ$3*($C$13-ABERTURAS!$P$13),$C$12-$AZ$3*($C$13-ABERTURAS!$P$13)),0))+$AZ$39)/$AZ$38</f>
        <v>0.864842475705195</v>
      </c>
      <c r="CP4" s="10">
        <f>((IF(AND(ABERTURAS!$K$13="OK",ABERTURAS!$E$13="OPERABLE"),ABERTURAS!$Q$13+CHOOSE(ABERTURAS!$N$13,$AZ$4*$C$13,0,$AZ$4*($C$13-ABERTURAS!$P$13),$AZ$4*($C$13-ABERTURAS!$P$13)),0))+$AZ$40)/$AZ$38</f>
        <v>0.158640226628895</v>
      </c>
      <c r="CQ4" s="10">
        <f>((IF(AND(ABERTURAS!$K$14="OK",ABERTURAS!$E$14="FIJA"),CHOOSE(ABERTURAS!$N$14,ABERTURAS!$P$14-$AZ$3*$C$13,ABERTURAS!$P$14,-$AZ$3*($C$13-ABERTURAS!$P$14),$C$12-$AZ$3*($C$13-ABERTURAS!$P$14)),0))+$AZ$39)/$AZ$38</f>
        <v>0.864842475705195</v>
      </c>
      <c r="CR4" s="10">
        <f>((IF(AND(ABERTURAS!$K$14="OK",ABERTURAS!$E$14="FIJA"),ABERTURAS!$Q$14+CHOOSE(ABERTURAS!$N$14,$AZ$4*$C$13,0,$AZ$4*($C$13-ABERTURAS!$P$14),$AZ$4*($C$13-ABERTURAS!$P$14)),0))+$AZ$40)/$AZ$38</f>
        <v>0.158640226628895</v>
      </c>
      <c r="CS4" s="10">
        <f>((IF(AND(ABERTURAS!$K$14="OK",ABERTURAS!$E$14="OPERABLE"),CHOOSE(ABERTURAS!$N$14,ABERTURAS!$P$14-$AZ$3*$C$13,ABERTURAS!$P$14,-$AZ$3*($C$13-ABERTURAS!$P$14),$C$12-$AZ$3*($C$13-ABERTURAS!$P$14)),0))+$AZ$39)/$AZ$38</f>
        <v>0.864842475705195</v>
      </c>
      <c r="CT4" s="10">
        <f>((IF(AND(ABERTURAS!$K$14="OK",ABERTURAS!$E$14="OPERABLE"),ABERTURAS!$Q$14+CHOOSE(ABERTURAS!$N$14,$AZ$4*$C$13,0,$AZ$4*($C$13-ABERTURAS!$P$14),$AZ$4*($C$13-ABERTURAS!$P$14)),0))+$AZ$40)/$AZ$38</f>
        <v>0.158640226628895</v>
      </c>
      <c r="CU4" s="10">
        <f>((IF(AND(ABERTURAS!$K$15="OK",ABERTURAS!$E$15="FIJA"),CHOOSE(ABERTURAS!$N$15,ABERTURAS!$P$15-$AZ$3*$C$13,ABERTURAS!$P$15,-$AZ$3*($C$13-ABERTURAS!$P$15),$C$12-$AZ$3*($C$13-ABERTURAS!$P$15)),0))+$AZ$39)/$AZ$38</f>
        <v>0.864842475705195</v>
      </c>
      <c r="CV4" s="10">
        <f>((IF(AND(ABERTURAS!$K$15="OK",ABERTURAS!$E$15="FIJA"),ABERTURAS!$Q$15+CHOOSE(ABERTURAS!$N$15,$AZ$4*$C$13,0,$AZ$4*($C$13-ABERTURAS!$P$15),$AZ$4*($C$13-ABERTURAS!$P$15)),0))+$AZ$40)/$AZ$38</f>
        <v>0.158640226628895</v>
      </c>
      <c r="CW4" s="10">
        <f>((IF(AND(ABERTURAS!$K$15="OK",ABERTURAS!$E$15="OPERABLE"),CHOOSE(ABERTURAS!$N$15,ABERTURAS!$P$15-$AZ$3*$C$13,ABERTURAS!$P$15,-$AZ$3*($C$13-ABERTURAS!$P$15),$C$12-$AZ$3*($C$13-ABERTURAS!$P$15)),0))+$AZ$39)/$AZ$38</f>
        <v>0.864842475705195</v>
      </c>
      <c r="CX4" s="10">
        <f>((IF(AND(ABERTURAS!$K$15="OK",ABERTURAS!$E$15="OPERABLE"),ABERTURAS!$Q$15+CHOOSE(ABERTURAS!$N$15,$AZ$4*$C$13,0,$AZ$4*($C$13-ABERTURAS!$P$15),$AZ$4*($C$13-ABERTURAS!$P$15)),0))+$AZ$40)/$AZ$38</f>
        <v>0.158640226628895</v>
      </c>
      <c r="CY4" s="10">
        <f>((IF(AND(ABERTURAS!$K$16="OK",ABERTURAS!$E$16="FIJA"),CHOOSE(ABERTURAS!$N$16,ABERTURAS!$P$16-$AZ$3*$C$13,ABERTURAS!$P$16,-$AZ$3*($C$13-ABERTURAS!$P$16),$C$12-$AZ$3*($C$13-ABERTURAS!$P$16)),0))+$AZ$39)/$AZ$38</f>
        <v>0.864842475705195</v>
      </c>
      <c r="CZ4" s="10">
        <f>((IF(AND(ABERTURAS!$K$16="OK",ABERTURAS!$E$16="FIJA"),ABERTURAS!$Q$16+CHOOSE(ABERTURAS!$N$16,$AZ$4*$C$13,0,$AZ$4*($C$13-ABERTURAS!$P$16),$AZ$4*($C$13-ABERTURAS!$P$16)),0))+$AZ$40)/$AZ$38</f>
        <v>0.158640226628895</v>
      </c>
      <c r="DA4" s="10">
        <f>((IF(AND(ABERTURAS!$K$16="OK",ABERTURAS!$E$16="OPERABLE"),CHOOSE(ABERTURAS!$N$16,ABERTURAS!$P$16-$AZ$3*$C$13,ABERTURAS!$P$16,-$AZ$3*($C$13-ABERTURAS!$P$16),$C$12-$AZ$3*($C$13-ABERTURAS!$P$16)),0))+$AZ$39)/$AZ$38</f>
        <v>0.864842475705195</v>
      </c>
      <c r="DB4" s="10">
        <f>((IF(AND(ABERTURAS!$K$16="OK",ABERTURAS!$E$16="OPERABLE"),ABERTURAS!$Q$16+CHOOSE(ABERTURAS!$N$16,$AZ$4*$C$13,0,$AZ$4*($C$13-ABERTURAS!$P$16),$AZ$4*($C$13-ABERTURAS!$P$16)),0))+$AZ$40)/$AZ$38</f>
        <v>0.158640226628895</v>
      </c>
      <c r="DC4" s="10">
        <f>((IF(AND(ABERTURAS!$K$17="OK",ABERTURAS!$E$17="FIJA"),CHOOSE(ABERTURAS!$N$17,ABERTURAS!$P$17-$AZ$3*$C$13,ABERTURAS!$P$17,-$AZ$3*($C$13-ABERTURAS!$P$17),$C$12-$AZ$3*($C$13-ABERTURAS!$P$17)),0))+$AZ$39)/$AZ$38</f>
        <v>0.864842475705195</v>
      </c>
      <c r="DD4" s="10">
        <f>((IF(AND(ABERTURAS!$K$17="OK",ABERTURAS!$E$17="FIJA"),ABERTURAS!$Q$17+CHOOSE(ABERTURAS!$N$17,$AZ$4*$C$13,0,$AZ$4*($C$13-ABERTURAS!$P$17),$AZ$4*($C$13-ABERTURAS!$P$17)),0))+$AZ$40)/$AZ$38</f>
        <v>0.158640226628895</v>
      </c>
      <c r="DE4" s="10">
        <f>((IF(AND(ABERTURAS!$K$17="OK",ABERTURAS!$E$17="OPERABLE"),CHOOSE(ABERTURAS!$N$17,ABERTURAS!$P$17-$AZ$3*$C$13,ABERTURAS!$P$17,-$AZ$3*($C$13-ABERTURAS!$P$17),$C$12-$AZ$3*($C$13-ABERTURAS!$P$17)),0))+$AZ$39)/$AZ$38</f>
        <v>0.864842475705195</v>
      </c>
      <c r="DF4" s="10">
        <f>((IF(AND(ABERTURAS!$K$17="OK",ABERTURAS!$E$17="OPERABLE"),ABERTURAS!$Q$17+CHOOSE(ABERTURAS!$N$17,$AZ$4*$C$13,0,$AZ$4*($C$13-ABERTURAS!$P$17),$AZ$4*($C$13-ABERTURAS!$P$17)),0))+$AZ$40)/$AZ$38</f>
        <v>0.158640226628895</v>
      </c>
      <c r="DG4" s="10">
        <f>((IF(AND(ABERTURAS!$K$18="OK",ABERTURAS!$E$18="FIJA"),CHOOSE(ABERTURAS!$N$18,ABERTURAS!$P$18-$AZ$3*$C$13,ABERTURAS!$P$18,-$AZ$3*($C$13-ABERTURAS!$P$18),$C$12-$AZ$3*($C$13-ABERTURAS!$P$18)),0))+$AZ$39)/$AZ$38</f>
        <v>0.864842475705195</v>
      </c>
      <c r="DH4" s="10">
        <f>((IF(AND(ABERTURAS!$K$18="OK",ABERTURAS!$E$18="FIJA"),ABERTURAS!$Q$18+CHOOSE(ABERTURAS!$N$18,$AZ$4*$C$13,0,$AZ$4*($C$13-ABERTURAS!$P$18),$AZ$4*($C$13-ABERTURAS!$P$18)),0))+$AZ$40)/$AZ$38</f>
        <v>0.158640226628895</v>
      </c>
      <c r="DI4" s="10">
        <f>((IF(AND(ABERTURAS!$K$18="OK",ABERTURAS!$E$18="OPERABLE"),CHOOSE(ABERTURAS!$N$18,ABERTURAS!$P$18-$AZ$3*$C$13,ABERTURAS!$P$18,-$AZ$3*($C$13-ABERTURAS!$P$18),$C$12-$AZ$3*($C$13-ABERTURAS!$P$18)),0))+$AZ$39)/$AZ$38</f>
        <v>0.864842475705195</v>
      </c>
      <c r="DJ4" s="10">
        <f>((IF(AND(ABERTURAS!$K$18="OK",ABERTURAS!$E$18="OPERABLE"),ABERTURAS!$Q$18+CHOOSE(ABERTURAS!$N$18,$AZ$4*$C$13,0,$AZ$4*($C$13-ABERTURAS!$P$18),$AZ$4*($C$13-ABERTURAS!$P$18)),0))+$AZ$40)/$AZ$38</f>
        <v>0.158640226628895</v>
      </c>
      <c r="DK4" s="10">
        <f>((IF(AND(ABERTURAS!$K$19="OK",ABERTURAS!$E$19="FIJA"),CHOOSE(ABERTURAS!$N$19,ABERTURAS!$P$19-$AZ$3*$C$13,ABERTURAS!$P$19,-$AZ$3*($C$13-ABERTURAS!$P$19),$C$12-$AZ$3*($C$13-ABERTURAS!$P$19)),0))+$AZ$39)/$AZ$38</f>
        <v>0.864842475705195</v>
      </c>
      <c r="DL4" s="10">
        <f>((IF(AND(ABERTURAS!$K$19="OK",ABERTURAS!$E$19="FIJA"),ABERTURAS!$Q$19+CHOOSE(ABERTURAS!$N$19,$AZ$4*$C$13,0,$AZ$4*($C$13-ABERTURAS!$P$19),$AZ$4*($C$13-ABERTURAS!$P$19)),0))+$AZ$40)/$AZ$38</f>
        <v>0.158640226628895</v>
      </c>
      <c r="DM4" s="10">
        <f>((IF(AND(ABERTURAS!$K$19="OK",ABERTURAS!$E$19="OPERABLE"),CHOOSE(ABERTURAS!$N$19,ABERTURAS!$P$19-$AZ$3*$C$13,ABERTURAS!$P$19,-$AZ$3*($C$13-ABERTURAS!$P$19),$C$12-$AZ$3*($C$13-ABERTURAS!$P$19)),0))+$AZ$39)/$AZ$38</f>
        <v>0.864842475705195</v>
      </c>
      <c r="DN4" s="10">
        <f>((IF(AND(ABERTURAS!$K$19="OK",ABERTURAS!$E$19="OPERABLE"),ABERTURAS!$Q$19+CHOOSE(ABERTURAS!$N$19,$AZ$4*$C$13,0,$AZ$4*($C$13-ABERTURAS!$P$19),$AZ$4*($C$13-ABERTURAS!$P$19)),0))+$AZ$40)/$AZ$38</f>
        <v>0.158640226628895</v>
      </c>
      <c r="DO4" s="10">
        <f>((IF(AND(ABERTURAS!$K$20="OK",ABERTURAS!$E$20="FIJA"),CHOOSE(ABERTURAS!$N$20,ABERTURAS!$P$20-$AZ$3*$C$13,ABERTURAS!$P$20,-$AZ$3*($C$13-ABERTURAS!$P$20),$C$12-$AZ$3*($C$13-ABERTURAS!$P$20)),0))+$AZ$39)/$AZ$38</f>
        <v>0.864842475705195</v>
      </c>
      <c r="DP4" s="10">
        <f>((IF(AND(ABERTURAS!$K$20="OK",ABERTURAS!$E$20="FIJA"),ABERTURAS!$Q$20+CHOOSE(ABERTURAS!$N$20,$AZ$4*$C$13,0,$AZ$4*($C$13-ABERTURAS!$P$20),$AZ$4*($C$13-ABERTURAS!$P$20)),0))+$AZ$40)/$AZ$38</f>
        <v>0.158640226628895</v>
      </c>
      <c r="DQ4" s="10">
        <f>((IF(AND(ABERTURAS!$K$20="OK",ABERTURAS!$E$20="OPERABLE"),CHOOSE(ABERTURAS!$N$20,ABERTURAS!$P$20-$AZ$3*$C$13,ABERTURAS!$P$20,-$AZ$3*($C$13-ABERTURAS!$P$20),$C$12-$AZ$3*($C$13-ABERTURAS!$P$20)),0))+$AZ$39)/$AZ$38</f>
        <v>0.864842475705195</v>
      </c>
      <c r="DR4" s="10">
        <f>((IF(AND(ABERTURAS!$K$20="OK",ABERTURAS!$E$20="OPERABLE"),ABERTURAS!$Q$20+CHOOSE(ABERTURAS!$N$20,$AZ$4*$C$13,0,$AZ$4*($C$13-ABERTURAS!$P$20),$AZ$4*($C$13-ABERTURAS!$P$20)),0))+$AZ$40)/$AZ$38</f>
        <v>0.158640226628895</v>
      </c>
      <c r="DS4" s="10">
        <f>((IF(AND(ABERTURAS!$K$21="OK",ABERTURAS!$E$21="FIJA"),CHOOSE(ABERTURAS!$N$21,ABERTURAS!$P$21-$AZ$3*$C$13,ABERTURAS!$P$21,-$AZ$3*($C$13-ABERTURAS!$P$21),$C$12-$AZ$3*($C$13-ABERTURAS!$P$21)),0))+$AZ$39)/$AZ$38</f>
        <v>0.864842475705195</v>
      </c>
      <c r="DT4" s="10">
        <f>((IF(AND(ABERTURAS!$K$21="OK",ABERTURAS!$E$21="FIJA"),ABERTURAS!$Q$21+CHOOSE(ABERTURAS!$N$21,$AZ$4*$C$13,0,$AZ$4*($C$13-ABERTURAS!$P$21),$AZ$4*($C$13-ABERTURAS!$P$21)),0))+$AZ$40)/$AZ$38</f>
        <v>0.158640226628895</v>
      </c>
      <c r="DU4" s="10">
        <f>((IF(AND(ABERTURAS!$K$21="OK",ABERTURAS!$E$21="OPERABLE"),CHOOSE(ABERTURAS!$N$21,ABERTURAS!$P$21-$AZ$3*$C$13,ABERTURAS!$P$21,-$AZ$3*($C$13-ABERTURAS!$P$21),$C$12-$AZ$3*($C$13-ABERTURAS!$P$21)),0))+$AZ$39)/$AZ$38</f>
        <v>0.864842475705195</v>
      </c>
      <c r="DV4" s="10">
        <f>((IF(AND(ABERTURAS!$K$21="OK",ABERTURAS!$E$21="OPERABLE"),ABERTURAS!$Q$21+CHOOSE(ABERTURAS!$N$21,$AZ$4*$C$13,0,$AZ$4*($C$13-ABERTURAS!$P$21),$AZ$4*($C$13-ABERTURAS!$P$21)),0))+$AZ$40)/$AZ$38</f>
        <v>0.158640226628895</v>
      </c>
      <c r="DW4" s="10">
        <f>((IF(AND(ABERTURAS!$K$22="OK",ABERTURAS!$E$22="FIJA"),CHOOSE(ABERTURAS!$N$22,ABERTURAS!$P$22-$AZ$3*$C$13,ABERTURAS!$P$22,-$AZ$3*($C$13-ABERTURAS!$P$22),$C$12-$AZ$3*($C$13-ABERTURAS!$P$22)),0))+$AZ$39)/$AZ$38</f>
        <v>0.864842475705195</v>
      </c>
      <c r="DX4" s="10">
        <f>((IF(AND(ABERTURAS!$K$22="OK",ABERTURAS!$E$22="FIJA"),ABERTURAS!$Q$22+CHOOSE(ABERTURAS!$N$22,$AZ$4*$C$13,0,$AZ$4*($C$13-ABERTURAS!$P$22),$AZ$4*($C$13-ABERTURAS!$P$22)),0))+$AZ$40)/$AZ$38</f>
        <v>0.158640226628895</v>
      </c>
      <c r="DY4" s="10">
        <f>((IF(AND(ABERTURAS!$K$22="OK",ABERTURAS!$E$22="OPERABLE"),CHOOSE(ABERTURAS!$N$22,ABERTURAS!$P$22-$AZ$3*$C$13,ABERTURAS!$P$22,-$AZ$3*($C$13-ABERTURAS!$P$22),$C$12-$AZ$3*($C$13-ABERTURAS!$P$22)),0))+$AZ$39)/$AZ$38</f>
        <v>0.864842475705195</v>
      </c>
      <c r="DZ4" s="10">
        <f>((IF(AND(ABERTURAS!$K$22="OK",ABERTURAS!$E$22="OPERABLE"),ABERTURAS!$Q$22+CHOOSE(ABERTURAS!$N$22,$AZ$4*$C$13,0,$AZ$4*($C$13-ABERTURAS!$P$22),$AZ$4*($C$13-ABERTURAS!$P$22)),0))+$AZ$40)/$AZ$38</f>
        <v>0.158640226628895</v>
      </c>
      <c r="EA4" s="10">
        <f>((IF(AND(ABERTURAS!$K$23="OK",ABERTURAS!$E$23="FIJA"),CHOOSE(ABERTURAS!$N$23,ABERTURAS!$P$23-$AZ$3*$C$13,ABERTURAS!$P$23,-$AZ$3*($C$13-ABERTURAS!$P$23),$C$12-$AZ$3*($C$13-ABERTURAS!$P$23)),0))+$AZ$39)/$AZ$38</f>
        <v>0.864842475705195</v>
      </c>
      <c r="EB4" s="10">
        <f>((IF(AND(ABERTURAS!$K$23="OK",ABERTURAS!$E$23="FIJA"),ABERTURAS!$Q$23+CHOOSE(ABERTURAS!$N$23,$AZ$4*$C$13,0,$AZ$4*($C$13-ABERTURAS!$P$23),$AZ$4*($C$13-ABERTURAS!$P$23)),0))+$AZ$40)/$AZ$38</f>
        <v>0.158640226628895</v>
      </c>
      <c r="EC4" s="10">
        <f>((IF(AND(ABERTURAS!$K$23="OK",ABERTURAS!$E$23="OPERABLE"),CHOOSE(ABERTURAS!$N$23,ABERTURAS!$P$23-$AZ$3*$C$13,ABERTURAS!$P$23,-$AZ$3*($C$13-ABERTURAS!$P$23),$C$12-$AZ$3*($C$13-ABERTURAS!$P$23)),0))+$AZ$39)/$AZ$38</f>
        <v>0.864842475705195</v>
      </c>
      <c r="ED4" s="10">
        <f>((IF(AND(ABERTURAS!$K$23="OK",ABERTURAS!$E$23="OPERABLE"),ABERTURAS!$Q$23+CHOOSE(ABERTURAS!$N$23,$AZ$4*$C$13,0,$AZ$4*($C$13-ABERTURAS!$P$23),$AZ$4*($C$13-ABERTURAS!$P$23)),0))+$AZ$40)/$AZ$38</f>
        <v>0.158640226628895</v>
      </c>
      <c r="EE4" s="10">
        <f>((IF(AND(ABERTURAS!$K$24="OK",ABERTURAS!$E$24="FIJA"),CHOOSE(ABERTURAS!$N$24,ABERTURAS!$P$24-$AZ$3*$C$13,ABERTURAS!$P$24,-$AZ$3*($C$13-ABERTURAS!$P$24),$C$12-$AZ$3*($C$13-ABERTURAS!$P$24)),0))+$AZ$39)/$AZ$38</f>
        <v>0.864842475705195</v>
      </c>
      <c r="EF4" s="10">
        <f>((IF(AND(ABERTURAS!$K$24="OK",ABERTURAS!$E$24="FIJA"),ABERTURAS!$Q$24+CHOOSE(ABERTURAS!$N$24,$AZ$4*$C$13,0,$AZ$4*($C$13-ABERTURAS!$P$24),$AZ$4*($C$13-ABERTURAS!$P$24)),0))+$AZ$40)/$AZ$38</f>
        <v>0.158640226628895</v>
      </c>
      <c r="EG4" s="10">
        <f>((IF(AND(ABERTURAS!$K$24="OK",ABERTURAS!$E$24="OPERABLE"),CHOOSE(ABERTURAS!$N$24,ABERTURAS!$P$24-$AZ$3*$C$13,ABERTURAS!$P$24,-$AZ$3*($C$13-ABERTURAS!$P$24),$C$12-$AZ$3*($C$13-ABERTURAS!$P$24)),0))+$AZ$39)/$AZ$38</f>
        <v>0.864842475705195</v>
      </c>
      <c r="EH4" s="10">
        <f>((IF(AND(ABERTURAS!$K$24="OK",ABERTURAS!$E$24="OPERABLE"),ABERTURAS!$Q$24+CHOOSE(ABERTURAS!$N$24,$AZ$4*$C$13,0,$AZ$4*($C$13-ABERTURAS!$P$24),$AZ$4*($C$13-ABERTURAS!$P$24)),0))+$AZ$40)/$AZ$38</f>
        <v>0.158640226628895</v>
      </c>
      <c r="EI4" s="10">
        <f>((IF(AND(ABERTURAS!$K$25="OK",ABERTURAS!$E$25="FIJA"),CHOOSE(ABERTURAS!$N$25,ABERTURAS!$P$25-$AZ$3*$C$13,ABERTURAS!$P$25,-$AZ$3*($C$13-ABERTURAS!$P$25),$C$12-$AZ$3*($C$13-ABERTURAS!$P$25)),0))+$AZ$39)/$AZ$38</f>
        <v>0.864842475705195</v>
      </c>
      <c r="EJ4" s="10">
        <f>((IF(AND(ABERTURAS!$K$25="OK",ABERTURAS!$E$25="FIJA"),ABERTURAS!$Q$25+CHOOSE(ABERTURAS!$N$25,$AZ$4*$C$13,0,$AZ$4*($C$13-ABERTURAS!$P$25),$AZ$4*($C$13-ABERTURAS!$P$25)),0))+$AZ$40)/$AZ$38</f>
        <v>0.158640226628895</v>
      </c>
      <c r="EK4" s="10">
        <f>((IF(AND(ABERTURAS!$K$25="OK",ABERTURAS!$E$25="OPERABLE"),CHOOSE(ABERTURAS!$N$25,ABERTURAS!$P$25-$AZ$3*$C$13,ABERTURAS!$P$25,-$AZ$3*($C$13-ABERTURAS!$P$25),$C$12-$AZ$3*($C$13-ABERTURAS!$P$25)),0))+$AZ$39)/$AZ$38</f>
        <v>0.864842475705195</v>
      </c>
      <c r="EL4" s="10">
        <f>((IF(AND(ABERTURAS!$K$25="OK",ABERTURAS!$E$25="OPERABLE"),ABERTURAS!$Q$25+CHOOSE(ABERTURAS!$N$25,$AZ$4*$C$13,0,$AZ$4*($C$13-ABERTURAS!$P$25),$AZ$4*($C$13-ABERTURAS!$P$25)),0))+$AZ$40)/$AZ$38</f>
        <v>0.158640226628895</v>
      </c>
      <c r="EM4" s="10">
        <f>((IF(AND(ABERTURAS!$K$26="OK",ABERTURAS!$E$26="FIJA"),CHOOSE(ABERTURAS!$N$26,ABERTURAS!$P$26-$AZ$3*$C$13,ABERTURAS!$P$26,-$AZ$3*($C$13-ABERTURAS!$P$26),$C$12-$AZ$3*($C$13-ABERTURAS!$P$26)),0))+$AZ$39)/$AZ$38</f>
        <v>0.864842475705195</v>
      </c>
      <c r="EN4" s="10">
        <f>((IF(AND(ABERTURAS!$K$26="OK",ABERTURAS!$E$26="FIJA"),ABERTURAS!$Q$26+CHOOSE(ABERTURAS!$N$26,$AZ$4*$C$13,0,$AZ$4*($C$13-ABERTURAS!$P$26),$AZ$4*($C$13-ABERTURAS!$P$26)),0))+$AZ$40)/$AZ$38</f>
        <v>0.158640226628895</v>
      </c>
      <c r="EO4" s="10">
        <f>((IF(AND(ABERTURAS!$K$26="OK",ABERTURAS!$E$26="OPERABLE"),CHOOSE(ABERTURAS!$N$26,ABERTURAS!$P$26-$AZ$3*$C$13,ABERTURAS!$P$26,-$AZ$3*($C$13-ABERTURAS!$P$26),$C$12-$AZ$3*($C$13-ABERTURAS!$P$26)),0))+$AZ$39)/$AZ$38</f>
        <v>0.864842475705195</v>
      </c>
      <c r="EP4" s="10">
        <f>((IF(AND(ABERTURAS!$K$26="OK",ABERTURAS!$E$26="OPERABLE"),ABERTURAS!$Q$26+CHOOSE(ABERTURAS!$N$26,$AZ$4*$C$13,0,$AZ$4*($C$13-ABERTURAS!$P$26),$AZ$4*($C$13-ABERTURAS!$P$26)),0))+$AZ$40)/$AZ$38</f>
        <v>0.158640226628895</v>
      </c>
    </row>
    <row r="5" spans="2:146" ht="21" customHeight="1" x14ac:dyDescent="0.3">
      <c r="B5" s="49" t="s">
        <v>69</v>
      </c>
      <c r="C5" s="49"/>
      <c r="D5" s="49"/>
      <c r="E5" s="49"/>
      <c r="F5" s="49"/>
      <c r="AA5" s="10">
        <f>$C$23*2/8</f>
        <v>4</v>
      </c>
      <c r="AB5" s="10">
        <f>IF($C$14="PLANO",$C$17,IF($C$14="DOS AGUAS",$C$17+($C$18-$C$17)*(1-ABS(2*($AA$5)/$C$23-1)),IF($C$14="UN AGUA",IF(N($C$25)=0,$C$18-($C$18-$C$17)*($AA$5)/$C$23,$C$17+($C$18-$C$17)*($AA$5)/$C$23),$C$17+4*($C$18-$C$17)*($AA$5)/$C$23*(1-($AA$5)/$C$23))))</f>
        <v>10.42</v>
      </c>
      <c r="AE5" s="10">
        <f>ABERTURAS!$D$51*8/8</f>
        <v>10.08</v>
      </c>
      <c r="AF5" s="10">
        <f>IF(ABERTURAS!$E$51="SÍ",$AB$11,ABERTURAS!$F$51)</f>
        <v>10.62</v>
      </c>
      <c r="AG5" s="10">
        <f>((($AZ$5+$AE5*($C$12-2*$AZ$5)/$C$12)-$AZ$3*$C$13)+$AZ$39)/$AZ$38</f>
        <v>1.00837410932181</v>
      </c>
      <c r="AH5" s="10">
        <f>((IF($AF5&gt;0,$AF5-$AZ$5,0)+$AZ$4*$C$13)+$AZ$40)/$AZ$38</f>
        <v>0.841359773371105</v>
      </c>
      <c r="AI5" s="10">
        <f>ABERTURAS!$D$52*8/8</f>
        <v>10.08</v>
      </c>
      <c r="AJ5" s="10">
        <f>IF(ABERTURAS!$E$52="SÍ",$AB$11,ABERTURAS!$F$52)</f>
        <v>9.82</v>
      </c>
      <c r="AK5" s="10">
        <f>((($AZ$5+$AI5*($C$12-2*$AZ$5)/$C$12))+$AZ$39)/$AZ$38</f>
        <v>1.32565456257961</v>
      </c>
      <c r="AL5" s="10">
        <f>((IF($AJ5&gt;0,$AJ5-$AZ$5,0))+$AZ$40)/$AZ$38</f>
        <v>0.607176581680831</v>
      </c>
      <c r="AM5" s="10">
        <f>ABERTURAS!$D$53*8/8</f>
        <v>16</v>
      </c>
      <c r="AN5" s="10">
        <f>IF(ABERTURAS!$E$53="SÍ",$AB$11,ABERTURAS!$F$53)</f>
        <v>9.82</v>
      </c>
      <c r="AO5" s="10">
        <f>((-$AZ$3*($C$13-($AZ$5+$AM5*($C$13-2*$AZ$5)/$C$13)))+$AZ$39)/$AZ$38</f>
        <v>0.85849686664004</v>
      </c>
      <c r="AP5" s="10">
        <f>((IF($AN5&gt;0,$AN5-$AZ$5,0)+$AZ$4*($C$13-($AZ$5+$AM5*($C$13-2*$AZ$5)/$C$13)))+$AZ$40)/$AZ$38</f>
        <v>0.611104815864023</v>
      </c>
      <c r="AQ5" s="10">
        <f>ABERTURAS!$D$54*8/8</f>
        <v>16</v>
      </c>
      <c r="AR5" s="10">
        <f>IF(ABERTURAS!$E$54="SÍ",$AB$11,ABERTURAS!$F$54)</f>
        <v>9.82</v>
      </c>
      <c r="AS5" s="10">
        <f>(($C$12-$AZ$3*($C$13-($AZ$5+$AQ5*($C$13-2*$AZ$5)/$C$13)))+$AZ$39)/$AZ$38</f>
        <v>1.33441754652673</v>
      </c>
      <c r="AT5" s="10">
        <f>((IF($AR5&gt;0,$AR5-$AZ$5,0)+$AZ$4*($C$13-($AZ$5+$AQ5*($C$13-2*$AZ$5)/$C$13)))+$AZ$40)/$AZ$38</f>
        <v>0.611104815864023</v>
      </c>
      <c r="AU5" s="10">
        <f>((IF($AC$3="Z",0,$AA$5)-$AZ$3*($C$13-IF($AC$3="Z",$AA$5,0)))+$AZ$39)/$AZ$38</f>
        <v>0.626882135761853</v>
      </c>
      <c r="AV5" s="10">
        <f>(($AB$5+$AZ$4*($C$13-IF($AC$3="Z",$AA$5,0)))+$AZ$40)/$AZ$38</f>
        <v>0.797922568460812</v>
      </c>
      <c r="AY5" s="9" t="inlineStr">
        <is>
          <t>hueco entre muros</t>
        </is>
      </c>
      <c r="AZ5" s="11">
        <f>0.02*MAX($C$12,$C$13)</f>
        <v>0.32</v>
      </c>
      <c r="BA5" s="10">
        <f>BA4-($AZ$11/$AZ$38)*((BA4-BA3)*$AZ$13-(BB4-BB3)*$AZ$14)/SQRT((BA4-BA3)^2+(BB4-BB3)^2)</f>
        <v>0.772488874245417</v>
      </c>
      <c r="BB5" s="10">
        <f>BB4-($AZ$11/$AZ$38)*((BA4-BA3)*$AZ$14+(BB4-BB3)*$AZ$13)/SQRT((BA4-BA3)^2+(BB4-BB3)^2)</f>
        <v>0.865872199461806</v>
      </c>
      <c r="BC5" s="10">
        <f>BC4-($AZ$11/$AZ$38)*((BC4-BC3)*$AZ$13-(BD4-BD3)*$AZ$14)/SQRT((BC4-BC3)^2+(BD4-BD3)^2)</f>
        <v>1.11583630379387</v>
      </c>
      <c r="BD5" s="10">
        <f>BD4-($AZ$11/$AZ$38)*((BC4-BC3)*$AZ$14+(BD4-BD3)*$AZ$13)/SQRT((BC4-BC3)^2+(BD4-BD3)^2)</f>
        <v>0.134127800538194</v>
      </c>
      <c r="BE5" s="10">
        <f>BE4-($AZ$11/$AZ$38)*((BE4-BE3)*$AZ$13-(BF4-BF3)*$AZ$14)/SQRT((BE4-BE3)^2+(BF4-BF3)^2)</f>
        <v>0.698085414214309</v>
      </c>
      <c r="BF5" s="10">
        <f>BF4-($AZ$11/$AZ$38)*((BE4-BE3)*$AZ$14+(BF4-BF3)*$AZ$13)/SQRT((BE4-BE3)^2+(BF4-BF3)^2)</f>
        <v>0.230297110646541</v>
      </c>
      <c r="BG5" s="10">
        <f>BG4-($AZ$11/$AZ$38)*((BG4-BG3)*$AZ$13-(BH4-BH3)*$AZ$14)/SQRT((BG4-BG3)^2+(BH4-BH3)^2)</f>
        <v>1.19023976382498</v>
      </c>
      <c r="BH5" s="10">
        <f>BH4-($AZ$11/$AZ$38)*((BG4-BG3)*$AZ$14+(BH4-BH3)*$AZ$13)/SQRT((BG4-BG3)^2+(BH4-BH3)^2)</f>
        <v>0.750817148088115</v>
      </c>
      <c r="BI5" s="10">
        <f>BI4-($AZ$11/$AZ$38)*((BI4-BI3)*$AZ$13-(BJ4-BJ3)*$AZ$14)/SQRT((BI4-BI3)^2+(BJ4-BJ3)^2)</f>
        <v>1.54627905811308</v>
      </c>
      <c r="BJ5" s="10">
        <f>BJ4-($AZ$11/$AZ$38)*((BI4-BI3)*$AZ$14+(BJ4-BJ3)*$AZ$13)/SQRT((BI4-BI3)^2+(BJ4-BJ3)^2)</f>
        <v>0.224926851798012</v>
      </c>
      <c r="BK5" s="10">
        <f>BK4-($AZ$11/$AZ$38)*((BK4-BK3)*$AZ$13-(BL4-BL3)*$AZ$14)/SQRT((BK4-BK3)^2+(BL4-BL3)^2)</f>
        <v>1.51243687036611</v>
      </c>
      <c r="BL5" s="10">
        <f>BL4-($AZ$11/$AZ$38)*((BK4-BK3)*$AZ$14+(BL4-BL3)*$AZ$13)/SQRT((BK4-BK3)^2+(BL4-BL3)^2)</f>
        <v>0.284836015835645</v>
      </c>
      <c r="BM5" s="10">
        <f>BM4-($AZ$11/$AZ$38)*((BM4-BM3)*$AZ$13-(BN4-BN3)*$AZ$14)/SQRT((BM4-BM3)^2+(BN4-BN3)^2)</f>
        <v>1.5323998990296</v>
      </c>
      <c r="BN5" s="10">
        <f>BN4-($AZ$11/$AZ$38)*((BM4-BM3)*$AZ$14+(BN4-BN3)*$AZ$13)/SQRT((BM4-BM3)^2+(BN4-BN3)^2)</f>
        <v>0.202205190914428</v>
      </c>
      <c r="BO5" s="10">
        <f>((IF(AND(ABERTURAS!$K$7="OK",ABERTURAS!$E$7="FIJA"),CHOOSE(ABERTURAS!$N$7,ABERTURAS!$P$7-$AZ$3*$C$13,ABERTURAS!$P$7,-$AZ$3*($C$13-ABERTURAS!$P$7),$C$12-$AZ$3*($C$13-ABERTURAS!$P$7)),0))+$AZ$39)/$AZ$38</f>
        <v>0.864842475705195</v>
      </c>
      <c r="BP5" s="10">
        <f>((IF(AND(ABERTURAS!$K$7="OK",ABERTURAS!$E$7="FIJA"),ABERTURAS!$R$7+CHOOSE(ABERTURAS!$N$7,$AZ$4*$C$13,0,$AZ$4*($C$13-ABERTURAS!$P$7),$AZ$4*($C$13-ABERTURAS!$P$7)),0))+$AZ$40)/$AZ$38</f>
        <v>0.158640226628895</v>
      </c>
      <c r="BQ5" s="10">
        <f>((IF(AND(ABERTURAS!$K$7="OK",ABERTURAS!$E$7="OPERABLE"),CHOOSE(ABERTURAS!$N$7,ABERTURAS!$P$7-$AZ$3*$C$13,ABERTURAS!$P$7,-$AZ$3*($C$13-ABERTURAS!$P$7),$C$12-$AZ$3*($C$13-ABERTURAS!$P$7)),0))+$AZ$39)/$AZ$38</f>
        <v>0.639342003561664</v>
      </c>
      <c r="BR5" s="10">
        <f>((IF(AND(ABERTURAS!$K$7="OK",ABERTURAS!$E$7="OPERABLE"),ABERTURAS!$R$7+CHOOSE(ABERTURAS!$N$7,$AZ$4*$C$13,0,$AZ$4*($C$13-ABERTURAS!$P$7),$AZ$4*($C$13-ABERTURAS!$P$7)),0))+$AZ$40)/$AZ$38</f>
        <v>0.468366383380548</v>
      </c>
      <c r="BS5" s="10">
        <f>((IF(AND(ABERTURAS!$K$8="OK",ABERTURAS!$E$8="FIJA"),CHOOSE(ABERTURAS!$N$8,ABERTURAS!$P$8-$AZ$3*$C$13,ABERTURAS!$P$8,-$AZ$3*($C$13-ABERTURAS!$P$8),$C$12-$AZ$3*($C$13-ABERTURAS!$P$8)),0))+$AZ$39)/$AZ$38</f>
        <v>0.864842475705195</v>
      </c>
      <c r="BT5" s="10">
        <f>((IF(AND(ABERTURAS!$K$8="OK",ABERTURAS!$E$8="FIJA"),ABERTURAS!$R$8+CHOOSE(ABERTURAS!$N$8,$AZ$4*$C$13,0,$AZ$4*($C$13-ABERTURAS!$P$8),$AZ$4*($C$13-ABERTURAS!$P$8)),0))+$AZ$40)/$AZ$38</f>
        <v>0.158640226628895</v>
      </c>
      <c r="BU5" s="10">
        <f>((IF(AND(ABERTURAS!$K$8="OK",ABERTURAS!$E$8="OPERABLE"),CHOOSE(ABERTURAS!$N$8,ABERTURAS!$P$8-$AZ$3*$C$13,ABERTURAS!$P$8,-$AZ$3*($C$13-ABERTURAS!$P$8),$C$12-$AZ$3*($C$13-ABERTURAS!$P$8)),0))+$AZ$39)/$AZ$38</f>
        <v>0.905848141427575</v>
      </c>
      <c r="BV5" s="10">
        <f>((IF(AND(ABERTURAS!$K$8="OK",ABERTURAS!$E$8="OPERABLE"),ABERTURAS!$R$8+CHOOSE(ABERTURAS!$N$8,$AZ$4*$C$13,0,$AZ$4*($C$13-ABERTURAS!$P$8),$AZ$4*($C$13-ABERTURAS!$P$8)),0))+$AZ$40)/$AZ$38</f>
        <v>0.653918791312559</v>
      </c>
      <c r="BW5" s="10">
        <f>((IF(AND(ABERTURAS!$K$9="OK",ABERTURAS!$E$9="FIJA"),CHOOSE(ABERTURAS!$N$9,ABERTURAS!$P$9-$AZ$3*$C$13,ABERTURAS!$P$9,-$AZ$3*($C$13-ABERTURAS!$P$9),$C$12-$AZ$3*($C$13-ABERTURAS!$P$9)),0))+$AZ$39)/$AZ$38</f>
        <v>1.34076315559188</v>
      </c>
      <c r="BX5" s="10">
        <f>((IF(AND(ABERTURAS!$K$9="OK",ABERTURAS!$E$9="FIJA"),ABERTURAS!$R$9+CHOOSE(ABERTURAS!$N$9,$AZ$4*$C$13,0,$AZ$4*($C$13-ABERTURAS!$P$9),$AZ$4*($C$13-ABERTURAS!$P$9)),0))+$AZ$40)/$AZ$38</f>
        <v>0.622285174693107</v>
      </c>
      <c r="BY5" s="10">
        <f>((IF(AND(ABERTURAS!$K$9="OK",ABERTURAS!$E$9="OPERABLE"),CHOOSE(ABERTURAS!$N$9,ABERTURAS!$P$9-$AZ$3*$C$13,ABERTURAS!$P$9,-$AZ$3*($C$13-ABERTURAS!$P$9),$C$12-$AZ$3*($C$13-ABERTURAS!$P$9)),0))+$AZ$39)/$AZ$38</f>
        <v>0.864842475705195</v>
      </c>
      <c r="BZ5" s="10">
        <f>((IF(AND(ABERTURAS!$K$9="OK",ABERTURAS!$E$9="OPERABLE"),ABERTURAS!$R$9+CHOOSE(ABERTURAS!$N$9,$AZ$4*$C$13,0,$AZ$4*($C$13-ABERTURAS!$P$9),$AZ$4*($C$13-ABERTURAS!$P$9)),0))+$AZ$40)/$AZ$38</f>
        <v>0.158640226628895</v>
      </c>
      <c r="CA5" s="10">
        <f>((IF(AND(ABERTURAS!$K$10="OK",ABERTURAS!$E$10="FIJA"),CHOOSE(ABERTURAS!$N$10,ABERTURAS!$P$10-$AZ$3*$C$13,ABERTURAS!$P$10,-$AZ$3*($C$13-ABERTURAS!$P$10),$C$12-$AZ$3*($C$13-ABERTURAS!$P$10)),0))+$AZ$39)/$AZ$38</f>
        <v>0.864842475705195</v>
      </c>
      <c r="CB5" s="10">
        <f>((IF(AND(ABERTURAS!$K$10="OK",ABERTURAS!$E$10="FIJA"),ABERTURAS!$R$10+CHOOSE(ABERTURAS!$N$10,$AZ$4*$C$13,0,$AZ$4*($C$13-ABERTURAS!$P$10),$AZ$4*($C$13-ABERTURAS!$P$10)),0))+$AZ$40)/$AZ$38</f>
        <v>0.158640226628895</v>
      </c>
      <c r="CC5" s="10">
        <f>((IF(AND(ABERTURAS!$K$10="OK",ABERTURAS!$E$10="OPERABLE"),CHOOSE(ABERTURAS!$N$10,ABERTURAS!$P$10-$AZ$3*$C$13,ABERTURAS!$P$10,-$AZ$3*($C$13-ABERTURAS!$P$10),$C$12-$AZ$3*($C$13-ABERTURAS!$P$10)),0))+$AZ$39)/$AZ$38</f>
        <v>0.864842475705195</v>
      </c>
      <c r="CD5" s="10">
        <f>((IF(AND(ABERTURAS!$K$10="OK",ABERTURAS!$E$10="OPERABLE"),ABERTURAS!$R$10+CHOOSE(ABERTURAS!$N$10,$AZ$4*$C$13,0,$AZ$4*($C$13-ABERTURAS!$P$10),$AZ$4*($C$13-ABERTURAS!$P$10)),0))+$AZ$40)/$AZ$38</f>
        <v>0.158640226628895</v>
      </c>
      <c r="CE5" s="10">
        <f>((IF(AND(ABERTURAS!$K$11="OK",ABERTURAS!$E$11="FIJA"),CHOOSE(ABERTURAS!$N$11,ABERTURAS!$P$11-$AZ$3*$C$13,ABERTURAS!$P$11,-$AZ$3*($C$13-ABERTURAS!$P$11),$C$12-$AZ$3*($C$13-ABERTURAS!$P$11)),0))+$AZ$39)/$AZ$38</f>
        <v>0.864842475705195</v>
      </c>
      <c r="CF5" s="10">
        <f>((IF(AND(ABERTURAS!$K$11="OK",ABERTURAS!$E$11="FIJA"),ABERTURAS!$R$11+CHOOSE(ABERTURAS!$N$11,$AZ$4*$C$13,0,$AZ$4*($C$13-ABERTURAS!$P$11),$AZ$4*($C$13-ABERTURAS!$P$11)),0))+$AZ$40)/$AZ$38</f>
        <v>0.158640226628895</v>
      </c>
      <c r="CG5" s="10">
        <f>((IF(AND(ABERTURAS!$K$11="OK",ABERTURAS!$E$11="OPERABLE"),CHOOSE(ABERTURAS!$N$11,ABERTURAS!$P$11-$AZ$3*$C$13,ABERTURAS!$P$11,-$AZ$3*($C$13-ABERTURAS!$P$11),$C$12-$AZ$3*($C$13-ABERTURAS!$P$11)),0))+$AZ$39)/$AZ$38</f>
        <v>0.864842475705195</v>
      </c>
      <c r="CH5" s="10">
        <f>((IF(AND(ABERTURAS!$K$11="OK",ABERTURAS!$E$11="OPERABLE"),ABERTURAS!$R$11+CHOOSE(ABERTURAS!$N$11,$AZ$4*$C$13,0,$AZ$4*($C$13-ABERTURAS!$P$11),$AZ$4*($C$13-ABERTURAS!$P$11)),0))+$AZ$40)/$AZ$38</f>
        <v>0.158640226628895</v>
      </c>
      <c r="CI5" s="10">
        <f>((IF(AND(ABERTURAS!$K$12="OK",ABERTURAS!$E$12="FIJA"),CHOOSE(ABERTURAS!$N$12,ABERTURAS!$P$12-$AZ$3*$C$13,ABERTURAS!$P$12,-$AZ$3*($C$13-ABERTURAS!$P$12),$C$12-$AZ$3*($C$13-ABERTURAS!$P$12)),0))+$AZ$39)/$AZ$38</f>
        <v>0.864842475705195</v>
      </c>
      <c r="CJ5" s="10">
        <f>((IF(AND(ABERTURAS!$K$12="OK",ABERTURAS!$E$12="FIJA"),ABERTURAS!$R$12+CHOOSE(ABERTURAS!$N$12,$AZ$4*$C$13,0,$AZ$4*($C$13-ABERTURAS!$P$12),$AZ$4*($C$13-ABERTURAS!$P$12)),0))+$AZ$40)/$AZ$38</f>
        <v>0.158640226628895</v>
      </c>
      <c r="CK5" s="10">
        <f>((IF(AND(ABERTURAS!$K$12="OK",ABERTURAS!$E$12="OPERABLE"),CHOOSE(ABERTURAS!$N$12,ABERTURAS!$P$12-$AZ$3*$C$13,ABERTURAS!$P$12,-$AZ$3*($C$13-ABERTURAS!$P$12),$C$12-$AZ$3*($C$13-ABERTURAS!$P$12)),0))+$AZ$39)/$AZ$38</f>
        <v>0.864842475705195</v>
      </c>
      <c r="CL5" s="10">
        <f>((IF(AND(ABERTURAS!$K$12="OK",ABERTURAS!$E$12="OPERABLE"),ABERTURAS!$R$12+CHOOSE(ABERTURAS!$N$12,$AZ$4*$C$13,0,$AZ$4*($C$13-ABERTURAS!$P$12),$AZ$4*($C$13-ABERTURAS!$P$12)),0))+$AZ$40)/$AZ$38</f>
        <v>0.158640226628895</v>
      </c>
      <c r="CM5" s="10">
        <f>((IF(AND(ABERTURAS!$K$13="OK",ABERTURAS!$E$13="FIJA"),CHOOSE(ABERTURAS!$N$13,ABERTURAS!$P$13-$AZ$3*$C$13,ABERTURAS!$P$13,-$AZ$3*($C$13-ABERTURAS!$P$13),$C$12-$AZ$3*($C$13-ABERTURAS!$P$13)),0))+$AZ$39)/$AZ$38</f>
        <v>0.864842475705195</v>
      </c>
      <c r="CN5" s="10">
        <f>((IF(AND(ABERTURAS!$K$13="OK",ABERTURAS!$E$13="FIJA"),ABERTURAS!$R$13+CHOOSE(ABERTURAS!$N$13,$AZ$4*$C$13,0,$AZ$4*($C$13-ABERTURAS!$P$13),$AZ$4*($C$13-ABERTURAS!$P$13)),0))+$AZ$40)/$AZ$38</f>
        <v>0.158640226628895</v>
      </c>
      <c r="CO5" s="10">
        <f>((IF(AND(ABERTURAS!$K$13="OK",ABERTURAS!$E$13="OPERABLE"),CHOOSE(ABERTURAS!$N$13,ABERTURAS!$P$13-$AZ$3*$C$13,ABERTURAS!$P$13,-$AZ$3*($C$13-ABERTURAS!$P$13),$C$12-$AZ$3*($C$13-ABERTURAS!$P$13)),0))+$AZ$39)/$AZ$38</f>
        <v>0.864842475705195</v>
      </c>
      <c r="CP5" s="10">
        <f>((IF(AND(ABERTURAS!$K$13="OK",ABERTURAS!$E$13="OPERABLE"),ABERTURAS!$R$13+CHOOSE(ABERTURAS!$N$13,$AZ$4*$C$13,0,$AZ$4*($C$13-ABERTURAS!$P$13),$AZ$4*($C$13-ABERTURAS!$P$13)),0))+$AZ$40)/$AZ$38</f>
        <v>0.158640226628895</v>
      </c>
      <c r="CQ5" s="10">
        <f>((IF(AND(ABERTURAS!$K$14="OK",ABERTURAS!$E$14="FIJA"),CHOOSE(ABERTURAS!$N$14,ABERTURAS!$P$14-$AZ$3*$C$13,ABERTURAS!$P$14,-$AZ$3*($C$13-ABERTURAS!$P$14),$C$12-$AZ$3*($C$13-ABERTURAS!$P$14)),0))+$AZ$39)/$AZ$38</f>
        <v>0.864842475705195</v>
      </c>
      <c r="CR5" s="10">
        <f>((IF(AND(ABERTURAS!$K$14="OK",ABERTURAS!$E$14="FIJA"),ABERTURAS!$R$14+CHOOSE(ABERTURAS!$N$14,$AZ$4*$C$13,0,$AZ$4*($C$13-ABERTURAS!$P$14),$AZ$4*($C$13-ABERTURAS!$P$14)),0))+$AZ$40)/$AZ$38</f>
        <v>0.158640226628895</v>
      </c>
      <c r="CS5" s="10">
        <f>((IF(AND(ABERTURAS!$K$14="OK",ABERTURAS!$E$14="OPERABLE"),CHOOSE(ABERTURAS!$N$14,ABERTURAS!$P$14-$AZ$3*$C$13,ABERTURAS!$P$14,-$AZ$3*($C$13-ABERTURAS!$P$14),$C$12-$AZ$3*($C$13-ABERTURAS!$P$14)),0))+$AZ$39)/$AZ$38</f>
        <v>0.864842475705195</v>
      </c>
      <c r="CT5" s="10">
        <f>((IF(AND(ABERTURAS!$K$14="OK",ABERTURAS!$E$14="OPERABLE"),ABERTURAS!$R$14+CHOOSE(ABERTURAS!$N$14,$AZ$4*$C$13,0,$AZ$4*($C$13-ABERTURAS!$P$14),$AZ$4*($C$13-ABERTURAS!$P$14)),0))+$AZ$40)/$AZ$38</f>
        <v>0.158640226628895</v>
      </c>
      <c r="CU5" s="10">
        <f>((IF(AND(ABERTURAS!$K$15="OK",ABERTURAS!$E$15="FIJA"),CHOOSE(ABERTURAS!$N$15,ABERTURAS!$P$15-$AZ$3*$C$13,ABERTURAS!$P$15,-$AZ$3*($C$13-ABERTURAS!$P$15),$C$12-$AZ$3*($C$13-ABERTURAS!$P$15)),0))+$AZ$39)/$AZ$38</f>
        <v>0.864842475705195</v>
      </c>
      <c r="CV5" s="10">
        <f>((IF(AND(ABERTURAS!$K$15="OK",ABERTURAS!$E$15="FIJA"),ABERTURAS!$R$15+CHOOSE(ABERTURAS!$N$15,$AZ$4*$C$13,0,$AZ$4*($C$13-ABERTURAS!$P$15),$AZ$4*($C$13-ABERTURAS!$P$15)),0))+$AZ$40)/$AZ$38</f>
        <v>0.158640226628895</v>
      </c>
      <c r="CW5" s="10">
        <f>((IF(AND(ABERTURAS!$K$15="OK",ABERTURAS!$E$15="OPERABLE"),CHOOSE(ABERTURAS!$N$15,ABERTURAS!$P$15-$AZ$3*$C$13,ABERTURAS!$P$15,-$AZ$3*($C$13-ABERTURAS!$P$15),$C$12-$AZ$3*($C$13-ABERTURAS!$P$15)),0))+$AZ$39)/$AZ$38</f>
        <v>0.864842475705195</v>
      </c>
      <c r="CX5" s="10">
        <f>((IF(AND(ABERTURAS!$K$15="OK",ABERTURAS!$E$15="OPERABLE"),ABERTURAS!$R$15+CHOOSE(ABERTURAS!$N$15,$AZ$4*$C$13,0,$AZ$4*($C$13-ABERTURAS!$P$15),$AZ$4*($C$13-ABERTURAS!$P$15)),0))+$AZ$40)/$AZ$38</f>
        <v>0.158640226628895</v>
      </c>
      <c r="CY5" s="10">
        <f>((IF(AND(ABERTURAS!$K$16="OK",ABERTURAS!$E$16="FIJA"),CHOOSE(ABERTURAS!$N$16,ABERTURAS!$P$16-$AZ$3*$C$13,ABERTURAS!$P$16,-$AZ$3*($C$13-ABERTURAS!$P$16),$C$12-$AZ$3*($C$13-ABERTURAS!$P$16)),0))+$AZ$39)/$AZ$38</f>
        <v>0.864842475705195</v>
      </c>
      <c r="CZ5" s="10">
        <f>((IF(AND(ABERTURAS!$K$16="OK",ABERTURAS!$E$16="FIJA"),ABERTURAS!$R$16+CHOOSE(ABERTURAS!$N$16,$AZ$4*$C$13,0,$AZ$4*($C$13-ABERTURAS!$P$16),$AZ$4*($C$13-ABERTURAS!$P$16)),0))+$AZ$40)/$AZ$38</f>
        <v>0.158640226628895</v>
      </c>
      <c r="DA5" s="10">
        <f>((IF(AND(ABERTURAS!$K$16="OK",ABERTURAS!$E$16="OPERABLE"),CHOOSE(ABERTURAS!$N$16,ABERTURAS!$P$16-$AZ$3*$C$13,ABERTURAS!$P$16,-$AZ$3*($C$13-ABERTURAS!$P$16),$C$12-$AZ$3*($C$13-ABERTURAS!$P$16)),0))+$AZ$39)/$AZ$38</f>
        <v>0.864842475705195</v>
      </c>
      <c r="DB5" s="10">
        <f>((IF(AND(ABERTURAS!$K$16="OK",ABERTURAS!$E$16="OPERABLE"),ABERTURAS!$R$16+CHOOSE(ABERTURAS!$N$16,$AZ$4*$C$13,0,$AZ$4*($C$13-ABERTURAS!$P$16),$AZ$4*($C$13-ABERTURAS!$P$16)),0))+$AZ$40)/$AZ$38</f>
        <v>0.158640226628895</v>
      </c>
      <c r="DC5" s="10">
        <f>((IF(AND(ABERTURAS!$K$17="OK",ABERTURAS!$E$17="FIJA"),CHOOSE(ABERTURAS!$N$17,ABERTURAS!$P$17-$AZ$3*$C$13,ABERTURAS!$P$17,-$AZ$3*($C$13-ABERTURAS!$P$17),$C$12-$AZ$3*($C$13-ABERTURAS!$P$17)),0))+$AZ$39)/$AZ$38</f>
        <v>0.864842475705195</v>
      </c>
      <c r="DD5" s="10">
        <f>((IF(AND(ABERTURAS!$K$17="OK",ABERTURAS!$E$17="FIJA"),ABERTURAS!$R$17+CHOOSE(ABERTURAS!$N$17,$AZ$4*$C$13,0,$AZ$4*($C$13-ABERTURAS!$P$17),$AZ$4*($C$13-ABERTURAS!$P$17)),0))+$AZ$40)/$AZ$38</f>
        <v>0.158640226628895</v>
      </c>
      <c r="DE5" s="10">
        <f>((IF(AND(ABERTURAS!$K$17="OK",ABERTURAS!$E$17="OPERABLE"),CHOOSE(ABERTURAS!$N$17,ABERTURAS!$P$17-$AZ$3*$C$13,ABERTURAS!$P$17,-$AZ$3*($C$13-ABERTURAS!$P$17),$C$12-$AZ$3*($C$13-ABERTURAS!$P$17)),0))+$AZ$39)/$AZ$38</f>
        <v>0.864842475705195</v>
      </c>
      <c r="DF5" s="10">
        <f>((IF(AND(ABERTURAS!$K$17="OK",ABERTURAS!$E$17="OPERABLE"),ABERTURAS!$R$17+CHOOSE(ABERTURAS!$N$17,$AZ$4*$C$13,0,$AZ$4*($C$13-ABERTURAS!$P$17),$AZ$4*($C$13-ABERTURAS!$P$17)),0))+$AZ$40)/$AZ$38</f>
        <v>0.158640226628895</v>
      </c>
      <c r="DG5" s="10">
        <f>((IF(AND(ABERTURAS!$K$18="OK",ABERTURAS!$E$18="FIJA"),CHOOSE(ABERTURAS!$N$18,ABERTURAS!$P$18-$AZ$3*$C$13,ABERTURAS!$P$18,-$AZ$3*($C$13-ABERTURAS!$P$18),$C$12-$AZ$3*($C$13-ABERTURAS!$P$18)),0))+$AZ$39)/$AZ$38</f>
        <v>0.864842475705195</v>
      </c>
      <c r="DH5" s="10">
        <f>((IF(AND(ABERTURAS!$K$18="OK",ABERTURAS!$E$18="FIJA"),ABERTURAS!$R$18+CHOOSE(ABERTURAS!$N$18,$AZ$4*$C$13,0,$AZ$4*($C$13-ABERTURAS!$P$18),$AZ$4*($C$13-ABERTURAS!$P$18)),0))+$AZ$40)/$AZ$38</f>
        <v>0.158640226628895</v>
      </c>
      <c r="DI5" s="10">
        <f>((IF(AND(ABERTURAS!$K$18="OK",ABERTURAS!$E$18="OPERABLE"),CHOOSE(ABERTURAS!$N$18,ABERTURAS!$P$18-$AZ$3*$C$13,ABERTURAS!$P$18,-$AZ$3*($C$13-ABERTURAS!$P$18),$C$12-$AZ$3*($C$13-ABERTURAS!$P$18)),0))+$AZ$39)/$AZ$38</f>
        <v>0.864842475705195</v>
      </c>
      <c r="DJ5" s="10">
        <f>((IF(AND(ABERTURAS!$K$18="OK",ABERTURAS!$E$18="OPERABLE"),ABERTURAS!$R$18+CHOOSE(ABERTURAS!$N$18,$AZ$4*$C$13,0,$AZ$4*($C$13-ABERTURAS!$P$18),$AZ$4*($C$13-ABERTURAS!$P$18)),0))+$AZ$40)/$AZ$38</f>
        <v>0.158640226628895</v>
      </c>
      <c r="DK5" s="10">
        <f>((IF(AND(ABERTURAS!$K$19="OK",ABERTURAS!$E$19="FIJA"),CHOOSE(ABERTURAS!$N$19,ABERTURAS!$P$19-$AZ$3*$C$13,ABERTURAS!$P$19,-$AZ$3*($C$13-ABERTURAS!$P$19),$C$12-$AZ$3*($C$13-ABERTURAS!$P$19)),0))+$AZ$39)/$AZ$38</f>
        <v>0.864842475705195</v>
      </c>
      <c r="DL5" s="10">
        <f>((IF(AND(ABERTURAS!$K$19="OK",ABERTURAS!$E$19="FIJA"),ABERTURAS!$R$19+CHOOSE(ABERTURAS!$N$19,$AZ$4*$C$13,0,$AZ$4*($C$13-ABERTURAS!$P$19),$AZ$4*($C$13-ABERTURAS!$P$19)),0))+$AZ$40)/$AZ$38</f>
        <v>0.158640226628895</v>
      </c>
      <c r="DM5" s="10">
        <f>((IF(AND(ABERTURAS!$K$19="OK",ABERTURAS!$E$19="OPERABLE"),CHOOSE(ABERTURAS!$N$19,ABERTURAS!$P$19-$AZ$3*$C$13,ABERTURAS!$P$19,-$AZ$3*($C$13-ABERTURAS!$P$19),$C$12-$AZ$3*($C$13-ABERTURAS!$P$19)),0))+$AZ$39)/$AZ$38</f>
        <v>0.864842475705195</v>
      </c>
      <c r="DN5" s="10">
        <f>((IF(AND(ABERTURAS!$K$19="OK",ABERTURAS!$E$19="OPERABLE"),ABERTURAS!$R$19+CHOOSE(ABERTURAS!$N$19,$AZ$4*$C$13,0,$AZ$4*($C$13-ABERTURAS!$P$19),$AZ$4*($C$13-ABERTURAS!$P$19)),0))+$AZ$40)/$AZ$38</f>
        <v>0.158640226628895</v>
      </c>
      <c r="DO5" s="10">
        <f>((IF(AND(ABERTURAS!$K$20="OK",ABERTURAS!$E$20="FIJA"),CHOOSE(ABERTURAS!$N$20,ABERTURAS!$P$20-$AZ$3*$C$13,ABERTURAS!$P$20,-$AZ$3*($C$13-ABERTURAS!$P$20),$C$12-$AZ$3*($C$13-ABERTURAS!$P$20)),0))+$AZ$39)/$AZ$38</f>
        <v>0.864842475705195</v>
      </c>
      <c r="DP5" s="10">
        <f>((IF(AND(ABERTURAS!$K$20="OK",ABERTURAS!$E$20="FIJA"),ABERTURAS!$R$20+CHOOSE(ABERTURAS!$N$20,$AZ$4*$C$13,0,$AZ$4*($C$13-ABERTURAS!$P$20),$AZ$4*($C$13-ABERTURAS!$P$20)),0))+$AZ$40)/$AZ$38</f>
        <v>0.158640226628895</v>
      </c>
      <c r="DQ5" s="10">
        <f>((IF(AND(ABERTURAS!$K$20="OK",ABERTURAS!$E$20="OPERABLE"),CHOOSE(ABERTURAS!$N$20,ABERTURAS!$P$20-$AZ$3*$C$13,ABERTURAS!$P$20,-$AZ$3*($C$13-ABERTURAS!$P$20),$C$12-$AZ$3*($C$13-ABERTURAS!$P$20)),0))+$AZ$39)/$AZ$38</f>
        <v>0.864842475705195</v>
      </c>
      <c r="DR5" s="10">
        <f>((IF(AND(ABERTURAS!$K$20="OK",ABERTURAS!$E$20="OPERABLE"),ABERTURAS!$R$20+CHOOSE(ABERTURAS!$N$20,$AZ$4*$C$13,0,$AZ$4*($C$13-ABERTURAS!$P$20),$AZ$4*($C$13-ABERTURAS!$P$20)),0))+$AZ$40)/$AZ$38</f>
        <v>0.158640226628895</v>
      </c>
      <c r="DS5" s="10">
        <f>((IF(AND(ABERTURAS!$K$21="OK",ABERTURAS!$E$21="FIJA"),CHOOSE(ABERTURAS!$N$21,ABERTURAS!$P$21-$AZ$3*$C$13,ABERTURAS!$P$21,-$AZ$3*($C$13-ABERTURAS!$P$21),$C$12-$AZ$3*($C$13-ABERTURAS!$P$21)),0))+$AZ$39)/$AZ$38</f>
        <v>0.864842475705195</v>
      </c>
      <c r="DT5" s="10">
        <f>((IF(AND(ABERTURAS!$K$21="OK",ABERTURAS!$E$21="FIJA"),ABERTURAS!$R$21+CHOOSE(ABERTURAS!$N$21,$AZ$4*$C$13,0,$AZ$4*($C$13-ABERTURAS!$P$21),$AZ$4*($C$13-ABERTURAS!$P$21)),0))+$AZ$40)/$AZ$38</f>
        <v>0.158640226628895</v>
      </c>
      <c r="DU5" s="10">
        <f>((IF(AND(ABERTURAS!$K$21="OK",ABERTURAS!$E$21="OPERABLE"),CHOOSE(ABERTURAS!$N$21,ABERTURAS!$P$21-$AZ$3*$C$13,ABERTURAS!$P$21,-$AZ$3*($C$13-ABERTURAS!$P$21),$C$12-$AZ$3*($C$13-ABERTURAS!$P$21)),0))+$AZ$39)/$AZ$38</f>
        <v>0.864842475705195</v>
      </c>
      <c r="DV5" s="10">
        <f>((IF(AND(ABERTURAS!$K$21="OK",ABERTURAS!$E$21="OPERABLE"),ABERTURAS!$R$21+CHOOSE(ABERTURAS!$N$21,$AZ$4*$C$13,0,$AZ$4*($C$13-ABERTURAS!$P$21),$AZ$4*($C$13-ABERTURAS!$P$21)),0))+$AZ$40)/$AZ$38</f>
        <v>0.158640226628895</v>
      </c>
      <c r="DW5" s="10">
        <f>((IF(AND(ABERTURAS!$K$22="OK",ABERTURAS!$E$22="FIJA"),CHOOSE(ABERTURAS!$N$22,ABERTURAS!$P$22-$AZ$3*$C$13,ABERTURAS!$P$22,-$AZ$3*($C$13-ABERTURAS!$P$22),$C$12-$AZ$3*($C$13-ABERTURAS!$P$22)),0))+$AZ$39)/$AZ$38</f>
        <v>0.864842475705195</v>
      </c>
      <c r="DX5" s="10">
        <f>((IF(AND(ABERTURAS!$K$22="OK",ABERTURAS!$E$22="FIJA"),ABERTURAS!$R$22+CHOOSE(ABERTURAS!$N$22,$AZ$4*$C$13,0,$AZ$4*($C$13-ABERTURAS!$P$22),$AZ$4*($C$13-ABERTURAS!$P$22)),0))+$AZ$40)/$AZ$38</f>
        <v>0.158640226628895</v>
      </c>
      <c r="DY5" s="10">
        <f>((IF(AND(ABERTURAS!$K$22="OK",ABERTURAS!$E$22="OPERABLE"),CHOOSE(ABERTURAS!$N$22,ABERTURAS!$P$22-$AZ$3*$C$13,ABERTURAS!$P$22,-$AZ$3*($C$13-ABERTURAS!$P$22),$C$12-$AZ$3*($C$13-ABERTURAS!$P$22)),0))+$AZ$39)/$AZ$38</f>
        <v>0.864842475705195</v>
      </c>
      <c r="DZ5" s="10">
        <f>((IF(AND(ABERTURAS!$K$22="OK",ABERTURAS!$E$22="OPERABLE"),ABERTURAS!$R$22+CHOOSE(ABERTURAS!$N$22,$AZ$4*$C$13,0,$AZ$4*($C$13-ABERTURAS!$P$22),$AZ$4*($C$13-ABERTURAS!$P$22)),0))+$AZ$40)/$AZ$38</f>
        <v>0.158640226628895</v>
      </c>
      <c r="EA5" s="10">
        <f>((IF(AND(ABERTURAS!$K$23="OK",ABERTURAS!$E$23="FIJA"),CHOOSE(ABERTURAS!$N$23,ABERTURAS!$P$23-$AZ$3*$C$13,ABERTURAS!$P$23,-$AZ$3*($C$13-ABERTURAS!$P$23),$C$12-$AZ$3*($C$13-ABERTURAS!$P$23)),0))+$AZ$39)/$AZ$38</f>
        <v>0.864842475705195</v>
      </c>
      <c r="EB5" s="10">
        <f>((IF(AND(ABERTURAS!$K$23="OK",ABERTURAS!$E$23="FIJA"),ABERTURAS!$R$23+CHOOSE(ABERTURAS!$N$23,$AZ$4*$C$13,0,$AZ$4*($C$13-ABERTURAS!$P$23),$AZ$4*($C$13-ABERTURAS!$P$23)),0))+$AZ$40)/$AZ$38</f>
        <v>0.158640226628895</v>
      </c>
      <c r="EC5" s="10">
        <f>((IF(AND(ABERTURAS!$K$23="OK",ABERTURAS!$E$23="OPERABLE"),CHOOSE(ABERTURAS!$N$23,ABERTURAS!$P$23-$AZ$3*$C$13,ABERTURAS!$P$23,-$AZ$3*($C$13-ABERTURAS!$P$23),$C$12-$AZ$3*($C$13-ABERTURAS!$P$23)),0))+$AZ$39)/$AZ$38</f>
        <v>0.864842475705195</v>
      </c>
      <c r="ED5" s="10">
        <f>((IF(AND(ABERTURAS!$K$23="OK",ABERTURAS!$E$23="OPERABLE"),ABERTURAS!$R$23+CHOOSE(ABERTURAS!$N$23,$AZ$4*$C$13,0,$AZ$4*($C$13-ABERTURAS!$P$23),$AZ$4*($C$13-ABERTURAS!$P$23)),0))+$AZ$40)/$AZ$38</f>
        <v>0.158640226628895</v>
      </c>
      <c r="EE5" s="10">
        <f>((IF(AND(ABERTURAS!$K$24="OK",ABERTURAS!$E$24="FIJA"),CHOOSE(ABERTURAS!$N$24,ABERTURAS!$P$24-$AZ$3*$C$13,ABERTURAS!$P$24,-$AZ$3*($C$13-ABERTURAS!$P$24),$C$12-$AZ$3*($C$13-ABERTURAS!$P$24)),0))+$AZ$39)/$AZ$38</f>
        <v>0.864842475705195</v>
      </c>
      <c r="EF5" s="10">
        <f>((IF(AND(ABERTURAS!$K$24="OK",ABERTURAS!$E$24="FIJA"),ABERTURAS!$R$24+CHOOSE(ABERTURAS!$N$24,$AZ$4*$C$13,0,$AZ$4*($C$13-ABERTURAS!$P$24),$AZ$4*($C$13-ABERTURAS!$P$24)),0))+$AZ$40)/$AZ$38</f>
        <v>0.158640226628895</v>
      </c>
      <c r="EG5" s="10">
        <f>((IF(AND(ABERTURAS!$K$24="OK",ABERTURAS!$E$24="OPERABLE"),CHOOSE(ABERTURAS!$N$24,ABERTURAS!$P$24-$AZ$3*$C$13,ABERTURAS!$P$24,-$AZ$3*($C$13-ABERTURAS!$P$24),$C$12-$AZ$3*($C$13-ABERTURAS!$P$24)),0))+$AZ$39)/$AZ$38</f>
        <v>0.864842475705195</v>
      </c>
      <c r="EH5" s="10">
        <f>((IF(AND(ABERTURAS!$K$24="OK",ABERTURAS!$E$24="OPERABLE"),ABERTURAS!$R$24+CHOOSE(ABERTURAS!$N$24,$AZ$4*$C$13,0,$AZ$4*($C$13-ABERTURAS!$P$24),$AZ$4*($C$13-ABERTURAS!$P$24)),0))+$AZ$40)/$AZ$38</f>
        <v>0.158640226628895</v>
      </c>
      <c r="EI5" s="10">
        <f>((IF(AND(ABERTURAS!$K$25="OK",ABERTURAS!$E$25="FIJA"),CHOOSE(ABERTURAS!$N$25,ABERTURAS!$P$25-$AZ$3*$C$13,ABERTURAS!$P$25,-$AZ$3*($C$13-ABERTURAS!$P$25),$C$12-$AZ$3*($C$13-ABERTURAS!$P$25)),0))+$AZ$39)/$AZ$38</f>
        <v>0.864842475705195</v>
      </c>
      <c r="EJ5" s="10">
        <f>((IF(AND(ABERTURAS!$K$25="OK",ABERTURAS!$E$25="FIJA"),ABERTURAS!$R$25+CHOOSE(ABERTURAS!$N$25,$AZ$4*$C$13,0,$AZ$4*($C$13-ABERTURAS!$P$25),$AZ$4*($C$13-ABERTURAS!$P$25)),0))+$AZ$40)/$AZ$38</f>
        <v>0.158640226628895</v>
      </c>
      <c r="EK5" s="10">
        <f>((IF(AND(ABERTURAS!$K$25="OK",ABERTURAS!$E$25="OPERABLE"),CHOOSE(ABERTURAS!$N$25,ABERTURAS!$P$25-$AZ$3*$C$13,ABERTURAS!$P$25,-$AZ$3*($C$13-ABERTURAS!$P$25),$C$12-$AZ$3*($C$13-ABERTURAS!$P$25)),0))+$AZ$39)/$AZ$38</f>
        <v>0.864842475705195</v>
      </c>
      <c r="EL5" s="10">
        <f>((IF(AND(ABERTURAS!$K$25="OK",ABERTURAS!$E$25="OPERABLE"),ABERTURAS!$R$25+CHOOSE(ABERTURAS!$N$25,$AZ$4*$C$13,0,$AZ$4*($C$13-ABERTURAS!$P$25),$AZ$4*($C$13-ABERTURAS!$P$25)),0))+$AZ$40)/$AZ$38</f>
        <v>0.158640226628895</v>
      </c>
      <c r="EM5" s="10">
        <f>((IF(AND(ABERTURAS!$K$26="OK",ABERTURAS!$E$26="FIJA"),CHOOSE(ABERTURAS!$N$26,ABERTURAS!$P$26-$AZ$3*$C$13,ABERTURAS!$P$26,-$AZ$3*($C$13-ABERTURAS!$P$26),$C$12-$AZ$3*($C$13-ABERTURAS!$P$26)),0))+$AZ$39)/$AZ$38</f>
        <v>0.864842475705195</v>
      </c>
      <c r="EN5" s="10">
        <f>((IF(AND(ABERTURAS!$K$26="OK",ABERTURAS!$E$26="FIJA"),ABERTURAS!$R$26+CHOOSE(ABERTURAS!$N$26,$AZ$4*$C$13,0,$AZ$4*($C$13-ABERTURAS!$P$26),$AZ$4*($C$13-ABERTURAS!$P$26)),0))+$AZ$40)/$AZ$38</f>
        <v>0.158640226628895</v>
      </c>
      <c r="EO5" s="10">
        <f>((IF(AND(ABERTURAS!$K$26="OK",ABERTURAS!$E$26="OPERABLE"),CHOOSE(ABERTURAS!$N$26,ABERTURAS!$P$26-$AZ$3*$C$13,ABERTURAS!$P$26,-$AZ$3*($C$13-ABERTURAS!$P$26),$C$12-$AZ$3*($C$13-ABERTURAS!$P$26)),0))+$AZ$39)/$AZ$38</f>
        <v>0.864842475705195</v>
      </c>
      <c r="EP5" s="10">
        <f>((IF(AND(ABERTURAS!$K$26="OK",ABERTURAS!$E$26="OPERABLE"),ABERTURAS!$R$26+CHOOSE(ABERTURAS!$N$26,$AZ$4*$C$13,0,$AZ$4*($C$13-ABERTURAS!$P$26),$AZ$4*($C$13-ABERTURAS!$P$26)),0))+$AZ$40)/$AZ$38</f>
        <v>0.158640226628895</v>
      </c>
    </row>
    <row r="6" spans="2:146" ht="30" customHeight="1" x14ac:dyDescent="0.3">
      <c r="B6" s="2" t="s">
        <v>71</v>
      </c>
      <c r="C6" s="2" t="s">
        <v>72</v>
      </c>
      <c r="D6" s="2" t="s">
        <v>73</v>
      </c>
      <c r="E6" s="2" t="s">
        <v>74</v>
      </c>
      <c r="F6" s="2" t="s">
        <v>75</v>
      </c>
      <c r="AA6" s="10">
        <f>$C$23*3/8</f>
        <v>6</v>
      </c>
      <c r="AB6" s="10">
        <f>IF($C$14="PLANO",$C$17,IF($C$14="DOS AGUAS",$C$17+($C$18-$C$17)*(1-ABS(2*($AA$6)/$C$23-1)),IF($C$14="UN AGUA",IF(N($C$25)=0,$C$18-($C$18-$C$17)*($AA$6)/$C$23,$C$17+($C$18-$C$17)*($AA$6)/$C$23),$C$17+4*($C$18-$C$17)*($AA$6)/$C$23*(1-($AA$6)/$C$23))))</f>
        <v>10.32</v>
      </c>
      <c r="AE6" s="10">
        <f>ABERTURAS!$D$51*7/8</f>
        <v>8.82</v>
      </c>
      <c r="AF6" s="10">
        <f>IF(ABERTURAS!$E$51="SÍ",$AB$10,ABERTURAS!$F$51)</f>
        <v>10.62</v>
      </c>
      <c r="AG6" s="10">
        <f>((($AZ$5+$AE6*($C$12-2*$AZ$5)/$C$12)-$AZ$3*$C$13)+$AZ$39)/$AZ$38</f>
        <v>0.952661172589048</v>
      </c>
      <c r="AH6" s="10">
        <f>((IF($AF6&gt;0,$AF6-$AZ$5,0)+$AZ$4*$C$13)+$AZ$40)/$AZ$38</f>
        <v>0.841359773371105</v>
      </c>
      <c r="AI6" s="10">
        <f>ABERTURAS!$D$52*7/8</f>
        <v>8.82</v>
      </c>
      <c r="AJ6" s="10">
        <f>IF(ABERTURAS!$E$52="SÍ",$AB$10,ABERTURAS!$F$52)</f>
        <v>9.82</v>
      </c>
      <c r="AK6" s="10">
        <f>((($AZ$5+$AI6*($C$12-2*$AZ$5)/$C$12))+$AZ$39)/$AZ$38</f>
        <v>1.26994162584684</v>
      </c>
      <c r="AL6" s="10">
        <f>((IF($AJ6&gt;0,$AJ6-$AZ$5,0))+$AZ$40)/$AZ$38</f>
        <v>0.607176581680831</v>
      </c>
      <c r="AM6" s="10">
        <f>ABERTURAS!$D$53*7/8</f>
        <v>14</v>
      </c>
      <c r="AN6" s="10">
        <f>IF(ABERTURAS!$E$53="SÍ",$AB$10,ABERTURAS!$F$53)</f>
        <v>9.92</v>
      </c>
      <c r="AO6" s="10">
        <f>((-$AZ$3*($C$13-($AZ$5+$AM6*($C$13-2*$AZ$5)/$C$13)))+$AZ$39)/$AZ$38</f>
        <v>0.820423212249105</v>
      </c>
      <c r="AP6" s="10">
        <f>((IF($AN6&gt;0,$AN6-$AZ$5,0)+$AZ$4*($C$13-($AZ$5+$AM6*($C$13-2*$AZ$5)/$C$13)))+$AZ$40)/$AZ$38</f>
        <v>0.639395656279509</v>
      </c>
      <c r="AQ6" s="10">
        <f>ABERTURAS!$D$54*7/8</f>
        <v>14</v>
      </c>
      <c r="AR6" s="10">
        <f>IF(ABERTURAS!$E$54="SÍ",$AB$10,ABERTURAS!$F$54)</f>
        <v>9.92</v>
      </c>
      <c r="AS6" s="10">
        <f>(($C$12-$AZ$3*($C$13-($AZ$5+$AQ6*($C$13-2*$AZ$5)/$C$13)))+$AZ$39)/$AZ$38</f>
        <v>1.29634389213579</v>
      </c>
      <c r="AT6" s="10">
        <f>((IF($AR6&gt;0,$AR6-$AZ$5,0)+$AZ$4*($C$13-($AZ$5+$AQ6*($C$13-2*$AZ$5)/$C$13)))+$AZ$40)/$AZ$38</f>
        <v>0.639395656279509</v>
      </c>
      <c r="AU6" s="10">
        <f>((IF($AC$3="Z",0,$AA$6)-$AZ$3*($C$13-IF($AC$3="Z",$AA$6,0)))+$AZ$39)/$AZ$38</f>
        <v>0.666542192419076</v>
      </c>
      <c r="AV6" s="10">
        <f>(($AB$6+$AZ$4*($C$13-IF($AC$3="Z",$AA$6,0)))+$AZ$40)/$AZ$38</f>
        <v>0.768649669499528</v>
      </c>
      <c r="AY6" s="9" t="inlineStr">
        <is>
          <t>x' mín nave</t>
        </is>
      </c>
      <c r="AZ6" s="11">
        <f>-$AZ$3*$C$13</f>
        <v>-6.72</v>
      </c>
      <c r="BA6" s="10">
        <f>BA4</f>
        <v>0.785522362390748</v>
      </c>
      <c r="BB6" s="10">
        <f>BB4</f>
        <v>0.841359773371105</v>
      </c>
      <c r="BC6" s="10">
        <f>BC4</f>
        <v>1.10280281564854</v>
      </c>
      <c r="BD6" s="10">
        <f>BD4</f>
        <v>0.158640226628895</v>
      </c>
      <c r="BE6" s="10">
        <f>BE4</f>
        <v>0.7062022490763</v>
      </c>
      <c r="BF6" s="10">
        <f>BF4</f>
        <v>0.256846081208687</v>
      </c>
      <c r="BG6" s="10">
        <f>BG4</f>
        <v>1.18212292896299</v>
      </c>
      <c r="BH6" s="10">
        <f>BH4</f>
        <v>0.724268177525968</v>
      </c>
      <c r="BI6" s="10">
        <f>BI4</f>
        <v>1.57079148420378</v>
      </c>
      <c r="BJ6" s="10">
        <f>BJ4</f>
        <v>0.237960339943343</v>
      </c>
      <c r="BK6" s="10">
        <f>BK4</f>
        <v>1.49940338222078</v>
      </c>
      <c r="BL6" s="10">
        <f>BL4</f>
        <v>0.309348441926346</v>
      </c>
      <c r="BM6" s="10">
        <f>BM4</f>
        <v>1.56010219722512</v>
      </c>
      <c r="BN6" s="10">
        <f>BN4</f>
        <v>0.200384883035891</v>
      </c>
      <c r="BO6" s="10">
        <f>((IF(AND(ABERTURAS!$K$7="OK",ABERTURAS!$E$7="FIJA"),CHOOSE(ABERTURAS!$N$7,ABERTURAS!$O$7-$AZ$3*$C$13,ABERTURAS!$O$7,-$AZ$3*($C$13-ABERTURAS!$O$7),$C$12-$AZ$3*($C$13-ABERTURAS!$O$7)),0))+$AZ$39)/$AZ$38</f>
        <v>0.864842475705195</v>
      </c>
      <c r="BP6" s="10">
        <f>((IF(AND(ABERTURAS!$K$7="OK",ABERTURAS!$E$7="FIJA"),ABERTURAS!$R$7+CHOOSE(ABERTURAS!$N$7,$AZ$4*$C$13,0,$AZ$4*($C$13-ABERTURAS!$O$7),$AZ$4*($C$13-ABERTURAS!$O$7)),0))+$AZ$40)/$AZ$38</f>
        <v>0.158640226628895</v>
      </c>
      <c r="BQ6" s="10">
        <f>((IF(AND(ABERTURAS!$K$7="OK",ABERTURAS!$E$7="OPERABLE"),CHOOSE(ABERTURAS!$N$7,ABERTURAS!$O$7-$AZ$3*$C$13,ABERTURAS!$O$7,-$AZ$3*($C$13-ABERTURAS!$O$7),$C$12-$AZ$3*($C$13-ABERTURAS!$O$7)),0))+$AZ$39)/$AZ$38</f>
        <v>0.577897244354865</v>
      </c>
      <c r="BR6" s="10">
        <f>((IF(AND(ABERTURAS!$K$7="OK",ABERTURAS!$E$7="OPERABLE"),ABERTURAS!$R$7+CHOOSE(ABERTURAS!$N$7,$AZ$4*$C$13,0,$AZ$4*($C$13-ABERTURAS!$O$7),$AZ$4*($C$13-ABERTURAS!$O$7)),0))+$AZ$40)/$AZ$38</f>
        <v>0.468366383380548</v>
      </c>
      <c r="BS6" s="10">
        <f>((IF(AND(ABERTURAS!$K$8="OK",ABERTURAS!$E$8="FIJA"),CHOOSE(ABERTURAS!$N$8,ABERTURAS!$O$8-$AZ$3*$C$13,ABERTURAS!$O$8,-$AZ$3*($C$13-ABERTURAS!$O$8),$C$12-$AZ$3*($C$13-ABERTURAS!$O$8)),0))+$AZ$39)/$AZ$38</f>
        <v>0.864842475705195</v>
      </c>
      <c r="BT6" s="10">
        <f>((IF(AND(ABERTURAS!$K$8="OK",ABERTURAS!$E$8="FIJA"),ABERTURAS!$R$8+CHOOSE(ABERTURAS!$N$8,$AZ$4*$C$13,0,$AZ$4*($C$13-ABERTURAS!$O$8),$AZ$4*($C$13-ABERTURAS!$O$8)),0))+$AZ$40)/$AZ$38</f>
        <v>0.158640226628895</v>
      </c>
      <c r="BU6" s="10">
        <f>((IF(AND(ABERTURAS!$K$8="OK",ABERTURAS!$E$8="OPERABLE"),CHOOSE(ABERTURAS!$N$8,ABERTURAS!$O$8-$AZ$3*$C$13,ABERTURAS!$O$8,-$AZ$3*($C$13-ABERTURAS!$O$8),$C$12-$AZ$3*($C$13-ABERTURAS!$O$8)),0))+$AZ$39)/$AZ$38</f>
        <v>0.664979397329369</v>
      </c>
      <c r="BV6" s="10">
        <f>((IF(AND(ABERTURAS!$K$8="OK",ABERTURAS!$E$8="OPERABLE"),ABERTURAS!$R$8+CHOOSE(ABERTURAS!$N$8,$AZ$4*$C$13,0,$AZ$4*($C$13-ABERTURAS!$O$8),$AZ$4*($C$13-ABERTURAS!$O$8)),0))+$AZ$40)/$AZ$38</f>
        <v>0.653918791312559</v>
      </c>
      <c r="BW6" s="10">
        <f>((IF(AND(ABERTURAS!$K$9="OK",ABERTURAS!$E$9="FIJA"),CHOOSE(ABERTURAS!$N$9,ABERTURAS!$O$9-$AZ$3*$C$13,ABERTURAS!$O$9,-$AZ$3*($C$13-ABERTURAS!$O$9),$C$12-$AZ$3*($C$13-ABERTURAS!$O$9)),0))+$AZ$39)/$AZ$38</f>
        <v>0.864842475705195</v>
      </c>
      <c r="BX6" s="10">
        <f>((IF(AND(ABERTURAS!$K$9="OK",ABERTURAS!$E$9="FIJA"),ABERTURAS!$R$9+CHOOSE(ABERTURAS!$N$9,$AZ$4*$C$13,0,$AZ$4*($C$13-ABERTURAS!$O$9),$AZ$4*($C$13-ABERTURAS!$O$9)),0))+$AZ$40)/$AZ$38</f>
        <v>0.622285174693107</v>
      </c>
      <c r="BY6" s="10">
        <f>((IF(AND(ABERTURAS!$K$9="OK",ABERTURAS!$E$9="OPERABLE"),CHOOSE(ABERTURAS!$N$9,ABERTURAS!$O$9-$AZ$3*$C$13,ABERTURAS!$O$9,-$AZ$3*($C$13-ABERTURAS!$O$9),$C$12-$AZ$3*($C$13-ABERTURAS!$O$9)),0))+$AZ$39)/$AZ$38</f>
        <v>0.864842475705195</v>
      </c>
      <c r="BZ6" s="10">
        <f>((IF(AND(ABERTURAS!$K$9="OK",ABERTURAS!$E$9="OPERABLE"),ABERTURAS!$R$9+CHOOSE(ABERTURAS!$N$9,$AZ$4*$C$13,0,$AZ$4*($C$13-ABERTURAS!$O$9),$AZ$4*($C$13-ABERTURAS!$O$9)),0))+$AZ$40)/$AZ$38</f>
        <v>0.158640226628895</v>
      </c>
      <c r="CA6" s="10">
        <f>((IF(AND(ABERTURAS!$K$10="OK",ABERTURAS!$E$10="FIJA"),CHOOSE(ABERTURAS!$N$10,ABERTURAS!$O$10-$AZ$3*$C$13,ABERTURAS!$O$10,-$AZ$3*($C$13-ABERTURAS!$O$10),$C$12-$AZ$3*($C$13-ABERTURAS!$O$10)),0))+$AZ$39)/$AZ$38</f>
        <v>0.864842475705195</v>
      </c>
      <c r="CB6" s="10">
        <f>((IF(AND(ABERTURAS!$K$10="OK",ABERTURAS!$E$10="FIJA"),ABERTURAS!$R$10+CHOOSE(ABERTURAS!$N$10,$AZ$4*$C$13,0,$AZ$4*($C$13-ABERTURAS!$O$10),$AZ$4*($C$13-ABERTURAS!$O$10)),0))+$AZ$40)/$AZ$38</f>
        <v>0.158640226628895</v>
      </c>
      <c r="CC6" s="10">
        <f>((IF(AND(ABERTURAS!$K$10="OK",ABERTURAS!$E$10="OPERABLE"),CHOOSE(ABERTURAS!$N$10,ABERTURAS!$O$10-$AZ$3*$C$13,ABERTURAS!$O$10,-$AZ$3*($C$13-ABERTURAS!$O$10),$C$12-$AZ$3*($C$13-ABERTURAS!$O$10)),0))+$AZ$39)/$AZ$38</f>
        <v>0.864842475705195</v>
      </c>
      <c r="CD6" s="10">
        <f>((IF(AND(ABERTURAS!$K$10="OK",ABERTURAS!$E$10="OPERABLE"),ABERTURAS!$R$10+CHOOSE(ABERTURAS!$N$10,$AZ$4*$C$13,0,$AZ$4*($C$13-ABERTURAS!$O$10),$AZ$4*($C$13-ABERTURAS!$O$10)),0))+$AZ$40)/$AZ$38</f>
        <v>0.158640226628895</v>
      </c>
      <c r="CE6" s="10">
        <f>((IF(AND(ABERTURAS!$K$11="OK",ABERTURAS!$E$11="FIJA"),CHOOSE(ABERTURAS!$N$11,ABERTURAS!$O$11-$AZ$3*$C$13,ABERTURAS!$O$11,-$AZ$3*($C$13-ABERTURAS!$O$11),$C$12-$AZ$3*($C$13-ABERTURAS!$O$11)),0))+$AZ$39)/$AZ$38</f>
        <v>0.864842475705195</v>
      </c>
      <c r="CF6" s="10">
        <f>((IF(AND(ABERTURAS!$K$11="OK",ABERTURAS!$E$11="FIJA"),ABERTURAS!$R$11+CHOOSE(ABERTURAS!$N$11,$AZ$4*$C$13,0,$AZ$4*($C$13-ABERTURAS!$O$11),$AZ$4*($C$13-ABERTURAS!$O$11)),0))+$AZ$40)/$AZ$38</f>
        <v>0.158640226628895</v>
      </c>
      <c r="CG6" s="10">
        <f>((IF(AND(ABERTURAS!$K$11="OK",ABERTURAS!$E$11="OPERABLE"),CHOOSE(ABERTURAS!$N$11,ABERTURAS!$O$11-$AZ$3*$C$13,ABERTURAS!$O$11,-$AZ$3*($C$13-ABERTURAS!$O$11),$C$12-$AZ$3*($C$13-ABERTURAS!$O$11)),0))+$AZ$39)/$AZ$38</f>
        <v>0.864842475705195</v>
      </c>
      <c r="CH6" s="10">
        <f>((IF(AND(ABERTURAS!$K$11="OK",ABERTURAS!$E$11="OPERABLE"),ABERTURAS!$R$11+CHOOSE(ABERTURAS!$N$11,$AZ$4*$C$13,0,$AZ$4*($C$13-ABERTURAS!$O$11),$AZ$4*($C$13-ABERTURAS!$O$11)),0))+$AZ$40)/$AZ$38</f>
        <v>0.158640226628895</v>
      </c>
      <c r="CI6" s="10">
        <f>((IF(AND(ABERTURAS!$K$12="OK",ABERTURAS!$E$12="FIJA"),CHOOSE(ABERTURAS!$N$12,ABERTURAS!$O$12-$AZ$3*$C$13,ABERTURAS!$O$12,-$AZ$3*($C$13-ABERTURAS!$O$12),$C$12-$AZ$3*($C$13-ABERTURAS!$O$12)),0))+$AZ$39)/$AZ$38</f>
        <v>0.864842475705195</v>
      </c>
      <c r="CJ6" s="10">
        <f>((IF(AND(ABERTURAS!$K$12="OK",ABERTURAS!$E$12="FIJA"),ABERTURAS!$R$12+CHOOSE(ABERTURAS!$N$12,$AZ$4*$C$13,0,$AZ$4*($C$13-ABERTURAS!$O$12),$AZ$4*($C$13-ABERTURAS!$O$12)),0))+$AZ$40)/$AZ$38</f>
        <v>0.158640226628895</v>
      </c>
      <c r="CK6" s="10">
        <f>((IF(AND(ABERTURAS!$K$12="OK",ABERTURAS!$E$12="OPERABLE"),CHOOSE(ABERTURAS!$N$12,ABERTURAS!$O$12-$AZ$3*$C$13,ABERTURAS!$O$12,-$AZ$3*($C$13-ABERTURAS!$O$12),$C$12-$AZ$3*($C$13-ABERTURAS!$O$12)),0))+$AZ$39)/$AZ$38</f>
        <v>0.864842475705195</v>
      </c>
      <c r="CL6" s="10">
        <f>((IF(AND(ABERTURAS!$K$12="OK",ABERTURAS!$E$12="OPERABLE"),ABERTURAS!$R$12+CHOOSE(ABERTURAS!$N$12,$AZ$4*$C$13,0,$AZ$4*($C$13-ABERTURAS!$O$12),$AZ$4*($C$13-ABERTURAS!$O$12)),0))+$AZ$40)/$AZ$38</f>
        <v>0.158640226628895</v>
      </c>
      <c r="CM6" s="10">
        <f>((IF(AND(ABERTURAS!$K$13="OK",ABERTURAS!$E$13="FIJA"),CHOOSE(ABERTURAS!$N$13,ABERTURAS!$O$13-$AZ$3*$C$13,ABERTURAS!$O$13,-$AZ$3*($C$13-ABERTURAS!$O$13),$C$12-$AZ$3*($C$13-ABERTURAS!$O$13)),0))+$AZ$39)/$AZ$38</f>
        <v>0.864842475705195</v>
      </c>
      <c r="CN6" s="10">
        <f>((IF(AND(ABERTURAS!$K$13="OK",ABERTURAS!$E$13="FIJA"),ABERTURAS!$R$13+CHOOSE(ABERTURAS!$N$13,$AZ$4*$C$13,0,$AZ$4*($C$13-ABERTURAS!$O$13),$AZ$4*($C$13-ABERTURAS!$O$13)),0))+$AZ$40)/$AZ$38</f>
        <v>0.158640226628895</v>
      </c>
      <c r="CO6" s="10">
        <f>((IF(AND(ABERTURAS!$K$13="OK",ABERTURAS!$E$13="OPERABLE"),CHOOSE(ABERTURAS!$N$13,ABERTURAS!$O$13-$AZ$3*$C$13,ABERTURAS!$O$13,-$AZ$3*($C$13-ABERTURAS!$O$13),$C$12-$AZ$3*($C$13-ABERTURAS!$O$13)),0))+$AZ$39)/$AZ$38</f>
        <v>0.864842475705195</v>
      </c>
      <c r="CP6" s="10">
        <f>((IF(AND(ABERTURAS!$K$13="OK",ABERTURAS!$E$13="OPERABLE"),ABERTURAS!$R$13+CHOOSE(ABERTURAS!$N$13,$AZ$4*$C$13,0,$AZ$4*($C$13-ABERTURAS!$O$13),$AZ$4*($C$13-ABERTURAS!$O$13)),0))+$AZ$40)/$AZ$38</f>
        <v>0.158640226628895</v>
      </c>
      <c r="CQ6" s="10">
        <f>((IF(AND(ABERTURAS!$K$14="OK",ABERTURAS!$E$14="FIJA"),CHOOSE(ABERTURAS!$N$14,ABERTURAS!$O$14-$AZ$3*$C$13,ABERTURAS!$O$14,-$AZ$3*($C$13-ABERTURAS!$O$14),$C$12-$AZ$3*($C$13-ABERTURAS!$O$14)),0))+$AZ$39)/$AZ$38</f>
        <v>0.864842475705195</v>
      </c>
      <c r="CR6" s="10">
        <f>((IF(AND(ABERTURAS!$K$14="OK",ABERTURAS!$E$14="FIJA"),ABERTURAS!$R$14+CHOOSE(ABERTURAS!$N$14,$AZ$4*$C$13,0,$AZ$4*($C$13-ABERTURAS!$O$14),$AZ$4*($C$13-ABERTURAS!$O$14)),0))+$AZ$40)/$AZ$38</f>
        <v>0.158640226628895</v>
      </c>
      <c r="CS6" s="10">
        <f>((IF(AND(ABERTURAS!$K$14="OK",ABERTURAS!$E$14="OPERABLE"),CHOOSE(ABERTURAS!$N$14,ABERTURAS!$O$14-$AZ$3*$C$13,ABERTURAS!$O$14,-$AZ$3*($C$13-ABERTURAS!$O$14),$C$12-$AZ$3*($C$13-ABERTURAS!$O$14)),0))+$AZ$39)/$AZ$38</f>
        <v>0.864842475705195</v>
      </c>
      <c r="CT6" s="10">
        <f>((IF(AND(ABERTURAS!$K$14="OK",ABERTURAS!$E$14="OPERABLE"),ABERTURAS!$R$14+CHOOSE(ABERTURAS!$N$14,$AZ$4*$C$13,0,$AZ$4*($C$13-ABERTURAS!$O$14),$AZ$4*($C$13-ABERTURAS!$O$14)),0))+$AZ$40)/$AZ$38</f>
        <v>0.158640226628895</v>
      </c>
      <c r="CU6" s="10">
        <f>((IF(AND(ABERTURAS!$K$15="OK",ABERTURAS!$E$15="FIJA"),CHOOSE(ABERTURAS!$N$15,ABERTURAS!$O$15-$AZ$3*$C$13,ABERTURAS!$O$15,-$AZ$3*($C$13-ABERTURAS!$O$15),$C$12-$AZ$3*($C$13-ABERTURAS!$O$15)),0))+$AZ$39)/$AZ$38</f>
        <v>0.864842475705195</v>
      </c>
      <c r="CV6" s="10">
        <f>((IF(AND(ABERTURAS!$K$15="OK",ABERTURAS!$E$15="FIJA"),ABERTURAS!$R$15+CHOOSE(ABERTURAS!$N$15,$AZ$4*$C$13,0,$AZ$4*($C$13-ABERTURAS!$O$15),$AZ$4*($C$13-ABERTURAS!$O$15)),0))+$AZ$40)/$AZ$38</f>
        <v>0.158640226628895</v>
      </c>
      <c r="CW6" s="10">
        <f>((IF(AND(ABERTURAS!$K$15="OK",ABERTURAS!$E$15="OPERABLE"),CHOOSE(ABERTURAS!$N$15,ABERTURAS!$O$15-$AZ$3*$C$13,ABERTURAS!$O$15,-$AZ$3*($C$13-ABERTURAS!$O$15),$C$12-$AZ$3*($C$13-ABERTURAS!$O$15)),0))+$AZ$39)/$AZ$38</f>
        <v>0.864842475705195</v>
      </c>
      <c r="CX6" s="10">
        <f>((IF(AND(ABERTURAS!$K$15="OK",ABERTURAS!$E$15="OPERABLE"),ABERTURAS!$R$15+CHOOSE(ABERTURAS!$N$15,$AZ$4*$C$13,0,$AZ$4*($C$13-ABERTURAS!$O$15),$AZ$4*($C$13-ABERTURAS!$O$15)),0))+$AZ$40)/$AZ$38</f>
        <v>0.158640226628895</v>
      </c>
      <c r="CY6" s="10">
        <f>((IF(AND(ABERTURAS!$K$16="OK",ABERTURAS!$E$16="FIJA"),CHOOSE(ABERTURAS!$N$16,ABERTURAS!$O$16-$AZ$3*$C$13,ABERTURAS!$O$16,-$AZ$3*($C$13-ABERTURAS!$O$16),$C$12-$AZ$3*($C$13-ABERTURAS!$O$16)),0))+$AZ$39)/$AZ$38</f>
        <v>0.864842475705195</v>
      </c>
      <c r="CZ6" s="10">
        <f>((IF(AND(ABERTURAS!$K$16="OK",ABERTURAS!$E$16="FIJA"),ABERTURAS!$R$16+CHOOSE(ABERTURAS!$N$16,$AZ$4*$C$13,0,$AZ$4*($C$13-ABERTURAS!$O$16),$AZ$4*($C$13-ABERTURAS!$O$16)),0))+$AZ$40)/$AZ$38</f>
        <v>0.158640226628895</v>
      </c>
      <c r="DA6" s="10">
        <f>((IF(AND(ABERTURAS!$K$16="OK",ABERTURAS!$E$16="OPERABLE"),CHOOSE(ABERTURAS!$N$16,ABERTURAS!$O$16-$AZ$3*$C$13,ABERTURAS!$O$16,-$AZ$3*($C$13-ABERTURAS!$O$16),$C$12-$AZ$3*($C$13-ABERTURAS!$O$16)),0))+$AZ$39)/$AZ$38</f>
        <v>0.864842475705195</v>
      </c>
      <c r="DB6" s="10">
        <f>((IF(AND(ABERTURAS!$K$16="OK",ABERTURAS!$E$16="OPERABLE"),ABERTURAS!$R$16+CHOOSE(ABERTURAS!$N$16,$AZ$4*$C$13,0,$AZ$4*($C$13-ABERTURAS!$O$16),$AZ$4*($C$13-ABERTURAS!$O$16)),0))+$AZ$40)/$AZ$38</f>
        <v>0.158640226628895</v>
      </c>
      <c r="DC6" s="10">
        <f>((IF(AND(ABERTURAS!$K$17="OK",ABERTURAS!$E$17="FIJA"),CHOOSE(ABERTURAS!$N$17,ABERTURAS!$O$17-$AZ$3*$C$13,ABERTURAS!$O$17,-$AZ$3*($C$13-ABERTURAS!$O$17),$C$12-$AZ$3*($C$13-ABERTURAS!$O$17)),0))+$AZ$39)/$AZ$38</f>
        <v>0.864842475705195</v>
      </c>
      <c r="DD6" s="10">
        <f>((IF(AND(ABERTURAS!$K$17="OK",ABERTURAS!$E$17="FIJA"),ABERTURAS!$R$17+CHOOSE(ABERTURAS!$N$17,$AZ$4*$C$13,0,$AZ$4*($C$13-ABERTURAS!$O$17),$AZ$4*($C$13-ABERTURAS!$O$17)),0))+$AZ$40)/$AZ$38</f>
        <v>0.158640226628895</v>
      </c>
      <c r="DE6" s="10">
        <f>((IF(AND(ABERTURAS!$K$17="OK",ABERTURAS!$E$17="OPERABLE"),CHOOSE(ABERTURAS!$N$17,ABERTURAS!$O$17-$AZ$3*$C$13,ABERTURAS!$O$17,-$AZ$3*($C$13-ABERTURAS!$O$17),$C$12-$AZ$3*($C$13-ABERTURAS!$O$17)),0))+$AZ$39)/$AZ$38</f>
        <v>0.864842475705195</v>
      </c>
      <c r="DF6" s="10">
        <f>((IF(AND(ABERTURAS!$K$17="OK",ABERTURAS!$E$17="OPERABLE"),ABERTURAS!$R$17+CHOOSE(ABERTURAS!$N$17,$AZ$4*$C$13,0,$AZ$4*($C$13-ABERTURAS!$O$17),$AZ$4*($C$13-ABERTURAS!$O$17)),0))+$AZ$40)/$AZ$38</f>
        <v>0.158640226628895</v>
      </c>
      <c r="DG6" s="10">
        <f>((IF(AND(ABERTURAS!$K$18="OK",ABERTURAS!$E$18="FIJA"),CHOOSE(ABERTURAS!$N$18,ABERTURAS!$O$18-$AZ$3*$C$13,ABERTURAS!$O$18,-$AZ$3*($C$13-ABERTURAS!$O$18),$C$12-$AZ$3*($C$13-ABERTURAS!$O$18)),0))+$AZ$39)/$AZ$38</f>
        <v>0.864842475705195</v>
      </c>
      <c r="DH6" s="10">
        <f>((IF(AND(ABERTURAS!$K$18="OK",ABERTURAS!$E$18="FIJA"),ABERTURAS!$R$18+CHOOSE(ABERTURAS!$N$18,$AZ$4*$C$13,0,$AZ$4*($C$13-ABERTURAS!$O$18),$AZ$4*($C$13-ABERTURAS!$O$18)),0))+$AZ$40)/$AZ$38</f>
        <v>0.158640226628895</v>
      </c>
      <c r="DI6" s="10">
        <f>((IF(AND(ABERTURAS!$K$18="OK",ABERTURAS!$E$18="OPERABLE"),CHOOSE(ABERTURAS!$N$18,ABERTURAS!$O$18-$AZ$3*$C$13,ABERTURAS!$O$18,-$AZ$3*($C$13-ABERTURAS!$O$18),$C$12-$AZ$3*($C$13-ABERTURAS!$O$18)),0))+$AZ$39)/$AZ$38</f>
        <v>0.864842475705195</v>
      </c>
      <c r="DJ6" s="10">
        <f>((IF(AND(ABERTURAS!$K$18="OK",ABERTURAS!$E$18="OPERABLE"),ABERTURAS!$R$18+CHOOSE(ABERTURAS!$N$18,$AZ$4*$C$13,0,$AZ$4*($C$13-ABERTURAS!$O$18),$AZ$4*($C$13-ABERTURAS!$O$18)),0))+$AZ$40)/$AZ$38</f>
        <v>0.158640226628895</v>
      </c>
      <c r="DK6" s="10">
        <f>((IF(AND(ABERTURAS!$K$19="OK",ABERTURAS!$E$19="FIJA"),CHOOSE(ABERTURAS!$N$19,ABERTURAS!$O$19-$AZ$3*$C$13,ABERTURAS!$O$19,-$AZ$3*($C$13-ABERTURAS!$O$19),$C$12-$AZ$3*($C$13-ABERTURAS!$O$19)),0))+$AZ$39)/$AZ$38</f>
        <v>0.864842475705195</v>
      </c>
      <c r="DL6" s="10">
        <f>((IF(AND(ABERTURAS!$K$19="OK",ABERTURAS!$E$19="FIJA"),ABERTURAS!$R$19+CHOOSE(ABERTURAS!$N$19,$AZ$4*$C$13,0,$AZ$4*($C$13-ABERTURAS!$O$19),$AZ$4*($C$13-ABERTURAS!$O$19)),0))+$AZ$40)/$AZ$38</f>
        <v>0.158640226628895</v>
      </c>
      <c r="DM6" s="10">
        <f>((IF(AND(ABERTURAS!$K$19="OK",ABERTURAS!$E$19="OPERABLE"),CHOOSE(ABERTURAS!$N$19,ABERTURAS!$O$19-$AZ$3*$C$13,ABERTURAS!$O$19,-$AZ$3*($C$13-ABERTURAS!$O$19),$C$12-$AZ$3*($C$13-ABERTURAS!$O$19)),0))+$AZ$39)/$AZ$38</f>
        <v>0.864842475705195</v>
      </c>
      <c r="DN6" s="10">
        <f>((IF(AND(ABERTURAS!$K$19="OK",ABERTURAS!$E$19="OPERABLE"),ABERTURAS!$R$19+CHOOSE(ABERTURAS!$N$19,$AZ$4*$C$13,0,$AZ$4*($C$13-ABERTURAS!$O$19),$AZ$4*($C$13-ABERTURAS!$O$19)),0))+$AZ$40)/$AZ$38</f>
        <v>0.158640226628895</v>
      </c>
      <c r="DO6" s="10">
        <f>((IF(AND(ABERTURAS!$K$20="OK",ABERTURAS!$E$20="FIJA"),CHOOSE(ABERTURAS!$N$20,ABERTURAS!$O$20-$AZ$3*$C$13,ABERTURAS!$O$20,-$AZ$3*($C$13-ABERTURAS!$O$20),$C$12-$AZ$3*($C$13-ABERTURAS!$O$20)),0))+$AZ$39)/$AZ$38</f>
        <v>0.864842475705195</v>
      </c>
      <c r="DP6" s="10">
        <f>((IF(AND(ABERTURAS!$K$20="OK",ABERTURAS!$E$20="FIJA"),ABERTURAS!$R$20+CHOOSE(ABERTURAS!$N$20,$AZ$4*$C$13,0,$AZ$4*($C$13-ABERTURAS!$O$20),$AZ$4*($C$13-ABERTURAS!$O$20)),0))+$AZ$40)/$AZ$38</f>
        <v>0.158640226628895</v>
      </c>
      <c r="DQ6" s="10">
        <f>((IF(AND(ABERTURAS!$K$20="OK",ABERTURAS!$E$20="OPERABLE"),CHOOSE(ABERTURAS!$N$20,ABERTURAS!$O$20-$AZ$3*$C$13,ABERTURAS!$O$20,-$AZ$3*($C$13-ABERTURAS!$O$20),$C$12-$AZ$3*($C$13-ABERTURAS!$O$20)),0))+$AZ$39)/$AZ$38</f>
        <v>0.864842475705195</v>
      </c>
      <c r="DR6" s="10">
        <f>((IF(AND(ABERTURAS!$K$20="OK",ABERTURAS!$E$20="OPERABLE"),ABERTURAS!$R$20+CHOOSE(ABERTURAS!$N$20,$AZ$4*$C$13,0,$AZ$4*($C$13-ABERTURAS!$O$20),$AZ$4*($C$13-ABERTURAS!$O$20)),0))+$AZ$40)/$AZ$38</f>
        <v>0.158640226628895</v>
      </c>
      <c r="DS6" s="10">
        <f>((IF(AND(ABERTURAS!$K$21="OK",ABERTURAS!$E$21="FIJA"),CHOOSE(ABERTURAS!$N$21,ABERTURAS!$O$21-$AZ$3*$C$13,ABERTURAS!$O$21,-$AZ$3*($C$13-ABERTURAS!$O$21),$C$12-$AZ$3*($C$13-ABERTURAS!$O$21)),0))+$AZ$39)/$AZ$38</f>
        <v>0.864842475705195</v>
      </c>
      <c r="DT6" s="10">
        <f>((IF(AND(ABERTURAS!$K$21="OK",ABERTURAS!$E$21="FIJA"),ABERTURAS!$R$21+CHOOSE(ABERTURAS!$N$21,$AZ$4*$C$13,0,$AZ$4*($C$13-ABERTURAS!$O$21),$AZ$4*($C$13-ABERTURAS!$O$21)),0))+$AZ$40)/$AZ$38</f>
        <v>0.158640226628895</v>
      </c>
      <c r="DU6" s="10">
        <f>((IF(AND(ABERTURAS!$K$21="OK",ABERTURAS!$E$21="OPERABLE"),CHOOSE(ABERTURAS!$N$21,ABERTURAS!$O$21-$AZ$3*$C$13,ABERTURAS!$O$21,-$AZ$3*($C$13-ABERTURAS!$O$21),$C$12-$AZ$3*($C$13-ABERTURAS!$O$21)),0))+$AZ$39)/$AZ$38</f>
        <v>0.864842475705195</v>
      </c>
      <c r="DV6" s="10">
        <f>((IF(AND(ABERTURAS!$K$21="OK",ABERTURAS!$E$21="OPERABLE"),ABERTURAS!$R$21+CHOOSE(ABERTURAS!$N$21,$AZ$4*$C$13,0,$AZ$4*($C$13-ABERTURAS!$O$21),$AZ$4*($C$13-ABERTURAS!$O$21)),0))+$AZ$40)/$AZ$38</f>
        <v>0.158640226628895</v>
      </c>
      <c r="DW6" s="10">
        <f>((IF(AND(ABERTURAS!$K$22="OK",ABERTURAS!$E$22="FIJA"),CHOOSE(ABERTURAS!$N$22,ABERTURAS!$O$22-$AZ$3*$C$13,ABERTURAS!$O$22,-$AZ$3*($C$13-ABERTURAS!$O$22),$C$12-$AZ$3*($C$13-ABERTURAS!$O$22)),0))+$AZ$39)/$AZ$38</f>
        <v>0.864842475705195</v>
      </c>
      <c r="DX6" s="10">
        <f>((IF(AND(ABERTURAS!$K$22="OK",ABERTURAS!$E$22="FIJA"),ABERTURAS!$R$22+CHOOSE(ABERTURAS!$N$22,$AZ$4*$C$13,0,$AZ$4*($C$13-ABERTURAS!$O$22),$AZ$4*($C$13-ABERTURAS!$O$22)),0))+$AZ$40)/$AZ$38</f>
        <v>0.158640226628895</v>
      </c>
      <c r="DY6" s="10">
        <f>((IF(AND(ABERTURAS!$K$22="OK",ABERTURAS!$E$22="OPERABLE"),CHOOSE(ABERTURAS!$N$22,ABERTURAS!$O$22-$AZ$3*$C$13,ABERTURAS!$O$22,-$AZ$3*($C$13-ABERTURAS!$O$22),$C$12-$AZ$3*($C$13-ABERTURAS!$O$22)),0))+$AZ$39)/$AZ$38</f>
        <v>0.864842475705195</v>
      </c>
      <c r="DZ6" s="10">
        <f>((IF(AND(ABERTURAS!$K$22="OK",ABERTURAS!$E$22="OPERABLE"),ABERTURAS!$R$22+CHOOSE(ABERTURAS!$N$22,$AZ$4*$C$13,0,$AZ$4*($C$13-ABERTURAS!$O$22),$AZ$4*($C$13-ABERTURAS!$O$22)),0))+$AZ$40)/$AZ$38</f>
        <v>0.158640226628895</v>
      </c>
      <c r="EA6" s="10">
        <f>((IF(AND(ABERTURAS!$K$23="OK",ABERTURAS!$E$23="FIJA"),CHOOSE(ABERTURAS!$N$23,ABERTURAS!$O$23-$AZ$3*$C$13,ABERTURAS!$O$23,-$AZ$3*($C$13-ABERTURAS!$O$23),$C$12-$AZ$3*($C$13-ABERTURAS!$O$23)),0))+$AZ$39)/$AZ$38</f>
        <v>0.864842475705195</v>
      </c>
      <c r="EB6" s="10">
        <f>((IF(AND(ABERTURAS!$K$23="OK",ABERTURAS!$E$23="FIJA"),ABERTURAS!$R$23+CHOOSE(ABERTURAS!$N$23,$AZ$4*$C$13,0,$AZ$4*($C$13-ABERTURAS!$O$23),$AZ$4*($C$13-ABERTURAS!$O$23)),0))+$AZ$40)/$AZ$38</f>
        <v>0.158640226628895</v>
      </c>
      <c r="EC6" s="10">
        <f>((IF(AND(ABERTURAS!$K$23="OK",ABERTURAS!$E$23="OPERABLE"),CHOOSE(ABERTURAS!$N$23,ABERTURAS!$O$23-$AZ$3*$C$13,ABERTURAS!$O$23,-$AZ$3*($C$13-ABERTURAS!$O$23),$C$12-$AZ$3*($C$13-ABERTURAS!$O$23)),0))+$AZ$39)/$AZ$38</f>
        <v>0.864842475705195</v>
      </c>
      <c r="ED6" s="10">
        <f>((IF(AND(ABERTURAS!$K$23="OK",ABERTURAS!$E$23="OPERABLE"),ABERTURAS!$R$23+CHOOSE(ABERTURAS!$N$23,$AZ$4*$C$13,0,$AZ$4*($C$13-ABERTURAS!$O$23),$AZ$4*($C$13-ABERTURAS!$O$23)),0))+$AZ$40)/$AZ$38</f>
        <v>0.158640226628895</v>
      </c>
      <c r="EE6" s="10">
        <f>((IF(AND(ABERTURAS!$K$24="OK",ABERTURAS!$E$24="FIJA"),CHOOSE(ABERTURAS!$N$24,ABERTURAS!$O$24-$AZ$3*$C$13,ABERTURAS!$O$24,-$AZ$3*($C$13-ABERTURAS!$O$24),$C$12-$AZ$3*($C$13-ABERTURAS!$O$24)),0))+$AZ$39)/$AZ$38</f>
        <v>0.864842475705195</v>
      </c>
      <c r="EF6" s="10">
        <f>((IF(AND(ABERTURAS!$K$24="OK",ABERTURAS!$E$24="FIJA"),ABERTURAS!$R$24+CHOOSE(ABERTURAS!$N$24,$AZ$4*$C$13,0,$AZ$4*($C$13-ABERTURAS!$O$24),$AZ$4*($C$13-ABERTURAS!$O$24)),0))+$AZ$40)/$AZ$38</f>
        <v>0.158640226628895</v>
      </c>
      <c r="EG6" s="10">
        <f>((IF(AND(ABERTURAS!$K$24="OK",ABERTURAS!$E$24="OPERABLE"),CHOOSE(ABERTURAS!$N$24,ABERTURAS!$O$24-$AZ$3*$C$13,ABERTURAS!$O$24,-$AZ$3*($C$13-ABERTURAS!$O$24),$C$12-$AZ$3*($C$13-ABERTURAS!$O$24)),0))+$AZ$39)/$AZ$38</f>
        <v>0.864842475705195</v>
      </c>
      <c r="EH6" s="10">
        <f>((IF(AND(ABERTURAS!$K$24="OK",ABERTURAS!$E$24="OPERABLE"),ABERTURAS!$R$24+CHOOSE(ABERTURAS!$N$24,$AZ$4*$C$13,0,$AZ$4*($C$13-ABERTURAS!$O$24),$AZ$4*($C$13-ABERTURAS!$O$24)),0))+$AZ$40)/$AZ$38</f>
        <v>0.158640226628895</v>
      </c>
      <c r="EI6" s="10">
        <f>((IF(AND(ABERTURAS!$K$25="OK",ABERTURAS!$E$25="FIJA"),CHOOSE(ABERTURAS!$N$25,ABERTURAS!$O$25-$AZ$3*$C$13,ABERTURAS!$O$25,-$AZ$3*($C$13-ABERTURAS!$O$25),$C$12-$AZ$3*($C$13-ABERTURAS!$O$25)),0))+$AZ$39)/$AZ$38</f>
        <v>0.864842475705195</v>
      </c>
      <c r="EJ6" s="10">
        <f>((IF(AND(ABERTURAS!$K$25="OK",ABERTURAS!$E$25="FIJA"),ABERTURAS!$R$25+CHOOSE(ABERTURAS!$N$25,$AZ$4*$C$13,0,$AZ$4*($C$13-ABERTURAS!$O$25),$AZ$4*($C$13-ABERTURAS!$O$25)),0))+$AZ$40)/$AZ$38</f>
        <v>0.158640226628895</v>
      </c>
      <c r="EK6" s="10">
        <f>((IF(AND(ABERTURAS!$K$25="OK",ABERTURAS!$E$25="OPERABLE"),CHOOSE(ABERTURAS!$N$25,ABERTURAS!$O$25-$AZ$3*$C$13,ABERTURAS!$O$25,-$AZ$3*($C$13-ABERTURAS!$O$25),$C$12-$AZ$3*($C$13-ABERTURAS!$O$25)),0))+$AZ$39)/$AZ$38</f>
        <v>0.864842475705195</v>
      </c>
      <c r="EL6" s="10">
        <f>((IF(AND(ABERTURAS!$K$25="OK",ABERTURAS!$E$25="OPERABLE"),ABERTURAS!$R$25+CHOOSE(ABERTURAS!$N$25,$AZ$4*$C$13,0,$AZ$4*($C$13-ABERTURAS!$O$25),$AZ$4*($C$13-ABERTURAS!$O$25)),0))+$AZ$40)/$AZ$38</f>
        <v>0.158640226628895</v>
      </c>
      <c r="EM6" s="10">
        <f>((IF(AND(ABERTURAS!$K$26="OK",ABERTURAS!$E$26="FIJA"),CHOOSE(ABERTURAS!$N$26,ABERTURAS!$O$26-$AZ$3*$C$13,ABERTURAS!$O$26,-$AZ$3*($C$13-ABERTURAS!$O$26),$C$12-$AZ$3*($C$13-ABERTURAS!$O$26)),0))+$AZ$39)/$AZ$38</f>
        <v>0.864842475705195</v>
      </c>
      <c r="EN6" s="10">
        <f>((IF(AND(ABERTURAS!$K$26="OK",ABERTURAS!$E$26="FIJA"),ABERTURAS!$R$26+CHOOSE(ABERTURAS!$N$26,$AZ$4*$C$13,0,$AZ$4*($C$13-ABERTURAS!$O$26),$AZ$4*($C$13-ABERTURAS!$O$26)),0))+$AZ$40)/$AZ$38</f>
        <v>0.158640226628895</v>
      </c>
      <c r="EO6" s="10">
        <f>((IF(AND(ABERTURAS!$K$26="OK",ABERTURAS!$E$26="OPERABLE"),CHOOSE(ABERTURAS!$N$26,ABERTURAS!$O$26-$AZ$3*$C$13,ABERTURAS!$O$26,-$AZ$3*($C$13-ABERTURAS!$O$26),$C$12-$AZ$3*($C$13-ABERTURAS!$O$26)),0))+$AZ$39)/$AZ$38</f>
        <v>0.864842475705195</v>
      </c>
      <c r="EP6" s="10">
        <f>((IF(AND(ABERTURAS!$K$26="OK",ABERTURAS!$E$26="OPERABLE"),ABERTURAS!$R$26+CHOOSE(ABERTURAS!$N$26,$AZ$4*$C$13,0,$AZ$4*($C$13-ABERTURAS!$O$26),$AZ$4*($C$13-ABERTURAS!$O$26)),0))+$AZ$40)/$AZ$38</f>
        <v>0.158640226628895</v>
      </c>
    </row>
    <row r="7" spans="2:146" ht="16.5" customHeight="1" x14ac:dyDescent="0.3">
      <c r="B7" s="1" t="s">
        <v>77</v>
      </c>
      <c r="C7" s="48" t="s">
        <v>78</v>
      </c>
      <c r="D7" s="48"/>
      <c r="E7" s="6" t="s">
        <v>79</v>
      </c>
      <c r="F7" s="12" t="s">
        <v>80</v>
      </c>
      <c r="AA7" s="10">
        <f>$C$23*4/8</f>
        <v>8</v>
      </c>
      <c r="AB7" s="10">
        <f>IF($C$14="PLANO",$C$17,IF($C$14="DOS AGUAS",$C$17+($C$18-$C$17)*(1-ABS(2*($AA$7)/$C$23-1)),IF($C$14="UN AGUA",IF(N($C$25)=0,$C$18-($C$18-$C$17)*($AA$7)/$C$23,$C$17+($C$18-$C$17)*($AA$7)/$C$23),$C$17+4*($C$18-$C$17)*($AA$7)/$C$23*(1-($AA$7)/$C$23))))</f>
        <v>10.219999999999999</v>
      </c>
      <c r="AE7" s="10">
        <f>ABERTURAS!$D$51*6/8</f>
        <v>7.5600000000000005</v>
      </c>
      <c r="AF7" s="10">
        <f>IF(ABERTURAS!$E$51="SÍ",$AB$9,ABERTURAS!$F$51)</f>
        <v>10.62</v>
      </c>
      <c r="AG7" s="10">
        <f>((($AZ$5+$AE7*($C$12-2*$AZ$5)/$C$12)-$AZ$3*$C$13)+$AZ$39)/$AZ$38</f>
        <v>0.896948235856281</v>
      </c>
      <c r="AH7" s="10">
        <f>((IF($AF7&gt;0,$AF7-$AZ$5,0)+$AZ$4*$C$13)+$AZ$40)/$AZ$38</f>
        <v>0.841359773371105</v>
      </c>
      <c r="AI7" s="10">
        <f>ABERTURAS!$D$52*6/8</f>
        <v>7.5600000000000005</v>
      </c>
      <c r="AJ7" s="10">
        <f>IF(ABERTURAS!$E$52="SÍ",$AB$9,ABERTURAS!$F$52)</f>
        <v>9.82</v>
      </c>
      <c r="AK7" s="10">
        <f>((($AZ$5+$AI7*($C$12-2*$AZ$5)/$C$12))+$AZ$39)/$AZ$38</f>
        <v>1.21422868911407</v>
      </c>
      <c r="AL7" s="10">
        <f>((IF($AJ7&gt;0,$AJ7-$AZ$5,0))+$AZ$40)/$AZ$38</f>
        <v>0.607176581680831</v>
      </c>
      <c r="AM7" s="10">
        <f>ABERTURAS!$D$53*6/8</f>
        <v>12</v>
      </c>
      <c r="AN7" s="10">
        <f>IF(ABERTURAS!$E$53="SÍ",$AB$9,ABERTURAS!$F$53)</f>
        <v>10.02</v>
      </c>
      <c r="AO7" s="10">
        <f>((-$AZ$3*($C$13-($AZ$5+$AM7*($C$13-2*$AZ$5)/$C$13)))+$AZ$39)/$AZ$38</f>
        <v>0.78234955785817</v>
      </c>
      <c r="AP7" s="10">
        <f>((IF($AN7&gt;0,$AN7-$AZ$5,0)+$AZ$4*($C$13-($AZ$5+$AM7*($C$13-2*$AZ$5)/$C$13)))+$AZ$40)/$AZ$38</f>
        <v>0.667686496694995</v>
      </c>
      <c r="AQ7" s="10">
        <f>ABERTURAS!$D$54*6/8</f>
        <v>12</v>
      </c>
      <c r="AR7" s="10">
        <f>IF(ABERTURAS!$E$54="SÍ",$AB$9,ABERTURAS!$F$54)</f>
        <v>10.02</v>
      </c>
      <c r="AS7" s="10">
        <f>(($C$12-$AZ$3*($C$13-($AZ$5+$AQ7*($C$13-2*$AZ$5)/$C$13)))+$AZ$39)/$AZ$38</f>
        <v>1.25827023774486</v>
      </c>
      <c r="AT7" s="10">
        <f>((IF($AR7&gt;0,$AR7-$AZ$5,0)+$AZ$4*($C$13-($AZ$5+$AQ7*($C$13-2*$AZ$5)/$C$13)))+$AZ$40)/$AZ$38</f>
        <v>0.667686496694995</v>
      </c>
      <c r="AU7" s="10">
        <f>((IF($AC$3="Z",0,$AA$7)-$AZ$3*($C$13-IF($AC$3="Z",$AA$7,0)))+$AZ$39)/$AZ$38</f>
        <v>0.7062022490763</v>
      </c>
      <c r="AV7" s="10">
        <f>(($AB$7+$AZ$4*($C$13-IF($AC$3="Z",$AA$7,0)))+$AZ$40)/$AZ$38</f>
        <v>0.739376770538244</v>
      </c>
      <c r="AY7" s="9" t="inlineStr">
        <is>
          <t>x' máx nave</t>
        </is>
      </c>
      <c r="AZ7" s="11">
        <f>$C$12</f>
        <v>10.08</v>
      </c>
      <c r="BA7" s="10">
        <f>BA4-($AZ$11/$AZ$38)*((BA4-BA3)*$AZ$13+(BB4-BB3)*$AZ$14)/SQRT((BA4-BA3)^2+(BB4-BB3)^2)</f>
        <v>0.798555850536079</v>
      </c>
      <c r="BB7" s="10">
        <f>BB4-($AZ$11/$AZ$38)*(-(BA4-BA3)*$AZ$14+(BB4-BB3)*$AZ$13)/SQRT((BA4-BA3)^2+(BB4-BB3)^2)</f>
        <v>0.865872199461806</v>
      </c>
      <c r="BC7" s="10">
        <f>BC4-($AZ$11/$AZ$38)*((BC4-BC3)*$AZ$13+(BD4-BD3)*$AZ$14)/SQRT((BC4-BC3)^2+(BD4-BD3)^2)</f>
        <v>1.08976932750321</v>
      </c>
      <c r="BD7" s="10">
        <f>BD4-($AZ$11/$AZ$38)*(-(BC4-BC3)*$AZ$14+(BD4-BD3)*$AZ$13)/SQRT((BC4-BC3)^2+(BD4-BD3)^2)</f>
        <v>0.134127800538194</v>
      </c>
      <c r="BE7" s="10">
        <f>BE4-($AZ$11/$AZ$38)*((BE4-BE3)*$AZ$13+(BF4-BF3)*$AZ$14)/SQRT((BE4-BE3)^2+(BF4-BF3)^2)</f>
        <v>0.679653278514154</v>
      </c>
      <c r="BF7" s="10">
        <f>BF4-($AZ$11/$AZ$38)*(-(BE4-BE3)*$AZ$14+(BF4-BF3)*$AZ$13)/SQRT((BE4-BE3)^2+(BF4-BF3)^2)</f>
        <v>0.248729246346696</v>
      </c>
      <c r="BG7" s="10">
        <f>BG4-($AZ$11/$AZ$38)*((BG4-BG3)*$AZ$13+(BH4-BH3)*$AZ$14)/SQRT((BG4-BG3)^2+(BH4-BH3)^2)</f>
        <v>1.20867189952513</v>
      </c>
      <c r="BH7" s="10">
        <f>BH4-($AZ$11/$AZ$38)*(-(BG4-BG3)*$AZ$14+(BH4-BH3)*$AZ$13)/SQRT((BG4-BG3)^2+(BH4-BH3)^2)</f>
        <v>0.732385012387959</v>
      </c>
      <c r="BI7" s="10">
        <f>BI4-($AZ$11/$AZ$38)*((BI4-BI3)*$AZ$13+(BJ4-BJ3)*$AZ$14)/SQRT((BI4-BI3)^2+(BJ4-BJ3)^2)</f>
        <v>1.54627905811308</v>
      </c>
      <c r="BJ7" s="10">
        <f>BJ4-($AZ$11/$AZ$38)*(-(BI4-BI3)*$AZ$14+(BJ4-BJ3)*$AZ$13)/SQRT((BI4-BI3)^2+(BJ4-BJ3)^2)</f>
        <v>0.250993828088674</v>
      </c>
      <c r="BK7" s="10">
        <f>BK4-($AZ$11/$AZ$38)*((BK4-BK3)*$AZ$13+(BL4-BL3)*$AZ$14)/SQRT((BK4-BK3)^2+(BL4-BL3)^2)</f>
        <v>1.48636989407545</v>
      </c>
      <c r="BL7" s="10">
        <f>BL4-($AZ$11/$AZ$38)*(-(BK4-BK3)*$AZ$14+(BL4-BL3)*$AZ$13)/SQRT((BK4-BK3)^2+(BL4-BL3)^2)</f>
        <v>0.284836015835645</v>
      </c>
      <c r="BM7" s="10">
        <f>BM4-($AZ$11/$AZ$38)*((BM4-BM3)*$AZ$13+(BN4-BN3)*$AZ$14)/SQRT((BM4-BM3)^2+(BN4-BN3)^2)</f>
        <v>1.54612037228928</v>
      </c>
      <c r="BN7" s="10">
        <f>BN4-($AZ$11/$AZ$38)*(-(BM4-BM3)*$AZ$14+(BN4-BN3)*$AZ$13)/SQRT((BM4-BM3)^2+(BN4-BN3)^2)</f>
        <v>0.224369032333916</v>
      </c>
      <c r="BO7" s="10">
        <f>((IF(AND(ABERTURAS!$K$7="OK",ABERTURAS!$E$7="FIJA"),CHOOSE(ABERTURAS!$N$7,ABERTURAS!$O$7-$AZ$3*$C$13,ABERTURAS!$O$7,-$AZ$3*($C$13-ABERTURAS!$O$7),$C$12-$AZ$3*($C$13-ABERTURAS!$O$7)),0))+$AZ$39)/$AZ$38</f>
        <v>0.864842475705195</v>
      </c>
      <c r="BP7" s="10">
        <f>((IF(AND(ABERTURAS!$K$7="OK",ABERTURAS!$E$7="FIJA"),ABERTURAS!$Q$7+CHOOSE(ABERTURAS!$N$7,$AZ$4*$C$13,0,$AZ$4*($C$13-ABERTURAS!$O$7),$AZ$4*($C$13-ABERTURAS!$O$7)),0))+$AZ$40)/$AZ$38</f>
        <v>0.158640226628895</v>
      </c>
      <c r="BQ7" s="10">
        <f>((IF(AND(ABERTURAS!$K$7="OK",ABERTURAS!$E$7="OPERABLE"),CHOOSE(ABERTURAS!$N$7,ABERTURAS!$O$7-$AZ$3*$C$13,ABERTURAS!$O$7,-$AZ$3*($C$13-ABERTURAS!$O$7),$C$12-$AZ$3*($C$13-ABERTURAS!$O$7)),0))+$AZ$39)/$AZ$38</f>
        <v>0.577897244354865</v>
      </c>
      <c r="BR7" s="10">
        <f>((IF(AND(ABERTURAS!$K$7="OK",ABERTURAS!$E$7="OPERABLE"),ABERTURAS!$Q$7+CHOOSE(ABERTURAS!$N$7,$AZ$4*$C$13,0,$AZ$4*($C$13-ABERTURAS!$O$7),$AZ$4*($C$13-ABERTURAS!$O$7)),0))+$AZ$40)/$AZ$38</f>
        <v>0.35505193578848</v>
      </c>
      <c r="BS7" s="10">
        <f>((IF(AND(ABERTURAS!$K$8="OK",ABERTURAS!$E$8="FIJA"),CHOOSE(ABERTURAS!$N$8,ABERTURAS!$O$8-$AZ$3*$C$13,ABERTURAS!$O$8,-$AZ$3*($C$13-ABERTURAS!$O$8),$C$12-$AZ$3*($C$13-ABERTURAS!$O$8)),0))+$AZ$39)/$AZ$38</f>
        <v>0.864842475705195</v>
      </c>
      <c r="BT7" s="10">
        <f>((IF(AND(ABERTURAS!$K$8="OK",ABERTURAS!$E$8="FIJA"),ABERTURAS!$Q$8+CHOOSE(ABERTURAS!$N$8,$AZ$4*$C$13,0,$AZ$4*($C$13-ABERTURAS!$O$8),$AZ$4*($C$13-ABERTURAS!$O$8)),0))+$AZ$40)/$AZ$38</f>
        <v>0.158640226628895</v>
      </c>
      <c r="BU7" s="10">
        <f>((IF(AND(ABERTURAS!$K$8="OK",ABERTURAS!$E$8="OPERABLE"),CHOOSE(ABERTURAS!$N$8,ABERTURAS!$O$8-$AZ$3*$C$13,ABERTURAS!$O$8,-$AZ$3*($C$13-ABERTURAS!$O$8),$C$12-$AZ$3*($C$13-ABERTURAS!$O$8)),0))+$AZ$39)/$AZ$38</f>
        <v>0.664979397329369</v>
      </c>
      <c r="BV7" s="10">
        <f>((IF(AND(ABERTURAS!$K$8="OK",ABERTURAS!$E$8="OPERABLE"),ABERTURAS!$Q$8+CHOOSE(ABERTURAS!$N$8,$AZ$4*$C$13,0,$AZ$4*($C$13-ABERTURAS!$O$8),$AZ$4*($C$13-ABERTURAS!$O$8)),0))+$AZ$40)/$AZ$38</f>
        <v>0.35505193578848</v>
      </c>
      <c r="BW7" s="10">
        <f>((IF(AND(ABERTURAS!$K$9="OK",ABERTURAS!$E$9="FIJA"),CHOOSE(ABERTURAS!$N$9,ABERTURAS!$O$9-$AZ$3*$C$13,ABERTURAS!$O$9,-$AZ$3*($C$13-ABERTURAS!$O$9),$C$12-$AZ$3*($C$13-ABERTURAS!$O$9)),0))+$AZ$39)/$AZ$38</f>
        <v>0.864842475705195</v>
      </c>
      <c r="BX7" s="10">
        <f>((IF(AND(ABERTURAS!$K$9="OK",ABERTURAS!$E$9="FIJA"),ABERTURAS!$Q$9+CHOOSE(ABERTURAS!$N$9,$AZ$4*$C$13,0,$AZ$4*($C$13-ABERTURAS!$O$9),$AZ$4*($C$13-ABERTURAS!$O$9)),0))+$AZ$40)/$AZ$38</f>
        <v>0.158640226628895</v>
      </c>
      <c r="BY7" s="10">
        <f>((IF(AND(ABERTURAS!$K$9="OK",ABERTURAS!$E$9="OPERABLE"),CHOOSE(ABERTURAS!$N$9,ABERTURAS!$O$9-$AZ$3*$C$13,ABERTURAS!$O$9,-$AZ$3*($C$13-ABERTURAS!$O$9),$C$12-$AZ$3*($C$13-ABERTURAS!$O$9)),0))+$AZ$39)/$AZ$38</f>
        <v>0.864842475705195</v>
      </c>
      <c r="BZ7" s="10">
        <f>((IF(AND(ABERTURAS!$K$9="OK",ABERTURAS!$E$9="OPERABLE"),ABERTURAS!$Q$9+CHOOSE(ABERTURAS!$N$9,$AZ$4*$C$13,0,$AZ$4*($C$13-ABERTURAS!$O$9),$AZ$4*($C$13-ABERTURAS!$O$9)),0))+$AZ$40)/$AZ$38</f>
        <v>0.158640226628895</v>
      </c>
      <c r="CA7" s="10">
        <f>((IF(AND(ABERTURAS!$K$10="OK",ABERTURAS!$E$10="FIJA"),CHOOSE(ABERTURAS!$N$10,ABERTURAS!$O$10-$AZ$3*$C$13,ABERTURAS!$O$10,-$AZ$3*($C$13-ABERTURAS!$O$10),$C$12-$AZ$3*($C$13-ABERTURAS!$O$10)),0))+$AZ$39)/$AZ$38</f>
        <v>0.864842475705195</v>
      </c>
      <c r="CB7" s="10">
        <f>((IF(AND(ABERTURAS!$K$10="OK",ABERTURAS!$E$10="FIJA"),ABERTURAS!$Q$10+CHOOSE(ABERTURAS!$N$10,$AZ$4*$C$13,0,$AZ$4*($C$13-ABERTURAS!$O$10),$AZ$4*($C$13-ABERTURAS!$O$10)),0))+$AZ$40)/$AZ$38</f>
        <v>0.158640226628895</v>
      </c>
      <c r="CC7" s="10">
        <f>((IF(AND(ABERTURAS!$K$10="OK",ABERTURAS!$E$10="OPERABLE"),CHOOSE(ABERTURAS!$N$10,ABERTURAS!$O$10-$AZ$3*$C$13,ABERTURAS!$O$10,-$AZ$3*($C$13-ABERTURAS!$O$10),$C$12-$AZ$3*($C$13-ABERTURAS!$O$10)),0))+$AZ$39)/$AZ$38</f>
        <v>0.864842475705195</v>
      </c>
      <c r="CD7" s="10">
        <f>((IF(AND(ABERTURAS!$K$10="OK",ABERTURAS!$E$10="OPERABLE"),ABERTURAS!$Q$10+CHOOSE(ABERTURAS!$N$10,$AZ$4*$C$13,0,$AZ$4*($C$13-ABERTURAS!$O$10),$AZ$4*($C$13-ABERTURAS!$O$10)),0))+$AZ$40)/$AZ$38</f>
        <v>0.158640226628895</v>
      </c>
      <c r="CE7" s="10">
        <f>((IF(AND(ABERTURAS!$K$11="OK",ABERTURAS!$E$11="FIJA"),CHOOSE(ABERTURAS!$N$11,ABERTURAS!$O$11-$AZ$3*$C$13,ABERTURAS!$O$11,-$AZ$3*($C$13-ABERTURAS!$O$11),$C$12-$AZ$3*($C$13-ABERTURAS!$O$11)),0))+$AZ$39)/$AZ$38</f>
        <v>0.864842475705195</v>
      </c>
      <c r="CF7" s="10">
        <f>((IF(AND(ABERTURAS!$K$11="OK",ABERTURAS!$E$11="FIJA"),ABERTURAS!$Q$11+CHOOSE(ABERTURAS!$N$11,$AZ$4*$C$13,0,$AZ$4*($C$13-ABERTURAS!$O$11),$AZ$4*($C$13-ABERTURAS!$O$11)),0))+$AZ$40)/$AZ$38</f>
        <v>0.158640226628895</v>
      </c>
      <c r="CG7" s="10">
        <f>((IF(AND(ABERTURAS!$K$11="OK",ABERTURAS!$E$11="OPERABLE"),CHOOSE(ABERTURAS!$N$11,ABERTURAS!$O$11-$AZ$3*$C$13,ABERTURAS!$O$11,-$AZ$3*($C$13-ABERTURAS!$O$11),$C$12-$AZ$3*($C$13-ABERTURAS!$O$11)),0))+$AZ$39)/$AZ$38</f>
        <v>0.864842475705195</v>
      </c>
      <c r="CH7" s="10">
        <f>((IF(AND(ABERTURAS!$K$11="OK",ABERTURAS!$E$11="OPERABLE"),ABERTURAS!$Q$11+CHOOSE(ABERTURAS!$N$11,$AZ$4*$C$13,0,$AZ$4*($C$13-ABERTURAS!$O$11),$AZ$4*($C$13-ABERTURAS!$O$11)),0))+$AZ$40)/$AZ$38</f>
        <v>0.158640226628895</v>
      </c>
      <c r="CI7" s="10">
        <f>((IF(AND(ABERTURAS!$K$12="OK",ABERTURAS!$E$12="FIJA"),CHOOSE(ABERTURAS!$N$12,ABERTURAS!$O$12-$AZ$3*$C$13,ABERTURAS!$O$12,-$AZ$3*($C$13-ABERTURAS!$O$12),$C$12-$AZ$3*($C$13-ABERTURAS!$O$12)),0))+$AZ$39)/$AZ$38</f>
        <v>0.864842475705195</v>
      </c>
      <c r="CJ7" s="10">
        <f>((IF(AND(ABERTURAS!$K$12="OK",ABERTURAS!$E$12="FIJA"),ABERTURAS!$Q$12+CHOOSE(ABERTURAS!$N$12,$AZ$4*$C$13,0,$AZ$4*($C$13-ABERTURAS!$O$12),$AZ$4*($C$13-ABERTURAS!$O$12)),0))+$AZ$40)/$AZ$38</f>
        <v>0.158640226628895</v>
      </c>
      <c r="CK7" s="10">
        <f>((IF(AND(ABERTURAS!$K$12="OK",ABERTURAS!$E$12="OPERABLE"),CHOOSE(ABERTURAS!$N$12,ABERTURAS!$O$12-$AZ$3*$C$13,ABERTURAS!$O$12,-$AZ$3*($C$13-ABERTURAS!$O$12),$C$12-$AZ$3*($C$13-ABERTURAS!$O$12)),0))+$AZ$39)/$AZ$38</f>
        <v>0.864842475705195</v>
      </c>
      <c r="CL7" s="10">
        <f>((IF(AND(ABERTURAS!$K$12="OK",ABERTURAS!$E$12="OPERABLE"),ABERTURAS!$Q$12+CHOOSE(ABERTURAS!$N$12,$AZ$4*$C$13,0,$AZ$4*($C$13-ABERTURAS!$O$12),$AZ$4*($C$13-ABERTURAS!$O$12)),0))+$AZ$40)/$AZ$38</f>
        <v>0.158640226628895</v>
      </c>
      <c r="CM7" s="10">
        <f>((IF(AND(ABERTURAS!$K$13="OK",ABERTURAS!$E$13="FIJA"),CHOOSE(ABERTURAS!$N$13,ABERTURAS!$O$13-$AZ$3*$C$13,ABERTURAS!$O$13,-$AZ$3*($C$13-ABERTURAS!$O$13),$C$12-$AZ$3*($C$13-ABERTURAS!$O$13)),0))+$AZ$39)/$AZ$38</f>
        <v>0.864842475705195</v>
      </c>
      <c r="CN7" s="10">
        <f>((IF(AND(ABERTURAS!$K$13="OK",ABERTURAS!$E$13="FIJA"),ABERTURAS!$Q$13+CHOOSE(ABERTURAS!$N$13,$AZ$4*$C$13,0,$AZ$4*($C$13-ABERTURAS!$O$13),$AZ$4*($C$13-ABERTURAS!$O$13)),0))+$AZ$40)/$AZ$38</f>
        <v>0.158640226628895</v>
      </c>
      <c r="CO7" s="10">
        <f>((IF(AND(ABERTURAS!$K$13="OK",ABERTURAS!$E$13="OPERABLE"),CHOOSE(ABERTURAS!$N$13,ABERTURAS!$O$13-$AZ$3*$C$13,ABERTURAS!$O$13,-$AZ$3*($C$13-ABERTURAS!$O$13),$C$12-$AZ$3*($C$13-ABERTURAS!$O$13)),0))+$AZ$39)/$AZ$38</f>
        <v>0.864842475705195</v>
      </c>
      <c r="CP7" s="10">
        <f>((IF(AND(ABERTURAS!$K$13="OK",ABERTURAS!$E$13="OPERABLE"),ABERTURAS!$Q$13+CHOOSE(ABERTURAS!$N$13,$AZ$4*$C$13,0,$AZ$4*($C$13-ABERTURAS!$O$13),$AZ$4*($C$13-ABERTURAS!$O$13)),0))+$AZ$40)/$AZ$38</f>
        <v>0.158640226628895</v>
      </c>
      <c r="CQ7" s="10">
        <f>((IF(AND(ABERTURAS!$K$14="OK",ABERTURAS!$E$14="FIJA"),CHOOSE(ABERTURAS!$N$14,ABERTURAS!$O$14-$AZ$3*$C$13,ABERTURAS!$O$14,-$AZ$3*($C$13-ABERTURAS!$O$14),$C$12-$AZ$3*($C$13-ABERTURAS!$O$14)),0))+$AZ$39)/$AZ$38</f>
        <v>0.864842475705195</v>
      </c>
      <c r="CR7" s="10">
        <f>((IF(AND(ABERTURAS!$K$14="OK",ABERTURAS!$E$14="FIJA"),ABERTURAS!$Q$14+CHOOSE(ABERTURAS!$N$14,$AZ$4*$C$13,0,$AZ$4*($C$13-ABERTURAS!$O$14),$AZ$4*($C$13-ABERTURAS!$O$14)),0))+$AZ$40)/$AZ$38</f>
        <v>0.158640226628895</v>
      </c>
      <c r="CS7" s="10">
        <f>((IF(AND(ABERTURAS!$K$14="OK",ABERTURAS!$E$14="OPERABLE"),CHOOSE(ABERTURAS!$N$14,ABERTURAS!$O$14-$AZ$3*$C$13,ABERTURAS!$O$14,-$AZ$3*($C$13-ABERTURAS!$O$14),$C$12-$AZ$3*($C$13-ABERTURAS!$O$14)),0))+$AZ$39)/$AZ$38</f>
        <v>0.864842475705195</v>
      </c>
      <c r="CT7" s="10">
        <f>((IF(AND(ABERTURAS!$K$14="OK",ABERTURAS!$E$14="OPERABLE"),ABERTURAS!$Q$14+CHOOSE(ABERTURAS!$N$14,$AZ$4*$C$13,0,$AZ$4*($C$13-ABERTURAS!$O$14),$AZ$4*($C$13-ABERTURAS!$O$14)),0))+$AZ$40)/$AZ$38</f>
        <v>0.158640226628895</v>
      </c>
      <c r="CU7" s="10">
        <f>((IF(AND(ABERTURAS!$K$15="OK",ABERTURAS!$E$15="FIJA"),CHOOSE(ABERTURAS!$N$15,ABERTURAS!$O$15-$AZ$3*$C$13,ABERTURAS!$O$15,-$AZ$3*($C$13-ABERTURAS!$O$15),$C$12-$AZ$3*($C$13-ABERTURAS!$O$15)),0))+$AZ$39)/$AZ$38</f>
        <v>0.864842475705195</v>
      </c>
      <c r="CV7" s="10">
        <f>((IF(AND(ABERTURAS!$K$15="OK",ABERTURAS!$E$15="FIJA"),ABERTURAS!$Q$15+CHOOSE(ABERTURAS!$N$15,$AZ$4*$C$13,0,$AZ$4*($C$13-ABERTURAS!$O$15),$AZ$4*($C$13-ABERTURAS!$O$15)),0))+$AZ$40)/$AZ$38</f>
        <v>0.158640226628895</v>
      </c>
      <c r="CW7" s="10">
        <f>((IF(AND(ABERTURAS!$K$15="OK",ABERTURAS!$E$15="OPERABLE"),CHOOSE(ABERTURAS!$N$15,ABERTURAS!$O$15-$AZ$3*$C$13,ABERTURAS!$O$15,-$AZ$3*($C$13-ABERTURAS!$O$15),$C$12-$AZ$3*($C$13-ABERTURAS!$O$15)),0))+$AZ$39)/$AZ$38</f>
        <v>0.864842475705195</v>
      </c>
      <c r="CX7" s="10">
        <f>((IF(AND(ABERTURAS!$K$15="OK",ABERTURAS!$E$15="OPERABLE"),ABERTURAS!$Q$15+CHOOSE(ABERTURAS!$N$15,$AZ$4*$C$13,0,$AZ$4*($C$13-ABERTURAS!$O$15),$AZ$4*($C$13-ABERTURAS!$O$15)),0))+$AZ$40)/$AZ$38</f>
        <v>0.158640226628895</v>
      </c>
      <c r="CY7" s="10">
        <f>((IF(AND(ABERTURAS!$K$16="OK",ABERTURAS!$E$16="FIJA"),CHOOSE(ABERTURAS!$N$16,ABERTURAS!$O$16-$AZ$3*$C$13,ABERTURAS!$O$16,-$AZ$3*($C$13-ABERTURAS!$O$16),$C$12-$AZ$3*($C$13-ABERTURAS!$O$16)),0))+$AZ$39)/$AZ$38</f>
        <v>0.864842475705195</v>
      </c>
      <c r="CZ7" s="10">
        <f>((IF(AND(ABERTURAS!$K$16="OK",ABERTURAS!$E$16="FIJA"),ABERTURAS!$Q$16+CHOOSE(ABERTURAS!$N$16,$AZ$4*$C$13,0,$AZ$4*($C$13-ABERTURAS!$O$16),$AZ$4*($C$13-ABERTURAS!$O$16)),0))+$AZ$40)/$AZ$38</f>
        <v>0.158640226628895</v>
      </c>
      <c r="DA7" s="10">
        <f>((IF(AND(ABERTURAS!$K$16="OK",ABERTURAS!$E$16="OPERABLE"),CHOOSE(ABERTURAS!$N$16,ABERTURAS!$O$16-$AZ$3*$C$13,ABERTURAS!$O$16,-$AZ$3*($C$13-ABERTURAS!$O$16),$C$12-$AZ$3*($C$13-ABERTURAS!$O$16)),0))+$AZ$39)/$AZ$38</f>
        <v>0.864842475705195</v>
      </c>
      <c r="DB7" s="10">
        <f>((IF(AND(ABERTURAS!$K$16="OK",ABERTURAS!$E$16="OPERABLE"),ABERTURAS!$Q$16+CHOOSE(ABERTURAS!$N$16,$AZ$4*$C$13,0,$AZ$4*($C$13-ABERTURAS!$O$16),$AZ$4*($C$13-ABERTURAS!$O$16)),0))+$AZ$40)/$AZ$38</f>
        <v>0.158640226628895</v>
      </c>
      <c r="DC7" s="10">
        <f>((IF(AND(ABERTURAS!$K$17="OK",ABERTURAS!$E$17="FIJA"),CHOOSE(ABERTURAS!$N$17,ABERTURAS!$O$17-$AZ$3*$C$13,ABERTURAS!$O$17,-$AZ$3*($C$13-ABERTURAS!$O$17),$C$12-$AZ$3*($C$13-ABERTURAS!$O$17)),0))+$AZ$39)/$AZ$38</f>
        <v>0.864842475705195</v>
      </c>
      <c r="DD7" s="10">
        <f>((IF(AND(ABERTURAS!$K$17="OK",ABERTURAS!$E$17="FIJA"),ABERTURAS!$Q$17+CHOOSE(ABERTURAS!$N$17,$AZ$4*$C$13,0,$AZ$4*($C$13-ABERTURAS!$O$17),$AZ$4*($C$13-ABERTURAS!$O$17)),0))+$AZ$40)/$AZ$38</f>
        <v>0.158640226628895</v>
      </c>
      <c r="DE7" s="10">
        <f>((IF(AND(ABERTURAS!$K$17="OK",ABERTURAS!$E$17="OPERABLE"),CHOOSE(ABERTURAS!$N$17,ABERTURAS!$O$17-$AZ$3*$C$13,ABERTURAS!$O$17,-$AZ$3*($C$13-ABERTURAS!$O$17),$C$12-$AZ$3*($C$13-ABERTURAS!$O$17)),0))+$AZ$39)/$AZ$38</f>
        <v>0.864842475705195</v>
      </c>
      <c r="DF7" s="10">
        <f>((IF(AND(ABERTURAS!$K$17="OK",ABERTURAS!$E$17="OPERABLE"),ABERTURAS!$Q$17+CHOOSE(ABERTURAS!$N$17,$AZ$4*$C$13,0,$AZ$4*($C$13-ABERTURAS!$O$17),$AZ$4*($C$13-ABERTURAS!$O$17)),0))+$AZ$40)/$AZ$38</f>
        <v>0.158640226628895</v>
      </c>
      <c r="DG7" s="10">
        <f>((IF(AND(ABERTURAS!$K$18="OK",ABERTURAS!$E$18="FIJA"),CHOOSE(ABERTURAS!$N$18,ABERTURAS!$O$18-$AZ$3*$C$13,ABERTURAS!$O$18,-$AZ$3*($C$13-ABERTURAS!$O$18),$C$12-$AZ$3*($C$13-ABERTURAS!$O$18)),0))+$AZ$39)/$AZ$38</f>
        <v>0.864842475705195</v>
      </c>
      <c r="DH7" s="10">
        <f>((IF(AND(ABERTURAS!$K$18="OK",ABERTURAS!$E$18="FIJA"),ABERTURAS!$Q$18+CHOOSE(ABERTURAS!$N$18,$AZ$4*$C$13,0,$AZ$4*($C$13-ABERTURAS!$O$18),$AZ$4*($C$13-ABERTURAS!$O$18)),0))+$AZ$40)/$AZ$38</f>
        <v>0.158640226628895</v>
      </c>
      <c r="DI7" s="10">
        <f>((IF(AND(ABERTURAS!$K$18="OK",ABERTURAS!$E$18="OPERABLE"),CHOOSE(ABERTURAS!$N$18,ABERTURAS!$O$18-$AZ$3*$C$13,ABERTURAS!$O$18,-$AZ$3*($C$13-ABERTURAS!$O$18),$C$12-$AZ$3*($C$13-ABERTURAS!$O$18)),0))+$AZ$39)/$AZ$38</f>
        <v>0.864842475705195</v>
      </c>
      <c r="DJ7" s="10">
        <f>((IF(AND(ABERTURAS!$K$18="OK",ABERTURAS!$E$18="OPERABLE"),ABERTURAS!$Q$18+CHOOSE(ABERTURAS!$N$18,$AZ$4*$C$13,0,$AZ$4*($C$13-ABERTURAS!$O$18),$AZ$4*($C$13-ABERTURAS!$O$18)),0))+$AZ$40)/$AZ$38</f>
        <v>0.158640226628895</v>
      </c>
      <c r="DK7" s="10">
        <f>((IF(AND(ABERTURAS!$K$19="OK",ABERTURAS!$E$19="FIJA"),CHOOSE(ABERTURAS!$N$19,ABERTURAS!$O$19-$AZ$3*$C$13,ABERTURAS!$O$19,-$AZ$3*($C$13-ABERTURAS!$O$19),$C$12-$AZ$3*($C$13-ABERTURAS!$O$19)),0))+$AZ$39)/$AZ$38</f>
        <v>0.864842475705195</v>
      </c>
      <c r="DL7" s="10">
        <f>((IF(AND(ABERTURAS!$K$19="OK",ABERTURAS!$E$19="FIJA"),ABERTURAS!$Q$19+CHOOSE(ABERTURAS!$N$19,$AZ$4*$C$13,0,$AZ$4*($C$13-ABERTURAS!$O$19),$AZ$4*($C$13-ABERTURAS!$O$19)),0))+$AZ$40)/$AZ$38</f>
        <v>0.158640226628895</v>
      </c>
      <c r="DM7" s="10">
        <f>((IF(AND(ABERTURAS!$K$19="OK",ABERTURAS!$E$19="OPERABLE"),CHOOSE(ABERTURAS!$N$19,ABERTURAS!$O$19-$AZ$3*$C$13,ABERTURAS!$O$19,-$AZ$3*($C$13-ABERTURAS!$O$19),$C$12-$AZ$3*($C$13-ABERTURAS!$O$19)),0))+$AZ$39)/$AZ$38</f>
        <v>0.864842475705195</v>
      </c>
      <c r="DN7" s="10">
        <f>((IF(AND(ABERTURAS!$K$19="OK",ABERTURAS!$E$19="OPERABLE"),ABERTURAS!$Q$19+CHOOSE(ABERTURAS!$N$19,$AZ$4*$C$13,0,$AZ$4*($C$13-ABERTURAS!$O$19),$AZ$4*($C$13-ABERTURAS!$O$19)),0))+$AZ$40)/$AZ$38</f>
        <v>0.158640226628895</v>
      </c>
      <c r="DO7" s="10">
        <f>((IF(AND(ABERTURAS!$K$20="OK",ABERTURAS!$E$20="FIJA"),CHOOSE(ABERTURAS!$N$20,ABERTURAS!$O$20-$AZ$3*$C$13,ABERTURAS!$O$20,-$AZ$3*($C$13-ABERTURAS!$O$20),$C$12-$AZ$3*($C$13-ABERTURAS!$O$20)),0))+$AZ$39)/$AZ$38</f>
        <v>0.864842475705195</v>
      </c>
      <c r="DP7" s="10">
        <f>((IF(AND(ABERTURAS!$K$20="OK",ABERTURAS!$E$20="FIJA"),ABERTURAS!$Q$20+CHOOSE(ABERTURAS!$N$20,$AZ$4*$C$13,0,$AZ$4*($C$13-ABERTURAS!$O$20),$AZ$4*($C$13-ABERTURAS!$O$20)),0))+$AZ$40)/$AZ$38</f>
        <v>0.158640226628895</v>
      </c>
      <c r="DQ7" s="10">
        <f>((IF(AND(ABERTURAS!$K$20="OK",ABERTURAS!$E$20="OPERABLE"),CHOOSE(ABERTURAS!$N$20,ABERTURAS!$O$20-$AZ$3*$C$13,ABERTURAS!$O$20,-$AZ$3*($C$13-ABERTURAS!$O$20),$C$12-$AZ$3*($C$13-ABERTURAS!$O$20)),0))+$AZ$39)/$AZ$38</f>
        <v>0.864842475705195</v>
      </c>
      <c r="DR7" s="10">
        <f>((IF(AND(ABERTURAS!$K$20="OK",ABERTURAS!$E$20="OPERABLE"),ABERTURAS!$Q$20+CHOOSE(ABERTURAS!$N$20,$AZ$4*$C$13,0,$AZ$4*($C$13-ABERTURAS!$O$20),$AZ$4*($C$13-ABERTURAS!$O$20)),0))+$AZ$40)/$AZ$38</f>
        <v>0.158640226628895</v>
      </c>
      <c r="DS7" s="10">
        <f>((IF(AND(ABERTURAS!$K$21="OK",ABERTURAS!$E$21="FIJA"),CHOOSE(ABERTURAS!$N$21,ABERTURAS!$O$21-$AZ$3*$C$13,ABERTURAS!$O$21,-$AZ$3*($C$13-ABERTURAS!$O$21),$C$12-$AZ$3*($C$13-ABERTURAS!$O$21)),0))+$AZ$39)/$AZ$38</f>
        <v>0.864842475705195</v>
      </c>
      <c r="DT7" s="10">
        <f>((IF(AND(ABERTURAS!$K$21="OK",ABERTURAS!$E$21="FIJA"),ABERTURAS!$Q$21+CHOOSE(ABERTURAS!$N$21,$AZ$4*$C$13,0,$AZ$4*($C$13-ABERTURAS!$O$21),$AZ$4*($C$13-ABERTURAS!$O$21)),0))+$AZ$40)/$AZ$38</f>
        <v>0.158640226628895</v>
      </c>
      <c r="DU7" s="10">
        <f>((IF(AND(ABERTURAS!$K$21="OK",ABERTURAS!$E$21="OPERABLE"),CHOOSE(ABERTURAS!$N$21,ABERTURAS!$O$21-$AZ$3*$C$13,ABERTURAS!$O$21,-$AZ$3*($C$13-ABERTURAS!$O$21),$C$12-$AZ$3*($C$13-ABERTURAS!$O$21)),0))+$AZ$39)/$AZ$38</f>
        <v>0.864842475705195</v>
      </c>
      <c r="DV7" s="10">
        <f>((IF(AND(ABERTURAS!$K$21="OK",ABERTURAS!$E$21="OPERABLE"),ABERTURAS!$Q$21+CHOOSE(ABERTURAS!$N$21,$AZ$4*$C$13,0,$AZ$4*($C$13-ABERTURAS!$O$21),$AZ$4*($C$13-ABERTURAS!$O$21)),0))+$AZ$40)/$AZ$38</f>
        <v>0.158640226628895</v>
      </c>
      <c r="DW7" s="10">
        <f>((IF(AND(ABERTURAS!$K$22="OK",ABERTURAS!$E$22="FIJA"),CHOOSE(ABERTURAS!$N$22,ABERTURAS!$O$22-$AZ$3*$C$13,ABERTURAS!$O$22,-$AZ$3*($C$13-ABERTURAS!$O$22),$C$12-$AZ$3*($C$13-ABERTURAS!$O$22)),0))+$AZ$39)/$AZ$38</f>
        <v>0.864842475705195</v>
      </c>
      <c r="DX7" s="10">
        <f>((IF(AND(ABERTURAS!$K$22="OK",ABERTURAS!$E$22="FIJA"),ABERTURAS!$Q$22+CHOOSE(ABERTURAS!$N$22,$AZ$4*$C$13,0,$AZ$4*($C$13-ABERTURAS!$O$22),$AZ$4*($C$13-ABERTURAS!$O$22)),0))+$AZ$40)/$AZ$38</f>
        <v>0.158640226628895</v>
      </c>
      <c r="DY7" s="10">
        <f>((IF(AND(ABERTURAS!$K$22="OK",ABERTURAS!$E$22="OPERABLE"),CHOOSE(ABERTURAS!$N$22,ABERTURAS!$O$22-$AZ$3*$C$13,ABERTURAS!$O$22,-$AZ$3*($C$13-ABERTURAS!$O$22),$C$12-$AZ$3*($C$13-ABERTURAS!$O$22)),0))+$AZ$39)/$AZ$38</f>
        <v>0.864842475705195</v>
      </c>
      <c r="DZ7" s="10">
        <f>((IF(AND(ABERTURAS!$K$22="OK",ABERTURAS!$E$22="OPERABLE"),ABERTURAS!$Q$22+CHOOSE(ABERTURAS!$N$22,$AZ$4*$C$13,0,$AZ$4*($C$13-ABERTURAS!$O$22),$AZ$4*($C$13-ABERTURAS!$O$22)),0))+$AZ$40)/$AZ$38</f>
        <v>0.158640226628895</v>
      </c>
      <c r="EA7" s="10">
        <f>((IF(AND(ABERTURAS!$K$23="OK",ABERTURAS!$E$23="FIJA"),CHOOSE(ABERTURAS!$N$23,ABERTURAS!$O$23-$AZ$3*$C$13,ABERTURAS!$O$23,-$AZ$3*($C$13-ABERTURAS!$O$23),$C$12-$AZ$3*($C$13-ABERTURAS!$O$23)),0))+$AZ$39)/$AZ$38</f>
        <v>0.864842475705195</v>
      </c>
      <c r="EB7" s="10">
        <f>((IF(AND(ABERTURAS!$K$23="OK",ABERTURAS!$E$23="FIJA"),ABERTURAS!$Q$23+CHOOSE(ABERTURAS!$N$23,$AZ$4*$C$13,0,$AZ$4*($C$13-ABERTURAS!$O$23),$AZ$4*($C$13-ABERTURAS!$O$23)),0))+$AZ$40)/$AZ$38</f>
        <v>0.158640226628895</v>
      </c>
      <c r="EC7" s="10">
        <f>((IF(AND(ABERTURAS!$K$23="OK",ABERTURAS!$E$23="OPERABLE"),CHOOSE(ABERTURAS!$N$23,ABERTURAS!$O$23-$AZ$3*$C$13,ABERTURAS!$O$23,-$AZ$3*($C$13-ABERTURAS!$O$23),$C$12-$AZ$3*($C$13-ABERTURAS!$O$23)),0))+$AZ$39)/$AZ$38</f>
        <v>0.864842475705195</v>
      </c>
      <c r="ED7" s="10">
        <f>((IF(AND(ABERTURAS!$K$23="OK",ABERTURAS!$E$23="OPERABLE"),ABERTURAS!$Q$23+CHOOSE(ABERTURAS!$N$23,$AZ$4*$C$13,0,$AZ$4*($C$13-ABERTURAS!$O$23),$AZ$4*($C$13-ABERTURAS!$O$23)),0))+$AZ$40)/$AZ$38</f>
        <v>0.158640226628895</v>
      </c>
      <c r="EE7" s="10">
        <f>((IF(AND(ABERTURAS!$K$24="OK",ABERTURAS!$E$24="FIJA"),CHOOSE(ABERTURAS!$N$24,ABERTURAS!$O$24-$AZ$3*$C$13,ABERTURAS!$O$24,-$AZ$3*($C$13-ABERTURAS!$O$24),$C$12-$AZ$3*($C$13-ABERTURAS!$O$24)),0))+$AZ$39)/$AZ$38</f>
        <v>0.864842475705195</v>
      </c>
      <c r="EF7" s="10">
        <f>((IF(AND(ABERTURAS!$K$24="OK",ABERTURAS!$E$24="FIJA"),ABERTURAS!$Q$24+CHOOSE(ABERTURAS!$N$24,$AZ$4*$C$13,0,$AZ$4*($C$13-ABERTURAS!$O$24),$AZ$4*($C$13-ABERTURAS!$O$24)),0))+$AZ$40)/$AZ$38</f>
        <v>0.158640226628895</v>
      </c>
      <c r="EG7" s="10">
        <f>((IF(AND(ABERTURAS!$K$24="OK",ABERTURAS!$E$24="OPERABLE"),CHOOSE(ABERTURAS!$N$24,ABERTURAS!$O$24-$AZ$3*$C$13,ABERTURAS!$O$24,-$AZ$3*($C$13-ABERTURAS!$O$24),$C$12-$AZ$3*($C$13-ABERTURAS!$O$24)),0))+$AZ$39)/$AZ$38</f>
        <v>0.864842475705195</v>
      </c>
      <c r="EH7" s="10">
        <f>((IF(AND(ABERTURAS!$K$24="OK",ABERTURAS!$E$24="OPERABLE"),ABERTURAS!$Q$24+CHOOSE(ABERTURAS!$N$24,$AZ$4*$C$13,0,$AZ$4*($C$13-ABERTURAS!$O$24),$AZ$4*($C$13-ABERTURAS!$O$24)),0))+$AZ$40)/$AZ$38</f>
        <v>0.158640226628895</v>
      </c>
      <c r="EI7" s="10">
        <f>((IF(AND(ABERTURAS!$K$25="OK",ABERTURAS!$E$25="FIJA"),CHOOSE(ABERTURAS!$N$25,ABERTURAS!$O$25-$AZ$3*$C$13,ABERTURAS!$O$25,-$AZ$3*($C$13-ABERTURAS!$O$25),$C$12-$AZ$3*($C$13-ABERTURAS!$O$25)),0))+$AZ$39)/$AZ$38</f>
        <v>0.864842475705195</v>
      </c>
      <c r="EJ7" s="10">
        <f>((IF(AND(ABERTURAS!$K$25="OK",ABERTURAS!$E$25="FIJA"),ABERTURAS!$Q$25+CHOOSE(ABERTURAS!$N$25,$AZ$4*$C$13,0,$AZ$4*($C$13-ABERTURAS!$O$25),$AZ$4*($C$13-ABERTURAS!$O$25)),0))+$AZ$40)/$AZ$38</f>
        <v>0.158640226628895</v>
      </c>
      <c r="EK7" s="10">
        <f>((IF(AND(ABERTURAS!$K$25="OK",ABERTURAS!$E$25="OPERABLE"),CHOOSE(ABERTURAS!$N$25,ABERTURAS!$O$25-$AZ$3*$C$13,ABERTURAS!$O$25,-$AZ$3*($C$13-ABERTURAS!$O$25),$C$12-$AZ$3*($C$13-ABERTURAS!$O$25)),0))+$AZ$39)/$AZ$38</f>
        <v>0.864842475705195</v>
      </c>
      <c r="EL7" s="10">
        <f>((IF(AND(ABERTURAS!$K$25="OK",ABERTURAS!$E$25="OPERABLE"),ABERTURAS!$Q$25+CHOOSE(ABERTURAS!$N$25,$AZ$4*$C$13,0,$AZ$4*($C$13-ABERTURAS!$O$25),$AZ$4*($C$13-ABERTURAS!$O$25)),0))+$AZ$40)/$AZ$38</f>
        <v>0.158640226628895</v>
      </c>
      <c r="EM7" s="10">
        <f>((IF(AND(ABERTURAS!$K$26="OK",ABERTURAS!$E$26="FIJA"),CHOOSE(ABERTURAS!$N$26,ABERTURAS!$O$26-$AZ$3*$C$13,ABERTURAS!$O$26,-$AZ$3*($C$13-ABERTURAS!$O$26),$C$12-$AZ$3*($C$13-ABERTURAS!$O$26)),0))+$AZ$39)/$AZ$38</f>
        <v>0.864842475705195</v>
      </c>
      <c r="EN7" s="10">
        <f>((IF(AND(ABERTURAS!$K$26="OK",ABERTURAS!$E$26="FIJA"),ABERTURAS!$Q$26+CHOOSE(ABERTURAS!$N$26,$AZ$4*$C$13,0,$AZ$4*($C$13-ABERTURAS!$O$26),$AZ$4*($C$13-ABERTURAS!$O$26)),0))+$AZ$40)/$AZ$38</f>
        <v>0.158640226628895</v>
      </c>
      <c r="EO7" s="10">
        <f>((IF(AND(ABERTURAS!$K$26="OK",ABERTURAS!$E$26="OPERABLE"),CHOOSE(ABERTURAS!$N$26,ABERTURAS!$O$26-$AZ$3*$C$13,ABERTURAS!$O$26,-$AZ$3*($C$13-ABERTURAS!$O$26),$C$12-$AZ$3*($C$13-ABERTURAS!$O$26)),0))+$AZ$39)/$AZ$38</f>
        <v>0.864842475705195</v>
      </c>
      <c r="EP7" s="10">
        <f>((IF(AND(ABERTURAS!$K$26="OK",ABERTURAS!$E$26="OPERABLE"),ABERTURAS!$Q$26+CHOOSE(ABERTURAS!$N$26,$AZ$4*$C$13,0,$AZ$4*($C$13-ABERTURAS!$O$26),$AZ$4*($C$13-ABERTURAS!$O$26)),0))+$AZ$40)/$AZ$38</f>
        <v>0.158640226628895</v>
      </c>
    </row>
    <row r="8" spans="2:52" ht="29.25" customHeight="1" x14ac:dyDescent="0.3">
      <c r="B8" s="1" t="s">
        <v>82</v>
      </c>
      <c r="C8" s="48" t="s">
        <v>83</v>
      </c>
      <c r="D8" s="48"/>
      <c r="E8" s="6" t="s">
        <v>84</v>
      </c>
      <c r="F8" s="12" t="s">
        <v>80</v>
      </c>
      <c r="AA8" s="10">
        <f>$C$23*5/8</f>
        <v>10</v>
      </c>
      <c r="AB8" s="10">
        <f>IF($C$14="PLANO",$C$17,IF($C$14="DOS AGUAS",$C$17+($C$18-$C$17)*(1-ABS(2*($AA$8)/$C$23-1)),IF($C$14="UN AGUA",IF(N($C$25)=0,$C$18-($C$18-$C$17)*($AA$8)/$C$23,$C$17+($C$18-$C$17)*($AA$8)/$C$23),$C$17+4*($C$18-$C$17)*($AA$8)/$C$23*(1-($AA$8)/$C$23))))</f>
        <v>10.119999999999999</v>
      </c>
      <c r="AE8" s="10">
        <f>ABERTURAS!$D$51*5/8</f>
        <v>6.3</v>
      </c>
      <c r="AF8" s="10">
        <f>IF(ABERTURAS!$E$51="SÍ",$AB$8,ABERTURAS!$F$51)</f>
        <v>10.62</v>
      </c>
      <c r="AG8" s="10">
        <f>((($AZ$5+$AE8*($C$12-2*$AZ$5)/$C$12)-$AZ$3*$C$13)+$AZ$39)/$AZ$38</f>
        <v>0.841235299123515</v>
      </c>
      <c r="AH8" s="10">
        <f>((IF($AF8&gt;0,$AF8-$AZ$5,0)+$AZ$4*$C$13)+$AZ$40)/$AZ$38</f>
        <v>0.841359773371105</v>
      </c>
      <c r="AI8" s="10">
        <f>ABERTURAS!$D$52*5/8</f>
        <v>6.3</v>
      </c>
      <c r="AJ8" s="10">
        <f>IF(ABERTURAS!$E$52="SÍ",$AB$8,ABERTURAS!$F$52)</f>
        <v>9.82</v>
      </c>
      <c r="AK8" s="10">
        <f>((($AZ$5+$AI8*($C$12-2*$AZ$5)/$C$12))+$AZ$39)/$AZ$38</f>
        <v>1.1585157523813</v>
      </c>
      <c r="AL8" s="10">
        <f>((IF($AJ8&gt;0,$AJ8-$AZ$5,0))+$AZ$40)/$AZ$38</f>
        <v>0.607176581680831</v>
      </c>
      <c r="AM8" s="10">
        <f>ABERTURAS!$D$53*5/8</f>
        <v>10</v>
      </c>
      <c r="AN8" s="10">
        <f>IF(ABERTURAS!$E$53="SÍ",$AB$8,ABERTURAS!$F$53)</f>
        <v>10.119999999999999</v>
      </c>
      <c r="AO8" s="10">
        <f>((-$AZ$3*($C$13-($AZ$5+$AM8*($C$13-2*$AZ$5)/$C$13)))+$AZ$39)/$AZ$38</f>
        <v>0.744275903467235</v>
      </c>
      <c r="AP8" s="10">
        <f>((IF($AN8&gt;0,$AN8-$AZ$5,0)+$AZ$4*($C$13-($AZ$5+$AM8*($C$13-2*$AZ$5)/$C$13)))+$AZ$40)/$AZ$38</f>
        <v>0.695977337110482</v>
      </c>
      <c r="AQ8" s="10">
        <f>ABERTURAS!$D$54*5/8</f>
        <v>10</v>
      </c>
      <c r="AR8" s="10">
        <f>IF(ABERTURAS!$E$54="SÍ",$AB$8,ABERTURAS!$F$54)</f>
        <v>10.119999999999999</v>
      </c>
      <c r="AS8" s="10">
        <f>(($C$12-$AZ$3*($C$13-($AZ$5+$AQ8*($C$13-2*$AZ$5)/$C$13)))+$AZ$39)/$AZ$38</f>
        <v>1.22019658335392</v>
      </c>
      <c r="AT8" s="10">
        <f>((IF($AR8&gt;0,$AR8-$AZ$5,0)+$AZ$4*($C$13-($AZ$5+$AQ8*($C$13-2*$AZ$5)/$C$13)))+$AZ$40)/$AZ$38</f>
        <v>0.695977337110482</v>
      </c>
      <c r="AU8" s="10">
        <f>((IF($AC$3="Z",0,$AA$8)-$AZ$3*($C$13-IF($AC$3="Z",$AA$8,0)))+$AZ$39)/$AZ$38</f>
        <v>0.745862305733524</v>
      </c>
      <c r="AV8" s="10">
        <f>(($AB$8+$AZ$4*($C$13-IF($AC$3="Z",$AA$8,0)))+$AZ$40)/$AZ$38</f>
        <v>0.710103871576959</v>
      </c>
      <c r="AY8" s="9" t="inlineStr">
        <is>
          <t>y' máx nave</t>
        </is>
      </c>
      <c r="AZ8" s="11">
        <f>$C$21+$AZ$4*$C$13</f>
        <v>14.78</v>
      </c>
    </row>
    <row r="9" spans="2:52" ht="15" customHeight="1" x14ac:dyDescent="0.3">
      <c r="AA9" s="10">
        <f>$C$23*6/8</f>
        <v>12</v>
      </c>
      <c r="AB9" s="10">
        <f>IF($C$14="PLANO",$C$17,IF($C$14="DOS AGUAS",$C$17+($C$18-$C$17)*(1-ABS(2*($AA$9)/$C$23-1)),IF($C$14="UN AGUA",IF(N($C$25)=0,$C$18-($C$18-$C$17)*($AA$9)/$C$23,$C$17+($C$18-$C$17)*($AA$9)/$C$23),$C$17+4*($C$18-$C$17)*($AA$9)/$C$23*(1-($AA$9)/$C$23))))</f>
        <v>10.02</v>
      </c>
      <c r="AE9" s="10">
        <f>ABERTURAS!$D$51*4/8</f>
        <v>5.04</v>
      </c>
      <c r="AF9" s="10">
        <f>IF(ABERTURAS!$E$51="SÍ",$AB$7,ABERTURAS!$F$51)</f>
        <v>10.62</v>
      </c>
      <c r="AG9" s="10">
        <f>((($AZ$5+$AE9*($C$12-2*$AZ$5)/$C$12)-$AZ$3*$C$13)+$AZ$39)/$AZ$38</f>
        <v>0.785522362390748</v>
      </c>
      <c r="AH9" s="10">
        <f>((IF($AF9&gt;0,$AF9-$AZ$5,0)+$AZ$4*$C$13)+$AZ$40)/$AZ$38</f>
        <v>0.841359773371105</v>
      </c>
      <c r="AI9" s="10">
        <f>ABERTURAS!$D$52*4/8</f>
        <v>5.04</v>
      </c>
      <c r="AJ9" s="10">
        <f>IF(ABERTURAS!$E$52="SÍ",$AB$7,ABERTURAS!$F$52)</f>
        <v>9.82</v>
      </c>
      <c r="AK9" s="10">
        <f>((($AZ$5+$AI9*($C$12-2*$AZ$5)/$C$12))+$AZ$39)/$AZ$38</f>
        <v>1.10280281564854</v>
      </c>
      <c r="AL9" s="10">
        <f>((IF($AJ9&gt;0,$AJ9-$AZ$5,0))+$AZ$40)/$AZ$38</f>
        <v>0.607176581680831</v>
      </c>
      <c r="AM9" s="10">
        <f>ABERTURAS!$D$53*4/8</f>
        <v>8</v>
      </c>
      <c r="AN9" s="10">
        <f>IF(ABERTURAS!$E$53="SÍ",$AB$7,ABERTURAS!$F$53)</f>
        <v>10.219999999999999</v>
      </c>
      <c r="AO9" s="10">
        <f>((-$AZ$3*($C$13-($AZ$5+$AM9*($C$13-2*$AZ$5)/$C$13)))+$AZ$39)/$AZ$38</f>
        <v>0.7062022490763</v>
      </c>
      <c r="AP9" s="10">
        <f>((IF($AN9&gt;0,$AN9-$AZ$5,0)+$AZ$4*($C$13-($AZ$5+$AM9*($C$13-2*$AZ$5)/$C$13)))+$AZ$40)/$AZ$38</f>
        <v>0.724268177525968</v>
      </c>
      <c r="AQ9" s="10">
        <f>ABERTURAS!$D$54*4/8</f>
        <v>8</v>
      </c>
      <c r="AR9" s="10">
        <f>IF(ABERTURAS!$E$54="SÍ",$AB$7,ABERTURAS!$F$54)</f>
        <v>10.219999999999999</v>
      </c>
      <c r="AS9" s="10">
        <f>(($C$12-$AZ$3*($C$13-($AZ$5+$AQ9*($C$13-2*$AZ$5)/$C$13)))+$AZ$39)/$AZ$38</f>
        <v>1.18212292896299</v>
      </c>
      <c r="AT9" s="10">
        <f>((IF($AR9&gt;0,$AR9-$AZ$5,0)+$AZ$4*($C$13-($AZ$5+$AQ9*($C$13-2*$AZ$5)/$C$13)))+$AZ$40)/$AZ$38</f>
        <v>0.724268177525968</v>
      </c>
      <c r="AU9" s="10">
        <f>((IF($AC$3="Z",0,$AA$9)-$AZ$3*($C$13-IF($AC$3="Z",$AA$9,0)))+$AZ$39)/$AZ$38</f>
        <v>0.785522362390748</v>
      </c>
      <c r="AV9" s="10">
        <f>(($AB$9+$AZ$4*($C$13-IF($AC$3="Z",$AA$9,0)))+$AZ$40)/$AZ$38</f>
        <v>0.680830972615675</v>
      </c>
      <c r="AY9" s="9" t="inlineStr">
        <is>
          <t>E</t>
        </is>
      </c>
      <c r="AZ9" s="11">
        <f>MAX($AZ$7-$AZ$6,$AZ$8)</f>
        <v>16.8</v>
      </c>
    </row>
    <row r="10" spans="2:52" ht="21" customHeight="1" x14ac:dyDescent="0.3">
      <c r="B10" s="49" t="s">
        <v>87</v>
      </c>
      <c r="C10" s="49"/>
      <c r="D10" s="49"/>
      <c r="E10" s="49"/>
      <c r="F10" s="49"/>
      <c r="AA10" s="10">
        <f>$C$23*7/8</f>
        <v>14</v>
      </c>
      <c r="AB10" s="10">
        <f>IF($C$14="PLANO",$C$17,IF($C$14="DOS AGUAS",$C$17+($C$18-$C$17)*(1-ABS(2*($AA$10)/$C$23-1)),IF($C$14="UN AGUA",IF(N($C$25)=0,$C$18-($C$18-$C$17)*($AA$10)/$C$23,$C$17+($C$18-$C$17)*($AA$10)/$C$23),$C$17+4*($C$18-$C$17)*($AA$10)/$C$23*(1-($AA$10)/$C$23))))</f>
        <v>9.92</v>
      </c>
      <c r="AE10" s="10">
        <f>ABERTURAS!$D$51*3/8</f>
        <v>3.7800000000000002</v>
      </c>
      <c r="AF10" s="10">
        <f>IF(ABERTURAS!$E$51="SÍ",$AB$6,ABERTURAS!$F$51)</f>
        <v>10.62</v>
      </c>
      <c r="AG10" s="10">
        <f>((($AZ$5+$AE10*($C$12-2*$AZ$5)/$C$12)-$AZ$3*$C$13)+$AZ$39)/$AZ$38</f>
        <v>0.729809425657981</v>
      </c>
      <c r="AH10" s="10">
        <f>((IF($AF10&gt;0,$AF10-$AZ$5,0)+$AZ$4*$C$13)+$AZ$40)/$AZ$38</f>
        <v>0.841359773371105</v>
      </c>
      <c r="AI10" s="10">
        <f>ABERTURAS!$D$52*3/8</f>
        <v>3.7800000000000002</v>
      </c>
      <c r="AJ10" s="10">
        <f>IF(ABERTURAS!$E$52="SÍ",$AB$6,ABERTURAS!$F$52)</f>
        <v>9.82</v>
      </c>
      <c r="AK10" s="10">
        <f>((($AZ$5+$AI10*($C$12-2*$AZ$5)/$C$12))+$AZ$39)/$AZ$38</f>
        <v>1.04708987891577</v>
      </c>
      <c r="AL10" s="10">
        <f>((IF($AJ10&gt;0,$AJ10-$AZ$5,0))+$AZ$40)/$AZ$38</f>
        <v>0.607176581680831</v>
      </c>
      <c r="AM10" s="10">
        <f>ABERTURAS!$D$53*3/8</f>
        <v>6</v>
      </c>
      <c r="AN10" s="10">
        <f>IF(ABERTURAS!$E$53="SÍ",$AB$6,ABERTURAS!$F$53)</f>
        <v>10.32</v>
      </c>
      <c r="AO10" s="10">
        <f>((-$AZ$3*($C$13-($AZ$5+$AM10*($C$13-2*$AZ$5)/$C$13)))+$AZ$39)/$AZ$38</f>
        <v>0.668128594685365</v>
      </c>
      <c r="AP10" s="10">
        <f>((IF($AN10&gt;0,$AN10-$AZ$5,0)+$AZ$4*($C$13-($AZ$5+$AM10*($C$13-2*$AZ$5)/$C$13)))+$AZ$40)/$AZ$38</f>
        <v>0.752559017941454</v>
      </c>
      <c r="AQ10" s="10">
        <f>ABERTURAS!$D$54*3/8</f>
        <v>6</v>
      </c>
      <c r="AR10" s="10">
        <f>IF(ABERTURAS!$E$54="SÍ",$AB$6,ABERTURAS!$F$54)</f>
        <v>10.32</v>
      </c>
      <c r="AS10" s="10">
        <f>(($C$12-$AZ$3*($C$13-($AZ$5+$AQ10*($C$13-2*$AZ$5)/$C$13)))+$AZ$39)/$AZ$38</f>
        <v>1.14404927457205</v>
      </c>
      <c r="AT10" s="10">
        <f>((IF($AR10&gt;0,$AR10-$AZ$5,0)+$AZ$4*($C$13-($AZ$5+$AQ10*($C$13-2*$AZ$5)/$C$13)))+$AZ$40)/$AZ$38</f>
        <v>0.752559017941454</v>
      </c>
      <c r="AU10" s="10">
        <f>((IF($AC$3="Z",0,$AA$10)-$AZ$3*($C$13-IF($AC$3="Z",$AA$10,0)))+$AZ$39)/$AZ$38</f>
        <v>0.825182419047972</v>
      </c>
      <c r="AV10" s="10">
        <f>(($AB$10+$AZ$4*($C$13-IF($AC$3="Z",$AA$10,0)))+$AZ$40)/$AZ$38</f>
        <v>0.651558073654391</v>
      </c>
      <c r="AY10" s="9" t="inlineStr">
        <is>
          <t>flecha</t>
        </is>
      </c>
      <c r="AZ10" s="11">
        <f>0.12*$AZ$9</f>
        <v>2.016</v>
      </c>
    </row>
    <row r="11" spans="2:52" ht="30" customHeight="1" x14ac:dyDescent="0.3">
      <c r="B11" s="2" t="s">
        <v>71</v>
      </c>
      <c r="C11" s="2" t="s">
        <v>72</v>
      </c>
      <c r="D11" s="2" t="s">
        <v>73</v>
      </c>
      <c r="E11" s="2" t="s">
        <v>74</v>
      </c>
      <c r="F11" s="2" t="s">
        <v>75</v>
      </c>
      <c r="AA11" s="10">
        <f>$C$23*8/8</f>
        <v>16</v>
      </c>
      <c r="AB11" s="10">
        <f>IF($C$14="PLANO",$C$17,IF($C$14="DOS AGUAS",$C$17+($C$18-$C$17)*(1-ABS(2*($AA$11)/$C$23-1)),IF($C$14="UN AGUA",IF(N($C$25)=0,$C$18-($C$18-$C$17)*($AA$11)/$C$23,$C$17+($C$18-$C$17)*($AA$11)/$C$23),$C$17+4*($C$18-$C$17)*($AA$11)/$C$23*(1-($AA$11)/$C$23))))</f>
        <v>9.82</v>
      </c>
      <c r="AE11" s="10">
        <f>ABERTURAS!$D$51*2/8</f>
        <v>2.52</v>
      </c>
      <c r="AF11" s="10">
        <f>IF(ABERTURAS!$E$51="SÍ",$AB$5,ABERTURAS!$F$51)</f>
        <v>10.62</v>
      </c>
      <c r="AG11" s="10">
        <f>((($AZ$5+$AE11*($C$12-2*$AZ$5)/$C$12)-$AZ$3*$C$13)+$AZ$39)/$AZ$38</f>
        <v>0.674096488925214</v>
      </c>
      <c r="AH11" s="10">
        <f>((IF($AF11&gt;0,$AF11-$AZ$5,0)+$AZ$4*$C$13)+$AZ$40)/$AZ$38</f>
        <v>0.841359773371105</v>
      </c>
      <c r="AI11" s="10">
        <f>ABERTURAS!$D$52*2/8</f>
        <v>2.52</v>
      </c>
      <c r="AJ11" s="10">
        <f>IF(ABERTURAS!$E$52="SÍ",$AB$5,ABERTURAS!$F$52)</f>
        <v>9.82</v>
      </c>
      <c r="AK11" s="10">
        <f>((($AZ$5+$AI11*($C$12-2*$AZ$5)/$C$12))+$AZ$39)/$AZ$38</f>
        <v>0.991376942183005</v>
      </c>
      <c r="AL11" s="10">
        <f>((IF($AJ11&gt;0,$AJ11-$AZ$5,0))+$AZ$40)/$AZ$38</f>
        <v>0.607176581680831</v>
      </c>
      <c r="AM11" s="10">
        <f>ABERTURAS!$D$53*2/8</f>
        <v>4</v>
      </c>
      <c r="AN11" s="10">
        <f>IF(ABERTURAS!$E$53="SÍ",$AB$5,ABERTURAS!$F$53)</f>
        <v>10.42</v>
      </c>
      <c r="AO11" s="10">
        <f>((-$AZ$3*($C$13-($AZ$5+$AM11*($C$13-2*$AZ$5)/$C$13)))+$AZ$39)/$AZ$38</f>
        <v>0.630054940294431</v>
      </c>
      <c r="AP11" s="10">
        <f>((IF($AN11&gt;0,$AN11-$AZ$5,0)+$AZ$4*($C$13-($AZ$5+$AM11*($C$13-2*$AZ$5)/$C$13)))+$AZ$40)/$AZ$38</f>
        <v>0.780849858356941</v>
      </c>
      <c r="AQ11" s="10">
        <f>ABERTURAS!$D$54*2/8</f>
        <v>4</v>
      </c>
      <c r="AR11" s="10">
        <f>IF(ABERTURAS!$E$54="SÍ",$AB$5,ABERTURAS!$F$54)</f>
        <v>10.42</v>
      </c>
      <c r="AS11" s="10">
        <f>(($C$12-$AZ$3*($C$13-($AZ$5+$AQ11*($C$13-2*$AZ$5)/$C$13)))+$AZ$39)/$AZ$38</f>
        <v>1.10597562018112</v>
      </c>
      <c r="AT11" s="10">
        <f>((IF($AR11&gt;0,$AR11-$AZ$5,0)+$AZ$4*($C$13-($AZ$5+$AQ11*($C$13-2*$AZ$5)/$C$13)))+$AZ$40)/$AZ$38</f>
        <v>0.780849858356941</v>
      </c>
      <c r="AU11" s="10">
        <f>((IF($AC$3="Z",0,$AA$11)-$AZ$3*($C$13-IF($AC$3="Z",$AA$11,0)))+$AZ$39)/$AZ$38</f>
        <v>0.864842475705195</v>
      </c>
      <c r="AV11" s="10">
        <f>(($AB$11+$AZ$4*($C$13-IF($AC$3="Z",$AA$11,0)))+$AZ$40)/$AZ$38</f>
        <v>0.622285174693107</v>
      </c>
      <c r="AY11" s="9" t="inlineStr">
        <is>
          <t>punta</t>
        </is>
      </c>
      <c r="AZ11" s="11">
        <f>0.035*$AZ$9</f>
        <v>0.588</v>
      </c>
    </row>
    <row r="12" spans="2:52" ht="27" customHeight="1" x14ac:dyDescent="0.3">
      <c r="B12" s="1" t="s">
        <v>88</v>
      </c>
      <c r="C12" s="13">
        <v>10.08</v>
      </c>
      <c r="D12" s="14" t="s">
        <v>89</v>
      </c>
      <c r="E12" s="6" t="s">
        <v>90</v>
      </c>
      <c r="F12" s="12" t="s">
        <v>91</v>
      </c>
      <c r="AE12" s="10">
        <f>ABERTURAS!$D$51*1/8</f>
        <v>1.26</v>
      </c>
      <c r="AF12" s="10">
        <f>IF(ABERTURAS!$E$51="SÍ",$AB$4,ABERTURAS!$F$51)</f>
        <v>10.62</v>
      </c>
      <c r="AG12" s="10">
        <f>((($AZ$5+$AE12*($C$12-2*$AZ$5)/$C$12)-$AZ$3*$C$13)+$AZ$39)/$AZ$38</f>
        <v>0.618383552192448</v>
      </c>
      <c r="AH12" s="10">
        <f>((IF($AF12&gt;0,$AF12-$AZ$5,0)+$AZ$4*$C$13)+$AZ$40)/$AZ$38</f>
        <v>0.841359773371105</v>
      </c>
      <c r="AI12" s="10">
        <f>ABERTURAS!$D$52*1/8</f>
        <v>1.26</v>
      </c>
      <c r="AJ12" s="10">
        <f>IF(ABERTURAS!$E$52="SÍ",$AB$4,ABERTURAS!$F$52)</f>
        <v>9.82</v>
      </c>
      <c r="AK12" s="10">
        <f>((($AZ$5+$AI12*($C$12-2*$AZ$5)/$C$12))+$AZ$39)/$AZ$38</f>
        <v>0.935664005450238</v>
      </c>
      <c r="AL12" s="10">
        <f>((IF($AJ12&gt;0,$AJ12-$AZ$5,0))+$AZ$40)/$AZ$38</f>
        <v>0.607176581680831</v>
      </c>
      <c r="AM12" s="10">
        <f>ABERTURAS!$D$53*1/8</f>
        <v>2</v>
      </c>
      <c r="AN12" s="10">
        <f>IF(ABERTURAS!$E$53="SÍ",$AB$4,ABERTURAS!$F$53)</f>
        <v>10.52</v>
      </c>
      <c r="AO12" s="10">
        <f>((-$AZ$3*($C$13-($AZ$5+$AM12*($C$13-2*$AZ$5)/$C$13)))+$AZ$39)/$AZ$38</f>
        <v>0.591981285903496</v>
      </c>
      <c r="AP12" s="10">
        <f>((IF($AN12&gt;0,$AN12-$AZ$5,0)+$AZ$4*($C$13-($AZ$5+$AM12*($C$13-2*$AZ$5)/$C$13)))+$AZ$40)/$AZ$38</f>
        <v>0.809140698772427</v>
      </c>
      <c r="AQ12" s="10">
        <f>ABERTURAS!$D$54*1/8</f>
        <v>2</v>
      </c>
      <c r="AR12" s="10">
        <f>IF(ABERTURAS!$E$54="SÍ",$AB$4,ABERTURAS!$F$54)</f>
        <v>10.52</v>
      </c>
      <c r="AS12" s="10">
        <f>(($C$12-$AZ$3*($C$13-($AZ$5+$AQ12*($C$13-2*$AZ$5)/$C$13)))+$AZ$39)/$AZ$38</f>
        <v>1.06790196579018</v>
      </c>
      <c r="AT12" s="10">
        <f>((IF($AR12&gt;0,$AR12-$AZ$5,0)+$AZ$4*($C$13-($AZ$5+$AQ12*($C$13-2*$AZ$5)/$C$13)))+$AZ$40)/$AZ$38</f>
        <v>0.809140698772427</v>
      </c>
      <c r="AU12" s="10">
        <f>((IF($AC$3="Z",$C$12,$AA$11)-$AZ$3*($C$13-IF($AC$3="Z",$AA$11,$C$13)))+$AZ$39)/$AZ$38</f>
        <v>1.34076315559188</v>
      </c>
      <c r="AV12" s="10">
        <f>(($AB$11+$AZ$4*($C$13-IF($AC$3="Z",$AA$11,$C$13)))+$AZ$40)/$AZ$38</f>
        <v>0.622285174693107</v>
      </c>
      <c r="AY12" s="9" t="inlineStr">
        <is>
          <t>ejes</t>
        </is>
      </c>
      <c r="AZ12" s="11">
        <f>0.09*$AZ$9</f>
        <v>1.512</v>
      </c>
    </row>
    <row r="13" spans="2:52" ht="16.5" customHeight="1" x14ac:dyDescent="0.3">
      <c r="B13" s="1" t="s">
        <v>92</v>
      </c>
      <c r="C13" s="13">
        <v>16</v>
      </c>
      <c r="D13" s="14" t="s">
        <v>89</v>
      </c>
      <c r="E13" s="6" t="s">
        <v>93</v>
      </c>
      <c r="F13" s="12" t="s">
        <v>91</v>
      </c>
      <c r="AE13" s="10">
        <f>ABERTURAS!$D$51*0/8</f>
        <v>0</v>
      </c>
      <c r="AF13" s="10">
        <f>IF(ABERTURAS!$E$51="SÍ",$AB$3,ABERTURAS!$F$51)</f>
        <v>10.62</v>
      </c>
      <c r="AG13" s="10">
        <f>((($AZ$5+$AE13*($C$12-2*$AZ$5)/$C$12)-$AZ$3*$C$13)+$AZ$39)/$AZ$38</f>
        <v>0.562670615459681</v>
      </c>
      <c r="AH13" s="10">
        <f>((IF($AF13&gt;0,$AF13-$AZ$5,0)+$AZ$4*$C$13)+$AZ$40)/$AZ$38</f>
        <v>0.841359773371105</v>
      </c>
      <c r="AI13" s="10">
        <f>ABERTURAS!$D$52*0/8</f>
        <v>0</v>
      </c>
      <c r="AJ13" s="10">
        <f>IF(ABERTURAS!$E$52="SÍ",$AB$3,ABERTURAS!$F$52)</f>
        <v>9.82</v>
      </c>
      <c r="AK13" s="10">
        <f>((($AZ$5+$AI13*($C$12-2*$AZ$5)/$C$12))+$AZ$39)/$AZ$38</f>
        <v>0.879951068717471</v>
      </c>
      <c r="AL13" s="10">
        <f>((IF($AJ13&gt;0,$AJ13-$AZ$5,0))+$AZ$40)/$AZ$38</f>
        <v>0.607176581680831</v>
      </c>
      <c r="AM13" s="10">
        <f>ABERTURAS!$D$53*0/8</f>
        <v>0</v>
      </c>
      <c r="AN13" s="10">
        <f>IF(ABERTURAS!$E$53="SÍ",$AB$3,ABERTURAS!$F$53)</f>
        <v>10.62</v>
      </c>
      <c r="AO13" s="10">
        <f>((-$AZ$3*($C$13-($AZ$5+$AM13*($C$13-2*$AZ$5)/$C$13)))+$AZ$39)/$AZ$38</f>
        <v>0.553907631512561</v>
      </c>
      <c r="AP13" s="10">
        <f>((IF($AN13&gt;0,$AN13-$AZ$5,0)+$AZ$4*($C$13-($AZ$5+$AM13*($C$13-2*$AZ$5)/$C$13)))+$AZ$40)/$AZ$38</f>
        <v>0.837431539187913</v>
      </c>
      <c r="AQ13" s="10">
        <f>ABERTURAS!$D$54*0/8</f>
        <v>0</v>
      </c>
      <c r="AR13" s="10">
        <f>IF(ABERTURAS!$E$54="SÍ",$AB$3,ABERTURAS!$F$54)</f>
        <v>10.62</v>
      </c>
      <c r="AS13" s="10">
        <f>(($C$12-$AZ$3*($C$13-($AZ$5+$AQ13*($C$13-2*$AZ$5)/$C$13)))+$AZ$39)/$AZ$38</f>
        <v>1.02982831139925</v>
      </c>
      <c r="AT13" s="10">
        <f>((IF($AR13&gt;0,$AR13-$AZ$5,0)+$AZ$4*($C$13-($AZ$5+$AQ13*($C$13-2*$AZ$5)/$C$13)))+$AZ$40)/$AZ$38</f>
        <v>0.837431539187913</v>
      </c>
      <c r="AU13" s="10">
        <f>((IF($AC$3="Z",$C$12,$AA$10)-$AZ$3*($C$13-IF($AC$3="Z",$AA$10,$C$13)))+$AZ$39)/$AZ$38</f>
        <v>1.30110309893466</v>
      </c>
      <c r="AV13" s="10">
        <f>(($AB$10+$AZ$4*($C$13-IF($AC$3="Z",$AA$10,$C$13)))+$AZ$40)/$AZ$38</f>
        <v>0.651558073654391</v>
      </c>
      <c r="AY13" s="9" t="inlineStr">
        <is>
          <t>cos punta</t>
        </is>
      </c>
      <c r="AZ13" s="11">
        <f>COS(RADIANS(28))</f>
        <v>0.882947592858927</v>
      </c>
    </row>
    <row r="14" spans="2:52" ht="16.5" customHeight="1" x14ac:dyDescent="0.3">
      <c r="B14" s="1" t="s">
        <v>94</v>
      </c>
      <c r="C14" s="15" t="s">
        <v>95</v>
      </c>
      <c r="D14" s="14" t="s">
        <v>80</v>
      </c>
      <c r="E14" s="6" t="s">
        <v>96</v>
      </c>
      <c r="F14" s="12" t="s">
        <v>97</v>
      </c>
      <c r="AE14" s="10">
        <f>0</f>
        <v>0</v>
      </c>
      <c r="AF14" s="10">
        <f>0</f>
        <v>0</v>
      </c>
      <c r="AG14" s="10">
        <f>((($AZ$5+$AE14*($C$12-2*$AZ$5)/$C$12)-$AZ$3*$C$13)+$AZ$39)/$AZ$38</f>
        <v>0.562670615459681</v>
      </c>
      <c r="AH14" s="10">
        <f>((IF($AF14&gt;0,$AF14-$AZ$5,0)+$AZ$4*$C$13)+$AZ$40)/$AZ$38</f>
        <v>0.35505193578848</v>
      </c>
      <c r="AI14" s="10">
        <f>0</f>
        <v>0</v>
      </c>
      <c r="AJ14" s="10">
        <f>0</f>
        <v>0</v>
      </c>
      <c r="AK14" s="10">
        <f>((($AZ$5+$AI14*($C$12-2*$AZ$5)/$C$12))+$AZ$39)/$AZ$38</f>
        <v>0.879951068717471</v>
      </c>
      <c r="AL14" s="10">
        <f>((IF($AJ14&gt;0,$AJ14-$AZ$5,0))+$AZ$40)/$AZ$38</f>
        <v>0.158640226628895</v>
      </c>
      <c r="AM14" s="10">
        <f>0</f>
        <v>0</v>
      </c>
      <c r="AN14" s="10">
        <f>0</f>
        <v>0</v>
      </c>
      <c r="AO14" s="10">
        <f>((-$AZ$3*($C$13-($AZ$5+$AM14*($C$13-2*$AZ$5)/$C$13)))+$AZ$39)/$AZ$38</f>
        <v>0.553907631512561</v>
      </c>
      <c r="AP14" s="10">
        <f>((IF($AN14&gt;0,$AN14-$AZ$5,0)+$AZ$4*($C$13-($AZ$5+$AM14*($C$13-2*$AZ$5)/$C$13)))+$AZ$40)/$AZ$38</f>
        <v>0.351123701605288</v>
      </c>
      <c r="AQ14" s="10">
        <f>0</f>
        <v>0</v>
      </c>
      <c r="AR14" s="10">
        <f>0</f>
        <v>0</v>
      </c>
      <c r="AS14" s="10">
        <f>(($C$12-$AZ$3*($C$13-($AZ$5+$AQ14*($C$13-2*$AZ$5)/$C$13)))+$AZ$39)/$AZ$38</f>
        <v>1.02982831139925</v>
      </c>
      <c r="AT14" s="10">
        <f>((IF($AR14&gt;0,$AR14-$AZ$5,0)+$AZ$4*($C$13-($AZ$5+$AQ14*($C$13-2*$AZ$5)/$C$13)))+$AZ$40)/$AZ$38</f>
        <v>0.351123701605288</v>
      </c>
      <c r="AU14" s="10">
        <f>((IF($AC$3="Z",$C$12,$AA$9)-$AZ$3*($C$13-IF($AC$3="Z",$AA$9,$C$13)))+$AZ$39)/$AZ$38</f>
        <v>1.26144304227743</v>
      </c>
      <c r="AV14" s="10">
        <f>(($AB$9+$AZ$4*($C$13-IF($AC$3="Z",$AA$9,$C$13)))+$AZ$40)/$AZ$38</f>
        <v>0.680830972615675</v>
      </c>
      <c r="AY14" s="9" t="inlineStr">
        <is>
          <t>sen punta</t>
        </is>
      </c>
      <c r="AZ14" s="11">
        <f>SIN(RADIANS(28))</f>
        <v>0.469471562785891</v>
      </c>
    </row>
    <row r="15" spans="2:52" ht="49.5" customHeight="1" x14ac:dyDescent="0.3">
      <c r="B15" s="1" t="s">
        <v>98</v>
      </c>
      <c r="C15" s="15" t="s">
        <v>99</v>
      </c>
      <c r="D15" s="14" t="s">
        <v>80</v>
      </c>
      <c r="E15" s="6" t="s">
        <v>100</v>
      </c>
      <c r="F15" s="12" t="s">
        <v>101</v>
      </c>
      <c r="AU15" s="10">
        <f>((IF($AC$3="Z",$C$12,$AA$8)-$AZ$3*($C$13-IF($AC$3="Z",$AA$8,$C$13)))+$AZ$39)/$AZ$38</f>
        <v>1.22178298562021</v>
      </c>
      <c r="AV15" s="10">
        <f>(($AB$8+$AZ$4*($C$13-IF($AC$3="Z",$AA$8,$C$13)))+$AZ$40)/$AZ$38</f>
        <v>0.710103871576959</v>
      </c>
      <c r="AY15" s="9" t="inlineStr">
        <is>
          <t>T1 x'</t>
        </is>
      </c>
      <c r="AZ15" s="11">
        <f>$C$12/2-$AZ$3*$C$13</f>
        <v>-1.68</v>
      </c>
    </row>
    <row r="16" spans="2:52" ht="38.25" customHeight="1" x14ac:dyDescent="0.3">
      <c r="B16" s="1" t="s">
        <v>102</v>
      </c>
      <c r="C16" s="15" t="s">
        <v>103</v>
      </c>
      <c r="D16" s="14" t="s">
        <v>80</v>
      </c>
      <c r="E16" s="6" t="s">
        <v>104</v>
      </c>
      <c r="F16" s="12" t="s">
        <v>101</v>
      </c>
      <c r="AU16" s="10">
        <f>((IF($AC$3="Z",$C$12,$AA$7)-$AZ$3*($C$13-IF($AC$3="Z",$AA$7,$C$13)))+$AZ$39)/$AZ$38</f>
        <v>1.18212292896299</v>
      </c>
      <c r="AV16" s="10">
        <f>(($AB$7+$AZ$4*($C$13-IF($AC$3="Z",$AA$7,$C$13)))+$AZ$40)/$AZ$38</f>
        <v>0.739376770538244</v>
      </c>
      <c r="AY16" s="9" t="inlineStr">
        <is>
          <t>T1 y'</t>
        </is>
      </c>
      <c r="AZ16" s="11">
        <f>$AF$9-$AZ$5+$AZ$4*$C$13</f>
        <v>14.46</v>
      </c>
    </row>
    <row r="17" spans="2:52" ht="29.25" customHeight="1" x14ac:dyDescent="0.3">
      <c r="B17" s="1" t="s">
        <v>105</v>
      </c>
      <c r="C17" s="13">
        <v>9.82</v>
      </c>
      <c r="D17" s="14" t="s">
        <v>89</v>
      </c>
      <c r="E17" s="6" t="s">
        <v>106</v>
      </c>
      <c r="F17" s="12" t="s">
        <v>91</v>
      </c>
      <c r="AU17" s="10">
        <f>((IF($AC$3="Z",$C$12,$AA$6)-$AZ$3*($C$13-IF($AC$3="Z",$AA$6,$C$13)))+$AZ$39)/$AZ$38</f>
        <v>1.14246287230576</v>
      </c>
      <c r="AV17" s="10">
        <f>(($AB$6+$AZ$4*($C$13-IF($AC$3="Z",$AA$6,$C$13)))+$AZ$40)/$AZ$38</f>
        <v>0.768649669499528</v>
      </c>
      <c r="AY17" s="9" t="inlineStr">
        <is>
          <t>A1 x'</t>
        </is>
      </c>
      <c r="AZ17" s="11">
        <f>$AZ$15</f>
        <v>-1.68</v>
      </c>
    </row>
    <row r="18" spans="2:52" ht="29.25" customHeight="1" x14ac:dyDescent="0.3">
      <c r="B18" s="1" t="s">
        <v>107</v>
      </c>
      <c r="C18" s="13">
        <v>10.62</v>
      </c>
      <c r="D18" s="14" t="s">
        <v>89</v>
      </c>
      <c r="E18" s="6" t="s">
        <v>108</v>
      </c>
      <c r="F18" s="12" t="s">
        <v>91</v>
      </c>
      <c r="AU18" s="10">
        <f>((IF($AC$3="Z",$C$12,$AA$5)-$AZ$3*($C$13-IF($AC$3="Z",$AA$5,$C$13)))+$AZ$39)/$AZ$38</f>
        <v>1.10280281564854</v>
      </c>
      <c r="AV18" s="10">
        <f>(($AB$5+$AZ$4*($C$13-IF($AC$3="Z",$AA$5,$C$13)))+$AZ$40)/$AZ$38</f>
        <v>0.797922568460812</v>
      </c>
      <c r="AY18" s="9" t="inlineStr">
        <is>
          <t>A1 y'</t>
        </is>
      </c>
      <c r="AZ18" s="11">
        <f>$AZ$16+$AZ$10</f>
        <v>16.476</v>
      </c>
    </row>
    <row r="19" spans="2:52" ht="27" customHeight="1" x14ac:dyDescent="0.3">
      <c r="B19" s="1" t="s">
        <v>109</v>
      </c>
      <c r="C19" s="15" t="s">
        <v>110</v>
      </c>
      <c r="D19" s="14" t="s">
        <v>80</v>
      </c>
      <c r="E19" s="6" t="s">
        <v>111</v>
      </c>
      <c r="F19" s="12" t="s">
        <v>112</v>
      </c>
      <c r="AU19" s="10">
        <f>((IF($AC$3="Z",$C$12,$AA$4)-$AZ$3*($C$13-IF($AC$3="Z",$AA$4,$C$13)))+$AZ$39)/$AZ$38</f>
        <v>1.06314275899131</v>
      </c>
      <c r="AV19" s="10">
        <f>(($AB$4+$AZ$4*($C$13-IF($AC$3="Z",$AA$4,$C$13)))+$AZ$40)/$AZ$38</f>
        <v>0.827195467422096</v>
      </c>
      <c r="AY19" s="9" t="inlineStr">
        <is>
          <t>T2 x'</t>
        </is>
      </c>
      <c r="AZ19" s="11">
        <f>$C$12/2</f>
        <v>5.04</v>
      </c>
    </row>
    <row r="20" spans="2:52" ht="27" customHeight="1" x14ac:dyDescent="0.3">
      <c r="B20" s="1" t="s">
        <v>113</v>
      </c>
      <c r="C20" s="13">
        <v>6.75</v>
      </c>
      <c r="D20" s="14" t="s">
        <v>89</v>
      </c>
      <c r="E20" s="6" t="s">
        <v>114</v>
      </c>
      <c r="F20" s="12" t="s">
        <v>91</v>
      </c>
      <c r="AU20" s="10">
        <f>((IF($AC$3="Z",$C$12,$AA$3)-$AZ$3*($C$13-IF($AC$3="Z",$AA$3,$C$13)))+$AZ$39)/$AZ$38</f>
        <v>1.02348270233409</v>
      </c>
      <c r="AV20" s="10">
        <f>(($AB$3+$AZ$4*($C$13-IF($AC$3="Z",$AA$3,$C$13)))+$AZ$40)/$AZ$38</f>
        <v>0.856468366383381</v>
      </c>
      <c r="AY20" s="9" t="inlineStr">
        <is>
          <t>T2 y'</t>
        </is>
      </c>
      <c r="AZ20" s="11">
        <f>0</f>
        <v>0.0</v>
      </c>
    </row>
    <row r="21" spans="2:52" ht="16.5" customHeight="1" x14ac:dyDescent="0.3">
      <c r="B21" s="1" t="s">
        <v>115</v>
      </c>
      <c r="C21" s="16">
        <f>IF($C$14="PLANO",$C$17,MAX($C$17,$C$18))</f>
        <v>10.62</v>
      </c>
      <c r="D21" s="14" t="s">
        <v>89</v>
      </c>
      <c r="E21" s="6" t="s">
        <v>116</v>
      </c>
      <c r="F21" s="12" t="s">
        <v>80</v>
      </c>
      <c r="AU21" s="10">
        <f>((IF($AC$3="Z",0,$AA$3)-$AZ$3*($C$13-IF($AC$3="Z",$AA$3,0)))+$AZ$39)/$AZ$38</f>
        <v>0.547562022447405</v>
      </c>
      <c r="AV21" s="10">
        <f>(($AB$3+$AZ$4*($C$13-IF($AC$3="Z",$AA$3,0)))+$AZ$40)/$AZ$38</f>
        <v>0.856468366383381</v>
      </c>
      <c r="AY21" s="9" t="inlineStr">
        <is>
          <t>A2 x'</t>
        </is>
      </c>
      <c r="AZ21" s="11">
        <f>$AZ$19</f>
        <v>5.04</v>
      </c>
    </row>
    <row r="22" spans="2:52" ht="27" customHeight="1" x14ac:dyDescent="0.3">
      <c r="B22" s="1" t="s">
        <v>117</v>
      </c>
      <c r="C22" s="14" t="str">
        <f>IF($C$14="PLANO","—",IF($C$14="UN AGUA",IF(OR(LEFT($C$15,6)="MURO 1",LEFT($C$15,6)="MURO 2"),"Z","X"),IF(LEFT($C$16,1)="L","X","Z")))</f>
        <v>Z</v>
      </c>
      <c r="D22" s="14" t="s">
        <v>80</v>
      </c>
      <c r="E22" s="6" t="s">
        <v>118</v>
      </c>
      <c r="F22" s="12" t="s">
        <v>119</v>
      </c>
      <c r="AU22" s="10">
        <f>((IF($AC$3="Z",0,$AA$5)-$AZ$3*($C$13-IF($AC$3="Z",$AA$5,0)))+$AZ$39)/$AZ$38</f>
        <v>0.626882135761853</v>
      </c>
      <c r="AV22" s="10">
        <f>(($AB$5+$AZ$4*($C$13-IF($AC$3="Z",$AA$5,0)))+$AZ$40)/$AZ$38</f>
        <v>0.797922568460812</v>
      </c>
      <c r="AY22" s="9" t="inlineStr">
        <is>
          <t>A2 y'</t>
        </is>
      </c>
      <c r="AZ22" s="11">
        <f>$AZ$20-$AZ$10</f>
        <v>-2.016</v>
      </c>
    </row>
    <row r="23" spans="2:52" ht="16.5" customHeight="1" x14ac:dyDescent="0.3">
      <c r="B23" s="1" t="s">
        <v>120</v>
      </c>
      <c r="C23" s="16">
        <f>IF($C$22="Z",$C$13,$C$12)</f>
        <v>16</v>
      </c>
      <c r="D23" s="14" t="s">
        <v>89</v>
      </c>
      <c r="E23" s="6" t="s">
        <v>116</v>
      </c>
      <c r="F23" s="12" t="s">
        <v>80</v>
      </c>
      <c r="AU23" s="10">
        <f>((IF($AC$3="Z",$C$12,$AA$5)-$AZ$3*($C$13-IF($AC$3="Z",$AA$5,$C$13)))+$AZ$39)/$AZ$38</f>
        <v>1.10280281564854</v>
      </c>
      <c r="AV23" s="10">
        <f>(($AB$5+$AZ$4*($C$13-IF($AC$3="Z",$AA$5,$C$13)))+$AZ$40)/$AZ$38</f>
        <v>0.797922568460812</v>
      </c>
      <c r="AY23" s="9" t="inlineStr">
        <is>
          <t>T3 x'</t>
        </is>
      </c>
      <c r="AZ23" s="11">
        <f>-$AZ$3*$C$13/2</f>
        <v>-3.36</v>
      </c>
    </row>
    <row r="24" spans="2:52" ht="16.5" customHeight="1" x14ac:dyDescent="0.3">
      <c r="B24" s="1" t="s">
        <v>121</v>
      </c>
      <c r="C24" s="14" t="str">
        <f>IF($C$14&lt;&gt;"UN AGUA","—",CHOOSE(VALUE(MID($C$15,6,1)),"MURO 2","MURO 1","MURO 4","MURO 3"))</f>
        <v>MURO 1</v>
      </c>
      <c r="D24" s="14" t="s">
        <v>80</v>
      </c>
      <c r="E24" s="6" t="s">
        <v>122</v>
      </c>
      <c r="F24" s="12" t="s">
        <v>119</v>
      </c>
      <c r="AU24" s="10">
        <f>((IF($AC$3="Z",$C$12,$AA$7)-$AZ$3*($C$13-IF($AC$3="Z",$AA$7,$C$13)))+$AZ$39)/$AZ$38</f>
        <v>1.18212292896299</v>
      </c>
      <c r="AV24" s="10">
        <f>(($AB$7+$AZ$4*($C$13-IF($AC$3="Z",$AA$7,$C$13)))+$AZ$40)/$AZ$38</f>
        <v>0.739376770538244</v>
      </c>
      <c r="AY24" s="9" t="inlineStr">
        <is>
          <t>T3 y'</t>
        </is>
      </c>
      <c r="AZ24" s="11">
        <f>$AZ$4*$C$13/2</f>
        <v>2.08</v>
      </c>
    </row>
    <row r="25" spans="2:52" ht="27" customHeight="1" x14ac:dyDescent="0.3">
      <c r="B25" s="1" t="s">
        <v>123</v>
      </c>
      <c r="C25" s="16">
        <f>IF($C$14&lt;&gt;"UN AGUA","—",IF(OR($C$24="MURO 1",$C$24="MURO 3"),0,$C$23))</f>
        <v>0</v>
      </c>
      <c r="D25" s="14" t="s">
        <v>89</v>
      </c>
      <c r="E25" s="6" t="s">
        <v>124</v>
      </c>
      <c r="F25" s="12" t="s">
        <v>80</v>
      </c>
      <c r="AU25" s="10">
        <f>((IF($AC$3="Z",0,$AA$7)-$AZ$3*($C$13-IF($AC$3="Z",$AA$7,0)))+$AZ$39)/$AZ$38</f>
        <v>0.7062022490763</v>
      </c>
      <c r="AV25" s="10">
        <f>(($AB$7+$AZ$4*($C$13-IF($AC$3="Z",$AA$7,0)))+$AZ$40)/$AZ$38</f>
        <v>0.739376770538244</v>
      </c>
      <c r="AY25" s="9" t="inlineStr">
        <is>
          <t>A3 x'</t>
        </is>
      </c>
      <c r="AZ25" s="11">
        <f>$AZ$23-SQRT(0.5)*$AZ$10</f>
        <v>-4.78552727087208</v>
      </c>
    </row>
    <row r="26" spans="2:52" ht="16.5" customHeight="1" x14ac:dyDescent="0.3">
      <c r="B26" s="1" t="s">
        <v>125</v>
      </c>
      <c r="C26" s="16">
        <f>IF($C$14="DOS AGUAS",DEGREES(ATAN(($C$18-$C$17)/($C$23/2))),IF($C$14="UN AGUA",DEGREES(ATAN(($C$18-$C$17)/$C$23)),0))</f>
        <v>2.8624052261117439</v>
      </c>
      <c r="D26" s="14" t="s">
        <v>126</v>
      </c>
      <c r="E26" s="6" t="s">
        <v>127</v>
      </c>
      <c r="F26" s="12" t="s">
        <v>128</v>
      </c>
      <c r="AU26" s="10">
        <f>((IF($AC$3="Z",0,$AA$9)-$AZ$3*($C$13-IF($AC$3="Z",$AA$9,0)))+$AZ$39)/$AZ$38</f>
        <v>0.785522362390748</v>
      </c>
      <c r="AV26" s="10">
        <f>(($AB$9+$AZ$4*($C$13-IF($AC$3="Z",$AA$9,0)))+$AZ$40)/$AZ$38</f>
        <v>0.680830972615675</v>
      </c>
      <c r="AY26" s="9" t="inlineStr">
        <is>
          <t>A3 y'</t>
        </is>
      </c>
      <c r="AZ26" s="11">
        <f>$AZ$24-SQRT(0.5)*$AZ$10</f>
        <v>0.65447272912792</v>
      </c>
    </row>
    <row r="27" spans="2:52" ht="16.5" customHeight="1" x14ac:dyDescent="0.3">
      <c r="B27" s="1" t="s">
        <v>129</v>
      </c>
      <c r="C27" s="17">
        <f>TAN(RADIANS($C$26))</f>
        <v>4.9999999999999933E-2</v>
      </c>
      <c r="D27" s="14" t="s">
        <v>130</v>
      </c>
      <c r="E27" s="6" t="s">
        <v>116</v>
      </c>
      <c r="F27" s="12" t="s">
        <v>80</v>
      </c>
      <c r="AU27" s="10">
        <f>((IF($AC$3="Z",$C$12,$AA$9)-$AZ$3*($C$13-IF($AC$3="Z",$AA$9,$C$13)))+$AZ$39)/$AZ$38</f>
        <v>1.26144304227743</v>
      </c>
      <c r="AV27" s="10">
        <f>(($AB$9+$AZ$4*($C$13-IF($AC$3="Z",$AA$9,$C$13)))+$AZ$40)/$AZ$38</f>
        <v>0.680830972615675</v>
      </c>
      <c r="AY27" s="9" t="inlineStr">
        <is>
          <t>T4 x'</t>
        </is>
      </c>
      <c r="AZ27" s="11">
        <f>$C$12-$AZ$3*$C$13/2</f>
        <v>6.72</v>
      </c>
    </row>
    <row r="28" spans="2:52" ht="16.5" customHeight="1" x14ac:dyDescent="0.3">
      <c r="B28" s="1" t="s">
        <v>131</v>
      </c>
      <c r="C28" s="18" t="str">
        <f>IF(OR(N($C$12)&lt;=0,N($C$13)&lt;=0),"FALTA B o L",IF(AND(N($C$17)&lt;=0,NOT(AND($C$14="CURVO",$C$19="SÍ"))),"FALTA h_a",IF(AND($C$14&lt;&gt;"PLANO",N($C$18)&lt;=N($C$17)),"h_c debe ser mayor que h_a (salvo techo PLANO)",IF(AND($C$14="CURVO",PRESIONES!$C$17&gt;0.6),"Techo curvo con r &gt; 0.6: fuera de la Tabla 4.2","OK"))))</f>
        <v>OK</v>
      </c>
      <c r="D28" s="14" t="s">
        <v>80</v>
      </c>
      <c r="E28" s="6" t="s">
        <v>132</v>
      </c>
      <c r="F28" s="12" t="s">
        <v>80</v>
      </c>
      <c r="AY28" s="9" t="inlineStr">
        <is>
          <t>T4 y'</t>
        </is>
      </c>
      <c r="AZ28" s="11">
        <f>$AR$9-$AZ$5+$AZ$4*$C$13/2</f>
        <v>11.98</v>
      </c>
    </row>
    <row r="29" spans="2:52" ht="30" customHeight="1" x14ac:dyDescent="0.3">
      <c r="B29" s="50" t="s">
        <v>133</v>
      </c>
      <c r="C29" s="50"/>
      <c r="D29" s="50"/>
      <c r="E29" s="50"/>
      <c r="F29" s="50"/>
      <c r="AY29" s="9" t="inlineStr">
        <is>
          <t>A4 x'</t>
        </is>
      </c>
      <c r="AZ29" s="11">
        <f>$AZ$27+SQRT(0.5)*$AZ$10</f>
        <v>8.14552727087208</v>
      </c>
    </row>
    <row r="30" spans="2:52" ht="15" customHeight="1" x14ac:dyDescent="0.3">
      <c r="AY30" s="9" t="inlineStr">
        <is>
          <t>A4 y'</t>
        </is>
      </c>
      <c r="AZ30" s="11">
        <f>$AZ$28+SQRT(0.5)*$AZ$10</f>
        <v>13.4055272708721</v>
      </c>
    </row>
    <row r="31" spans="2:52" ht="15" customHeight="1" x14ac:dyDescent="0.3">
      <c r="AY31" s="9" t="inlineStr">
        <is>
          <t>ejes x0'</t>
        </is>
      </c>
      <c r="AZ31" s="11">
        <f>$AZ$7+0.2*$AZ$9</f>
        <v>13.44</v>
      </c>
    </row>
    <row r="32" spans="2:52" ht="15" customHeight="1" x14ac:dyDescent="0.3">
      <c r="AY32" s="9" t="inlineStr">
        <is>
          <t>ejes y0'</t>
        </is>
      </c>
      <c r="AZ32" s="11">
        <f>0.1*$AZ$9</f>
        <v>1.68</v>
      </c>
    </row>
    <row r="33" ht="15" customHeight="1" x14ac:dyDescent="0.3">
      <c r="AY33" s="9" t="inlineStr">
        <is>
          <t>ext x' mín</t>
        </is>
      </c>
      <c r="AZ33" s="11">
        <f>MIN($AZ$6,$AZ$25-0.42*$AZ$9)</f>
        <v>-11.8415272708721</v>
      </c>
    </row>
    <row r="34" ht="15" customHeight="1" x14ac:dyDescent="0.3">
      <c r="AY34" s="9" t="inlineStr">
        <is>
          <t>ext x' máx</t>
        </is>
      </c>
      <c r="AZ34" s="11">
        <f>MAX($AZ$7,$AZ$29+0.42*$AZ$9,$AZ$31+$AZ$12+0.08*$AZ$9)</f>
        <v>16.296</v>
      </c>
    </row>
    <row r="35" ht="15" customHeight="1" x14ac:dyDescent="0.3">
      <c r="AY35" s="9" t="inlineStr">
        <is>
          <t>ext y' mín</t>
        </is>
      </c>
      <c r="AZ35" s="11">
        <f>MIN(0,$AZ$22-0.08*$AZ$9,$AZ$32-$AZ$12*$AZ$4/SQRT($AZ$3^2+$AZ$4^2)-0.08*$AZ$9)</f>
        <v>-3.36</v>
      </c>
    </row>
    <row r="36" ht="15" customHeight="1" x14ac:dyDescent="0.3">
      <c r="AY36" s="9" t="inlineStr">
        <is>
          <t>ext y' máx</t>
        </is>
      </c>
      <c r="AZ36" s="11">
        <f>MAX($AZ$8,$AZ$18+0.08*$AZ$9,$AZ$32+$AZ$12+0.08*$AZ$9)</f>
        <v>17.82</v>
      </c>
    </row>
    <row r="37" ht="15" customHeight="1" x14ac:dyDescent="0.3">
      <c r="AY37" s="9" t="inlineStr">
        <is>
          <t>aspecto</t>
        </is>
      </c>
      <c r="AZ37" s="11">
        <f>1.94</f>
        <v>1.94</v>
      </c>
    </row>
    <row r="38" ht="15" customHeight="1" x14ac:dyDescent="0.3">
      <c r="AY38" s="9" t="inlineStr">
        <is>
          <t>s</t>
        </is>
      </c>
      <c r="AZ38" s="11">
        <f>MAX(($AZ$34-$AZ$33)/$AZ$37,$AZ$36-$AZ$35)</f>
        <v>21.18</v>
      </c>
    </row>
    <row r="39" ht="15" customHeight="1" x14ac:dyDescent="0.3">
      <c r="AY39" s="9" t="inlineStr">
        <is>
          <t>offX</t>
        </is>
      </c>
      <c r="AZ39" s="11">
        <f>($AZ$37*$AZ$38-($AZ$34-$AZ$33))/2-$AZ$33</f>
        <v>18.317363635436</v>
      </c>
    </row>
    <row r="40" ht="15" customHeight="1" x14ac:dyDescent="0.3">
      <c r="AY40" s="9" t="inlineStr">
        <is>
          <t>offY</t>
        </is>
      </c>
      <c r="AZ40" s="11">
        <f>($AZ$38-($AZ$36-$AZ$35))/2-$AZ$35</f>
        <v>3.36</v>
      </c>
    </row>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spans="2:6" ht="15" customHeight="1" x14ac:dyDescent="0.3"/>
    <row r="50" spans="2:6" ht="15" customHeight="1" x14ac:dyDescent="0.3"/>
    <row r="51" spans="2:6" ht="15" customHeight="1" x14ac:dyDescent="0.3"/>
    <row r="52" spans="2:6" ht="21" customHeight="1" x14ac:dyDescent="0.3">
      <c r="B52" s="49" t="s">
        <v>134</v>
      </c>
      <c r="C52" s="49"/>
      <c r="D52" s="49"/>
      <c r="E52" s="49"/>
      <c r="F52" s="49"/>
    </row>
    <row r="53" spans="2:6" ht="30" customHeight="1" x14ac:dyDescent="0.3">
      <c r="B53" s="2" t="s">
        <v>71</v>
      </c>
      <c r="C53" s="2" t="s">
        <v>72</v>
      </c>
      <c r="D53" s="2" t="s">
        <v>73</v>
      </c>
      <c r="E53" s="2" t="s">
        <v>74</v>
      </c>
      <c r="F53" s="2" t="s">
        <v>75</v>
      </c>
    </row>
    <row r="54" spans="2:6" ht="49.5" customHeight="1" x14ac:dyDescent="0.3">
      <c r="B54" s="1" t="s">
        <v>135</v>
      </c>
      <c r="C54" s="15" t="s">
        <v>136</v>
      </c>
      <c r="D54" s="14" t="s">
        <v>80</v>
      </c>
      <c r="E54" s="6" t="s">
        <v>137</v>
      </c>
      <c r="F54" s="12" t="s">
        <v>138</v>
      </c>
    </row>
    <row r="55" spans="2:6" ht="16.5" customHeight="1" x14ac:dyDescent="0.3">
      <c r="B55" s="1" t="s">
        <v>139</v>
      </c>
      <c r="C55" s="16">
        <f>INDEX(TABLAS!$D$7:$D$9,MATCH($C$54,TABLAS!$B$7:$B$9,0))</f>
        <v>1.6</v>
      </c>
      <c r="D55" s="14" t="s">
        <v>80</v>
      </c>
      <c r="E55" s="6" t="s">
        <v>140</v>
      </c>
      <c r="F55" s="12" t="s">
        <v>138</v>
      </c>
    </row>
    <row r="56" spans="2:6" ht="16.5" customHeight="1" x14ac:dyDescent="0.3">
      <c r="B56" s="1" t="s">
        <v>141</v>
      </c>
      <c r="C56" s="19">
        <f>INDEX(TABLAS!$E$7:$E$9,MATCH($C$54,TABLAS!$B$7:$B$9,0))</f>
        <v>7</v>
      </c>
      <c r="D56" s="14" t="s">
        <v>80</v>
      </c>
      <c r="E56" s="6" t="s">
        <v>142</v>
      </c>
      <c r="F56" s="12" t="s">
        <v>143</v>
      </c>
    </row>
    <row r="57" spans="2:6" ht="16.5" customHeight="1" x14ac:dyDescent="0.3">
      <c r="B57" s="1" t="s">
        <v>144</v>
      </c>
      <c r="C57" s="20">
        <v>30</v>
      </c>
      <c r="D57" s="14" t="s">
        <v>145</v>
      </c>
      <c r="E57" s="6" t="s">
        <v>146</v>
      </c>
      <c r="F57" s="12" t="s">
        <v>147</v>
      </c>
    </row>
    <row r="58" spans="2:6" ht="27" customHeight="1" x14ac:dyDescent="0.3">
      <c r="B58" s="1" t="s">
        <v>148</v>
      </c>
      <c r="C58" s="13">
        <v>0.70599999999999996</v>
      </c>
      <c r="D58" s="14" t="s">
        <v>81</v>
      </c>
      <c r="E58" s="6" t="s">
        <v>925</v>
      </c>
      <c r="F58" s="12" t="s">
        <v>149</v>
      </c>
    </row>
    <row r="59" spans="2:6" ht="16.5" customHeight="1" x14ac:dyDescent="0.3">
      <c r="B59" s="1" t="s">
        <v>150</v>
      </c>
      <c r="C59" s="16">
        <f>$C$21/MIN($C$12,$C$13)</f>
        <v>1.0535714285714284</v>
      </c>
      <c r="D59" s="14" t="s">
        <v>80</v>
      </c>
      <c r="E59" s="6" t="s">
        <v>116</v>
      </c>
      <c r="F59" s="12" t="s">
        <v>151</v>
      </c>
    </row>
    <row r="60" spans="2:6" ht="38.25" customHeight="1" x14ac:dyDescent="0.3">
      <c r="B60" s="1" t="s">
        <v>152</v>
      </c>
      <c r="C60" s="21" t="str">
        <f>IF(AND($C$59&lt;=5,$C$58&lt;=2),"TIPO 1","TIPO 2")</f>
        <v>TIPO 1</v>
      </c>
      <c r="D60" s="14" t="s">
        <v>80</v>
      </c>
      <c r="E60" s="6" t="s">
        <v>153</v>
      </c>
      <c r="F60" s="12" t="s">
        <v>154</v>
      </c>
    </row>
    <row r="61" spans="2:6" ht="16.5" customHeight="1" x14ac:dyDescent="0.3">
      <c r="B61" s="1" t="s">
        <v>155</v>
      </c>
      <c r="C61" s="16">
        <f>IF($C$60="TIPO 2",1.3,1)</f>
        <v>1</v>
      </c>
      <c r="D61" s="14" t="s">
        <v>80</v>
      </c>
      <c r="E61" s="6" t="s">
        <v>116</v>
      </c>
      <c r="F61" s="12" t="s">
        <v>156</v>
      </c>
    </row>
    <row r="62" spans="2:6" ht="15" customHeight="1" x14ac:dyDescent="0.3"/>
    <row r="63" spans="2:6" ht="21" customHeight="1" x14ac:dyDescent="0.3">
      <c r="B63" s="49" t="s">
        <v>157</v>
      </c>
      <c r="C63" s="49"/>
      <c r="D63" s="49"/>
      <c r="E63" s="49"/>
      <c r="F63" s="49"/>
    </row>
    <row r="64" spans="2:6" ht="30" customHeight="1" x14ac:dyDescent="0.3">
      <c r="B64" s="2" t="s">
        <v>71</v>
      </c>
      <c r="C64" s="2" t="s">
        <v>72</v>
      </c>
      <c r="D64" s="2" t="s">
        <v>73</v>
      </c>
      <c r="E64" s="2" t="s">
        <v>74</v>
      </c>
      <c r="F64" s="2" t="s">
        <v>75</v>
      </c>
    </row>
    <row r="65" spans="2:6" ht="27" customHeight="1" x14ac:dyDescent="0.3">
      <c r="B65" s="1" t="s">
        <v>158</v>
      </c>
      <c r="C65" s="15" t="s">
        <v>159</v>
      </c>
      <c r="D65" s="14" t="s">
        <v>80</v>
      </c>
      <c r="E65" s="6" t="s">
        <v>926</v>
      </c>
      <c r="F65" s="12" t="s">
        <v>160</v>
      </c>
    </row>
    <row r="66" spans="2:6" ht="27" customHeight="1" x14ac:dyDescent="0.3">
      <c r="B66" s="1" t="s">
        <v>161</v>
      </c>
      <c r="C66" s="22">
        <v>8</v>
      </c>
      <c r="D66" s="14" t="s">
        <v>80</v>
      </c>
      <c r="E66" s="6" t="s">
        <v>162</v>
      </c>
      <c r="F66" s="12" t="s">
        <v>163</v>
      </c>
    </row>
    <row r="67" spans="2:6" ht="16.5" customHeight="1" x14ac:dyDescent="0.3">
      <c r="B67" s="1" t="s">
        <v>164</v>
      </c>
      <c r="C67" s="23">
        <f>IF($C$65="CM KG",0.01,IF($C$65="METER KG",1,0.00980665))</f>
        <v>0.01</v>
      </c>
      <c r="D67" s="14" t="s">
        <v>80</v>
      </c>
      <c r="E67" s="6" t="s">
        <v>165</v>
      </c>
      <c r="F67" s="12" t="s">
        <v>80</v>
      </c>
    </row>
    <row r="68" spans="2:6" ht="16.5" customHeight="1" x14ac:dyDescent="0.3">
      <c r="B68" s="1" t="s">
        <v>166</v>
      </c>
      <c r="C68" s="14" t="str">
        <f>IF($C$65="METER KG","0.00","0.0000")</f>
        <v>0.0000</v>
      </c>
      <c r="D68" s="14" t="s">
        <v>80</v>
      </c>
      <c r="E68" s="6" t="s">
        <v>116</v>
      </c>
      <c r="F68" s="12" t="s">
        <v>80</v>
      </c>
    </row>
    <row r="69" spans="2:6" ht="38.25" customHeight="1" x14ac:dyDescent="0.3">
      <c r="B69" s="1" t="s">
        <v>167</v>
      </c>
      <c r="C69" s="22">
        <v>101</v>
      </c>
      <c r="D69" s="14" t="s">
        <v>80</v>
      </c>
      <c r="E69" s="6" t="s">
        <v>168</v>
      </c>
      <c r="F69" s="12" t="s">
        <v>97</v>
      </c>
    </row>
    <row r="70" spans="2:6" ht="15" customHeight="1" x14ac:dyDescent="0.3"/>
    <row r="71" spans="2:6" ht="30" customHeight="1" x14ac:dyDescent="0.3">
      <c r="B71" s="2" t="s">
        <v>169</v>
      </c>
      <c r="C71" s="2" t="s">
        <v>170</v>
      </c>
      <c r="D71" s="2" t="s">
        <v>171</v>
      </c>
      <c r="E71" s="2" t="s">
        <v>172</v>
      </c>
      <c r="F71" s="2" t="s">
        <v>173</v>
      </c>
    </row>
    <row r="72" spans="2:6" ht="30" customHeight="1" x14ac:dyDescent="0.3">
      <c r="B72" s="18" t="str">
        <f>"LOAD "&amp;($C$66+0)</f>
        <v>LOAD 8</v>
      </c>
      <c r="C72" s="18" t="s">
        <v>174</v>
      </c>
      <c r="D72" s="14" t="s">
        <v>175</v>
      </c>
      <c r="E72" s="4" t="s">
        <v>176</v>
      </c>
      <c r="F72" s="6" t="s">
        <v>177</v>
      </c>
    </row>
    <row r="73" spans="2:6" ht="30" customHeight="1" x14ac:dyDescent="0.3">
      <c r="B73" s="18" t="str">
        <f>"LOAD "&amp;($C$66+1)</f>
        <v>LOAD 9</v>
      </c>
      <c r="C73" s="18" t="s">
        <v>178</v>
      </c>
      <c r="D73" s="14" t="s">
        <v>175</v>
      </c>
      <c r="E73" s="4" t="s">
        <v>179</v>
      </c>
      <c r="F73" s="6" t="s">
        <v>180</v>
      </c>
    </row>
    <row r="74" spans="2:6" ht="30" customHeight="1" x14ac:dyDescent="0.3">
      <c r="B74" s="18" t="str">
        <f>"LOAD "&amp;($C$66+2)</f>
        <v>LOAD 10</v>
      </c>
      <c r="C74" s="18" t="s">
        <v>181</v>
      </c>
      <c r="D74" s="14" t="s">
        <v>175</v>
      </c>
      <c r="E74" s="4" t="s">
        <v>182</v>
      </c>
      <c r="F74" s="6" t="s">
        <v>183</v>
      </c>
    </row>
    <row r="75" spans="2:6" ht="30" customHeight="1" x14ac:dyDescent="0.3">
      <c r="B75" s="18" t="str">
        <f>"LOAD "&amp;($C$66+3)</f>
        <v>LOAD 11</v>
      </c>
      <c r="C75" s="18" t="s">
        <v>184</v>
      </c>
      <c r="D75" s="14" t="s">
        <v>175</v>
      </c>
      <c r="E75" s="4" t="s">
        <v>185</v>
      </c>
      <c r="F75" s="6" t="s">
        <v>186</v>
      </c>
    </row>
    <row r="76" spans="2:6" ht="30" customHeight="1" x14ac:dyDescent="0.3">
      <c r="B76" s="18" t="str">
        <f>"LOAD "&amp;($C$66+4)</f>
        <v>LOAD 12</v>
      </c>
      <c r="C76" s="18" t="s">
        <v>174</v>
      </c>
      <c r="D76" s="14" t="s">
        <v>187</v>
      </c>
      <c r="E76" s="4" t="s">
        <v>188</v>
      </c>
      <c r="F76" s="6" t="s">
        <v>189</v>
      </c>
    </row>
    <row r="77" spans="2:6" ht="30" customHeight="1" x14ac:dyDescent="0.3">
      <c r="B77" s="18" t="str">
        <f>"LOAD "&amp;($C$66+5)</f>
        <v>LOAD 13</v>
      </c>
      <c r="C77" s="18" t="s">
        <v>178</v>
      </c>
      <c r="D77" s="14" t="s">
        <v>187</v>
      </c>
      <c r="E77" s="4" t="s">
        <v>190</v>
      </c>
      <c r="F77" s="6" t="s">
        <v>191</v>
      </c>
    </row>
    <row r="78" spans="2:6" ht="30" customHeight="1" x14ac:dyDescent="0.3">
      <c r="B78" s="18" t="str">
        <f>"LOAD "&amp;($C$66+6)</f>
        <v>LOAD 14</v>
      </c>
      <c r="C78" s="18" t="s">
        <v>181</v>
      </c>
      <c r="D78" s="14" t="s">
        <v>187</v>
      </c>
      <c r="E78" s="4" t="s">
        <v>192</v>
      </c>
      <c r="F78" s="6" t="s">
        <v>193</v>
      </c>
    </row>
    <row r="79" spans="2:6" ht="30" customHeight="1" x14ac:dyDescent="0.3">
      <c r="B79" s="18" t="str">
        <f>"LOAD "&amp;($C$66+7)</f>
        <v>LOAD 15</v>
      </c>
      <c r="C79" s="18" t="s">
        <v>184</v>
      </c>
      <c r="D79" s="14" t="s">
        <v>187</v>
      </c>
      <c r="E79" s="4" t="s">
        <v>194</v>
      </c>
      <c r="F79" s="6" t="s">
        <v>195</v>
      </c>
    </row>
  </sheetData>
  <mergeCells count="10">
    <mergeCell ref="B1:F1"/>
    <mergeCell ref="B2:F2"/>
    <mergeCell ref="B3:F3"/>
    <mergeCell ref="B5:F5"/>
    <mergeCell ref="C7:D7"/>
    <mergeCell ref="C8:D8"/>
    <mergeCell ref="B10:F10"/>
    <mergeCell ref="B29:F29"/>
    <mergeCell ref="B52:F52"/>
    <mergeCell ref="B63:F63"/>
  </mergeCells>
  <conditionalFormatting sqref="C15">
    <cfRule type="expression" dxfId="32" priority="2">
      <formula>$C$14&lt;&gt;"UN AGUA"</formula>
    </cfRule>
  </conditionalFormatting>
  <conditionalFormatting sqref="C16">
    <cfRule type="expression" dxfId="31" priority="3">
      <formula>AND($C$14&lt;&gt;"DOS AGUAS",$C$14&lt;&gt;"CURVO")</formula>
    </cfRule>
  </conditionalFormatting>
  <conditionalFormatting sqref="C18">
    <cfRule type="expression" dxfId="30" priority="4">
      <formula>$C$14="PLANO"</formula>
    </cfRule>
  </conditionalFormatting>
  <conditionalFormatting sqref="C19">
    <cfRule type="expression" dxfId="29" priority="5">
      <formula>$C$14&lt;&gt;"CURVO"</formula>
    </cfRule>
  </conditionalFormatting>
  <conditionalFormatting sqref="C28">
    <cfRule type="expression" dxfId="28" priority="6">
      <formula>$C$28="OK"</formula>
    </cfRule>
    <cfRule type="expression" dxfId="27" priority="7">
      <formula>$C$28&lt;&gt;"OK"</formula>
    </cfRule>
  </conditionalFormatting>
  <dataValidations count="6">
    <dataValidation type="list" allowBlank="1" errorTitle="Valor no válido" error="Elige una opción de la lista." sqref="C14" xr:uid="{00000000-0002-0000-0000-000000000000}">
      <formula1>"DOS AGUAS,UN AGUA,PLANO,CURVO"</formula1>
      <formula2>0</formula2>
    </dataValidation>
    <dataValidation type="list" allowBlank="1" errorTitle="Valor no válido" error="Elige una opción de la lista." sqref="C15" xr:uid="{00000000-0002-0000-0000-000001000000}">
      <formula1>"MURO 1 (Z = 0),MURO 2 (Z = L),MURO 3 (X = 0),MURO 4 (X = B)"</formula1>
      <formula2>0</formula2>
    </dataValidation>
    <dataValidation type="list" allowBlank="1" errorTitle="Valor no válido" error="Elige una opción de la lista." sqref="C16" xr:uid="{00000000-0002-0000-0000-000002000000}">
      <formula1>"L (EJE Z),B (EJE X)"</formula1>
      <formula2>0</formula2>
    </dataValidation>
    <dataValidation type="list" allowBlank="1" errorTitle="Valor no válido" error="Elige una opción de la lista." sqref="C19" xr:uid="{00000000-0002-0000-0000-000003000000}">
      <formula1>"SÍ,NO"</formula1>
      <formula2>0</formula2>
    </dataValidation>
    <dataValidation type="list" allowBlank="1" errorTitle="Valor no válido" error="Elige una opción de la lista." sqref="C54" xr:uid="{00000000-0002-0000-0000-000004000000}">
      <formula1>"A,B,C"</formula1>
      <formula2>0</formula2>
    </dataValidation>
    <dataValidation type="list" allowBlank="1" errorTitle="Valor no válido" error="Elige una opción de la lista." sqref="C65" xr:uid="{00000000-0002-0000-0000-000005000000}">
      <formula1>"CM KG,METER KG,METER KN"</formula1>
      <formula2>0</formula2>
    </dataValidation>
  </dataValidations>
  <pageMargins left="0.75" right="0.75" top="1" bottom="1"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DL68"/>
  <sheetViews>
    <sheetView showGridLines="0" zoomScale="90" zoomScaleNormal="90" workbookViewId="0">
      <selection activeCell="H18" sqref="H18"/>
    </sheetView>
  </sheetViews>
  <sheetFormatPr baseColWidth="10" defaultColWidth="8.6640625" defaultRowHeight="14.4" x14ac:dyDescent="0.3"/>
  <cols>
    <col min="1" max="1" width="1.77734375" customWidth="1"/>
    <col min="2" max="2" width="9" customWidth="1"/>
    <col min="3" max="3" width="34" customWidth="1"/>
    <col min="4" max="4" width="12" customWidth="1"/>
    <col min="5" max="5" width="13" customWidth="1"/>
    <col min="6" max="9" width="10" customWidth="1"/>
    <col min="10" max="10" width="11" customWidth="1"/>
    <col min="11" max="11" width="19" customWidth="1"/>
    <col min="12" max="12" width="26" customWidth="1"/>
    <col min="13" max="13" width="10" customWidth="1"/>
    <col min="14" max="20" width="9" customWidth="1"/>
    <col min="21" max="22" width="7" customWidth="1"/>
    <col min="23" max="23" width="9" customWidth="1"/>
  </cols>
  <sheetData>
    <row r="1" spans="2:116" ht="25.5" customHeight="1" x14ac:dyDescent="0.3">
      <c r="B1" s="51" t="s">
        <v>196</v>
      </c>
      <c r="C1" s="51"/>
      <c r="D1" s="51"/>
      <c r="E1" s="51"/>
      <c r="F1" s="51"/>
      <c r="G1" s="51"/>
      <c r="H1" s="51"/>
      <c r="I1" s="51"/>
      <c r="J1" s="51"/>
      <c r="K1" s="51"/>
      <c r="L1" s="51"/>
    </row>
    <row r="2" spans="2:116" ht="30" customHeight="1" x14ac:dyDescent="0.3">
      <c r="B2" s="52" t="s">
        <v>197</v>
      </c>
      <c r="C2" s="52"/>
      <c r="D2" s="52"/>
      <c r="E2" s="52"/>
      <c r="F2" s="52"/>
      <c r="G2" s="52"/>
      <c r="H2" s="52"/>
      <c r="I2" s="52"/>
      <c r="J2" s="52"/>
      <c r="K2" s="52"/>
      <c r="L2" s="52"/>
    </row>
    <row r="3" spans="2:116" ht="45" customHeight="1" x14ac:dyDescent="0.3">
      <c r="B3" s="53" t="s">
        <v>198</v>
      </c>
      <c r="C3" s="53"/>
      <c r="D3" s="53"/>
      <c r="E3" s="53"/>
      <c r="F3" s="53"/>
      <c r="G3" s="53"/>
      <c r="H3" s="53"/>
      <c r="I3" s="53"/>
      <c r="J3" s="53"/>
      <c r="K3" s="53"/>
      <c r="L3" s="53"/>
    </row>
    <row r="4" spans="2:116" ht="6" customHeight="1" x14ac:dyDescent="0.3"/>
    <row r="5" spans="2:116" ht="21" customHeight="1" x14ac:dyDescent="0.3">
      <c r="B5" s="49" t="s">
        <v>199</v>
      </c>
      <c r="C5" s="49"/>
      <c r="D5" s="49"/>
      <c r="E5" s="49"/>
      <c r="F5" s="49"/>
      <c r="G5" s="49"/>
      <c r="H5" s="49"/>
      <c r="I5" s="49"/>
      <c r="J5" s="49"/>
      <c r="K5" s="49"/>
      <c r="L5" s="49"/>
      <c r="N5" s="8" t="s">
        <v>200</v>
      </c>
      <c r="Y5" s="8" t="s">
        <v>201</v>
      </c>
    </row>
    <row r="6" spans="2:116" ht="30" customHeight="1" x14ac:dyDescent="0.3">
      <c r="B6" s="2" t="s">
        <v>202</v>
      </c>
      <c r="C6" s="2" t="s">
        <v>203</v>
      </c>
      <c r="D6" s="2" t="s">
        <v>204</v>
      </c>
      <c r="E6" s="2" t="s">
        <v>205</v>
      </c>
      <c r="F6" s="2" t="s">
        <v>206</v>
      </c>
      <c r="G6" s="2" t="s">
        <v>207</v>
      </c>
      <c r="H6" s="2" t="s">
        <v>208</v>
      </c>
      <c r="I6" s="2" t="s">
        <v>209</v>
      </c>
      <c r="J6" s="2" t="s">
        <v>210</v>
      </c>
      <c r="K6" s="2" t="s">
        <v>211</v>
      </c>
      <c r="L6" s="2" t="s">
        <v>212</v>
      </c>
      <c r="N6" s="9" t="s">
        <v>213</v>
      </c>
      <c r="O6" s="9" t="s">
        <v>214</v>
      </c>
      <c r="P6" s="9" t="s">
        <v>215</v>
      </c>
      <c r="Q6" s="9" t="s">
        <v>216</v>
      </c>
      <c r="R6" s="9" t="s">
        <v>217</v>
      </c>
      <c r="S6" s="9" t="s">
        <v>218</v>
      </c>
      <c r="T6" s="9" t="s">
        <v>219</v>
      </c>
      <c r="U6" s="9" t="s">
        <v>220</v>
      </c>
      <c r="V6" s="9" t="s">
        <v>221</v>
      </c>
      <c r="W6" s="9" t="s">
        <v>222</v>
      </c>
      <c r="Y6" s="9" t="s">
        <v>223</v>
      </c>
      <c r="Z6" s="24">
        <f>MAX(1.5,0.1*MAX(DATOS!$C$12,DATOS!$C$13))</f>
        <v>1.6</v>
      </c>
      <c r="AA6" s="9" t="s">
        <v>224</v>
      </c>
      <c r="AB6" s="24">
        <f>0</f>
        <v>0</v>
      </c>
      <c r="AC6" s="24">
        <f>$D$51+$Z$6</f>
        <v>11.68</v>
      </c>
      <c r="AD6" s="24">
        <f>$D$51+$D$52+2*$Z$6</f>
        <v>23.36</v>
      </c>
      <c r="AE6" s="24">
        <f>$D$51+$D$52+$D$53+3*$Z$6</f>
        <v>40.959999999999994</v>
      </c>
    </row>
    <row r="7" spans="2:116" ht="24.75" customHeight="1" x14ac:dyDescent="0.3">
      <c r="B7" s="20">
        <v>1</v>
      </c>
      <c r="C7" s="4" t="s">
        <v>225</v>
      </c>
      <c r="D7" s="15" t="s">
        <v>226</v>
      </c>
      <c r="E7" s="15" t="s">
        <v>227</v>
      </c>
      <c r="F7" s="25">
        <v>0.64249999999999996</v>
      </c>
      <c r="G7" s="25">
        <v>0</v>
      </c>
      <c r="H7" s="25">
        <v>1.3013999999999999</v>
      </c>
      <c r="I7" s="25">
        <v>2.4</v>
      </c>
      <c r="J7" s="26">
        <f t="shared" ref="J7:J26" si="0">IF($K7="OK",$H7*$I7,0)</f>
        <v>3.1233599999999995</v>
      </c>
      <c r="K7" s="18" t="str">
        <f t="shared" ref="K7:K26" si="1">IF($D7="","",IF(OR($F7="",$G7=""),"FALTA POSICIÓN",IF(OR(N($H7)&lt;=0,N($I7)&lt;=0),"FALTA TAMAÑO",IF($E7="","FALTA TIPO",IF(OR(N($F7)&lt;0,N($G7)&lt;0,N($F7)+N($H7)&gt;$W7+0.001),"SE SALE A LO LARGO",IF(N($G7)+N($I7)&gt;MIN($S7,$T7)+0.001,"SE SALE POR ARRIBA","OK"))))))</f>
        <v>OK</v>
      </c>
      <c r="L7" s="27" t="s">
        <v>228</v>
      </c>
      <c r="N7" s="28">
        <f t="shared" ref="N7:N26" si="2">IF($D7="",0,VALUE(MID($D7,6,1)))</f>
        <v>1</v>
      </c>
      <c r="O7" s="10">
        <f t="shared" ref="O7:O26" si="3">IF($K7="OK",N($F7),0)</f>
        <v>0.64249999999999996</v>
      </c>
      <c r="P7" s="10">
        <f t="shared" ref="P7:P26" si="4">IF($K7="OK",N($F7)+N($H7),0)</f>
        <v>1.9438999999999997</v>
      </c>
      <c r="Q7" s="10">
        <f t="shared" ref="Q7:Q26" si="5">IF($K7="OK",N($G7),0)</f>
        <v>0</v>
      </c>
      <c r="R7" s="10">
        <f t="shared" ref="R7:R26" si="6">IF($K7="OK",N($G7)+N($I7),0)</f>
        <v>2.4</v>
      </c>
      <c r="S7" s="10">
        <f>IF($N7=0,0,IF(INDEX($E$51:$E$54,$N7)="SÍ",IF(DATOS!$C$14="PLANO",DATOS!$C$17,IF(DATOS!$C$14="DOS AGUAS",DATOS!$C$17+(DATOS!$C$18-DATOS!$C$17)*(1-ABS(2*(N($F7))/DATOS!$C$23-1)),IF(DATOS!$C$14="UN AGUA",IF(N(DATOS!$C$25)=0,DATOS!$C$18-(DATOS!$C$18-DATOS!$C$17)*(N($F7))/DATOS!$C$23,DATOS!$C$17+(DATOS!$C$18-DATOS!$C$17)*(N($F7))/DATOS!$C$23),DATOS!$C$17+4*(DATOS!$C$18-DATOS!$C$17)*(N($F7))/DATOS!$C$23*(1-(N($F7))/DATOS!$C$23)))),INDEX($F$51:$F$54,$N7)))</f>
        <v>10.62</v>
      </c>
      <c r="T7" s="10">
        <f>IF($N7=0,0,IF(INDEX($E$51:$E$54,$N7)="SÍ",IF(DATOS!$C$14="PLANO",DATOS!$C$17,IF(DATOS!$C$14="DOS AGUAS",DATOS!$C$17+(DATOS!$C$18-DATOS!$C$17)*(1-ABS(2*(N($F7)+N($H7))/DATOS!$C$23-1)),IF(DATOS!$C$14="UN AGUA",IF(N(DATOS!$C$25)=0,DATOS!$C$18-(DATOS!$C$18-DATOS!$C$17)*(N($F7)+N($H7))/DATOS!$C$23,DATOS!$C$17+(DATOS!$C$18-DATOS!$C$17)*(N($F7)+N($H7))/DATOS!$C$23),DATOS!$C$17+4*(DATOS!$C$18-DATOS!$C$17)*(N($F7)+N($H7))/DATOS!$C$23*(1-(N($F7)+N($H7))/DATOS!$C$23)))),INDEX($F$51:$F$54,$N7)))</f>
        <v>10.62</v>
      </c>
      <c r="U7" s="28">
        <f t="shared" ref="U7:U26" si="7">IF(AND($K7="OK",$E7="FIJA"),1,0)</f>
        <v>0</v>
      </c>
      <c r="V7" s="28">
        <f t="shared" ref="V7:V26" si="8">IF($K7="OK",1,0)</f>
        <v>1</v>
      </c>
      <c r="W7" s="10">
        <f t="shared" ref="W7:W26" si="9">IF($N7=0,0,INDEX($D$51:$D$54,$N7))</f>
        <v>10.08</v>
      </c>
      <c r="Y7" s="10">
        <f>($AB$6+DATOS!$AE$3+$DL$12)/$DL$11</f>
        <v>6.9503846153846166E-2</v>
      </c>
      <c r="Z7" s="10">
        <f>(DATOS!$AF$3+$DL$13)/$DL$11</f>
        <v>6.9503846153846166E-2</v>
      </c>
      <c r="AA7" s="10">
        <f>($AC$6+DATOS!$AI$3+$DL$12)/$DL$11</f>
        <v>0.78211350475367347</v>
      </c>
      <c r="AB7" s="10">
        <f>(DATOS!$AJ$3+$DL$13)/$DL$11</f>
        <v>6.9503846153846166E-2</v>
      </c>
      <c r="AC7" s="10">
        <f>($AD$6+DATOS!$AM$3+$DL$12)/$DL$11</f>
        <v>1.4947231633535005</v>
      </c>
      <c r="AD7" s="10">
        <f>(DATOS!$AN$3+$DL$13)/$DL$11</f>
        <v>6.9503846153846166E-2</v>
      </c>
      <c r="AE7" s="10">
        <f>($AE$6+DATOS!$AQ$3+$DL$12)/$DL$11</f>
        <v>2.5685185393258427</v>
      </c>
      <c r="AF7" s="10">
        <f>(DATOS!$AR$3+$DL$13)/$DL$11</f>
        <v>6.9503846153846166E-2</v>
      </c>
      <c r="AH7" s="10">
        <f>(IF(AND($K$7="OK",$E$7="FIJA"),CHOOSE($N$7,$AB$6,$AC$6,$AD$6,$AE$6)+$O$7,0)+$DL$12)/$DL$11</f>
        <v>6.9503846153846166E-2</v>
      </c>
      <c r="AI7" s="10">
        <f>(IF(AND($K$7="OK",$E$7="FIJA"),$Q$7,0)+$DL$13)/$DL$11</f>
        <v>6.9503846153846166E-2</v>
      </c>
      <c r="AJ7" s="10">
        <f>(IF(AND($K$7="OK",$E$7="OPERABLE"),CHOOSE($N$7,$AB$6,$AC$6,$AD$6,$AE$6)+$O$7,0)+$DL$12)/$DL$11</f>
        <v>0.10870347848692741</v>
      </c>
      <c r="AK7" s="10">
        <f>(IF(AND($K$7="OK",$E$7="OPERABLE"),$Q$7,0)+$DL$13)/$DL$11</f>
        <v>6.9503846153846166E-2</v>
      </c>
      <c r="AL7" s="10">
        <f>(IF(AND($K$8="OK",$E$8="FIJA"),CHOOSE($N$8,$AB$6,$AC$6,$AD$6,$AE$6)+$O$8,0)+$DL$12)/$DL$11</f>
        <v>6.9503846153846166E-2</v>
      </c>
      <c r="AM7" s="10">
        <f>(IF(AND($K$8="OK",$E$8="FIJA"),$Q$8,0)+$DL$13)/$DL$11</f>
        <v>6.9503846153846166E-2</v>
      </c>
      <c r="AN7" s="10">
        <f>(IF(AND($K$8="OK",$E$8="OPERABLE"),CHOOSE($N$8,$AB$6,$AC$6,$AD$6,$AE$6)+$O$8,0)+$DL$12)/$DL$11</f>
        <v>0.2212323530007563</v>
      </c>
      <c r="AO7" s="10">
        <f>(IF(AND($K$8="OK",$E$8="OPERABLE"),$Q$8,0)+$DL$13)/$DL$11</f>
        <v>6.9503846153846166E-2</v>
      </c>
      <c r="AP7" s="10">
        <f>(IF(AND($K$9="OK",$E$9="FIJA"),CHOOSE($N$9,$AB$6,$AC$6,$AD$6,$AE$6)+$O$9,0)+$DL$12)/$DL$11</f>
        <v>0.78211350475367347</v>
      </c>
      <c r="AQ7" s="10">
        <f>(IF(AND($K$9="OK",$E$9="FIJA"),$Q$9,0)+$DL$13)/$DL$11</f>
        <v>6.9503846153846166E-2</v>
      </c>
      <c r="AR7" s="10">
        <f>(IF(AND($K$9="OK",$E$9="OPERABLE"),CHOOSE($N$9,$AB$6,$AC$6,$AD$6,$AE$6)+$O$9,0)+$DL$12)/$DL$11</f>
        <v>6.9503846153846166E-2</v>
      </c>
      <c r="AS7" s="10">
        <f>(IF(AND($K$9="OK",$E$9="OPERABLE"),$Q$9,0)+$DL$13)/$DL$11</f>
        <v>6.9503846153846166E-2</v>
      </c>
      <c r="AT7" s="10">
        <f>(IF(AND($K$10="OK",$E$10="FIJA"),CHOOSE($N$10,$AB$6,$AC$6,$AD$6,$AE$6)+$O$10,0)+$DL$12)/$DL$11</f>
        <v>6.9503846153846166E-2</v>
      </c>
      <c r="AU7" s="10">
        <f>(IF(AND($K$10="OK",$E$10="FIJA"),$Q$10,0)+$DL$13)/$DL$11</f>
        <v>6.9503846153846166E-2</v>
      </c>
      <c r="AV7" s="10">
        <f>(IF(AND($K$10="OK",$E$10="OPERABLE"),CHOOSE($N$10,$AB$6,$AC$6,$AD$6,$AE$6)+$O$10,0)+$DL$12)/$DL$11</f>
        <v>6.9503846153846166E-2</v>
      </c>
      <c r="AW7" s="10">
        <f>(IF(AND($K$10="OK",$E$10="OPERABLE"),$Q$10,0)+$DL$13)/$DL$11</f>
        <v>6.9503846153846166E-2</v>
      </c>
      <c r="AX7" s="10">
        <f>(IF(AND($K$11="OK",$E$11="FIJA"),CHOOSE($N$11,$AB$6,$AC$6,$AD$6,$AE$6)+$O$11,0)+$DL$12)/$DL$11</f>
        <v>6.9503846153846166E-2</v>
      </c>
      <c r="AY7" s="10">
        <f>(IF(AND($K$11="OK",$E$11="FIJA"),$Q$11,0)+$DL$13)/$DL$11</f>
        <v>6.9503846153846166E-2</v>
      </c>
      <c r="AZ7" s="10">
        <f>(IF(AND($K$11="OK",$E$11="OPERABLE"),CHOOSE($N$11,$AB$6,$AC$6,$AD$6,$AE$6)+$O$11,0)+$DL$12)/$DL$11</f>
        <v>6.9503846153846166E-2</v>
      </c>
      <c r="BA7" s="10">
        <f>(IF(AND($K$11="OK",$E$11="OPERABLE"),$Q$11,0)+$DL$13)/$DL$11</f>
        <v>6.9503846153846166E-2</v>
      </c>
      <c r="BB7" s="10">
        <f>(IF(AND($K$12="OK",$E$12="FIJA"),CHOOSE($N$12,$AB$6,$AC$6,$AD$6,$AE$6)+$O$12,0)+$DL$12)/$DL$11</f>
        <v>6.9503846153846166E-2</v>
      </c>
      <c r="BC7" s="10">
        <f>(IF(AND($K$12="OK",$E$12="FIJA"),$Q$12,0)+$DL$13)/$DL$11</f>
        <v>6.9503846153846166E-2</v>
      </c>
      <c r="BD7" s="10">
        <f>(IF(AND($K$12="OK",$E$12="OPERABLE"),CHOOSE($N$12,$AB$6,$AC$6,$AD$6,$AE$6)+$O$12,0)+$DL$12)/$DL$11</f>
        <v>6.9503846153846166E-2</v>
      </c>
      <c r="BE7" s="10">
        <f>(IF(AND($K$12="OK",$E$12="OPERABLE"),$Q$12,0)+$DL$13)/$DL$11</f>
        <v>6.9503846153846166E-2</v>
      </c>
      <c r="BF7" s="10">
        <f>(IF(AND($K$13="OK",$E$13="FIJA"),CHOOSE($N$13,$AB$6,$AC$6,$AD$6,$AE$6)+$O$13,0)+$DL$12)/$DL$11</f>
        <v>6.9503846153846166E-2</v>
      </c>
      <c r="BG7" s="10">
        <f>(IF(AND($K$13="OK",$E$13="FIJA"),$Q$13,0)+$DL$13)/$DL$11</f>
        <v>6.9503846153846166E-2</v>
      </c>
      <c r="BH7" s="10">
        <f>(IF(AND($K$13="OK",$E$13="OPERABLE"),CHOOSE($N$13,$AB$6,$AC$6,$AD$6,$AE$6)+$O$13,0)+$DL$12)/$DL$11</f>
        <v>6.9503846153846166E-2</v>
      </c>
      <c r="BI7" s="10">
        <f>(IF(AND($K$13="OK",$E$13="OPERABLE"),$Q$13,0)+$DL$13)/$DL$11</f>
        <v>6.9503846153846166E-2</v>
      </c>
      <c r="BJ7" s="10">
        <f>(IF(AND($K$14="OK",$E$14="FIJA"),CHOOSE($N$14,$AB$6,$AC$6,$AD$6,$AE$6)+$O$14,0)+$DL$12)/$DL$11</f>
        <v>6.9503846153846166E-2</v>
      </c>
      <c r="BK7" s="10">
        <f>(IF(AND($K$14="OK",$E$14="FIJA"),$Q$14,0)+$DL$13)/$DL$11</f>
        <v>6.9503846153846166E-2</v>
      </c>
      <c r="BL7" s="10">
        <f>(IF(AND($K$14="OK",$E$14="OPERABLE"),CHOOSE($N$14,$AB$6,$AC$6,$AD$6,$AE$6)+$O$14,0)+$DL$12)/$DL$11</f>
        <v>6.9503846153846166E-2</v>
      </c>
      <c r="BM7" s="10">
        <f>(IF(AND($K$14="OK",$E$14="OPERABLE"),$Q$14,0)+$DL$13)/$DL$11</f>
        <v>6.9503846153846166E-2</v>
      </c>
      <c r="BN7" s="10">
        <f>(IF(AND($K$15="OK",$E$15="FIJA"),CHOOSE($N$15,$AB$6,$AC$6,$AD$6,$AE$6)+$O$15,0)+$DL$12)/$DL$11</f>
        <v>6.9503846153846166E-2</v>
      </c>
      <c r="BO7" s="10">
        <f>(IF(AND($K$15="OK",$E$15="FIJA"),$Q$15,0)+$DL$13)/$DL$11</f>
        <v>6.9503846153846166E-2</v>
      </c>
      <c r="BP7" s="10">
        <f>(IF(AND($K$15="OK",$E$15="OPERABLE"),CHOOSE($N$15,$AB$6,$AC$6,$AD$6,$AE$6)+$O$15,0)+$DL$12)/$DL$11</f>
        <v>6.9503846153846166E-2</v>
      </c>
      <c r="BQ7" s="10">
        <f>(IF(AND($K$15="OK",$E$15="OPERABLE"),$Q$15,0)+$DL$13)/$DL$11</f>
        <v>6.9503846153846166E-2</v>
      </c>
      <c r="BR7" s="10">
        <f>(IF(AND($K$16="OK",$E$16="FIJA"),CHOOSE($N$16,$AB$6,$AC$6,$AD$6,$AE$6)+$O$16,0)+$DL$12)/$DL$11</f>
        <v>6.9503846153846166E-2</v>
      </c>
      <c r="BS7" s="10">
        <f>(IF(AND($K$16="OK",$E$16="FIJA"),$Q$16,0)+$DL$13)/$DL$11</f>
        <v>6.9503846153846166E-2</v>
      </c>
      <c r="BT7" s="10">
        <f>(IF(AND($K$16="OK",$E$16="OPERABLE"),CHOOSE($N$16,$AB$6,$AC$6,$AD$6,$AE$6)+$O$16,0)+$DL$12)/$DL$11</f>
        <v>6.9503846153846166E-2</v>
      </c>
      <c r="BU7" s="10">
        <f>(IF(AND($K$16="OK",$E$16="OPERABLE"),$Q$16,0)+$DL$13)/$DL$11</f>
        <v>6.9503846153846166E-2</v>
      </c>
      <c r="BV7" s="10">
        <f>(IF(AND($K$17="OK",$E$17="FIJA"),CHOOSE($N$17,$AB$6,$AC$6,$AD$6,$AE$6)+$O$17,0)+$DL$12)/$DL$11</f>
        <v>6.9503846153846166E-2</v>
      </c>
      <c r="BW7" s="10">
        <f>(IF(AND($K$17="OK",$E$17="FIJA"),$Q$17,0)+$DL$13)/$DL$11</f>
        <v>6.9503846153846166E-2</v>
      </c>
      <c r="BX7" s="10">
        <f>(IF(AND($K$17="OK",$E$17="OPERABLE"),CHOOSE($N$17,$AB$6,$AC$6,$AD$6,$AE$6)+$O$17,0)+$DL$12)/$DL$11</f>
        <v>6.9503846153846166E-2</v>
      </c>
      <c r="BY7" s="10">
        <f>(IF(AND($K$17="OK",$E$17="OPERABLE"),$Q$17,0)+$DL$13)/$DL$11</f>
        <v>6.9503846153846166E-2</v>
      </c>
      <c r="BZ7" s="10">
        <f>(IF(AND($K$18="OK",$E$18="FIJA"),CHOOSE($N$18,$AB$6,$AC$6,$AD$6,$AE$6)+$O$18,0)+$DL$12)/$DL$11</f>
        <v>6.9503846153846166E-2</v>
      </c>
      <c r="CA7" s="10">
        <f>(IF(AND($K$18="OK",$E$18="FIJA"),$Q$18,0)+$DL$13)/$DL$11</f>
        <v>6.9503846153846166E-2</v>
      </c>
      <c r="CB7" s="10">
        <f>(IF(AND($K$18="OK",$E$18="OPERABLE"),CHOOSE($N$18,$AB$6,$AC$6,$AD$6,$AE$6)+$O$18,0)+$DL$12)/$DL$11</f>
        <v>6.9503846153846166E-2</v>
      </c>
      <c r="CC7" s="10">
        <f>(IF(AND($K$18="OK",$E$18="OPERABLE"),$Q$18,0)+$DL$13)/$DL$11</f>
        <v>6.9503846153846166E-2</v>
      </c>
      <c r="CD7" s="10">
        <f>(IF(AND($K$19="OK",$E$19="FIJA"),CHOOSE($N$19,$AB$6,$AC$6,$AD$6,$AE$6)+$O$19,0)+$DL$12)/$DL$11</f>
        <v>6.9503846153846166E-2</v>
      </c>
      <c r="CE7" s="10">
        <f>(IF(AND($K$19="OK",$E$19="FIJA"),$Q$19,0)+$DL$13)/$DL$11</f>
        <v>6.9503846153846166E-2</v>
      </c>
      <c r="CF7" s="10">
        <f>(IF(AND($K$19="OK",$E$19="OPERABLE"),CHOOSE($N$19,$AB$6,$AC$6,$AD$6,$AE$6)+$O$19,0)+$DL$12)/$DL$11</f>
        <v>6.9503846153846166E-2</v>
      </c>
      <c r="CG7" s="10">
        <f>(IF(AND($K$19="OK",$E$19="OPERABLE"),$Q$19,0)+$DL$13)/$DL$11</f>
        <v>6.9503846153846166E-2</v>
      </c>
      <c r="CH7" s="10">
        <f>(IF(AND($K$20="OK",$E$20="FIJA"),CHOOSE($N$20,$AB$6,$AC$6,$AD$6,$AE$6)+$O$20,0)+$DL$12)/$DL$11</f>
        <v>6.9503846153846166E-2</v>
      </c>
      <c r="CI7" s="10">
        <f>(IF(AND($K$20="OK",$E$20="FIJA"),$Q$20,0)+$DL$13)/$DL$11</f>
        <v>6.9503846153846166E-2</v>
      </c>
      <c r="CJ7" s="10">
        <f>(IF(AND($K$20="OK",$E$20="OPERABLE"),CHOOSE($N$20,$AB$6,$AC$6,$AD$6,$AE$6)+$O$20,0)+$DL$12)/$DL$11</f>
        <v>6.9503846153846166E-2</v>
      </c>
      <c r="CK7" s="10">
        <f>(IF(AND($K$20="OK",$E$20="OPERABLE"),$Q$20,0)+$DL$13)/$DL$11</f>
        <v>6.9503846153846166E-2</v>
      </c>
      <c r="CL7" s="10">
        <f>(IF(AND($K$21="OK",$E$21="FIJA"),CHOOSE($N$21,$AB$6,$AC$6,$AD$6,$AE$6)+$O$21,0)+$DL$12)/$DL$11</f>
        <v>6.9503846153846166E-2</v>
      </c>
      <c r="CM7" s="10">
        <f>(IF(AND($K$21="OK",$E$21="FIJA"),$Q$21,0)+$DL$13)/$DL$11</f>
        <v>6.9503846153846166E-2</v>
      </c>
      <c r="CN7" s="10">
        <f>(IF(AND($K$21="OK",$E$21="OPERABLE"),CHOOSE($N$21,$AB$6,$AC$6,$AD$6,$AE$6)+$O$21,0)+$DL$12)/$DL$11</f>
        <v>6.9503846153846166E-2</v>
      </c>
      <c r="CO7" s="10">
        <f>(IF(AND($K$21="OK",$E$21="OPERABLE"),$Q$21,0)+$DL$13)/$DL$11</f>
        <v>6.9503846153846166E-2</v>
      </c>
      <c r="CP7" s="10">
        <f>(IF(AND($K$22="OK",$E$22="FIJA"),CHOOSE($N$22,$AB$6,$AC$6,$AD$6,$AE$6)+$O$22,0)+$DL$12)/$DL$11</f>
        <v>6.9503846153846166E-2</v>
      </c>
      <c r="CQ7" s="10">
        <f>(IF(AND($K$22="OK",$E$22="FIJA"),$Q$22,0)+$DL$13)/$DL$11</f>
        <v>6.9503846153846166E-2</v>
      </c>
      <c r="CR7" s="10">
        <f>(IF(AND($K$22="OK",$E$22="OPERABLE"),CHOOSE($N$22,$AB$6,$AC$6,$AD$6,$AE$6)+$O$22,0)+$DL$12)/$DL$11</f>
        <v>6.9503846153846166E-2</v>
      </c>
      <c r="CS7" s="10">
        <f>(IF(AND($K$22="OK",$E$22="OPERABLE"),$Q$22,0)+$DL$13)/$DL$11</f>
        <v>6.9503846153846166E-2</v>
      </c>
      <c r="CT7" s="10">
        <f>(IF(AND($K$23="OK",$E$23="FIJA"),CHOOSE($N$23,$AB$6,$AC$6,$AD$6,$AE$6)+$O$23,0)+$DL$12)/$DL$11</f>
        <v>6.9503846153846166E-2</v>
      </c>
      <c r="CU7" s="10">
        <f>(IF(AND($K$23="OK",$E$23="FIJA"),$Q$23,0)+$DL$13)/$DL$11</f>
        <v>6.9503846153846166E-2</v>
      </c>
      <c r="CV7" s="10">
        <f>(IF(AND($K$23="OK",$E$23="OPERABLE"),CHOOSE($N$23,$AB$6,$AC$6,$AD$6,$AE$6)+$O$23,0)+$DL$12)/$DL$11</f>
        <v>6.9503846153846166E-2</v>
      </c>
      <c r="CW7" s="10">
        <f>(IF(AND($K$23="OK",$E$23="OPERABLE"),$Q$23,0)+$DL$13)/$DL$11</f>
        <v>6.9503846153846166E-2</v>
      </c>
      <c r="CX7" s="10">
        <f>(IF(AND($K$24="OK",$E$24="FIJA"),CHOOSE($N$24,$AB$6,$AC$6,$AD$6,$AE$6)+$O$24,0)+$DL$12)/$DL$11</f>
        <v>6.9503846153846166E-2</v>
      </c>
      <c r="CY7" s="10">
        <f>(IF(AND($K$24="OK",$E$24="FIJA"),$Q$24,0)+$DL$13)/$DL$11</f>
        <v>6.9503846153846166E-2</v>
      </c>
      <c r="CZ7" s="10">
        <f>(IF(AND($K$24="OK",$E$24="OPERABLE"),CHOOSE($N$24,$AB$6,$AC$6,$AD$6,$AE$6)+$O$24,0)+$DL$12)/$DL$11</f>
        <v>6.9503846153846166E-2</v>
      </c>
      <c r="DA7" s="10">
        <f>(IF(AND($K$24="OK",$E$24="OPERABLE"),$Q$24,0)+$DL$13)/$DL$11</f>
        <v>6.9503846153846166E-2</v>
      </c>
      <c r="DB7" s="10">
        <f>(IF(AND($K$25="OK",$E$25="FIJA"),CHOOSE($N$25,$AB$6,$AC$6,$AD$6,$AE$6)+$O$25,0)+$DL$12)/$DL$11</f>
        <v>6.9503846153846166E-2</v>
      </c>
      <c r="DC7" s="10">
        <f>(IF(AND($K$25="OK",$E$25="FIJA"),$Q$25,0)+$DL$13)/$DL$11</f>
        <v>6.9503846153846166E-2</v>
      </c>
      <c r="DD7" s="10">
        <f>(IF(AND($K$25="OK",$E$25="OPERABLE"),CHOOSE($N$25,$AB$6,$AC$6,$AD$6,$AE$6)+$O$25,0)+$DL$12)/$DL$11</f>
        <v>6.9503846153846166E-2</v>
      </c>
      <c r="DE7" s="10">
        <f>(IF(AND($K$25="OK",$E$25="OPERABLE"),$Q$25,0)+$DL$13)/$DL$11</f>
        <v>6.9503846153846166E-2</v>
      </c>
      <c r="DF7" s="10">
        <f>(IF(AND($K$26="OK",$E$26="FIJA"),CHOOSE($N$26,$AB$6,$AC$6,$AD$6,$AE$6)+$O$26,0)+$DL$12)/$DL$11</f>
        <v>6.9503846153846166E-2</v>
      </c>
      <c r="DG7" s="10">
        <f>(IF(AND($K$26="OK",$E$26="FIJA"),$Q$26,0)+$DL$13)/$DL$11</f>
        <v>6.9503846153846166E-2</v>
      </c>
      <c r="DH7" s="10">
        <f>(IF(AND($K$26="OK",$E$26="OPERABLE"),CHOOSE($N$26,$AB$6,$AC$6,$AD$6,$AE$6)+$O$26,0)+$DL$12)/$DL$11</f>
        <v>6.9503846153846166E-2</v>
      </c>
      <c r="DI7" s="10">
        <f>(IF(AND($K$26="OK",$E$26="OPERABLE"),$Q$26,0)+$DL$13)/$DL$11</f>
        <v>6.9503846153846166E-2</v>
      </c>
      <c r="DK7" s="9" t="s">
        <v>229</v>
      </c>
      <c r="DL7" s="11">
        <f>$AE$6+$D$54</f>
        <v>56.959999999999994</v>
      </c>
    </row>
    <row r="8" spans="2:116" ht="29.25" customHeight="1" x14ac:dyDescent="0.3">
      <c r="B8" s="20">
        <v>2</v>
      </c>
      <c r="C8" s="4" t="s">
        <v>230</v>
      </c>
      <c r="D8" s="15" t="s">
        <v>226</v>
      </c>
      <c r="E8" s="15" t="s">
        <v>227</v>
      </c>
      <c r="F8" s="25">
        <v>2.4868999999999999</v>
      </c>
      <c r="G8" s="25">
        <v>0</v>
      </c>
      <c r="H8" s="25">
        <v>5.1016000000000004</v>
      </c>
      <c r="I8" s="25">
        <v>6.33</v>
      </c>
      <c r="J8" s="26">
        <f t="shared" si="0"/>
        <v>32.293128000000003</v>
      </c>
      <c r="K8" s="18" t="str">
        <f t="shared" si="1"/>
        <v>OK</v>
      </c>
      <c r="L8" s="27" t="s">
        <v>231</v>
      </c>
      <c r="N8" s="28">
        <f t="shared" si="2"/>
        <v>1</v>
      </c>
      <c r="O8" s="10">
        <f t="shared" si="3"/>
        <v>2.4868999999999999</v>
      </c>
      <c r="P8" s="10">
        <f t="shared" si="4"/>
        <v>7.5884999999999998</v>
      </c>
      <c r="Q8" s="10">
        <f t="shared" si="5"/>
        <v>0</v>
      </c>
      <c r="R8" s="10">
        <f t="shared" si="6"/>
        <v>6.33</v>
      </c>
      <c r="S8" s="10">
        <f>IF($N8=0,0,IF(INDEX($E$51:$E$54,$N8)="SÍ",IF(DATOS!$C$14="PLANO",DATOS!$C$17,IF(DATOS!$C$14="DOS AGUAS",DATOS!$C$17+(DATOS!$C$18-DATOS!$C$17)*(1-ABS(2*(N($F8))/DATOS!$C$23-1)),IF(DATOS!$C$14="UN AGUA",IF(N(DATOS!$C$25)=0,DATOS!$C$18-(DATOS!$C$18-DATOS!$C$17)*(N($F8))/DATOS!$C$23,DATOS!$C$17+(DATOS!$C$18-DATOS!$C$17)*(N($F8))/DATOS!$C$23),DATOS!$C$17+4*(DATOS!$C$18-DATOS!$C$17)*(N($F8))/DATOS!$C$23*(1-(N($F8))/DATOS!$C$23)))),INDEX($F$51:$F$54,$N8)))</f>
        <v>10.62</v>
      </c>
      <c r="T8" s="10">
        <f>IF($N8=0,0,IF(INDEX($E$51:$E$54,$N8)="SÍ",IF(DATOS!$C$14="PLANO",DATOS!$C$17,IF(DATOS!$C$14="DOS AGUAS",DATOS!$C$17+(DATOS!$C$18-DATOS!$C$17)*(1-ABS(2*(N($F8)+N($H8))/DATOS!$C$23-1)),IF(DATOS!$C$14="UN AGUA",IF(N(DATOS!$C$25)=0,DATOS!$C$18-(DATOS!$C$18-DATOS!$C$17)*(N($F8)+N($H8))/DATOS!$C$23,DATOS!$C$17+(DATOS!$C$18-DATOS!$C$17)*(N($F8)+N($H8))/DATOS!$C$23),DATOS!$C$17+4*(DATOS!$C$18-DATOS!$C$17)*(N($F8)+N($H8))/DATOS!$C$23*(1-(N($F8)+N($H8))/DATOS!$C$23)))),INDEX($F$51:$F$54,$N8)))</f>
        <v>10.62</v>
      </c>
      <c r="U8" s="28">
        <f t="shared" si="7"/>
        <v>0</v>
      </c>
      <c r="V8" s="28">
        <f t="shared" si="8"/>
        <v>1</v>
      </c>
      <c r="W8" s="10">
        <f t="shared" si="9"/>
        <v>10.08</v>
      </c>
      <c r="Y8" s="10">
        <f>($AB$6+DATOS!$AE$4+$DL$12)/$DL$11</f>
        <v>0.68449574330164231</v>
      </c>
      <c r="Z8" s="10">
        <f>(DATOS!$AF$4+$DL$13)/$DL$11</f>
        <v>6.9503846153846166E-2</v>
      </c>
      <c r="AA8" s="10">
        <f>($AC$6+DATOS!$AI$4+$DL$12)/$DL$11</f>
        <v>1.3971054019014693</v>
      </c>
      <c r="AB8" s="10">
        <f>(DATOS!$AJ$4+$DL$13)/$DL$11</f>
        <v>6.9503846153846166E-2</v>
      </c>
      <c r="AC8" s="10">
        <f>($AD$6+DATOS!$AM$4+$DL$12)/$DL$11</f>
        <v>2.4709007778738119</v>
      </c>
      <c r="AD8" s="10">
        <f>(DATOS!$AN$4+$DL$13)/$DL$11</f>
        <v>6.9503846153846166E-2</v>
      </c>
      <c r="AE8" s="10">
        <f>($AE$6+DATOS!$AQ$4+$DL$12)/$DL$11</f>
        <v>3.5446961538461541</v>
      </c>
      <c r="AF8" s="10">
        <f>(DATOS!$AR$4+$DL$13)/$DL$11</f>
        <v>6.9503846153846166E-2</v>
      </c>
      <c r="AH8" s="10">
        <f>(IF(AND($K$7="OK",$E$7="FIJA"),CHOOSE($N$7,$AB$6,$AC$6,$AD$6,$AE$6)+$P$7,0)+$DL$12)/$DL$11</f>
        <v>6.9503846153846166E-2</v>
      </c>
      <c r="AI8" s="10">
        <f>(IF(AND($K$7="OK",$E$7="FIJA"),$Q$7,0)+$DL$13)/$DL$11</f>
        <v>6.9503846153846166E-2</v>
      </c>
      <c r="AJ8" s="10">
        <f>(IF(AND($K$7="OK",$E$7="OPERABLE"),CHOOSE($N$7,$AB$6,$AC$6,$AD$6,$AE$6)+$P$7,0)+$DL$12)/$DL$11</f>
        <v>0.18810332520797324</v>
      </c>
      <c r="AK8" s="10">
        <f>(IF(AND($K$7="OK",$E$7="OPERABLE"),$Q$7,0)+$DL$13)/$DL$11</f>
        <v>6.9503846153846166E-2</v>
      </c>
      <c r="AL8" s="10">
        <f>(IF(AND($K$8="OK",$E$8="FIJA"),CHOOSE($N$8,$AB$6,$AC$6,$AD$6,$AE$6)+$P$8,0)+$DL$12)/$DL$11</f>
        <v>6.9503846153846166E-2</v>
      </c>
      <c r="AM8" s="10">
        <f>(IF(AND($K$8="OK",$E$8="FIJA"),$Q$8,0)+$DL$13)/$DL$11</f>
        <v>6.9503846153846166E-2</v>
      </c>
      <c r="AN8" s="10">
        <f>(IF(AND($K$8="OK",$E$8="OPERABLE"),CHOOSE($N$8,$AB$6,$AC$6,$AD$6,$AE$6)+$P$8,0)+$DL$12)/$DL$11</f>
        <v>0.5324865853905576</v>
      </c>
      <c r="AO8" s="10">
        <f>(IF(AND($K$8="OK",$E$8="OPERABLE"),$Q$8,0)+$DL$13)/$DL$11</f>
        <v>6.9503846153846166E-2</v>
      </c>
      <c r="AP8" s="10">
        <f>(IF(AND($K$9="OK",$E$9="FIJA"),CHOOSE($N$9,$AB$6,$AC$6,$AD$6,$AE$6)+$P$9,0)+$DL$12)/$DL$11</f>
        <v>1.3971054019014693</v>
      </c>
      <c r="AQ8" s="10">
        <f>(IF(AND($K$9="OK",$E$9="FIJA"),$Q$9,0)+$DL$13)/$DL$11</f>
        <v>6.9503846153846166E-2</v>
      </c>
      <c r="AR8" s="10">
        <f>(IF(AND($K$9="OK",$E$9="OPERABLE"),CHOOSE($N$9,$AB$6,$AC$6,$AD$6,$AE$6)+$P$9,0)+$DL$12)/$DL$11</f>
        <v>6.9503846153846166E-2</v>
      </c>
      <c r="AS8" s="10">
        <f>(IF(AND($K$9="OK",$E$9="OPERABLE"),$Q$9,0)+$DL$13)/$DL$11</f>
        <v>6.9503846153846166E-2</v>
      </c>
      <c r="AT8" s="10">
        <f>(IF(AND($K$10="OK",$E$10="FIJA"),CHOOSE($N$10,$AB$6,$AC$6,$AD$6,$AE$6)+$P$10,0)+$DL$12)/$DL$11</f>
        <v>6.9503846153846166E-2</v>
      </c>
      <c r="AU8" s="10">
        <f>(IF(AND($K$10="OK",$E$10="FIJA"),$Q$10,0)+$DL$13)/$DL$11</f>
        <v>6.9503846153846166E-2</v>
      </c>
      <c r="AV8" s="10">
        <f>(IF(AND($K$10="OK",$E$10="OPERABLE"),CHOOSE($N$10,$AB$6,$AC$6,$AD$6,$AE$6)+$P$10,0)+$DL$12)/$DL$11</f>
        <v>6.9503846153846166E-2</v>
      </c>
      <c r="AW8" s="10">
        <f>(IF(AND($K$10="OK",$E$10="OPERABLE"),$Q$10,0)+$DL$13)/$DL$11</f>
        <v>6.9503846153846166E-2</v>
      </c>
      <c r="AX8" s="10">
        <f>(IF(AND($K$11="OK",$E$11="FIJA"),CHOOSE($N$11,$AB$6,$AC$6,$AD$6,$AE$6)+$P$11,0)+$DL$12)/$DL$11</f>
        <v>6.9503846153846166E-2</v>
      </c>
      <c r="AY8" s="10">
        <f>(IF(AND($K$11="OK",$E$11="FIJA"),$Q$11,0)+$DL$13)/$DL$11</f>
        <v>6.9503846153846166E-2</v>
      </c>
      <c r="AZ8" s="10">
        <f>(IF(AND($K$11="OK",$E$11="OPERABLE"),CHOOSE($N$11,$AB$6,$AC$6,$AD$6,$AE$6)+$P$11,0)+$DL$12)/$DL$11</f>
        <v>6.9503846153846166E-2</v>
      </c>
      <c r="BA8" s="10">
        <f>(IF(AND($K$11="OK",$E$11="OPERABLE"),$Q$11,0)+$DL$13)/$DL$11</f>
        <v>6.9503846153846166E-2</v>
      </c>
      <c r="BB8" s="10">
        <f>(IF(AND($K$12="OK",$E$12="FIJA"),CHOOSE($N$12,$AB$6,$AC$6,$AD$6,$AE$6)+$P$12,0)+$DL$12)/$DL$11</f>
        <v>6.9503846153846166E-2</v>
      </c>
      <c r="BC8" s="10">
        <f>(IF(AND($K$12="OK",$E$12="FIJA"),$Q$12,0)+$DL$13)/$DL$11</f>
        <v>6.9503846153846166E-2</v>
      </c>
      <c r="BD8" s="10">
        <f>(IF(AND($K$12="OK",$E$12="OPERABLE"),CHOOSE($N$12,$AB$6,$AC$6,$AD$6,$AE$6)+$P$12,0)+$DL$12)/$DL$11</f>
        <v>6.9503846153846166E-2</v>
      </c>
      <c r="BE8" s="10">
        <f>(IF(AND($K$12="OK",$E$12="OPERABLE"),$Q$12,0)+$DL$13)/$DL$11</f>
        <v>6.9503846153846166E-2</v>
      </c>
      <c r="BF8" s="10">
        <f>(IF(AND($K$13="OK",$E$13="FIJA"),CHOOSE($N$13,$AB$6,$AC$6,$AD$6,$AE$6)+$P$13,0)+$DL$12)/$DL$11</f>
        <v>6.9503846153846166E-2</v>
      </c>
      <c r="BG8" s="10">
        <f>(IF(AND($K$13="OK",$E$13="FIJA"),$Q$13,0)+$DL$13)/$DL$11</f>
        <v>6.9503846153846166E-2</v>
      </c>
      <c r="BH8" s="10">
        <f>(IF(AND($K$13="OK",$E$13="OPERABLE"),CHOOSE($N$13,$AB$6,$AC$6,$AD$6,$AE$6)+$P$13,0)+$DL$12)/$DL$11</f>
        <v>6.9503846153846166E-2</v>
      </c>
      <c r="BI8" s="10">
        <f>(IF(AND($K$13="OK",$E$13="OPERABLE"),$Q$13,0)+$DL$13)/$DL$11</f>
        <v>6.9503846153846166E-2</v>
      </c>
      <c r="BJ8" s="10">
        <f>(IF(AND($K$14="OK",$E$14="FIJA"),CHOOSE($N$14,$AB$6,$AC$6,$AD$6,$AE$6)+$P$14,0)+$DL$12)/$DL$11</f>
        <v>6.9503846153846166E-2</v>
      </c>
      <c r="BK8" s="10">
        <f>(IF(AND($K$14="OK",$E$14="FIJA"),$Q$14,0)+$DL$13)/$DL$11</f>
        <v>6.9503846153846166E-2</v>
      </c>
      <c r="BL8" s="10">
        <f>(IF(AND($K$14="OK",$E$14="OPERABLE"),CHOOSE($N$14,$AB$6,$AC$6,$AD$6,$AE$6)+$P$14,0)+$DL$12)/$DL$11</f>
        <v>6.9503846153846166E-2</v>
      </c>
      <c r="BM8" s="10">
        <f>(IF(AND($K$14="OK",$E$14="OPERABLE"),$Q$14,0)+$DL$13)/$DL$11</f>
        <v>6.9503846153846166E-2</v>
      </c>
      <c r="BN8" s="10">
        <f>(IF(AND($K$15="OK",$E$15="FIJA"),CHOOSE($N$15,$AB$6,$AC$6,$AD$6,$AE$6)+$P$15,0)+$DL$12)/$DL$11</f>
        <v>6.9503846153846166E-2</v>
      </c>
      <c r="BO8" s="10">
        <f>(IF(AND($K$15="OK",$E$15="FIJA"),$Q$15,0)+$DL$13)/$DL$11</f>
        <v>6.9503846153846166E-2</v>
      </c>
      <c r="BP8" s="10">
        <f>(IF(AND($K$15="OK",$E$15="OPERABLE"),CHOOSE($N$15,$AB$6,$AC$6,$AD$6,$AE$6)+$P$15,0)+$DL$12)/$DL$11</f>
        <v>6.9503846153846166E-2</v>
      </c>
      <c r="BQ8" s="10">
        <f>(IF(AND($K$15="OK",$E$15="OPERABLE"),$Q$15,0)+$DL$13)/$DL$11</f>
        <v>6.9503846153846166E-2</v>
      </c>
      <c r="BR8" s="10">
        <f>(IF(AND($K$16="OK",$E$16="FIJA"),CHOOSE($N$16,$AB$6,$AC$6,$AD$6,$AE$6)+$P$16,0)+$DL$12)/$DL$11</f>
        <v>6.9503846153846166E-2</v>
      </c>
      <c r="BS8" s="10">
        <f>(IF(AND($K$16="OK",$E$16="FIJA"),$Q$16,0)+$DL$13)/$DL$11</f>
        <v>6.9503846153846166E-2</v>
      </c>
      <c r="BT8" s="10">
        <f>(IF(AND($K$16="OK",$E$16="OPERABLE"),CHOOSE($N$16,$AB$6,$AC$6,$AD$6,$AE$6)+$P$16,0)+$DL$12)/$DL$11</f>
        <v>6.9503846153846166E-2</v>
      </c>
      <c r="BU8" s="10">
        <f>(IF(AND($K$16="OK",$E$16="OPERABLE"),$Q$16,0)+$DL$13)/$DL$11</f>
        <v>6.9503846153846166E-2</v>
      </c>
      <c r="BV8" s="10">
        <f>(IF(AND($K$17="OK",$E$17="FIJA"),CHOOSE($N$17,$AB$6,$AC$6,$AD$6,$AE$6)+$P$17,0)+$DL$12)/$DL$11</f>
        <v>6.9503846153846166E-2</v>
      </c>
      <c r="BW8" s="10">
        <f>(IF(AND($K$17="OK",$E$17="FIJA"),$Q$17,0)+$DL$13)/$DL$11</f>
        <v>6.9503846153846166E-2</v>
      </c>
      <c r="BX8" s="10">
        <f>(IF(AND($K$17="OK",$E$17="OPERABLE"),CHOOSE($N$17,$AB$6,$AC$6,$AD$6,$AE$6)+$P$17,0)+$DL$12)/$DL$11</f>
        <v>6.9503846153846166E-2</v>
      </c>
      <c r="BY8" s="10">
        <f>(IF(AND($K$17="OK",$E$17="OPERABLE"),$Q$17,0)+$DL$13)/$DL$11</f>
        <v>6.9503846153846166E-2</v>
      </c>
      <c r="BZ8" s="10">
        <f>(IF(AND($K$18="OK",$E$18="FIJA"),CHOOSE($N$18,$AB$6,$AC$6,$AD$6,$AE$6)+$P$18,0)+$DL$12)/$DL$11</f>
        <v>6.9503846153846166E-2</v>
      </c>
      <c r="CA8" s="10">
        <f>(IF(AND($K$18="OK",$E$18="FIJA"),$Q$18,0)+$DL$13)/$DL$11</f>
        <v>6.9503846153846166E-2</v>
      </c>
      <c r="CB8" s="10">
        <f>(IF(AND($K$18="OK",$E$18="OPERABLE"),CHOOSE($N$18,$AB$6,$AC$6,$AD$6,$AE$6)+$P$18,0)+$DL$12)/$DL$11</f>
        <v>6.9503846153846166E-2</v>
      </c>
      <c r="CC8" s="10">
        <f>(IF(AND($K$18="OK",$E$18="OPERABLE"),$Q$18,0)+$DL$13)/$DL$11</f>
        <v>6.9503846153846166E-2</v>
      </c>
      <c r="CD8" s="10">
        <f>(IF(AND($K$19="OK",$E$19="FIJA"),CHOOSE($N$19,$AB$6,$AC$6,$AD$6,$AE$6)+$P$19,0)+$DL$12)/$DL$11</f>
        <v>6.9503846153846166E-2</v>
      </c>
      <c r="CE8" s="10">
        <f>(IF(AND($K$19="OK",$E$19="FIJA"),$Q$19,0)+$DL$13)/$DL$11</f>
        <v>6.9503846153846166E-2</v>
      </c>
      <c r="CF8" s="10">
        <f>(IF(AND($K$19="OK",$E$19="OPERABLE"),CHOOSE($N$19,$AB$6,$AC$6,$AD$6,$AE$6)+$P$19,0)+$DL$12)/$DL$11</f>
        <v>6.9503846153846166E-2</v>
      </c>
      <c r="CG8" s="10">
        <f>(IF(AND($K$19="OK",$E$19="OPERABLE"),$Q$19,0)+$DL$13)/$DL$11</f>
        <v>6.9503846153846166E-2</v>
      </c>
      <c r="CH8" s="10">
        <f>(IF(AND($K$20="OK",$E$20="FIJA"),CHOOSE($N$20,$AB$6,$AC$6,$AD$6,$AE$6)+$P$20,0)+$DL$12)/$DL$11</f>
        <v>6.9503846153846166E-2</v>
      </c>
      <c r="CI8" s="10">
        <f>(IF(AND($K$20="OK",$E$20="FIJA"),$Q$20,0)+$DL$13)/$DL$11</f>
        <v>6.9503846153846166E-2</v>
      </c>
      <c r="CJ8" s="10">
        <f>(IF(AND($K$20="OK",$E$20="OPERABLE"),CHOOSE($N$20,$AB$6,$AC$6,$AD$6,$AE$6)+$P$20,0)+$DL$12)/$DL$11</f>
        <v>6.9503846153846166E-2</v>
      </c>
      <c r="CK8" s="10">
        <f>(IF(AND($K$20="OK",$E$20="OPERABLE"),$Q$20,0)+$DL$13)/$DL$11</f>
        <v>6.9503846153846166E-2</v>
      </c>
      <c r="CL8" s="10">
        <f>(IF(AND($K$21="OK",$E$21="FIJA"),CHOOSE($N$21,$AB$6,$AC$6,$AD$6,$AE$6)+$P$21,0)+$DL$12)/$DL$11</f>
        <v>6.9503846153846166E-2</v>
      </c>
      <c r="CM8" s="10">
        <f>(IF(AND($K$21="OK",$E$21="FIJA"),$Q$21,0)+$DL$13)/$DL$11</f>
        <v>6.9503846153846166E-2</v>
      </c>
      <c r="CN8" s="10">
        <f>(IF(AND($K$21="OK",$E$21="OPERABLE"),CHOOSE($N$21,$AB$6,$AC$6,$AD$6,$AE$6)+$P$21,0)+$DL$12)/$DL$11</f>
        <v>6.9503846153846166E-2</v>
      </c>
      <c r="CO8" s="10">
        <f>(IF(AND($K$21="OK",$E$21="OPERABLE"),$Q$21,0)+$DL$13)/$DL$11</f>
        <v>6.9503846153846166E-2</v>
      </c>
      <c r="CP8" s="10">
        <f>(IF(AND($K$22="OK",$E$22="FIJA"),CHOOSE($N$22,$AB$6,$AC$6,$AD$6,$AE$6)+$P$22,0)+$DL$12)/$DL$11</f>
        <v>6.9503846153846166E-2</v>
      </c>
      <c r="CQ8" s="10">
        <f>(IF(AND($K$22="OK",$E$22="FIJA"),$Q$22,0)+$DL$13)/$DL$11</f>
        <v>6.9503846153846166E-2</v>
      </c>
      <c r="CR8" s="10">
        <f>(IF(AND($K$22="OK",$E$22="OPERABLE"),CHOOSE($N$22,$AB$6,$AC$6,$AD$6,$AE$6)+$P$22,0)+$DL$12)/$DL$11</f>
        <v>6.9503846153846166E-2</v>
      </c>
      <c r="CS8" s="10">
        <f>(IF(AND($K$22="OK",$E$22="OPERABLE"),$Q$22,0)+$DL$13)/$DL$11</f>
        <v>6.9503846153846166E-2</v>
      </c>
      <c r="CT8" s="10">
        <f>(IF(AND($K$23="OK",$E$23="FIJA"),CHOOSE($N$23,$AB$6,$AC$6,$AD$6,$AE$6)+$P$23,0)+$DL$12)/$DL$11</f>
        <v>6.9503846153846166E-2</v>
      </c>
      <c r="CU8" s="10">
        <f>(IF(AND($K$23="OK",$E$23="FIJA"),$Q$23,0)+$DL$13)/$DL$11</f>
        <v>6.9503846153846166E-2</v>
      </c>
      <c r="CV8" s="10">
        <f>(IF(AND($K$23="OK",$E$23="OPERABLE"),CHOOSE($N$23,$AB$6,$AC$6,$AD$6,$AE$6)+$P$23,0)+$DL$12)/$DL$11</f>
        <v>6.9503846153846166E-2</v>
      </c>
      <c r="CW8" s="10">
        <f>(IF(AND($K$23="OK",$E$23="OPERABLE"),$Q$23,0)+$DL$13)/$DL$11</f>
        <v>6.9503846153846166E-2</v>
      </c>
      <c r="CX8" s="10">
        <f>(IF(AND($K$24="OK",$E$24="FIJA"),CHOOSE($N$24,$AB$6,$AC$6,$AD$6,$AE$6)+$P$24,0)+$DL$12)/$DL$11</f>
        <v>6.9503846153846166E-2</v>
      </c>
      <c r="CY8" s="10">
        <f>(IF(AND($K$24="OK",$E$24="FIJA"),$Q$24,0)+$DL$13)/$DL$11</f>
        <v>6.9503846153846166E-2</v>
      </c>
      <c r="CZ8" s="10">
        <f>(IF(AND($K$24="OK",$E$24="OPERABLE"),CHOOSE($N$24,$AB$6,$AC$6,$AD$6,$AE$6)+$P$24,0)+$DL$12)/$DL$11</f>
        <v>6.9503846153846166E-2</v>
      </c>
      <c r="DA8" s="10">
        <f>(IF(AND($K$24="OK",$E$24="OPERABLE"),$Q$24,0)+$DL$13)/$DL$11</f>
        <v>6.9503846153846166E-2</v>
      </c>
      <c r="DB8" s="10">
        <f>(IF(AND($K$25="OK",$E$25="FIJA"),CHOOSE($N$25,$AB$6,$AC$6,$AD$6,$AE$6)+$P$25,0)+$DL$12)/$DL$11</f>
        <v>6.9503846153846166E-2</v>
      </c>
      <c r="DC8" s="10">
        <f>(IF(AND($K$25="OK",$E$25="FIJA"),$Q$25,0)+$DL$13)/$DL$11</f>
        <v>6.9503846153846166E-2</v>
      </c>
      <c r="DD8" s="10">
        <f>(IF(AND($K$25="OK",$E$25="OPERABLE"),CHOOSE($N$25,$AB$6,$AC$6,$AD$6,$AE$6)+$P$25,0)+$DL$12)/$DL$11</f>
        <v>6.9503846153846166E-2</v>
      </c>
      <c r="DE8" s="10">
        <f>(IF(AND($K$25="OK",$E$25="OPERABLE"),$Q$25,0)+$DL$13)/$DL$11</f>
        <v>6.9503846153846166E-2</v>
      </c>
      <c r="DF8" s="10">
        <f>(IF(AND($K$26="OK",$E$26="FIJA"),CHOOSE($N$26,$AB$6,$AC$6,$AD$6,$AE$6)+$P$26,0)+$DL$12)/$DL$11</f>
        <v>6.9503846153846166E-2</v>
      </c>
      <c r="DG8" s="10">
        <f>(IF(AND($K$26="OK",$E$26="FIJA"),$Q$26,0)+$DL$13)/$DL$11</f>
        <v>6.9503846153846166E-2</v>
      </c>
      <c r="DH8" s="10">
        <f>(IF(AND($K$26="OK",$E$26="OPERABLE"),CHOOSE($N$26,$AB$6,$AC$6,$AD$6,$AE$6)+$P$26,0)+$DL$12)/$DL$11</f>
        <v>6.9503846153846166E-2</v>
      </c>
      <c r="DI8" s="10">
        <f>(IF(AND($K$26="OK",$E$26="OPERABLE"),$Q$26,0)+$DL$13)/$DL$11</f>
        <v>6.9503846153846166E-2</v>
      </c>
      <c r="DK8" s="9" t="s">
        <v>232</v>
      </c>
      <c r="DL8" s="11">
        <f>DATOS!$C$21*1.22</f>
        <v>12.956399999999999</v>
      </c>
    </row>
    <row r="9" spans="2:116" ht="31.2" customHeight="1" x14ac:dyDescent="0.3">
      <c r="B9" s="20">
        <v>3</v>
      </c>
      <c r="C9" s="4" t="s">
        <v>233</v>
      </c>
      <c r="D9" s="15" t="s">
        <v>234</v>
      </c>
      <c r="E9" s="15" t="s">
        <v>235</v>
      </c>
      <c r="F9" s="25">
        <v>0</v>
      </c>
      <c r="G9" s="25">
        <v>0</v>
      </c>
      <c r="H9" s="25">
        <v>10.08</v>
      </c>
      <c r="I9" s="25">
        <v>9.82</v>
      </c>
      <c r="J9" s="26">
        <f t="shared" si="0"/>
        <v>98.985600000000005</v>
      </c>
      <c r="K9" s="18" t="str">
        <f t="shared" si="1"/>
        <v>OK</v>
      </c>
      <c r="L9" s="27" t="s">
        <v>236</v>
      </c>
      <c r="N9" s="28">
        <f t="shared" si="2"/>
        <v>2</v>
      </c>
      <c r="O9" s="10">
        <f t="shared" si="3"/>
        <v>0</v>
      </c>
      <c r="P9" s="10">
        <f t="shared" si="4"/>
        <v>10.08</v>
      </c>
      <c r="Q9" s="10">
        <f t="shared" si="5"/>
        <v>0</v>
      </c>
      <c r="R9" s="10">
        <f t="shared" si="6"/>
        <v>9.82</v>
      </c>
      <c r="S9" s="10">
        <f>IF($N9=0,0,IF(INDEX($E$51:$E$54,$N9)="SÍ",IF(DATOS!$C$14="PLANO",DATOS!$C$17,IF(DATOS!$C$14="DOS AGUAS",DATOS!$C$17+(DATOS!$C$18-DATOS!$C$17)*(1-ABS(2*(N($F9))/DATOS!$C$23-1)),IF(DATOS!$C$14="UN AGUA",IF(N(DATOS!$C$25)=0,DATOS!$C$18-(DATOS!$C$18-DATOS!$C$17)*(N($F9))/DATOS!$C$23,DATOS!$C$17+(DATOS!$C$18-DATOS!$C$17)*(N($F9))/DATOS!$C$23),DATOS!$C$17+4*(DATOS!$C$18-DATOS!$C$17)*(N($F9))/DATOS!$C$23*(1-(N($F9))/DATOS!$C$23)))),INDEX($F$51:$F$54,$N9)))</f>
        <v>9.82</v>
      </c>
      <c r="T9" s="10">
        <f>IF($N9=0,0,IF(INDEX($E$51:$E$54,$N9)="SÍ",IF(DATOS!$C$14="PLANO",DATOS!$C$17,IF(DATOS!$C$14="DOS AGUAS",DATOS!$C$17+(DATOS!$C$18-DATOS!$C$17)*(1-ABS(2*(N($F9)+N($H9))/DATOS!$C$23-1)),IF(DATOS!$C$14="UN AGUA",IF(N(DATOS!$C$25)=0,DATOS!$C$18-(DATOS!$C$18-DATOS!$C$17)*(N($F9)+N($H9))/DATOS!$C$23,DATOS!$C$17+(DATOS!$C$18-DATOS!$C$17)*(N($F9)+N($H9))/DATOS!$C$23),DATOS!$C$17+4*(DATOS!$C$18-DATOS!$C$17)*(N($F9)+N($H9))/DATOS!$C$23*(1-(N($F9)+N($H9))/DATOS!$C$23)))),INDEX($F$51:$F$54,$N9)))</f>
        <v>9.82</v>
      </c>
      <c r="U9" s="28">
        <f t="shared" si="7"/>
        <v>1</v>
      </c>
      <c r="V9" s="28">
        <f t="shared" si="8"/>
        <v>1</v>
      </c>
      <c r="W9" s="10">
        <f t="shared" si="9"/>
        <v>10.08</v>
      </c>
      <c r="Y9" s="10">
        <f>($AB$6+DATOS!$AE$5+$DL$12)/$DL$11</f>
        <v>0.68449574330164231</v>
      </c>
      <c r="Z9" s="10">
        <f>(DATOS!$AF$5+$DL$13)/$DL$11</f>
        <v>0.71744173779170273</v>
      </c>
      <c r="AA9" s="10">
        <f>($AC$6+DATOS!$AI$5+$DL$12)/$DL$11</f>
        <v>1.3971054019014693</v>
      </c>
      <c r="AB9" s="10">
        <f>(DATOS!$AJ$5+$DL$13)/$DL$11</f>
        <v>0.66863285706568731</v>
      </c>
      <c r="AC9" s="10">
        <f>($AD$6+DATOS!$AM$5+$DL$12)/$DL$11</f>
        <v>2.4709007778738119</v>
      </c>
      <c r="AD9" s="10">
        <f>(DATOS!$AN$5+$DL$13)/$DL$11</f>
        <v>0.66863285706568731</v>
      </c>
      <c r="AE9" s="10">
        <f>($AE$6+DATOS!$AQ$5+$DL$12)/$DL$11</f>
        <v>3.5446961538461541</v>
      </c>
      <c r="AF9" s="10">
        <f>(DATOS!$AR$5+$DL$13)/$DL$11</f>
        <v>0.66863285706568731</v>
      </c>
      <c r="AH9" s="10">
        <f>(IF(AND($K$7="OK",$E$7="FIJA"),CHOOSE($N$7,$AB$6,$AC$6,$AD$6,$AE$6)+$P$7,0)+$DL$12)/$DL$11</f>
        <v>6.9503846153846166E-2</v>
      </c>
      <c r="AI9" s="10">
        <f>(IF(AND($K$7="OK",$E$7="FIJA"),$R$7,0)+$DL$13)/$DL$11</f>
        <v>6.9503846153846166E-2</v>
      </c>
      <c r="AJ9" s="10">
        <f>(IF(AND($K$7="OK",$E$7="OPERABLE"),CHOOSE($N$7,$AB$6,$AC$6,$AD$6,$AE$6)+$P$7,0)+$DL$12)/$DL$11</f>
        <v>0.18810332520797324</v>
      </c>
      <c r="AK9" s="10">
        <f>(IF(AND($K$7="OK",$E$7="OPERABLE"),$R$7,0)+$DL$13)/$DL$11</f>
        <v>0.21593048833189288</v>
      </c>
      <c r="AL9" s="10">
        <f>(IF(AND($K$8="OK",$E$8="FIJA"),CHOOSE($N$8,$AB$6,$AC$6,$AD$6,$AE$6)+$P$8,0)+$DL$12)/$DL$11</f>
        <v>6.9503846153846166E-2</v>
      </c>
      <c r="AM9" s="10">
        <f>(IF(AND($K$8="OK",$E$8="FIJA"),$R$8,0)+$DL$13)/$DL$11</f>
        <v>6.9503846153846166E-2</v>
      </c>
      <c r="AN9" s="10">
        <f>(IF(AND($K$8="OK",$E$8="OPERABLE"),CHOOSE($N$8,$AB$6,$AC$6,$AD$6,$AE$6)+$P$8,0)+$DL$12)/$DL$11</f>
        <v>0.5324865853905576</v>
      </c>
      <c r="AO9" s="10">
        <f>(IF(AND($K$8="OK",$E$8="OPERABLE"),$R$8,0)+$DL$13)/$DL$11</f>
        <v>0.45570411489844431</v>
      </c>
      <c r="AP9" s="10">
        <f>(IF(AND($K$9="OK",$E$9="FIJA"),CHOOSE($N$9,$AB$6,$AC$6,$AD$6,$AE$6)+$P$9,0)+$DL$12)/$DL$11</f>
        <v>1.3971054019014693</v>
      </c>
      <c r="AQ9" s="10">
        <f>(IF(AND($K$9="OK",$E$9="FIJA"),$R$9,0)+$DL$13)/$DL$11</f>
        <v>0.66863285706568731</v>
      </c>
      <c r="AR9" s="10">
        <f>(IF(AND($K$9="OK",$E$9="OPERABLE"),CHOOSE($N$9,$AB$6,$AC$6,$AD$6,$AE$6)+$P$9,0)+$DL$12)/$DL$11</f>
        <v>6.9503846153846166E-2</v>
      </c>
      <c r="AS9" s="10">
        <f>(IF(AND($K$9="OK",$E$9="OPERABLE"),$R$9,0)+$DL$13)/$DL$11</f>
        <v>6.9503846153846166E-2</v>
      </c>
      <c r="AT9" s="10">
        <f>(IF(AND($K$10="OK",$E$10="FIJA"),CHOOSE($N$10,$AB$6,$AC$6,$AD$6,$AE$6)+$P$10,0)+$DL$12)/$DL$11</f>
        <v>6.9503846153846166E-2</v>
      </c>
      <c r="AU9" s="10">
        <f>(IF(AND($K$10="OK",$E$10="FIJA"),$R$10,0)+$DL$13)/$DL$11</f>
        <v>6.9503846153846166E-2</v>
      </c>
      <c r="AV9" s="10">
        <f>(IF(AND($K$10="OK",$E$10="OPERABLE"),CHOOSE($N$10,$AB$6,$AC$6,$AD$6,$AE$6)+$P$10,0)+$DL$12)/$DL$11</f>
        <v>6.9503846153846166E-2</v>
      </c>
      <c r="AW9" s="10">
        <f>(IF(AND($K$10="OK",$E$10="OPERABLE"),$R$10,0)+$DL$13)/$DL$11</f>
        <v>6.9503846153846166E-2</v>
      </c>
      <c r="AX9" s="10">
        <f>(IF(AND($K$11="OK",$E$11="FIJA"),CHOOSE($N$11,$AB$6,$AC$6,$AD$6,$AE$6)+$P$11,0)+$DL$12)/$DL$11</f>
        <v>6.9503846153846166E-2</v>
      </c>
      <c r="AY9" s="10">
        <f>(IF(AND($K$11="OK",$E$11="FIJA"),$R$11,0)+$DL$13)/$DL$11</f>
        <v>6.9503846153846166E-2</v>
      </c>
      <c r="AZ9" s="10">
        <f>(IF(AND($K$11="OK",$E$11="OPERABLE"),CHOOSE($N$11,$AB$6,$AC$6,$AD$6,$AE$6)+$P$11,0)+$DL$12)/$DL$11</f>
        <v>6.9503846153846166E-2</v>
      </c>
      <c r="BA9" s="10">
        <f>(IF(AND($K$11="OK",$E$11="OPERABLE"),$R$11,0)+$DL$13)/$DL$11</f>
        <v>6.9503846153846166E-2</v>
      </c>
      <c r="BB9" s="10">
        <f>(IF(AND($K$12="OK",$E$12="FIJA"),CHOOSE($N$12,$AB$6,$AC$6,$AD$6,$AE$6)+$P$12,0)+$DL$12)/$DL$11</f>
        <v>6.9503846153846166E-2</v>
      </c>
      <c r="BC9" s="10">
        <f>(IF(AND($K$12="OK",$E$12="FIJA"),$R$12,0)+$DL$13)/$DL$11</f>
        <v>6.9503846153846166E-2</v>
      </c>
      <c r="BD9" s="10">
        <f>(IF(AND($K$12="OK",$E$12="OPERABLE"),CHOOSE($N$12,$AB$6,$AC$6,$AD$6,$AE$6)+$P$12,0)+$DL$12)/$DL$11</f>
        <v>6.9503846153846166E-2</v>
      </c>
      <c r="BE9" s="10">
        <f>(IF(AND($K$12="OK",$E$12="OPERABLE"),$R$12,0)+$DL$13)/$DL$11</f>
        <v>6.9503846153846166E-2</v>
      </c>
      <c r="BF9" s="10">
        <f>(IF(AND($K$13="OK",$E$13="FIJA"),CHOOSE($N$13,$AB$6,$AC$6,$AD$6,$AE$6)+$P$13,0)+$DL$12)/$DL$11</f>
        <v>6.9503846153846166E-2</v>
      </c>
      <c r="BG9" s="10">
        <f>(IF(AND($K$13="OK",$E$13="FIJA"),$R$13,0)+$DL$13)/$DL$11</f>
        <v>6.9503846153846166E-2</v>
      </c>
      <c r="BH9" s="10">
        <f>(IF(AND($K$13="OK",$E$13="OPERABLE"),CHOOSE($N$13,$AB$6,$AC$6,$AD$6,$AE$6)+$P$13,0)+$DL$12)/$DL$11</f>
        <v>6.9503846153846166E-2</v>
      </c>
      <c r="BI9" s="10">
        <f>(IF(AND($K$13="OK",$E$13="OPERABLE"),$R$13,0)+$DL$13)/$DL$11</f>
        <v>6.9503846153846166E-2</v>
      </c>
      <c r="BJ9" s="10">
        <f>(IF(AND($K$14="OK",$E$14="FIJA"),CHOOSE($N$14,$AB$6,$AC$6,$AD$6,$AE$6)+$P$14,0)+$DL$12)/$DL$11</f>
        <v>6.9503846153846166E-2</v>
      </c>
      <c r="BK9" s="10">
        <f>(IF(AND($K$14="OK",$E$14="FIJA"),$R$14,0)+$DL$13)/$DL$11</f>
        <v>6.9503846153846166E-2</v>
      </c>
      <c r="BL9" s="10">
        <f>(IF(AND($K$14="OK",$E$14="OPERABLE"),CHOOSE($N$14,$AB$6,$AC$6,$AD$6,$AE$6)+$P$14,0)+$DL$12)/$DL$11</f>
        <v>6.9503846153846166E-2</v>
      </c>
      <c r="BM9" s="10">
        <f>(IF(AND($K$14="OK",$E$14="OPERABLE"),$R$14,0)+$DL$13)/$DL$11</f>
        <v>6.9503846153846166E-2</v>
      </c>
      <c r="BN9" s="10">
        <f>(IF(AND($K$15="OK",$E$15="FIJA"),CHOOSE($N$15,$AB$6,$AC$6,$AD$6,$AE$6)+$P$15,0)+$DL$12)/$DL$11</f>
        <v>6.9503846153846166E-2</v>
      </c>
      <c r="BO9" s="10">
        <f>(IF(AND($K$15="OK",$E$15="FIJA"),$R$15,0)+$DL$13)/$DL$11</f>
        <v>6.9503846153846166E-2</v>
      </c>
      <c r="BP9" s="10">
        <f>(IF(AND($K$15="OK",$E$15="OPERABLE"),CHOOSE($N$15,$AB$6,$AC$6,$AD$6,$AE$6)+$P$15,0)+$DL$12)/$DL$11</f>
        <v>6.9503846153846166E-2</v>
      </c>
      <c r="BQ9" s="10">
        <f>(IF(AND($K$15="OK",$E$15="OPERABLE"),$R$15,0)+$DL$13)/$DL$11</f>
        <v>6.9503846153846166E-2</v>
      </c>
      <c r="BR9" s="10">
        <f>(IF(AND($K$16="OK",$E$16="FIJA"),CHOOSE($N$16,$AB$6,$AC$6,$AD$6,$AE$6)+$P$16,0)+$DL$12)/$DL$11</f>
        <v>6.9503846153846166E-2</v>
      </c>
      <c r="BS9" s="10">
        <f>(IF(AND($K$16="OK",$E$16="FIJA"),$R$16,0)+$DL$13)/$DL$11</f>
        <v>6.9503846153846166E-2</v>
      </c>
      <c r="BT9" s="10">
        <f>(IF(AND($K$16="OK",$E$16="OPERABLE"),CHOOSE($N$16,$AB$6,$AC$6,$AD$6,$AE$6)+$P$16,0)+$DL$12)/$DL$11</f>
        <v>6.9503846153846166E-2</v>
      </c>
      <c r="BU9" s="10">
        <f>(IF(AND($K$16="OK",$E$16="OPERABLE"),$R$16,0)+$DL$13)/$DL$11</f>
        <v>6.9503846153846166E-2</v>
      </c>
      <c r="BV9" s="10">
        <f>(IF(AND($K$17="OK",$E$17="FIJA"),CHOOSE($N$17,$AB$6,$AC$6,$AD$6,$AE$6)+$P$17,0)+$DL$12)/$DL$11</f>
        <v>6.9503846153846166E-2</v>
      </c>
      <c r="BW9" s="10">
        <f>(IF(AND($K$17="OK",$E$17="FIJA"),$R$17,0)+$DL$13)/$DL$11</f>
        <v>6.9503846153846166E-2</v>
      </c>
      <c r="BX9" s="10">
        <f>(IF(AND($K$17="OK",$E$17="OPERABLE"),CHOOSE($N$17,$AB$6,$AC$6,$AD$6,$AE$6)+$P$17,0)+$DL$12)/$DL$11</f>
        <v>6.9503846153846166E-2</v>
      </c>
      <c r="BY9" s="10">
        <f>(IF(AND($K$17="OK",$E$17="OPERABLE"),$R$17,0)+$DL$13)/$DL$11</f>
        <v>6.9503846153846166E-2</v>
      </c>
      <c r="BZ9" s="10">
        <f>(IF(AND($K$18="OK",$E$18="FIJA"),CHOOSE($N$18,$AB$6,$AC$6,$AD$6,$AE$6)+$P$18,0)+$DL$12)/$DL$11</f>
        <v>6.9503846153846166E-2</v>
      </c>
      <c r="CA9" s="10">
        <f>(IF(AND($K$18="OK",$E$18="FIJA"),$R$18,0)+$DL$13)/$DL$11</f>
        <v>6.9503846153846166E-2</v>
      </c>
      <c r="CB9" s="10">
        <f>(IF(AND($K$18="OK",$E$18="OPERABLE"),CHOOSE($N$18,$AB$6,$AC$6,$AD$6,$AE$6)+$P$18,0)+$DL$12)/$DL$11</f>
        <v>6.9503846153846166E-2</v>
      </c>
      <c r="CC9" s="10">
        <f>(IF(AND($K$18="OK",$E$18="OPERABLE"),$R$18,0)+$DL$13)/$DL$11</f>
        <v>6.9503846153846166E-2</v>
      </c>
      <c r="CD9" s="10">
        <f>(IF(AND($K$19="OK",$E$19="FIJA"),CHOOSE($N$19,$AB$6,$AC$6,$AD$6,$AE$6)+$P$19,0)+$DL$12)/$DL$11</f>
        <v>6.9503846153846166E-2</v>
      </c>
      <c r="CE9" s="10">
        <f>(IF(AND($K$19="OK",$E$19="FIJA"),$R$19,0)+$DL$13)/$DL$11</f>
        <v>6.9503846153846166E-2</v>
      </c>
      <c r="CF9" s="10">
        <f>(IF(AND($K$19="OK",$E$19="OPERABLE"),CHOOSE($N$19,$AB$6,$AC$6,$AD$6,$AE$6)+$P$19,0)+$DL$12)/$DL$11</f>
        <v>6.9503846153846166E-2</v>
      </c>
      <c r="CG9" s="10">
        <f>(IF(AND($K$19="OK",$E$19="OPERABLE"),$R$19,0)+$DL$13)/$DL$11</f>
        <v>6.9503846153846166E-2</v>
      </c>
      <c r="CH9" s="10">
        <f>(IF(AND($K$20="OK",$E$20="FIJA"),CHOOSE($N$20,$AB$6,$AC$6,$AD$6,$AE$6)+$P$20,0)+$DL$12)/$DL$11</f>
        <v>6.9503846153846166E-2</v>
      </c>
      <c r="CI9" s="10">
        <f>(IF(AND($K$20="OK",$E$20="FIJA"),$R$20,0)+$DL$13)/$DL$11</f>
        <v>6.9503846153846166E-2</v>
      </c>
      <c r="CJ9" s="10">
        <f>(IF(AND($K$20="OK",$E$20="OPERABLE"),CHOOSE($N$20,$AB$6,$AC$6,$AD$6,$AE$6)+$P$20,0)+$DL$12)/$DL$11</f>
        <v>6.9503846153846166E-2</v>
      </c>
      <c r="CK9" s="10">
        <f>(IF(AND($K$20="OK",$E$20="OPERABLE"),$R$20,0)+$DL$13)/$DL$11</f>
        <v>6.9503846153846166E-2</v>
      </c>
      <c r="CL9" s="10">
        <f>(IF(AND($K$21="OK",$E$21="FIJA"),CHOOSE($N$21,$AB$6,$AC$6,$AD$6,$AE$6)+$P$21,0)+$DL$12)/$DL$11</f>
        <v>6.9503846153846166E-2</v>
      </c>
      <c r="CM9" s="10">
        <f>(IF(AND($K$21="OK",$E$21="FIJA"),$R$21,0)+$DL$13)/$DL$11</f>
        <v>6.9503846153846166E-2</v>
      </c>
      <c r="CN9" s="10">
        <f>(IF(AND($K$21="OK",$E$21="OPERABLE"),CHOOSE($N$21,$AB$6,$AC$6,$AD$6,$AE$6)+$P$21,0)+$DL$12)/$DL$11</f>
        <v>6.9503846153846166E-2</v>
      </c>
      <c r="CO9" s="10">
        <f>(IF(AND($K$21="OK",$E$21="OPERABLE"),$R$21,0)+$DL$13)/$DL$11</f>
        <v>6.9503846153846166E-2</v>
      </c>
      <c r="CP9" s="10">
        <f>(IF(AND($K$22="OK",$E$22="FIJA"),CHOOSE($N$22,$AB$6,$AC$6,$AD$6,$AE$6)+$P$22,0)+$DL$12)/$DL$11</f>
        <v>6.9503846153846166E-2</v>
      </c>
      <c r="CQ9" s="10">
        <f>(IF(AND($K$22="OK",$E$22="FIJA"),$R$22,0)+$DL$13)/$DL$11</f>
        <v>6.9503846153846166E-2</v>
      </c>
      <c r="CR9" s="10">
        <f>(IF(AND($K$22="OK",$E$22="OPERABLE"),CHOOSE($N$22,$AB$6,$AC$6,$AD$6,$AE$6)+$P$22,0)+$DL$12)/$DL$11</f>
        <v>6.9503846153846166E-2</v>
      </c>
      <c r="CS9" s="10">
        <f>(IF(AND($K$22="OK",$E$22="OPERABLE"),$R$22,0)+$DL$13)/$DL$11</f>
        <v>6.9503846153846166E-2</v>
      </c>
      <c r="CT9" s="10">
        <f>(IF(AND($K$23="OK",$E$23="FIJA"),CHOOSE($N$23,$AB$6,$AC$6,$AD$6,$AE$6)+$P$23,0)+$DL$12)/$DL$11</f>
        <v>6.9503846153846166E-2</v>
      </c>
      <c r="CU9" s="10">
        <f>(IF(AND($K$23="OK",$E$23="FIJA"),$R$23,0)+$DL$13)/$DL$11</f>
        <v>6.9503846153846166E-2</v>
      </c>
      <c r="CV9" s="10">
        <f>(IF(AND($K$23="OK",$E$23="OPERABLE"),CHOOSE($N$23,$AB$6,$AC$6,$AD$6,$AE$6)+$P$23,0)+$DL$12)/$DL$11</f>
        <v>6.9503846153846166E-2</v>
      </c>
      <c r="CW9" s="10">
        <f>(IF(AND($K$23="OK",$E$23="OPERABLE"),$R$23,0)+$DL$13)/$DL$11</f>
        <v>6.9503846153846166E-2</v>
      </c>
      <c r="CX9" s="10">
        <f>(IF(AND($K$24="OK",$E$24="FIJA"),CHOOSE($N$24,$AB$6,$AC$6,$AD$6,$AE$6)+$P$24,0)+$DL$12)/$DL$11</f>
        <v>6.9503846153846166E-2</v>
      </c>
      <c r="CY9" s="10">
        <f>(IF(AND($K$24="OK",$E$24="FIJA"),$R$24,0)+$DL$13)/$DL$11</f>
        <v>6.9503846153846166E-2</v>
      </c>
      <c r="CZ9" s="10">
        <f>(IF(AND($K$24="OK",$E$24="OPERABLE"),CHOOSE($N$24,$AB$6,$AC$6,$AD$6,$AE$6)+$P$24,0)+$DL$12)/$DL$11</f>
        <v>6.9503846153846166E-2</v>
      </c>
      <c r="DA9" s="10">
        <f>(IF(AND($K$24="OK",$E$24="OPERABLE"),$R$24,0)+$DL$13)/$DL$11</f>
        <v>6.9503846153846166E-2</v>
      </c>
      <c r="DB9" s="10">
        <f>(IF(AND($K$25="OK",$E$25="FIJA"),CHOOSE($N$25,$AB$6,$AC$6,$AD$6,$AE$6)+$P$25,0)+$DL$12)/$DL$11</f>
        <v>6.9503846153846166E-2</v>
      </c>
      <c r="DC9" s="10">
        <f>(IF(AND($K$25="OK",$E$25="FIJA"),$R$25,0)+$DL$13)/$DL$11</f>
        <v>6.9503846153846166E-2</v>
      </c>
      <c r="DD9" s="10">
        <f>(IF(AND($K$25="OK",$E$25="OPERABLE"),CHOOSE($N$25,$AB$6,$AC$6,$AD$6,$AE$6)+$P$25,0)+$DL$12)/$DL$11</f>
        <v>6.9503846153846166E-2</v>
      </c>
      <c r="DE9" s="10">
        <f>(IF(AND($K$25="OK",$E$25="OPERABLE"),$R$25,0)+$DL$13)/$DL$11</f>
        <v>6.9503846153846166E-2</v>
      </c>
      <c r="DF9" s="10">
        <f>(IF(AND($K$26="OK",$E$26="FIJA"),CHOOSE($N$26,$AB$6,$AC$6,$AD$6,$AE$6)+$P$26,0)+$DL$12)/$DL$11</f>
        <v>6.9503846153846166E-2</v>
      </c>
      <c r="DG9" s="10">
        <f>(IF(AND($K$26="OK",$E$26="FIJA"),$R$26,0)+$DL$13)/$DL$11</f>
        <v>6.9503846153846166E-2</v>
      </c>
      <c r="DH9" s="10">
        <f>(IF(AND($K$26="OK",$E$26="OPERABLE"),CHOOSE($N$26,$AB$6,$AC$6,$AD$6,$AE$6)+$P$26,0)+$DL$12)/$DL$11</f>
        <v>6.9503846153846166E-2</v>
      </c>
      <c r="DI9" s="10">
        <f>(IF(AND($K$26="OK",$E$26="OPERABLE"),$R$26,0)+$DL$13)/$DL$11</f>
        <v>6.9503846153846166E-2</v>
      </c>
      <c r="DK9" s="9" t="s">
        <v>70</v>
      </c>
      <c r="DL9" s="11">
        <f>0.02*$DL$7</f>
        <v>1.1392</v>
      </c>
    </row>
    <row r="10" spans="2:116" ht="15" customHeight="1" x14ac:dyDescent="0.3">
      <c r="B10" s="20">
        <v>4</v>
      </c>
      <c r="C10" s="4"/>
      <c r="D10" s="15"/>
      <c r="E10" s="15"/>
      <c r="F10" s="25"/>
      <c r="G10" s="25"/>
      <c r="H10" s="25"/>
      <c r="I10" s="25"/>
      <c r="J10" s="26">
        <f t="shared" si="0"/>
        <v>0</v>
      </c>
      <c r="K10" s="18" t="str">
        <f t="shared" si="1"/>
        <v/>
      </c>
      <c r="L10" s="27"/>
      <c r="N10" s="28">
        <f t="shared" si="2"/>
        <v>0</v>
      </c>
      <c r="O10" s="10">
        <f t="shared" si="3"/>
        <v>0</v>
      </c>
      <c r="P10" s="10">
        <f t="shared" si="4"/>
        <v>0</v>
      </c>
      <c r="Q10" s="10">
        <f t="shared" si="5"/>
        <v>0</v>
      </c>
      <c r="R10" s="10">
        <f t="shared" si="6"/>
        <v>0</v>
      </c>
      <c r="S10" s="10">
        <f>IF($N10=0,0,IF(INDEX($E$51:$E$54,$N10)="SÍ",IF(DATOS!$C$14="PLANO",DATOS!$C$17,IF(DATOS!$C$14="DOS AGUAS",DATOS!$C$17+(DATOS!$C$18-DATOS!$C$17)*(1-ABS(2*(N($F10))/DATOS!$C$23-1)),IF(DATOS!$C$14="UN AGUA",IF(N(DATOS!$C$25)=0,DATOS!$C$18-(DATOS!$C$18-DATOS!$C$17)*(N($F10))/DATOS!$C$23,DATOS!$C$17+(DATOS!$C$18-DATOS!$C$17)*(N($F10))/DATOS!$C$23),DATOS!$C$17+4*(DATOS!$C$18-DATOS!$C$17)*(N($F10))/DATOS!$C$23*(1-(N($F10))/DATOS!$C$23)))),INDEX($F$51:$F$54,$N10)))</f>
        <v>0</v>
      </c>
      <c r="T10" s="10">
        <f>IF($N10=0,0,IF(INDEX($E$51:$E$54,$N10)="SÍ",IF(DATOS!$C$14="PLANO",DATOS!$C$17,IF(DATOS!$C$14="DOS AGUAS",DATOS!$C$17+(DATOS!$C$18-DATOS!$C$17)*(1-ABS(2*(N($F10)+N($H10))/DATOS!$C$23-1)),IF(DATOS!$C$14="UN AGUA",IF(N(DATOS!$C$25)=0,DATOS!$C$18-(DATOS!$C$18-DATOS!$C$17)*(N($F10)+N($H10))/DATOS!$C$23,DATOS!$C$17+(DATOS!$C$18-DATOS!$C$17)*(N($F10)+N($H10))/DATOS!$C$23),DATOS!$C$17+4*(DATOS!$C$18-DATOS!$C$17)*(N($F10)+N($H10))/DATOS!$C$23*(1-(N($F10)+N($H10))/DATOS!$C$23)))),INDEX($F$51:$F$54,$N10)))</f>
        <v>0</v>
      </c>
      <c r="U10" s="28">
        <f t="shared" si="7"/>
        <v>0</v>
      </c>
      <c r="V10" s="28">
        <f t="shared" si="8"/>
        <v>0</v>
      </c>
      <c r="W10" s="10">
        <f t="shared" si="9"/>
        <v>0</v>
      </c>
      <c r="Y10" s="10">
        <f>($AB$6+DATOS!$AE$6+$DL$12)/$DL$11</f>
        <v>0.60762175615816783</v>
      </c>
      <c r="Z10" s="10">
        <f>(DATOS!$AF$6+$DL$13)/$DL$11</f>
        <v>0.71744173779170273</v>
      </c>
      <c r="AA10" s="10">
        <f>($AC$6+DATOS!$AI$6+$DL$12)/$DL$11</f>
        <v>1.320231414757995</v>
      </c>
      <c r="AB10" s="10">
        <f>(DATOS!$AJ$6+$DL$13)/$DL$11</f>
        <v>0.66863285706568731</v>
      </c>
      <c r="AC10" s="10">
        <f>($AD$6+DATOS!$AM$6+$DL$12)/$DL$11</f>
        <v>2.3488785760587731</v>
      </c>
      <c r="AD10" s="10">
        <f>(DATOS!$AN$6+$DL$13)/$DL$11</f>
        <v>0.67473396715643918</v>
      </c>
      <c r="AE10" s="10">
        <f>($AE$6+DATOS!$AQ$6+$DL$12)/$DL$11</f>
        <v>3.4226739520311154</v>
      </c>
      <c r="AF10" s="10">
        <f>(DATOS!$AR$6+$DL$13)/$DL$11</f>
        <v>0.67473396715643918</v>
      </c>
      <c r="AH10" s="10">
        <f>(IF(AND($K$7="OK",$E$7="FIJA"),CHOOSE($N$7,$AB$6,$AC$6,$AD$6,$AE$6)+$O$7,0)+$DL$12)/$DL$11</f>
        <v>6.9503846153846166E-2</v>
      </c>
      <c r="AI10" s="10">
        <f>(IF(AND($K$7="OK",$E$7="FIJA"),$R$7,0)+$DL$13)/$DL$11</f>
        <v>6.9503846153846166E-2</v>
      </c>
      <c r="AJ10" s="10">
        <f>(IF(AND($K$7="OK",$E$7="OPERABLE"),CHOOSE($N$7,$AB$6,$AC$6,$AD$6,$AE$6)+$O$7,0)+$DL$12)/$DL$11</f>
        <v>0.10870347848692741</v>
      </c>
      <c r="AK10" s="10">
        <f>(IF(AND($K$7="OK",$E$7="OPERABLE"),$R$7,0)+$DL$13)/$DL$11</f>
        <v>0.21593048833189288</v>
      </c>
      <c r="AL10" s="10">
        <f>(IF(AND($K$8="OK",$E$8="FIJA"),CHOOSE($N$8,$AB$6,$AC$6,$AD$6,$AE$6)+$O$8,0)+$DL$12)/$DL$11</f>
        <v>6.9503846153846166E-2</v>
      </c>
      <c r="AM10" s="10">
        <f>(IF(AND($K$8="OK",$E$8="FIJA"),$R$8,0)+$DL$13)/$DL$11</f>
        <v>6.9503846153846166E-2</v>
      </c>
      <c r="AN10" s="10">
        <f>(IF(AND($K$8="OK",$E$8="OPERABLE"),CHOOSE($N$8,$AB$6,$AC$6,$AD$6,$AE$6)+$O$8,0)+$DL$12)/$DL$11</f>
        <v>0.2212323530007563</v>
      </c>
      <c r="AO10" s="10">
        <f>(IF(AND($K$8="OK",$E$8="OPERABLE"),$R$8,0)+$DL$13)/$DL$11</f>
        <v>0.45570411489844431</v>
      </c>
      <c r="AP10" s="10">
        <f>(IF(AND($K$9="OK",$E$9="FIJA"),CHOOSE($N$9,$AB$6,$AC$6,$AD$6,$AE$6)+$O$9,0)+$DL$12)/$DL$11</f>
        <v>0.78211350475367347</v>
      </c>
      <c r="AQ10" s="10">
        <f>(IF(AND($K$9="OK",$E$9="FIJA"),$R$9,0)+$DL$13)/$DL$11</f>
        <v>0.66863285706568731</v>
      </c>
      <c r="AR10" s="10">
        <f>(IF(AND($K$9="OK",$E$9="OPERABLE"),CHOOSE($N$9,$AB$6,$AC$6,$AD$6,$AE$6)+$O$9,0)+$DL$12)/$DL$11</f>
        <v>6.9503846153846166E-2</v>
      </c>
      <c r="AS10" s="10">
        <f>(IF(AND($K$9="OK",$E$9="OPERABLE"),$R$9,0)+$DL$13)/$DL$11</f>
        <v>6.9503846153846166E-2</v>
      </c>
      <c r="AT10" s="10">
        <f>(IF(AND($K$10="OK",$E$10="FIJA"),CHOOSE($N$10,$AB$6,$AC$6,$AD$6,$AE$6)+$O$10,0)+$DL$12)/$DL$11</f>
        <v>6.9503846153846166E-2</v>
      </c>
      <c r="AU10" s="10">
        <f>(IF(AND($K$10="OK",$E$10="FIJA"),$R$10,0)+$DL$13)/$DL$11</f>
        <v>6.9503846153846166E-2</v>
      </c>
      <c r="AV10" s="10">
        <f>(IF(AND($K$10="OK",$E$10="OPERABLE"),CHOOSE($N$10,$AB$6,$AC$6,$AD$6,$AE$6)+$O$10,0)+$DL$12)/$DL$11</f>
        <v>6.9503846153846166E-2</v>
      </c>
      <c r="AW10" s="10">
        <f>(IF(AND($K$10="OK",$E$10="OPERABLE"),$R$10,0)+$DL$13)/$DL$11</f>
        <v>6.9503846153846166E-2</v>
      </c>
      <c r="AX10" s="10">
        <f>(IF(AND($K$11="OK",$E$11="FIJA"),CHOOSE($N$11,$AB$6,$AC$6,$AD$6,$AE$6)+$O$11,0)+$DL$12)/$DL$11</f>
        <v>6.9503846153846166E-2</v>
      </c>
      <c r="AY10" s="10">
        <f>(IF(AND($K$11="OK",$E$11="FIJA"),$R$11,0)+$DL$13)/$DL$11</f>
        <v>6.9503846153846166E-2</v>
      </c>
      <c r="AZ10" s="10">
        <f>(IF(AND($K$11="OK",$E$11="OPERABLE"),CHOOSE($N$11,$AB$6,$AC$6,$AD$6,$AE$6)+$O$11,0)+$DL$12)/$DL$11</f>
        <v>6.9503846153846166E-2</v>
      </c>
      <c r="BA10" s="10">
        <f>(IF(AND($K$11="OK",$E$11="OPERABLE"),$R$11,0)+$DL$13)/$DL$11</f>
        <v>6.9503846153846166E-2</v>
      </c>
      <c r="BB10" s="10">
        <f>(IF(AND($K$12="OK",$E$12="FIJA"),CHOOSE($N$12,$AB$6,$AC$6,$AD$6,$AE$6)+$O$12,0)+$DL$12)/$DL$11</f>
        <v>6.9503846153846166E-2</v>
      </c>
      <c r="BC10" s="10">
        <f>(IF(AND($K$12="OK",$E$12="FIJA"),$R$12,0)+$DL$13)/$DL$11</f>
        <v>6.9503846153846166E-2</v>
      </c>
      <c r="BD10" s="10">
        <f>(IF(AND($K$12="OK",$E$12="OPERABLE"),CHOOSE($N$12,$AB$6,$AC$6,$AD$6,$AE$6)+$O$12,0)+$DL$12)/$DL$11</f>
        <v>6.9503846153846166E-2</v>
      </c>
      <c r="BE10" s="10">
        <f>(IF(AND($K$12="OK",$E$12="OPERABLE"),$R$12,0)+$DL$13)/$DL$11</f>
        <v>6.9503846153846166E-2</v>
      </c>
      <c r="BF10" s="10">
        <f>(IF(AND($K$13="OK",$E$13="FIJA"),CHOOSE($N$13,$AB$6,$AC$6,$AD$6,$AE$6)+$O$13,0)+$DL$12)/$DL$11</f>
        <v>6.9503846153846166E-2</v>
      </c>
      <c r="BG10" s="10">
        <f>(IF(AND($K$13="OK",$E$13="FIJA"),$R$13,0)+$DL$13)/$DL$11</f>
        <v>6.9503846153846166E-2</v>
      </c>
      <c r="BH10" s="10">
        <f>(IF(AND($K$13="OK",$E$13="OPERABLE"),CHOOSE($N$13,$AB$6,$AC$6,$AD$6,$AE$6)+$O$13,0)+$DL$12)/$DL$11</f>
        <v>6.9503846153846166E-2</v>
      </c>
      <c r="BI10" s="10">
        <f>(IF(AND($K$13="OK",$E$13="OPERABLE"),$R$13,0)+$DL$13)/$DL$11</f>
        <v>6.9503846153846166E-2</v>
      </c>
      <c r="BJ10" s="10">
        <f>(IF(AND($K$14="OK",$E$14="FIJA"),CHOOSE($N$14,$AB$6,$AC$6,$AD$6,$AE$6)+$O$14,0)+$DL$12)/$DL$11</f>
        <v>6.9503846153846166E-2</v>
      </c>
      <c r="BK10" s="10">
        <f>(IF(AND($K$14="OK",$E$14="FIJA"),$R$14,0)+$DL$13)/$DL$11</f>
        <v>6.9503846153846166E-2</v>
      </c>
      <c r="BL10" s="10">
        <f>(IF(AND($K$14="OK",$E$14="OPERABLE"),CHOOSE($N$14,$AB$6,$AC$6,$AD$6,$AE$6)+$O$14,0)+$DL$12)/$DL$11</f>
        <v>6.9503846153846166E-2</v>
      </c>
      <c r="BM10" s="10">
        <f>(IF(AND($K$14="OK",$E$14="OPERABLE"),$R$14,0)+$DL$13)/$DL$11</f>
        <v>6.9503846153846166E-2</v>
      </c>
      <c r="BN10" s="10">
        <f>(IF(AND($K$15="OK",$E$15="FIJA"),CHOOSE($N$15,$AB$6,$AC$6,$AD$6,$AE$6)+$O$15,0)+$DL$12)/$DL$11</f>
        <v>6.9503846153846166E-2</v>
      </c>
      <c r="BO10" s="10">
        <f>(IF(AND($K$15="OK",$E$15="FIJA"),$R$15,0)+$DL$13)/$DL$11</f>
        <v>6.9503846153846166E-2</v>
      </c>
      <c r="BP10" s="10">
        <f>(IF(AND($K$15="OK",$E$15="OPERABLE"),CHOOSE($N$15,$AB$6,$AC$6,$AD$6,$AE$6)+$O$15,0)+$DL$12)/$DL$11</f>
        <v>6.9503846153846166E-2</v>
      </c>
      <c r="BQ10" s="10">
        <f>(IF(AND($K$15="OK",$E$15="OPERABLE"),$R$15,0)+$DL$13)/$DL$11</f>
        <v>6.9503846153846166E-2</v>
      </c>
      <c r="BR10" s="10">
        <f>(IF(AND($K$16="OK",$E$16="FIJA"),CHOOSE($N$16,$AB$6,$AC$6,$AD$6,$AE$6)+$O$16,0)+$DL$12)/$DL$11</f>
        <v>6.9503846153846166E-2</v>
      </c>
      <c r="BS10" s="10">
        <f>(IF(AND($K$16="OK",$E$16="FIJA"),$R$16,0)+$DL$13)/$DL$11</f>
        <v>6.9503846153846166E-2</v>
      </c>
      <c r="BT10" s="10">
        <f>(IF(AND($K$16="OK",$E$16="OPERABLE"),CHOOSE($N$16,$AB$6,$AC$6,$AD$6,$AE$6)+$O$16,0)+$DL$12)/$DL$11</f>
        <v>6.9503846153846166E-2</v>
      </c>
      <c r="BU10" s="10">
        <f>(IF(AND($K$16="OK",$E$16="OPERABLE"),$R$16,0)+$DL$13)/$DL$11</f>
        <v>6.9503846153846166E-2</v>
      </c>
      <c r="BV10" s="10">
        <f>(IF(AND($K$17="OK",$E$17="FIJA"),CHOOSE($N$17,$AB$6,$AC$6,$AD$6,$AE$6)+$O$17,0)+$DL$12)/$DL$11</f>
        <v>6.9503846153846166E-2</v>
      </c>
      <c r="BW10" s="10">
        <f>(IF(AND($K$17="OK",$E$17="FIJA"),$R$17,0)+$DL$13)/$DL$11</f>
        <v>6.9503846153846166E-2</v>
      </c>
      <c r="BX10" s="10">
        <f>(IF(AND($K$17="OK",$E$17="OPERABLE"),CHOOSE($N$17,$AB$6,$AC$6,$AD$6,$AE$6)+$O$17,0)+$DL$12)/$DL$11</f>
        <v>6.9503846153846166E-2</v>
      </c>
      <c r="BY10" s="10">
        <f>(IF(AND($K$17="OK",$E$17="OPERABLE"),$R$17,0)+$DL$13)/$DL$11</f>
        <v>6.9503846153846166E-2</v>
      </c>
      <c r="BZ10" s="10">
        <f>(IF(AND($K$18="OK",$E$18="FIJA"),CHOOSE($N$18,$AB$6,$AC$6,$AD$6,$AE$6)+$O$18,0)+$DL$12)/$DL$11</f>
        <v>6.9503846153846166E-2</v>
      </c>
      <c r="CA10" s="10">
        <f>(IF(AND($K$18="OK",$E$18="FIJA"),$R$18,0)+$DL$13)/$DL$11</f>
        <v>6.9503846153846166E-2</v>
      </c>
      <c r="CB10" s="10">
        <f>(IF(AND($K$18="OK",$E$18="OPERABLE"),CHOOSE($N$18,$AB$6,$AC$6,$AD$6,$AE$6)+$O$18,0)+$DL$12)/$DL$11</f>
        <v>6.9503846153846166E-2</v>
      </c>
      <c r="CC10" s="10">
        <f>(IF(AND($K$18="OK",$E$18="OPERABLE"),$R$18,0)+$DL$13)/$DL$11</f>
        <v>6.9503846153846166E-2</v>
      </c>
      <c r="CD10" s="10">
        <f>(IF(AND($K$19="OK",$E$19="FIJA"),CHOOSE($N$19,$AB$6,$AC$6,$AD$6,$AE$6)+$O$19,0)+$DL$12)/$DL$11</f>
        <v>6.9503846153846166E-2</v>
      </c>
      <c r="CE10" s="10">
        <f>(IF(AND($K$19="OK",$E$19="FIJA"),$R$19,0)+$DL$13)/$DL$11</f>
        <v>6.9503846153846166E-2</v>
      </c>
      <c r="CF10" s="10">
        <f>(IF(AND($K$19="OK",$E$19="OPERABLE"),CHOOSE($N$19,$AB$6,$AC$6,$AD$6,$AE$6)+$O$19,0)+$DL$12)/$DL$11</f>
        <v>6.9503846153846166E-2</v>
      </c>
      <c r="CG10" s="10">
        <f>(IF(AND($K$19="OK",$E$19="OPERABLE"),$R$19,0)+$DL$13)/$DL$11</f>
        <v>6.9503846153846166E-2</v>
      </c>
      <c r="CH10" s="10">
        <f>(IF(AND($K$20="OK",$E$20="FIJA"),CHOOSE($N$20,$AB$6,$AC$6,$AD$6,$AE$6)+$O$20,0)+$DL$12)/$DL$11</f>
        <v>6.9503846153846166E-2</v>
      </c>
      <c r="CI10" s="10">
        <f>(IF(AND($K$20="OK",$E$20="FIJA"),$R$20,0)+$DL$13)/$DL$11</f>
        <v>6.9503846153846166E-2</v>
      </c>
      <c r="CJ10" s="10">
        <f>(IF(AND($K$20="OK",$E$20="OPERABLE"),CHOOSE($N$20,$AB$6,$AC$6,$AD$6,$AE$6)+$O$20,0)+$DL$12)/$DL$11</f>
        <v>6.9503846153846166E-2</v>
      </c>
      <c r="CK10" s="10">
        <f>(IF(AND($K$20="OK",$E$20="OPERABLE"),$R$20,0)+$DL$13)/$DL$11</f>
        <v>6.9503846153846166E-2</v>
      </c>
      <c r="CL10" s="10">
        <f>(IF(AND($K$21="OK",$E$21="FIJA"),CHOOSE($N$21,$AB$6,$AC$6,$AD$6,$AE$6)+$O$21,0)+$DL$12)/$DL$11</f>
        <v>6.9503846153846166E-2</v>
      </c>
      <c r="CM10" s="10">
        <f>(IF(AND($K$21="OK",$E$21="FIJA"),$R$21,0)+$DL$13)/$DL$11</f>
        <v>6.9503846153846166E-2</v>
      </c>
      <c r="CN10" s="10">
        <f>(IF(AND($K$21="OK",$E$21="OPERABLE"),CHOOSE($N$21,$AB$6,$AC$6,$AD$6,$AE$6)+$O$21,0)+$DL$12)/$DL$11</f>
        <v>6.9503846153846166E-2</v>
      </c>
      <c r="CO10" s="10">
        <f>(IF(AND($K$21="OK",$E$21="OPERABLE"),$R$21,0)+$DL$13)/$DL$11</f>
        <v>6.9503846153846166E-2</v>
      </c>
      <c r="CP10" s="10">
        <f>(IF(AND($K$22="OK",$E$22="FIJA"),CHOOSE($N$22,$AB$6,$AC$6,$AD$6,$AE$6)+$O$22,0)+$DL$12)/$DL$11</f>
        <v>6.9503846153846166E-2</v>
      </c>
      <c r="CQ10" s="10">
        <f>(IF(AND($K$22="OK",$E$22="FIJA"),$R$22,0)+$DL$13)/$DL$11</f>
        <v>6.9503846153846166E-2</v>
      </c>
      <c r="CR10" s="10">
        <f>(IF(AND($K$22="OK",$E$22="OPERABLE"),CHOOSE($N$22,$AB$6,$AC$6,$AD$6,$AE$6)+$O$22,0)+$DL$12)/$DL$11</f>
        <v>6.9503846153846166E-2</v>
      </c>
      <c r="CS10" s="10">
        <f>(IF(AND($K$22="OK",$E$22="OPERABLE"),$R$22,0)+$DL$13)/$DL$11</f>
        <v>6.9503846153846166E-2</v>
      </c>
      <c r="CT10" s="10">
        <f>(IF(AND($K$23="OK",$E$23="FIJA"),CHOOSE($N$23,$AB$6,$AC$6,$AD$6,$AE$6)+$O$23,0)+$DL$12)/$DL$11</f>
        <v>6.9503846153846166E-2</v>
      </c>
      <c r="CU10" s="10">
        <f>(IF(AND($K$23="OK",$E$23="FIJA"),$R$23,0)+$DL$13)/$DL$11</f>
        <v>6.9503846153846166E-2</v>
      </c>
      <c r="CV10" s="10">
        <f>(IF(AND($K$23="OK",$E$23="OPERABLE"),CHOOSE($N$23,$AB$6,$AC$6,$AD$6,$AE$6)+$O$23,0)+$DL$12)/$DL$11</f>
        <v>6.9503846153846166E-2</v>
      </c>
      <c r="CW10" s="10">
        <f>(IF(AND($K$23="OK",$E$23="OPERABLE"),$R$23,0)+$DL$13)/$DL$11</f>
        <v>6.9503846153846166E-2</v>
      </c>
      <c r="CX10" s="10">
        <f>(IF(AND($K$24="OK",$E$24="FIJA"),CHOOSE($N$24,$AB$6,$AC$6,$AD$6,$AE$6)+$O$24,0)+$DL$12)/$DL$11</f>
        <v>6.9503846153846166E-2</v>
      </c>
      <c r="CY10" s="10">
        <f>(IF(AND($K$24="OK",$E$24="FIJA"),$R$24,0)+$DL$13)/$DL$11</f>
        <v>6.9503846153846166E-2</v>
      </c>
      <c r="CZ10" s="10">
        <f>(IF(AND($K$24="OK",$E$24="OPERABLE"),CHOOSE($N$24,$AB$6,$AC$6,$AD$6,$AE$6)+$O$24,0)+$DL$12)/$DL$11</f>
        <v>6.9503846153846166E-2</v>
      </c>
      <c r="DA10" s="10">
        <f>(IF(AND($K$24="OK",$E$24="OPERABLE"),$R$24,0)+$DL$13)/$DL$11</f>
        <v>6.9503846153846166E-2</v>
      </c>
      <c r="DB10" s="10">
        <f>(IF(AND($K$25="OK",$E$25="FIJA"),CHOOSE($N$25,$AB$6,$AC$6,$AD$6,$AE$6)+$O$25,0)+$DL$12)/$DL$11</f>
        <v>6.9503846153846166E-2</v>
      </c>
      <c r="DC10" s="10">
        <f>(IF(AND($K$25="OK",$E$25="FIJA"),$R$25,0)+$DL$13)/$DL$11</f>
        <v>6.9503846153846166E-2</v>
      </c>
      <c r="DD10" s="10">
        <f>(IF(AND($K$25="OK",$E$25="OPERABLE"),CHOOSE($N$25,$AB$6,$AC$6,$AD$6,$AE$6)+$O$25,0)+$DL$12)/$DL$11</f>
        <v>6.9503846153846166E-2</v>
      </c>
      <c r="DE10" s="10">
        <f>(IF(AND($K$25="OK",$E$25="OPERABLE"),$R$25,0)+$DL$13)/$DL$11</f>
        <v>6.9503846153846166E-2</v>
      </c>
      <c r="DF10" s="10">
        <f>(IF(AND($K$26="OK",$E$26="FIJA"),CHOOSE($N$26,$AB$6,$AC$6,$AD$6,$AE$6)+$O$26,0)+$DL$12)/$DL$11</f>
        <v>6.9503846153846166E-2</v>
      </c>
      <c r="DG10" s="10">
        <f>(IF(AND($K$26="OK",$E$26="FIJA"),$R$26,0)+$DL$13)/$DL$11</f>
        <v>6.9503846153846166E-2</v>
      </c>
      <c r="DH10" s="10">
        <f>(IF(AND($K$26="OK",$E$26="OPERABLE"),CHOOSE($N$26,$AB$6,$AC$6,$AD$6,$AE$6)+$O$26,0)+$DL$12)/$DL$11</f>
        <v>6.9503846153846166E-2</v>
      </c>
      <c r="DI10" s="10">
        <f>(IF(AND($K$26="OK",$E$26="OPERABLE"),$R$26,0)+$DL$13)/$DL$11</f>
        <v>6.9503846153846166E-2</v>
      </c>
      <c r="DK10" s="9" t="s">
        <v>76</v>
      </c>
      <c r="DL10" s="11">
        <f>3.6142</f>
        <v>3.6141999999999999</v>
      </c>
    </row>
    <row r="11" spans="2:116" ht="15" customHeight="1" x14ac:dyDescent="0.3">
      <c r="B11" s="20">
        <v>5</v>
      </c>
      <c r="C11" s="4"/>
      <c r="D11" s="15"/>
      <c r="E11" s="15"/>
      <c r="F11" s="25"/>
      <c r="G11" s="25"/>
      <c r="H11" s="25"/>
      <c r="I11" s="25"/>
      <c r="J11" s="26">
        <f t="shared" si="0"/>
        <v>0</v>
      </c>
      <c r="K11" s="18" t="str">
        <f t="shared" si="1"/>
        <v/>
      </c>
      <c r="L11" s="27"/>
      <c r="N11" s="28">
        <f t="shared" si="2"/>
        <v>0</v>
      </c>
      <c r="O11" s="10">
        <f t="shared" si="3"/>
        <v>0</v>
      </c>
      <c r="P11" s="10">
        <f t="shared" si="4"/>
        <v>0</v>
      </c>
      <c r="Q11" s="10">
        <f t="shared" si="5"/>
        <v>0</v>
      </c>
      <c r="R11" s="10">
        <f t="shared" si="6"/>
        <v>0</v>
      </c>
      <c r="S11" s="10">
        <f>IF($N11=0,0,IF(INDEX($E$51:$E$54,$N11)="SÍ",IF(DATOS!$C$14="PLANO",DATOS!$C$17,IF(DATOS!$C$14="DOS AGUAS",DATOS!$C$17+(DATOS!$C$18-DATOS!$C$17)*(1-ABS(2*(N($F11))/DATOS!$C$23-1)),IF(DATOS!$C$14="UN AGUA",IF(N(DATOS!$C$25)=0,DATOS!$C$18-(DATOS!$C$18-DATOS!$C$17)*(N($F11))/DATOS!$C$23,DATOS!$C$17+(DATOS!$C$18-DATOS!$C$17)*(N($F11))/DATOS!$C$23),DATOS!$C$17+4*(DATOS!$C$18-DATOS!$C$17)*(N($F11))/DATOS!$C$23*(1-(N($F11))/DATOS!$C$23)))),INDEX($F$51:$F$54,$N11)))</f>
        <v>0</v>
      </c>
      <c r="T11" s="10">
        <f>IF($N11=0,0,IF(INDEX($E$51:$E$54,$N11)="SÍ",IF(DATOS!$C$14="PLANO",DATOS!$C$17,IF(DATOS!$C$14="DOS AGUAS",DATOS!$C$17+(DATOS!$C$18-DATOS!$C$17)*(1-ABS(2*(N($F11)+N($H11))/DATOS!$C$23-1)),IF(DATOS!$C$14="UN AGUA",IF(N(DATOS!$C$25)=0,DATOS!$C$18-(DATOS!$C$18-DATOS!$C$17)*(N($F11)+N($H11))/DATOS!$C$23,DATOS!$C$17+(DATOS!$C$18-DATOS!$C$17)*(N($F11)+N($H11))/DATOS!$C$23),DATOS!$C$17+4*(DATOS!$C$18-DATOS!$C$17)*(N($F11)+N($H11))/DATOS!$C$23*(1-(N($F11)+N($H11))/DATOS!$C$23)))),INDEX($F$51:$F$54,$N11)))</f>
        <v>0</v>
      </c>
      <c r="U11" s="28">
        <f t="shared" si="7"/>
        <v>0</v>
      </c>
      <c r="V11" s="28">
        <f t="shared" si="8"/>
        <v>0</v>
      </c>
      <c r="W11" s="10">
        <f t="shared" si="9"/>
        <v>0</v>
      </c>
      <c r="Y11" s="10">
        <f>($AB$6+DATOS!$AE$7+$DL$12)/$DL$11</f>
        <v>0.53074776901469334</v>
      </c>
      <c r="Z11" s="10">
        <f>(DATOS!$AF$7+$DL$13)/$DL$11</f>
        <v>0.71744173779170273</v>
      </c>
      <c r="AA11" s="10">
        <f>($AC$6+DATOS!$AI$7+$DL$12)/$DL$11</f>
        <v>1.2433574276145205</v>
      </c>
      <c r="AB11" s="10">
        <f>(DATOS!$AJ$7+$DL$13)/$DL$11</f>
        <v>0.66863285706568731</v>
      </c>
      <c r="AC11" s="10">
        <f>($AD$6+DATOS!$AM$7+$DL$12)/$DL$11</f>
        <v>2.2268563742437344</v>
      </c>
      <c r="AD11" s="10">
        <f>(DATOS!$AN$7+$DL$13)/$DL$11</f>
        <v>0.68083507724719117</v>
      </c>
      <c r="AE11" s="10">
        <f>($AE$6+DATOS!$AQ$7+$DL$12)/$DL$11</f>
        <v>3.3006517502160762</v>
      </c>
      <c r="AF11" s="10">
        <f>(DATOS!$AR$7+$DL$13)/$DL$11</f>
        <v>0.68083507724719117</v>
      </c>
      <c r="AH11" s="10">
        <f>(IF(AND($K$7="OK",$E$7="FIJA"),CHOOSE($N$7,$AB$6,$AC$6,$AD$6,$AE$6)+$O$7,0)+$DL$12)/$DL$11</f>
        <v>6.9503846153846166E-2</v>
      </c>
      <c r="AI11" s="10">
        <f>(IF(AND($K$7="OK",$E$7="FIJA"),$Q$7,0)+$DL$13)/$DL$11</f>
        <v>6.9503846153846166E-2</v>
      </c>
      <c r="AJ11" s="10">
        <f>(IF(AND($K$7="OK",$E$7="OPERABLE"),CHOOSE($N$7,$AB$6,$AC$6,$AD$6,$AE$6)+$O$7,0)+$DL$12)/$DL$11</f>
        <v>0.10870347848692741</v>
      </c>
      <c r="AK11" s="10">
        <f>(IF(AND($K$7="OK",$E$7="OPERABLE"),$Q$7,0)+$DL$13)/$DL$11</f>
        <v>6.9503846153846166E-2</v>
      </c>
      <c r="AL11" s="10">
        <f>(IF(AND($K$8="OK",$E$8="FIJA"),CHOOSE($N$8,$AB$6,$AC$6,$AD$6,$AE$6)+$O$8,0)+$DL$12)/$DL$11</f>
        <v>6.9503846153846166E-2</v>
      </c>
      <c r="AM11" s="10">
        <f>(IF(AND($K$8="OK",$E$8="FIJA"),$Q$8,0)+$DL$13)/$DL$11</f>
        <v>6.9503846153846166E-2</v>
      </c>
      <c r="AN11" s="10">
        <f>(IF(AND($K$8="OK",$E$8="OPERABLE"),CHOOSE($N$8,$AB$6,$AC$6,$AD$6,$AE$6)+$O$8,0)+$DL$12)/$DL$11</f>
        <v>0.2212323530007563</v>
      </c>
      <c r="AO11" s="10">
        <f>(IF(AND($K$8="OK",$E$8="OPERABLE"),$Q$8,0)+$DL$13)/$DL$11</f>
        <v>6.9503846153846166E-2</v>
      </c>
      <c r="AP11" s="10">
        <f>(IF(AND($K$9="OK",$E$9="FIJA"),CHOOSE($N$9,$AB$6,$AC$6,$AD$6,$AE$6)+$O$9,0)+$DL$12)/$DL$11</f>
        <v>0.78211350475367347</v>
      </c>
      <c r="AQ11" s="10">
        <f>(IF(AND($K$9="OK",$E$9="FIJA"),$Q$9,0)+$DL$13)/$DL$11</f>
        <v>6.9503846153846166E-2</v>
      </c>
      <c r="AR11" s="10">
        <f>(IF(AND($K$9="OK",$E$9="OPERABLE"),CHOOSE($N$9,$AB$6,$AC$6,$AD$6,$AE$6)+$O$9,0)+$DL$12)/$DL$11</f>
        <v>6.9503846153846166E-2</v>
      </c>
      <c r="AS11" s="10">
        <f>(IF(AND($K$9="OK",$E$9="OPERABLE"),$Q$9,0)+$DL$13)/$DL$11</f>
        <v>6.9503846153846166E-2</v>
      </c>
      <c r="AT11" s="10">
        <f>(IF(AND($K$10="OK",$E$10="FIJA"),CHOOSE($N$10,$AB$6,$AC$6,$AD$6,$AE$6)+$O$10,0)+$DL$12)/$DL$11</f>
        <v>6.9503846153846166E-2</v>
      </c>
      <c r="AU11" s="10">
        <f>(IF(AND($K$10="OK",$E$10="FIJA"),$Q$10,0)+$DL$13)/$DL$11</f>
        <v>6.9503846153846166E-2</v>
      </c>
      <c r="AV11" s="10">
        <f>(IF(AND($K$10="OK",$E$10="OPERABLE"),CHOOSE($N$10,$AB$6,$AC$6,$AD$6,$AE$6)+$O$10,0)+$DL$12)/$DL$11</f>
        <v>6.9503846153846166E-2</v>
      </c>
      <c r="AW11" s="10">
        <f>(IF(AND($K$10="OK",$E$10="OPERABLE"),$Q$10,0)+$DL$13)/$DL$11</f>
        <v>6.9503846153846166E-2</v>
      </c>
      <c r="AX11" s="10">
        <f>(IF(AND($K$11="OK",$E$11="FIJA"),CHOOSE($N$11,$AB$6,$AC$6,$AD$6,$AE$6)+$O$11,0)+$DL$12)/$DL$11</f>
        <v>6.9503846153846166E-2</v>
      </c>
      <c r="AY11" s="10">
        <f>(IF(AND($K$11="OK",$E$11="FIJA"),$Q$11,0)+$DL$13)/$DL$11</f>
        <v>6.9503846153846166E-2</v>
      </c>
      <c r="AZ11" s="10">
        <f>(IF(AND($K$11="OK",$E$11="OPERABLE"),CHOOSE($N$11,$AB$6,$AC$6,$AD$6,$AE$6)+$O$11,0)+$DL$12)/$DL$11</f>
        <v>6.9503846153846166E-2</v>
      </c>
      <c r="BA11" s="10">
        <f>(IF(AND($K$11="OK",$E$11="OPERABLE"),$Q$11,0)+$DL$13)/$DL$11</f>
        <v>6.9503846153846166E-2</v>
      </c>
      <c r="BB11" s="10">
        <f>(IF(AND($K$12="OK",$E$12="FIJA"),CHOOSE($N$12,$AB$6,$AC$6,$AD$6,$AE$6)+$O$12,0)+$DL$12)/$DL$11</f>
        <v>6.9503846153846166E-2</v>
      </c>
      <c r="BC11" s="10">
        <f>(IF(AND($K$12="OK",$E$12="FIJA"),$Q$12,0)+$DL$13)/$DL$11</f>
        <v>6.9503846153846166E-2</v>
      </c>
      <c r="BD11" s="10">
        <f>(IF(AND($K$12="OK",$E$12="OPERABLE"),CHOOSE($N$12,$AB$6,$AC$6,$AD$6,$AE$6)+$O$12,0)+$DL$12)/$DL$11</f>
        <v>6.9503846153846166E-2</v>
      </c>
      <c r="BE11" s="10">
        <f>(IF(AND($K$12="OK",$E$12="OPERABLE"),$Q$12,0)+$DL$13)/$DL$11</f>
        <v>6.9503846153846166E-2</v>
      </c>
      <c r="BF11" s="10">
        <f>(IF(AND($K$13="OK",$E$13="FIJA"),CHOOSE($N$13,$AB$6,$AC$6,$AD$6,$AE$6)+$O$13,0)+$DL$12)/$DL$11</f>
        <v>6.9503846153846166E-2</v>
      </c>
      <c r="BG11" s="10">
        <f>(IF(AND($K$13="OK",$E$13="FIJA"),$Q$13,0)+$DL$13)/$DL$11</f>
        <v>6.9503846153846166E-2</v>
      </c>
      <c r="BH11" s="10">
        <f>(IF(AND($K$13="OK",$E$13="OPERABLE"),CHOOSE($N$13,$AB$6,$AC$6,$AD$6,$AE$6)+$O$13,0)+$DL$12)/$DL$11</f>
        <v>6.9503846153846166E-2</v>
      </c>
      <c r="BI11" s="10">
        <f>(IF(AND($K$13="OK",$E$13="OPERABLE"),$Q$13,0)+$DL$13)/$DL$11</f>
        <v>6.9503846153846166E-2</v>
      </c>
      <c r="BJ11" s="10">
        <f>(IF(AND($K$14="OK",$E$14="FIJA"),CHOOSE($N$14,$AB$6,$AC$6,$AD$6,$AE$6)+$O$14,0)+$DL$12)/$DL$11</f>
        <v>6.9503846153846166E-2</v>
      </c>
      <c r="BK11" s="10">
        <f>(IF(AND($K$14="OK",$E$14="FIJA"),$Q$14,0)+$DL$13)/$DL$11</f>
        <v>6.9503846153846166E-2</v>
      </c>
      <c r="BL11" s="10">
        <f>(IF(AND($K$14="OK",$E$14="OPERABLE"),CHOOSE($N$14,$AB$6,$AC$6,$AD$6,$AE$6)+$O$14,0)+$DL$12)/$DL$11</f>
        <v>6.9503846153846166E-2</v>
      </c>
      <c r="BM11" s="10">
        <f>(IF(AND($K$14="OK",$E$14="OPERABLE"),$Q$14,0)+$DL$13)/$DL$11</f>
        <v>6.9503846153846166E-2</v>
      </c>
      <c r="BN11" s="10">
        <f>(IF(AND($K$15="OK",$E$15="FIJA"),CHOOSE($N$15,$AB$6,$AC$6,$AD$6,$AE$6)+$O$15,0)+$DL$12)/$DL$11</f>
        <v>6.9503846153846166E-2</v>
      </c>
      <c r="BO11" s="10">
        <f>(IF(AND($K$15="OK",$E$15="FIJA"),$Q$15,0)+$DL$13)/$DL$11</f>
        <v>6.9503846153846166E-2</v>
      </c>
      <c r="BP11" s="10">
        <f>(IF(AND($K$15="OK",$E$15="OPERABLE"),CHOOSE($N$15,$AB$6,$AC$6,$AD$6,$AE$6)+$O$15,0)+$DL$12)/$DL$11</f>
        <v>6.9503846153846166E-2</v>
      </c>
      <c r="BQ11" s="10">
        <f>(IF(AND($K$15="OK",$E$15="OPERABLE"),$Q$15,0)+$DL$13)/$DL$11</f>
        <v>6.9503846153846166E-2</v>
      </c>
      <c r="BR11" s="10">
        <f>(IF(AND($K$16="OK",$E$16="FIJA"),CHOOSE($N$16,$AB$6,$AC$6,$AD$6,$AE$6)+$O$16,0)+$DL$12)/$DL$11</f>
        <v>6.9503846153846166E-2</v>
      </c>
      <c r="BS11" s="10">
        <f>(IF(AND($K$16="OK",$E$16="FIJA"),$Q$16,0)+$DL$13)/$DL$11</f>
        <v>6.9503846153846166E-2</v>
      </c>
      <c r="BT11" s="10">
        <f>(IF(AND($K$16="OK",$E$16="OPERABLE"),CHOOSE($N$16,$AB$6,$AC$6,$AD$6,$AE$6)+$O$16,0)+$DL$12)/$DL$11</f>
        <v>6.9503846153846166E-2</v>
      </c>
      <c r="BU11" s="10">
        <f>(IF(AND($K$16="OK",$E$16="OPERABLE"),$Q$16,0)+$DL$13)/$DL$11</f>
        <v>6.9503846153846166E-2</v>
      </c>
      <c r="BV11" s="10">
        <f>(IF(AND($K$17="OK",$E$17="FIJA"),CHOOSE($N$17,$AB$6,$AC$6,$AD$6,$AE$6)+$O$17,0)+$DL$12)/$DL$11</f>
        <v>6.9503846153846166E-2</v>
      </c>
      <c r="BW11" s="10">
        <f>(IF(AND($K$17="OK",$E$17="FIJA"),$Q$17,0)+$DL$13)/$DL$11</f>
        <v>6.9503846153846166E-2</v>
      </c>
      <c r="BX11" s="10">
        <f>(IF(AND($K$17="OK",$E$17="OPERABLE"),CHOOSE($N$17,$AB$6,$AC$6,$AD$6,$AE$6)+$O$17,0)+$DL$12)/$DL$11</f>
        <v>6.9503846153846166E-2</v>
      </c>
      <c r="BY11" s="10">
        <f>(IF(AND($K$17="OK",$E$17="OPERABLE"),$Q$17,0)+$DL$13)/$DL$11</f>
        <v>6.9503846153846166E-2</v>
      </c>
      <c r="BZ11" s="10">
        <f>(IF(AND($K$18="OK",$E$18="FIJA"),CHOOSE($N$18,$AB$6,$AC$6,$AD$6,$AE$6)+$O$18,0)+$DL$12)/$DL$11</f>
        <v>6.9503846153846166E-2</v>
      </c>
      <c r="CA11" s="10">
        <f>(IF(AND($K$18="OK",$E$18="FIJA"),$Q$18,0)+$DL$13)/$DL$11</f>
        <v>6.9503846153846166E-2</v>
      </c>
      <c r="CB11" s="10">
        <f>(IF(AND($K$18="OK",$E$18="OPERABLE"),CHOOSE($N$18,$AB$6,$AC$6,$AD$6,$AE$6)+$O$18,0)+$DL$12)/$DL$11</f>
        <v>6.9503846153846166E-2</v>
      </c>
      <c r="CC11" s="10">
        <f>(IF(AND($K$18="OK",$E$18="OPERABLE"),$Q$18,0)+$DL$13)/$DL$11</f>
        <v>6.9503846153846166E-2</v>
      </c>
      <c r="CD11" s="10">
        <f>(IF(AND($K$19="OK",$E$19="FIJA"),CHOOSE($N$19,$AB$6,$AC$6,$AD$6,$AE$6)+$O$19,0)+$DL$12)/$DL$11</f>
        <v>6.9503846153846166E-2</v>
      </c>
      <c r="CE11" s="10">
        <f>(IF(AND($K$19="OK",$E$19="FIJA"),$Q$19,0)+$DL$13)/$DL$11</f>
        <v>6.9503846153846166E-2</v>
      </c>
      <c r="CF11" s="10">
        <f>(IF(AND($K$19="OK",$E$19="OPERABLE"),CHOOSE($N$19,$AB$6,$AC$6,$AD$6,$AE$6)+$O$19,0)+$DL$12)/$DL$11</f>
        <v>6.9503846153846166E-2</v>
      </c>
      <c r="CG11" s="10">
        <f>(IF(AND($K$19="OK",$E$19="OPERABLE"),$Q$19,0)+$DL$13)/$DL$11</f>
        <v>6.9503846153846166E-2</v>
      </c>
      <c r="CH11" s="10">
        <f>(IF(AND($K$20="OK",$E$20="FIJA"),CHOOSE($N$20,$AB$6,$AC$6,$AD$6,$AE$6)+$O$20,0)+$DL$12)/$DL$11</f>
        <v>6.9503846153846166E-2</v>
      </c>
      <c r="CI11" s="10">
        <f>(IF(AND($K$20="OK",$E$20="FIJA"),$Q$20,0)+$DL$13)/$DL$11</f>
        <v>6.9503846153846166E-2</v>
      </c>
      <c r="CJ11" s="10">
        <f>(IF(AND($K$20="OK",$E$20="OPERABLE"),CHOOSE($N$20,$AB$6,$AC$6,$AD$6,$AE$6)+$O$20,0)+$DL$12)/$DL$11</f>
        <v>6.9503846153846166E-2</v>
      </c>
      <c r="CK11" s="10">
        <f>(IF(AND($K$20="OK",$E$20="OPERABLE"),$Q$20,0)+$DL$13)/$DL$11</f>
        <v>6.9503846153846166E-2</v>
      </c>
      <c r="CL11" s="10">
        <f>(IF(AND($K$21="OK",$E$21="FIJA"),CHOOSE($N$21,$AB$6,$AC$6,$AD$6,$AE$6)+$O$21,0)+$DL$12)/$DL$11</f>
        <v>6.9503846153846166E-2</v>
      </c>
      <c r="CM11" s="10">
        <f>(IF(AND($K$21="OK",$E$21="FIJA"),$Q$21,0)+$DL$13)/$DL$11</f>
        <v>6.9503846153846166E-2</v>
      </c>
      <c r="CN11" s="10">
        <f>(IF(AND($K$21="OK",$E$21="OPERABLE"),CHOOSE($N$21,$AB$6,$AC$6,$AD$6,$AE$6)+$O$21,0)+$DL$12)/$DL$11</f>
        <v>6.9503846153846166E-2</v>
      </c>
      <c r="CO11" s="10">
        <f>(IF(AND($K$21="OK",$E$21="OPERABLE"),$Q$21,0)+$DL$13)/$DL$11</f>
        <v>6.9503846153846166E-2</v>
      </c>
      <c r="CP11" s="10">
        <f>(IF(AND($K$22="OK",$E$22="FIJA"),CHOOSE($N$22,$AB$6,$AC$6,$AD$6,$AE$6)+$O$22,0)+$DL$12)/$DL$11</f>
        <v>6.9503846153846166E-2</v>
      </c>
      <c r="CQ11" s="10">
        <f>(IF(AND($K$22="OK",$E$22="FIJA"),$Q$22,0)+$DL$13)/$DL$11</f>
        <v>6.9503846153846166E-2</v>
      </c>
      <c r="CR11" s="10">
        <f>(IF(AND($K$22="OK",$E$22="OPERABLE"),CHOOSE($N$22,$AB$6,$AC$6,$AD$6,$AE$6)+$O$22,0)+$DL$12)/$DL$11</f>
        <v>6.9503846153846166E-2</v>
      </c>
      <c r="CS11" s="10">
        <f>(IF(AND($K$22="OK",$E$22="OPERABLE"),$Q$22,0)+$DL$13)/$DL$11</f>
        <v>6.9503846153846166E-2</v>
      </c>
      <c r="CT11" s="10">
        <f>(IF(AND($K$23="OK",$E$23="FIJA"),CHOOSE($N$23,$AB$6,$AC$6,$AD$6,$AE$6)+$O$23,0)+$DL$12)/$DL$11</f>
        <v>6.9503846153846166E-2</v>
      </c>
      <c r="CU11" s="10">
        <f>(IF(AND($K$23="OK",$E$23="FIJA"),$Q$23,0)+$DL$13)/$DL$11</f>
        <v>6.9503846153846166E-2</v>
      </c>
      <c r="CV11" s="10">
        <f>(IF(AND($K$23="OK",$E$23="OPERABLE"),CHOOSE($N$23,$AB$6,$AC$6,$AD$6,$AE$6)+$O$23,0)+$DL$12)/$DL$11</f>
        <v>6.9503846153846166E-2</v>
      </c>
      <c r="CW11" s="10">
        <f>(IF(AND($K$23="OK",$E$23="OPERABLE"),$Q$23,0)+$DL$13)/$DL$11</f>
        <v>6.9503846153846166E-2</v>
      </c>
      <c r="CX11" s="10">
        <f>(IF(AND($K$24="OK",$E$24="FIJA"),CHOOSE($N$24,$AB$6,$AC$6,$AD$6,$AE$6)+$O$24,0)+$DL$12)/$DL$11</f>
        <v>6.9503846153846166E-2</v>
      </c>
      <c r="CY11" s="10">
        <f>(IF(AND($K$24="OK",$E$24="FIJA"),$Q$24,0)+$DL$13)/$DL$11</f>
        <v>6.9503846153846166E-2</v>
      </c>
      <c r="CZ11" s="10">
        <f>(IF(AND($K$24="OK",$E$24="OPERABLE"),CHOOSE($N$24,$AB$6,$AC$6,$AD$6,$AE$6)+$O$24,0)+$DL$12)/$DL$11</f>
        <v>6.9503846153846166E-2</v>
      </c>
      <c r="DA11" s="10">
        <f>(IF(AND($K$24="OK",$E$24="OPERABLE"),$Q$24,0)+$DL$13)/$DL$11</f>
        <v>6.9503846153846166E-2</v>
      </c>
      <c r="DB11" s="10">
        <f>(IF(AND($K$25="OK",$E$25="FIJA"),CHOOSE($N$25,$AB$6,$AC$6,$AD$6,$AE$6)+$O$25,0)+$DL$12)/$DL$11</f>
        <v>6.9503846153846166E-2</v>
      </c>
      <c r="DC11" s="10">
        <f>(IF(AND($K$25="OK",$E$25="FIJA"),$Q$25,0)+$DL$13)/$DL$11</f>
        <v>6.9503846153846166E-2</v>
      </c>
      <c r="DD11" s="10">
        <f>(IF(AND($K$25="OK",$E$25="OPERABLE"),CHOOSE($N$25,$AB$6,$AC$6,$AD$6,$AE$6)+$O$25,0)+$DL$12)/$DL$11</f>
        <v>6.9503846153846166E-2</v>
      </c>
      <c r="DE11" s="10">
        <f>(IF(AND($K$25="OK",$E$25="OPERABLE"),$Q$25,0)+$DL$13)/$DL$11</f>
        <v>6.9503846153846166E-2</v>
      </c>
      <c r="DF11" s="10">
        <f>(IF(AND($K$26="OK",$E$26="FIJA"),CHOOSE($N$26,$AB$6,$AC$6,$AD$6,$AE$6)+$O$26,0)+$DL$12)/$DL$11</f>
        <v>6.9503846153846166E-2</v>
      </c>
      <c r="DG11" s="10">
        <f>(IF(AND($K$26="OK",$E$26="FIJA"),$Q$26,0)+$DL$13)/$DL$11</f>
        <v>6.9503846153846166E-2</v>
      </c>
      <c r="DH11" s="10">
        <f>(IF(AND($K$26="OK",$E$26="OPERABLE"),CHOOSE($N$26,$AB$6,$AC$6,$AD$6,$AE$6)+$O$26,0)+$DL$12)/$DL$11</f>
        <v>6.9503846153846166E-2</v>
      </c>
      <c r="DI11" s="10">
        <f>(IF(AND($K$26="OK",$E$26="OPERABLE"),$Q$26,0)+$DL$13)/$DL$11</f>
        <v>6.9503846153846166E-2</v>
      </c>
      <c r="DK11" s="9" t="s">
        <v>81</v>
      </c>
      <c r="DL11" s="11">
        <f>MAX(($DL$7+2*$DL$9)/$DL$10,$DL$8+2*$DL$9)</f>
        <v>16.390459852802831</v>
      </c>
    </row>
    <row r="12" spans="2:116" ht="15" customHeight="1" x14ac:dyDescent="0.3">
      <c r="B12" s="20">
        <v>6</v>
      </c>
      <c r="C12" s="4"/>
      <c r="D12" s="15"/>
      <c r="E12" s="15"/>
      <c r="F12" s="25"/>
      <c r="G12" s="25"/>
      <c r="H12" s="25"/>
      <c r="I12" s="25"/>
      <c r="J12" s="26">
        <f t="shared" si="0"/>
        <v>0</v>
      </c>
      <c r="K12" s="18" t="str">
        <f t="shared" si="1"/>
        <v/>
      </c>
      <c r="L12" s="27"/>
      <c r="N12" s="28">
        <f t="shared" si="2"/>
        <v>0</v>
      </c>
      <c r="O12" s="10">
        <f t="shared" si="3"/>
        <v>0</v>
      </c>
      <c r="P12" s="10">
        <f t="shared" si="4"/>
        <v>0</v>
      </c>
      <c r="Q12" s="10">
        <f t="shared" si="5"/>
        <v>0</v>
      </c>
      <c r="R12" s="10">
        <f t="shared" si="6"/>
        <v>0</v>
      </c>
      <c r="S12" s="10">
        <f>IF($N12=0,0,IF(INDEX($E$51:$E$54,$N12)="SÍ",IF(DATOS!$C$14="PLANO",DATOS!$C$17,IF(DATOS!$C$14="DOS AGUAS",DATOS!$C$17+(DATOS!$C$18-DATOS!$C$17)*(1-ABS(2*(N($F12))/DATOS!$C$23-1)),IF(DATOS!$C$14="UN AGUA",IF(N(DATOS!$C$25)=0,DATOS!$C$18-(DATOS!$C$18-DATOS!$C$17)*(N($F12))/DATOS!$C$23,DATOS!$C$17+(DATOS!$C$18-DATOS!$C$17)*(N($F12))/DATOS!$C$23),DATOS!$C$17+4*(DATOS!$C$18-DATOS!$C$17)*(N($F12))/DATOS!$C$23*(1-(N($F12))/DATOS!$C$23)))),INDEX($F$51:$F$54,$N12)))</f>
        <v>0</v>
      </c>
      <c r="T12" s="10">
        <f>IF($N12=0,0,IF(INDEX($E$51:$E$54,$N12)="SÍ",IF(DATOS!$C$14="PLANO",DATOS!$C$17,IF(DATOS!$C$14="DOS AGUAS",DATOS!$C$17+(DATOS!$C$18-DATOS!$C$17)*(1-ABS(2*(N($F12)+N($H12))/DATOS!$C$23-1)),IF(DATOS!$C$14="UN AGUA",IF(N(DATOS!$C$25)=0,DATOS!$C$18-(DATOS!$C$18-DATOS!$C$17)*(N($F12)+N($H12))/DATOS!$C$23,DATOS!$C$17+(DATOS!$C$18-DATOS!$C$17)*(N($F12)+N($H12))/DATOS!$C$23),DATOS!$C$17+4*(DATOS!$C$18-DATOS!$C$17)*(N($F12)+N($H12))/DATOS!$C$23*(1-(N($F12)+N($H12))/DATOS!$C$23)))),INDEX($F$51:$F$54,$N12)))</f>
        <v>0</v>
      </c>
      <c r="U12" s="28">
        <f t="shared" si="7"/>
        <v>0</v>
      </c>
      <c r="V12" s="28">
        <f t="shared" si="8"/>
        <v>0</v>
      </c>
      <c r="W12" s="10">
        <f t="shared" si="9"/>
        <v>0</v>
      </c>
      <c r="Y12" s="10">
        <f>($AB$6+DATOS!$AE$8+$DL$12)/$DL$11</f>
        <v>0.45387378187121868</v>
      </c>
      <c r="Z12" s="10">
        <f>(DATOS!$AF$8+$DL$13)/$DL$11</f>
        <v>0.71744173779170273</v>
      </c>
      <c r="AA12" s="10">
        <f>($AC$6+DATOS!$AI$8+$DL$12)/$DL$11</f>
        <v>1.166483440471046</v>
      </c>
      <c r="AB12" s="10">
        <f>(DATOS!$AJ$8+$DL$13)/$DL$11</f>
        <v>0.66863285706568731</v>
      </c>
      <c r="AC12" s="10">
        <f>($AD$6+DATOS!$AM$8+$DL$12)/$DL$11</f>
        <v>2.1048341724286952</v>
      </c>
      <c r="AD12" s="10">
        <f>(DATOS!$AN$8+$DL$13)/$DL$11</f>
        <v>0.68693618733794304</v>
      </c>
      <c r="AE12" s="10">
        <f>($AE$6+DATOS!$AQ$8+$DL$12)/$DL$11</f>
        <v>3.1786295484010374</v>
      </c>
      <c r="AF12" s="10">
        <f>(DATOS!$AR$8+$DL$13)/$DL$11</f>
        <v>0.68693618733794304</v>
      </c>
      <c r="DK12" s="9" t="s">
        <v>85</v>
      </c>
      <c r="DL12" s="11">
        <f>($DL$10*$DL$11-($DL$7+2*$DL$9))/2+$DL$9</f>
        <v>1.1392</v>
      </c>
    </row>
    <row r="13" spans="2:116" ht="15" customHeight="1" x14ac:dyDescent="0.3">
      <c r="B13" s="20">
        <v>7</v>
      </c>
      <c r="C13" s="4"/>
      <c r="D13" s="15"/>
      <c r="E13" s="15"/>
      <c r="F13" s="25"/>
      <c r="G13" s="25"/>
      <c r="H13" s="25"/>
      <c r="I13" s="25"/>
      <c r="J13" s="26">
        <f t="shared" si="0"/>
        <v>0</v>
      </c>
      <c r="K13" s="18" t="str">
        <f t="shared" si="1"/>
        <v/>
      </c>
      <c r="L13" s="27"/>
      <c r="N13" s="28">
        <f t="shared" si="2"/>
        <v>0</v>
      </c>
      <c r="O13" s="10">
        <f t="shared" si="3"/>
        <v>0</v>
      </c>
      <c r="P13" s="10">
        <f t="shared" si="4"/>
        <v>0</v>
      </c>
      <c r="Q13" s="10">
        <f t="shared" si="5"/>
        <v>0</v>
      </c>
      <c r="R13" s="10">
        <f t="shared" si="6"/>
        <v>0</v>
      </c>
      <c r="S13" s="10">
        <f>IF($N13=0,0,IF(INDEX($E$51:$E$54,$N13)="SÍ",IF(DATOS!$C$14="PLANO",DATOS!$C$17,IF(DATOS!$C$14="DOS AGUAS",DATOS!$C$17+(DATOS!$C$18-DATOS!$C$17)*(1-ABS(2*(N($F13))/DATOS!$C$23-1)),IF(DATOS!$C$14="UN AGUA",IF(N(DATOS!$C$25)=0,DATOS!$C$18-(DATOS!$C$18-DATOS!$C$17)*(N($F13))/DATOS!$C$23,DATOS!$C$17+(DATOS!$C$18-DATOS!$C$17)*(N($F13))/DATOS!$C$23),DATOS!$C$17+4*(DATOS!$C$18-DATOS!$C$17)*(N($F13))/DATOS!$C$23*(1-(N($F13))/DATOS!$C$23)))),INDEX($F$51:$F$54,$N13)))</f>
        <v>0</v>
      </c>
      <c r="T13" s="10">
        <f>IF($N13=0,0,IF(INDEX($E$51:$E$54,$N13)="SÍ",IF(DATOS!$C$14="PLANO",DATOS!$C$17,IF(DATOS!$C$14="DOS AGUAS",DATOS!$C$17+(DATOS!$C$18-DATOS!$C$17)*(1-ABS(2*(N($F13)+N($H13))/DATOS!$C$23-1)),IF(DATOS!$C$14="UN AGUA",IF(N(DATOS!$C$25)=0,DATOS!$C$18-(DATOS!$C$18-DATOS!$C$17)*(N($F13)+N($H13))/DATOS!$C$23,DATOS!$C$17+(DATOS!$C$18-DATOS!$C$17)*(N($F13)+N($H13))/DATOS!$C$23),DATOS!$C$17+4*(DATOS!$C$18-DATOS!$C$17)*(N($F13)+N($H13))/DATOS!$C$23*(1-(N($F13)+N($H13))/DATOS!$C$23)))),INDEX($F$51:$F$54,$N13)))</f>
        <v>0</v>
      </c>
      <c r="U13" s="28">
        <f t="shared" si="7"/>
        <v>0</v>
      </c>
      <c r="V13" s="28">
        <f t="shared" si="8"/>
        <v>0</v>
      </c>
      <c r="W13" s="10">
        <f t="shared" si="9"/>
        <v>0</v>
      </c>
      <c r="Y13" s="10">
        <f>($AB$6+DATOS!$AE$9+$DL$12)/$DL$11</f>
        <v>0.3769997947277442</v>
      </c>
      <c r="Z13" s="10">
        <f>(DATOS!$AF$9+$DL$13)/$DL$11</f>
        <v>0.71744173779170273</v>
      </c>
      <c r="AA13" s="10">
        <f>($AC$6+DATOS!$AI$9+$DL$12)/$DL$11</f>
        <v>1.0896094533275713</v>
      </c>
      <c r="AB13" s="10">
        <f>(DATOS!$AJ$9+$DL$13)/$DL$11</f>
        <v>0.66863285706568731</v>
      </c>
      <c r="AC13" s="10">
        <f>($AD$6+DATOS!$AM$9+$DL$12)/$DL$11</f>
        <v>1.9828119706136564</v>
      </c>
      <c r="AD13" s="10">
        <f>(DATOS!$AN$9+$DL$13)/$DL$11</f>
        <v>0.69303729742869502</v>
      </c>
      <c r="AE13" s="10">
        <f>($AE$6+DATOS!$AQ$9+$DL$12)/$DL$11</f>
        <v>3.0566073465859986</v>
      </c>
      <c r="AF13" s="10">
        <f>(DATOS!$AR$9+$DL$13)/$DL$11</f>
        <v>0.69303729742869502</v>
      </c>
      <c r="DK13" s="9" t="s">
        <v>86</v>
      </c>
      <c r="DL13" s="11">
        <f>$DL$9</f>
        <v>1.1392</v>
      </c>
    </row>
    <row r="14" spans="2:116" ht="15" customHeight="1" x14ac:dyDescent="0.3">
      <c r="B14" s="20">
        <v>8</v>
      </c>
      <c r="C14" s="4"/>
      <c r="D14" s="15"/>
      <c r="E14" s="15"/>
      <c r="F14" s="25"/>
      <c r="G14" s="25"/>
      <c r="H14" s="25"/>
      <c r="I14" s="25"/>
      <c r="J14" s="26">
        <f t="shared" si="0"/>
        <v>0</v>
      </c>
      <c r="K14" s="18" t="str">
        <f t="shared" si="1"/>
        <v/>
      </c>
      <c r="L14" s="27"/>
      <c r="N14" s="28">
        <f t="shared" si="2"/>
        <v>0</v>
      </c>
      <c r="O14" s="10">
        <f t="shared" si="3"/>
        <v>0</v>
      </c>
      <c r="P14" s="10">
        <f t="shared" si="4"/>
        <v>0</v>
      </c>
      <c r="Q14" s="10">
        <f t="shared" si="5"/>
        <v>0</v>
      </c>
      <c r="R14" s="10">
        <f t="shared" si="6"/>
        <v>0</v>
      </c>
      <c r="S14" s="10">
        <f>IF($N14=0,0,IF(INDEX($E$51:$E$54,$N14)="SÍ",IF(DATOS!$C$14="PLANO",DATOS!$C$17,IF(DATOS!$C$14="DOS AGUAS",DATOS!$C$17+(DATOS!$C$18-DATOS!$C$17)*(1-ABS(2*(N($F14))/DATOS!$C$23-1)),IF(DATOS!$C$14="UN AGUA",IF(N(DATOS!$C$25)=0,DATOS!$C$18-(DATOS!$C$18-DATOS!$C$17)*(N($F14))/DATOS!$C$23,DATOS!$C$17+(DATOS!$C$18-DATOS!$C$17)*(N($F14))/DATOS!$C$23),DATOS!$C$17+4*(DATOS!$C$18-DATOS!$C$17)*(N($F14))/DATOS!$C$23*(1-(N($F14))/DATOS!$C$23)))),INDEX($F$51:$F$54,$N14)))</f>
        <v>0</v>
      </c>
      <c r="T14" s="10">
        <f>IF($N14=0,0,IF(INDEX($E$51:$E$54,$N14)="SÍ",IF(DATOS!$C$14="PLANO",DATOS!$C$17,IF(DATOS!$C$14="DOS AGUAS",DATOS!$C$17+(DATOS!$C$18-DATOS!$C$17)*(1-ABS(2*(N($F14)+N($H14))/DATOS!$C$23-1)),IF(DATOS!$C$14="UN AGUA",IF(N(DATOS!$C$25)=0,DATOS!$C$18-(DATOS!$C$18-DATOS!$C$17)*(N($F14)+N($H14))/DATOS!$C$23,DATOS!$C$17+(DATOS!$C$18-DATOS!$C$17)*(N($F14)+N($H14))/DATOS!$C$23),DATOS!$C$17+4*(DATOS!$C$18-DATOS!$C$17)*(N($F14)+N($H14))/DATOS!$C$23*(1-(N($F14)+N($H14))/DATOS!$C$23)))),INDEX($F$51:$F$54,$N14)))</f>
        <v>0</v>
      </c>
      <c r="U14" s="28">
        <f t="shared" si="7"/>
        <v>0</v>
      </c>
      <c r="V14" s="28">
        <f t="shared" si="8"/>
        <v>0</v>
      </c>
      <c r="W14" s="10">
        <f t="shared" si="9"/>
        <v>0</v>
      </c>
      <c r="Y14" s="10">
        <f>($AB$6+DATOS!$AE$10+$DL$12)/$DL$11</f>
        <v>0.30012580758426971</v>
      </c>
      <c r="Z14" s="10">
        <f>(DATOS!$AF$10+$DL$13)/$DL$11</f>
        <v>0.71744173779170273</v>
      </c>
      <c r="AA14" s="10">
        <f>($AC$6+DATOS!$AI$10+$DL$12)/$DL$11</f>
        <v>1.0127354661840968</v>
      </c>
      <c r="AB14" s="10">
        <f>(DATOS!$AJ$10+$DL$13)/$DL$11</f>
        <v>0.66863285706568731</v>
      </c>
      <c r="AC14" s="10">
        <f>($AD$6+DATOS!$AM$10+$DL$12)/$DL$11</f>
        <v>1.8607897687986172</v>
      </c>
      <c r="AD14" s="10">
        <f>(DATOS!$AN$10+$DL$13)/$DL$11</f>
        <v>0.699138407519447</v>
      </c>
      <c r="AE14" s="10">
        <f>($AE$6+DATOS!$AQ$10+$DL$12)/$DL$11</f>
        <v>2.9345851447709594</v>
      </c>
      <c r="AF14" s="10">
        <f>(DATOS!$AR$10+$DL$13)/$DL$11</f>
        <v>0.699138407519447</v>
      </c>
    </row>
    <row r="15" spans="2:116" ht="15" customHeight="1" x14ac:dyDescent="0.3">
      <c r="B15" s="20">
        <v>9</v>
      </c>
      <c r="C15" s="4"/>
      <c r="D15" s="15"/>
      <c r="E15" s="15"/>
      <c r="F15" s="25"/>
      <c r="G15" s="25"/>
      <c r="H15" s="25"/>
      <c r="I15" s="25"/>
      <c r="J15" s="26">
        <f t="shared" si="0"/>
        <v>0</v>
      </c>
      <c r="K15" s="18" t="str">
        <f t="shared" si="1"/>
        <v/>
      </c>
      <c r="L15" s="27"/>
      <c r="N15" s="28">
        <f t="shared" si="2"/>
        <v>0</v>
      </c>
      <c r="O15" s="10">
        <f t="shared" si="3"/>
        <v>0</v>
      </c>
      <c r="P15" s="10">
        <f t="shared" si="4"/>
        <v>0</v>
      </c>
      <c r="Q15" s="10">
        <f t="shared" si="5"/>
        <v>0</v>
      </c>
      <c r="R15" s="10">
        <f t="shared" si="6"/>
        <v>0</v>
      </c>
      <c r="S15" s="10">
        <f>IF($N15=0,0,IF(INDEX($E$51:$E$54,$N15)="SÍ",IF(DATOS!$C$14="PLANO",DATOS!$C$17,IF(DATOS!$C$14="DOS AGUAS",DATOS!$C$17+(DATOS!$C$18-DATOS!$C$17)*(1-ABS(2*(N($F15))/DATOS!$C$23-1)),IF(DATOS!$C$14="UN AGUA",IF(N(DATOS!$C$25)=0,DATOS!$C$18-(DATOS!$C$18-DATOS!$C$17)*(N($F15))/DATOS!$C$23,DATOS!$C$17+(DATOS!$C$18-DATOS!$C$17)*(N($F15))/DATOS!$C$23),DATOS!$C$17+4*(DATOS!$C$18-DATOS!$C$17)*(N($F15))/DATOS!$C$23*(1-(N($F15))/DATOS!$C$23)))),INDEX($F$51:$F$54,$N15)))</f>
        <v>0</v>
      </c>
      <c r="T15" s="10">
        <f>IF($N15=0,0,IF(INDEX($E$51:$E$54,$N15)="SÍ",IF(DATOS!$C$14="PLANO",DATOS!$C$17,IF(DATOS!$C$14="DOS AGUAS",DATOS!$C$17+(DATOS!$C$18-DATOS!$C$17)*(1-ABS(2*(N($F15)+N($H15))/DATOS!$C$23-1)),IF(DATOS!$C$14="UN AGUA",IF(N(DATOS!$C$25)=0,DATOS!$C$18-(DATOS!$C$18-DATOS!$C$17)*(N($F15)+N($H15))/DATOS!$C$23,DATOS!$C$17+(DATOS!$C$18-DATOS!$C$17)*(N($F15)+N($H15))/DATOS!$C$23),DATOS!$C$17+4*(DATOS!$C$18-DATOS!$C$17)*(N($F15)+N($H15))/DATOS!$C$23*(1-(N($F15)+N($H15))/DATOS!$C$23)))),INDEX($F$51:$F$54,$N15)))</f>
        <v>0</v>
      </c>
      <c r="U15" s="28">
        <f t="shared" si="7"/>
        <v>0</v>
      </c>
      <c r="V15" s="28">
        <f t="shared" si="8"/>
        <v>0</v>
      </c>
      <c r="W15" s="10">
        <f t="shared" si="9"/>
        <v>0</v>
      </c>
      <c r="Y15" s="10">
        <f>($AB$6+DATOS!$AE$11+$DL$12)/$DL$11</f>
        <v>0.2232518204407952</v>
      </c>
      <c r="Z15" s="10">
        <f>(DATOS!$AF$11+$DL$13)/$DL$11</f>
        <v>0.71744173779170273</v>
      </c>
      <c r="AA15" s="10">
        <f>($AC$6+DATOS!$AI$11+$DL$12)/$DL$11</f>
        <v>0.93586147904062245</v>
      </c>
      <c r="AB15" s="10">
        <f>(DATOS!$AJ$11+$DL$13)/$DL$11</f>
        <v>0.66863285706568731</v>
      </c>
      <c r="AC15" s="10">
        <f>($AD$6+DATOS!$AM$11+$DL$12)/$DL$11</f>
        <v>1.7387675669835783</v>
      </c>
      <c r="AD15" s="10">
        <f>(DATOS!$AN$11+$DL$13)/$DL$11</f>
        <v>0.70523951761019887</v>
      </c>
      <c r="AE15" s="10">
        <f>($AE$6+DATOS!$AQ$11+$DL$12)/$DL$11</f>
        <v>2.8125629429559207</v>
      </c>
      <c r="AF15" s="10">
        <f>(DATOS!$AR$11+$DL$13)/$DL$11</f>
        <v>0.70523951761019887</v>
      </c>
    </row>
    <row r="16" spans="2:116" ht="15" customHeight="1" x14ac:dyDescent="0.3">
      <c r="B16" s="20">
        <v>10</v>
      </c>
      <c r="C16" s="4"/>
      <c r="D16" s="15"/>
      <c r="E16" s="15"/>
      <c r="F16" s="25"/>
      <c r="G16" s="25"/>
      <c r="H16" s="25"/>
      <c r="I16" s="25"/>
      <c r="J16" s="26">
        <f t="shared" si="0"/>
        <v>0</v>
      </c>
      <c r="K16" s="18" t="str">
        <f t="shared" si="1"/>
        <v/>
      </c>
      <c r="L16" s="27"/>
      <c r="N16" s="28">
        <f t="shared" si="2"/>
        <v>0</v>
      </c>
      <c r="O16" s="10">
        <f t="shared" si="3"/>
        <v>0</v>
      </c>
      <c r="P16" s="10">
        <f t="shared" si="4"/>
        <v>0</v>
      </c>
      <c r="Q16" s="10">
        <f t="shared" si="5"/>
        <v>0</v>
      </c>
      <c r="R16" s="10">
        <f t="shared" si="6"/>
        <v>0</v>
      </c>
      <c r="S16" s="10">
        <f>IF($N16=0,0,IF(INDEX($E$51:$E$54,$N16)="SÍ",IF(DATOS!$C$14="PLANO",DATOS!$C$17,IF(DATOS!$C$14="DOS AGUAS",DATOS!$C$17+(DATOS!$C$18-DATOS!$C$17)*(1-ABS(2*(N($F16))/DATOS!$C$23-1)),IF(DATOS!$C$14="UN AGUA",IF(N(DATOS!$C$25)=0,DATOS!$C$18-(DATOS!$C$18-DATOS!$C$17)*(N($F16))/DATOS!$C$23,DATOS!$C$17+(DATOS!$C$18-DATOS!$C$17)*(N($F16))/DATOS!$C$23),DATOS!$C$17+4*(DATOS!$C$18-DATOS!$C$17)*(N($F16))/DATOS!$C$23*(1-(N($F16))/DATOS!$C$23)))),INDEX($F$51:$F$54,$N16)))</f>
        <v>0</v>
      </c>
      <c r="T16" s="10">
        <f>IF($N16=0,0,IF(INDEX($E$51:$E$54,$N16)="SÍ",IF(DATOS!$C$14="PLANO",DATOS!$C$17,IF(DATOS!$C$14="DOS AGUAS",DATOS!$C$17+(DATOS!$C$18-DATOS!$C$17)*(1-ABS(2*(N($F16)+N($H16))/DATOS!$C$23-1)),IF(DATOS!$C$14="UN AGUA",IF(N(DATOS!$C$25)=0,DATOS!$C$18-(DATOS!$C$18-DATOS!$C$17)*(N($F16)+N($H16))/DATOS!$C$23,DATOS!$C$17+(DATOS!$C$18-DATOS!$C$17)*(N($F16)+N($H16))/DATOS!$C$23),DATOS!$C$17+4*(DATOS!$C$18-DATOS!$C$17)*(N($F16)+N($H16))/DATOS!$C$23*(1-(N($F16)+N($H16))/DATOS!$C$23)))),INDEX($F$51:$F$54,$N16)))</f>
        <v>0</v>
      </c>
      <c r="U16" s="28">
        <f t="shared" si="7"/>
        <v>0</v>
      </c>
      <c r="V16" s="28">
        <f t="shared" si="8"/>
        <v>0</v>
      </c>
      <c r="W16" s="10">
        <f t="shared" si="9"/>
        <v>0</v>
      </c>
      <c r="Y16" s="10">
        <f>($AB$6+DATOS!$AE$12+$DL$12)/$DL$11</f>
        <v>0.14637783329732068</v>
      </c>
      <c r="Z16" s="10">
        <f>(DATOS!$AF$12+$DL$13)/$DL$11</f>
        <v>0.71744173779170273</v>
      </c>
      <c r="AA16" s="10">
        <f>($AC$6+DATOS!$AI$12+$DL$12)/$DL$11</f>
        <v>0.85898749189714796</v>
      </c>
      <c r="AB16" s="10">
        <f>(DATOS!$AJ$12+$DL$13)/$DL$11</f>
        <v>0.66863285706568731</v>
      </c>
      <c r="AC16" s="10">
        <f>($AD$6+DATOS!$AM$12+$DL$12)/$DL$11</f>
        <v>1.6167453651685395</v>
      </c>
      <c r="AD16" s="10">
        <f>(DATOS!$AN$12+$DL$13)/$DL$11</f>
        <v>0.71134062770095086</v>
      </c>
      <c r="AE16" s="10">
        <f>($AE$6+DATOS!$AQ$12+$DL$12)/$DL$11</f>
        <v>2.6905407411408819</v>
      </c>
      <c r="AF16" s="10">
        <f>(DATOS!$AR$12+$DL$13)/$DL$11</f>
        <v>0.71134062770095086</v>
      </c>
    </row>
    <row r="17" spans="2:32" ht="15" customHeight="1" x14ac:dyDescent="0.3">
      <c r="B17" s="20">
        <v>11</v>
      </c>
      <c r="C17" s="4"/>
      <c r="D17" s="15"/>
      <c r="E17" s="15"/>
      <c r="F17" s="25"/>
      <c r="G17" s="25"/>
      <c r="H17" s="25"/>
      <c r="I17" s="25"/>
      <c r="J17" s="26">
        <f t="shared" si="0"/>
        <v>0</v>
      </c>
      <c r="K17" s="18" t="str">
        <f t="shared" si="1"/>
        <v/>
      </c>
      <c r="L17" s="27"/>
      <c r="N17" s="28">
        <f t="shared" si="2"/>
        <v>0</v>
      </c>
      <c r="O17" s="10">
        <f t="shared" si="3"/>
        <v>0</v>
      </c>
      <c r="P17" s="10">
        <f t="shared" si="4"/>
        <v>0</v>
      </c>
      <c r="Q17" s="10">
        <f t="shared" si="5"/>
        <v>0</v>
      </c>
      <c r="R17" s="10">
        <f t="shared" si="6"/>
        <v>0</v>
      </c>
      <c r="S17" s="10">
        <f>IF($N17=0,0,IF(INDEX($E$51:$E$54,$N17)="SÍ",IF(DATOS!$C$14="PLANO",DATOS!$C$17,IF(DATOS!$C$14="DOS AGUAS",DATOS!$C$17+(DATOS!$C$18-DATOS!$C$17)*(1-ABS(2*(N($F17))/DATOS!$C$23-1)),IF(DATOS!$C$14="UN AGUA",IF(N(DATOS!$C$25)=0,DATOS!$C$18-(DATOS!$C$18-DATOS!$C$17)*(N($F17))/DATOS!$C$23,DATOS!$C$17+(DATOS!$C$18-DATOS!$C$17)*(N($F17))/DATOS!$C$23),DATOS!$C$17+4*(DATOS!$C$18-DATOS!$C$17)*(N($F17))/DATOS!$C$23*(1-(N($F17))/DATOS!$C$23)))),INDEX($F$51:$F$54,$N17)))</f>
        <v>0</v>
      </c>
      <c r="T17" s="10">
        <f>IF($N17=0,0,IF(INDEX($E$51:$E$54,$N17)="SÍ",IF(DATOS!$C$14="PLANO",DATOS!$C$17,IF(DATOS!$C$14="DOS AGUAS",DATOS!$C$17+(DATOS!$C$18-DATOS!$C$17)*(1-ABS(2*(N($F17)+N($H17))/DATOS!$C$23-1)),IF(DATOS!$C$14="UN AGUA",IF(N(DATOS!$C$25)=0,DATOS!$C$18-(DATOS!$C$18-DATOS!$C$17)*(N($F17)+N($H17))/DATOS!$C$23,DATOS!$C$17+(DATOS!$C$18-DATOS!$C$17)*(N($F17)+N($H17))/DATOS!$C$23),DATOS!$C$17+4*(DATOS!$C$18-DATOS!$C$17)*(N($F17)+N($H17))/DATOS!$C$23*(1-(N($F17)+N($H17))/DATOS!$C$23)))),INDEX($F$51:$F$54,$N17)))</f>
        <v>0</v>
      </c>
      <c r="U17" s="28">
        <f t="shared" si="7"/>
        <v>0</v>
      </c>
      <c r="V17" s="28">
        <f t="shared" si="8"/>
        <v>0</v>
      </c>
      <c r="W17" s="10">
        <f t="shared" si="9"/>
        <v>0</v>
      </c>
      <c r="Y17" s="10">
        <f>($AB$6+DATOS!$AE$13+$DL$12)/$DL$11</f>
        <v>6.9503846153846166E-2</v>
      </c>
      <c r="Z17" s="10">
        <f>(DATOS!$AF$13+$DL$13)/$DL$11</f>
        <v>0.71744173779170273</v>
      </c>
      <c r="AA17" s="10">
        <f>($AC$6+DATOS!$AI$13+$DL$12)/$DL$11</f>
        <v>0.78211350475367347</v>
      </c>
      <c r="AB17" s="10">
        <f>(DATOS!$AJ$13+$DL$13)/$DL$11</f>
        <v>0.66863285706568731</v>
      </c>
      <c r="AC17" s="10">
        <f>($AD$6+DATOS!$AM$13+$DL$12)/$DL$11</f>
        <v>1.4947231633535005</v>
      </c>
      <c r="AD17" s="10">
        <f>(DATOS!$AN$13+$DL$13)/$DL$11</f>
        <v>0.71744173779170273</v>
      </c>
      <c r="AE17" s="10">
        <f>($AE$6+DATOS!$AQ$13+$DL$12)/$DL$11</f>
        <v>2.5685185393258427</v>
      </c>
      <c r="AF17" s="10">
        <f>(DATOS!$AR$13+$DL$13)/$DL$11</f>
        <v>0.71744173779170273</v>
      </c>
    </row>
    <row r="18" spans="2:32" ht="15" customHeight="1" x14ac:dyDescent="0.3">
      <c r="B18" s="20">
        <v>12</v>
      </c>
      <c r="C18" s="4"/>
      <c r="D18" s="15"/>
      <c r="E18" s="15"/>
      <c r="F18" s="25"/>
      <c r="G18" s="25"/>
      <c r="H18" s="25"/>
      <c r="I18" s="25"/>
      <c r="J18" s="26">
        <f t="shared" si="0"/>
        <v>0</v>
      </c>
      <c r="K18" s="18" t="str">
        <f t="shared" si="1"/>
        <v/>
      </c>
      <c r="L18" s="27"/>
      <c r="N18" s="28">
        <f t="shared" si="2"/>
        <v>0</v>
      </c>
      <c r="O18" s="10">
        <f t="shared" si="3"/>
        <v>0</v>
      </c>
      <c r="P18" s="10">
        <f t="shared" si="4"/>
        <v>0</v>
      </c>
      <c r="Q18" s="10">
        <f t="shared" si="5"/>
        <v>0</v>
      </c>
      <c r="R18" s="10">
        <f t="shared" si="6"/>
        <v>0</v>
      </c>
      <c r="S18" s="10">
        <f>IF($N18=0,0,IF(INDEX($E$51:$E$54,$N18)="SÍ",IF(DATOS!$C$14="PLANO",DATOS!$C$17,IF(DATOS!$C$14="DOS AGUAS",DATOS!$C$17+(DATOS!$C$18-DATOS!$C$17)*(1-ABS(2*(N($F18))/DATOS!$C$23-1)),IF(DATOS!$C$14="UN AGUA",IF(N(DATOS!$C$25)=0,DATOS!$C$18-(DATOS!$C$18-DATOS!$C$17)*(N($F18))/DATOS!$C$23,DATOS!$C$17+(DATOS!$C$18-DATOS!$C$17)*(N($F18))/DATOS!$C$23),DATOS!$C$17+4*(DATOS!$C$18-DATOS!$C$17)*(N($F18))/DATOS!$C$23*(1-(N($F18))/DATOS!$C$23)))),INDEX($F$51:$F$54,$N18)))</f>
        <v>0</v>
      </c>
      <c r="T18" s="10">
        <f>IF($N18=0,0,IF(INDEX($E$51:$E$54,$N18)="SÍ",IF(DATOS!$C$14="PLANO",DATOS!$C$17,IF(DATOS!$C$14="DOS AGUAS",DATOS!$C$17+(DATOS!$C$18-DATOS!$C$17)*(1-ABS(2*(N($F18)+N($H18))/DATOS!$C$23-1)),IF(DATOS!$C$14="UN AGUA",IF(N(DATOS!$C$25)=0,DATOS!$C$18-(DATOS!$C$18-DATOS!$C$17)*(N($F18)+N($H18))/DATOS!$C$23,DATOS!$C$17+(DATOS!$C$18-DATOS!$C$17)*(N($F18)+N($H18))/DATOS!$C$23),DATOS!$C$17+4*(DATOS!$C$18-DATOS!$C$17)*(N($F18)+N($H18))/DATOS!$C$23*(1-(N($F18)+N($H18))/DATOS!$C$23)))),INDEX($F$51:$F$54,$N18)))</f>
        <v>0</v>
      </c>
      <c r="U18" s="28">
        <f t="shared" si="7"/>
        <v>0</v>
      </c>
      <c r="V18" s="28">
        <f t="shared" si="8"/>
        <v>0</v>
      </c>
      <c r="W18" s="10">
        <f t="shared" si="9"/>
        <v>0</v>
      </c>
      <c r="Y18" s="10">
        <f>($AB$6+DATOS!$AE$14+$DL$12)/$DL$11</f>
        <v>6.9503846153846166E-2</v>
      </c>
      <c r="Z18" s="10">
        <f>(DATOS!$AF$14+$DL$13)/$DL$11</f>
        <v>6.9503846153846166E-2</v>
      </c>
      <c r="AA18" s="10">
        <f>($AC$6+DATOS!$AI$14+$DL$12)/$DL$11</f>
        <v>0.78211350475367347</v>
      </c>
      <c r="AB18" s="10">
        <f>(DATOS!$AJ$14+$DL$13)/$DL$11</f>
        <v>6.9503846153846166E-2</v>
      </c>
      <c r="AC18" s="10">
        <f>($AD$6+DATOS!$AM$14+$DL$12)/$DL$11</f>
        <v>1.4947231633535005</v>
      </c>
      <c r="AD18" s="10">
        <f>(DATOS!$AN$14+$DL$13)/$DL$11</f>
        <v>6.9503846153846166E-2</v>
      </c>
      <c r="AE18" s="10">
        <f>($AE$6+DATOS!$AQ$14+$DL$12)/$DL$11</f>
        <v>2.5685185393258427</v>
      </c>
      <c r="AF18" s="10">
        <f>(DATOS!$AR$14+$DL$13)/$DL$11</f>
        <v>6.9503846153846166E-2</v>
      </c>
    </row>
    <row r="19" spans="2:32" ht="15" customHeight="1" x14ac:dyDescent="0.3">
      <c r="B19" s="20">
        <v>13</v>
      </c>
      <c r="C19" s="4"/>
      <c r="D19" s="15"/>
      <c r="E19" s="15"/>
      <c r="F19" s="25"/>
      <c r="G19" s="25"/>
      <c r="H19" s="25"/>
      <c r="I19" s="25"/>
      <c r="J19" s="26">
        <f t="shared" si="0"/>
        <v>0</v>
      </c>
      <c r="K19" s="18" t="str">
        <f t="shared" si="1"/>
        <v/>
      </c>
      <c r="L19" s="27"/>
      <c r="N19" s="28">
        <f t="shared" si="2"/>
        <v>0</v>
      </c>
      <c r="O19" s="10">
        <f t="shared" si="3"/>
        <v>0</v>
      </c>
      <c r="P19" s="10">
        <f t="shared" si="4"/>
        <v>0</v>
      </c>
      <c r="Q19" s="10">
        <f t="shared" si="5"/>
        <v>0</v>
      </c>
      <c r="R19" s="10">
        <f t="shared" si="6"/>
        <v>0</v>
      </c>
      <c r="S19" s="10">
        <f>IF($N19=0,0,IF(INDEX($E$51:$E$54,$N19)="SÍ",IF(DATOS!$C$14="PLANO",DATOS!$C$17,IF(DATOS!$C$14="DOS AGUAS",DATOS!$C$17+(DATOS!$C$18-DATOS!$C$17)*(1-ABS(2*(N($F19))/DATOS!$C$23-1)),IF(DATOS!$C$14="UN AGUA",IF(N(DATOS!$C$25)=0,DATOS!$C$18-(DATOS!$C$18-DATOS!$C$17)*(N($F19))/DATOS!$C$23,DATOS!$C$17+(DATOS!$C$18-DATOS!$C$17)*(N($F19))/DATOS!$C$23),DATOS!$C$17+4*(DATOS!$C$18-DATOS!$C$17)*(N($F19))/DATOS!$C$23*(1-(N($F19))/DATOS!$C$23)))),INDEX($F$51:$F$54,$N19)))</f>
        <v>0</v>
      </c>
      <c r="T19" s="10">
        <f>IF($N19=0,0,IF(INDEX($E$51:$E$54,$N19)="SÍ",IF(DATOS!$C$14="PLANO",DATOS!$C$17,IF(DATOS!$C$14="DOS AGUAS",DATOS!$C$17+(DATOS!$C$18-DATOS!$C$17)*(1-ABS(2*(N($F19)+N($H19))/DATOS!$C$23-1)),IF(DATOS!$C$14="UN AGUA",IF(N(DATOS!$C$25)=0,DATOS!$C$18-(DATOS!$C$18-DATOS!$C$17)*(N($F19)+N($H19))/DATOS!$C$23,DATOS!$C$17+(DATOS!$C$18-DATOS!$C$17)*(N($F19)+N($H19))/DATOS!$C$23),DATOS!$C$17+4*(DATOS!$C$18-DATOS!$C$17)*(N($F19)+N($H19))/DATOS!$C$23*(1-(N($F19)+N($H19))/DATOS!$C$23)))),INDEX($F$51:$F$54,$N19)))</f>
        <v>0</v>
      </c>
      <c r="U19" s="28">
        <f t="shared" si="7"/>
        <v>0</v>
      </c>
      <c r="V19" s="28">
        <f t="shared" si="8"/>
        <v>0</v>
      </c>
      <c r="W19" s="10">
        <f t="shared" si="9"/>
        <v>0</v>
      </c>
    </row>
    <row r="20" spans="2:32" ht="15" customHeight="1" x14ac:dyDescent="0.3">
      <c r="B20" s="20">
        <v>14</v>
      </c>
      <c r="C20" s="4"/>
      <c r="D20" s="15"/>
      <c r="E20" s="15"/>
      <c r="F20" s="25"/>
      <c r="G20" s="25"/>
      <c r="H20" s="25"/>
      <c r="I20" s="25"/>
      <c r="J20" s="26">
        <f t="shared" si="0"/>
        <v>0</v>
      </c>
      <c r="K20" s="18" t="str">
        <f t="shared" si="1"/>
        <v/>
      </c>
      <c r="L20" s="27"/>
      <c r="N20" s="28">
        <f t="shared" si="2"/>
        <v>0</v>
      </c>
      <c r="O20" s="10">
        <f t="shared" si="3"/>
        <v>0</v>
      </c>
      <c r="P20" s="10">
        <f t="shared" si="4"/>
        <v>0</v>
      </c>
      <c r="Q20" s="10">
        <f t="shared" si="5"/>
        <v>0</v>
      </c>
      <c r="R20" s="10">
        <f t="shared" si="6"/>
        <v>0</v>
      </c>
      <c r="S20" s="10">
        <f>IF($N20=0,0,IF(INDEX($E$51:$E$54,$N20)="SÍ",IF(DATOS!$C$14="PLANO",DATOS!$C$17,IF(DATOS!$C$14="DOS AGUAS",DATOS!$C$17+(DATOS!$C$18-DATOS!$C$17)*(1-ABS(2*(N($F20))/DATOS!$C$23-1)),IF(DATOS!$C$14="UN AGUA",IF(N(DATOS!$C$25)=0,DATOS!$C$18-(DATOS!$C$18-DATOS!$C$17)*(N($F20))/DATOS!$C$23,DATOS!$C$17+(DATOS!$C$18-DATOS!$C$17)*(N($F20))/DATOS!$C$23),DATOS!$C$17+4*(DATOS!$C$18-DATOS!$C$17)*(N($F20))/DATOS!$C$23*(1-(N($F20))/DATOS!$C$23)))),INDEX($F$51:$F$54,$N20)))</f>
        <v>0</v>
      </c>
      <c r="T20" s="10">
        <f>IF($N20=0,0,IF(INDEX($E$51:$E$54,$N20)="SÍ",IF(DATOS!$C$14="PLANO",DATOS!$C$17,IF(DATOS!$C$14="DOS AGUAS",DATOS!$C$17+(DATOS!$C$18-DATOS!$C$17)*(1-ABS(2*(N($F20)+N($H20))/DATOS!$C$23-1)),IF(DATOS!$C$14="UN AGUA",IF(N(DATOS!$C$25)=0,DATOS!$C$18-(DATOS!$C$18-DATOS!$C$17)*(N($F20)+N($H20))/DATOS!$C$23,DATOS!$C$17+(DATOS!$C$18-DATOS!$C$17)*(N($F20)+N($H20))/DATOS!$C$23),DATOS!$C$17+4*(DATOS!$C$18-DATOS!$C$17)*(N($F20)+N($H20))/DATOS!$C$23*(1-(N($F20)+N($H20))/DATOS!$C$23)))),INDEX($F$51:$F$54,$N20)))</f>
        <v>0</v>
      </c>
      <c r="U20" s="28">
        <f t="shared" si="7"/>
        <v>0</v>
      </c>
      <c r="V20" s="28">
        <f t="shared" si="8"/>
        <v>0</v>
      </c>
      <c r="W20" s="10">
        <f t="shared" si="9"/>
        <v>0</v>
      </c>
    </row>
    <row r="21" spans="2:32" ht="15" customHeight="1" x14ac:dyDescent="0.3">
      <c r="B21" s="20">
        <v>15</v>
      </c>
      <c r="C21" s="4"/>
      <c r="D21" s="15"/>
      <c r="E21" s="15"/>
      <c r="F21" s="25"/>
      <c r="G21" s="25"/>
      <c r="H21" s="25"/>
      <c r="I21" s="25"/>
      <c r="J21" s="26">
        <f t="shared" si="0"/>
        <v>0</v>
      </c>
      <c r="K21" s="18" t="str">
        <f t="shared" si="1"/>
        <v/>
      </c>
      <c r="L21" s="27"/>
      <c r="N21" s="28">
        <f t="shared" si="2"/>
        <v>0</v>
      </c>
      <c r="O21" s="10">
        <f t="shared" si="3"/>
        <v>0</v>
      </c>
      <c r="P21" s="10">
        <f t="shared" si="4"/>
        <v>0</v>
      </c>
      <c r="Q21" s="10">
        <f t="shared" si="5"/>
        <v>0</v>
      </c>
      <c r="R21" s="10">
        <f t="shared" si="6"/>
        <v>0</v>
      </c>
      <c r="S21" s="10">
        <f>IF($N21=0,0,IF(INDEX($E$51:$E$54,$N21)="SÍ",IF(DATOS!$C$14="PLANO",DATOS!$C$17,IF(DATOS!$C$14="DOS AGUAS",DATOS!$C$17+(DATOS!$C$18-DATOS!$C$17)*(1-ABS(2*(N($F21))/DATOS!$C$23-1)),IF(DATOS!$C$14="UN AGUA",IF(N(DATOS!$C$25)=0,DATOS!$C$18-(DATOS!$C$18-DATOS!$C$17)*(N($F21))/DATOS!$C$23,DATOS!$C$17+(DATOS!$C$18-DATOS!$C$17)*(N($F21))/DATOS!$C$23),DATOS!$C$17+4*(DATOS!$C$18-DATOS!$C$17)*(N($F21))/DATOS!$C$23*(1-(N($F21))/DATOS!$C$23)))),INDEX($F$51:$F$54,$N21)))</f>
        <v>0</v>
      </c>
      <c r="T21" s="10">
        <f>IF($N21=0,0,IF(INDEX($E$51:$E$54,$N21)="SÍ",IF(DATOS!$C$14="PLANO",DATOS!$C$17,IF(DATOS!$C$14="DOS AGUAS",DATOS!$C$17+(DATOS!$C$18-DATOS!$C$17)*(1-ABS(2*(N($F21)+N($H21))/DATOS!$C$23-1)),IF(DATOS!$C$14="UN AGUA",IF(N(DATOS!$C$25)=0,DATOS!$C$18-(DATOS!$C$18-DATOS!$C$17)*(N($F21)+N($H21))/DATOS!$C$23,DATOS!$C$17+(DATOS!$C$18-DATOS!$C$17)*(N($F21)+N($H21))/DATOS!$C$23),DATOS!$C$17+4*(DATOS!$C$18-DATOS!$C$17)*(N($F21)+N($H21))/DATOS!$C$23*(1-(N($F21)+N($H21))/DATOS!$C$23)))),INDEX($F$51:$F$54,$N21)))</f>
        <v>0</v>
      </c>
      <c r="U21" s="28">
        <f t="shared" si="7"/>
        <v>0</v>
      </c>
      <c r="V21" s="28">
        <f t="shared" si="8"/>
        <v>0</v>
      </c>
      <c r="W21" s="10">
        <f t="shared" si="9"/>
        <v>0</v>
      </c>
    </row>
    <row r="22" spans="2:32" ht="15" customHeight="1" x14ac:dyDescent="0.3">
      <c r="B22" s="20">
        <v>16</v>
      </c>
      <c r="C22" s="4"/>
      <c r="D22" s="15"/>
      <c r="E22" s="15"/>
      <c r="F22" s="25"/>
      <c r="G22" s="25"/>
      <c r="H22" s="25"/>
      <c r="I22" s="25"/>
      <c r="J22" s="26">
        <f t="shared" si="0"/>
        <v>0</v>
      </c>
      <c r="K22" s="18" t="str">
        <f t="shared" si="1"/>
        <v/>
      </c>
      <c r="L22" s="27"/>
      <c r="N22" s="28">
        <f t="shared" si="2"/>
        <v>0</v>
      </c>
      <c r="O22" s="10">
        <f t="shared" si="3"/>
        <v>0</v>
      </c>
      <c r="P22" s="10">
        <f t="shared" si="4"/>
        <v>0</v>
      </c>
      <c r="Q22" s="10">
        <f t="shared" si="5"/>
        <v>0</v>
      </c>
      <c r="R22" s="10">
        <f t="shared" si="6"/>
        <v>0</v>
      </c>
      <c r="S22" s="10">
        <f>IF($N22=0,0,IF(INDEX($E$51:$E$54,$N22)="SÍ",IF(DATOS!$C$14="PLANO",DATOS!$C$17,IF(DATOS!$C$14="DOS AGUAS",DATOS!$C$17+(DATOS!$C$18-DATOS!$C$17)*(1-ABS(2*(N($F22))/DATOS!$C$23-1)),IF(DATOS!$C$14="UN AGUA",IF(N(DATOS!$C$25)=0,DATOS!$C$18-(DATOS!$C$18-DATOS!$C$17)*(N($F22))/DATOS!$C$23,DATOS!$C$17+(DATOS!$C$18-DATOS!$C$17)*(N($F22))/DATOS!$C$23),DATOS!$C$17+4*(DATOS!$C$18-DATOS!$C$17)*(N($F22))/DATOS!$C$23*(1-(N($F22))/DATOS!$C$23)))),INDEX($F$51:$F$54,$N22)))</f>
        <v>0</v>
      </c>
      <c r="T22" s="10">
        <f>IF($N22=0,0,IF(INDEX($E$51:$E$54,$N22)="SÍ",IF(DATOS!$C$14="PLANO",DATOS!$C$17,IF(DATOS!$C$14="DOS AGUAS",DATOS!$C$17+(DATOS!$C$18-DATOS!$C$17)*(1-ABS(2*(N($F22)+N($H22))/DATOS!$C$23-1)),IF(DATOS!$C$14="UN AGUA",IF(N(DATOS!$C$25)=0,DATOS!$C$18-(DATOS!$C$18-DATOS!$C$17)*(N($F22)+N($H22))/DATOS!$C$23,DATOS!$C$17+(DATOS!$C$18-DATOS!$C$17)*(N($F22)+N($H22))/DATOS!$C$23),DATOS!$C$17+4*(DATOS!$C$18-DATOS!$C$17)*(N($F22)+N($H22))/DATOS!$C$23*(1-(N($F22)+N($H22))/DATOS!$C$23)))),INDEX($F$51:$F$54,$N22)))</f>
        <v>0</v>
      </c>
      <c r="U22" s="28">
        <f t="shared" si="7"/>
        <v>0</v>
      </c>
      <c r="V22" s="28">
        <f t="shared" si="8"/>
        <v>0</v>
      </c>
      <c r="W22" s="10">
        <f t="shared" si="9"/>
        <v>0</v>
      </c>
    </row>
    <row r="23" spans="2:32" ht="15" customHeight="1" x14ac:dyDescent="0.3">
      <c r="B23" s="20">
        <v>17</v>
      </c>
      <c r="C23" s="4"/>
      <c r="D23" s="15"/>
      <c r="E23" s="15"/>
      <c r="F23" s="25"/>
      <c r="G23" s="25"/>
      <c r="H23" s="25"/>
      <c r="I23" s="25"/>
      <c r="J23" s="26">
        <f t="shared" si="0"/>
        <v>0</v>
      </c>
      <c r="K23" s="18" t="str">
        <f t="shared" si="1"/>
        <v/>
      </c>
      <c r="L23" s="27"/>
      <c r="N23" s="28">
        <f t="shared" si="2"/>
        <v>0</v>
      </c>
      <c r="O23" s="10">
        <f t="shared" si="3"/>
        <v>0</v>
      </c>
      <c r="P23" s="10">
        <f t="shared" si="4"/>
        <v>0</v>
      </c>
      <c r="Q23" s="10">
        <f t="shared" si="5"/>
        <v>0</v>
      </c>
      <c r="R23" s="10">
        <f t="shared" si="6"/>
        <v>0</v>
      </c>
      <c r="S23" s="10">
        <f>IF($N23=0,0,IF(INDEX($E$51:$E$54,$N23)="SÍ",IF(DATOS!$C$14="PLANO",DATOS!$C$17,IF(DATOS!$C$14="DOS AGUAS",DATOS!$C$17+(DATOS!$C$18-DATOS!$C$17)*(1-ABS(2*(N($F23))/DATOS!$C$23-1)),IF(DATOS!$C$14="UN AGUA",IF(N(DATOS!$C$25)=0,DATOS!$C$18-(DATOS!$C$18-DATOS!$C$17)*(N($F23))/DATOS!$C$23,DATOS!$C$17+(DATOS!$C$18-DATOS!$C$17)*(N($F23))/DATOS!$C$23),DATOS!$C$17+4*(DATOS!$C$18-DATOS!$C$17)*(N($F23))/DATOS!$C$23*(1-(N($F23))/DATOS!$C$23)))),INDEX($F$51:$F$54,$N23)))</f>
        <v>0</v>
      </c>
      <c r="T23" s="10">
        <f>IF($N23=0,0,IF(INDEX($E$51:$E$54,$N23)="SÍ",IF(DATOS!$C$14="PLANO",DATOS!$C$17,IF(DATOS!$C$14="DOS AGUAS",DATOS!$C$17+(DATOS!$C$18-DATOS!$C$17)*(1-ABS(2*(N($F23)+N($H23))/DATOS!$C$23-1)),IF(DATOS!$C$14="UN AGUA",IF(N(DATOS!$C$25)=0,DATOS!$C$18-(DATOS!$C$18-DATOS!$C$17)*(N($F23)+N($H23))/DATOS!$C$23,DATOS!$C$17+(DATOS!$C$18-DATOS!$C$17)*(N($F23)+N($H23))/DATOS!$C$23),DATOS!$C$17+4*(DATOS!$C$18-DATOS!$C$17)*(N($F23)+N($H23))/DATOS!$C$23*(1-(N($F23)+N($H23))/DATOS!$C$23)))),INDEX($F$51:$F$54,$N23)))</f>
        <v>0</v>
      </c>
      <c r="U23" s="28">
        <f t="shared" si="7"/>
        <v>0</v>
      </c>
      <c r="V23" s="28">
        <f t="shared" si="8"/>
        <v>0</v>
      </c>
      <c r="W23" s="10">
        <f t="shared" si="9"/>
        <v>0</v>
      </c>
    </row>
    <row r="24" spans="2:32" ht="15" customHeight="1" x14ac:dyDescent="0.3">
      <c r="B24" s="20">
        <v>18</v>
      </c>
      <c r="C24" s="4"/>
      <c r="D24" s="15"/>
      <c r="E24" s="15"/>
      <c r="F24" s="25"/>
      <c r="G24" s="25"/>
      <c r="H24" s="25"/>
      <c r="I24" s="25"/>
      <c r="J24" s="26">
        <f t="shared" si="0"/>
        <v>0</v>
      </c>
      <c r="K24" s="18" t="str">
        <f t="shared" si="1"/>
        <v/>
      </c>
      <c r="L24" s="27"/>
      <c r="N24" s="28">
        <f t="shared" si="2"/>
        <v>0</v>
      </c>
      <c r="O24" s="10">
        <f t="shared" si="3"/>
        <v>0</v>
      </c>
      <c r="P24" s="10">
        <f t="shared" si="4"/>
        <v>0</v>
      </c>
      <c r="Q24" s="10">
        <f t="shared" si="5"/>
        <v>0</v>
      </c>
      <c r="R24" s="10">
        <f t="shared" si="6"/>
        <v>0</v>
      </c>
      <c r="S24" s="10">
        <f>IF($N24=0,0,IF(INDEX($E$51:$E$54,$N24)="SÍ",IF(DATOS!$C$14="PLANO",DATOS!$C$17,IF(DATOS!$C$14="DOS AGUAS",DATOS!$C$17+(DATOS!$C$18-DATOS!$C$17)*(1-ABS(2*(N($F24))/DATOS!$C$23-1)),IF(DATOS!$C$14="UN AGUA",IF(N(DATOS!$C$25)=0,DATOS!$C$18-(DATOS!$C$18-DATOS!$C$17)*(N($F24))/DATOS!$C$23,DATOS!$C$17+(DATOS!$C$18-DATOS!$C$17)*(N($F24))/DATOS!$C$23),DATOS!$C$17+4*(DATOS!$C$18-DATOS!$C$17)*(N($F24))/DATOS!$C$23*(1-(N($F24))/DATOS!$C$23)))),INDEX($F$51:$F$54,$N24)))</f>
        <v>0</v>
      </c>
      <c r="T24" s="10">
        <f>IF($N24=0,0,IF(INDEX($E$51:$E$54,$N24)="SÍ",IF(DATOS!$C$14="PLANO",DATOS!$C$17,IF(DATOS!$C$14="DOS AGUAS",DATOS!$C$17+(DATOS!$C$18-DATOS!$C$17)*(1-ABS(2*(N($F24)+N($H24))/DATOS!$C$23-1)),IF(DATOS!$C$14="UN AGUA",IF(N(DATOS!$C$25)=0,DATOS!$C$18-(DATOS!$C$18-DATOS!$C$17)*(N($F24)+N($H24))/DATOS!$C$23,DATOS!$C$17+(DATOS!$C$18-DATOS!$C$17)*(N($F24)+N($H24))/DATOS!$C$23),DATOS!$C$17+4*(DATOS!$C$18-DATOS!$C$17)*(N($F24)+N($H24))/DATOS!$C$23*(1-(N($F24)+N($H24))/DATOS!$C$23)))),INDEX($F$51:$F$54,$N24)))</f>
        <v>0</v>
      </c>
      <c r="U24" s="28">
        <f t="shared" si="7"/>
        <v>0</v>
      </c>
      <c r="V24" s="28">
        <f t="shared" si="8"/>
        <v>0</v>
      </c>
      <c r="W24" s="10">
        <f t="shared" si="9"/>
        <v>0</v>
      </c>
    </row>
    <row r="25" spans="2:32" ht="15" customHeight="1" x14ac:dyDescent="0.3">
      <c r="B25" s="20">
        <v>19</v>
      </c>
      <c r="C25" s="4"/>
      <c r="D25" s="15"/>
      <c r="E25" s="15"/>
      <c r="F25" s="25"/>
      <c r="G25" s="25"/>
      <c r="H25" s="25"/>
      <c r="I25" s="25"/>
      <c r="J25" s="26">
        <f t="shared" si="0"/>
        <v>0</v>
      </c>
      <c r="K25" s="18" t="str">
        <f t="shared" si="1"/>
        <v/>
      </c>
      <c r="L25" s="27"/>
      <c r="N25" s="28">
        <f t="shared" si="2"/>
        <v>0</v>
      </c>
      <c r="O25" s="10">
        <f t="shared" si="3"/>
        <v>0</v>
      </c>
      <c r="P25" s="10">
        <f t="shared" si="4"/>
        <v>0</v>
      </c>
      <c r="Q25" s="10">
        <f t="shared" si="5"/>
        <v>0</v>
      </c>
      <c r="R25" s="10">
        <f t="shared" si="6"/>
        <v>0</v>
      </c>
      <c r="S25" s="10">
        <f>IF($N25=0,0,IF(INDEX($E$51:$E$54,$N25)="SÍ",IF(DATOS!$C$14="PLANO",DATOS!$C$17,IF(DATOS!$C$14="DOS AGUAS",DATOS!$C$17+(DATOS!$C$18-DATOS!$C$17)*(1-ABS(2*(N($F25))/DATOS!$C$23-1)),IF(DATOS!$C$14="UN AGUA",IF(N(DATOS!$C$25)=0,DATOS!$C$18-(DATOS!$C$18-DATOS!$C$17)*(N($F25))/DATOS!$C$23,DATOS!$C$17+(DATOS!$C$18-DATOS!$C$17)*(N($F25))/DATOS!$C$23),DATOS!$C$17+4*(DATOS!$C$18-DATOS!$C$17)*(N($F25))/DATOS!$C$23*(1-(N($F25))/DATOS!$C$23)))),INDEX($F$51:$F$54,$N25)))</f>
        <v>0</v>
      </c>
      <c r="T25" s="10">
        <f>IF($N25=0,0,IF(INDEX($E$51:$E$54,$N25)="SÍ",IF(DATOS!$C$14="PLANO",DATOS!$C$17,IF(DATOS!$C$14="DOS AGUAS",DATOS!$C$17+(DATOS!$C$18-DATOS!$C$17)*(1-ABS(2*(N($F25)+N($H25))/DATOS!$C$23-1)),IF(DATOS!$C$14="UN AGUA",IF(N(DATOS!$C$25)=0,DATOS!$C$18-(DATOS!$C$18-DATOS!$C$17)*(N($F25)+N($H25))/DATOS!$C$23,DATOS!$C$17+(DATOS!$C$18-DATOS!$C$17)*(N($F25)+N($H25))/DATOS!$C$23),DATOS!$C$17+4*(DATOS!$C$18-DATOS!$C$17)*(N($F25)+N($H25))/DATOS!$C$23*(1-(N($F25)+N($H25))/DATOS!$C$23)))),INDEX($F$51:$F$54,$N25)))</f>
        <v>0</v>
      </c>
      <c r="U25" s="28">
        <f t="shared" si="7"/>
        <v>0</v>
      </c>
      <c r="V25" s="28">
        <f t="shared" si="8"/>
        <v>0</v>
      </c>
      <c r="W25" s="10">
        <f t="shared" si="9"/>
        <v>0</v>
      </c>
    </row>
    <row r="26" spans="2:32" ht="15" customHeight="1" x14ac:dyDescent="0.3">
      <c r="B26" s="20">
        <v>20</v>
      </c>
      <c r="C26" s="4"/>
      <c r="D26" s="15"/>
      <c r="E26" s="15"/>
      <c r="F26" s="25"/>
      <c r="G26" s="25"/>
      <c r="H26" s="25"/>
      <c r="I26" s="25"/>
      <c r="J26" s="26">
        <f t="shared" si="0"/>
        <v>0</v>
      </c>
      <c r="K26" s="18" t="str">
        <f t="shared" si="1"/>
        <v/>
      </c>
      <c r="L26" s="27"/>
      <c r="N26" s="28">
        <f t="shared" si="2"/>
        <v>0</v>
      </c>
      <c r="O26" s="10">
        <f t="shared" si="3"/>
        <v>0</v>
      </c>
      <c r="P26" s="10">
        <f t="shared" si="4"/>
        <v>0</v>
      </c>
      <c r="Q26" s="10">
        <f t="shared" si="5"/>
        <v>0</v>
      </c>
      <c r="R26" s="10">
        <f t="shared" si="6"/>
        <v>0</v>
      </c>
      <c r="S26" s="10">
        <f>IF($N26=0,0,IF(INDEX($E$51:$E$54,$N26)="SÍ",IF(DATOS!$C$14="PLANO",DATOS!$C$17,IF(DATOS!$C$14="DOS AGUAS",DATOS!$C$17+(DATOS!$C$18-DATOS!$C$17)*(1-ABS(2*(N($F26))/DATOS!$C$23-1)),IF(DATOS!$C$14="UN AGUA",IF(N(DATOS!$C$25)=0,DATOS!$C$18-(DATOS!$C$18-DATOS!$C$17)*(N($F26))/DATOS!$C$23,DATOS!$C$17+(DATOS!$C$18-DATOS!$C$17)*(N($F26))/DATOS!$C$23),DATOS!$C$17+4*(DATOS!$C$18-DATOS!$C$17)*(N($F26))/DATOS!$C$23*(1-(N($F26))/DATOS!$C$23)))),INDEX($F$51:$F$54,$N26)))</f>
        <v>0</v>
      </c>
      <c r="T26" s="10">
        <f>IF($N26=0,0,IF(INDEX($E$51:$E$54,$N26)="SÍ",IF(DATOS!$C$14="PLANO",DATOS!$C$17,IF(DATOS!$C$14="DOS AGUAS",DATOS!$C$17+(DATOS!$C$18-DATOS!$C$17)*(1-ABS(2*(N($F26)+N($H26))/DATOS!$C$23-1)),IF(DATOS!$C$14="UN AGUA",IF(N(DATOS!$C$25)=0,DATOS!$C$18-(DATOS!$C$18-DATOS!$C$17)*(N($F26)+N($H26))/DATOS!$C$23,DATOS!$C$17+(DATOS!$C$18-DATOS!$C$17)*(N($F26)+N($H26))/DATOS!$C$23),DATOS!$C$17+4*(DATOS!$C$18-DATOS!$C$17)*(N($F26)+N($H26))/DATOS!$C$23*(1-(N($F26)+N($H26))/DATOS!$C$23)))),INDEX($F$51:$F$54,$N26)))</f>
        <v>0</v>
      </c>
      <c r="U26" s="28">
        <f t="shared" si="7"/>
        <v>0</v>
      </c>
      <c r="V26" s="28">
        <f t="shared" si="8"/>
        <v>0</v>
      </c>
      <c r="W26" s="10">
        <f t="shared" si="9"/>
        <v>0</v>
      </c>
    </row>
    <row r="27" spans="2:32" ht="19.5" customHeight="1" x14ac:dyDescent="0.3">
      <c r="B27" s="56" t="str">
        <f>IF(COUNTA($D$7:$D$26)=0,"Sin aberturas: nave cerrada.",IF(COUNTIF($K$7:$K$26,"OK")=COUNTA($D$7:$D$26),"OK: todas las aberturas caben en su muro. Revisa que no se encimen entre sí (la hoja no lo checa).","OJO: hay aberturas con problema (columna K). Mientras no digan OK no cuentan."))</f>
        <v>OK: todas las aberturas caben en su muro. Revisa que no se encimen entre sí (la hoja no lo checa).</v>
      </c>
      <c r="C27" s="56"/>
      <c r="D27" s="56"/>
      <c r="E27" s="56"/>
      <c r="F27" s="56"/>
      <c r="G27" s="56"/>
      <c r="H27" s="56"/>
      <c r="I27" s="56"/>
      <c r="J27" s="56"/>
      <c r="K27" s="56"/>
      <c r="L27" s="56"/>
    </row>
    <row r="28" spans="2:32" ht="15" customHeight="1" x14ac:dyDescent="0.3"/>
    <row r="29" spans="2:32" ht="21" customHeight="1" x14ac:dyDescent="0.3">
      <c r="B29" s="49" t="s">
        <v>237</v>
      </c>
      <c r="C29" s="49"/>
      <c r="D29" s="49"/>
      <c r="E29" s="49"/>
      <c r="F29" s="49"/>
      <c r="G29" s="49"/>
      <c r="H29" s="49"/>
      <c r="I29" s="49"/>
      <c r="J29" s="49"/>
      <c r="K29" s="49"/>
      <c r="L29" s="49"/>
    </row>
    <row r="30" spans="2:32" ht="30" customHeight="1" x14ac:dyDescent="0.3">
      <c r="B30" s="50" t="s">
        <v>238</v>
      </c>
      <c r="C30" s="50"/>
      <c r="D30" s="50"/>
      <c r="E30" s="50"/>
      <c r="F30" s="50"/>
      <c r="G30" s="50"/>
      <c r="H30" s="50"/>
      <c r="I30" s="50"/>
      <c r="J30" s="50"/>
      <c r="K30" s="50"/>
      <c r="L30" s="50"/>
    </row>
    <row r="31" spans="2:32" ht="15" customHeight="1" x14ac:dyDescent="0.3"/>
    <row r="32" spans="2:32" ht="15" customHeight="1" x14ac:dyDescent="0.3"/>
    <row r="33" spans="2:12" ht="15" customHeight="1" x14ac:dyDescent="0.3"/>
    <row r="34" spans="2:12" ht="15" customHeight="1" x14ac:dyDescent="0.3"/>
    <row r="35" spans="2:12" ht="15" customHeight="1" x14ac:dyDescent="0.3"/>
    <row r="36" spans="2:12" ht="15" customHeight="1" x14ac:dyDescent="0.3"/>
    <row r="37" spans="2:12" ht="15" customHeight="1" x14ac:dyDescent="0.3"/>
    <row r="38" spans="2:12" ht="15" customHeight="1" x14ac:dyDescent="0.3"/>
    <row r="39" spans="2:12" ht="15" customHeight="1" x14ac:dyDescent="0.3"/>
    <row r="40" spans="2:12" ht="15" customHeight="1" x14ac:dyDescent="0.3"/>
    <row r="41" spans="2:12" ht="15" customHeight="1" x14ac:dyDescent="0.3"/>
    <row r="42" spans="2:12" ht="15" customHeight="1" x14ac:dyDescent="0.3"/>
    <row r="43" spans="2:12" ht="15" customHeight="1" x14ac:dyDescent="0.3"/>
    <row r="44" spans="2:12" ht="15" customHeight="1" x14ac:dyDescent="0.3"/>
    <row r="45" spans="2:12" ht="15" customHeight="1" x14ac:dyDescent="0.3"/>
    <row r="46" spans="2:12" ht="15" customHeight="1" x14ac:dyDescent="0.3"/>
    <row r="47" spans="2:12" ht="15" customHeight="1" x14ac:dyDescent="0.3"/>
    <row r="48" spans="2:12" ht="21" customHeight="1" x14ac:dyDescent="0.3">
      <c r="B48" s="49" t="s">
        <v>239</v>
      </c>
      <c r="C48" s="49"/>
      <c r="D48" s="49"/>
      <c r="E48" s="49"/>
      <c r="F48" s="49"/>
      <c r="G48" s="49"/>
      <c r="H48" s="49"/>
      <c r="I48" s="49"/>
      <c r="J48" s="49"/>
      <c r="K48" s="49"/>
      <c r="L48" s="49"/>
    </row>
    <row r="49" spans="2:16" ht="30" customHeight="1" x14ac:dyDescent="0.3">
      <c r="B49" s="50" t="s">
        <v>240</v>
      </c>
      <c r="C49" s="50"/>
      <c r="D49" s="50"/>
      <c r="E49" s="50"/>
      <c r="F49" s="50"/>
      <c r="G49" s="50"/>
      <c r="H49" s="50"/>
      <c r="I49" s="50"/>
      <c r="J49" s="50"/>
      <c r="K49" s="50"/>
      <c r="L49" s="50"/>
    </row>
    <row r="50" spans="2:16" ht="42" customHeight="1" x14ac:dyDescent="0.3">
      <c r="B50" s="2" t="s">
        <v>202</v>
      </c>
      <c r="C50" s="2" t="s">
        <v>204</v>
      </c>
      <c r="D50" s="2" t="s">
        <v>241</v>
      </c>
      <c r="E50" s="2" t="s">
        <v>242</v>
      </c>
      <c r="F50" s="2" t="s">
        <v>243</v>
      </c>
      <c r="G50" s="2" t="s">
        <v>210</v>
      </c>
      <c r="H50" s="2" t="s">
        <v>244</v>
      </c>
      <c r="I50" s="2" t="s">
        <v>245</v>
      </c>
      <c r="J50" s="2" t="s">
        <v>246</v>
      </c>
      <c r="K50" s="2" t="s">
        <v>247</v>
      </c>
      <c r="L50" s="2" t="s">
        <v>248</v>
      </c>
      <c r="M50" s="2" t="s">
        <v>249</v>
      </c>
      <c r="N50" s="2" t="s">
        <v>250</v>
      </c>
      <c r="O50" s="2" t="s">
        <v>251</v>
      </c>
      <c r="P50" s="2" t="s">
        <v>252</v>
      </c>
    </row>
    <row r="51" spans="2:16" ht="16.5" customHeight="1" x14ac:dyDescent="0.3">
      <c r="B51" s="20">
        <v>1</v>
      </c>
      <c r="C51" s="1" t="s">
        <v>253</v>
      </c>
      <c r="D51" s="16">
        <f>DATOS!$C$12</f>
        <v>10.08</v>
      </c>
      <c r="E51" s="18" t="str">
        <f>IF(AND(DATOS!$C$14&lt;&gt;"PLANO",DATOS!$C$22="X"),"SÍ","NO")</f>
        <v>NO</v>
      </c>
      <c r="F51" s="16">
        <f>IF($E51="SÍ",DATOS!$C$21,IF(DATOS!$C$14="PLANO",DATOS!$C$17,IF(DATOS!$C$14="DOS AGUAS",DATOS!$C$17+(DATOS!$C$18-DATOS!$C$17)*(1-ABS(2*(0)/DATOS!$C$23-1)),IF(DATOS!$C$14="UN AGUA",IF(N(DATOS!$C$25)=0,DATOS!$C$18-(DATOS!$C$18-DATOS!$C$17)*(0)/DATOS!$C$23,DATOS!$C$17+(DATOS!$C$18-DATOS!$C$17)*(0)/DATOS!$C$23),DATOS!$C$17+4*(DATOS!$C$18-DATOS!$C$17)*(0)/DATOS!$C$23*(1-(0)/DATOS!$C$23)))))</f>
        <v>10.62</v>
      </c>
      <c r="G51" s="16">
        <f>IF($E51="SÍ",IF(DATOS!$C$14="CURVO",DATOS!$C$23*DATOS!$C$17+2/3*DATOS!$C$23*(DATOS!$C$18-DATOS!$C$17),DATOS!$C$23*(DATOS!$C$17+DATOS!$C$18)/2),$D51*$F51)</f>
        <v>107.0496</v>
      </c>
      <c r="H51" s="16">
        <f>IF($E51="SÍ",DATOS!$C$23/8*(SUMPRODUCT((DATOS!$AB$3:$AB$11-10+ABS(DATOS!$AB$3:$AB$11-10))/2)-(((DATOS!$AB$3-10)+ABS(DATOS!$AB$3-10))/2+((DATOS!$AB$11-10)+ABS(DATOS!$AB$11-10))/2)/2),$D51*MAX(0,$F51-10))</f>
        <v>6.2495999999999921</v>
      </c>
      <c r="I51" s="16">
        <f>SUMPRODUCT(($N$7:$N$26=$B51)*$U$7:$U$26*$J$7:$J$26)</f>
        <v>0</v>
      </c>
      <c r="J51" s="17">
        <f>IF($G51&gt;0,$I51/$G51,0)</f>
        <v>0</v>
      </c>
      <c r="K51" s="16">
        <f>SUMPRODUCT(($N$7:$N$26=$B51)*$V$7:$V$26*$J$7:$J$26)</f>
        <v>35.416488000000001</v>
      </c>
      <c r="L51" s="17">
        <f>IF($G51&gt;0,$K51/$G51,0)</f>
        <v>0.33084185274863243</v>
      </c>
      <c r="M51" s="18" t="str">
        <f>IF($J51&gt;=0.3,"SÍ","NO")</f>
        <v>NO</v>
      </c>
      <c r="N51" s="18" t="str">
        <f>IF($L51&gt;=0.3,"SÍ","NO")</f>
        <v>SÍ</v>
      </c>
      <c r="O51" s="29">
        <f>MAX(0,$G51-$I51)</f>
        <v>107.0496</v>
      </c>
      <c r="P51" s="29">
        <f>MAX(0,$G51-$K51)</f>
        <v>71.633111999999997</v>
      </c>
    </row>
    <row r="52" spans="2:16" ht="16.5" customHeight="1" x14ac:dyDescent="0.3">
      <c r="B52" s="20">
        <v>2</v>
      </c>
      <c r="C52" s="1" t="s">
        <v>254</v>
      </c>
      <c r="D52" s="16">
        <f>DATOS!$C$12</f>
        <v>10.08</v>
      </c>
      <c r="E52" s="18" t="str">
        <f>IF(AND(DATOS!$C$14&lt;&gt;"PLANO",DATOS!$C$22="X"),"SÍ","NO")</f>
        <v>NO</v>
      </c>
      <c r="F52" s="16">
        <f>IF($E52="SÍ",DATOS!$C$21,IF(DATOS!$C$14="PLANO",DATOS!$C$17,IF(DATOS!$C$14="DOS AGUAS",DATOS!$C$17+(DATOS!$C$18-DATOS!$C$17)*(1-ABS(2*(DATOS!$C$23)/DATOS!$C$23-1)),IF(DATOS!$C$14="UN AGUA",IF(N(DATOS!$C$25)=0,DATOS!$C$18-(DATOS!$C$18-DATOS!$C$17)*(DATOS!$C$23)/DATOS!$C$23,DATOS!$C$17+(DATOS!$C$18-DATOS!$C$17)*(DATOS!$C$23)/DATOS!$C$23),DATOS!$C$17+4*(DATOS!$C$18-DATOS!$C$17)*(DATOS!$C$23)/DATOS!$C$23*(1-(DATOS!$C$23)/DATOS!$C$23)))))</f>
        <v>9.82</v>
      </c>
      <c r="G52" s="16">
        <f>IF($E52="SÍ",IF(DATOS!$C$14="CURVO",DATOS!$C$23*DATOS!$C$17+2/3*DATOS!$C$23*(DATOS!$C$18-DATOS!$C$17),DATOS!$C$23*(DATOS!$C$17+DATOS!$C$18)/2),$D52*$F52)</f>
        <v>98.985600000000005</v>
      </c>
      <c r="H52" s="16">
        <f>IF($E52="SÍ",DATOS!$C$23/8*(SUMPRODUCT((DATOS!$AB$3:$AB$11-10+ABS(DATOS!$AB$3:$AB$11-10))/2)-(((DATOS!$AB$3-10)+ABS(DATOS!$AB$3-10))/2+((DATOS!$AB$11-10)+ABS(DATOS!$AB$11-10))/2)/2),$D52*MAX(0,$F52-10))</f>
        <v>0</v>
      </c>
      <c r="I52" s="16">
        <f>SUMPRODUCT(($N$7:$N$26=$B52)*$U$7:$U$26*$J$7:$J$26)</f>
        <v>98.985600000000005</v>
      </c>
      <c r="J52" s="17">
        <f>IF($G52&gt;0,$I52/$G52,0)</f>
        <v>1</v>
      </c>
      <c r="K52" s="16">
        <f>SUMPRODUCT(($N$7:$N$26=$B52)*$V$7:$V$26*$J$7:$J$26)</f>
        <v>98.985600000000005</v>
      </c>
      <c r="L52" s="17">
        <f>IF($G52&gt;0,$K52/$G52,0)</f>
        <v>1</v>
      </c>
      <c r="M52" s="18" t="str">
        <f>IF($J52&gt;=0.3,"SÍ","NO")</f>
        <v>SÍ</v>
      </c>
      <c r="N52" s="18" t="str">
        <f>IF($L52&gt;=0.3,"SÍ","NO")</f>
        <v>SÍ</v>
      </c>
      <c r="O52" s="29">
        <f>MAX(0,$G52-$I52)</f>
        <v>0</v>
      </c>
      <c r="P52" s="29">
        <f>MAX(0,$G52-$K52)</f>
        <v>0</v>
      </c>
    </row>
    <row r="53" spans="2:16" ht="16.5" customHeight="1" x14ac:dyDescent="0.3">
      <c r="B53" s="20">
        <v>3</v>
      </c>
      <c r="C53" s="1" t="s">
        <v>255</v>
      </c>
      <c r="D53" s="16">
        <f>DATOS!$C$13</f>
        <v>16</v>
      </c>
      <c r="E53" s="18" t="str">
        <f>IF(AND(DATOS!$C$14&lt;&gt;"PLANO",DATOS!$C$22="Z"),"SÍ","NO")</f>
        <v>SÍ</v>
      </c>
      <c r="F53" s="16">
        <f>IF($E53="SÍ",DATOS!$C$21,IF(DATOS!$C$14="PLANO",DATOS!$C$17,IF(DATOS!$C$14="DOS AGUAS",DATOS!$C$17+(DATOS!$C$18-DATOS!$C$17)*(1-ABS(2*(0)/DATOS!$C$23-1)),IF(DATOS!$C$14="UN AGUA",IF(N(DATOS!$C$25)=0,DATOS!$C$18-(DATOS!$C$18-DATOS!$C$17)*(0)/DATOS!$C$23,DATOS!$C$17+(DATOS!$C$18-DATOS!$C$17)*(0)/DATOS!$C$23),DATOS!$C$17+4*(DATOS!$C$18-DATOS!$C$17)*(0)/DATOS!$C$23*(1-(0)/DATOS!$C$23)))))</f>
        <v>10.62</v>
      </c>
      <c r="G53" s="16">
        <f>IF($E53="SÍ",IF(DATOS!$C$14="CURVO",DATOS!$C$23*DATOS!$C$17+2/3*DATOS!$C$23*(DATOS!$C$18-DATOS!$C$17),DATOS!$C$23*(DATOS!$C$17+DATOS!$C$18)/2),$D53*$F53)</f>
        <v>163.51999999999998</v>
      </c>
      <c r="H53" s="16">
        <f>IF($E53="SÍ",DATOS!$C$23/8*(SUMPRODUCT((DATOS!$AB$3:$AB$11-10+ABS(DATOS!$AB$3:$AB$11-10))/2)-(((DATOS!$AB$3-10)+ABS(DATOS!$AB$3-10))/2+((DATOS!$AB$11-10)+ABS(DATOS!$AB$11-10))/2)/2),$D53*MAX(0,$F53-10))</f>
        <v>3.8599999999999941</v>
      </c>
      <c r="I53" s="16">
        <f>SUMPRODUCT(($N$7:$N$26=$B53)*$U$7:$U$26*$J$7:$J$26)</f>
        <v>0</v>
      </c>
      <c r="J53" s="17">
        <f>IF($G53&gt;0,$I53/$G53,0)</f>
        <v>0</v>
      </c>
      <c r="K53" s="16">
        <f>SUMPRODUCT(($N$7:$N$26=$B53)*$V$7:$V$26*$J$7:$J$26)</f>
        <v>0</v>
      </c>
      <c r="L53" s="17">
        <f>IF($G53&gt;0,$K53/$G53,0)</f>
        <v>0</v>
      </c>
      <c r="M53" s="18" t="str">
        <f>IF($J53&gt;=0.3,"SÍ","NO")</f>
        <v>NO</v>
      </c>
      <c r="N53" s="18" t="str">
        <f>IF($L53&gt;=0.3,"SÍ","NO")</f>
        <v>NO</v>
      </c>
      <c r="O53" s="29">
        <f>MAX(0,$G53-$I53)</f>
        <v>163.51999999999998</v>
      </c>
      <c r="P53" s="29">
        <f>MAX(0,$G53-$K53)</f>
        <v>163.51999999999998</v>
      </c>
    </row>
    <row r="54" spans="2:16" ht="16.5" customHeight="1" x14ac:dyDescent="0.3">
      <c r="B54" s="20">
        <v>4</v>
      </c>
      <c r="C54" s="1" t="s">
        <v>256</v>
      </c>
      <c r="D54" s="16">
        <f>DATOS!$C$13</f>
        <v>16</v>
      </c>
      <c r="E54" s="18" t="str">
        <f>IF(AND(DATOS!$C$14&lt;&gt;"PLANO",DATOS!$C$22="Z"),"SÍ","NO")</f>
        <v>SÍ</v>
      </c>
      <c r="F54" s="16">
        <f>IF($E54="SÍ",DATOS!$C$21,IF(DATOS!$C$14="PLANO",DATOS!$C$17,IF(DATOS!$C$14="DOS AGUAS",DATOS!$C$17+(DATOS!$C$18-DATOS!$C$17)*(1-ABS(2*(DATOS!$C$23)/DATOS!$C$23-1)),IF(DATOS!$C$14="UN AGUA",IF(N(DATOS!$C$25)=0,DATOS!$C$18-(DATOS!$C$18-DATOS!$C$17)*(DATOS!$C$23)/DATOS!$C$23,DATOS!$C$17+(DATOS!$C$18-DATOS!$C$17)*(DATOS!$C$23)/DATOS!$C$23),DATOS!$C$17+4*(DATOS!$C$18-DATOS!$C$17)*(DATOS!$C$23)/DATOS!$C$23*(1-(DATOS!$C$23)/DATOS!$C$23)))))</f>
        <v>10.62</v>
      </c>
      <c r="G54" s="16">
        <f>IF($E54="SÍ",IF(DATOS!$C$14="CURVO",DATOS!$C$23*DATOS!$C$17+2/3*DATOS!$C$23*(DATOS!$C$18-DATOS!$C$17),DATOS!$C$23*(DATOS!$C$17+DATOS!$C$18)/2),$D54*$F54)</f>
        <v>163.51999999999998</v>
      </c>
      <c r="H54" s="16">
        <f>IF($E54="SÍ",DATOS!$C$23/8*(SUMPRODUCT((DATOS!$AB$3:$AB$11-10+ABS(DATOS!$AB$3:$AB$11-10))/2)-(((DATOS!$AB$3-10)+ABS(DATOS!$AB$3-10))/2+((DATOS!$AB$11-10)+ABS(DATOS!$AB$11-10))/2)/2),$D54*MAX(0,$F54-10))</f>
        <v>3.8599999999999941</v>
      </c>
      <c r="I54" s="16">
        <f>SUMPRODUCT(($N$7:$N$26=$B54)*$U$7:$U$26*$J$7:$J$26)</f>
        <v>0</v>
      </c>
      <c r="J54" s="17">
        <f>IF($G54&gt;0,$I54/$G54,0)</f>
        <v>0</v>
      </c>
      <c r="K54" s="16">
        <f>SUMPRODUCT(($N$7:$N$26=$B54)*$V$7:$V$26*$J$7:$J$26)</f>
        <v>0</v>
      </c>
      <c r="L54" s="17">
        <f>IF($G54&gt;0,$K54/$G54,0)</f>
        <v>0</v>
      </c>
      <c r="M54" s="18" t="str">
        <f>IF($J54&gt;=0.3,"SÍ","NO")</f>
        <v>NO</v>
      </c>
      <c r="N54" s="18" t="str">
        <f>IF($L54&gt;=0.3,"SÍ","NO")</f>
        <v>NO</v>
      </c>
      <c r="O54" s="29">
        <f>MAX(0,$G54-$I54)</f>
        <v>163.51999999999998</v>
      </c>
      <c r="P54" s="29">
        <f>MAX(0,$G54-$K54)</f>
        <v>163.51999999999998</v>
      </c>
    </row>
    <row r="55" spans="2:16" ht="19.5" customHeight="1" x14ac:dyDescent="0.3">
      <c r="B55" s="56" t="str">
        <f>IF(OR($I$51&gt;$G$51+0.001,$I$52&gt;$G$52+0.001,$I$53&gt;$G$53+0.001,$I$54&gt;$G$54+0.001,$K$51&gt;$G$51+0.001,$K$52&gt;$G$52+0.001,$K$53&gt;$G$53+0.001,$K$54&gt;$G$54+0.001),"OJO: hay un muro con más área abierta que área de muro; revisa que no se encimen aberturas.","OK: el área abierta de cada muro cabe en el muro.")</f>
        <v>OK: el área abierta de cada muro cabe en el muro.</v>
      </c>
      <c r="C55" s="56"/>
      <c r="D55" s="56"/>
      <c r="E55" s="56"/>
      <c r="F55" s="56"/>
      <c r="G55" s="56"/>
      <c r="H55" s="56"/>
      <c r="I55" s="56"/>
      <c r="J55" s="56"/>
      <c r="K55" s="56"/>
      <c r="L55" s="56"/>
    </row>
    <row r="56" spans="2:16" ht="15" customHeight="1" x14ac:dyDescent="0.3"/>
    <row r="57" spans="2:16" ht="21" customHeight="1" x14ac:dyDescent="0.3">
      <c r="B57" s="49" t="s">
        <v>257</v>
      </c>
      <c r="C57" s="49"/>
      <c r="D57" s="49"/>
      <c r="E57" s="49"/>
      <c r="F57" s="49"/>
      <c r="G57" s="49"/>
      <c r="H57" s="49"/>
      <c r="I57" s="49"/>
      <c r="J57" s="49"/>
      <c r="K57" s="49"/>
      <c r="L57" s="49"/>
    </row>
    <row r="58" spans="2:16" ht="45" customHeight="1" x14ac:dyDescent="0.3">
      <c r="B58" s="50" t="s">
        <v>258</v>
      </c>
      <c r="C58" s="50"/>
      <c r="D58" s="50"/>
      <c r="E58" s="50"/>
      <c r="F58" s="50"/>
      <c r="G58" s="50"/>
      <c r="H58" s="50"/>
      <c r="I58" s="50"/>
      <c r="J58" s="50"/>
      <c r="K58" s="50"/>
      <c r="L58" s="50"/>
    </row>
    <row r="59" spans="2:16" ht="42" customHeight="1" x14ac:dyDescent="0.3">
      <c r="B59" s="2" t="s">
        <v>259</v>
      </c>
      <c r="C59" s="2" t="s">
        <v>260</v>
      </c>
      <c r="D59" s="2" t="s">
        <v>261</v>
      </c>
      <c r="E59" s="2" t="s">
        <v>262</v>
      </c>
      <c r="F59" s="2" t="s">
        <v>263</v>
      </c>
      <c r="G59" s="2" t="s">
        <v>264</v>
      </c>
      <c r="H59" s="2" t="s">
        <v>265</v>
      </c>
      <c r="I59" s="2" t="s">
        <v>266</v>
      </c>
      <c r="J59" s="55" t="s">
        <v>267</v>
      </c>
      <c r="K59" s="55"/>
      <c r="L59" s="2" t="s">
        <v>268</v>
      </c>
    </row>
    <row r="60" spans="2:16" ht="18" customHeight="1" x14ac:dyDescent="0.3">
      <c r="B60" s="18" t="str">
        <f>DATOS!$B$72</f>
        <v>LOAD 8</v>
      </c>
      <c r="C60" s="1" t="str">
        <f>DATOS!$C$72&amp;" · "&amp;DATOS!$D$72</f>
        <v>+X · CERRADAS</v>
      </c>
      <c r="D60" s="20">
        <v>3</v>
      </c>
      <c r="E60" s="20">
        <v>4</v>
      </c>
      <c r="F60" s="16">
        <f>INDEX($I$51:$I$54,$D60)</f>
        <v>0</v>
      </c>
      <c r="G60" s="16">
        <f>INDEX($I$51:$I$54,$E60)</f>
        <v>0</v>
      </c>
      <c r="H60" s="16">
        <f>SUM($I$51:$I$54)-$F60-$G60</f>
        <v>98.985600000000005</v>
      </c>
      <c r="I60" s="18" t="str">
        <f>IF(COUNTIF($M$51:$M$54,"SÍ")&gt;0,"SÍ","NO")</f>
        <v>SÍ</v>
      </c>
      <c r="J60" s="54" t="str">
        <f t="shared" ref="J60:J67" si="10">IF($I60="NO","Cerrada: sin presión interior",IF($F60&gt;=2*($G60+$H60),"Principalmente en barlovento",IF($G60&gt;=2*($F60+$H60),"Principalmente en sotavento",IF($H60&gt;=2*($F60+$G60),"Principalmente en caras paralelas","Uniformemente distribuidas"))))</f>
        <v>Principalmente en caras paralelas</v>
      </c>
      <c r="K60" s="54"/>
      <c r="L60" s="30">
        <f>IF($I60="NO",0,IF($F60&gt;=2*($G60+$H60),TABLAS!$D$35,IF($G60&gt;=2*($F60+$H60),TABLAS!$D$36,IF($H60&gt;=2*($F60+$G60),TABLAS!$D$37,TABLAS!$D$38))))</f>
        <v>-0.5</v>
      </c>
    </row>
    <row r="61" spans="2:16" ht="18" customHeight="1" x14ac:dyDescent="0.3">
      <c r="B61" s="18" t="str">
        <f>DATOS!$B$73</f>
        <v>LOAD 9</v>
      </c>
      <c r="C61" s="1" t="str">
        <f>DATOS!$C$73&amp;" · "&amp;DATOS!$D$73</f>
        <v>−X · CERRADAS</v>
      </c>
      <c r="D61" s="20">
        <v>4</v>
      </c>
      <c r="E61" s="20">
        <v>3</v>
      </c>
      <c r="F61" s="16">
        <f>INDEX($I$51:$I$54,$D61)</f>
        <v>0</v>
      </c>
      <c r="G61" s="16">
        <f>INDEX($I$51:$I$54,$E61)</f>
        <v>0</v>
      </c>
      <c r="H61" s="16">
        <f>SUM($I$51:$I$54)-$F61-$G61</f>
        <v>98.985600000000005</v>
      </c>
      <c r="I61" s="18" t="str">
        <f>IF(COUNTIF($M$51:$M$54,"SÍ")&gt;0,"SÍ","NO")</f>
        <v>SÍ</v>
      </c>
      <c r="J61" s="54" t="str">
        <f t="shared" si="10"/>
        <v>Principalmente en caras paralelas</v>
      </c>
      <c r="K61" s="54"/>
      <c r="L61" s="30">
        <f>IF($I61="NO",0,IF($F61&gt;=2*($G61+$H61),TABLAS!$D$35,IF($G61&gt;=2*($F61+$H61),TABLAS!$D$36,IF($H61&gt;=2*($F61+$G61),TABLAS!$D$37,TABLAS!$D$38))))</f>
        <v>-0.5</v>
      </c>
    </row>
    <row r="62" spans="2:16" ht="18" customHeight="1" x14ac:dyDescent="0.3">
      <c r="B62" s="18" t="str">
        <f>DATOS!$B$74</f>
        <v>LOAD 10</v>
      </c>
      <c r="C62" s="1" t="str">
        <f>DATOS!$C$74&amp;" · "&amp;DATOS!$D$74</f>
        <v>+Z · CERRADAS</v>
      </c>
      <c r="D62" s="20">
        <v>1</v>
      </c>
      <c r="E62" s="20">
        <v>2</v>
      </c>
      <c r="F62" s="16">
        <f>INDEX($I$51:$I$54,$D62)</f>
        <v>0</v>
      </c>
      <c r="G62" s="16">
        <f>INDEX($I$51:$I$54,$E62)</f>
        <v>98.985600000000005</v>
      </c>
      <c r="H62" s="16">
        <f>SUM($I$51:$I$54)-$F62-$G62</f>
        <v>0</v>
      </c>
      <c r="I62" s="18" t="str">
        <f>IF(COUNTIF($M$51:$M$54,"SÍ")&gt;0,"SÍ","NO")</f>
        <v>SÍ</v>
      </c>
      <c r="J62" s="54" t="str">
        <f t="shared" si="10"/>
        <v>Principalmente en sotavento</v>
      </c>
      <c r="K62" s="54"/>
      <c r="L62" s="30">
        <f>IF($I62="NO",0,IF($F62&gt;=2*($G62+$H62),TABLAS!$D$35,IF($G62&gt;=2*($F62+$H62),TABLAS!$D$36,IF($H62&gt;=2*($F62+$G62),TABLAS!$D$37,TABLAS!$D$38))))</f>
        <v>-0.6</v>
      </c>
    </row>
    <row r="63" spans="2:16" ht="18" customHeight="1" x14ac:dyDescent="0.3">
      <c r="B63" s="18" t="str">
        <f>DATOS!$B$75</f>
        <v>LOAD 11</v>
      </c>
      <c r="C63" s="1" t="str">
        <f>DATOS!$C$75&amp;" · "&amp;DATOS!$D$75</f>
        <v>−Z · CERRADAS</v>
      </c>
      <c r="D63" s="20">
        <v>2</v>
      </c>
      <c r="E63" s="20">
        <v>1</v>
      </c>
      <c r="F63" s="16">
        <f>INDEX($I$51:$I$54,$D63)</f>
        <v>98.985600000000005</v>
      </c>
      <c r="G63" s="16">
        <f>INDEX($I$51:$I$54,$E63)</f>
        <v>0</v>
      </c>
      <c r="H63" s="16">
        <f>SUM($I$51:$I$54)-$F63-$G63</f>
        <v>0</v>
      </c>
      <c r="I63" s="18" t="str">
        <f>IF(COUNTIF($M$51:$M$54,"SÍ")&gt;0,"SÍ","NO")</f>
        <v>SÍ</v>
      </c>
      <c r="J63" s="54" t="str">
        <f t="shared" si="10"/>
        <v>Principalmente en barlovento</v>
      </c>
      <c r="K63" s="54"/>
      <c r="L63" s="30">
        <f>IF($I63="NO",0,IF($F63&gt;=2*($G63+$H63),TABLAS!$D$35,IF($G63&gt;=2*($F63+$H63),TABLAS!$D$36,IF($H63&gt;=2*($F63+$G63),TABLAS!$D$37,TABLAS!$D$38))))</f>
        <v>0.75</v>
      </c>
    </row>
    <row r="64" spans="2:16" ht="18" customHeight="1" x14ac:dyDescent="0.3">
      <c r="B64" s="18" t="str">
        <f>DATOS!$B$76</f>
        <v>LOAD 12</v>
      </c>
      <c r="C64" s="1" t="str">
        <f>DATOS!$C$76&amp;" · "&amp;DATOS!$D$76</f>
        <v>+X · ABIERTAS (PA)</v>
      </c>
      <c r="D64" s="20">
        <v>3</v>
      </c>
      <c r="E64" s="20">
        <v>4</v>
      </c>
      <c r="F64" s="16">
        <f>INDEX($K$51:$K$54,$D64)</f>
        <v>0</v>
      </c>
      <c r="G64" s="16">
        <f>INDEX($K$51:$K$54,$E64)</f>
        <v>0</v>
      </c>
      <c r="H64" s="16">
        <f>SUM($K$51:$K$54)-$F64-$G64</f>
        <v>134.40208799999999</v>
      </c>
      <c r="I64" s="18" t="str">
        <f>IF(COUNTIF($N$51:$N$54,"SÍ")&gt;0,"SÍ","NO")</f>
        <v>SÍ</v>
      </c>
      <c r="J64" s="54" t="str">
        <f t="shared" si="10"/>
        <v>Principalmente en caras paralelas</v>
      </c>
      <c r="K64" s="54"/>
      <c r="L64" s="30">
        <f>IF($I64="NO",0,IF($F64&gt;=2*($G64+$H64),TABLAS!$D$35,IF($G64&gt;=2*($F64+$H64),TABLAS!$D$36,IF($H64&gt;=2*($F64+$G64),TABLAS!$D$37,TABLAS!$D$38))))</f>
        <v>-0.5</v>
      </c>
    </row>
    <row r="65" spans="2:12" ht="18" customHeight="1" x14ac:dyDescent="0.3">
      <c r="B65" s="18" t="str">
        <f>DATOS!$B$77</f>
        <v>LOAD 13</v>
      </c>
      <c r="C65" s="1" t="str">
        <f>DATOS!$C$77&amp;" · "&amp;DATOS!$D$77</f>
        <v>−X · ABIERTAS (PA)</v>
      </c>
      <c r="D65" s="20">
        <v>4</v>
      </c>
      <c r="E65" s="20">
        <v>3</v>
      </c>
      <c r="F65" s="16">
        <f>INDEX($K$51:$K$54,$D65)</f>
        <v>0</v>
      </c>
      <c r="G65" s="16">
        <f>INDEX($K$51:$K$54,$E65)</f>
        <v>0</v>
      </c>
      <c r="H65" s="16">
        <f>SUM($K$51:$K$54)-$F65-$G65</f>
        <v>134.40208799999999</v>
      </c>
      <c r="I65" s="18" t="str">
        <f>IF(COUNTIF($N$51:$N$54,"SÍ")&gt;0,"SÍ","NO")</f>
        <v>SÍ</v>
      </c>
      <c r="J65" s="54" t="str">
        <f t="shared" si="10"/>
        <v>Principalmente en caras paralelas</v>
      </c>
      <c r="K65" s="54"/>
      <c r="L65" s="30">
        <f>IF($I65="NO",0,IF($F65&gt;=2*($G65+$H65),TABLAS!$D$35,IF($G65&gt;=2*($F65+$H65),TABLAS!$D$36,IF($H65&gt;=2*($F65+$G65),TABLAS!$D$37,TABLAS!$D$38))))</f>
        <v>-0.5</v>
      </c>
    </row>
    <row r="66" spans="2:12" ht="18" customHeight="1" x14ac:dyDescent="0.3">
      <c r="B66" s="18" t="str">
        <f>DATOS!$B$78</f>
        <v>LOAD 14</v>
      </c>
      <c r="C66" s="1" t="str">
        <f>DATOS!$C$78&amp;" · "&amp;DATOS!$D$78</f>
        <v>+Z · ABIERTAS (PA)</v>
      </c>
      <c r="D66" s="20">
        <v>1</v>
      </c>
      <c r="E66" s="20">
        <v>2</v>
      </c>
      <c r="F66" s="16">
        <f>INDEX($K$51:$K$54,$D66)</f>
        <v>35.416488000000001</v>
      </c>
      <c r="G66" s="16">
        <f>INDEX($K$51:$K$54,$E66)</f>
        <v>98.985600000000005</v>
      </c>
      <c r="H66" s="16">
        <f>SUM($K$51:$K$54)-$F66-$G66</f>
        <v>0</v>
      </c>
      <c r="I66" s="18" t="str">
        <f>IF(COUNTIF($N$51:$N$54,"SÍ")&gt;0,"SÍ","NO")</f>
        <v>SÍ</v>
      </c>
      <c r="J66" s="54" t="str">
        <f t="shared" si="10"/>
        <v>Principalmente en sotavento</v>
      </c>
      <c r="K66" s="54"/>
      <c r="L66" s="30">
        <f>IF($I66="NO",0,IF($F66&gt;=2*($G66+$H66),TABLAS!$D$35,IF($G66&gt;=2*($F66+$H66),TABLAS!$D$36,IF($H66&gt;=2*($F66+$G66),TABLAS!$D$37,TABLAS!$D$38))))</f>
        <v>-0.6</v>
      </c>
    </row>
    <row r="67" spans="2:12" ht="18" customHeight="1" x14ac:dyDescent="0.3">
      <c r="B67" s="18" t="str">
        <f>DATOS!$B$79</f>
        <v>LOAD 15</v>
      </c>
      <c r="C67" s="1" t="str">
        <f>DATOS!$C$79&amp;" · "&amp;DATOS!$D$79</f>
        <v>−Z · ABIERTAS (PA)</v>
      </c>
      <c r="D67" s="20">
        <v>2</v>
      </c>
      <c r="E67" s="20">
        <v>1</v>
      </c>
      <c r="F67" s="16">
        <f>INDEX($K$51:$K$54,$D67)</f>
        <v>98.985600000000005</v>
      </c>
      <c r="G67" s="16">
        <f>INDEX($K$51:$K$54,$E67)</f>
        <v>35.416488000000001</v>
      </c>
      <c r="H67" s="16">
        <f>SUM($K$51:$K$54)-$F67-$G67</f>
        <v>0</v>
      </c>
      <c r="I67" s="18" t="str">
        <f>IF(COUNTIF($N$51:$N$54,"SÍ")&gt;0,"SÍ","NO")</f>
        <v>SÍ</v>
      </c>
      <c r="J67" s="54" t="str">
        <f t="shared" si="10"/>
        <v>Principalmente en barlovento</v>
      </c>
      <c r="K67" s="54"/>
      <c r="L67" s="30">
        <f>IF($I67="NO",0,IF($F67&gt;=2*($G67+$H67),TABLAS!$D$35,IF($G67&gt;=2*($F67+$H67),TABLAS!$D$36,IF($H67&gt;=2*($F67+$G67),TABLAS!$D$37,TABLAS!$D$38))))</f>
        <v>0.75</v>
      </c>
    </row>
    <row r="68" spans="2:12" ht="35.25" customHeight="1" x14ac:dyDescent="0.3">
      <c r="L68" s="12" t="s">
        <v>269</v>
      </c>
    </row>
  </sheetData>
  <mergeCells count="21">
    <mergeCell ref="B1:L1"/>
    <mergeCell ref="B2:L2"/>
    <mergeCell ref="B3:L3"/>
    <mergeCell ref="B5:L5"/>
    <mergeCell ref="B27:L27"/>
    <mergeCell ref="B29:L29"/>
    <mergeCell ref="B30:L30"/>
    <mergeCell ref="B48:L48"/>
    <mergeCell ref="B49:L49"/>
    <mergeCell ref="B55:L55"/>
    <mergeCell ref="B57:L57"/>
    <mergeCell ref="B58:L58"/>
    <mergeCell ref="J59:K59"/>
    <mergeCell ref="J60:K60"/>
    <mergeCell ref="J61:K61"/>
    <mergeCell ref="J67:K67"/>
    <mergeCell ref="J62:K62"/>
    <mergeCell ref="J63:K63"/>
    <mergeCell ref="J64:K64"/>
    <mergeCell ref="J65:K65"/>
    <mergeCell ref="J66:K66"/>
  </mergeCells>
  <conditionalFormatting sqref="B27">
    <cfRule type="expression" dxfId="26" priority="4">
      <formula>LEFT($B$27,2)="OK"</formula>
    </cfRule>
    <cfRule type="expression" dxfId="25" priority="5">
      <formula>LEFT($B$27,3)="OJO"</formula>
    </cfRule>
  </conditionalFormatting>
  <conditionalFormatting sqref="B55">
    <cfRule type="expression" dxfId="24" priority="7">
      <formula>LEFT($B$55,2)="OK"</formula>
    </cfRule>
    <cfRule type="expression" dxfId="23" priority="8">
      <formula>LEFT($B$55,3)="OJO"</formula>
    </cfRule>
  </conditionalFormatting>
  <conditionalFormatting sqref="K7:K26">
    <cfRule type="expression" dxfId="22" priority="2">
      <formula>$K7="OK"</formula>
    </cfRule>
    <cfRule type="expression" dxfId="21" priority="3">
      <formula>AND($K7&lt;&gt;"",$K7&lt;&gt;"OK")</formula>
    </cfRule>
  </conditionalFormatting>
  <conditionalFormatting sqref="M51:N54">
    <cfRule type="expression" dxfId="20" priority="6">
      <formula>M51="SÍ"</formula>
    </cfRule>
  </conditionalFormatting>
  <dataValidations count="2">
    <dataValidation type="list" allowBlank="1" errorTitle="Valor no válido" error="Elige una opción de la lista." sqref="D7:D26" xr:uid="{00000000-0002-0000-0100-000000000000}">
      <formula1>"MURO 1,MURO 2,MURO 3,MURO 4"</formula1>
      <formula2>0</formula2>
    </dataValidation>
    <dataValidation type="list" allowBlank="1" errorTitle="Valor no válido" error="Elige una opción de la lista." sqref="E7:E26" xr:uid="{00000000-0002-0000-0100-000001000000}">
      <formula1>"FIJA,OPERABLE"</formula1>
      <formula2>0</formula2>
    </dataValidation>
  </dataValidations>
  <pageMargins left="0.75" right="0.75"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O92"/>
  <sheetViews>
    <sheetView showGridLines="0" zoomScale="85" zoomScaleNormal="85" workbookViewId="0">
      <selection activeCell="L57" sqref="L57"/>
    </sheetView>
  </sheetViews>
  <sheetFormatPr baseColWidth="10" defaultColWidth="8.6640625" defaultRowHeight="14.4" x14ac:dyDescent="0.3"/>
  <cols>
    <col min="1" max="1" width="1.77734375" customWidth="1"/>
    <col min="2" max="2" width="38" customWidth="1"/>
    <col min="3" max="14" width="10.5546875" customWidth="1"/>
    <col min="15" max="15" width="30" customWidth="1"/>
  </cols>
  <sheetData>
    <row r="1" spans="2:15" ht="25.5" customHeight="1" x14ac:dyDescent="0.3">
      <c r="B1" s="51" t="s">
        <v>270</v>
      </c>
      <c r="C1" s="51"/>
      <c r="D1" s="51"/>
      <c r="E1" s="51"/>
      <c r="F1" s="51"/>
      <c r="G1" s="51"/>
      <c r="H1" s="51"/>
      <c r="I1" s="51"/>
      <c r="J1" s="51"/>
      <c r="K1" s="51"/>
      <c r="L1" s="51"/>
      <c r="M1" s="51"/>
      <c r="N1" s="51"/>
      <c r="O1" s="51"/>
    </row>
    <row r="2" spans="2:15" ht="19.5" customHeight="1" x14ac:dyDescent="0.3">
      <c r="B2" s="52" t="str">
        <f>DATOS!$C$7&amp;"  ·  techo "&amp;DATOS!$C$14&amp;IF(DATOS!$C$14="UN AGUA"," (alto en "&amp;DATOS!$C$24&amp;", pendiente en "&amp;DATOS!$C$22&amp;")",IF(OR(DATOS!$C$14="DOS AGUAS",DATOS!$C$14="CURVO")," (pendiente en "&amp;DATOS!$C$22&amp;")",""))&amp;"  ·  θ = "&amp;TEXT(DATOS!$C$26,"0.00")&amp;"°  ·  zona "&amp;DATOS!$C$54&amp;"  ·  "&amp;DATOS!$C$60&amp;"  ·  q_H = "&amp;TEXT($C$12,"0.00")&amp;" kg/m²"</f>
        <v>HANGAR NOSE-DOCK H5-H6  ·  techo UN AGUA (alto en MURO 1, pendiente en Z)  ·  θ = 2.86°  ·  zona C  ·  TIPO 1  ·  q_H = 48.83 kg/m²</v>
      </c>
      <c r="C2" s="52"/>
      <c r="D2" s="52"/>
      <c r="E2" s="52"/>
      <c r="F2" s="52"/>
      <c r="G2" s="52"/>
      <c r="H2" s="52"/>
      <c r="I2" s="52"/>
      <c r="J2" s="52"/>
      <c r="K2" s="52"/>
      <c r="L2" s="52"/>
      <c r="M2" s="52"/>
      <c r="N2" s="52"/>
      <c r="O2" s="52"/>
    </row>
    <row r="3" spans="2:15" ht="30" customHeight="1" x14ac:dyDescent="0.3">
      <c r="B3" s="57" t="str">
        <f>IF(DATOS!$C$28&lt;&gt;"OK","¡ATENCIÓN! Geometría: "&amp;DATOS!$C$28,IF(LEFT(ABERTURAS!$B$27,3)="OJO","¡ATENCIÓN! "&amp;ABERTURAS!$B$27,IF(COUNTIF($I$76:$I$79,"SIN MIEMBROS*")&gt;0,"OJO: hay un muro con presión que no tiene miembros en LINEAS (sección E): esa carga no entraría a STAAD.",IF(DATOS!$C$60="TIPO 2","OJO: estructura Tipo 2, las presiones ya van × 1.3 por ráfaga (4.6.1, pág. 7).",IF($C$22="SÍ","OJO: el techo tiene casos B (±0.4 o +0.3): mete también los casos B de la hoja STAAD.","Sin alertas: revisa los resultados de las secciones C a E.")))))</f>
        <v>Sin alertas: revisa los resultados de las secciones C a E.</v>
      </c>
      <c r="C3" s="57"/>
      <c r="D3" s="57"/>
      <c r="E3" s="57"/>
      <c r="F3" s="57"/>
      <c r="G3" s="57"/>
      <c r="H3" s="57"/>
      <c r="I3" s="57"/>
      <c r="J3" s="57"/>
      <c r="K3" s="57"/>
      <c r="L3" s="57"/>
      <c r="M3" s="57"/>
      <c r="N3" s="57"/>
      <c r="O3" s="57"/>
    </row>
    <row r="4" spans="2:15" ht="6" customHeight="1" x14ac:dyDescent="0.3"/>
    <row r="5" spans="2:15" ht="45" customHeight="1" x14ac:dyDescent="0.3">
      <c r="B5" s="53" t="s">
        <v>271</v>
      </c>
      <c r="C5" s="53"/>
      <c r="D5" s="53"/>
      <c r="E5" s="53"/>
      <c r="F5" s="53"/>
      <c r="G5" s="53"/>
      <c r="H5" s="53"/>
      <c r="I5" s="53"/>
      <c r="J5" s="53"/>
      <c r="K5" s="53"/>
      <c r="L5" s="53"/>
      <c r="M5" s="53"/>
      <c r="N5" s="53"/>
      <c r="O5" s="53"/>
    </row>
    <row r="6" spans="2:15" ht="6" customHeight="1" x14ac:dyDescent="0.3"/>
    <row r="7" spans="2:15" ht="21" customHeight="1" x14ac:dyDescent="0.3">
      <c r="B7" s="49" t="s">
        <v>272</v>
      </c>
      <c r="C7" s="49"/>
      <c r="D7" s="49"/>
      <c r="E7" s="49"/>
      <c r="F7" s="49"/>
      <c r="G7" s="49"/>
      <c r="H7" s="49"/>
      <c r="I7" s="49"/>
      <c r="J7" s="49"/>
      <c r="K7" s="49"/>
      <c r="L7" s="49"/>
      <c r="M7" s="49"/>
      <c r="N7" s="49"/>
      <c r="O7" s="49"/>
    </row>
    <row r="8" spans="2:15" ht="30" customHeight="1" x14ac:dyDescent="0.3">
      <c r="B8" s="2" t="s">
        <v>71</v>
      </c>
      <c r="C8" s="2" t="s">
        <v>72</v>
      </c>
      <c r="D8" s="2" t="s">
        <v>73</v>
      </c>
      <c r="E8" s="55" t="s">
        <v>273</v>
      </c>
      <c r="F8" s="55"/>
      <c r="G8" s="55"/>
      <c r="H8" s="55"/>
      <c r="I8" s="55"/>
      <c r="J8" s="55"/>
      <c r="K8" s="55"/>
      <c r="L8" s="55"/>
      <c r="M8" s="55"/>
      <c r="N8" s="55"/>
      <c r="O8" s="2" t="s">
        <v>75</v>
      </c>
    </row>
    <row r="9" spans="2:15" ht="16.5" customHeight="1" x14ac:dyDescent="0.3">
      <c r="B9" s="1" t="s">
        <v>274</v>
      </c>
      <c r="C9" s="16">
        <f>DATOS!$C$55*DATOS!$C$57*DATOS!$C$61</f>
        <v>48</v>
      </c>
      <c r="D9" s="14" t="s">
        <v>145</v>
      </c>
      <c r="E9" s="52" t="s">
        <v>275</v>
      </c>
      <c r="F9" s="52"/>
      <c r="G9" s="52"/>
      <c r="H9" s="52"/>
      <c r="I9" s="52"/>
      <c r="J9" s="52"/>
      <c r="K9" s="52"/>
      <c r="L9" s="52"/>
      <c r="M9" s="52"/>
      <c r="N9" s="52"/>
      <c r="O9" s="12" t="s">
        <v>276</v>
      </c>
    </row>
    <row r="10" spans="2:15" ht="16.5" customHeight="1" x14ac:dyDescent="0.3">
      <c r="B10" s="1" t="s">
        <v>277</v>
      </c>
      <c r="C10" s="16">
        <f>DATOS!$C$21</f>
        <v>10.62</v>
      </c>
      <c r="D10" s="14" t="s">
        <v>89</v>
      </c>
      <c r="E10" s="52" t="s">
        <v>278</v>
      </c>
      <c r="F10" s="52"/>
      <c r="G10" s="52"/>
      <c r="H10" s="52"/>
      <c r="I10" s="52"/>
      <c r="J10" s="52"/>
      <c r="K10" s="52"/>
      <c r="L10" s="52"/>
      <c r="M10" s="52"/>
      <c r="N10" s="52"/>
      <c r="O10" s="12" t="s">
        <v>80</v>
      </c>
    </row>
    <row r="11" spans="2:15" ht="16.5" customHeight="1" x14ac:dyDescent="0.3">
      <c r="B11" s="1" t="s">
        <v>279</v>
      </c>
      <c r="C11" s="31">
        <f>IF($C$10&lt;=10,1,($C$10/10)^(2/DATOS!$C$56))</f>
        <v>1.0173353785184902</v>
      </c>
      <c r="D11" s="14" t="s">
        <v>80</v>
      </c>
      <c r="E11" s="52" t="s">
        <v>280</v>
      </c>
      <c r="F11" s="52"/>
      <c r="G11" s="52"/>
      <c r="H11" s="52"/>
      <c r="I11" s="52"/>
      <c r="J11" s="52"/>
      <c r="K11" s="52"/>
      <c r="L11" s="52"/>
      <c r="M11" s="52"/>
      <c r="N11" s="52"/>
      <c r="O11" s="12" t="s">
        <v>281</v>
      </c>
    </row>
    <row r="12" spans="2:15" ht="29.25" customHeight="1" x14ac:dyDescent="0.3">
      <c r="B12" s="1" t="s">
        <v>282</v>
      </c>
      <c r="C12" s="29">
        <f>$C$11*$C$9</f>
        <v>48.832098168887526</v>
      </c>
      <c r="D12" s="14" t="s">
        <v>145</v>
      </c>
      <c r="E12" s="52" t="s">
        <v>283</v>
      </c>
      <c r="F12" s="52"/>
      <c r="G12" s="52"/>
      <c r="H12" s="52"/>
      <c r="I12" s="52"/>
      <c r="J12" s="52"/>
      <c r="K12" s="52"/>
      <c r="L12" s="52"/>
      <c r="M12" s="52"/>
      <c r="N12" s="52"/>
      <c r="O12" s="12" t="s">
        <v>284</v>
      </c>
    </row>
    <row r="13" spans="2:15" ht="24.75" customHeight="1" x14ac:dyDescent="0.3">
      <c r="B13" s="1" t="s">
        <v>285</v>
      </c>
      <c r="C13" s="16">
        <f>$C$10/2</f>
        <v>5.31</v>
      </c>
      <c r="D13" s="14" t="s">
        <v>89</v>
      </c>
      <c r="E13" s="52" t="s">
        <v>286</v>
      </c>
      <c r="F13" s="52"/>
      <c r="G13" s="52"/>
      <c r="H13" s="52"/>
      <c r="I13" s="52"/>
      <c r="J13" s="52"/>
      <c r="K13" s="52"/>
      <c r="L13" s="52"/>
      <c r="M13" s="52"/>
      <c r="N13" s="52"/>
      <c r="O13" s="12" t="s">
        <v>287</v>
      </c>
    </row>
    <row r="14" spans="2:15" ht="16.5" customHeight="1" x14ac:dyDescent="0.3">
      <c r="B14" s="1" t="s">
        <v>288</v>
      </c>
      <c r="C14" s="31">
        <f>IF($C$13&lt;=10,1,($C$13/10)^(2/DATOS!$C$56))</f>
        <v>1</v>
      </c>
      <c r="D14" s="14" t="s">
        <v>80</v>
      </c>
      <c r="E14" s="52" t="s">
        <v>289</v>
      </c>
      <c r="F14" s="52"/>
      <c r="G14" s="52"/>
      <c r="H14" s="52"/>
      <c r="I14" s="52"/>
      <c r="J14" s="52"/>
      <c r="K14" s="52"/>
      <c r="L14" s="52"/>
      <c r="M14" s="52"/>
      <c r="N14" s="52"/>
      <c r="O14" s="12" t="s">
        <v>281</v>
      </c>
    </row>
    <row r="15" spans="2:15" ht="16.5" customHeight="1" x14ac:dyDescent="0.3">
      <c r="B15" s="1" t="s">
        <v>290</v>
      </c>
      <c r="C15" s="29">
        <f>$C$14*$C$9</f>
        <v>48</v>
      </c>
      <c r="D15" s="14" t="s">
        <v>145</v>
      </c>
      <c r="E15" s="52" t="s">
        <v>116</v>
      </c>
      <c r="F15" s="52"/>
      <c r="G15" s="52"/>
      <c r="H15" s="52"/>
      <c r="I15" s="52"/>
      <c r="J15" s="52"/>
      <c r="K15" s="52"/>
      <c r="L15" s="52"/>
      <c r="M15" s="52"/>
      <c r="N15" s="52"/>
      <c r="O15" s="12" t="s">
        <v>291</v>
      </c>
    </row>
    <row r="16" spans="2:15" ht="16.5" customHeight="1" x14ac:dyDescent="0.3">
      <c r="B16" s="1" t="s">
        <v>125</v>
      </c>
      <c r="C16" s="16">
        <f>DATOS!$C$26</f>
        <v>2.8624052261117439</v>
      </c>
      <c r="D16" s="14" t="s">
        <v>126</v>
      </c>
      <c r="E16" s="52" t="s">
        <v>278</v>
      </c>
      <c r="F16" s="52"/>
      <c r="G16" s="52"/>
      <c r="H16" s="52"/>
      <c r="I16" s="52"/>
      <c r="J16" s="52"/>
      <c r="K16" s="52"/>
      <c r="L16" s="52"/>
      <c r="M16" s="52"/>
      <c r="N16" s="52"/>
      <c r="O16" s="12" t="s">
        <v>128</v>
      </c>
    </row>
    <row r="17" spans="2:15" ht="16.5" customHeight="1" x14ac:dyDescent="0.3">
      <c r="B17" s="1" t="s">
        <v>292</v>
      </c>
      <c r="C17" s="32">
        <f>IF(DATOS!$C$14="CURVO",IF(DATOS!$C$19="SÍ",$C$10/DATOS!$C$23,(DATOS!$C$18-DATOS!$C$17)/DATOS!$C$23),0)</f>
        <v>0</v>
      </c>
      <c r="D17" s="14" t="s">
        <v>80</v>
      </c>
      <c r="E17" s="52" t="s">
        <v>293</v>
      </c>
      <c r="F17" s="52"/>
      <c r="G17" s="52"/>
      <c r="H17" s="52"/>
      <c r="I17" s="52"/>
      <c r="J17" s="52"/>
      <c r="K17" s="52"/>
      <c r="L17" s="52"/>
      <c r="M17" s="52"/>
      <c r="N17" s="52"/>
      <c r="O17" s="12" t="s">
        <v>112</v>
      </c>
    </row>
    <row r="18" spans="2:15" ht="29.25" customHeight="1" x14ac:dyDescent="0.3">
      <c r="B18" s="1" t="s">
        <v>294</v>
      </c>
      <c r="C18" s="31">
        <f>IF(DATOS!$C$14="PLANO",0,IF(DATOS!$C$14="UN AGUA",IF(N(DATOS!$C$25)=0,-1,1)*(DATOS!$C$18-DATOS!$C$17)/DATOS!$C$23,IF(DATOS!$C$14="DOS AGUAS",1*2*(DATOS!$C$18-DATOS!$C$17)/DATOS!$C$23,3*(DATOS!$C$18-DATOS!$C$17)/DATOS!$C$23)))</f>
        <v>-4.9999999999999933E-2</v>
      </c>
      <c r="D18" s="14" t="s">
        <v>80</v>
      </c>
      <c r="E18" s="52" t="s">
        <v>295</v>
      </c>
      <c r="F18" s="52"/>
      <c r="G18" s="52"/>
      <c r="H18" s="52"/>
      <c r="I18" s="52"/>
      <c r="J18" s="52"/>
      <c r="K18" s="52"/>
      <c r="L18" s="52"/>
      <c r="M18" s="52"/>
      <c r="N18" s="52"/>
      <c r="O18" s="12" t="s">
        <v>296</v>
      </c>
    </row>
    <row r="19" spans="2:15" ht="29.25" customHeight="1" x14ac:dyDescent="0.3">
      <c r="B19" s="1" t="s">
        <v>297</v>
      </c>
      <c r="C19" s="31">
        <f>IF(DATOS!$C$14="PLANO",0,IF(DATOS!$C$14="UN AGUA",IF(N(DATOS!$C$25)=0,-1,1)*(DATOS!$C$18-DATOS!$C$17)/DATOS!$C$23,IF(DATOS!$C$14="DOS AGUAS",1*2*(DATOS!$C$18-DATOS!$C$17)/DATOS!$C$23,1*(DATOS!$C$18-DATOS!$C$17)/DATOS!$C$23)))</f>
        <v>-4.9999999999999933E-2</v>
      </c>
      <c r="D19" s="14" t="s">
        <v>80</v>
      </c>
      <c r="E19" s="52" t="s">
        <v>295</v>
      </c>
      <c r="F19" s="52"/>
      <c r="G19" s="52"/>
      <c r="H19" s="52"/>
      <c r="I19" s="52"/>
      <c r="J19" s="52"/>
      <c r="K19" s="52"/>
      <c r="L19" s="52"/>
      <c r="M19" s="52"/>
      <c r="N19" s="52"/>
      <c r="O19" s="12" t="s">
        <v>296</v>
      </c>
    </row>
    <row r="20" spans="2:15" ht="29.25" customHeight="1" x14ac:dyDescent="0.3">
      <c r="B20" s="1" t="s">
        <v>298</v>
      </c>
      <c r="C20" s="31">
        <f>IF(DATOS!$C$14="PLANO",0,IF(DATOS!$C$14="UN AGUA",IF(N(DATOS!$C$25)=0,-1,1)*(DATOS!$C$18-DATOS!$C$17)/DATOS!$C$23,IF(DATOS!$C$14="DOS AGUAS",-1*2*(DATOS!$C$18-DATOS!$C$17)/DATOS!$C$23,-1*(DATOS!$C$18-DATOS!$C$17)/DATOS!$C$23)))</f>
        <v>-4.9999999999999933E-2</v>
      </c>
      <c r="D20" s="14" t="s">
        <v>80</v>
      </c>
      <c r="E20" s="52" t="s">
        <v>295</v>
      </c>
      <c r="F20" s="52"/>
      <c r="G20" s="52"/>
      <c r="H20" s="52"/>
      <c r="I20" s="52"/>
      <c r="J20" s="52"/>
      <c r="K20" s="52"/>
      <c r="L20" s="52"/>
      <c r="M20" s="52"/>
      <c r="N20" s="52"/>
      <c r="O20" s="12" t="s">
        <v>296</v>
      </c>
    </row>
    <row r="21" spans="2:15" ht="29.25" customHeight="1" x14ac:dyDescent="0.3">
      <c r="B21" s="1" t="s">
        <v>299</v>
      </c>
      <c r="C21" s="31">
        <f>IF(DATOS!$C$14="PLANO",0,IF(DATOS!$C$14="UN AGUA",IF(N(DATOS!$C$25)=0,-1,1)*(DATOS!$C$18-DATOS!$C$17)/DATOS!$C$23,IF(DATOS!$C$14="DOS AGUAS",-1*2*(DATOS!$C$18-DATOS!$C$17)/DATOS!$C$23,-3*(DATOS!$C$18-DATOS!$C$17)/DATOS!$C$23)))</f>
        <v>-4.9999999999999933E-2</v>
      </c>
      <c r="D21" s="14" t="s">
        <v>80</v>
      </c>
      <c r="E21" s="52" t="s">
        <v>295</v>
      </c>
      <c r="F21" s="52"/>
      <c r="G21" s="52"/>
      <c r="H21" s="52"/>
      <c r="I21" s="52"/>
      <c r="J21" s="52"/>
      <c r="K21" s="52"/>
      <c r="L21" s="52"/>
      <c r="M21" s="52"/>
      <c r="N21" s="52"/>
      <c r="O21" s="12" t="s">
        <v>296</v>
      </c>
    </row>
    <row r="22" spans="2:15" ht="24.75" customHeight="1" x14ac:dyDescent="0.3">
      <c r="B22" s="1" t="s">
        <v>300</v>
      </c>
      <c r="C22" s="21" t="str">
        <f>IF(SUMPRODUCT(ABS($D$32:$D$35-$E$32:$E$35)+ABS($G$32:$G$35-$H$32:$H$35)+ABS($J$32:$J$35-$K$32:$K$35)+ABS($M$32:$M$35-$N$32:$N$35))&gt;0.0001,"SÍ","NO")</f>
        <v>NO</v>
      </c>
      <c r="D22" s="14" t="s">
        <v>80</v>
      </c>
      <c r="E22" s="52" t="s">
        <v>301</v>
      </c>
      <c r="F22" s="52"/>
      <c r="G22" s="52"/>
      <c r="H22" s="52"/>
      <c r="I22" s="52"/>
      <c r="J22" s="52"/>
      <c r="K22" s="52"/>
      <c r="L22" s="52"/>
      <c r="M22" s="52"/>
      <c r="N22" s="52"/>
      <c r="O22" s="12" t="s">
        <v>97</v>
      </c>
    </row>
    <row r="23" spans="2:15" ht="15" customHeight="1" x14ac:dyDescent="0.3"/>
    <row r="24" spans="2:15" ht="21" customHeight="1" x14ac:dyDescent="0.3">
      <c r="B24" s="49" t="s">
        <v>302</v>
      </c>
      <c r="C24" s="49"/>
      <c r="D24" s="49"/>
      <c r="E24" s="49"/>
      <c r="F24" s="49"/>
      <c r="G24" s="49"/>
      <c r="H24" s="49"/>
      <c r="I24" s="49"/>
      <c r="J24" s="49"/>
      <c r="K24" s="49"/>
      <c r="L24" s="49"/>
      <c r="M24" s="49"/>
      <c r="N24" s="49"/>
      <c r="O24" s="49"/>
    </row>
    <row r="25" spans="2:15" ht="45" customHeight="1" x14ac:dyDescent="0.3">
      <c r="B25" s="50" t="s">
        <v>303</v>
      </c>
      <c r="C25" s="50"/>
      <c r="D25" s="50"/>
      <c r="E25" s="50"/>
      <c r="F25" s="50"/>
      <c r="G25" s="50"/>
      <c r="H25" s="50"/>
      <c r="I25" s="50"/>
      <c r="J25" s="50"/>
      <c r="K25" s="50"/>
      <c r="L25" s="50"/>
      <c r="M25" s="50"/>
      <c r="N25" s="50"/>
      <c r="O25" s="50"/>
    </row>
    <row r="26" spans="2:15" ht="19.5" customHeight="1" x14ac:dyDescent="0.3">
      <c r="B26" s="2" t="s">
        <v>304</v>
      </c>
      <c r="C26" s="55" t="s">
        <v>305</v>
      </c>
      <c r="D26" s="55"/>
      <c r="E26" s="55"/>
      <c r="F26" s="55" t="s">
        <v>306</v>
      </c>
      <c r="G26" s="55"/>
      <c r="H26" s="55"/>
      <c r="I26" s="55" t="s">
        <v>307</v>
      </c>
      <c r="J26" s="55"/>
      <c r="K26" s="55"/>
      <c r="L26" s="55" t="s">
        <v>308</v>
      </c>
      <c r="M26" s="55"/>
      <c r="N26" s="55"/>
    </row>
    <row r="27" spans="2:15" ht="30" customHeight="1" x14ac:dyDescent="0.3">
      <c r="B27" s="2" t="s">
        <v>309</v>
      </c>
      <c r="C27" s="2" t="s">
        <v>310</v>
      </c>
      <c r="D27" s="2" t="s">
        <v>311</v>
      </c>
      <c r="E27" s="2" t="s">
        <v>312</v>
      </c>
      <c r="F27" s="2" t="s">
        <v>310</v>
      </c>
      <c r="G27" s="2" t="s">
        <v>311</v>
      </c>
      <c r="H27" s="2" t="s">
        <v>312</v>
      </c>
      <c r="I27" s="2" t="s">
        <v>310</v>
      </c>
      <c r="J27" s="2" t="s">
        <v>311</v>
      </c>
      <c r="K27" s="2" t="s">
        <v>312</v>
      </c>
      <c r="L27" s="2" t="s">
        <v>310</v>
      </c>
      <c r="M27" s="2" t="s">
        <v>311</v>
      </c>
      <c r="N27" s="2" t="s">
        <v>312</v>
      </c>
      <c r="O27" s="2" t="s">
        <v>75</v>
      </c>
    </row>
    <row r="28" spans="2:15" ht="16.5" customHeight="1" x14ac:dyDescent="0.3">
      <c r="B28" s="1" t="s">
        <v>253</v>
      </c>
      <c r="C28" s="33" t="s">
        <v>313</v>
      </c>
      <c r="D28" s="34">
        <f>TABLAS!$D$16</f>
        <v>-0.7</v>
      </c>
      <c r="E28" s="34">
        <f>$D$28</f>
        <v>-0.7</v>
      </c>
      <c r="F28" s="33" t="s">
        <v>313</v>
      </c>
      <c r="G28" s="34">
        <f>TABLAS!$D$16</f>
        <v>-0.7</v>
      </c>
      <c r="H28" s="34">
        <f>$G$28</f>
        <v>-0.7</v>
      </c>
      <c r="I28" s="33" t="s">
        <v>314</v>
      </c>
      <c r="J28" s="34">
        <f>TABLAS!$D$14</f>
        <v>0.8</v>
      </c>
      <c r="K28" s="34">
        <f>$J$28</f>
        <v>0.8</v>
      </c>
      <c r="L28" s="33" t="s">
        <v>315</v>
      </c>
      <c r="M28" s="34">
        <f>TABLAS!$D$15</f>
        <v>-0.5</v>
      </c>
      <c r="N28" s="34">
        <f>$M$28</f>
        <v>-0.5</v>
      </c>
      <c r="O28" s="12" t="s">
        <v>128</v>
      </c>
    </row>
    <row r="29" spans="2:15" ht="16.5" customHeight="1" x14ac:dyDescent="0.3">
      <c r="B29" s="1" t="s">
        <v>254</v>
      </c>
      <c r="C29" s="33" t="s">
        <v>313</v>
      </c>
      <c r="D29" s="34">
        <f>TABLAS!$D$16</f>
        <v>-0.7</v>
      </c>
      <c r="E29" s="34">
        <f>$D$29</f>
        <v>-0.7</v>
      </c>
      <c r="F29" s="33" t="s">
        <v>313</v>
      </c>
      <c r="G29" s="34">
        <f>TABLAS!$D$16</f>
        <v>-0.7</v>
      </c>
      <c r="H29" s="34">
        <f>$G$29</f>
        <v>-0.7</v>
      </c>
      <c r="I29" s="33" t="s">
        <v>315</v>
      </c>
      <c r="J29" s="34">
        <f>TABLAS!$D$15</f>
        <v>-0.5</v>
      </c>
      <c r="K29" s="34">
        <f>$J$29</f>
        <v>-0.5</v>
      </c>
      <c r="L29" s="33" t="s">
        <v>314</v>
      </c>
      <c r="M29" s="34">
        <f>TABLAS!$D$14</f>
        <v>0.8</v>
      </c>
      <c r="N29" s="34">
        <f>$M$29</f>
        <v>0.8</v>
      </c>
      <c r="O29" s="12" t="s">
        <v>128</v>
      </c>
    </row>
    <row r="30" spans="2:15" ht="16.5" customHeight="1" x14ac:dyDescent="0.3">
      <c r="B30" s="1" t="s">
        <v>255</v>
      </c>
      <c r="C30" s="33" t="s">
        <v>314</v>
      </c>
      <c r="D30" s="34">
        <f>TABLAS!$D$14</f>
        <v>0.8</v>
      </c>
      <c r="E30" s="34">
        <f>$D$30</f>
        <v>0.8</v>
      </c>
      <c r="F30" s="33" t="s">
        <v>315</v>
      </c>
      <c r="G30" s="34">
        <f>TABLAS!$D$15</f>
        <v>-0.5</v>
      </c>
      <c r="H30" s="34">
        <f>$G$30</f>
        <v>-0.5</v>
      </c>
      <c r="I30" s="33" t="s">
        <v>313</v>
      </c>
      <c r="J30" s="34">
        <f>TABLAS!$D$16</f>
        <v>-0.7</v>
      </c>
      <c r="K30" s="34">
        <f>$J$30</f>
        <v>-0.7</v>
      </c>
      <c r="L30" s="33" t="s">
        <v>313</v>
      </c>
      <c r="M30" s="34">
        <f>TABLAS!$D$16</f>
        <v>-0.7</v>
      </c>
      <c r="N30" s="34">
        <f>$M$30</f>
        <v>-0.7</v>
      </c>
      <c r="O30" s="12" t="s">
        <v>128</v>
      </c>
    </row>
    <row r="31" spans="2:15" ht="16.5" customHeight="1" x14ac:dyDescent="0.3">
      <c r="B31" s="1" t="s">
        <v>256</v>
      </c>
      <c r="C31" s="33" t="s">
        <v>315</v>
      </c>
      <c r="D31" s="34">
        <f>TABLAS!$D$15</f>
        <v>-0.5</v>
      </c>
      <c r="E31" s="34">
        <f>$D$31</f>
        <v>-0.5</v>
      </c>
      <c r="F31" s="33" t="s">
        <v>314</v>
      </c>
      <c r="G31" s="34">
        <f>TABLAS!$D$14</f>
        <v>0.8</v>
      </c>
      <c r="H31" s="34">
        <f>$G$31</f>
        <v>0.8</v>
      </c>
      <c r="I31" s="33" t="s">
        <v>313</v>
      </c>
      <c r="J31" s="34">
        <f>TABLAS!$D$16</f>
        <v>-0.7</v>
      </c>
      <c r="K31" s="34">
        <f>$J$31</f>
        <v>-0.7</v>
      </c>
      <c r="L31" s="33" t="s">
        <v>313</v>
      </c>
      <c r="M31" s="34">
        <f>TABLAS!$D$16</f>
        <v>-0.7</v>
      </c>
      <c r="N31" s="34">
        <f>$M$31</f>
        <v>-0.7</v>
      </c>
      <c r="O31" s="12" t="s">
        <v>128</v>
      </c>
    </row>
    <row r="32" spans="2:15" ht="25.5" customHeight="1" x14ac:dyDescent="0.3">
      <c r="B32" s="1" t="str">
        <f>"Techo — cuarto 1 (s = "&amp;TEXT(DATOS!$C$23*0/4,"0.00")&amp;" a "&amp;TEXT(DATOS!$C$23*1/4,"0.00")&amp;" m)"</f>
        <v>Techo — cuarto 1 (s = 0.00 a 4.00 m)</v>
      </c>
      <c r="C32" s="33" t="str">
        <f>IF(DATOS!$C$14="PLANO","HORIZONTAL",IF(NOT(DATOS!$C$22="X"),"PARALELO",IF(DATOS!$C$14="UN AGUA",IF(N(DATOS!$C$25)&gt;0,"BARLOVENTO","SOTAVENTO"),IF(DATOS!$C$14="DOS AGUAS","BARLOVENTO","A1 BARLOVENTO"))))</f>
        <v>PARALELO</v>
      </c>
      <c r="D32" s="34">
        <f>IF(DATOS!$C$14="PLANO",-0.7,IF(NOT(DATOS!$C$22="X"),-0.7,IF(DATOS!$C$14="UN AGUA",IF(N(DATOS!$C$25)&gt;0,IF($C$16&lt;30,-0.7,IF($C$16&lt;=50,-0.4,0.8)),-0.7),IF(DATOS!$C$14="DOS AGUAS",IF($C$16&lt;30,-0.7,IF($C$16&lt;=50,-0.4,0.8)),IF(DATOS!$C$19="SÍ",MIN(1.4*$C$17,0.9),IF($C$17&lt;0.2,-0.8,IF($C$17&lt;=0.3,-0.8,2*$C$17-0.3)))))))</f>
        <v>-0.7</v>
      </c>
      <c r="E32" s="34">
        <f>IF(DATOS!$C$14="PLANO",-0.7,IF(NOT(DATOS!$C$22="X"),-0.7,IF(DATOS!$C$14="UN AGUA",IF(N(DATOS!$C$25)&gt;0,IF($C$16&lt;30,-0.7,IF($C$16&lt;=50,0.4,0.8)),-0.7),IF(DATOS!$C$14="DOS AGUAS",IF($C$16&lt;30,-0.7,IF($C$16&lt;=50,0.4,0.8)),IF(DATOS!$C$19="SÍ",MIN(1.4*$C$17,0.9),IF($C$17&lt;0.2,-0.8,IF($C$17&lt;=0.3,0.3,2*$C$17-0.3)))))))</f>
        <v>-0.7</v>
      </c>
      <c r="F32" s="33" t="str">
        <f>IF(DATOS!$C$14="PLANO","HORIZONTAL",IF(NOT(DATOS!$C$22="X"),"PARALELO",IF(DATOS!$C$14="UN AGUA",IF(N(DATOS!$C$25)=0,"BARLOVENTO","SOTAVENTO"),IF(DATOS!$C$14="DOS AGUAS","SOTAVENTO","A3 SOTAVENTO"))))</f>
        <v>PARALELO</v>
      </c>
      <c r="G32" s="34">
        <f>IF(DATOS!$C$14="PLANO",-0.7,IF(NOT(DATOS!$C$22="X"),-0.7,IF(DATOS!$C$14="UN AGUA",IF(N(DATOS!$C$25)=0,IF($C$16&lt;30,-0.7,IF($C$16&lt;=50,-0.4,0.8)),-0.7),IF(DATOS!$C$14="DOS AGUAS",-0.7,-0.5))))</f>
        <v>-0.7</v>
      </c>
      <c r="H32" s="34">
        <f>IF(DATOS!$C$14="PLANO",-0.7,IF(NOT(DATOS!$C$22="X"),-0.7,IF(DATOS!$C$14="UN AGUA",IF(N(DATOS!$C$25)=0,IF($C$16&lt;30,-0.7,IF($C$16&lt;=50,0.4,0.8)),-0.7),IF(DATOS!$C$14="DOS AGUAS",-0.7,-0.5))))</f>
        <v>-0.7</v>
      </c>
      <c r="I32" s="33" t="str">
        <f>IF(DATOS!$C$14="PLANO","HORIZONTAL",IF(NOT(DATOS!$C$22="Z"),"PARALELO",IF(DATOS!$C$14="UN AGUA",IF(N(DATOS!$C$25)&gt;0,"BARLOVENTO","SOTAVENTO"),IF(DATOS!$C$14="DOS AGUAS","BARLOVENTO","A1 BARLOVENTO"))))</f>
        <v>SOTAVENTO</v>
      </c>
      <c r="J32" s="34">
        <f>IF(DATOS!$C$14="PLANO",-0.7,IF(NOT(DATOS!$C$22="Z"),-0.7,IF(DATOS!$C$14="UN AGUA",IF(N(DATOS!$C$25)&gt;0,IF($C$16&lt;30,-0.7,IF($C$16&lt;=50,-0.4,0.8)),-0.7),IF(DATOS!$C$14="DOS AGUAS",IF($C$16&lt;30,-0.7,IF($C$16&lt;=50,-0.4,0.8)),IF(DATOS!$C$19="SÍ",MIN(1.4*$C$17,0.9),IF($C$17&lt;0.2,-0.8,IF($C$17&lt;=0.3,-0.8,2*$C$17-0.3)))))))</f>
        <v>-0.7</v>
      </c>
      <c r="K32" s="34">
        <f>IF(DATOS!$C$14="PLANO",-0.7,IF(NOT(DATOS!$C$22="Z"),-0.7,IF(DATOS!$C$14="UN AGUA",IF(N(DATOS!$C$25)&gt;0,IF($C$16&lt;30,-0.7,IF($C$16&lt;=50,0.4,0.8)),-0.7),IF(DATOS!$C$14="DOS AGUAS",IF($C$16&lt;30,-0.7,IF($C$16&lt;=50,0.4,0.8)),IF(DATOS!$C$19="SÍ",MIN(1.4*$C$17,0.9),IF($C$17&lt;0.2,-0.8,IF($C$17&lt;=0.3,0.3,2*$C$17-0.3)))))))</f>
        <v>-0.7</v>
      </c>
      <c r="L32" s="33" t="str">
        <f>IF(DATOS!$C$14="PLANO","HORIZONTAL",IF(NOT(DATOS!$C$22="Z"),"PARALELO",IF(DATOS!$C$14="UN AGUA",IF(N(DATOS!$C$25)=0,"BARLOVENTO","SOTAVENTO"),IF(DATOS!$C$14="DOS AGUAS","SOTAVENTO","A3 SOTAVENTO"))))</f>
        <v>BARLOVENTO</v>
      </c>
      <c r="M32" s="34">
        <f>IF(DATOS!$C$14="PLANO",-0.7,IF(NOT(DATOS!$C$22="Z"),-0.7,IF(DATOS!$C$14="UN AGUA",IF(N(DATOS!$C$25)=0,IF($C$16&lt;30,-0.7,IF($C$16&lt;=50,-0.4,0.8)),-0.7),IF(DATOS!$C$14="DOS AGUAS",-0.7,-0.5))))</f>
        <v>-0.7</v>
      </c>
      <c r="N32" s="34">
        <f>IF(DATOS!$C$14="PLANO",-0.7,IF(NOT(DATOS!$C$22="Z"),-0.7,IF(DATOS!$C$14="UN AGUA",IF(N(DATOS!$C$25)=0,IF($C$16&lt;30,-0.7,IF($C$16&lt;=50,0.4,0.8)),-0.7),IF(DATOS!$C$14="DOS AGUAS",-0.7,-0.5))))</f>
        <v>-0.7</v>
      </c>
      <c r="O32" s="12" t="s">
        <v>97</v>
      </c>
    </row>
    <row r="33" spans="2:15" ht="25.5" customHeight="1" x14ac:dyDescent="0.3">
      <c r="B33" s="1" t="str">
        <f>"Techo — cuarto 2 (s = "&amp;TEXT(DATOS!$C$23*1/4,"0.00")&amp;" a "&amp;TEXT(DATOS!$C$23*2/4,"0.00")&amp;" m)"</f>
        <v>Techo — cuarto 2 (s = 4.00 a 8.00 m)</v>
      </c>
      <c r="C33" s="33" t="str">
        <f>IF(DATOS!$C$14="PLANO","HORIZONTAL",IF(NOT(DATOS!$C$22="X"),"PARALELO",IF(DATOS!$C$14="UN AGUA",IF(N(DATOS!$C$25)&gt;0,"BARLOVENTO","SOTAVENTO"),IF(DATOS!$C$14="DOS AGUAS","BARLOVENTO","A2 CENTRAL"))))</f>
        <v>PARALELO</v>
      </c>
      <c r="D33" s="34">
        <f>IF(DATOS!$C$14="PLANO",-0.7,IF(NOT(DATOS!$C$22="X"),-0.7,IF(DATOS!$C$14="UN AGUA",IF(N(DATOS!$C$25)&gt;0,IF($C$16&lt;30,-0.7,IF($C$16&lt;=50,-0.4,0.8)),-0.7),IF(DATOS!$C$14="DOS AGUAS",IF($C$16&lt;30,-0.7,IF($C$16&lt;=50,-0.4,0.8)),-0.7-$C$17))))</f>
        <v>-0.7</v>
      </c>
      <c r="E33" s="34">
        <f>IF(DATOS!$C$14="PLANO",-0.7,IF(NOT(DATOS!$C$22="X"),-0.7,IF(DATOS!$C$14="UN AGUA",IF(N(DATOS!$C$25)&gt;0,IF($C$16&lt;30,-0.7,IF($C$16&lt;=50,0.4,0.8)),-0.7),IF(DATOS!$C$14="DOS AGUAS",IF($C$16&lt;30,-0.7,IF($C$16&lt;=50,0.4,0.8)),-0.7-$C$17))))</f>
        <v>-0.7</v>
      </c>
      <c r="F33" s="33" t="str">
        <f>IF(DATOS!$C$14="PLANO","HORIZONTAL",IF(NOT(DATOS!$C$22="X"),"PARALELO",IF(DATOS!$C$14="UN AGUA",IF(N(DATOS!$C$25)=0,"BARLOVENTO","SOTAVENTO"),IF(DATOS!$C$14="DOS AGUAS","SOTAVENTO","A2 CENTRAL"))))</f>
        <v>PARALELO</v>
      </c>
      <c r="G33" s="34">
        <f>IF(DATOS!$C$14="PLANO",-0.7,IF(NOT(DATOS!$C$22="X"),-0.7,IF(DATOS!$C$14="UN AGUA",IF(N(DATOS!$C$25)=0,IF($C$16&lt;30,-0.7,IF($C$16&lt;=50,-0.4,0.8)),-0.7),IF(DATOS!$C$14="DOS AGUAS",-0.7,-0.7-$C$17))))</f>
        <v>-0.7</v>
      </c>
      <c r="H33" s="34">
        <f>IF(DATOS!$C$14="PLANO",-0.7,IF(NOT(DATOS!$C$22="X"),-0.7,IF(DATOS!$C$14="UN AGUA",IF(N(DATOS!$C$25)=0,IF($C$16&lt;30,-0.7,IF($C$16&lt;=50,0.4,0.8)),-0.7),IF(DATOS!$C$14="DOS AGUAS",-0.7,-0.7-$C$17))))</f>
        <v>-0.7</v>
      </c>
      <c r="I33" s="33" t="str">
        <f>IF(DATOS!$C$14="PLANO","HORIZONTAL",IF(NOT(DATOS!$C$22="Z"),"PARALELO",IF(DATOS!$C$14="UN AGUA",IF(N(DATOS!$C$25)&gt;0,"BARLOVENTO","SOTAVENTO"),IF(DATOS!$C$14="DOS AGUAS","BARLOVENTO","A2 CENTRAL"))))</f>
        <v>SOTAVENTO</v>
      </c>
      <c r="J33" s="34">
        <f>IF(DATOS!$C$14="PLANO",-0.7,IF(NOT(DATOS!$C$22="Z"),-0.7,IF(DATOS!$C$14="UN AGUA",IF(N(DATOS!$C$25)&gt;0,IF($C$16&lt;30,-0.7,IF($C$16&lt;=50,-0.4,0.8)),-0.7),IF(DATOS!$C$14="DOS AGUAS",IF($C$16&lt;30,-0.7,IF($C$16&lt;=50,-0.4,0.8)),-0.7-$C$17))))</f>
        <v>-0.7</v>
      </c>
      <c r="K33" s="34">
        <f>IF(DATOS!$C$14="PLANO",-0.7,IF(NOT(DATOS!$C$22="Z"),-0.7,IF(DATOS!$C$14="UN AGUA",IF(N(DATOS!$C$25)&gt;0,IF($C$16&lt;30,-0.7,IF($C$16&lt;=50,0.4,0.8)),-0.7),IF(DATOS!$C$14="DOS AGUAS",IF($C$16&lt;30,-0.7,IF($C$16&lt;=50,0.4,0.8)),-0.7-$C$17))))</f>
        <v>-0.7</v>
      </c>
      <c r="L33" s="33" t="str">
        <f>IF(DATOS!$C$14="PLANO","HORIZONTAL",IF(NOT(DATOS!$C$22="Z"),"PARALELO",IF(DATOS!$C$14="UN AGUA",IF(N(DATOS!$C$25)=0,"BARLOVENTO","SOTAVENTO"),IF(DATOS!$C$14="DOS AGUAS","SOTAVENTO","A2 CENTRAL"))))</f>
        <v>BARLOVENTO</v>
      </c>
      <c r="M33" s="34">
        <f>IF(DATOS!$C$14="PLANO",-0.7,IF(NOT(DATOS!$C$22="Z"),-0.7,IF(DATOS!$C$14="UN AGUA",IF(N(DATOS!$C$25)=0,IF($C$16&lt;30,-0.7,IF($C$16&lt;=50,-0.4,0.8)),-0.7),IF(DATOS!$C$14="DOS AGUAS",-0.7,-0.7-$C$17))))</f>
        <v>-0.7</v>
      </c>
      <c r="N33" s="34">
        <f>IF(DATOS!$C$14="PLANO",-0.7,IF(NOT(DATOS!$C$22="Z"),-0.7,IF(DATOS!$C$14="UN AGUA",IF(N(DATOS!$C$25)=0,IF($C$16&lt;30,-0.7,IF($C$16&lt;=50,0.4,0.8)),-0.7),IF(DATOS!$C$14="DOS AGUAS",-0.7,-0.7-$C$17))))</f>
        <v>-0.7</v>
      </c>
      <c r="O33" s="12" t="s">
        <v>97</v>
      </c>
    </row>
    <row r="34" spans="2:15" ht="25.5" customHeight="1" x14ac:dyDescent="0.3">
      <c r="B34" s="1" t="str">
        <f>"Techo — cuarto 3 (s = "&amp;TEXT(DATOS!$C$23*2/4,"0.00")&amp;" a "&amp;TEXT(DATOS!$C$23*3/4,"0.00")&amp;" m)"</f>
        <v>Techo — cuarto 3 (s = 8.00 a 12.00 m)</v>
      </c>
      <c r="C34" s="33" t="str">
        <f>IF(DATOS!$C$14="PLANO","HORIZONTAL",IF(NOT(DATOS!$C$22="X"),"PARALELO",IF(DATOS!$C$14="UN AGUA",IF(N(DATOS!$C$25)&gt;0,"BARLOVENTO","SOTAVENTO"),IF(DATOS!$C$14="DOS AGUAS","SOTAVENTO","A2 CENTRAL"))))</f>
        <v>PARALELO</v>
      </c>
      <c r="D34" s="34">
        <f>IF(DATOS!$C$14="PLANO",-0.7,IF(NOT(DATOS!$C$22="X"),-0.7,IF(DATOS!$C$14="UN AGUA",IF(N(DATOS!$C$25)&gt;0,IF($C$16&lt;30,-0.7,IF($C$16&lt;=50,-0.4,0.8)),-0.7),IF(DATOS!$C$14="DOS AGUAS",-0.7,-0.7-$C$17))))</f>
        <v>-0.7</v>
      </c>
      <c r="E34" s="34">
        <f>IF(DATOS!$C$14="PLANO",-0.7,IF(NOT(DATOS!$C$22="X"),-0.7,IF(DATOS!$C$14="UN AGUA",IF(N(DATOS!$C$25)&gt;0,IF($C$16&lt;30,-0.7,IF($C$16&lt;=50,0.4,0.8)),-0.7),IF(DATOS!$C$14="DOS AGUAS",-0.7,-0.7-$C$17))))</f>
        <v>-0.7</v>
      </c>
      <c r="F34" s="33" t="str">
        <f>IF(DATOS!$C$14="PLANO","HORIZONTAL",IF(NOT(DATOS!$C$22="X"),"PARALELO",IF(DATOS!$C$14="UN AGUA",IF(N(DATOS!$C$25)=0,"BARLOVENTO","SOTAVENTO"),IF(DATOS!$C$14="DOS AGUAS","BARLOVENTO","A2 CENTRAL"))))</f>
        <v>PARALELO</v>
      </c>
      <c r="G34" s="34">
        <f>IF(DATOS!$C$14="PLANO",-0.7,IF(NOT(DATOS!$C$22="X"),-0.7,IF(DATOS!$C$14="UN AGUA",IF(N(DATOS!$C$25)=0,IF($C$16&lt;30,-0.7,IF($C$16&lt;=50,-0.4,0.8)),-0.7),IF(DATOS!$C$14="DOS AGUAS",IF($C$16&lt;30,-0.7,IF($C$16&lt;=50,-0.4,0.8)),-0.7-$C$17))))</f>
        <v>-0.7</v>
      </c>
      <c r="H34" s="34">
        <f>IF(DATOS!$C$14="PLANO",-0.7,IF(NOT(DATOS!$C$22="X"),-0.7,IF(DATOS!$C$14="UN AGUA",IF(N(DATOS!$C$25)=0,IF($C$16&lt;30,-0.7,IF($C$16&lt;=50,0.4,0.8)),-0.7),IF(DATOS!$C$14="DOS AGUAS",IF($C$16&lt;30,-0.7,IF($C$16&lt;=50,0.4,0.8)),-0.7-$C$17))))</f>
        <v>-0.7</v>
      </c>
      <c r="I34" s="33" t="str">
        <f>IF(DATOS!$C$14="PLANO","HORIZONTAL",IF(NOT(DATOS!$C$22="Z"),"PARALELO",IF(DATOS!$C$14="UN AGUA",IF(N(DATOS!$C$25)&gt;0,"BARLOVENTO","SOTAVENTO"),IF(DATOS!$C$14="DOS AGUAS","SOTAVENTO","A2 CENTRAL"))))</f>
        <v>SOTAVENTO</v>
      </c>
      <c r="J34" s="34">
        <f>IF(DATOS!$C$14="PLANO",-0.7,IF(NOT(DATOS!$C$22="Z"),-0.7,IF(DATOS!$C$14="UN AGUA",IF(N(DATOS!$C$25)&gt;0,IF($C$16&lt;30,-0.7,IF($C$16&lt;=50,-0.4,0.8)),-0.7),IF(DATOS!$C$14="DOS AGUAS",-0.7,-0.7-$C$17))))</f>
        <v>-0.7</v>
      </c>
      <c r="K34" s="34">
        <f>IF(DATOS!$C$14="PLANO",-0.7,IF(NOT(DATOS!$C$22="Z"),-0.7,IF(DATOS!$C$14="UN AGUA",IF(N(DATOS!$C$25)&gt;0,IF($C$16&lt;30,-0.7,IF($C$16&lt;=50,0.4,0.8)),-0.7),IF(DATOS!$C$14="DOS AGUAS",-0.7,-0.7-$C$17))))</f>
        <v>-0.7</v>
      </c>
      <c r="L34" s="33" t="str">
        <f>IF(DATOS!$C$14="PLANO","HORIZONTAL",IF(NOT(DATOS!$C$22="Z"),"PARALELO",IF(DATOS!$C$14="UN AGUA",IF(N(DATOS!$C$25)=0,"BARLOVENTO","SOTAVENTO"),IF(DATOS!$C$14="DOS AGUAS","BARLOVENTO","A2 CENTRAL"))))</f>
        <v>BARLOVENTO</v>
      </c>
      <c r="M34" s="34">
        <f>IF(DATOS!$C$14="PLANO",-0.7,IF(NOT(DATOS!$C$22="Z"),-0.7,IF(DATOS!$C$14="UN AGUA",IF(N(DATOS!$C$25)=0,IF($C$16&lt;30,-0.7,IF($C$16&lt;=50,-0.4,0.8)),-0.7),IF(DATOS!$C$14="DOS AGUAS",IF($C$16&lt;30,-0.7,IF($C$16&lt;=50,-0.4,0.8)),-0.7-$C$17))))</f>
        <v>-0.7</v>
      </c>
      <c r="N34" s="34">
        <f>IF(DATOS!$C$14="PLANO",-0.7,IF(NOT(DATOS!$C$22="Z"),-0.7,IF(DATOS!$C$14="UN AGUA",IF(N(DATOS!$C$25)=0,IF($C$16&lt;30,-0.7,IF($C$16&lt;=50,0.4,0.8)),-0.7),IF(DATOS!$C$14="DOS AGUAS",IF($C$16&lt;30,-0.7,IF($C$16&lt;=50,0.4,0.8)),-0.7-$C$17))))</f>
        <v>-0.7</v>
      </c>
      <c r="O34" s="12" t="s">
        <v>97</v>
      </c>
    </row>
    <row r="35" spans="2:15" ht="25.5" customHeight="1" x14ac:dyDescent="0.3">
      <c r="B35" s="1" t="str">
        <f>"Techo — cuarto 4 (s = "&amp;TEXT(DATOS!$C$23*3/4,"0.00")&amp;" a "&amp;TEXT(DATOS!$C$23*4/4,"0.00")&amp;" m)"</f>
        <v>Techo — cuarto 4 (s = 12.00 a 16.00 m)</v>
      </c>
      <c r="C35" s="33" t="str">
        <f>IF(DATOS!$C$14="PLANO","HORIZONTAL",IF(NOT(DATOS!$C$22="X"),"PARALELO",IF(DATOS!$C$14="UN AGUA",IF(N(DATOS!$C$25)&gt;0,"BARLOVENTO","SOTAVENTO"),IF(DATOS!$C$14="DOS AGUAS","SOTAVENTO","A3 SOTAVENTO"))))</f>
        <v>PARALELO</v>
      </c>
      <c r="D35" s="34">
        <f>IF(DATOS!$C$14="PLANO",-0.7,IF(NOT(DATOS!$C$22="X"),-0.7,IF(DATOS!$C$14="UN AGUA",IF(N(DATOS!$C$25)&gt;0,IF($C$16&lt;30,-0.7,IF($C$16&lt;=50,-0.4,0.8)),-0.7),IF(DATOS!$C$14="DOS AGUAS",-0.7,-0.5))))</f>
        <v>-0.7</v>
      </c>
      <c r="E35" s="34">
        <f>IF(DATOS!$C$14="PLANO",-0.7,IF(NOT(DATOS!$C$22="X"),-0.7,IF(DATOS!$C$14="UN AGUA",IF(N(DATOS!$C$25)&gt;0,IF($C$16&lt;30,-0.7,IF($C$16&lt;=50,0.4,0.8)),-0.7),IF(DATOS!$C$14="DOS AGUAS",-0.7,-0.5))))</f>
        <v>-0.7</v>
      </c>
      <c r="F35" s="33" t="str">
        <f>IF(DATOS!$C$14="PLANO","HORIZONTAL",IF(NOT(DATOS!$C$22="X"),"PARALELO",IF(DATOS!$C$14="UN AGUA",IF(N(DATOS!$C$25)=0,"BARLOVENTO","SOTAVENTO"),IF(DATOS!$C$14="DOS AGUAS","BARLOVENTO","A1 BARLOVENTO"))))</f>
        <v>PARALELO</v>
      </c>
      <c r="G35" s="34">
        <f>IF(DATOS!$C$14="PLANO",-0.7,IF(NOT(DATOS!$C$22="X"),-0.7,IF(DATOS!$C$14="UN AGUA",IF(N(DATOS!$C$25)=0,IF($C$16&lt;30,-0.7,IF($C$16&lt;=50,-0.4,0.8)),-0.7),IF(DATOS!$C$14="DOS AGUAS",IF($C$16&lt;30,-0.7,IF($C$16&lt;=50,-0.4,0.8)),IF(DATOS!$C$19="SÍ",MIN(1.4*$C$17,0.9),IF($C$17&lt;0.2,-0.8,IF($C$17&lt;=0.3,-0.8,2*$C$17-0.3)))))))</f>
        <v>-0.7</v>
      </c>
      <c r="H35" s="34">
        <f>IF(DATOS!$C$14="PLANO",-0.7,IF(NOT(DATOS!$C$22="X"),-0.7,IF(DATOS!$C$14="UN AGUA",IF(N(DATOS!$C$25)=0,IF($C$16&lt;30,-0.7,IF($C$16&lt;=50,0.4,0.8)),-0.7),IF(DATOS!$C$14="DOS AGUAS",IF($C$16&lt;30,-0.7,IF($C$16&lt;=50,0.4,0.8)),IF(DATOS!$C$19="SÍ",MIN(1.4*$C$17,0.9),IF($C$17&lt;0.2,-0.8,IF($C$17&lt;=0.3,0.3,2*$C$17-0.3)))))))</f>
        <v>-0.7</v>
      </c>
      <c r="I35" s="33" t="str">
        <f>IF(DATOS!$C$14="PLANO","HORIZONTAL",IF(NOT(DATOS!$C$22="Z"),"PARALELO",IF(DATOS!$C$14="UN AGUA",IF(N(DATOS!$C$25)&gt;0,"BARLOVENTO","SOTAVENTO"),IF(DATOS!$C$14="DOS AGUAS","SOTAVENTO","A3 SOTAVENTO"))))</f>
        <v>SOTAVENTO</v>
      </c>
      <c r="J35" s="34">
        <f>IF(DATOS!$C$14="PLANO",-0.7,IF(NOT(DATOS!$C$22="Z"),-0.7,IF(DATOS!$C$14="UN AGUA",IF(N(DATOS!$C$25)&gt;0,IF($C$16&lt;30,-0.7,IF($C$16&lt;=50,-0.4,0.8)),-0.7),IF(DATOS!$C$14="DOS AGUAS",-0.7,-0.5))))</f>
        <v>-0.7</v>
      </c>
      <c r="K35" s="34">
        <f>IF(DATOS!$C$14="PLANO",-0.7,IF(NOT(DATOS!$C$22="Z"),-0.7,IF(DATOS!$C$14="UN AGUA",IF(N(DATOS!$C$25)&gt;0,IF($C$16&lt;30,-0.7,IF($C$16&lt;=50,0.4,0.8)),-0.7),IF(DATOS!$C$14="DOS AGUAS",-0.7,-0.5))))</f>
        <v>-0.7</v>
      </c>
      <c r="L35" s="33" t="str">
        <f>IF(DATOS!$C$14="PLANO","HORIZONTAL",IF(NOT(DATOS!$C$22="Z"),"PARALELO",IF(DATOS!$C$14="UN AGUA",IF(N(DATOS!$C$25)=0,"BARLOVENTO","SOTAVENTO"),IF(DATOS!$C$14="DOS AGUAS","BARLOVENTO","A1 BARLOVENTO"))))</f>
        <v>BARLOVENTO</v>
      </c>
      <c r="M35" s="34">
        <f>IF(DATOS!$C$14="PLANO",-0.7,IF(NOT(DATOS!$C$22="Z"),-0.7,IF(DATOS!$C$14="UN AGUA",IF(N(DATOS!$C$25)=0,IF($C$16&lt;30,-0.7,IF($C$16&lt;=50,-0.4,0.8)),-0.7),IF(DATOS!$C$14="DOS AGUAS",IF($C$16&lt;30,-0.7,IF($C$16&lt;=50,-0.4,0.8)),IF(DATOS!$C$19="SÍ",MIN(1.4*$C$17,0.9),IF($C$17&lt;0.2,-0.8,IF($C$17&lt;=0.3,-0.8,2*$C$17-0.3)))))))</f>
        <v>-0.7</v>
      </c>
      <c r="N35" s="34">
        <f>IF(DATOS!$C$14="PLANO",-0.7,IF(NOT(DATOS!$C$22="Z"),-0.7,IF(DATOS!$C$14="UN AGUA",IF(N(DATOS!$C$25)=0,IF($C$16&lt;30,-0.7,IF($C$16&lt;=50,0.4,0.8)),-0.7),IF(DATOS!$C$14="DOS AGUAS",IF($C$16&lt;30,-0.7,IF($C$16&lt;=50,0.4,0.8)),IF(DATOS!$C$19="SÍ",MIN(1.4*$C$17,0.9),IF($C$17&lt;0.2,-0.8,IF($C$17&lt;=0.3,0.3,2*$C$17-0.3)))))))</f>
        <v>-0.7</v>
      </c>
      <c r="O35" s="12" t="s">
        <v>97</v>
      </c>
    </row>
    <row r="36" spans="2:15" ht="15" customHeight="1" x14ac:dyDescent="0.3"/>
    <row r="37" spans="2:15" ht="21" customHeight="1" x14ac:dyDescent="0.3">
      <c r="B37" s="49" t="s">
        <v>316</v>
      </c>
      <c r="C37" s="49"/>
      <c r="D37" s="49"/>
      <c r="E37" s="49"/>
      <c r="F37" s="49"/>
      <c r="G37" s="49"/>
      <c r="H37" s="49"/>
      <c r="I37" s="49"/>
      <c r="J37" s="49"/>
      <c r="K37" s="49"/>
      <c r="L37" s="49"/>
      <c r="M37" s="49"/>
      <c r="N37" s="49"/>
      <c r="O37" s="49"/>
    </row>
    <row r="38" spans="2:15" ht="30" customHeight="1" x14ac:dyDescent="0.3">
      <c r="B38" s="50" t="s">
        <v>317</v>
      </c>
      <c r="C38" s="50"/>
      <c r="D38" s="50"/>
      <c r="E38" s="50"/>
      <c r="F38" s="50"/>
      <c r="G38" s="50"/>
      <c r="H38" s="50"/>
      <c r="I38" s="50"/>
      <c r="J38" s="50"/>
      <c r="K38" s="50"/>
      <c r="L38" s="50"/>
      <c r="M38" s="50"/>
      <c r="N38" s="50"/>
      <c r="O38" s="50"/>
    </row>
    <row r="39" spans="2:15" ht="30" customHeight="1" x14ac:dyDescent="0.3">
      <c r="B39" s="2" t="s">
        <v>309</v>
      </c>
      <c r="C39" s="2" t="str">
        <f>DATOS!$B$72</f>
        <v>LOAD 8</v>
      </c>
      <c r="D39" s="2" t="str">
        <f>DATOS!$B$73</f>
        <v>LOAD 9</v>
      </c>
      <c r="E39" s="2" t="str">
        <f>DATOS!$B$74</f>
        <v>LOAD 10</v>
      </c>
      <c r="F39" s="2" t="str">
        <f>DATOS!$B$75</f>
        <v>LOAD 11</v>
      </c>
      <c r="G39" s="2" t="str">
        <f>DATOS!$B$76</f>
        <v>LOAD 12</v>
      </c>
      <c r="H39" s="2" t="str">
        <f>DATOS!$B$77</f>
        <v>LOAD 13</v>
      </c>
      <c r="I39" s="2" t="str">
        <f>DATOS!$B$78</f>
        <v>LOAD 14</v>
      </c>
      <c r="J39" s="2" t="str">
        <f>DATOS!$B$79</f>
        <v>LOAD 15</v>
      </c>
      <c r="O39" s="2" t="s">
        <v>75</v>
      </c>
    </row>
    <row r="40" spans="2:15" ht="16.5" customHeight="1" x14ac:dyDescent="0.3">
      <c r="B40" s="3" t="s">
        <v>170</v>
      </c>
      <c r="C40" s="18" t="str">
        <f>DATOS!$C$72</f>
        <v>+X</v>
      </c>
      <c r="D40" s="18" t="str">
        <f>DATOS!$C$73</f>
        <v>−X</v>
      </c>
      <c r="E40" s="18" t="str">
        <f>DATOS!$C$74</f>
        <v>+Z</v>
      </c>
      <c r="F40" s="18" t="str">
        <f>DATOS!$C$75</f>
        <v>−Z</v>
      </c>
      <c r="G40" s="18" t="str">
        <f>DATOS!$C$76</f>
        <v>+X</v>
      </c>
      <c r="H40" s="18" t="str">
        <f>DATOS!$C$77</f>
        <v>−X</v>
      </c>
      <c r="I40" s="18" t="str">
        <f>DATOS!$C$78</f>
        <v>+Z</v>
      </c>
      <c r="J40" s="18" t="str">
        <f>DATOS!$C$79</f>
        <v>−Z</v>
      </c>
    </row>
    <row r="41" spans="2:15" ht="16.5" customHeight="1" x14ac:dyDescent="0.3">
      <c r="B41" s="3" t="s">
        <v>171</v>
      </c>
      <c r="C41" s="33" t="str">
        <f>DATOS!$D$72</f>
        <v>CERRADAS</v>
      </c>
      <c r="D41" s="33" t="str">
        <f>DATOS!$D$73</f>
        <v>CERRADAS</v>
      </c>
      <c r="E41" s="33" t="str">
        <f>DATOS!$D$74</f>
        <v>CERRADAS</v>
      </c>
      <c r="F41" s="33" t="str">
        <f>DATOS!$D$75</f>
        <v>CERRADAS</v>
      </c>
      <c r="G41" s="33" t="str">
        <f>DATOS!$D$76</f>
        <v>ABIERTAS (PA)</v>
      </c>
      <c r="H41" s="33" t="str">
        <f>DATOS!$D$77</f>
        <v>ABIERTAS (PA)</v>
      </c>
      <c r="I41" s="33" t="str">
        <f>DATOS!$D$78</f>
        <v>ABIERTAS (PA)</v>
      </c>
      <c r="J41" s="33" t="str">
        <f>DATOS!$D$79</f>
        <v>ABIERTAS (PA)</v>
      </c>
    </row>
    <row r="42" spans="2:15" ht="24.75" customHeight="1" x14ac:dyDescent="0.3">
      <c r="B42" s="3" t="s">
        <v>318</v>
      </c>
      <c r="C42" s="30">
        <f>ABERTURAS!$L$60</f>
        <v>-0.5</v>
      </c>
      <c r="D42" s="30">
        <f>ABERTURAS!$L$61</f>
        <v>-0.5</v>
      </c>
      <c r="E42" s="30">
        <f>ABERTURAS!$L$62</f>
        <v>-0.6</v>
      </c>
      <c r="F42" s="30">
        <f>ABERTURAS!$L$63</f>
        <v>0.75</v>
      </c>
      <c r="G42" s="30">
        <f>ABERTURAS!$L$64</f>
        <v>-0.5</v>
      </c>
      <c r="H42" s="30">
        <f>ABERTURAS!$L$65</f>
        <v>-0.5</v>
      </c>
      <c r="I42" s="30">
        <f>ABERTURAS!$L$66</f>
        <v>-0.6</v>
      </c>
      <c r="J42" s="30">
        <f>ABERTURAS!$L$67</f>
        <v>0.75</v>
      </c>
      <c r="O42" s="12" t="s">
        <v>319</v>
      </c>
    </row>
    <row r="43" spans="2:15" ht="24.75" customHeight="1" x14ac:dyDescent="0.3">
      <c r="B43" s="1" t="s">
        <v>320</v>
      </c>
      <c r="C43" s="35">
        <f>$D$28*IF($D$28&gt;0,$C$9,$C$15)-C$42*$C$12</f>
        <v>-9.1839509155562311</v>
      </c>
      <c r="D43" s="35">
        <f>$G$28*IF($G$28&gt;0,$C$9,$C$15)-D$42*$C$12</f>
        <v>-9.1839509155562311</v>
      </c>
      <c r="E43" s="35">
        <f>$J$28*IF($J$28&gt;0,$C$9,$C$15)-E$42*$C$12</f>
        <v>67.699258901332513</v>
      </c>
      <c r="F43" s="35">
        <f>$M$28*IF($M$28&gt;0,$C$9,$C$15)-F$42*$C$12</f>
        <v>-60.624073626665648</v>
      </c>
      <c r="G43" s="35">
        <f>$D$28*IF($D$28&gt;0,$C$9,$C$15)-G$42*$C$12</f>
        <v>-9.1839509155562311</v>
      </c>
      <c r="H43" s="35">
        <f>$G$28*IF($G$28&gt;0,$C$9,$C$15)-H$42*$C$12</f>
        <v>-9.1839509155562311</v>
      </c>
      <c r="I43" s="35">
        <f>$J$28*IF($J$28&gt;0,$C$9,$C$15)-I$42*$C$12</f>
        <v>67.699258901332513</v>
      </c>
      <c r="J43" s="35">
        <f>$M$28*IF($M$28&gt;0,$C$9,$C$15)-J$42*$C$12</f>
        <v>-60.624073626665648</v>
      </c>
      <c r="O43" s="12" t="s">
        <v>321</v>
      </c>
    </row>
    <row r="44" spans="2:15" ht="24.75" customHeight="1" x14ac:dyDescent="0.3">
      <c r="B44" s="1" t="s">
        <v>322</v>
      </c>
      <c r="C44" s="35">
        <f>$D$29*IF($D$29&gt;0,$C$9,$C$15)-C$42*$C$12</f>
        <v>-9.1839509155562311</v>
      </c>
      <c r="D44" s="35">
        <f>$G$29*IF($G$29&gt;0,$C$9,$C$15)-D$42*$C$12</f>
        <v>-9.1839509155562311</v>
      </c>
      <c r="E44" s="35">
        <f>$J$29*IF($J$29&gt;0,$C$9,$C$15)-E$42*$C$12</f>
        <v>5.2992589013325144</v>
      </c>
      <c r="F44" s="35">
        <f>$M$29*IF($M$29&gt;0,$C$9,$C$15)-F$42*$C$12</f>
        <v>1.7759263733343573</v>
      </c>
      <c r="G44" s="35">
        <f>$D$29*IF($D$29&gt;0,$C$9,$C$15)-G$42*$C$12</f>
        <v>-9.1839509155562311</v>
      </c>
      <c r="H44" s="35">
        <f>$G$29*IF($G$29&gt;0,$C$9,$C$15)-H$42*$C$12</f>
        <v>-9.1839509155562311</v>
      </c>
      <c r="I44" s="35">
        <f>$J$29*IF($J$29&gt;0,$C$9,$C$15)-I$42*$C$12</f>
        <v>5.2992589013325144</v>
      </c>
      <c r="J44" s="35">
        <f>$M$29*IF($M$29&gt;0,$C$9,$C$15)-J$42*$C$12</f>
        <v>1.7759263733343573</v>
      </c>
      <c r="O44" s="12" t="s">
        <v>321</v>
      </c>
    </row>
    <row r="45" spans="2:15" ht="29.25" customHeight="1" x14ac:dyDescent="0.3">
      <c r="B45" s="1" t="s">
        <v>323</v>
      </c>
      <c r="C45" s="35">
        <f>$D$30*IF($D$30&gt;0,$C$9,$C$15)-C$42*$C$12</f>
        <v>62.816049084443769</v>
      </c>
      <c r="D45" s="35">
        <f>$G$30*IF($G$30&gt;0,$C$9,$C$15)-D$42*$C$12</f>
        <v>0.41604908444376321</v>
      </c>
      <c r="E45" s="35">
        <f>$J$30*IF($J$30&gt;0,$C$9,$C$15)-E$42*$C$12</f>
        <v>-4.3007410986674799</v>
      </c>
      <c r="F45" s="35">
        <f>$M$30*IF($M$30&gt;0,$C$9,$C$15)-F$42*$C$12</f>
        <v>-70.224073626665643</v>
      </c>
      <c r="G45" s="35">
        <f>$D$30*IF($D$30&gt;0,$C$9,$C$15)-G$42*$C$12</f>
        <v>62.816049084443769</v>
      </c>
      <c r="H45" s="35">
        <f>$G$30*IF($G$30&gt;0,$C$9,$C$15)-H$42*$C$12</f>
        <v>0.41604908444376321</v>
      </c>
      <c r="I45" s="35">
        <f>$J$30*IF($J$30&gt;0,$C$9,$C$15)-I$42*$C$12</f>
        <v>-4.3007410986674799</v>
      </c>
      <c r="J45" s="35">
        <f>$M$30*IF($M$30&gt;0,$C$9,$C$15)-J$42*$C$12</f>
        <v>-70.224073626665643</v>
      </c>
      <c r="O45" s="12" t="s">
        <v>321</v>
      </c>
    </row>
    <row r="46" spans="2:15" ht="24.75" customHeight="1" x14ac:dyDescent="0.3">
      <c r="B46" s="1" t="s">
        <v>324</v>
      </c>
      <c r="C46" s="35">
        <f>$D$31*IF($D$31&gt;0,$C$9,$C$15)-C$42*$C$12</f>
        <v>0.41604908444376321</v>
      </c>
      <c r="D46" s="35">
        <f>$G$31*IF($G$31&gt;0,$C$9,$C$15)-D$42*$C$12</f>
        <v>62.816049084443769</v>
      </c>
      <c r="E46" s="35">
        <f>$J$31*IF($J$31&gt;0,$C$9,$C$15)-E$42*$C$12</f>
        <v>-4.3007410986674799</v>
      </c>
      <c r="F46" s="35">
        <f>$M$31*IF($M$31&gt;0,$C$9,$C$15)-F$42*$C$12</f>
        <v>-70.224073626665643</v>
      </c>
      <c r="G46" s="35">
        <f>$D$31*IF($D$31&gt;0,$C$9,$C$15)-G$42*$C$12</f>
        <v>0.41604908444376321</v>
      </c>
      <c r="H46" s="35">
        <f>$G$31*IF($G$31&gt;0,$C$9,$C$15)-H$42*$C$12</f>
        <v>62.816049084443769</v>
      </c>
      <c r="I46" s="35">
        <f>$J$31*IF($J$31&gt;0,$C$9,$C$15)-I$42*$C$12</f>
        <v>-4.3007410986674799</v>
      </c>
      <c r="J46" s="35">
        <f>$M$31*IF($M$31&gt;0,$C$9,$C$15)-J$42*$C$12</f>
        <v>-70.224073626665643</v>
      </c>
      <c r="O46" s="12" t="s">
        <v>321</v>
      </c>
    </row>
    <row r="47" spans="2:15" ht="24.75" customHeight="1" x14ac:dyDescent="0.3">
      <c r="B47" s="1" t="s">
        <v>325</v>
      </c>
      <c r="C47" s="36">
        <f>$D$28*IF($D$28&gt;0,$C$9*IF(ABERTURAS!$F$51&lt;=10,1,(ABERTURAS!$F$51/10)^(2/DATOS!$C$56)),$C$15)-C$42*$C$12</f>
        <v>-9.1839509155562311</v>
      </c>
      <c r="D47" s="36">
        <f>$G$28*IF($G$28&gt;0,$C$9*IF(ABERTURAS!$F$51&lt;=10,1,(ABERTURAS!$F$51/10)^(2/DATOS!$C$56)),$C$15)-D$42*$C$12</f>
        <v>-9.1839509155562311</v>
      </c>
      <c r="E47" s="36">
        <f>$J$28*IF($J$28&gt;0,$C$9*IF(ABERTURAS!$F$51&lt;=10,1,(ABERTURAS!$F$51/10)^(2/DATOS!$C$56)),$C$15)-E$42*$C$12</f>
        <v>68.364937436442546</v>
      </c>
      <c r="F47" s="36">
        <f>$M$28*IF($M$28&gt;0,$C$9*IF(ABERTURAS!$F$51&lt;=10,1,(ABERTURAS!$F$51/10)^(2/DATOS!$C$56)),$C$15)-F$42*$C$12</f>
        <v>-60.624073626665648</v>
      </c>
      <c r="G47" s="36">
        <f>$D$28*IF($D$28&gt;0,$C$9*IF(ABERTURAS!$F$51&lt;=10,1,(ABERTURAS!$F$51/10)^(2/DATOS!$C$56)),$C$15)-G$42*$C$12</f>
        <v>-9.1839509155562311</v>
      </c>
      <c r="H47" s="36">
        <f>$G$28*IF($G$28&gt;0,$C$9*IF(ABERTURAS!$F$51&lt;=10,1,(ABERTURAS!$F$51/10)^(2/DATOS!$C$56)),$C$15)-H$42*$C$12</f>
        <v>-9.1839509155562311</v>
      </c>
      <c r="I47" s="36">
        <f>$J$28*IF($J$28&gt;0,$C$9*IF(ABERTURAS!$F$51&lt;=10,1,(ABERTURAS!$F$51/10)^(2/DATOS!$C$56)),$C$15)-I$42*$C$12</f>
        <v>68.364937436442546</v>
      </c>
      <c r="J47" s="36">
        <f>$M$28*IF($M$28&gt;0,$C$9*IF(ABERTURAS!$F$51&lt;=10,1,(ABERTURAS!$F$51/10)^(2/DATOS!$C$56)),$C$15)-J$42*$C$12</f>
        <v>-60.624073626665648</v>
      </c>
      <c r="O47" s="12" t="s">
        <v>326</v>
      </c>
    </row>
    <row r="48" spans="2:15" ht="24.75" customHeight="1" x14ac:dyDescent="0.3">
      <c r="B48" s="1" t="s">
        <v>327</v>
      </c>
      <c r="C48" s="36">
        <f>$D$29*IF($D$29&gt;0,$C$9*IF(ABERTURAS!$F$52&lt;=10,1,(ABERTURAS!$F$52/10)^(2/DATOS!$C$56)),$C$15)-C$42*$C$12</f>
        <v>-9.1839509155562311</v>
      </c>
      <c r="D48" s="36">
        <f>$G$29*IF($G$29&gt;0,$C$9*IF(ABERTURAS!$F$52&lt;=10,1,(ABERTURAS!$F$52/10)^(2/DATOS!$C$56)),$C$15)-D$42*$C$12</f>
        <v>-9.1839509155562311</v>
      </c>
      <c r="E48" s="36">
        <f>$J$29*IF($J$29&gt;0,$C$9*IF(ABERTURAS!$F$52&lt;=10,1,(ABERTURAS!$F$52/10)^(2/DATOS!$C$56)),$C$15)-E$42*$C$12</f>
        <v>5.2992589013325144</v>
      </c>
      <c r="F48" s="36">
        <f>$M$29*IF($M$29&gt;0,$C$9*IF(ABERTURAS!$F$52&lt;=10,1,(ABERTURAS!$F$52/10)^(2/DATOS!$C$56)),$C$15)-F$42*$C$12</f>
        <v>1.7759263733343573</v>
      </c>
      <c r="G48" s="36">
        <f>$D$29*IF($D$29&gt;0,$C$9*IF(ABERTURAS!$F$52&lt;=10,1,(ABERTURAS!$F$52/10)^(2/DATOS!$C$56)),$C$15)-G$42*$C$12</f>
        <v>-9.1839509155562311</v>
      </c>
      <c r="H48" s="36">
        <f>$G$29*IF($G$29&gt;0,$C$9*IF(ABERTURAS!$F$52&lt;=10,1,(ABERTURAS!$F$52/10)^(2/DATOS!$C$56)),$C$15)-H$42*$C$12</f>
        <v>-9.1839509155562311</v>
      </c>
      <c r="I48" s="36">
        <f>$J$29*IF($J$29&gt;0,$C$9*IF(ABERTURAS!$F$52&lt;=10,1,(ABERTURAS!$F$52/10)^(2/DATOS!$C$56)),$C$15)-I$42*$C$12</f>
        <v>5.2992589013325144</v>
      </c>
      <c r="J48" s="36">
        <f>$M$29*IF($M$29&gt;0,$C$9*IF(ABERTURAS!$F$52&lt;=10,1,(ABERTURAS!$F$52/10)^(2/DATOS!$C$56)),$C$15)-J$42*$C$12</f>
        <v>1.7759263733343573</v>
      </c>
      <c r="O48" s="12" t="s">
        <v>326</v>
      </c>
    </row>
    <row r="49" spans="2:15" ht="29.25" customHeight="1" x14ac:dyDescent="0.3">
      <c r="B49" s="1" t="s">
        <v>328</v>
      </c>
      <c r="C49" s="36">
        <f>$D$30*IF($D$30&gt;0,$C$9*IF(ABERTURAS!$F$53&lt;=10,1,(ABERTURAS!$F$53/10)^(2/DATOS!$C$56)),$C$15)-C$42*$C$12</f>
        <v>63.481727619553787</v>
      </c>
      <c r="D49" s="36">
        <f>$G$30*IF($G$30&gt;0,$C$9*IF(ABERTURAS!$F$53&lt;=10,1,(ABERTURAS!$F$53/10)^(2/DATOS!$C$56)),$C$15)-D$42*$C$12</f>
        <v>0.41604908444376321</v>
      </c>
      <c r="E49" s="36">
        <f>$J$30*IF($J$30&gt;0,$C$9*IF(ABERTURAS!$F$53&lt;=10,1,(ABERTURAS!$F$53/10)^(2/DATOS!$C$56)),$C$15)-E$42*$C$12</f>
        <v>-4.3007410986674799</v>
      </c>
      <c r="F49" s="36">
        <f>$M$30*IF($M$30&gt;0,$C$9*IF(ABERTURAS!$F$53&lt;=10,1,(ABERTURAS!$F$53/10)^(2/DATOS!$C$56)),$C$15)-F$42*$C$12</f>
        <v>-70.224073626665643</v>
      </c>
      <c r="G49" s="36">
        <f>$D$30*IF($D$30&gt;0,$C$9*IF(ABERTURAS!$F$53&lt;=10,1,(ABERTURAS!$F$53/10)^(2/DATOS!$C$56)),$C$15)-G$42*$C$12</f>
        <v>63.481727619553787</v>
      </c>
      <c r="H49" s="36">
        <f>$G$30*IF($G$30&gt;0,$C$9*IF(ABERTURAS!$F$53&lt;=10,1,(ABERTURAS!$F$53/10)^(2/DATOS!$C$56)),$C$15)-H$42*$C$12</f>
        <v>0.41604908444376321</v>
      </c>
      <c r="I49" s="36">
        <f>$J$30*IF($J$30&gt;0,$C$9*IF(ABERTURAS!$F$53&lt;=10,1,(ABERTURAS!$F$53/10)^(2/DATOS!$C$56)),$C$15)-I$42*$C$12</f>
        <v>-4.3007410986674799</v>
      </c>
      <c r="J49" s="36">
        <f>$M$30*IF($M$30&gt;0,$C$9*IF(ABERTURAS!$F$53&lt;=10,1,(ABERTURAS!$F$53/10)^(2/DATOS!$C$56)),$C$15)-J$42*$C$12</f>
        <v>-70.224073626665643</v>
      </c>
      <c r="O49" s="12" t="s">
        <v>326</v>
      </c>
    </row>
    <row r="50" spans="2:15" ht="24.75" customHeight="1" x14ac:dyDescent="0.3">
      <c r="B50" s="1" t="s">
        <v>329</v>
      </c>
      <c r="C50" s="36">
        <f>$D$31*IF($D$31&gt;0,$C$9*IF(ABERTURAS!$F$54&lt;=10,1,(ABERTURAS!$F$54/10)^(2/DATOS!$C$56)),$C$15)-C$42*$C$12</f>
        <v>0.41604908444376321</v>
      </c>
      <c r="D50" s="36">
        <f>$G$31*IF($G$31&gt;0,$C$9*IF(ABERTURAS!$F$54&lt;=10,1,(ABERTURAS!$F$54/10)^(2/DATOS!$C$56)),$C$15)-D$42*$C$12</f>
        <v>63.481727619553787</v>
      </c>
      <c r="E50" s="36">
        <f>$J$31*IF($J$31&gt;0,$C$9*IF(ABERTURAS!$F$54&lt;=10,1,(ABERTURAS!$F$54/10)^(2/DATOS!$C$56)),$C$15)-E$42*$C$12</f>
        <v>-4.3007410986674799</v>
      </c>
      <c r="F50" s="36">
        <f>$M$31*IF($M$31&gt;0,$C$9*IF(ABERTURAS!$F$54&lt;=10,1,(ABERTURAS!$F$54/10)^(2/DATOS!$C$56)),$C$15)-F$42*$C$12</f>
        <v>-70.224073626665643</v>
      </c>
      <c r="G50" s="36">
        <f>$D$31*IF($D$31&gt;0,$C$9*IF(ABERTURAS!$F$54&lt;=10,1,(ABERTURAS!$F$54/10)^(2/DATOS!$C$56)),$C$15)-G$42*$C$12</f>
        <v>0.41604908444376321</v>
      </c>
      <c r="H50" s="36">
        <f>$G$31*IF($G$31&gt;0,$C$9*IF(ABERTURAS!$F$54&lt;=10,1,(ABERTURAS!$F$54/10)^(2/DATOS!$C$56)),$C$15)-H$42*$C$12</f>
        <v>63.481727619553787</v>
      </c>
      <c r="I50" s="36">
        <f>$J$31*IF($J$31&gt;0,$C$9*IF(ABERTURAS!$F$54&lt;=10,1,(ABERTURAS!$F$54/10)^(2/DATOS!$C$56)),$C$15)-I$42*$C$12</f>
        <v>-4.3007410986674799</v>
      </c>
      <c r="J50" s="36">
        <f>$M$31*IF($M$31&gt;0,$C$9*IF(ABERTURAS!$F$54&lt;=10,1,(ABERTURAS!$F$54/10)^(2/DATOS!$C$56)),$C$15)-J$42*$C$12</f>
        <v>-70.224073626665643</v>
      </c>
      <c r="O50" s="12" t="s">
        <v>326</v>
      </c>
    </row>
    <row r="51" spans="2:15" ht="24.75" customHeight="1" x14ac:dyDescent="0.3">
      <c r="B51" s="1" t="s">
        <v>330</v>
      </c>
      <c r="C51" s="35">
        <f>($D$32-C$42)*$C$12</f>
        <v>-9.7664196337775024</v>
      </c>
      <c r="D51" s="35">
        <f>($G$32-D$42)*$C$12</f>
        <v>-9.7664196337775024</v>
      </c>
      <c r="E51" s="35">
        <f>($J$32-E$42)*$C$12</f>
        <v>-4.8832098168887512</v>
      </c>
      <c r="F51" s="35">
        <f>($M$32-F$42)*$C$12</f>
        <v>-70.806542344886907</v>
      </c>
      <c r="G51" s="35">
        <f>($D$32-G$42)*$C$12</f>
        <v>-9.7664196337775024</v>
      </c>
      <c r="H51" s="35">
        <f>($G$32-H$42)*$C$12</f>
        <v>-9.7664196337775024</v>
      </c>
      <c r="I51" s="35">
        <f>($J$32-I$42)*$C$12</f>
        <v>-4.8832098168887512</v>
      </c>
      <c r="J51" s="35">
        <f>($M$32-J$42)*$C$12</f>
        <v>-70.806542344886907</v>
      </c>
      <c r="O51" s="12" t="s">
        <v>331</v>
      </c>
    </row>
    <row r="52" spans="2:15" ht="24.75" customHeight="1" x14ac:dyDescent="0.3">
      <c r="B52" s="1" t="s">
        <v>332</v>
      </c>
      <c r="C52" s="35">
        <f>($D$33-C$42)*$C$12</f>
        <v>-9.7664196337775024</v>
      </c>
      <c r="D52" s="35">
        <f>($G$33-D$42)*$C$12</f>
        <v>-9.7664196337775024</v>
      </c>
      <c r="E52" s="35">
        <f>($J$33-E$42)*$C$12</f>
        <v>-4.8832098168887512</v>
      </c>
      <c r="F52" s="35">
        <f>($M$33-F$42)*$C$12</f>
        <v>-70.806542344886907</v>
      </c>
      <c r="G52" s="35">
        <f>($D$33-G$42)*$C$12</f>
        <v>-9.7664196337775024</v>
      </c>
      <c r="H52" s="35">
        <f>($G$33-H$42)*$C$12</f>
        <v>-9.7664196337775024</v>
      </c>
      <c r="I52" s="35">
        <f>($J$33-I$42)*$C$12</f>
        <v>-4.8832098168887512</v>
      </c>
      <c r="J52" s="35">
        <f>($M$33-J$42)*$C$12</f>
        <v>-70.806542344886907</v>
      </c>
      <c r="O52" s="12" t="s">
        <v>331</v>
      </c>
    </row>
    <row r="53" spans="2:15" ht="24.75" customHeight="1" x14ac:dyDescent="0.3">
      <c r="B53" s="1" t="s">
        <v>333</v>
      </c>
      <c r="C53" s="35">
        <f>($D$34-C$42)*$C$12</f>
        <v>-9.7664196337775024</v>
      </c>
      <c r="D53" s="35">
        <f>($G$34-D$42)*$C$12</f>
        <v>-9.7664196337775024</v>
      </c>
      <c r="E53" s="35">
        <f>($J$34-E$42)*$C$12</f>
        <v>-4.8832098168887512</v>
      </c>
      <c r="F53" s="35">
        <f>($M$34-F$42)*$C$12</f>
        <v>-70.806542344886907</v>
      </c>
      <c r="G53" s="35">
        <f>($D$34-G$42)*$C$12</f>
        <v>-9.7664196337775024</v>
      </c>
      <c r="H53" s="35">
        <f>($G$34-H$42)*$C$12</f>
        <v>-9.7664196337775024</v>
      </c>
      <c r="I53" s="35">
        <f>($J$34-I$42)*$C$12</f>
        <v>-4.8832098168887512</v>
      </c>
      <c r="J53" s="35">
        <f>($M$34-J$42)*$C$12</f>
        <v>-70.806542344886907</v>
      </c>
      <c r="O53" s="12" t="s">
        <v>331</v>
      </c>
    </row>
    <row r="54" spans="2:15" ht="24.75" customHeight="1" x14ac:dyDescent="0.3">
      <c r="B54" s="1" t="s">
        <v>334</v>
      </c>
      <c r="C54" s="35">
        <f>($D$35-C$42)*$C$12</f>
        <v>-9.7664196337775024</v>
      </c>
      <c r="D54" s="35">
        <f>($G$35-D$42)*$C$12</f>
        <v>-9.7664196337775024</v>
      </c>
      <c r="E54" s="35">
        <f>($J$35-E$42)*$C$12</f>
        <v>-4.8832098168887512</v>
      </c>
      <c r="F54" s="35">
        <f>($M$35-F$42)*$C$12</f>
        <v>-70.806542344886907</v>
      </c>
      <c r="G54" s="35">
        <f>($D$35-G$42)*$C$12</f>
        <v>-9.7664196337775024</v>
      </c>
      <c r="H54" s="35">
        <f>($G$35-H$42)*$C$12</f>
        <v>-9.7664196337775024</v>
      </c>
      <c r="I54" s="35">
        <f>($J$35-I$42)*$C$12</f>
        <v>-4.8832098168887512</v>
      </c>
      <c r="J54" s="35">
        <f>($M$35-J$42)*$C$12</f>
        <v>-70.806542344886907</v>
      </c>
      <c r="O54" s="12" t="s">
        <v>331</v>
      </c>
    </row>
    <row r="55" spans="2:15" ht="24.75" customHeight="1" x14ac:dyDescent="0.3">
      <c r="B55" s="1" t="s">
        <v>335</v>
      </c>
      <c r="C55" s="36">
        <f>($E$32-C$42)*$C$12</f>
        <v>-9.7664196337775024</v>
      </c>
      <c r="D55" s="36">
        <f>($H$32-D$42)*$C$12</f>
        <v>-9.7664196337775024</v>
      </c>
      <c r="E55" s="36">
        <f>($K$32-E$42)*$C$12</f>
        <v>-4.8832098168887512</v>
      </c>
      <c r="F55" s="36">
        <f>($N$32-F$42)*$C$12</f>
        <v>-70.806542344886907</v>
      </c>
      <c r="G55" s="36">
        <f>($E$32-G$42)*$C$12</f>
        <v>-9.7664196337775024</v>
      </c>
      <c r="H55" s="36">
        <f>($H$32-H$42)*$C$12</f>
        <v>-9.7664196337775024</v>
      </c>
      <c r="I55" s="36">
        <f>($K$32-I$42)*$C$12</f>
        <v>-4.8832098168887512</v>
      </c>
      <c r="J55" s="36">
        <f>($N$32-J$42)*$C$12</f>
        <v>-70.806542344886907</v>
      </c>
      <c r="O55" s="12" t="s">
        <v>331</v>
      </c>
    </row>
    <row r="56" spans="2:15" ht="24.75" customHeight="1" x14ac:dyDescent="0.3">
      <c r="B56" s="1" t="s">
        <v>336</v>
      </c>
      <c r="C56" s="36">
        <f>($E$33-C$42)*$C$12</f>
        <v>-9.7664196337775024</v>
      </c>
      <c r="D56" s="36">
        <f>($H$33-D$42)*$C$12</f>
        <v>-9.7664196337775024</v>
      </c>
      <c r="E56" s="36">
        <f>($K$33-E$42)*$C$12</f>
        <v>-4.8832098168887512</v>
      </c>
      <c r="F56" s="36">
        <f>($N$33-F$42)*$C$12</f>
        <v>-70.806542344886907</v>
      </c>
      <c r="G56" s="36">
        <f>($E$33-G$42)*$C$12</f>
        <v>-9.7664196337775024</v>
      </c>
      <c r="H56" s="36">
        <f>($H$33-H$42)*$C$12</f>
        <v>-9.7664196337775024</v>
      </c>
      <c r="I56" s="36">
        <f>($K$33-I$42)*$C$12</f>
        <v>-4.8832098168887512</v>
      </c>
      <c r="J56" s="36">
        <f>($N$33-J$42)*$C$12</f>
        <v>-70.806542344886907</v>
      </c>
      <c r="O56" s="12" t="s">
        <v>331</v>
      </c>
    </row>
    <row r="57" spans="2:15" ht="24.75" customHeight="1" x14ac:dyDescent="0.3">
      <c r="B57" s="1" t="s">
        <v>337</v>
      </c>
      <c r="C57" s="36">
        <f>($E$34-C$42)*$C$12</f>
        <v>-9.7664196337775024</v>
      </c>
      <c r="D57" s="36">
        <f>($H$34-D$42)*$C$12</f>
        <v>-9.7664196337775024</v>
      </c>
      <c r="E57" s="36">
        <f>($K$34-E$42)*$C$12</f>
        <v>-4.8832098168887512</v>
      </c>
      <c r="F57" s="36">
        <f>($N$34-F$42)*$C$12</f>
        <v>-70.806542344886907</v>
      </c>
      <c r="G57" s="36">
        <f>($E$34-G$42)*$C$12</f>
        <v>-9.7664196337775024</v>
      </c>
      <c r="H57" s="36">
        <f>($H$34-H$42)*$C$12</f>
        <v>-9.7664196337775024</v>
      </c>
      <c r="I57" s="36">
        <f>($K$34-I$42)*$C$12</f>
        <v>-4.8832098168887512</v>
      </c>
      <c r="J57" s="36">
        <f>($N$34-J$42)*$C$12</f>
        <v>-70.806542344886907</v>
      </c>
      <c r="O57" s="12" t="s">
        <v>331</v>
      </c>
    </row>
    <row r="58" spans="2:15" ht="24.75" customHeight="1" x14ac:dyDescent="0.3">
      <c r="B58" s="1" t="s">
        <v>338</v>
      </c>
      <c r="C58" s="36">
        <f>($E$35-C$42)*$C$12</f>
        <v>-9.7664196337775024</v>
      </c>
      <c r="D58" s="36">
        <f>($H$35-D$42)*$C$12</f>
        <v>-9.7664196337775024</v>
      </c>
      <c r="E58" s="36">
        <f>($K$35-E$42)*$C$12</f>
        <v>-4.8832098168887512</v>
      </c>
      <c r="F58" s="36">
        <f>($N$35-F$42)*$C$12</f>
        <v>-70.806542344886907</v>
      </c>
      <c r="G58" s="36">
        <f>($E$35-G$42)*$C$12</f>
        <v>-9.7664196337775024</v>
      </c>
      <c r="H58" s="36">
        <f>($H$35-H$42)*$C$12</f>
        <v>-9.7664196337775024</v>
      </c>
      <c r="I58" s="36">
        <f>($K$35-I$42)*$C$12</f>
        <v>-4.8832098168887512</v>
      </c>
      <c r="J58" s="36">
        <f>($N$35-J$42)*$C$12</f>
        <v>-70.806542344886907</v>
      </c>
      <c r="O58" s="12" t="s">
        <v>331</v>
      </c>
    </row>
    <row r="59" spans="2:15" ht="15" customHeight="1" x14ac:dyDescent="0.3"/>
    <row r="60" spans="2:15" ht="21" customHeight="1" x14ac:dyDescent="0.3">
      <c r="B60" s="49" t="s">
        <v>339</v>
      </c>
      <c r="C60" s="49"/>
      <c r="D60" s="49"/>
      <c r="E60" s="49"/>
      <c r="F60" s="49"/>
      <c r="G60" s="49"/>
      <c r="H60" s="49"/>
      <c r="I60" s="49"/>
      <c r="J60" s="49"/>
      <c r="K60" s="49"/>
      <c r="L60" s="49"/>
      <c r="M60" s="49"/>
      <c r="N60" s="49"/>
      <c r="O60" s="49"/>
    </row>
    <row r="61" spans="2:15" ht="30" customHeight="1" x14ac:dyDescent="0.3">
      <c r="B61" s="50" t="s">
        <v>340</v>
      </c>
      <c r="C61" s="50"/>
      <c r="D61" s="50"/>
      <c r="E61" s="50"/>
      <c r="F61" s="50"/>
      <c r="G61" s="50"/>
      <c r="H61" s="50"/>
      <c r="I61" s="50"/>
      <c r="J61" s="50"/>
      <c r="K61" s="50"/>
      <c r="L61" s="50"/>
      <c r="M61" s="50"/>
      <c r="N61" s="50"/>
      <c r="O61" s="50"/>
    </row>
    <row r="62" spans="2:15" ht="30" customHeight="1" x14ac:dyDescent="0.3">
      <c r="B62" s="2" t="s">
        <v>71</v>
      </c>
      <c r="C62" s="2" t="str">
        <f>DATOS!$B$72</f>
        <v>LOAD 8</v>
      </c>
      <c r="D62" s="2" t="str">
        <f>DATOS!$B$73</f>
        <v>LOAD 9</v>
      </c>
      <c r="E62" s="2" t="str">
        <f>DATOS!$B$74</f>
        <v>LOAD 10</v>
      </c>
      <c r="F62" s="2" t="str">
        <f>DATOS!$B$75</f>
        <v>LOAD 11</v>
      </c>
      <c r="G62" s="2" t="str">
        <f>DATOS!$B$76</f>
        <v>LOAD 12</v>
      </c>
      <c r="H62" s="2" t="str">
        <f>DATOS!$B$77</f>
        <v>LOAD 13</v>
      </c>
      <c r="I62" s="2" t="str">
        <f>DATOS!$B$78</f>
        <v>LOAD 14</v>
      </c>
      <c r="J62" s="2" t="str">
        <f>DATOS!$B$79</f>
        <v>LOAD 15</v>
      </c>
      <c r="O62" s="2" t="s">
        <v>75</v>
      </c>
    </row>
    <row r="63" spans="2:15" ht="16.5" customHeight="1" x14ac:dyDescent="0.3">
      <c r="B63" s="3" t="s">
        <v>341</v>
      </c>
      <c r="C63" s="37">
        <f>(SUMPRODUCT((LINEAS!$U$45:$U$194=3)*LINEAS!$AB$45:$AB$194*LINEAS!$M$45:$M$194)-SUMPRODUCT((LINEAS!$U$45:$U$194=4)*LINEAS!$AB$45:$AB$194*LINEAS!$M$45:$M$194)+IF(DATOS!$C$22="X",SUMPRODUCT(LINEAS!$AJ$9:$AJ$38*LINEAS!$M$9:$M$38),0))/1000</f>
        <v>9.6060132304514223</v>
      </c>
      <c r="D63" s="37">
        <f>(SUMPRODUCT((LINEAS!$U$45:$U$194=3)*LINEAS!$AC$45:$AC$194*LINEAS!$M$45:$M$194)-SUMPRODUCT((LINEAS!$U$45:$U$194=4)*LINEAS!$AC$45:$AC$194*LINEAS!$M$45:$M$194)+IF(DATOS!$C$22="X",SUMPRODUCT(LINEAS!$AK$9:$AK$38*LINEAS!$M$9:$M$38),0))/1000</f>
        <v>-9.6060132304514223</v>
      </c>
      <c r="E63" s="37">
        <f>(SUMPRODUCT((LINEAS!$U$45:$U$194=3)*LINEAS!$AD$45:$AD$194*LINEAS!$M$45:$M$194)-SUMPRODUCT((LINEAS!$U$45:$U$194=4)*LINEAS!$AD$45:$AD$194*LINEAS!$M$45:$M$194)+IF(DATOS!$C$22="X",SUMPRODUCT(LINEAS!$AL$9:$AL$38*LINEAS!$M$9:$M$38),0))/1000</f>
        <v>0</v>
      </c>
      <c r="F63" s="37">
        <f>(SUMPRODUCT((LINEAS!$U$45:$U$194=3)*LINEAS!$AE$45:$AE$194*LINEAS!$M$45:$M$194)-SUMPRODUCT((LINEAS!$U$45:$U$194=4)*LINEAS!$AE$45:$AE$194*LINEAS!$M$45:$M$194)+IF(DATOS!$C$22="X",SUMPRODUCT(LINEAS!$AM$9:$AM$38*LINEAS!$M$9:$M$38),0))/1000</f>
        <v>0</v>
      </c>
      <c r="G63" s="37">
        <f>(SUMPRODUCT((LINEAS!$U$45:$U$194=3)*LINEAS!$AF$45:$AF$194*LINEAS!$M$45:$M$194)-SUMPRODUCT((LINEAS!$U$45:$U$194=4)*LINEAS!$AF$45:$AF$194*LINEAS!$M$45:$M$194)+IF(DATOS!$C$22="X",SUMPRODUCT(LINEAS!$AN$9:$AN$38*LINEAS!$M$9:$M$38),0))/1000</f>
        <v>9.6060132304514223</v>
      </c>
      <c r="H63" s="37">
        <f>(SUMPRODUCT((LINEAS!$U$45:$U$194=3)*LINEAS!$AG$45:$AG$194*LINEAS!$M$45:$M$194)-SUMPRODUCT((LINEAS!$U$45:$U$194=4)*LINEAS!$AG$45:$AG$194*LINEAS!$M$45:$M$194)+IF(DATOS!$C$22="X",SUMPRODUCT(LINEAS!$AO$9:$AO$38*LINEAS!$M$9:$M$38),0))/1000</f>
        <v>-9.6060132304514223</v>
      </c>
      <c r="I63" s="37">
        <f>(SUMPRODUCT((LINEAS!$U$45:$U$194=3)*LINEAS!$AH$45:$AH$194*LINEAS!$M$45:$M$194)-SUMPRODUCT((LINEAS!$U$45:$U$194=4)*LINEAS!$AH$45:$AH$194*LINEAS!$M$45:$M$194)+IF(DATOS!$C$22="X",SUMPRODUCT(LINEAS!$AP$9:$AP$38*LINEAS!$M$9:$M$38),0))/1000</f>
        <v>0</v>
      </c>
      <c r="J63" s="37">
        <f>(SUMPRODUCT((LINEAS!$U$45:$U$194=3)*LINEAS!$AI$45:$AI$194*LINEAS!$M$45:$M$194)-SUMPRODUCT((LINEAS!$U$45:$U$194=4)*LINEAS!$AI$45:$AI$194*LINEAS!$M$45:$M$194)+IF(DATOS!$C$22="X",SUMPRODUCT(LINEAS!$AQ$9:$AQ$38*LINEAS!$M$9:$M$38),0))/1000</f>
        <v>0</v>
      </c>
      <c r="O63" s="12" t="s">
        <v>296</v>
      </c>
    </row>
    <row r="64" spans="2:15" ht="16.5" customHeight="1" x14ac:dyDescent="0.3">
      <c r="B64" s="1" t="s">
        <v>342</v>
      </c>
      <c r="C64" s="32">
        <f>((C45*(ABERTURAS!$O$53-ABERTURAS!$H$53)+C49*ABERTURAS!$H$53)-(C46*(ABERTURAS!$O$54-ABERTURAS!$H$54)+C50*ABERTURAS!$H$54)+IF(DATOS!$C$22="X",(C51*$C$18+C52*$C$19+C53*$C$20+C54*$C$21)*DATOS!$C$23/4*IF(DATOS!$C$22="X",DATOS!$C$13,DATOS!$C$12),0))/1000</f>
        <v>10.206217519145527</v>
      </c>
      <c r="D64" s="32">
        <f>((D45*(ABERTURAS!$O$53-ABERTURAS!$H$53)+D49*ABERTURAS!$H$53)-(D46*(ABERTURAS!$O$54-ABERTURAS!$H$54)+D50*ABERTURAS!$H$54)+IF(DATOS!$C$22="X",(D51*$C$18+D52*$C$19+D53*$C$20+D54*$C$21)*DATOS!$C$23/4*IF(DATOS!$C$22="X",DATOS!$C$13,DATOS!$C$12),0))/1000</f>
        <v>-10.206217519145527</v>
      </c>
      <c r="E64" s="32">
        <f>((E45*(ABERTURAS!$O$53-ABERTURAS!$H$53)+E49*ABERTURAS!$H$53)-(E46*(ABERTURAS!$O$54-ABERTURAS!$H$54)+E50*ABERTURAS!$H$54)+IF(DATOS!$C$22="X",(E51*$C$18+E52*$C$19+E53*$C$20+E54*$C$21)*DATOS!$C$23/4*IF(DATOS!$C$22="X",DATOS!$C$13,DATOS!$C$12),0))/1000</f>
        <v>0</v>
      </c>
      <c r="F64" s="32">
        <f>((F45*(ABERTURAS!$O$53-ABERTURAS!$H$53)+F49*ABERTURAS!$H$53)-(F46*(ABERTURAS!$O$54-ABERTURAS!$H$54)+F50*ABERTURAS!$H$54)+IF(DATOS!$C$22="X",(F51*$C$18+F52*$C$19+F53*$C$20+F54*$C$21)*DATOS!$C$23/4*IF(DATOS!$C$22="X",DATOS!$C$13,DATOS!$C$12),0))/1000</f>
        <v>0</v>
      </c>
      <c r="G64" s="32">
        <f>((G45*(ABERTURAS!$P$53-ABERTURAS!$H$53)+G49*ABERTURAS!$H$53)-(G46*(ABERTURAS!$P$54-ABERTURAS!$H$54)+G50*ABERTURAS!$H$54)+IF(DATOS!$C$22="X",(G51*$C$18+G52*$C$19+G53*$C$20+G54*$C$21)*DATOS!$C$23/4*IF(DATOS!$C$22="X",DATOS!$C$13,DATOS!$C$12),0))/1000</f>
        <v>10.206217519145527</v>
      </c>
      <c r="H64" s="32">
        <f>((H45*(ABERTURAS!$P$53-ABERTURAS!$H$53)+H49*ABERTURAS!$H$53)-(H46*(ABERTURAS!$P$54-ABERTURAS!$H$54)+H50*ABERTURAS!$H$54)+IF(DATOS!$C$22="X",(H51*$C$18+H52*$C$19+H53*$C$20+H54*$C$21)*DATOS!$C$23/4*IF(DATOS!$C$22="X",DATOS!$C$13,DATOS!$C$12),0))/1000</f>
        <v>-10.206217519145527</v>
      </c>
      <c r="I64" s="32">
        <f>((I45*(ABERTURAS!$P$53-ABERTURAS!$H$53)+I49*ABERTURAS!$H$53)-(I46*(ABERTURAS!$P$54-ABERTURAS!$H$54)+I50*ABERTURAS!$H$54)+IF(DATOS!$C$22="X",(I51*$C$18+I52*$C$19+I53*$C$20+I54*$C$21)*DATOS!$C$23/4*IF(DATOS!$C$22="X",DATOS!$C$13,DATOS!$C$12),0))/1000</f>
        <v>0</v>
      </c>
      <c r="J64" s="32">
        <f>((J45*(ABERTURAS!$P$53-ABERTURAS!$H$53)+J49*ABERTURAS!$H$53)-(J46*(ABERTURAS!$P$54-ABERTURAS!$H$54)+J50*ABERTURAS!$H$54)+IF(DATOS!$C$22="X",(J51*$C$18+J52*$C$19+J53*$C$20+J54*$C$21)*DATOS!$C$23/4*IF(DATOS!$C$22="X",DATOS!$C$13,DATOS!$C$12),0))/1000</f>
        <v>0</v>
      </c>
    </row>
    <row r="65" spans="2:15" ht="16.5" customHeight="1" x14ac:dyDescent="0.3">
      <c r="B65" s="1" t="s">
        <v>343</v>
      </c>
      <c r="C65" s="38">
        <f t="shared" ref="C65:J65" si="0">C63-C64</f>
        <v>-0.6002042886941048</v>
      </c>
      <c r="D65" s="38">
        <f t="shared" si="0"/>
        <v>0.6002042886941048</v>
      </c>
      <c r="E65" s="38">
        <f t="shared" si="0"/>
        <v>0</v>
      </c>
      <c r="F65" s="38">
        <f t="shared" si="0"/>
        <v>0</v>
      </c>
      <c r="G65" s="38">
        <f t="shared" si="0"/>
        <v>-0.6002042886941048</v>
      </c>
      <c r="H65" s="38">
        <f t="shared" si="0"/>
        <v>0.6002042886941048</v>
      </c>
      <c r="I65" s="38">
        <f t="shared" si="0"/>
        <v>0</v>
      </c>
      <c r="J65" s="38">
        <f t="shared" si="0"/>
        <v>0</v>
      </c>
    </row>
    <row r="66" spans="2:15" ht="16.5" customHeight="1" x14ac:dyDescent="0.3">
      <c r="B66" s="3" t="s">
        <v>344</v>
      </c>
      <c r="C66" s="37">
        <f>(SUMPRODUCT((LINEAS!$U$45:$U$194=1)*LINEAS!$AB$45:$AB$194*LINEAS!$M$45:$M$194)-SUMPRODUCT((LINEAS!$U$45:$U$194=2)*LINEAS!$AB$45:$AB$194*LINEAS!$M$45:$M$194)+IF(DATOS!$C$22="Z",SUMPRODUCT(LINEAS!$AJ$9:$AJ$38*LINEAS!$M$9:$M$38),0))/1000</f>
        <v>-0.86977783902744077</v>
      </c>
      <c r="D66" s="37">
        <f>(SUMPRODUCT((LINEAS!$U$45:$U$194=1)*LINEAS!$AC$45:$AC$194*LINEAS!$M$45:$M$194)-SUMPRODUCT((LINEAS!$U$45:$U$194=2)*LINEAS!$AC$45:$AC$194*LINEAS!$M$45:$M$194)+IF(DATOS!$C$22="Z",SUMPRODUCT(LINEAS!$AK$9:$AK$38*LINEAS!$M$9:$M$38),0))/1000</f>
        <v>-0.86977783902744077</v>
      </c>
      <c r="E66" s="37">
        <f>(SUMPRODUCT((LINEAS!$U$45:$U$194=1)*LINEAS!$AD$45:$AD$194*LINEAS!$M$45:$M$194)-SUMPRODUCT((LINEAS!$U$45:$U$194=2)*LINEAS!$AD$45:$AD$194*LINEAS!$M$45:$M$194)+IF(DATOS!$C$22="Z",SUMPRODUCT(LINEAS!$AL$9:$AL$38*LINEAS!$M$9:$M$38),0))/1000</f>
        <v>7.0362412827883229</v>
      </c>
      <c r="F66" s="37">
        <f>(SUMPRODUCT((LINEAS!$U$45:$U$194=1)*LINEAS!$AE$45:$AE$194*LINEAS!$M$45:$M$194)-SUMPRODUCT((LINEAS!$U$45:$U$194=2)*LINEAS!$AE$45:$AE$194*LINEAS!$M$45:$M$194)+IF(DATOS!$C$22="Z",SUMPRODUCT(LINEAS!$AM$9:$AM$38*LINEAS!$M$9:$M$38),0))/1000</f>
        <v>-5.690374640099499</v>
      </c>
      <c r="G66" s="37">
        <f>(SUMPRODUCT((LINEAS!$U$45:$U$194=1)*LINEAS!$AF$45:$AF$194*LINEAS!$M$45:$M$194)-SUMPRODUCT((LINEAS!$U$45:$U$194=2)*LINEAS!$AF$45:$AF$194*LINEAS!$M$45:$M$194)+IF(DATOS!$C$22="Z",SUMPRODUCT(LINEAS!$AN$9:$AN$38*LINEAS!$M$9:$M$38),0))/1000</f>
        <v>-0.5588569440998602</v>
      </c>
      <c r="H66" s="37">
        <f>(SUMPRODUCT((LINEAS!$U$45:$U$194=1)*LINEAS!$AG$45:$AG$194*LINEAS!$M$45:$M$194)-SUMPRODUCT((LINEAS!$U$45:$U$194=2)*LINEAS!$AG$45:$AG$194*LINEAS!$M$45:$M$194)+IF(DATOS!$C$22="Z",SUMPRODUCT(LINEAS!$AO$9:$AO$38*LINEAS!$M$9:$M$38),0))/1000</f>
        <v>-0.5588569440998602</v>
      </c>
      <c r="I66" s="37">
        <f>(SUMPRODUCT((LINEAS!$U$45:$U$194=1)*LINEAS!$AH$45:$AH$194*LINEAS!$M$45:$M$194)-SUMPRODUCT((LINEAS!$U$45:$U$194=2)*LINEAS!$AH$45:$AH$194*LINEAS!$M$45:$M$194)+IF(DATOS!$C$22="Z",SUMPRODUCT(LINEAS!$AP$9:$AP$38*LINEAS!$M$9:$M$38),0))/1000</f>
        <v>4.7442958709414187</v>
      </c>
      <c r="J66" s="37">
        <f>(SUMPRODUCT((LINEAS!$U$45:$U$194=1)*LINEAS!$AI$45:$AI$194*LINEAS!$M$45:$M$194)-SUMPRODUCT((LINEAS!$U$45:$U$194=2)*LINEAS!$AI$45:$AI$194*LINEAS!$M$45:$M$194)+IF(DATOS!$C$22="Z",SUMPRODUCT(LINEAS!$AQ$9:$AQ$38*LINEAS!$M$9:$M$38),0))/1000</f>
        <v>-3.6379582672908688</v>
      </c>
    </row>
    <row r="67" spans="2:15" ht="16.5" customHeight="1" x14ac:dyDescent="0.3">
      <c r="B67" s="1" t="s">
        <v>345</v>
      </c>
      <c r="C67" s="32">
        <f>((C43*(ABERTURAS!$O$51-ABERTURAS!$H$51)+C47*ABERTURAS!$H$51)-(C44*(ABERTURAS!$O$52-ABERTURAS!$H$52)+C48*ABERTURAS!$H$52)+IF(DATOS!$C$22="Z",(C51*$C$18+C52*$C$19+C53*$C$20+C54*$C$21)*DATOS!$C$23/4*IF(DATOS!$C$22="X",DATOS!$C$13,DATOS!$C$12),0))/1000</f>
        <v>-0.90438186400314668</v>
      </c>
      <c r="D67" s="32">
        <f>((D43*(ABERTURAS!$O$51-ABERTURAS!$H$51)+D47*ABERTURAS!$H$51)-(D44*(ABERTURAS!$O$52-ABERTURAS!$H$52)+D48*ABERTURAS!$H$52)+IF(DATOS!$C$22="Z",(D51*$C$18+D52*$C$19+D53*$C$20+D54*$C$21)*DATOS!$C$23/4*IF(DATOS!$C$22="X",DATOS!$C$13,DATOS!$C$12),0))/1000</f>
        <v>-0.90438186400314668</v>
      </c>
      <c r="E67" s="32">
        <f>((E43*(ABERTURAS!$O$51-ABERTURAS!$H$51)+E47*ABERTURAS!$H$51)-(E44*(ABERTURAS!$O$52-ABERTURAS!$H$52)+E48*ABERTURAS!$H$52)+IF(DATOS!$C$22="Z",(E51*$C$18+E52*$C$19+E53*$C$20+E54*$C$21)*DATOS!$C$23/4*IF(DATOS!$C$22="X",DATOS!$C$13,DATOS!$C$12),0))/1000</f>
        <v>7.2907170142204993</v>
      </c>
      <c r="F67" s="32">
        <f>((F43*(ABERTURAS!$O$51-ABERTURAS!$H$51)+F47*ABERTURAS!$H$51)-(F44*(ABERTURAS!$O$52-ABERTURAS!$H$52)+F48*ABERTURAS!$H$52)+IF(DATOS!$C$22="Z",(F51*$C$18+F52*$C$19+F53*$C$20+F54*$C$21)*DATOS!$C$23/4*IF(DATOS!$C$22="X",DATOS!$C$13,DATOS!$C$12),0))/1000</f>
        <v>-5.9187988746359395</v>
      </c>
      <c r="G67" s="32">
        <f>((G43*(ABERTURAS!$P$51-ABERTURAS!$H$51)+G47*ABERTURAS!$H$51)-(G44*(ABERTURAS!$P$52-ABERTURAS!$H$52)+G48*ABERTURAS!$H$52)+IF(DATOS!$C$22="Z",(G51*$C$18+G52*$C$19+G53*$C$20+G54*$C$21)*DATOS!$C$23/4*IF(DATOS!$C$22="X",DATOS!$C$13,DATOS!$C$12),0))/1000</f>
        <v>-0.57911857660976029</v>
      </c>
      <c r="H67" s="32">
        <f>((H43*(ABERTURAS!$P$51-ABERTURAS!$H$51)+H47*ABERTURAS!$H$51)-(H44*(ABERTURAS!$P$52-ABERTURAS!$H$52)+H48*ABERTURAS!$H$52)+IF(DATOS!$C$22="Z",(H51*$C$18+H52*$C$19+H53*$C$20+H54*$C$21)*DATOS!$C$23/4*IF(DATOS!$C$22="X",DATOS!$C$13,DATOS!$C$12),0))/1000</f>
        <v>-0.57911857660976029</v>
      </c>
      <c r="I67" s="32">
        <f>((I43*(ABERTURAS!$P$51-ABERTURAS!$H$51)+I47*ABERTURAS!$H$51)-(I44*(ABERTURAS!$P$52-ABERTURAS!$H$52)+I48*ABERTURAS!$H$52)+IF(DATOS!$C$22="Z",(I51*$C$18+I52*$C$19+I53*$C$20+I54*$C$21)*DATOS!$C$23/4*IF(DATOS!$C$22="X",DATOS!$C$13,DATOS!$C$12),0))/1000</f>
        <v>4.8930470237325636</v>
      </c>
      <c r="J67" s="32">
        <f>((J43*(ABERTURAS!$P$51-ABERTURAS!$H$51)+J47*ABERTURAS!$H$51)-(J44*(ABERTURAS!$P$52-ABERTURAS!$H$52)+J48*ABERTURAS!$H$52)+IF(DATOS!$C$22="Z",(J51*$C$18+J52*$C$19+J53*$C$20+J54*$C$21)*DATOS!$C$23/4*IF(DATOS!$C$22="X",DATOS!$C$13,DATOS!$C$12),0))/1000</f>
        <v>-3.7717070985260195</v>
      </c>
    </row>
    <row r="68" spans="2:15" ht="16.5" customHeight="1" x14ac:dyDescent="0.3">
      <c r="B68" s="1" t="s">
        <v>346</v>
      </c>
      <c r="C68" s="38">
        <f t="shared" ref="C68:J68" si="1">C66-C67</f>
        <v>3.4604024975705916E-2</v>
      </c>
      <c r="D68" s="38">
        <f t="shared" si="1"/>
        <v>3.4604024975705916E-2</v>
      </c>
      <c r="E68" s="38">
        <f t="shared" si="1"/>
        <v>-0.25447573143217639</v>
      </c>
      <c r="F68" s="38">
        <f t="shared" si="1"/>
        <v>0.22842423453644045</v>
      </c>
      <c r="G68" s="38">
        <f t="shared" si="1"/>
        <v>2.0261632509900096E-2</v>
      </c>
      <c r="H68" s="38">
        <f t="shared" si="1"/>
        <v>2.0261632509900096E-2</v>
      </c>
      <c r="I68" s="38">
        <f t="shared" si="1"/>
        <v>-0.14875115279114492</v>
      </c>
      <c r="J68" s="38">
        <f t="shared" si="1"/>
        <v>0.13374883123515069</v>
      </c>
    </row>
    <row r="69" spans="2:15" ht="29.25" customHeight="1" x14ac:dyDescent="0.3">
      <c r="B69" s="3" t="s">
        <v>347</v>
      </c>
      <c r="C69" s="37">
        <f>-SUMPRODUCT(LINEAS!$AB$9:$AB$38*LINEAS!$M$9:$M$38)/1000</f>
        <v>1.575128158535636</v>
      </c>
      <c r="D69" s="37">
        <f>-SUMPRODUCT(LINEAS!$AC$9:$AC$38*LINEAS!$M$9:$M$38)/1000</f>
        <v>1.575128158535636</v>
      </c>
      <c r="E69" s="37">
        <f>-SUMPRODUCT(LINEAS!$AD$9:$AD$38*LINEAS!$M$9:$M$38)/1000</f>
        <v>0.78756407926781802</v>
      </c>
      <c r="F69" s="37">
        <f>-SUMPRODUCT(LINEAS!$AE$9:$AE$38*LINEAS!$M$9:$M$38)/1000</f>
        <v>11.419679149383361</v>
      </c>
      <c r="G69" s="37">
        <f>-SUMPRODUCT(LINEAS!$AF$9:$AF$38*LINEAS!$M$9:$M$38)/1000</f>
        <v>1.575128158535636</v>
      </c>
      <c r="H69" s="37">
        <f>-SUMPRODUCT(LINEAS!$AG$9:$AG$38*LINEAS!$M$9:$M$38)/1000</f>
        <v>1.575128158535636</v>
      </c>
      <c r="I69" s="37">
        <f>-SUMPRODUCT(LINEAS!$AH$9:$AH$38*LINEAS!$M$9:$M$38)/1000</f>
        <v>0.78756407926781802</v>
      </c>
      <c r="J69" s="37">
        <f>-SUMPRODUCT(LINEAS!$AI$9:$AI$38*LINEAS!$M$9:$M$38)/1000</f>
        <v>11.419679149383361</v>
      </c>
      <c r="O69" s="12" t="s">
        <v>348</v>
      </c>
    </row>
    <row r="70" spans="2:15" ht="16.5" customHeight="1" x14ac:dyDescent="0.3">
      <c r="B70" s="1" t="s">
        <v>349</v>
      </c>
      <c r="C70" s="32">
        <f>-(C51+C52+C53+C54)*DATOS!$C$23/4*IF(DATOS!$C$22="X",DATOS!$C$13,DATOS!$C$12)/1000</f>
        <v>1.5751281585356356</v>
      </c>
      <c r="D70" s="32">
        <f>-(D51+D52+D53+D54)*DATOS!$C$23/4*IF(DATOS!$C$22="X",DATOS!$C$13,DATOS!$C$12)/1000</f>
        <v>1.5751281585356356</v>
      </c>
      <c r="E70" s="32">
        <f>-(E51+E52+E53+E54)*DATOS!$C$23/4*IF(DATOS!$C$22="X",DATOS!$C$13,DATOS!$C$12)/1000</f>
        <v>0.7875640792678178</v>
      </c>
      <c r="F70" s="32">
        <f>-(F51+F52+F53+F54)*DATOS!$C$23/4*IF(DATOS!$C$22="X",DATOS!$C$13,DATOS!$C$12)/1000</f>
        <v>11.419679149383361</v>
      </c>
      <c r="G70" s="32">
        <f>-(G51+G52+G53+G54)*DATOS!$C$23/4*IF(DATOS!$C$22="X",DATOS!$C$13,DATOS!$C$12)/1000</f>
        <v>1.5751281585356356</v>
      </c>
      <c r="H70" s="32">
        <f>-(H51+H52+H53+H54)*DATOS!$C$23/4*IF(DATOS!$C$22="X",DATOS!$C$13,DATOS!$C$12)/1000</f>
        <v>1.5751281585356356</v>
      </c>
      <c r="I70" s="32">
        <f>-(I51+I52+I53+I54)*DATOS!$C$23/4*IF(DATOS!$C$22="X",DATOS!$C$13,DATOS!$C$12)/1000</f>
        <v>0.7875640792678178</v>
      </c>
      <c r="J70" s="32">
        <f>-(J51+J52+J53+J54)*DATOS!$C$23/4*IF(DATOS!$C$22="X",DATOS!$C$13,DATOS!$C$12)/1000</f>
        <v>11.419679149383361</v>
      </c>
    </row>
    <row r="71" spans="2:15" ht="16.5" customHeight="1" x14ac:dyDescent="0.3">
      <c r="B71" s="1" t="s">
        <v>350</v>
      </c>
      <c r="C71" s="38">
        <f t="shared" ref="C71:J71" si="2">C69-C70</f>
        <v>0</v>
      </c>
      <c r="D71" s="38">
        <f t="shared" si="2"/>
        <v>0</v>
      </c>
      <c r="E71" s="38">
        <f t="shared" si="2"/>
        <v>0</v>
      </c>
      <c r="F71" s="38">
        <f t="shared" si="2"/>
        <v>0</v>
      </c>
      <c r="G71" s="38">
        <f t="shared" si="2"/>
        <v>0</v>
      </c>
      <c r="H71" s="38">
        <f t="shared" si="2"/>
        <v>0</v>
      </c>
      <c r="I71" s="38">
        <f t="shared" si="2"/>
        <v>0</v>
      </c>
      <c r="J71" s="38">
        <f t="shared" si="2"/>
        <v>0</v>
      </c>
    </row>
    <row r="72" spans="2:15" ht="15" customHeight="1" x14ac:dyDescent="0.3"/>
    <row r="73" spans="2:15" ht="21" customHeight="1" x14ac:dyDescent="0.3">
      <c r="B73" s="49" t="s">
        <v>351</v>
      </c>
      <c r="C73" s="49"/>
      <c r="D73" s="49"/>
      <c r="E73" s="49"/>
      <c r="F73" s="49"/>
      <c r="G73" s="49"/>
      <c r="H73" s="49"/>
      <c r="I73" s="49"/>
      <c r="J73" s="49"/>
      <c r="K73" s="49"/>
      <c r="L73" s="49"/>
      <c r="M73" s="49"/>
      <c r="N73" s="49"/>
      <c r="O73" s="49"/>
    </row>
    <row r="74" spans="2:15" ht="30" customHeight="1" x14ac:dyDescent="0.3">
      <c r="B74" s="50" t="s">
        <v>352</v>
      </c>
      <c r="C74" s="50"/>
      <c r="D74" s="50"/>
      <c r="E74" s="50"/>
      <c r="F74" s="50"/>
      <c r="G74" s="50"/>
      <c r="H74" s="50"/>
      <c r="I74" s="50"/>
      <c r="J74" s="50"/>
      <c r="K74" s="50"/>
      <c r="L74" s="50"/>
      <c r="M74" s="50"/>
      <c r="N74" s="50"/>
      <c r="O74" s="50"/>
    </row>
    <row r="75" spans="2:15" ht="42" customHeight="1" x14ac:dyDescent="0.3">
      <c r="B75" s="2" t="s">
        <v>309</v>
      </c>
      <c r="C75" s="2" t="s">
        <v>251</v>
      </c>
      <c r="D75" s="2" t="s">
        <v>353</v>
      </c>
      <c r="E75" s="2" t="s">
        <v>354</v>
      </c>
      <c r="F75" s="2" t="s">
        <v>252</v>
      </c>
      <c r="G75" s="2" t="s">
        <v>355</v>
      </c>
      <c r="H75" s="2" t="s">
        <v>356</v>
      </c>
      <c r="I75" s="2" t="s">
        <v>357</v>
      </c>
      <c r="O75" s="2" t="s">
        <v>75</v>
      </c>
    </row>
    <row r="76" spans="2:15" ht="16.5" customHeight="1" x14ac:dyDescent="0.3">
      <c r="B76" s="1" t="s">
        <v>253</v>
      </c>
      <c r="C76" s="16">
        <f>ABERTURAS!$O$51</f>
        <v>107.0496</v>
      </c>
      <c r="D76" s="16">
        <f>SUMIF(LINEAS!$U$45:$U$194,1,LINEAS!$R$45:$R$194)</f>
        <v>103.28171999999999</v>
      </c>
      <c r="E76" s="39">
        <f>IF($C76&lt;=0,"—",$D76/$C76)</f>
        <v>0.96480248408214508</v>
      </c>
      <c r="F76" s="16">
        <f>ABERTURAS!$P$51</f>
        <v>71.633111999999997</v>
      </c>
      <c r="G76" s="16">
        <f>SUMIF(LINEAS!$U$45:$U$194,1,LINEAS!$S$45:$S$194)</f>
        <v>69.426911999999987</v>
      </c>
      <c r="H76" s="39">
        <f>IF($F76&lt;=0,"—",$G76/$F76)</f>
        <v>0.96920139390286419</v>
      </c>
      <c r="I76" s="56" t="str">
        <f>IF(AND($C76&lt;=0,$F76&lt;=0),"TODO ABIERTO: no lleva carga",IF(AND($D76=0,$G76=0),"SIN MIEMBROS: su presión no entra a STAAD",IF(MIN($E76,$H76)&gt;=0.85,"OK",IF(MIN($E76,$H76)&gt;=0.6,"REVISA: falta cargar parte del muro","OJO: falta mucho muro"))))</f>
        <v>OK</v>
      </c>
      <c r="J76" s="56"/>
      <c r="K76" s="56"/>
      <c r="L76" s="56"/>
      <c r="M76" s="56"/>
      <c r="N76" s="56"/>
      <c r="O76" s="12" t="s">
        <v>358</v>
      </c>
    </row>
    <row r="77" spans="2:15" ht="16.5" customHeight="1" x14ac:dyDescent="0.3">
      <c r="B77" s="1" t="s">
        <v>254</v>
      </c>
      <c r="C77" s="16">
        <f>ABERTURAS!$O$52</f>
        <v>0</v>
      </c>
      <c r="D77" s="16">
        <f>SUMIF(LINEAS!$U$45:$U$194,2,LINEAS!$R$45:$R$194)</f>
        <v>0</v>
      </c>
      <c r="E77" s="39" t="str">
        <f>IF($C77&lt;=0,"—",$D77/$C77)</f>
        <v>—</v>
      </c>
      <c r="F77" s="16">
        <f>ABERTURAS!$P$52</f>
        <v>0</v>
      </c>
      <c r="G77" s="16">
        <f>SUMIF(LINEAS!$U$45:$U$194,2,LINEAS!$S$45:$S$194)</f>
        <v>0</v>
      </c>
      <c r="H77" s="39" t="str">
        <f>IF($F77&lt;=0,"—",$G77/$F77)</f>
        <v>—</v>
      </c>
      <c r="I77" s="56" t="str">
        <f>IF(AND($C77&lt;=0,$F77&lt;=0),"TODO ABIERTO: no lleva carga",IF(AND($D77=0,$G77=0),"SIN MIEMBROS: su presión no entra a STAAD",IF(MIN($E77,$H77)&gt;=0.85,"OK",IF(MIN($E77,$H77)&gt;=0.6,"REVISA: falta cargar parte del muro","OJO: falta mucho muro"))))</f>
        <v>TODO ABIERTO: no lleva carga</v>
      </c>
      <c r="J77" s="56"/>
      <c r="K77" s="56"/>
      <c r="L77" s="56"/>
      <c r="M77" s="56"/>
      <c r="N77" s="56"/>
      <c r="O77" s="12" t="s">
        <v>358</v>
      </c>
    </row>
    <row r="78" spans="2:15" ht="16.5" customHeight="1" x14ac:dyDescent="0.3">
      <c r="B78" s="1" t="s">
        <v>255</v>
      </c>
      <c r="C78" s="16">
        <f>ABERTURAS!$O$53</f>
        <v>163.51999999999998</v>
      </c>
      <c r="D78" s="16">
        <f>SUMIF(LINEAS!$U$45:$U$194,3,LINEAS!$R$45:$R$194)</f>
        <v>153.89959999999999</v>
      </c>
      <c r="E78" s="39">
        <f>IF($C78&lt;=0,"—",$D78/$C78)</f>
        <v>0.94116682974559696</v>
      </c>
      <c r="F78" s="16">
        <f>ABERTURAS!$P$53</f>
        <v>163.51999999999998</v>
      </c>
      <c r="G78" s="16">
        <f>SUMIF(LINEAS!$U$45:$U$194,3,LINEAS!$S$45:$S$194)</f>
        <v>153.89959999999999</v>
      </c>
      <c r="H78" s="39">
        <f>IF($F78&lt;=0,"—",$G78/$F78)</f>
        <v>0.94116682974559696</v>
      </c>
      <c r="I78" s="56" t="str">
        <f>IF(AND($C78&lt;=0,$F78&lt;=0),"TODO ABIERTO: no lleva carga",IF(AND($D78=0,$G78=0),"SIN MIEMBROS: su presión no entra a STAAD",IF(MIN($E78,$H78)&gt;=0.85,"OK",IF(MIN($E78,$H78)&gt;=0.6,"REVISA: falta cargar parte del muro","OJO: falta mucho muro"))))</f>
        <v>OK</v>
      </c>
      <c r="J78" s="56"/>
      <c r="K78" s="56"/>
      <c r="L78" s="56"/>
      <c r="M78" s="56"/>
      <c r="N78" s="56"/>
      <c r="O78" s="12" t="s">
        <v>358</v>
      </c>
    </row>
    <row r="79" spans="2:15" ht="16.5" customHeight="1" x14ac:dyDescent="0.3">
      <c r="B79" s="1" t="s">
        <v>256</v>
      </c>
      <c r="C79" s="16">
        <f>ABERTURAS!$O$54</f>
        <v>163.51999999999998</v>
      </c>
      <c r="D79" s="16">
        <f>SUMIF(LINEAS!$U$45:$U$194,4,LINEAS!$R$45:$R$194)</f>
        <v>153.89959999999999</v>
      </c>
      <c r="E79" s="39">
        <f>IF($C79&lt;=0,"—",$D79/$C79)</f>
        <v>0.94116682974559696</v>
      </c>
      <c r="F79" s="16">
        <f>ABERTURAS!$P$54</f>
        <v>163.51999999999998</v>
      </c>
      <c r="G79" s="16">
        <f>SUMIF(LINEAS!$U$45:$U$194,4,LINEAS!$S$45:$S$194)</f>
        <v>153.89959999999999</v>
      </c>
      <c r="H79" s="39">
        <f>IF($F79&lt;=0,"—",$G79/$F79)</f>
        <v>0.94116682974559696</v>
      </c>
      <c r="I79" s="56" t="str">
        <f>IF(AND($C79&lt;=0,$F79&lt;=0),"TODO ABIERTO: no lleva carga",IF(AND($D79=0,$G79=0),"SIN MIEMBROS: su presión no entra a STAAD",IF(MIN($E79,$H79)&gt;=0.85,"OK",IF(MIN($E79,$H79)&gt;=0.6,"REVISA: falta cargar parte del muro","OJO: falta mucho muro"))))</f>
        <v>OK</v>
      </c>
      <c r="J79" s="56"/>
      <c r="K79" s="56"/>
      <c r="L79" s="56"/>
      <c r="M79" s="56"/>
      <c r="N79" s="56"/>
      <c r="O79" s="12" t="s">
        <v>358</v>
      </c>
    </row>
    <row r="80" spans="2:15" ht="16.5" customHeight="1" x14ac:dyDescent="0.3">
      <c r="B80" s="1" t="s">
        <v>359</v>
      </c>
      <c r="C80" s="16">
        <f>DATOS!$C$12*DATOS!$C$13</f>
        <v>161.28</v>
      </c>
      <c r="D80" s="16">
        <f>SUM(LINEAS!$O$9:$O$38)</f>
        <v>161.28000000000003</v>
      </c>
      <c r="E80" s="39">
        <f>IF($C80&lt;=0,"—",$D80/$C80)</f>
        <v>1.0000000000000002</v>
      </c>
      <c r="I80" s="56" t="str">
        <f>IF(ABS($D80-$C80)&lt;=0.01*$C80,"OK",IF($D80&lt;$C80,"REVISA: falta techo en LINEAS §A","REVISA: hay techo repetido"))</f>
        <v>OK</v>
      </c>
      <c r="J80" s="56"/>
      <c r="K80" s="56"/>
      <c r="L80" s="56"/>
      <c r="M80" s="56"/>
      <c r="N80" s="56"/>
      <c r="O80" s="12" t="s">
        <v>360</v>
      </c>
    </row>
    <row r="81" spans="2:15" ht="15" customHeight="1" x14ac:dyDescent="0.3"/>
    <row r="82" spans="2:15" ht="21" customHeight="1" x14ac:dyDescent="0.3">
      <c r="B82" s="49" t="s">
        <v>361</v>
      </c>
      <c r="C82" s="49"/>
      <c r="D82" s="49"/>
      <c r="E82" s="49"/>
      <c r="F82" s="49"/>
      <c r="G82" s="49"/>
      <c r="H82" s="49"/>
      <c r="I82" s="49"/>
      <c r="J82" s="49"/>
      <c r="K82" s="49"/>
      <c r="L82" s="49"/>
      <c r="M82" s="49"/>
      <c r="N82" s="49"/>
      <c r="O82" s="49"/>
    </row>
    <row r="83" spans="2:15" ht="30" customHeight="1" x14ac:dyDescent="0.3">
      <c r="B83" s="50" t="s">
        <v>362</v>
      </c>
      <c r="C83" s="50"/>
      <c r="D83" s="50"/>
      <c r="E83" s="50"/>
      <c r="F83" s="50"/>
      <c r="G83" s="50"/>
      <c r="H83" s="50"/>
      <c r="I83" s="50"/>
      <c r="J83" s="50"/>
      <c r="K83" s="50"/>
      <c r="L83" s="50"/>
      <c r="M83" s="50"/>
      <c r="N83" s="50"/>
      <c r="O83" s="50"/>
    </row>
    <row r="84" spans="2:15" ht="30" customHeight="1" x14ac:dyDescent="0.3">
      <c r="B84" s="2" t="s">
        <v>363</v>
      </c>
      <c r="C84" s="2" t="str">
        <f>DATOS!$B$72</f>
        <v>LOAD 8</v>
      </c>
      <c r="D84" s="2" t="str">
        <f>DATOS!$B$73</f>
        <v>LOAD 9</v>
      </c>
      <c r="E84" s="2" t="str">
        <f>DATOS!$B$74</f>
        <v>LOAD 10</v>
      </c>
      <c r="F84" s="2" t="str">
        <f>DATOS!$B$75</f>
        <v>LOAD 11</v>
      </c>
      <c r="G84" s="2" t="str">
        <f>DATOS!$B$76</f>
        <v>LOAD 12</v>
      </c>
      <c r="H84" s="2" t="str">
        <f>DATOS!$B$77</f>
        <v>LOAD 13</v>
      </c>
      <c r="I84" s="2" t="str">
        <f>DATOS!$B$78</f>
        <v>LOAD 14</v>
      </c>
      <c r="J84" s="2" t="str">
        <f>DATOS!$B$79</f>
        <v>LOAD 15</v>
      </c>
      <c r="O84" s="2" t="s">
        <v>75</v>
      </c>
    </row>
    <row r="85" spans="2:15" ht="16.5" customHeight="1" x14ac:dyDescent="0.3">
      <c r="B85" s="1" t="s">
        <v>364</v>
      </c>
      <c r="C85" s="36">
        <f>C45*DATOS!$C$20</f>
        <v>424.00833131999542</v>
      </c>
      <c r="D85" s="36">
        <f>D45*DATOS!$C$20</f>
        <v>2.8083313199954016</v>
      </c>
      <c r="E85" s="36">
        <f>E45*DATOS!$C$20</f>
        <v>-29.030002416005487</v>
      </c>
      <c r="F85" s="36">
        <f>F45*DATOS!$C$20</f>
        <v>-474.0124969799931</v>
      </c>
      <c r="G85" s="36">
        <f>G45*DATOS!$C$20</f>
        <v>424.00833131999542</v>
      </c>
      <c r="H85" s="36">
        <f>H45*DATOS!$C$20</f>
        <v>2.8083313199954016</v>
      </c>
      <c r="I85" s="36">
        <f>I45*DATOS!$C$20</f>
        <v>-29.030002416005487</v>
      </c>
      <c r="J85" s="36">
        <f>J45*DATOS!$C$20</f>
        <v>-474.0124969799931</v>
      </c>
      <c r="O85" s="12" t="s">
        <v>365</v>
      </c>
    </row>
    <row r="86" spans="2:15" ht="16.5" customHeight="1" x14ac:dyDescent="0.3">
      <c r="B86" s="1" t="s">
        <v>366</v>
      </c>
      <c r="C86" s="36">
        <f>C46*DATOS!$C$20</f>
        <v>2.8083313199954016</v>
      </c>
      <c r="D86" s="36">
        <f>D46*DATOS!$C$20</f>
        <v>424.00833131999542</v>
      </c>
      <c r="E86" s="36">
        <f>E46*DATOS!$C$20</f>
        <v>-29.030002416005487</v>
      </c>
      <c r="F86" s="36">
        <f>F46*DATOS!$C$20</f>
        <v>-474.0124969799931</v>
      </c>
      <c r="G86" s="36">
        <f>G46*DATOS!$C$20</f>
        <v>2.8083313199954016</v>
      </c>
      <c r="H86" s="36">
        <f>H46*DATOS!$C$20</f>
        <v>424.00833131999542</v>
      </c>
      <c r="I86" s="36">
        <f>I46*DATOS!$C$20</f>
        <v>-29.030002416005487</v>
      </c>
      <c r="J86" s="36">
        <f>J46*DATOS!$C$20</f>
        <v>-474.0124969799931</v>
      </c>
      <c r="O86" s="12" t="s">
        <v>365</v>
      </c>
    </row>
    <row r="87" spans="2:15" ht="16.5" customHeight="1" x14ac:dyDescent="0.3">
      <c r="B87" s="1" t="s">
        <v>367</v>
      </c>
      <c r="C87" s="36">
        <f>C51*DATOS!$C$20</f>
        <v>-65.923332527998141</v>
      </c>
      <c r="D87" s="36">
        <f>D51*DATOS!$C$20</f>
        <v>-65.923332527998141</v>
      </c>
      <c r="E87" s="36">
        <f>E51*DATOS!$C$20</f>
        <v>-32.961666263999071</v>
      </c>
      <c r="F87" s="36">
        <f>F51*DATOS!$C$20</f>
        <v>-477.94416082798659</v>
      </c>
      <c r="G87" s="36">
        <f>G51*DATOS!$C$20</f>
        <v>-65.923332527998141</v>
      </c>
      <c r="H87" s="36">
        <f>H51*DATOS!$C$20</f>
        <v>-65.923332527998141</v>
      </c>
      <c r="I87" s="36">
        <f>I51*DATOS!$C$20</f>
        <v>-32.961666263999071</v>
      </c>
      <c r="J87" s="36">
        <f>J51*DATOS!$C$20</f>
        <v>-477.94416082798659</v>
      </c>
      <c r="O87" s="12" t="s">
        <v>365</v>
      </c>
    </row>
    <row r="88" spans="2:15" ht="16.5" customHeight="1" x14ac:dyDescent="0.3">
      <c r="B88" s="1" t="s">
        <v>368</v>
      </c>
      <c r="C88" s="36">
        <f>C52*DATOS!$C$20</f>
        <v>-65.923332527998141</v>
      </c>
      <c r="D88" s="36">
        <f>D52*DATOS!$C$20</f>
        <v>-65.923332527998141</v>
      </c>
      <c r="E88" s="36">
        <f>E52*DATOS!$C$20</f>
        <v>-32.961666263999071</v>
      </c>
      <c r="F88" s="36">
        <f>F52*DATOS!$C$20</f>
        <v>-477.94416082798659</v>
      </c>
      <c r="G88" s="36">
        <f>G52*DATOS!$C$20</f>
        <v>-65.923332527998141</v>
      </c>
      <c r="H88" s="36">
        <f>H52*DATOS!$C$20</f>
        <v>-65.923332527998141</v>
      </c>
      <c r="I88" s="36">
        <f>I52*DATOS!$C$20</f>
        <v>-32.961666263999071</v>
      </c>
      <c r="J88" s="36">
        <f>J52*DATOS!$C$20</f>
        <v>-477.94416082798659</v>
      </c>
      <c r="O88" s="12" t="s">
        <v>365</v>
      </c>
    </row>
    <row r="89" spans="2:15" ht="16.5" customHeight="1" x14ac:dyDescent="0.3">
      <c r="B89" s="1" t="s">
        <v>369</v>
      </c>
      <c r="C89" s="36">
        <f>C53*DATOS!$C$20</f>
        <v>-65.923332527998141</v>
      </c>
      <c r="D89" s="36">
        <f>D53*DATOS!$C$20</f>
        <v>-65.923332527998141</v>
      </c>
      <c r="E89" s="36">
        <f>E53*DATOS!$C$20</f>
        <v>-32.961666263999071</v>
      </c>
      <c r="F89" s="36">
        <f>F53*DATOS!$C$20</f>
        <v>-477.94416082798659</v>
      </c>
      <c r="G89" s="36">
        <f>G53*DATOS!$C$20</f>
        <v>-65.923332527998141</v>
      </c>
      <c r="H89" s="36">
        <f>H53*DATOS!$C$20</f>
        <v>-65.923332527998141</v>
      </c>
      <c r="I89" s="36">
        <f>I53*DATOS!$C$20</f>
        <v>-32.961666263999071</v>
      </c>
      <c r="J89" s="36">
        <f>J53*DATOS!$C$20</f>
        <v>-477.94416082798659</v>
      </c>
      <c r="O89" s="12" t="s">
        <v>365</v>
      </c>
    </row>
    <row r="90" spans="2:15" ht="16.5" customHeight="1" x14ac:dyDescent="0.3">
      <c r="B90" s="1" t="s">
        <v>370</v>
      </c>
      <c r="C90" s="36">
        <f>C54*DATOS!$C$20</f>
        <v>-65.923332527998141</v>
      </c>
      <c r="D90" s="36">
        <f>D54*DATOS!$C$20</f>
        <v>-65.923332527998141</v>
      </c>
      <c r="E90" s="36">
        <f>E54*DATOS!$C$20</f>
        <v>-32.961666263999071</v>
      </c>
      <c r="F90" s="36">
        <f>F54*DATOS!$C$20</f>
        <v>-477.94416082798659</v>
      </c>
      <c r="G90" s="36">
        <f>G54*DATOS!$C$20</f>
        <v>-65.923332527998141</v>
      </c>
      <c r="H90" s="36">
        <f>H54*DATOS!$C$20</f>
        <v>-65.923332527998141</v>
      </c>
      <c r="I90" s="36">
        <f>I54*DATOS!$C$20</f>
        <v>-32.961666263999071</v>
      </c>
      <c r="J90" s="36">
        <f>J54*DATOS!$C$20</f>
        <v>-477.94416082798659</v>
      </c>
      <c r="O90" s="12" t="s">
        <v>365</v>
      </c>
    </row>
    <row r="91" spans="2:15" ht="15" customHeight="1" x14ac:dyDescent="0.3"/>
    <row r="92" spans="2:15" ht="30" customHeight="1" x14ac:dyDescent="0.3">
      <c r="B92" s="52" t="s">
        <v>371</v>
      </c>
      <c r="C92" s="52"/>
      <c r="D92" s="52"/>
      <c r="E92" s="52"/>
      <c r="F92" s="52"/>
      <c r="G92" s="52"/>
      <c r="H92" s="52"/>
      <c r="I92" s="52"/>
      <c r="J92" s="52"/>
      <c r="K92" s="52"/>
      <c r="L92" s="52"/>
      <c r="M92" s="52"/>
      <c r="N92" s="52"/>
      <c r="O92" s="52"/>
    </row>
  </sheetData>
  <mergeCells count="40">
    <mergeCell ref="B1:O1"/>
    <mergeCell ref="B2:O2"/>
    <mergeCell ref="B3:O3"/>
    <mergeCell ref="B5:O5"/>
    <mergeCell ref="B7:O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B24:O24"/>
    <mergeCell ref="B25:O25"/>
    <mergeCell ref="C26:E26"/>
    <mergeCell ref="F26:H26"/>
    <mergeCell ref="I26:K26"/>
    <mergeCell ref="L26:N26"/>
    <mergeCell ref="B37:O37"/>
    <mergeCell ref="B38:O38"/>
    <mergeCell ref="B60:O60"/>
    <mergeCell ref="B61:O61"/>
    <mergeCell ref="B73:O73"/>
    <mergeCell ref="I80:N80"/>
    <mergeCell ref="B82:O82"/>
    <mergeCell ref="B83:O83"/>
    <mergeCell ref="B92:O92"/>
    <mergeCell ref="B74:O74"/>
    <mergeCell ref="I76:N76"/>
    <mergeCell ref="I77:N77"/>
    <mergeCell ref="I78:N78"/>
    <mergeCell ref="I79:N79"/>
  </mergeCells>
  <conditionalFormatting sqref="B3">
    <cfRule type="expression" dxfId="19" priority="2">
      <formula>LEFT($B$3,3)="Sin"</formula>
    </cfRule>
    <cfRule type="expression" dxfId="18" priority="3">
      <formula>LEFT($B$3,3)="OJO"</formula>
    </cfRule>
  </conditionalFormatting>
  <conditionalFormatting sqref="C55:J58">
    <cfRule type="expression" dxfId="17" priority="4">
      <formula>$C$22="NO"</formula>
    </cfRule>
  </conditionalFormatting>
  <conditionalFormatting sqref="C65:J65">
    <cfRule type="expression" dxfId="16" priority="5">
      <formula>ABS(C65)&lt;=MAX(0.1*ABS(C64),0.2)</formula>
    </cfRule>
    <cfRule type="expression" dxfId="15" priority="6">
      <formula>ABS(C65)&gt;MAX(0.1*ABS(C64),0.2)</formula>
    </cfRule>
  </conditionalFormatting>
  <conditionalFormatting sqref="C68:J68">
    <cfRule type="expression" dxfId="14" priority="7">
      <formula>ABS(C68)&lt;=MAX(0.1*ABS(C67),0.2)</formula>
    </cfRule>
    <cfRule type="expression" dxfId="13" priority="8">
      <formula>ABS(C68)&gt;MAX(0.1*ABS(C67),0.2)</formula>
    </cfRule>
  </conditionalFormatting>
  <conditionalFormatting sqref="C71:J71">
    <cfRule type="expression" dxfId="12" priority="9">
      <formula>ABS(C71)&lt;=MAX(0.1*ABS(C70),0.2)</formula>
    </cfRule>
    <cfRule type="expression" dxfId="11" priority="10">
      <formula>ABS(C71)&gt;MAX(0.1*ABS(C70),0.2)</formula>
    </cfRule>
  </conditionalFormatting>
  <conditionalFormatting sqref="I76:I80">
    <cfRule type="expression" dxfId="10" priority="11">
      <formula>LEFT(I76,2)="OK"</formula>
    </cfRule>
    <cfRule type="expression" dxfId="9" priority="12">
      <formula>OR(LEFT(I76,3)="SIN",LEFT(I76,3)="OJO")</formula>
    </cfRule>
    <cfRule type="expression" dxfId="8" priority="13">
      <formula>LEFT(I76,3)="REV"</formula>
    </cfRule>
  </conditionalFormatting>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BG195"/>
  <sheetViews>
    <sheetView showGridLines="0" zoomScale="90" zoomScaleNormal="90" workbookViewId="0"/>
  </sheetViews>
  <sheetFormatPr baseColWidth="10" defaultColWidth="8.6640625" defaultRowHeight="14.4" x14ac:dyDescent="0.3"/>
  <cols>
    <col min="1" max="1" width="1.77734375" customWidth="1"/>
    <col min="2" max="2" width="17" customWidth="1"/>
    <col min="3" max="3" width="10" customWidth="1"/>
    <col min="4" max="4" width="24" customWidth="1"/>
    <col min="5" max="5" width="12" customWidth="1"/>
    <col min="6" max="11" width="8" customWidth="1"/>
    <col min="12" max="12" width="15" customWidth="1"/>
    <col min="13" max="14" width="8" customWidth="1"/>
    <col min="15" max="19" width="9" customWidth="1"/>
    <col min="20" max="20" width="7" customWidth="1"/>
    <col min="21" max="21" width="6" customWidth="1"/>
    <col min="22" max="27" width="7" customWidth="1"/>
    <col min="28" max="59" width="9" customWidth="1"/>
  </cols>
  <sheetData>
    <row r="1" spans="2:59" ht="25.5" customHeight="1" x14ac:dyDescent="0.3">
      <c r="B1" s="51" t="s">
        <v>372</v>
      </c>
      <c r="C1" s="51"/>
      <c r="D1" s="51"/>
      <c r="E1" s="51"/>
      <c r="F1" s="51"/>
      <c r="G1" s="51"/>
      <c r="H1" s="51"/>
      <c r="I1" s="51"/>
      <c r="J1" s="51"/>
      <c r="K1" s="51"/>
      <c r="L1" s="51"/>
    </row>
    <row r="2" spans="2:59" ht="30" customHeight="1" x14ac:dyDescent="0.3">
      <c r="B2" s="52" t="s">
        <v>373</v>
      </c>
      <c r="C2" s="52"/>
      <c r="D2" s="52"/>
      <c r="E2" s="52"/>
      <c r="F2" s="52"/>
      <c r="G2" s="52"/>
      <c r="H2" s="52"/>
      <c r="I2" s="52"/>
      <c r="J2" s="52"/>
      <c r="K2" s="52"/>
      <c r="L2" s="52"/>
    </row>
    <row r="3" spans="2:59" ht="57.75" customHeight="1" x14ac:dyDescent="0.3">
      <c r="B3" s="53" t="s">
        <v>374</v>
      </c>
      <c r="C3" s="53"/>
      <c r="D3" s="53"/>
      <c r="E3" s="53"/>
      <c r="F3" s="53"/>
      <c r="G3" s="53"/>
      <c r="H3" s="53"/>
      <c r="I3" s="53"/>
      <c r="J3" s="53"/>
      <c r="K3" s="53"/>
      <c r="L3" s="53"/>
    </row>
    <row r="4" spans="2:59" ht="6" customHeight="1" x14ac:dyDescent="0.3"/>
    <row r="5" spans="2:59" ht="21" customHeight="1" x14ac:dyDescent="0.3">
      <c r="B5" s="49" t="s">
        <v>375</v>
      </c>
      <c r="C5" s="49"/>
      <c r="D5" s="49"/>
      <c r="E5" s="49"/>
      <c r="F5" s="49"/>
      <c r="G5" s="49"/>
      <c r="H5" s="49"/>
      <c r="I5" s="49"/>
      <c r="J5" s="49"/>
      <c r="K5" s="49"/>
      <c r="L5" s="49"/>
    </row>
    <row r="6" spans="2:59" ht="30" customHeight="1" x14ac:dyDescent="0.3">
      <c r="B6" s="50" t="s">
        <v>376</v>
      </c>
      <c r="C6" s="50"/>
      <c r="D6" s="50"/>
      <c r="E6" s="50"/>
      <c r="F6" s="50"/>
      <c r="G6" s="50"/>
      <c r="H6" s="50"/>
      <c r="I6" s="50"/>
      <c r="J6" s="50"/>
      <c r="K6" s="50"/>
      <c r="L6" s="50"/>
    </row>
    <row r="7" spans="2:59" ht="42" customHeight="1" x14ac:dyDescent="0.3">
      <c r="B7" s="2" t="s">
        <v>377</v>
      </c>
      <c r="C7" s="2" t="s">
        <v>309</v>
      </c>
      <c r="D7" s="2" t="s">
        <v>378</v>
      </c>
      <c r="E7" s="2" t="s">
        <v>379</v>
      </c>
      <c r="F7" s="2" t="s">
        <v>380</v>
      </c>
      <c r="G7" s="2" t="s">
        <v>381</v>
      </c>
      <c r="H7" s="2" t="s">
        <v>382</v>
      </c>
      <c r="I7" s="2" t="s">
        <v>383</v>
      </c>
      <c r="J7" s="2" t="s">
        <v>384</v>
      </c>
      <c r="K7" s="2" t="s">
        <v>385</v>
      </c>
      <c r="L7" s="2" t="s">
        <v>357</v>
      </c>
      <c r="M7" s="2" t="s">
        <v>386</v>
      </c>
      <c r="N7" s="2" t="s">
        <v>387</v>
      </c>
      <c r="O7" s="2" t="s">
        <v>388</v>
      </c>
      <c r="P7" s="2" t="s">
        <v>245</v>
      </c>
      <c r="Q7" s="2" t="s">
        <v>247</v>
      </c>
      <c r="R7" s="2" t="s">
        <v>353</v>
      </c>
      <c r="S7" s="2" t="s">
        <v>355</v>
      </c>
      <c r="T7" s="2" t="s">
        <v>389</v>
      </c>
      <c r="U7" s="2" t="s">
        <v>213</v>
      </c>
      <c r="V7" s="2" t="s">
        <v>390</v>
      </c>
      <c r="W7" s="2" t="s">
        <v>391</v>
      </c>
      <c r="X7" s="2" t="s">
        <v>214</v>
      </c>
      <c r="Y7" s="2" t="s">
        <v>215</v>
      </c>
      <c r="Z7" s="2" t="s">
        <v>216</v>
      </c>
      <c r="AA7" s="2" t="s">
        <v>217</v>
      </c>
      <c r="AB7" s="55" t="s">
        <v>392</v>
      </c>
      <c r="AC7" s="55"/>
      <c r="AD7" s="55"/>
      <c r="AE7" s="55"/>
      <c r="AF7" s="55"/>
      <c r="AG7" s="55"/>
      <c r="AH7" s="55"/>
      <c r="AI7" s="55"/>
      <c r="AJ7" s="55" t="s">
        <v>393</v>
      </c>
      <c r="AK7" s="55"/>
      <c r="AL7" s="55"/>
      <c r="AM7" s="55"/>
      <c r="AN7" s="55"/>
      <c r="AO7" s="55"/>
      <c r="AP7" s="55"/>
      <c r="AQ7" s="55"/>
      <c r="AR7" s="55" t="s">
        <v>394</v>
      </c>
      <c r="AS7" s="55"/>
      <c r="AT7" s="55"/>
      <c r="AU7" s="55"/>
      <c r="AV7" s="55"/>
      <c r="AW7" s="55"/>
      <c r="AX7" s="55"/>
      <c r="AY7" s="55"/>
      <c r="AZ7" s="55" t="s">
        <v>395</v>
      </c>
      <c r="BA7" s="55"/>
      <c r="BB7" s="55"/>
      <c r="BC7" s="55"/>
      <c r="BD7" s="55"/>
      <c r="BE7" s="55"/>
      <c r="BF7" s="55"/>
      <c r="BG7" s="55"/>
    </row>
    <row r="8" spans="2:59" ht="30" customHeight="1" x14ac:dyDescent="0.3">
      <c r="B8" s="2"/>
      <c r="C8" s="2"/>
      <c r="D8" s="2"/>
      <c r="E8" s="2"/>
      <c r="F8" s="2"/>
      <c r="G8" s="2"/>
      <c r="H8" s="2"/>
      <c r="I8" s="2"/>
      <c r="J8" s="2"/>
      <c r="K8" s="2"/>
      <c r="L8" s="2"/>
      <c r="M8" s="2"/>
      <c r="N8" s="2"/>
      <c r="O8" s="2"/>
      <c r="P8" s="2"/>
      <c r="Q8" s="2"/>
      <c r="R8" s="2"/>
      <c r="S8" s="2"/>
      <c r="T8" s="2"/>
      <c r="U8" s="2"/>
      <c r="V8" s="2"/>
      <c r="W8" s="2"/>
      <c r="X8" s="2"/>
      <c r="Y8" s="2"/>
      <c r="Z8" s="2"/>
      <c r="AA8" s="2"/>
      <c r="AB8" s="2" t="str">
        <f>DATOS!$B$72&amp;" · "&amp;DATOS!$C$72&amp;IF(1&gt;4," PA","")</f>
        <v>LOAD 8 · +X</v>
      </c>
      <c r="AC8" s="2" t="str">
        <f>DATOS!$B$73&amp;" · "&amp;DATOS!$C$73&amp;IF(2&gt;4," PA","")</f>
        <v>LOAD 9 · −X</v>
      </c>
      <c r="AD8" s="2" t="str">
        <f>DATOS!$B$74&amp;" · "&amp;DATOS!$C$74&amp;IF(3&gt;4," PA","")</f>
        <v>LOAD 10 · +Z</v>
      </c>
      <c r="AE8" s="2" t="str">
        <f>DATOS!$B$75&amp;" · "&amp;DATOS!$C$75&amp;IF(4&gt;4," PA","")</f>
        <v>LOAD 11 · −Z</v>
      </c>
      <c r="AF8" s="2" t="str">
        <f>DATOS!$B$76&amp;" · "&amp;DATOS!$C$76&amp;IF(5&gt;4," PA","")</f>
        <v>LOAD 12 · +X PA</v>
      </c>
      <c r="AG8" s="2" t="str">
        <f>DATOS!$B$77&amp;" · "&amp;DATOS!$C$77&amp;IF(6&gt;4," PA","")</f>
        <v>LOAD 13 · −X PA</v>
      </c>
      <c r="AH8" s="2" t="str">
        <f>DATOS!$B$78&amp;" · "&amp;DATOS!$C$78&amp;IF(7&gt;4," PA","")</f>
        <v>LOAD 14 · +Z PA</v>
      </c>
      <c r="AI8" s="2" t="str">
        <f>DATOS!$B$79&amp;" · "&amp;DATOS!$C$79&amp;IF(8&gt;4," PA","")</f>
        <v>LOAD 15 · −Z PA</v>
      </c>
      <c r="AJ8" s="2" t="str">
        <f>DATOS!$B$72&amp;" · "&amp;DATOS!$C$72&amp;IF(1&gt;4," PA","")</f>
        <v>LOAD 8 · +X</v>
      </c>
      <c r="AK8" s="2" t="str">
        <f>DATOS!$B$73&amp;" · "&amp;DATOS!$C$73&amp;IF(2&gt;4," PA","")</f>
        <v>LOAD 9 · −X</v>
      </c>
      <c r="AL8" s="2" t="str">
        <f>DATOS!$B$74&amp;" · "&amp;DATOS!$C$74&amp;IF(3&gt;4," PA","")</f>
        <v>LOAD 10 · +Z</v>
      </c>
      <c r="AM8" s="2" t="str">
        <f>DATOS!$B$75&amp;" · "&amp;DATOS!$C$75&amp;IF(4&gt;4," PA","")</f>
        <v>LOAD 11 · −Z</v>
      </c>
      <c r="AN8" s="2" t="str">
        <f>DATOS!$B$76&amp;" · "&amp;DATOS!$C$76&amp;IF(5&gt;4," PA","")</f>
        <v>LOAD 12 · +X PA</v>
      </c>
      <c r="AO8" s="2" t="str">
        <f>DATOS!$B$77&amp;" · "&amp;DATOS!$C$77&amp;IF(6&gt;4," PA","")</f>
        <v>LOAD 13 · −X PA</v>
      </c>
      <c r="AP8" s="2" t="str">
        <f>DATOS!$B$78&amp;" · "&amp;DATOS!$C$78&amp;IF(7&gt;4," PA","")</f>
        <v>LOAD 14 · +Z PA</v>
      </c>
      <c r="AQ8" s="2" t="str">
        <f>DATOS!$B$79&amp;" · "&amp;DATOS!$C$79&amp;IF(8&gt;4," PA","")</f>
        <v>LOAD 15 · −Z PA</v>
      </c>
      <c r="AR8" s="2" t="str">
        <f>DATOS!$B$72&amp;" · "&amp;DATOS!$C$72&amp;IF(1&gt;4," PA","")</f>
        <v>LOAD 8 · +X</v>
      </c>
      <c r="AS8" s="2" t="str">
        <f>DATOS!$B$73&amp;" · "&amp;DATOS!$C$73&amp;IF(2&gt;4," PA","")</f>
        <v>LOAD 9 · −X</v>
      </c>
      <c r="AT8" s="2" t="str">
        <f>DATOS!$B$74&amp;" · "&amp;DATOS!$C$74&amp;IF(3&gt;4," PA","")</f>
        <v>LOAD 10 · +Z</v>
      </c>
      <c r="AU8" s="2" t="str">
        <f>DATOS!$B$75&amp;" · "&amp;DATOS!$C$75&amp;IF(4&gt;4," PA","")</f>
        <v>LOAD 11 · −Z</v>
      </c>
      <c r="AV8" s="2" t="str">
        <f>DATOS!$B$76&amp;" · "&amp;DATOS!$C$76&amp;IF(5&gt;4," PA","")</f>
        <v>LOAD 12 · +X PA</v>
      </c>
      <c r="AW8" s="2" t="str">
        <f>DATOS!$B$77&amp;" · "&amp;DATOS!$C$77&amp;IF(6&gt;4," PA","")</f>
        <v>LOAD 13 · −X PA</v>
      </c>
      <c r="AX8" s="2" t="str">
        <f>DATOS!$B$78&amp;" · "&amp;DATOS!$C$78&amp;IF(7&gt;4," PA","")</f>
        <v>LOAD 14 · +Z PA</v>
      </c>
      <c r="AY8" s="2" t="str">
        <f>DATOS!$B$79&amp;" · "&amp;DATOS!$C$79&amp;IF(8&gt;4," PA","")</f>
        <v>LOAD 15 · −Z PA</v>
      </c>
      <c r="AZ8" s="2" t="str">
        <f>DATOS!$B$72&amp;" · "&amp;DATOS!$C$72&amp;IF(1&gt;4," PA","")</f>
        <v>LOAD 8 · +X</v>
      </c>
      <c r="BA8" s="2" t="str">
        <f>DATOS!$B$73&amp;" · "&amp;DATOS!$C$73&amp;IF(2&gt;4," PA","")</f>
        <v>LOAD 9 · −X</v>
      </c>
      <c r="BB8" s="2" t="str">
        <f>DATOS!$B$74&amp;" · "&amp;DATOS!$C$74&amp;IF(3&gt;4," PA","")</f>
        <v>LOAD 10 · +Z</v>
      </c>
      <c r="BC8" s="2" t="str">
        <f>DATOS!$B$75&amp;" · "&amp;DATOS!$C$75&amp;IF(4&gt;4," PA","")</f>
        <v>LOAD 11 · −Z</v>
      </c>
      <c r="BD8" s="2" t="str">
        <f>DATOS!$B$76&amp;" · "&amp;DATOS!$C$76&amp;IF(5&gt;4," PA","")</f>
        <v>LOAD 12 · +X PA</v>
      </c>
      <c r="BE8" s="2" t="str">
        <f>DATOS!$B$77&amp;" · "&amp;DATOS!$C$77&amp;IF(6&gt;4," PA","")</f>
        <v>LOAD 13 · −X PA</v>
      </c>
      <c r="BF8" s="2" t="str">
        <f>DATOS!$B$78&amp;" · "&amp;DATOS!$C$78&amp;IF(7&gt;4," PA","")</f>
        <v>LOAD 14 · +Z PA</v>
      </c>
      <c r="BG8" s="2" t="str">
        <f>DATOS!$B$79&amp;" · "&amp;DATOS!$C$79&amp;IF(8&gt;4," PA","")</f>
        <v>LOAD 15 · −Z PA</v>
      </c>
    </row>
    <row r="9" spans="2:59" ht="16.5" customHeight="1" x14ac:dyDescent="0.3">
      <c r="B9" s="4" t="s">
        <v>396</v>
      </c>
      <c r="C9" s="15" t="s">
        <v>397</v>
      </c>
      <c r="D9" s="4" t="s">
        <v>398</v>
      </c>
      <c r="E9" s="15" t="s">
        <v>80</v>
      </c>
      <c r="F9" s="40">
        <v>0</v>
      </c>
      <c r="G9" s="40">
        <v>10.08</v>
      </c>
      <c r="H9" s="40">
        <v>0</v>
      </c>
      <c r="I9" s="40">
        <v>0.67500000000000004</v>
      </c>
      <c r="J9" s="40"/>
      <c r="K9" s="40"/>
      <c r="L9" s="18" t="str">
        <f>IF($D9="","",IF($C9&lt;&gt;"TECHO","PON TECHO",IF(OR($F9="",$G9="",$H9="",$I9=""),"FALTAN a o b",IF($M9&lt;=0,"a₂ DEBE SER &gt; a₁",IF($N9&lt;=0,"b₂ DEBE SER &gt; b₁",IF(OR($V9&lt;-0.001,$W9&gt;DATOS!$C$23+0.001),"SE SALE DEL TECHO","OK"))))))</f>
        <v>OK</v>
      </c>
      <c r="M9" s="26">
        <f t="shared" ref="M9:M38" si="0">IF($D9="",0,MAX(0,$G9-$F9))</f>
        <v>10.08</v>
      </c>
      <c r="N9" s="26">
        <f t="shared" ref="N9:N38" si="1">MAX(0,$W9-$V9)</f>
        <v>0.67500000000000004</v>
      </c>
      <c r="O9" s="26">
        <f t="shared" ref="O9:O38" si="2">$M9*$N9</f>
        <v>6.8040000000000003</v>
      </c>
      <c r="P9" s="26">
        <v>0</v>
      </c>
      <c r="Q9" s="26">
        <v>0</v>
      </c>
      <c r="R9" s="26">
        <f t="shared" ref="R9:S38" si="3">$O9</f>
        <v>6.8040000000000003</v>
      </c>
      <c r="S9" s="26">
        <f t="shared" si="3"/>
        <v>6.8040000000000003</v>
      </c>
      <c r="T9" s="41">
        <f>IF($D9="",0,DATOS!$C$21)</f>
        <v>10.62</v>
      </c>
      <c r="U9" s="41">
        <v>0</v>
      </c>
      <c r="V9" s="41">
        <f t="shared" ref="V9:V38" si="4">IF($D9="",0,(N($H9)+IF($J9="",N($H9),$J9))/2)</f>
        <v>0</v>
      </c>
      <c r="W9" s="41">
        <f t="shared" ref="W9:W38" si="5">IF($D9="",0,(N($I9)+IF($K9="",N($I9),$K9))/2)</f>
        <v>0.67500000000000004</v>
      </c>
      <c r="AB9" s="26">
        <f>IF($L9&lt;&gt;"OK",0,PRESIONES!$C$12*((PRESIONES!$D$32-ABERTURAS!$L$60)*MAX(0,MIN($W9,DATOS!$C$23*1/4)-MAX($V9,DATOS!$C$23*0/4))+(PRESIONES!$D$33-ABERTURAS!$L$60)*MAX(0,MIN($W9,DATOS!$C$23*2/4)-MAX($V9,DATOS!$C$23*1/4))+(PRESIONES!$D$34-ABERTURAS!$L$60)*MAX(0,MIN($W9,DATOS!$C$23*3/4)-MAX($V9,DATOS!$C$23*2/4))+(PRESIONES!$D$35-ABERTURAS!$L$60)*MAX(0,MIN($W9,DATOS!$C$23*4/4)-MAX($V9,DATOS!$C$23*3/4))))</f>
        <v>-6.5923332527998149</v>
      </c>
      <c r="AC9" s="26">
        <f>IF($L9&lt;&gt;"OK",0,PRESIONES!$C$12*((PRESIONES!$G$32-ABERTURAS!$L$61)*MAX(0,MIN($W9,DATOS!$C$23*1/4)-MAX($V9,DATOS!$C$23*0/4))+(PRESIONES!$G$33-ABERTURAS!$L$61)*MAX(0,MIN($W9,DATOS!$C$23*2/4)-MAX($V9,DATOS!$C$23*1/4))+(PRESIONES!$G$34-ABERTURAS!$L$61)*MAX(0,MIN($W9,DATOS!$C$23*3/4)-MAX($V9,DATOS!$C$23*2/4))+(PRESIONES!$G$35-ABERTURAS!$L$61)*MAX(0,MIN($W9,DATOS!$C$23*4/4)-MAX($V9,DATOS!$C$23*3/4))))</f>
        <v>-6.5923332527998149</v>
      </c>
      <c r="AD9" s="26">
        <f>IF($L9&lt;&gt;"OK",0,PRESIONES!$C$12*((PRESIONES!$J$32-ABERTURAS!$L$62)*MAX(0,MIN($W9,DATOS!$C$23*1/4)-MAX($V9,DATOS!$C$23*0/4))+(PRESIONES!$J$33-ABERTURAS!$L$62)*MAX(0,MIN($W9,DATOS!$C$23*2/4)-MAX($V9,DATOS!$C$23*1/4))+(PRESIONES!$J$34-ABERTURAS!$L$62)*MAX(0,MIN($W9,DATOS!$C$23*3/4)-MAX($V9,DATOS!$C$23*2/4))+(PRESIONES!$J$35-ABERTURAS!$L$62)*MAX(0,MIN($W9,DATOS!$C$23*4/4)-MAX($V9,DATOS!$C$23*3/4))))</f>
        <v>-3.2961666263999074</v>
      </c>
      <c r="AE9" s="26">
        <f>IF($L9&lt;&gt;"OK",0,PRESIONES!$C$12*((PRESIONES!$M$32-ABERTURAS!$L$63)*MAX(0,MIN($W9,DATOS!$C$23*1/4)-MAX($V9,DATOS!$C$23*0/4))+(PRESIONES!$M$33-ABERTURAS!$L$63)*MAX(0,MIN($W9,DATOS!$C$23*2/4)-MAX($V9,DATOS!$C$23*1/4))+(PRESIONES!$M$34-ABERTURAS!$L$63)*MAX(0,MIN($W9,DATOS!$C$23*3/4)-MAX($V9,DATOS!$C$23*2/4))+(PRESIONES!$M$35-ABERTURAS!$L$63)*MAX(0,MIN($W9,DATOS!$C$23*4/4)-MAX($V9,DATOS!$C$23*3/4))))</f>
        <v>-47.794416082798669</v>
      </c>
      <c r="AF9" s="26">
        <f>IF($L9&lt;&gt;"OK",0,PRESIONES!$C$12*((PRESIONES!$D$32-ABERTURAS!$L$64)*MAX(0,MIN($W9,DATOS!$C$23*1/4)-MAX($V9,DATOS!$C$23*0/4))+(PRESIONES!$D$33-ABERTURAS!$L$64)*MAX(0,MIN($W9,DATOS!$C$23*2/4)-MAX($V9,DATOS!$C$23*1/4))+(PRESIONES!$D$34-ABERTURAS!$L$64)*MAX(0,MIN($W9,DATOS!$C$23*3/4)-MAX($V9,DATOS!$C$23*2/4))+(PRESIONES!$D$35-ABERTURAS!$L$64)*MAX(0,MIN($W9,DATOS!$C$23*4/4)-MAX($V9,DATOS!$C$23*3/4))))</f>
        <v>-6.5923332527998149</v>
      </c>
      <c r="AG9" s="26">
        <f>IF($L9&lt;&gt;"OK",0,PRESIONES!$C$12*((PRESIONES!$G$32-ABERTURAS!$L$65)*MAX(0,MIN($W9,DATOS!$C$23*1/4)-MAX($V9,DATOS!$C$23*0/4))+(PRESIONES!$G$33-ABERTURAS!$L$65)*MAX(0,MIN($W9,DATOS!$C$23*2/4)-MAX($V9,DATOS!$C$23*1/4))+(PRESIONES!$G$34-ABERTURAS!$L$65)*MAX(0,MIN($W9,DATOS!$C$23*3/4)-MAX($V9,DATOS!$C$23*2/4))+(PRESIONES!$G$35-ABERTURAS!$L$65)*MAX(0,MIN($W9,DATOS!$C$23*4/4)-MAX($V9,DATOS!$C$23*3/4))))</f>
        <v>-6.5923332527998149</v>
      </c>
      <c r="AH9" s="26">
        <f>IF($L9&lt;&gt;"OK",0,PRESIONES!$C$12*((PRESIONES!$J$32-ABERTURAS!$L$66)*MAX(0,MIN($W9,DATOS!$C$23*1/4)-MAX($V9,DATOS!$C$23*0/4))+(PRESIONES!$J$33-ABERTURAS!$L$66)*MAX(0,MIN($W9,DATOS!$C$23*2/4)-MAX($V9,DATOS!$C$23*1/4))+(PRESIONES!$J$34-ABERTURAS!$L$66)*MAX(0,MIN($W9,DATOS!$C$23*3/4)-MAX($V9,DATOS!$C$23*2/4))+(PRESIONES!$J$35-ABERTURAS!$L$66)*MAX(0,MIN($W9,DATOS!$C$23*4/4)-MAX($V9,DATOS!$C$23*3/4))))</f>
        <v>-3.2961666263999074</v>
      </c>
      <c r="AI9" s="26">
        <f>IF($L9&lt;&gt;"OK",0,PRESIONES!$C$12*((PRESIONES!$M$32-ABERTURAS!$L$67)*MAX(0,MIN($W9,DATOS!$C$23*1/4)-MAX($V9,DATOS!$C$23*0/4))+(PRESIONES!$M$33-ABERTURAS!$L$67)*MAX(0,MIN($W9,DATOS!$C$23*2/4)-MAX($V9,DATOS!$C$23*1/4))+(PRESIONES!$M$34-ABERTURAS!$L$67)*MAX(0,MIN($W9,DATOS!$C$23*3/4)-MAX($V9,DATOS!$C$23*2/4))+(PRESIONES!$M$35-ABERTURAS!$L$67)*MAX(0,MIN($W9,DATOS!$C$23*4/4)-MAX($V9,DATOS!$C$23*3/4))))</f>
        <v>-47.794416082798669</v>
      </c>
      <c r="AJ9" s="26">
        <f>IF($L9&lt;&gt;"OK",0,PRESIONES!$C$12*((PRESIONES!$D$32-ABERTURAS!$L$60)*MAX(0,MIN($W9,DATOS!$C$23*1/4)-MAX($V9,DATOS!$C$23*0/4))*PRESIONES!$C$18+(PRESIONES!$D$33-ABERTURAS!$L$60)*MAX(0,MIN($W9,DATOS!$C$23*2/4)-MAX($V9,DATOS!$C$23*1/4))*PRESIONES!$C$19+(PRESIONES!$D$34-ABERTURAS!$L$60)*MAX(0,MIN($W9,DATOS!$C$23*3/4)-MAX($V9,DATOS!$C$23*2/4))*PRESIONES!$C$20+(PRESIONES!$D$35-ABERTURAS!$L$60)*MAX(0,MIN($W9,DATOS!$C$23*4/4)-MAX($V9,DATOS!$C$23*3/4))*PRESIONES!$C$21))</f>
        <v>0.32961666263999034</v>
      </c>
      <c r="AK9" s="26">
        <f>IF($L9&lt;&gt;"OK",0,PRESIONES!$C$12*((PRESIONES!$G$32-ABERTURAS!$L$61)*MAX(0,MIN($W9,DATOS!$C$23*1/4)-MAX($V9,DATOS!$C$23*0/4))*PRESIONES!$C$18+(PRESIONES!$G$33-ABERTURAS!$L$61)*MAX(0,MIN($W9,DATOS!$C$23*2/4)-MAX($V9,DATOS!$C$23*1/4))*PRESIONES!$C$19+(PRESIONES!$G$34-ABERTURAS!$L$61)*MAX(0,MIN($W9,DATOS!$C$23*3/4)-MAX($V9,DATOS!$C$23*2/4))*PRESIONES!$C$20+(PRESIONES!$G$35-ABERTURAS!$L$61)*MAX(0,MIN($W9,DATOS!$C$23*4/4)-MAX($V9,DATOS!$C$23*3/4))*PRESIONES!$C$21))</f>
        <v>0.32961666263999034</v>
      </c>
      <c r="AL9" s="26">
        <f>IF($L9&lt;&gt;"OK",0,PRESIONES!$C$12*((PRESIONES!$J$32-ABERTURAS!$L$62)*MAX(0,MIN($W9,DATOS!$C$23*1/4)-MAX($V9,DATOS!$C$23*0/4))*PRESIONES!$C$18+(PRESIONES!$J$33-ABERTURAS!$L$62)*MAX(0,MIN($W9,DATOS!$C$23*2/4)-MAX($V9,DATOS!$C$23*1/4))*PRESIONES!$C$19+(PRESIONES!$J$34-ABERTURAS!$L$62)*MAX(0,MIN($W9,DATOS!$C$23*3/4)-MAX($V9,DATOS!$C$23*2/4))*PRESIONES!$C$20+(PRESIONES!$J$35-ABERTURAS!$L$62)*MAX(0,MIN($W9,DATOS!$C$23*4/4)-MAX($V9,DATOS!$C$23*3/4))*PRESIONES!$C$21))</f>
        <v>0.16480833131999517</v>
      </c>
      <c r="AM9" s="26">
        <f>IF($L9&lt;&gt;"OK",0,PRESIONES!$C$12*((PRESIONES!$M$32-ABERTURAS!$L$63)*MAX(0,MIN($W9,DATOS!$C$23*1/4)-MAX($V9,DATOS!$C$23*0/4))*PRESIONES!$C$18+(PRESIONES!$M$33-ABERTURAS!$L$63)*MAX(0,MIN($W9,DATOS!$C$23*2/4)-MAX($V9,DATOS!$C$23*1/4))*PRESIONES!$C$19+(PRESIONES!$M$34-ABERTURAS!$L$63)*MAX(0,MIN($W9,DATOS!$C$23*3/4)-MAX($V9,DATOS!$C$23*2/4))*PRESIONES!$C$20+(PRESIONES!$M$35-ABERTURAS!$L$63)*MAX(0,MIN($W9,DATOS!$C$23*4/4)-MAX($V9,DATOS!$C$23*3/4))*PRESIONES!$C$21))</f>
        <v>2.3897208041399298</v>
      </c>
      <c r="AN9" s="26">
        <f>IF($L9&lt;&gt;"OK",0,PRESIONES!$C$12*((PRESIONES!$D$32-ABERTURAS!$L$64)*MAX(0,MIN($W9,DATOS!$C$23*1/4)-MAX($V9,DATOS!$C$23*0/4))*PRESIONES!$C$18+(PRESIONES!$D$33-ABERTURAS!$L$64)*MAX(0,MIN($W9,DATOS!$C$23*2/4)-MAX($V9,DATOS!$C$23*1/4))*PRESIONES!$C$19+(PRESIONES!$D$34-ABERTURAS!$L$64)*MAX(0,MIN($W9,DATOS!$C$23*3/4)-MAX($V9,DATOS!$C$23*2/4))*PRESIONES!$C$20+(PRESIONES!$D$35-ABERTURAS!$L$64)*MAX(0,MIN($W9,DATOS!$C$23*4/4)-MAX($V9,DATOS!$C$23*3/4))*PRESIONES!$C$21))</f>
        <v>0.32961666263999034</v>
      </c>
      <c r="AO9" s="26">
        <f>IF($L9&lt;&gt;"OK",0,PRESIONES!$C$12*((PRESIONES!$G$32-ABERTURAS!$L$65)*MAX(0,MIN($W9,DATOS!$C$23*1/4)-MAX($V9,DATOS!$C$23*0/4))*PRESIONES!$C$18+(PRESIONES!$G$33-ABERTURAS!$L$65)*MAX(0,MIN($W9,DATOS!$C$23*2/4)-MAX($V9,DATOS!$C$23*1/4))*PRESIONES!$C$19+(PRESIONES!$G$34-ABERTURAS!$L$65)*MAX(0,MIN($W9,DATOS!$C$23*3/4)-MAX($V9,DATOS!$C$23*2/4))*PRESIONES!$C$20+(PRESIONES!$G$35-ABERTURAS!$L$65)*MAX(0,MIN($W9,DATOS!$C$23*4/4)-MAX($V9,DATOS!$C$23*3/4))*PRESIONES!$C$21))</f>
        <v>0.32961666263999034</v>
      </c>
      <c r="AP9" s="26">
        <f>IF($L9&lt;&gt;"OK",0,PRESIONES!$C$12*((PRESIONES!$J$32-ABERTURAS!$L$66)*MAX(0,MIN($W9,DATOS!$C$23*1/4)-MAX($V9,DATOS!$C$23*0/4))*PRESIONES!$C$18+(PRESIONES!$J$33-ABERTURAS!$L$66)*MAX(0,MIN($W9,DATOS!$C$23*2/4)-MAX($V9,DATOS!$C$23*1/4))*PRESIONES!$C$19+(PRESIONES!$J$34-ABERTURAS!$L$66)*MAX(0,MIN($W9,DATOS!$C$23*3/4)-MAX($V9,DATOS!$C$23*2/4))*PRESIONES!$C$20+(PRESIONES!$J$35-ABERTURAS!$L$66)*MAX(0,MIN($W9,DATOS!$C$23*4/4)-MAX($V9,DATOS!$C$23*3/4))*PRESIONES!$C$21))</f>
        <v>0.16480833131999517</v>
      </c>
      <c r="AQ9" s="26">
        <f>IF($L9&lt;&gt;"OK",0,PRESIONES!$C$12*((PRESIONES!$M$32-ABERTURAS!$L$67)*MAX(0,MIN($W9,DATOS!$C$23*1/4)-MAX($V9,DATOS!$C$23*0/4))*PRESIONES!$C$18+(PRESIONES!$M$33-ABERTURAS!$L$67)*MAX(0,MIN($W9,DATOS!$C$23*2/4)-MAX($V9,DATOS!$C$23*1/4))*PRESIONES!$C$19+(PRESIONES!$M$34-ABERTURAS!$L$67)*MAX(0,MIN($W9,DATOS!$C$23*3/4)-MAX($V9,DATOS!$C$23*2/4))*PRESIONES!$C$20+(PRESIONES!$M$35-ABERTURAS!$L$67)*MAX(0,MIN($W9,DATOS!$C$23*4/4)-MAX($V9,DATOS!$C$23*3/4))*PRESIONES!$C$21))</f>
        <v>2.3897208041399298</v>
      </c>
      <c r="AR9" s="26">
        <f>IF($L9&lt;&gt;"OK",0,PRESIONES!$C$12*((PRESIONES!$E$32-ABERTURAS!$L$60)*MAX(0,MIN($W9,DATOS!$C$23*1/4)-MAX($V9,DATOS!$C$23*0/4))+(PRESIONES!$E$33-ABERTURAS!$L$60)*MAX(0,MIN($W9,DATOS!$C$23*2/4)-MAX($V9,DATOS!$C$23*1/4))+(PRESIONES!$E$34-ABERTURAS!$L$60)*MAX(0,MIN($W9,DATOS!$C$23*3/4)-MAX($V9,DATOS!$C$23*2/4))+(PRESIONES!$E$35-ABERTURAS!$L$60)*MAX(0,MIN($W9,DATOS!$C$23*4/4)-MAX($V9,DATOS!$C$23*3/4))))</f>
        <v>-6.5923332527998149</v>
      </c>
      <c r="AS9" s="26">
        <f>IF($L9&lt;&gt;"OK",0,PRESIONES!$C$12*((PRESIONES!$H$32-ABERTURAS!$L$61)*MAX(0,MIN($W9,DATOS!$C$23*1/4)-MAX($V9,DATOS!$C$23*0/4))+(PRESIONES!$H$33-ABERTURAS!$L$61)*MAX(0,MIN($W9,DATOS!$C$23*2/4)-MAX($V9,DATOS!$C$23*1/4))+(PRESIONES!$H$34-ABERTURAS!$L$61)*MAX(0,MIN($W9,DATOS!$C$23*3/4)-MAX($V9,DATOS!$C$23*2/4))+(PRESIONES!$H$35-ABERTURAS!$L$61)*MAX(0,MIN($W9,DATOS!$C$23*4/4)-MAX($V9,DATOS!$C$23*3/4))))</f>
        <v>-6.5923332527998149</v>
      </c>
      <c r="AT9" s="26">
        <f>IF($L9&lt;&gt;"OK",0,PRESIONES!$C$12*((PRESIONES!$K$32-ABERTURAS!$L$62)*MAX(0,MIN($W9,DATOS!$C$23*1/4)-MAX($V9,DATOS!$C$23*0/4))+(PRESIONES!$K$33-ABERTURAS!$L$62)*MAX(0,MIN($W9,DATOS!$C$23*2/4)-MAX($V9,DATOS!$C$23*1/4))+(PRESIONES!$K$34-ABERTURAS!$L$62)*MAX(0,MIN($W9,DATOS!$C$23*3/4)-MAX($V9,DATOS!$C$23*2/4))+(PRESIONES!$K$35-ABERTURAS!$L$62)*MAX(0,MIN($W9,DATOS!$C$23*4/4)-MAX($V9,DATOS!$C$23*3/4))))</f>
        <v>-3.2961666263999074</v>
      </c>
      <c r="AU9" s="26">
        <f>IF($L9&lt;&gt;"OK",0,PRESIONES!$C$12*((PRESIONES!$N$32-ABERTURAS!$L$63)*MAX(0,MIN($W9,DATOS!$C$23*1/4)-MAX($V9,DATOS!$C$23*0/4))+(PRESIONES!$N$33-ABERTURAS!$L$63)*MAX(0,MIN($W9,DATOS!$C$23*2/4)-MAX($V9,DATOS!$C$23*1/4))+(PRESIONES!$N$34-ABERTURAS!$L$63)*MAX(0,MIN($W9,DATOS!$C$23*3/4)-MAX($V9,DATOS!$C$23*2/4))+(PRESIONES!$N$35-ABERTURAS!$L$63)*MAX(0,MIN($W9,DATOS!$C$23*4/4)-MAX($V9,DATOS!$C$23*3/4))))</f>
        <v>-47.794416082798669</v>
      </c>
      <c r="AV9" s="26">
        <f>IF($L9&lt;&gt;"OK",0,PRESIONES!$C$12*((PRESIONES!$E$32-ABERTURAS!$L$64)*MAX(0,MIN($W9,DATOS!$C$23*1/4)-MAX($V9,DATOS!$C$23*0/4))+(PRESIONES!$E$33-ABERTURAS!$L$64)*MAX(0,MIN($W9,DATOS!$C$23*2/4)-MAX($V9,DATOS!$C$23*1/4))+(PRESIONES!$E$34-ABERTURAS!$L$64)*MAX(0,MIN($W9,DATOS!$C$23*3/4)-MAX($V9,DATOS!$C$23*2/4))+(PRESIONES!$E$35-ABERTURAS!$L$64)*MAX(0,MIN($W9,DATOS!$C$23*4/4)-MAX($V9,DATOS!$C$23*3/4))))</f>
        <v>-6.5923332527998149</v>
      </c>
      <c r="AW9" s="26">
        <f>IF($L9&lt;&gt;"OK",0,PRESIONES!$C$12*((PRESIONES!$H$32-ABERTURAS!$L$65)*MAX(0,MIN($W9,DATOS!$C$23*1/4)-MAX($V9,DATOS!$C$23*0/4))+(PRESIONES!$H$33-ABERTURAS!$L$65)*MAX(0,MIN($W9,DATOS!$C$23*2/4)-MAX($V9,DATOS!$C$23*1/4))+(PRESIONES!$H$34-ABERTURAS!$L$65)*MAX(0,MIN($W9,DATOS!$C$23*3/4)-MAX($V9,DATOS!$C$23*2/4))+(PRESIONES!$H$35-ABERTURAS!$L$65)*MAX(0,MIN($W9,DATOS!$C$23*4/4)-MAX($V9,DATOS!$C$23*3/4))))</f>
        <v>-6.5923332527998149</v>
      </c>
      <c r="AX9" s="26">
        <f>IF($L9&lt;&gt;"OK",0,PRESIONES!$C$12*((PRESIONES!$K$32-ABERTURAS!$L$66)*MAX(0,MIN($W9,DATOS!$C$23*1/4)-MAX($V9,DATOS!$C$23*0/4))+(PRESIONES!$K$33-ABERTURAS!$L$66)*MAX(0,MIN($W9,DATOS!$C$23*2/4)-MAX($V9,DATOS!$C$23*1/4))+(PRESIONES!$K$34-ABERTURAS!$L$66)*MAX(0,MIN($W9,DATOS!$C$23*3/4)-MAX($V9,DATOS!$C$23*2/4))+(PRESIONES!$K$35-ABERTURAS!$L$66)*MAX(0,MIN($W9,DATOS!$C$23*4/4)-MAX($V9,DATOS!$C$23*3/4))))</f>
        <v>-3.2961666263999074</v>
      </c>
      <c r="AY9" s="26">
        <f>IF($L9&lt;&gt;"OK",0,PRESIONES!$C$12*((PRESIONES!$N$32-ABERTURAS!$L$67)*MAX(0,MIN($W9,DATOS!$C$23*1/4)-MAX($V9,DATOS!$C$23*0/4))+(PRESIONES!$N$33-ABERTURAS!$L$67)*MAX(0,MIN($W9,DATOS!$C$23*2/4)-MAX($V9,DATOS!$C$23*1/4))+(PRESIONES!$N$34-ABERTURAS!$L$67)*MAX(0,MIN($W9,DATOS!$C$23*3/4)-MAX($V9,DATOS!$C$23*2/4))+(PRESIONES!$N$35-ABERTURAS!$L$67)*MAX(0,MIN($W9,DATOS!$C$23*4/4)-MAX($V9,DATOS!$C$23*3/4))))</f>
        <v>-47.794416082798669</v>
      </c>
      <c r="AZ9" s="26">
        <f>IF($L9&lt;&gt;"OK",0,PRESIONES!$C$12*((PRESIONES!$E$32-ABERTURAS!$L$60)*MAX(0,MIN($W9,DATOS!$C$23*1/4)-MAX($V9,DATOS!$C$23*0/4))*PRESIONES!$C$18+(PRESIONES!$E$33-ABERTURAS!$L$60)*MAX(0,MIN($W9,DATOS!$C$23*2/4)-MAX($V9,DATOS!$C$23*1/4))*PRESIONES!$C$19+(PRESIONES!$E$34-ABERTURAS!$L$60)*MAX(0,MIN($W9,DATOS!$C$23*3/4)-MAX($V9,DATOS!$C$23*2/4))*PRESIONES!$C$20+(PRESIONES!$E$35-ABERTURAS!$L$60)*MAX(0,MIN($W9,DATOS!$C$23*4/4)-MAX($V9,DATOS!$C$23*3/4))*PRESIONES!$C$21))</f>
        <v>0.32961666263999034</v>
      </c>
      <c r="BA9" s="26">
        <f>IF($L9&lt;&gt;"OK",0,PRESIONES!$C$12*((PRESIONES!$H$32-ABERTURAS!$L$61)*MAX(0,MIN($W9,DATOS!$C$23*1/4)-MAX($V9,DATOS!$C$23*0/4))*PRESIONES!$C$18+(PRESIONES!$H$33-ABERTURAS!$L$61)*MAX(0,MIN($W9,DATOS!$C$23*2/4)-MAX($V9,DATOS!$C$23*1/4))*PRESIONES!$C$19+(PRESIONES!$H$34-ABERTURAS!$L$61)*MAX(0,MIN($W9,DATOS!$C$23*3/4)-MAX($V9,DATOS!$C$23*2/4))*PRESIONES!$C$20+(PRESIONES!$H$35-ABERTURAS!$L$61)*MAX(0,MIN($W9,DATOS!$C$23*4/4)-MAX($V9,DATOS!$C$23*3/4))*PRESIONES!$C$21))</f>
        <v>0.32961666263999034</v>
      </c>
      <c r="BB9" s="26">
        <f>IF($L9&lt;&gt;"OK",0,PRESIONES!$C$12*((PRESIONES!$K$32-ABERTURAS!$L$62)*MAX(0,MIN($W9,DATOS!$C$23*1/4)-MAX($V9,DATOS!$C$23*0/4))*PRESIONES!$C$18+(PRESIONES!$K$33-ABERTURAS!$L$62)*MAX(0,MIN($W9,DATOS!$C$23*2/4)-MAX($V9,DATOS!$C$23*1/4))*PRESIONES!$C$19+(PRESIONES!$K$34-ABERTURAS!$L$62)*MAX(0,MIN($W9,DATOS!$C$23*3/4)-MAX($V9,DATOS!$C$23*2/4))*PRESIONES!$C$20+(PRESIONES!$K$35-ABERTURAS!$L$62)*MAX(0,MIN($W9,DATOS!$C$23*4/4)-MAX($V9,DATOS!$C$23*3/4))*PRESIONES!$C$21))</f>
        <v>0.16480833131999517</v>
      </c>
      <c r="BC9" s="26">
        <f>IF($L9&lt;&gt;"OK",0,PRESIONES!$C$12*((PRESIONES!$N$32-ABERTURAS!$L$63)*MAX(0,MIN($W9,DATOS!$C$23*1/4)-MAX($V9,DATOS!$C$23*0/4))*PRESIONES!$C$18+(PRESIONES!$N$33-ABERTURAS!$L$63)*MAX(0,MIN($W9,DATOS!$C$23*2/4)-MAX($V9,DATOS!$C$23*1/4))*PRESIONES!$C$19+(PRESIONES!$N$34-ABERTURAS!$L$63)*MAX(0,MIN($W9,DATOS!$C$23*3/4)-MAX($V9,DATOS!$C$23*2/4))*PRESIONES!$C$20+(PRESIONES!$N$35-ABERTURAS!$L$63)*MAX(0,MIN($W9,DATOS!$C$23*4/4)-MAX($V9,DATOS!$C$23*3/4))*PRESIONES!$C$21))</f>
        <v>2.3897208041399298</v>
      </c>
      <c r="BD9" s="26">
        <f>IF($L9&lt;&gt;"OK",0,PRESIONES!$C$12*((PRESIONES!$E$32-ABERTURAS!$L$64)*MAX(0,MIN($W9,DATOS!$C$23*1/4)-MAX($V9,DATOS!$C$23*0/4))*PRESIONES!$C$18+(PRESIONES!$E$33-ABERTURAS!$L$64)*MAX(0,MIN($W9,DATOS!$C$23*2/4)-MAX($V9,DATOS!$C$23*1/4))*PRESIONES!$C$19+(PRESIONES!$E$34-ABERTURAS!$L$64)*MAX(0,MIN($W9,DATOS!$C$23*3/4)-MAX($V9,DATOS!$C$23*2/4))*PRESIONES!$C$20+(PRESIONES!$E$35-ABERTURAS!$L$64)*MAX(0,MIN($W9,DATOS!$C$23*4/4)-MAX($V9,DATOS!$C$23*3/4))*PRESIONES!$C$21))</f>
        <v>0.32961666263999034</v>
      </c>
      <c r="BE9" s="26">
        <f>IF($L9&lt;&gt;"OK",0,PRESIONES!$C$12*((PRESIONES!$H$32-ABERTURAS!$L$65)*MAX(0,MIN($W9,DATOS!$C$23*1/4)-MAX($V9,DATOS!$C$23*0/4))*PRESIONES!$C$18+(PRESIONES!$H$33-ABERTURAS!$L$65)*MAX(0,MIN($W9,DATOS!$C$23*2/4)-MAX($V9,DATOS!$C$23*1/4))*PRESIONES!$C$19+(PRESIONES!$H$34-ABERTURAS!$L$65)*MAX(0,MIN($W9,DATOS!$C$23*3/4)-MAX($V9,DATOS!$C$23*2/4))*PRESIONES!$C$20+(PRESIONES!$H$35-ABERTURAS!$L$65)*MAX(0,MIN($W9,DATOS!$C$23*4/4)-MAX($V9,DATOS!$C$23*3/4))*PRESIONES!$C$21))</f>
        <v>0.32961666263999034</v>
      </c>
      <c r="BF9" s="26">
        <f>IF($L9&lt;&gt;"OK",0,PRESIONES!$C$12*((PRESIONES!$K$32-ABERTURAS!$L$66)*MAX(0,MIN($W9,DATOS!$C$23*1/4)-MAX($V9,DATOS!$C$23*0/4))*PRESIONES!$C$18+(PRESIONES!$K$33-ABERTURAS!$L$66)*MAX(0,MIN($W9,DATOS!$C$23*2/4)-MAX($V9,DATOS!$C$23*1/4))*PRESIONES!$C$19+(PRESIONES!$K$34-ABERTURAS!$L$66)*MAX(0,MIN($W9,DATOS!$C$23*3/4)-MAX($V9,DATOS!$C$23*2/4))*PRESIONES!$C$20+(PRESIONES!$K$35-ABERTURAS!$L$66)*MAX(0,MIN($W9,DATOS!$C$23*4/4)-MAX($V9,DATOS!$C$23*3/4))*PRESIONES!$C$21))</f>
        <v>0.16480833131999517</v>
      </c>
      <c r="BG9" s="26">
        <f>IF($L9&lt;&gt;"OK",0,PRESIONES!$C$12*((PRESIONES!$N$32-ABERTURAS!$L$67)*MAX(0,MIN($W9,DATOS!$C$23*1/4)-MAX($V9,DATOS!$C$23*0/4))*PRESIONES!$C$18+(PRESIONES!$N$33-ABERTURAS!$L$67)*MAX(0,MIN($W9,DATOS!$C$23*2/4)-MAX($V9,DATOS!$C$23*1/4))*PRESIONES!$C$19+(PRESIONES!$N$34-ABERTURAS!$L$67)*MAX(0,MIN($W9,DATOS!$C$23*3/4)-MAX($V9,DATOS!$C$23*2/4))*PRESIONES!$C$20+(PRESIONES!$N$35-ABERTURAS!$L$67)*MAX(0,MIN($W9,DATOS!$C$23*4/4)-MAX($V9,DATOS!$C$23*3/4))*PRESIONES!$C$21))</f>
        <v>2.3897208041399298</v>
      </c>
    </row>
    <row r="10" spans="2:59" ht="16.5" customHeight="1" x14ac:dyDescent="0.3">
      <c r="B10" s="4" t="s">
        <v>399</v>
      </c>
      <c r="C10" s="15" t="s">
        <v>397</v>
      </c>
      <c r="D10" s="4" t="s">
        <v>400</v>
      </c>
      <c r="E10" s="15" t="s">
        <v>80</v>
      </c>
      <c r="F10" s="40">
        <v>0</v>
      </c>
      <c r="G10" s="40">
        <v>10.08</v>
      </c>
      <c r="H10" s="40">
        <v>0.67500000000000004</v>
      </c>
      <c r="I10" s="40">
        <v>2.0249999999999999</v>
      </c>
      <c r="J10" s="40"/>
      <c r="K10" s="40"/>
      <c r="L10" s="18" t="str">
        <f>IF($D10="","",IF($C10&lt;&gt;"TECHO","PON TECHO",IF(OR($F10="",$G10="",$H10="",$I10=""),"FALTAN a o b",IF($M10&lt;=0,"a₂ DEBE SER &gt; a₁",IF($N10&lt;=0,"b₂ DEBE SER &gt; b₁",IF(OR($V10&lt;-0.001,$W10&gt;DATOS!$C$23+0.001),"SE SALE DEL TECHO","OK"))))))</f>
        <v>OK</v>
      </c>
      <c r="M10" s="26">
        <f t="shared" si="0"/>
        <v>10.08</v>
      </c>
      <c r="N10" s="26">
        <f t="shared" si="1"/>
        <v>1.3499999999999999</v>
      </c>
      <c r="O10" s="26">
        <f t="shared" si="2"/>
        <v>13.607999999999999</v>
      </c>
      <c r="P10" s="26">
        <v>0</v>
      </c>
      <c r="Q10" s="26">
        <v>0</v>
      </c>
      <c r="R10" s="26">
        <f t="shared" si="3"/>
        <v>13.607999999999999</v>
      </c>
      <c r="S10" s="26">
        <f t="shared" si="3"/>
        <v>13.607999999999999</v>
      </c>
      <c r="T10" s="41">
        <f>IF($D10="",0,DATOS!$C$21)</f>
        <v>10.62</v>
      </c>
      <c r="U10" s="41">
        <v>0</v>
      </c>
      <c r="V10" s="41">
        <f t="shared" si="4"/>
        <v>0.67500000000000004</v>
      </c>
      <c r="W10" s="41">
        <f t="shared" si="5"/>
        <v>2.0249999999999999</v>
      </c>
      <c r="AB10" s="26">
        <f>IF($L10&lt;&gt;"OK",0,PRESIONES!$C$12*((PRESIONES!$D$32-ABERTURAS!$L$60)*MAX(0,MIN($W10,DATOS!$C$23*1/4)-MAX($V10,DATOS!$C$23*0/4))+(PRESIONES!$D$33-ABERTURAS!$L$60)*MAX(0,MIN($W10,DATOS!$C$23*2/4)-MAX($V10,DATOS!$C$23*1/4))+(PRESIONES!$D$34-ABERTURAS!$L$60)*MAX(0,MIN($W10,DATOS!$C$23*3/4)-MAX($V10,DATOS!$C$23*2/4))+(PRESIONES!$D$35-ABERTURAS!$L$60)*MAX(0,MIN($W10,DATOS!$C$23*4/4)-MAX($V10,DATOS!$C$23*3/4))))</f>
        <v>-13.184666505599628</v>
      </c>
      <c r="AC10" s="26">
        <f>IF($L10&lt;&gt;"OK",0,PRESIONES!$C$12*((PRESIONES!$G$32-ABERTURAS!$L$61)*MAX(0,MIN($W10,DATOS!$C$23*1/4)-MAX($V10,DATOS!$C$23*0/4))+(PRESIONES!$G$33-ABERTURAS!$L$61)*MAX(0,MIN($W10,DATOS!$C$23*2/4)-MAX($V10,DATOS!$C$23*1/4))+(PRESIONES!$G$34-ABERTURAS!$L$61)*MAX(0,MIN($W10,DATOS!$C$23*3/4)-MAX($V10,DATOS!$C$23*2/4))+(PRESIONES!$G$35-ABERTURAS!$L$61)*MAX(0,MIN($W10,DATOS!$C$23*4/4)-MAX($V10,DATOS!$C$23*3/4))))</f>
        <v>-13.184666505599628</v>
      </c>
      <c r="AD10" s="26">
        <f>IF($L10&lt;&gt;"OK",0,PRESIONES!$C$12*((PRESIONES!$J$32-ABERTURAS!$L$62)*MAX(0,MIN($W10,DATOS!$C$23*1/4)-MAX($V10,DATOS!$C$23*0/4))+(PRESIONES!$J$33-ABERTURAS!$L$62)*MAX(0,MIN($W10,DATOS!$C$23*2/4)-MAX($V10,DATOS!$C$23*1/4))+(PRESIONES!$J$34-ABERTURAS!$L$62)*MAX(0,MIN($W10,DATOS!$C$23*3/4)-MAX($V10,DATOS!$C$23*2/4))+(PRESIONES!$J$35-ABERTURAS!$L$62)*MAX(0,MIN($W10,DATOS!$C$23*4/4)-MAX($V10,DATOS!$C$23*3/4))))</f>
        <v>-6.592333252799814</v>
      </c>
      <c r="AE10" s="26">
        <f>IF($L10&lt;&gt;"OK",0,PRESIONES!$C$12*((PRESIONES!$M$32-ABERTURAS!$L$63)*MAX(0,MIN($W10,DATOS!$C$23*1/4)-MAX($V10,DATOS!$C$23*0/4))+(PRESIONES!$M$33-ABERTURAS!$L$63)*MAX(0,MIN($W10,DATOS!$C$23*2/4)-MAX($V10,DATOS!$C$23*1/4))+(PRESIONES!$M$34-ABERTURAS!$L$63)*MAX(0,MIN($W10,DATOS!$C$23*3/4)-MAX($V10,DATOS!$C$23*2/4))+(PRESIONES!$M$35-ABERTURAS!$L$63)*MAX(0,MIN($W10,DATOS!$C$23*4/4)-MAX($V10,DATOS!$C$23*3/4))))</f>
        <v>-95.588832165597324</v>
      </c>
      <c r="AF10" s="26">
        <f>IF($L10&lt;&gt;"OK",0,PRESIONES!$C$12*((PRESIONES!$D$32-ABERTURAS!$L$64)*MAX(0,MIN($W10,DATOS!$C$23*1/4)-MAX($V10,DATOS!$C$23*0/4))+(PRESIONES!$D$33-ABERTURAS!$L$64)*MAX(0,MIN($W10,DATOS!$C$23*2/4)-MAX($V10,DATOS!$C$23*1/4))+(PRESIONES!$D$34-ABERTURAS!$L$64)*MAX(0,MIN($W10,DATOS!$C$23*3/4)-MAX($V10,DATOS!$C$23*2/4))+(PRESIONES!$D$35-ABERTURAS!$L$64)*MAX(0,MIN($W10,DATOS!$C$23*4/4)-MAX($V10,DATOS!$C$23*3/4))))</f>
        <v>-13.184666505599628</v>
      </c>
      <c r="AG10" s="26">
        <f>IF($L10&lt;&gt;"OK",0,PRESIONES!$C$12*((PRESIONES!$G$32-ABERTURAS!$L$65)*MAX(0,MIN($W10,DATOS!$C$23*1/4)-MAX($V10,DATOS!$C$23*0/4))+(PRESIONES!$G$33-ABERTURAS!$L$65)*MAX(0,MIN($W10,DATOS!$C$23*2/4)-MAX($V10,DATOS!$C$23*1/4))+(PRESIONES!$G$34-ABERTURAS!$L$65)*MAX(0,MIN($W10,DATOS!$C$23*3/4)-MAX($V10,DATOS!$C$23*2/4))+(PRESIONES!$G$35-ABERTURAS!$L$65)*MAX(0,MIN($W10,DATOS!$C$23*4/4)-MAX($V10,DATOS!$C$23*3/4))))</f>
        <v>-13.184666505599628</v>
      </c>
      <c r="AH10" s="26">
        <f>IF($L10&lt;&gt;"OK",0,PRESIONES!$C$12*((PRESIONES!$J$32-ABERTURAS!$L$66)*MAX(0,MIN($W10,DATOS!$C$23*1/4)-MAX($V10,DATOS!$C$23*0/4))+(PRESIONES!$J$33-ABERTURAS!$L$66)*MAX(0,MIN($W10,DATOS!$C$23*2/4)-MAX($V10,DATOS!$C$23*1/4))+(PRESIONES!$J$34-ABERTURAS!$L$66)*MAX(0,MIN($W10,DATOS!$C$23*3/4)-MAX($V10,DATOS!$C$23*2/4))+(PRESIONES!$J$35-ABERTURAS!$L$66)*MAX(0,MIN($W10,DATOS!$C$23*4/4)-MAX($V10,DATOS!$C$23*3/4))))</f>
        <v>-6.592333252799814</v>
      </c>
      <c r="AI10" s="26">
        <f>IF($L10&lt;&gt;"OK",0,PRESIONES!$C$12*((PRESIONES!$M$32-ABERTURAS!$L$67)*MAX(0,MIN($W10,DATOS!$C$23*1/4)-MAX($V10,DATOS!$C$23*0/4))+(PRESIONES!$M$33-ABERTURAS!$L$67)*MAX(0,MIN($W10,DATOS!$C$23*2/4)-MAX($V10,DATOS!$C$23*1/4))+(PRESIONES!$M$34-ABERTURAS!$L$67)*MAX(0,MIN($W10,DATOS!$C$23*3/4)-MAX($V10,DATOS!$C$23*2/4))+(PRESIONES!$M$35-ABERTURAS!$L$67)*MAX(0,MIN($W10,DATOS!$C$23*4/4)-MAX($V10,DATOS!$C$23*3/4))))</f>
        <v>-95.588832165597324</v>
      </c>
      <c r="AJ10" s="26">
        <f>IF($L10&lt;&gt;"OK",0,PRESIONES!$C$12*((PRESIONES!$D$32-ABERTURAS!$L$60)*MAX(0,MIN($W10,DATOS!$C$23*1/4)-MAX($V10,DATOS!$C$23*0/4))*PRESIONES!$C$18+(PRESIONES!$D$33-ABERTURAS!$L$60)*MAX(0,MIN($W10,DATOS!$C$23*2/4)-MAX($V10,DATOS!$C$23*1/4))*PRESIONES!$C$19+(PRESIONES!$D$34-ABERTURAS!$L$60)*MAX(0,MIN($W10,DATOS!$C$23*3/4)-MAX($V10,DATOS!$C$23*2/4))*PRESIONES!$C$20+(PRESIONES!$D$35-ABERTURAS!$L$60)*MAX(0,MIN($W10,DATOS!$C$23*4/4)-MAX($V10,DATOS!$C$23*3/4))*PRESIONES!$C$21))</f>
        <v>0.65923332527998046</v>
      </c>
      <c r="AK10" s="26">
        <f>IF($L10&lt;&gt;"OK",0,PRESIONES!$C$12*((PRESIONES!$G$32-ABERTURAS!$L$61)*MAX(0,MIN($W10,DATOS!$C$23*1/4)-MAX($V10,DATOS!$C$23*0/4))*PRESIONES!$C$18+(PRESIONES!$G$33-ABERTURAS!$L$61)*MAX(0,MIN($W10,DATOS!$C$23*2/4)-MAX($V10,DATOS!$C$23*1/4))*PRESIONES!$C$19+(PRESIONES!$G$34-ABERTURAS!$L$61)*MAX(0,MIN($W10,DATOS!$C$23*3/4)-MAX($V10,DATOS!$C$23*2/4))*PRESIONES!$C$20+(PRESIONES!$G$35-ABERTURAS!$L$61)*MAX(0,MIN($W10,DATOS!$C$23*4/4)-MAX($V10,DATOS!$C$23*3/4))*PRESIONES!$C$21))</f>
        <v>0.65923332527998046</v>
      </c>
      <c r="AL10" s="26">
        <f>IF($L10&lt;&gt;"OK",0,PRESIONES!$C$12*((PRESIONES!$J$32-ABERTURAS!$L$62)*MAX(0,MIN($W10,DATOS!$C$23*1/4)-MAX($V10,DATOS!$C$23*0/4))*PRESIONES!$C$18+(PRESIONES!$J$33-ABERTURAS!$L$62)*MAX(0,MIN($W10,DATOS!$C$23*2/4)-MAX($V10,DATOS!$C$23*1/4))*PRESIONES!$C$19+(PRESIONES!$J$34-ABERTURAS!$L$62)*MAX(0,MIN($W10,DATOS!$C$23*3/4)-MAX($V10,DATOS!$C$23*2/4))*PRESIONES!$C$20+(PRESIONES!$J$35-ABERTURAS!$L$62)*MAX(0,MIN($W10,DATOS!$C$23*4/4)-MAX($V10,DATOS!$C$23*3/4))*PRESIONES!$C$21))</f>
        <v>0.32961666263999023</v>
      </c>
      <c r="AM10" s="26">
        <f>IF($L10&lt;&gt;"OK",0,PRESIONES!$C$12*((PRESIONES!$M$32-ABERTURAS!$L$63)*MAX(0,MIN($W10,DATOS!$C$23*1/4)-MAX($V10,DATOS!$C$23*0/4))*PRESIONES!$C$18+(PRESIONES!$M$33-ABERTURAS!$L$63)*MAX(0,MIN($W10,DATOS!$C$23*2/4)-MAX($V10,DATOS!$C$23*1/4))*PRESIONES!$C$19+(PRESIONES!$M$34-ABERTURAS!$L$63)*MAX(0,MIN($W10,DATOS!$C$23*3/4)-MAX($V10,DATOS!$C$23*2/4))*PRESIONES!$C$20+(PRESIONES!$M$35-ABERTURAS!$L$63)*MAX(0,MIN($W10,DATOS!$C$23*4/4)-MAX($V10,DATOS!$C$23*3/4))*PRESIONES!$C$21))</f>
        <v>4.7794416082798596</v>
      </c>
      <c r="AN10" s="26">
        <f>IF($L10&lt;&gt;"OK",0,PRESIONES!$C$12*((PRESIONES!$D$32-ABERTURAS!$L$64)*MAX(0,MIN($W10,DATOS!$C$23*1/4)-MAX($V10,DATOS!$C$23*0/4))*PRESIONES!$C$18+(PRESIONES!$D$33-ABERTURAS!$L$64)*MAX(0,MIN($W10,DATOS!$C$23*2/4)-MAX($V10,DATOS!$C$23*1/4))*PRESIONES!$C$19+(PRESIONES!$D$34-ABERTURAS!$L$64)*MAX(0,MIN($W10,DATOS!$C$23*3/4)-MAX($V10,DATOS!$C$23*2/4))*PRESIONES!$C$20+(PRESIONES!$D$35-ABERTURAS!$L$64)*MAX(0,MIN($W10,DATOS!$C$23*4/4)-MAX($V10,DATOS!$C$23*3/4))*PRESIONES!$C$21))</f>
        <v>0.65923332527998046</v>
      </c>
      <c r="AO10" s="26">
        <f>IF($L10&lt;&gt;"OK",0,PRESIONES!$C$12*((PRESIONES!$G$32-ABERTURAS!$L$65)*MAX(0,MIN($W10,DATOS!$C$23*1/4)-MAX($V10,DATOS!$C$23*0/4))*PRESIONES!$C$18+(PRESIONES!$G$33-ABERTURAS!$L$65)*MAX(0,MIN($W10,DATOS!$C$23*2/4)-MAX($V10,DATOS!$C$23*1/4))*PRESIONES!$C$19+(PRESIONES!$G$34-ABERTURAS!$L$65)*MAX(0,MIN($W10,DATOS!$C$23*3/4)-MAX($V10,DATOS!$C$23*2/4))*PRESIONES!$C$20+(PRESIONES!$G$35-ABERTURAS!$L$65)*MAX(0,MIN($W10,DATOS!$C$23*4/4)-MAX($V10,DATOS!$C$23*3/4))*PRESIONES!$C$21))</f>
        <v>0.65923332527998046</v>
      </c>
      <c r="AP10" s="26">
        <f>IF($L10&lt;&gt;"OK",0,PRESIONES!$C$12*((PRESIONES!$J$32-ABERTURAS!$L$66)*MAX(0,MIN($W10,DATOS!$C$23*1/4)-MAX($V10,DATOS!$C$23*0/4))*PRESIONES!$C$18+(PRESIONES!$J$33-ABERTURAS!$L$66)*MAX(0,MIN($W10,DATOS!$C$23*2/4)-MAX($V10,DATOS!$C$23*1/4))*PRESIONES!$C$19+(PRESIONES!$J$34-ABERTURAS!$L$66)*MAX(0,MIN($W10,DATOS!$C$23*3/4)-MAX($V10,DATOS!$C$23*2/4))*PRESIONES!$C$20+(PRESIONES!$J$35-ABERTURAS!$L$66)*MAX(0,MIN($W10,DATOS!$C$23*4/4)-MAX($V10,DATOS!$C$23*3/4))*PRESIONES!$C$21))</f>
        <v>0.32961666263999023</v>
      </c>
      <c r="AQ10" s="26">
        <f>IF($L10&lt;&gt;"OK",0,PRESIONES!$C$12*((PRESIONES!$M$32-ABERTURAS!$L$67)*MAX(0,MIN($W10,DATOS!$C$23*1/4)-MAX($V10,DATOS!$C$23*0/4))*PRESIONES!$C$18+(PRESIONES!$M$33-ABERTURAS!$L$67)*MAX(0,MIN($W10,DATOS!$C$23*2/4)-MAX($V10,DATOS!$C$23*1/4))*PRESIONES!$C$19+(PRESIONES!$M$34-ABERTURAS!$L$67)*MAX(0,MIN($W10,DATOS!$C$23*3/4)-MAX($V10,DATOS!$C$23*2/4))*PRESIONES!$C$20+(PRESIONES!$M$35-ABERTURAS!$L$67)*MAX(0,MIN($W10,DATOS!$C$23*4/4)-MAX($V10,DATOS!$C$23*3/4))*PRESIONES!$C$21))</f>
        <v>4.7794416082798596</v>
      </c>
      <c r="AR10" s="26">
        <f>IF($L10&lt;&gt;"OK",0,PRESIONES!$C$12*((PRESIONES!$E$32-ABERTURAS!$L$60)*MAX(0,MIN($W10,DATOS!$C$23*1/4)-MAX($V10,DATOS!$C$23*0/4))+(PRESIONES!$E$33-ABERTURAS!$L$60)*MAX(0,MIN($W10,DATOS!$C$23*2/4)-MAX($V10,DATOS!$C$23*1/4))+(PRESIONES!$E$34-ABERTURAS!$L$60)*MAX(0,MIN($W10,DATOS!$C$23*3/4)-MAX($V10,DATOS!$C$23*2/4))+(PRESIONES!$E$35-ABERTURAS!$L$60)*MAX(0,MIN($W10,DATOS!$C$23*4/4)-MAX($V10,DATOS!$C$23*3/4))))</f>
        <v>-13.184666505599628</v>
      </c>
      <c r="AS10" s="26">
        <f>IF($L10&lt;&gt;"OK",0,PRESIONES!$C$12*((PRESIONES!$H$32-ABERTURAS!$L$61)*MAX(0,MIN($W10,DATOS!$C$23*1/4)-MAX($V10,DATOS!$C$23*0/4))+(PRESIONES!$H$33-ABERTURAS!$L$61)*MAX(0,MIN($W10,DATOS!$C$23*2/4)-MAX($V10,DATOS!$C$23*1/4))+(PRESIONES!$H$34-ABERTURAS!$L$61)*MAX(0,MIN($W10,DATOS!$C$23*3/4)-MAX($V10,DATOS!$C$23*2/4))+(PRESIONES!$H$35-ABERTURAS!$L$61)*MAX(0,MIN($W10,DATOS!$C$23*4/4)-MAX($V10,DATOS!$C$23*3/4))))</f>
        <v>-13.184666505599628</v>
      </c>
      <c r="AT10" s="26">
        <f>IF($L10&lt;&gt;"OK",0,PRESIONES!$C$12*((PRESIONES!$K$32-ABERTURAS!$L$62)*MAX(0,MIN($W10,DATOS!$C$23*1/4)-MAX($V10,DATOS!$C$23*0/4))+(PRESIONES!$K$33-ABERTURAS!$L$62)*MAX(0,MIN($W10,DATOS!$C$23*2/4)-MAX($V10,DATOS!$C$23*1/4))+(PRESIONES!$K$34-ABERTURAS!$L$62)*MAX(0,MIN($W10,DATOS!$C$23*3/4)-MAX($V10,DATOS!$C$23*2/4))+(PRESIONES!$K$35-ABERTURAS!$L$62)*MAX(0,MIN($W10,DATOS!$C$23*4/4)-MAX($V10,DATOS!$C$23*3/4))))</f>
        <v>-6.592333252799814</v>
      </c>
      <c r="AU10" s="26">
        <f>IF($L10&lt;&gt;"OK",0,PRESIONES!$C$12*((PRESIONES!$N$32-ABERTURAS!$L$63)*MAX(0,MIN($W10,DATOS!$C$23*1/4)-MAX($V10,DATOS!$C$23*0/4))+(PRESIONES!$N$33-ABERTURAS!$L$63)*MAX(0,MIN($W10,DATOS!$C$23*2/4)-MAX($V10,DATOS!$C$23*1/4))+(PRESIONES!$N$34-ABERTURAS!$L$63)*MAX(0,MIN($W10,DATOS!$C$23*3/4)-MAX($V10,DATOS!$C$23*2/4))+(PRESIONES!$N$35-ABERTURAS!$L$63)*MAX(0,MIN($W10,DATOS!$C$23*4/4)-MAX($V10,DATOS!$C$23*3/4))))</f>
        <v>-95.588832165597324</v>
      </c>
      <c r="AV10" s="26">
        <f>IF($L10&lt;&gt;"OK",0,PRESIONES!$C$12*((PRESIONES!$E$32-ABERTURAS!$L$64)*MAX(0,MIN($W10,DATOS!$C$23*1/4)-MAX($V10,DATOS!$C$23*0/4))+(PRESIONES!$E$33-ABERTURAS!$L$64)*MAX(0,MIN($W10,DATOS!$C$23*2/4)-MAX($V10,DATOS!$C$23*1/4))+(PRESIONES!$E$34-ABERTURAS!$L$64)*MAX(0,MIN($W10,DATOS!$C$23*3/4)-MAX($V10,DATOS!$C$23*2/4))+(PRESIONES!$E$35-ABERTURAS!$L$64)*MAX(0,MIN($W10,DATOS!$C$23*4/4)-MAX($V10,DATOS!$C$23*3/4))))</f>
        <v>-13.184666505599628</v>
      </c>
      <c r="AW10" s="26">
        <f>IF($L10&lt;&gt;"OK",0,PRESIONES!$C$12*((PRESIONES!$H$32-ABERTURAS!$L$65)*MAX(0,MIN($W10,DATOS!$C$23*1/4)-MAX($V10,DATOS!$C$23*0/4))+(PRESIONES!$H$33-ABERTURAS!$L$65)*MAX(0,MIN($W10,DATOS!$C$23*2/4)-MAX($V10,DATOS!$C$23*1/4))+(PRESIONES!$H$34-ABERTURAS!$L$65)*MAX(0,MIN($W10,DATOS!$C$23*3/4)-MAX($V10,DATOS!$C$23*2/4))+(PRESIONES!$H$35-ABERTURAS!$L$65)*MAX(0,MIN($W10,DATOS!$C$23*4/4)-MAX($V10,DATOS!$C$23*3/4))))</f>
        <v>-13.184666505599628</v>
      </c>
      <c r="AX10" s="26">
        <f>IF($L10&lt;&gt;"OK",0,PRESIONES!$C$12*((PRESIONES!$K$32-ABERTURAS!$L$66)*MAX(0,MIN($W10,DATOS!$C$23*1/4)-MAX($V10,DATOS!$C$23*0/4))+(PRESIONES!$K$33-ABERTURAS!$L$66)*MAX(0,MIN($W10,DATOS!$C$23*2/4)-MAX($V10,DATOS!$C$23*1/4))+(PRESIONES!$K$34-ABERTURAS!$L$66)*MAX(0,MIN($W10,DATOS!$C$23*3/4)-MAX($V10,DATOS!$C$23*2/4))+(PRESIONES!$K$35-ABERTURAS!$L$66)*MAX(0,MIN($W10,DATOS!$C$23*4/4)-MAX($V10,DATOS!$C$23*3/4))))</f>
        <v>-6.592333252799814</v>
      </c>
      <c r="AY10" s="26">
        <f>IF($L10&lt;&gt;"OK",0,PRESIONES!$C$12*((PRESIONES!$N$32-ABERTURAS!$L$67)*MAX(0,MIN($W10,DATOS!$C$23*1/4)-MAX($V10,DATOS!$C$23*0/4))+(PRESIONES!$N$33-ABERTURAS!$L$67)*MAX(0,MIN($W10,DATOS!$C$23*2/4)-MAX($V10,DATOS!$C$23*1/4))+(PRESIONES!$N$34-ABERTURAS!$L$67)*MAX(0,MIN($W10,DATOS!$C$23*3/4)-MAX($V10,DATOS!$C$23*2/4))+(PRESIONES!$N$35-ABERTURAS!$L$67)*MAX(0,MIN($W10,DATOS!$C$23*4/4)-MAX($V10,DATOS!$C$23*3/4))))</f>
        <v>-95.588832165597324</v>
      </c>
      <c r="AZ10" s="26">
        <f>IF($L10&lt;&gt;"OK",0,PRESIONES!$C$12*((PRESIONES!$E$32-ABERTURAS!$L$60)*MAX(0,MIN($W10,DATOS!$C$23*1/4)-MAX($V10,DATOS!$C$23*0/4))*PRESIONES!$C$18+(PRESIONES!$E$33-ABERTURAS!$L$60)*MAX(0,MIN($W10,DATOS!$C$23*2/4)-MAX($V10,DATOS!$C$23*1/4))*PRESIONES!$C$19+(PRESIONES!$E$34-ABERTURAS!$L$60)*MAX(0,MIN($W10,DATOS!$C$23*3/4)-MAX($V10,DATOS!$C$23*2/4))*PRESIONES!$C$20+(PRESIONES!$E$35-ABERTURAS!$L$60)*MAX(0,MIN($W10,DATOS!$C$23*4/4)-MAX($V10,DATOS!$C$23*3/4))*PRESIONES!$C$21))</f>
        <v>0.65923332527998046</v>
      </c>
      <c r="BA10" s="26">
        <f>IF($L10&lt;&gt;"OK",0,PRESIONES!$C$12*((PRESIONES!$H$32-ABERTURAS!$L$61)*MAX(0,MIN($W10,DATOS!$C$23*1/4)-MAX($V10,DATOS!$C$23*0/4))*PRESIONES!$C$18+(PRESIONES!$H$33-ABERTURAS!$L$61)*MAX(0,MIN($W10,DATOS!$C$23*2/4)-MAX($V10,DATOS!$C$23*1/4))*PRESIONES!$C$19+(PRESIONES!$H$34-ABERTURAS!$L$61)*MAX(0,MIN($W10,DATOS!$C$23*3/4)-MAX($V10,DATOS!$C$23*2/4))*PRESIONES!$C$20+(PRESIONES!$H$35-ABERTURAS!$L$61)*MAX(0,MIN($W10,DATOS!$C$23*4/4)-MAX($V10,DATOS!$C$23*3/4))*PRESIONES!$C$21))</f>
        <v>0.65923332527998046</v>
      </c>
      <c r="BB10" s="26">
        <f>IF($L10&lt;&gt;"OK",0,PRESIONES!$C$12*((PRESIONES!$K$32-ABERTURAS!$L$62)*MAX(0,MIN($W10,DATOS!$C$23*1/4)-MAX($V10,DATOS!$C$23*0/4))*PRESIONES!$C$18+(PRESIONES!$K$33-ABERTURAS!$L$62)*MAX(0,MIN($W10,DATOS!$C$23*2/4)-MAX($V10,DATOS!$C$23*1/4))*PRESIONES!$C$19+(PRESIONES!$K$34-ABERTURAS!$L$62)*MAX(0,MIN($W10,DATOS!$C$23*3/4)-MAX($V10,DATOS!$C$23*2/4))*PRESIONES!$C$20+(PRESIONES!$K$35-ABERTURAS!$L$62)*MAX(0,MIN($W10,DATOS!$C$23*4/4)-MAX($V10,DATOS!$C$23*3/4))*PRESIONES!$C$21))</f>
        <v>0.32961666263999023</v>
      </c>
      <c r="BC10" s="26">
        <f>IF($L10&lt;&gt;"OK",0,PRESIONES!$C$12*((PRESIONES!$N$32-ABERTURAS!$L$63)*MAX(0,MIN($W10,DATOS!$C$23*1/4)-MAX($V10,DATOS!$C$23*0/4))*PRESIONES!$C$18+(PRESIONES!$N$33-ABERTURAS!$L$63)*MAX(0,MIN($W10,DATOS!$C$23*2/4)-MAX($V10,DATOS!$C$23*1/4))*PRESIONES!$C$19+(PRESIONES!$N$34-ABERTURAS!$L$63)*MAX(0,MIN($W10,DATOS!$C$23*3/4)-MAX($V10,DATOS!$C$23*2/4))*PRESIONES!$C$20+(PRESIONES!$N$35-ABERTURAS!$L$63)*MAX(0,MIN($W10,DATOS!$C$23*4/4)-MAX($V10,DATOS!$C$23*3/4))*PRESIONES!$C$21))</f>
        <v>4.7794416082798596</v>
      </c>
      <c r="BD10" s="26">
        <f>IF($L10&lt;&gt;"OK",0,PRESIONES!$C$12*((PRESIONES!$E$32-ABERTURAS!$L$64)*MAX(0,MIN($W10,DATOS!$C$23*1/4)-MAX($V10,DATOS!$C$23*0/4))*PRESIONES!$C$18+(PRESIONES!$E$33-ABERTURAS!$L$64)*MAX(0,MIN($W10,DATOS!$C$23*2/4)-MAX($V10,DATOS!$C$23*1/4))*PRESIONES!$C$19+(PRESIONES!$E$34-ABERTURAS!$L$64)*MAX(0,MIN($W10,DATOS!$C$23*3/4)-MAX($V10,DATOS!$C$23*2/4))*PRESIONES!$C$20+(PRESIONES!$E$35-ABERTURAS!$L$64)*MAX(0,MIN($W10,DATOS!$C$23*4/4)-MAX($V10,DATOS!$C$23*3/4))*PRESIONES!$C$21))</f>
        <v>0.65923332527998046</v>
      </c>
      <c r="BE10" s="26">
        <f>IF($L10&lt;&gt;"OK",0,PRESIONES!$C$12*((PRESIONES!$H$32-ABERTURAS!$L$65)*MAX(0,MIN($W10,DATOS!$C$23*1/4)-MAX($V10,DATOS!$C$23*0/4))*PRESIONES!$C$18+(PRESIONES!$H$33-ABERTURAS!$L$65)*MAX(0,MIN($W10,DATOS!$C$23*2/4)-MAX($V10,DATOS!$C$23*1/4))*PRESIONES!$C$19+(PRESIONES!$H$34-ABERTURAS!$L$65)*MAX(0,MIN($W10,DATOS!$C$23*3/4)-MAX($V10,DATOS!$C$23*2/4))*PRESIONES!$C$20+(PRESIONES!$H$35-ABERTURAS!$L$65)*MAX(0,MIN($W10,DATOS!$C$23*4/4)-MAX($V10,DATOS!$C$23*3/4))*PRESIONES!$C$21))</f>
        <v>0.65923332527998046</v>
      </c>
      <c r="BF10" s="26">
        <f>IF($L10&lt;&gt;"OK",0,PRESIONES!$C$12*((PRESIONES!$K$32-ABERTURAS!$L$66)*MAX(0,MIN($W10,DATOS!$C$23*1/4)-MAX($V10,DATOS!$C$23*0/4))*PRESIONES!$C$18+(PRESIONES!$K$33-ABERTURAS!$L$66)*MAX(0,MIN($W10,DATOS!$C$23*2/4)-MAX($V10,DATOS!$C$23*1/4))*PRESIONES!$C$19+(PRESIONES!$K$34-ABERTURAS!$L$66)*MAX(0,MIN($W10,DATOS!$C$23*3/4)-MAX($V10,DATOS!$C$23*2/4))*PRESIONES!$C$20+(PRESIONES!$K$35-ABERTURAS!$L$66)*MAX(0,MIN($W10,DATOS!$C$23*4/4)-MAX($V10,DATOS!$C$23*3/4))*PRESIONES!$C$21))</f>
        <v>0.32961666263999023</v>
      </c>
      <c r="BG10" s="26">
        <f>IF($L10&lt;&gt;"OK",0,PRESIONES!$C$12*((PRESIONES!$N$32-ABERTURAS!$L$67)*MAX(0,MIN($W10,DATOS!$C$23*1/4)-MAX($V10,DATOS!$C$23*0/4))*PRESIONES!$C$18+(PRESIONES!$N$33-ABERTURAS!$L$67)*MAX(0,MIN($W10,DATOS!$C$23*2/4)-MAX($V10,DATOS!$C$23*1/4))*PRESIONES!$C$19+(PRESIONES!$N$34-ABERTURAS!$L$67)*MAX(0,MIN($W10,DATOS!$C$23*3/4)-MAX($V10,DATOS!$C$23*2/4))*PRESIONES!$C$20+(PRESIONES!$N$35-ABERTURAS!$L$67)*MAX(0,MIN($W10,DATOS!$C$23*4/4)-MAX($V10,DATOS!$C$23*3/4))*PRESIONES!$C$21))</f>
        <v>4.7794416082798596</v>
      </c>
    </row>
    <row r="11" spans="2:59" ht="16.5" customHeight="1" x14ac:dyDescent="0.3">
      <c r="B11" s="4" t="s">
        <v>401</v>
      </c>
      <c r="C11" s="15" t="s">
        <v>397</v>
      </c>
      <c r="D11" s="4" t="s">
        <v>402</v>
      </c>
      <c r="E11" s="15" t="s">
        <v>80</v>
      </c>
      <c r="F11" s="40">
        <v>0</v>
      </c>
      <c r="G11" s="40">
        <v>10.08</v>
      </c>
      <c r="H11" s="40">
        <v>2.0249999999999999</v>
      </c>
      <c r="I11" s="40">
        <v>3.375</v>
      </c>
      <c r="J11" s="40"/>
      <c r="K11" s="40"/>
      <c r="L11" s="18" t="str">
        <f>IF($D11="","",IF($C11&lt;&gt;"TECHO","PON TECHO",IF(OR($F11="",$G11="",$H11="",$I11=""),"FALTAN a o b",IF($M11&lt;=0,"a₂ DEBE SER &gt; a₁",IF($N11&lt;=0,"b₂ DEBE SER &gt; b₁",IF(OR($V11&lt;-0.001,$W11&gt;DATOS!$C$23+0.001),"SE SALE DEL TECHO","OK"))))))</f>
        <v>OK</v>
      </c>
      <c r="M11" s="26">
        <f t="shared" si="0"/>
        <v>10.08</v>
      </c>
      <c r="N11" s="26">
        <f t="shared" si="1"/>
        <v>1.35</v>
      </c>
      <c r="O11" s="26">
        <f t="shared" si="2"/>
        <v>13.608000000000001</v>
      </c>
      <c r="P11" s="26">
        <v>0</v>
      </c>
      <c r="Q11" s="26">
        <v>0</v>
      </c>
      <c r="R11" s="26">
        <f t="shared" si="3"/>
        <v>13.608000000000001</v>
      </c>
      <c r="S11" s="26">
        <f t="shared" si="3"/>
        <v>13.608000000000001</v>
      </c>
      <c r="T11" s="41">
        <f>IF($D11="",0,DATOS!$C$21)</f>
        <v>10.62</v>
      </c>
      <c r="U11" s="41">
        <v>0</v>
      </c>
      <c r="V11" s="41">
        <f t="shared" si="4"/>
        <v>2.0249999999999999</v>
      </c>
      <c r="W11" s="41">
        <f t="shared" si="5"/>
        <v>3.375</v>
      </c>
      <c r="AB11" s="26">
        <f>IF($L11&lt;&gt;"OK",0,PRESIONES!$C$12*((PRESIONES!$D$32-ABERTURAS!$L$60)*MAX(0,MIN($W11,DATOS!$C$23*1/4)-MAX($V11,DATOS!$C$23*0/4))+(PRESIONES!$D$33-ABERTURAS!$L$60)*MAX(0,MIN($W11,DATOS!$C$23*2/4)-MAX($V11,DATOS!$C$23*1/4))+(PRESIONES!$D$34-ABERTURAS!$L$60)*MAX(0,MIN($W11,DATOS!$C$23*3/4)-MAX($V11,DATOS!$C$23*2/4))+(PRESIONES!$D$35-ABERTURAS!$L$60)*MAX(0,MIN($W11,DATOS!$C$23*4/4)-MAX($V11,DATOS!$C$23*3/4))))</f>
        <v>-13.18466650559963</v>
      </c>
      <c r="AC11" s="26">
        <f>IF($L11&lt;&gt;"OK",0,PRESIONES!$C$12*((PRESIONES!$G$32-ABERTURAS!$L$61)*MAX(0,MIN($W11,DATOS!$C$23*1/4)-MAX($V11,DATOS!$C$23*0/4))+(PRESIONES!$G$33-ABERTURAS!$L$61)*MAX(0,MIN($W11,DATOS!$C$23*2/4)-MAX($V11,DATOS!$C$23*1/4))+(PRESIONES!$G$34-ABERTURAS!$L$61)*MAX(0,MIN($W11,DATOS!$C$23*3/4)-MAX($V11,DATOS!$C$23*2/4))+(PRESIONES!$G$35-ABERTURAS!$L$61)*MAX(0,MIN($W11,DATOS!$C$23*4/4)-MAX($V11,DATOS!$C$23*3/4))))</f>
        <v>-13.18466650559963</v>
      </c>
      <c r="AD11" s="26">
        <f>IF($L11&lt;&gt;"OK",0,PRESIONES!$C$12*((PRESIONES!$J$32-ABERTURAS!$L$62)*MAX(0,MIN($W11,DATOS!$C$23*1/4)-MAX($V11,DATOS!$C$23*0/4))+(PRESIONES!$J$33-ABERTURAS!$L$62)*MAX(0,MIN($W11,DATOS!$C$23*2/4)-MAX($V11,DATOS!$C$23*1/4))+(PRESIONES!$J$34-ABERTURAS!$L$62)*MAX(0,MIN($W11,DATOS!$C$23*3/4)-MAX($V11,DATOS!$C$23*2/4))+(PRESIONES!$J$35-ABERTURAS!$L$62)*MAX(0,MIN($W11,DATOS!$C$23*4/4)-MAX($V11,DATOS!$C$23*3/4))))</f>
        <v>-6.5923332527998149</v>
      </c>
      <c r="AE11" s="26">
        <f>IF($L11&lt;&gt;"OK",0,PRESIONES!$C$12*((PRESIONES!$M$32-ABERTURAS!$L$63)*MAX(0,MIN($W11,DATOS!$C$23*1/4)-MAX($V11,DATOS!$C$23*0/4))+(PRESIONES!$M$33-ABERTURAS!$L$63)*MAX(0,MIN($W11,DATOS!$C$23*2/4)-MAX($V11,DATOS!$C$23*1/4))+(PRESIONES!$M$34-ABERTURAS!$L$63)*MAX(0,MIN($W11,DATOS!$C$23*3/4)-MAX($V11,DATOS!$C$23*2/4))+(PRESIONES!$M$35-ABERTURAS!$L$63)*MAX(0,MIN($W11,DATOS!$C$23*4/4)-MAX($V11,DATOS!$C$23*3/4))))</f>
        <v>-95.588832165597339</v>
      </c>
      <c r="AF11" s="26">
        <f>IF($L11&lt;&gt;"OK",0,PRESIONES!$C$12*((PRESIONES!$D$32-ABERTURAS!$L$64)*MAX(0,MIN($W11,DATOS!$C$23*1/4)-MAX($V11,DATOS!$C$23*0/4))+(PRESIONES!$D$33-ABERTURAS!$L$64)*MAX(0,MIN($W11,DATOS!$C$23*2/4)-MAX($V11,DATOS!$C$23*1/4))+(PRESIONES!$D$34-ABERTURAS!$L$64)*MAX(0,MIN($W11,DATOS!$C$23*3/4)-MAX($V11,DATOS!$C$23*2/4))+(PRESIONES!$D$35-ABERTURAS!$L$64)*MAX(0,MIN($W11,DATOS!$C$23*4/4)-MAX($V11,DATOS!$C$23*3/4))))</f>
        <v>-13.18466650559963</v>
      </c>
      <c r="AG11" s="26">
        <f>IF($L11&lt;&gt;"OK",0,PRESIONES!$C$12*((PRESIONES!$G$32-ABERTURAS!$L$65)*MAX(0,MIN($W11,DATOS!$C$23*1/4)-MAX($V11,DATOS!$C$23*0/4))+(PRESIONES!$G$33-ABERTURAS!$L$65)*MAX(0,MIN($W11,DATOS!$C$23*2/4)-MAX($V11,DATOS!$C$23*1/4))+(PRESIONES!$G$34-ABERTURAS!$L$65)*MAX(0,MIN($W11,DATOS!$C$23*3/4)-MAX($V11,DATOS!$C$23*2/4))+(PRESIONES!$G$35-ABERTURAS!$L$65)*MAX(0,MIN($W11,DATOS!$C$23*4/4)-MAX($V11,DATOS!$C$23*3/4))))</f>
        <v>-13.18466650559963</v>
      </c>
      <c r="AH11" s="26">
        <f>IF($L11&lt;&gt;"OK",0,PRESIONES!$C$12*((PRESIONES!$J$32-ABERTURAS!$L$66)*MAX(0,MIN($W11,DATOS!$C$23*1/4)-MAX($V11,DATOS!$C$23*0/4))+(PRESIONES!$J$33-ABERTURAS!$L$66)*MAX(0,MIN($W11,DATOS!$C$23*2/4)-MAX($V11,DATOS!$C$23*1/4))+(PRESIONES!$J$34-ABERTURAS!$L$66)*MAX(0,MIN($W11,DATOS!$C$23*3/4)-MAX($V11,DATOS!$C$23*2/4))+(PRESIONES!$J$35-ABERTURAS!$L$66)*MAX(0,MIN($W11,DATOS!$C$23*4/4)-MAX($V11,DATOS!$C$23*3/4))))</f>
        <v>-6.5923332527998149</v>
      </c>
      <c r="AI11" s="26">
        <f>IF($L11&lt;&gt;"OK",0,PRESIONES!$C$12*((PRESIONES!$M$32-ABERTURAS!$L$67)*MAX(0,MIN($W11,DATOS!$C$23*1/4)-MAX($V11,DATOS!$C$23*0/4))+(PRESIONES!$M$33-ABERTURAS!$L$67)*MAX(0,MIN($W11,DATOS!$C$23*2/4)-MAX($V11,DATOS!$C$23*1/4))+(PRESIONES!$M$34-ABERTURAS!$L$67)*MAX(0,MIN($W11,DATOS!$C$23*3/4)-MAX($V11,DATOS!$C$23*2/4))+(PRESIONES!$M$35-ABERTURAS!$L$67)*MAX(0,MIN($W11,DATOS!$C$23*4/4)-MAX($V11,DATOS!$C$23*3/4))))</f>
        <v>-95.588832165597339</v>
      </c>
      <c r="AJ11" s="26">
        <f>IF($L11&lt;&gt;"OK",0,PRESIONES!$C$12*((PRESIONES!$D$32-ABERTURAS!$L$60)*MAX(0,MIN($W11,DATOS!$C$23*1/4)-MAX($V11,DATOS!$C$23*0/4))*PRESIONES!$C$18+(PRESIONES!$D$33-ABERTURAS!$L$60)*MAX(0,MIN($W11,DATOS!$C$23*2/4)-MAX($V11,DATOS!$C$23*1/4))*PRESIONES!$C$19+(PRESIONES!$D$34-ABERTURAS!$L$60)*MAX(0,MIN($W11,DATOS!$C$23*3/4)-MAX($V11,DATOS!$C$23*2/4))*PRESIONES!$C$20+(PRESIONES!$D$35-ABERTURAS!$L$60)*MAX(0,MIN($W11,DATOS!$C$23*4/4)-MAX($V11,DATOS!$C$23*3/4))*PRESIONES!$C$21))</f>
        <v>0.65923332527998069</v>
      </c>
      <c r="AK11" s="26">
        <f>IF($L11&lt;&gt;"OK",0,PRESIONES!$C$12*((PRESIONES!$G$32-ABERTURAS!$L$61)*MAX(0,MIN($W11,DATOS!$C$23*1/4)-MAX($V11,DATOS!$C$23*0/4))*PRESIONES!$C$18+(PRESIONES!$G$33-ABERTURAS!$L$61)*MAX(0,MIN($W11,DATOS!$C$23*2/4)-MAX($V11,DATOS!$C$23*1/4))*PRESIONES!$C$19+(PRESIONES!$G$34-ABERTURAS!$L$61)*MAX(0,MIN($W11,DATOS!$C$23*3/4)-MAX($V11,DATOS!$C$23*2/4))*PRESIONES!$C$20+(PRESIONES!$G$35-ABERTURAS!$L$61)*MAX(0,MIN($W11,DATOS!$C$23*4/4)-MAX($V11,DATOS!$C$23*3/4))*PRESIONES!$C$21))</f>
        <v>0.65923332527998069</v>
      </c>
      <c r="AL11" s="26">
        <f>IF($L11&lt;&gt;"OK",0,PRESIONES!$C$12*((PRESIONES!$J$32-ABERTURAS!$L$62)*MAX(0,MIN($W11,DATOS!$C$23*1/4)-MAX($V11,DATOS!$C$23*0/4))*PRESIONES!$C$18+(PRESIONES!$J$33-ABERTURAS!$L$62)*MAX(0,MIN($W11,DATOS!$C$23*2/4)-MAX($V11,DATOS!$C$23*1/4))*PRESIONES!$C$19+(PRESIONES!$J$34-ABERTURAS!$L$62)*MAX(0,MIN($W11,DATOS!$C$23*3/4)-MAX($V11,DATOS!$C$23*2/4))*PRESIONES!$C$20+(PRESIONES!$J$35-ABERTURAS!$L$62)*MAX(0,MIN($W11,DATOS!$C$23*4/4)-MAX($V11,DATOS!$C$23*3/4))*PRESIONES!$C$21))</f>
        <v>0.32961666263999034</v>
      </c>
      <c r="AM11" s="26">
        <f>IF($L11&lt;&gt;"OK",0,PRESIONES!$C$12*((PRESIONES!$M$32-ABERTURAS!$L$63)*MAX(0,MIN($W11,DATOS!$C$23*1/4)-MAX($V11,DATOS!$C$23*0/4))*PRESIONES!$C$18+(PRESIONES!$M$33-ABERTURAS!$L$63)*MAX(0,MIN($W11,DATOS!$C$23*2/4)-MAX($V11,DATOS!$C$23*1/4))*PRESIONES!$C$19+(PRESIONES!$M$34-ABERTURAS!$L$63)*MAX(0,MIN($W11,DATOS!$C$23*3/4)-MAX($V11,DATOS!$C$23*2/4))*PRESIONES!$C$20+(PRESIONES!$M$35-ABERTURAS!$L$63)*MAX(0,MIN($W11,DATOS!$C$23*4/4)-MAX($V11,DATOS!$C$23*3/4))*PRESIONES!$C$21))</f>
        <v>4.7794416082798596</v>
      </c>
      <c r="AN11" s="26">
        <f>IF($L11&lt;&gt;"OK",0,PRESIONES!$C$12*((PRESIONES!$D$32-ABERTURAS!$L$64)*MAX(0,MIN($W11,DATOS!$C$23*1/4)-MAX($V11,DATOS!$C$23*0/4))*PRESIONES!$C$18+(PRESIONES!$D$33-ABERTURAS!$L$64)*MAX(0,MIN($W11,DATOS!$C$23*2/4)-MAX($V11,DATOS!$C$23*1/4))*PRESIONES!$C$19+(PRESIONES!$D$34-ABERTURAS!$L$64)*MAX(0,MIN($W11,DATOS!$C$23*3/4)-MAX($V11,DATOS!$C$23*2/4))*PRESIONES!$C$20+(PRESIONES!$D$35-ABERTURAS!$L$64)*MAX(0,MIN($W11,DATOS!$C$23*4/4)-MAX($V11,DATOS!$C$23*3/4))*PRESIONES!$C$21))</f>
        <v>0.65923332527998069</v>
      </c>
      <c r="AO11" s="26">
        <f>IF($L11&lt;&gt;"OK",0,PRESIONES!$C$12*((PRESIONES!$G$32-ABERTURAS!$L$65)*MAX(0,MIN($W11,DATOS!$C$23*1/4)-MAX($V11,DATOS!$C$23*0/4))*PRESIONES!$C$18+(PRESIONES!$G$33-ABERTURAS!$L$65)*MAX(0,MIN($W11,DATOS!$C$23*2/4)-MAX($V11,DATOS!$C$23*1/4))*PRESIONES!$C$19+(PRESIONES!$G$34-ABERTURAS!$L$65)*MAX(0,MIN($W11,DATOS!$C$23*3/4)-MAX($V11,DATOS!$C$23*2/4))*PRESIONES!$C$20+(PRESIONES!$G$35-ABERTURAS!$L$65)*MAX(0,MIN($W11,DATOS!$C$23*4/4)-MAX($V11,DATOS!$C$23*3/4))*PRESIONES!$C$21))</f>
        <v>0.65923332527998069</v>
      </c>
      <c r="AP11" s="26">
        <f>IF($L11&lt;&gt;"OK",0,PRESIONES!$C$12*((PRESIONES!$J$32-ABERTURAS!$L$66)*MAX(0,MIN($W11,DATOS!$C$23*1/4)-MAX($V11,DATOS!$C$23*0/4))*PRESIONES!$C$18+(PRESIONES!$J$33-ABERTURAS!$L$66)*MAX(0,MIN($W11,DATOS!$C$23*2/4)-MAX($V11,DATOS!$C$23*1/4))*PRESIONES!$C$19+(PRESIONES!$J$34-ABERTURAS!$L$66)*MAX(0,MIN($W11,DATOS!$C$23*3/4)-MAX($V11,DATOS!$C$23*2/4))*PRESIONES!$C$20+(PRESIONES!$J$35-ABERTURAS!$L$66)*MAX(0,MIN($W11,DATOS!$C$23*4/4)-MAX($V11,DATOS!$C$23*3/4))*PRESIONES!$C$21))</f>
        <v>0.32961666263999034</v>
      </c>
      <c r="AQ11" s="26">
        <f>IF($L11&lt;&gt;"OK",0,PRESIONES!$C$12*((PRESIONES!$M$32-ABERTURAS!$L$67)*MAX(0,MIN($W11,DATOS!$C$23*1/4)-MAX($V11,DATOS!$C$23*0/4))*PRESIONES!$C$18+(PRESIONES!$M$33-ABERTURAS!$L$67)*MAX(0,MIN($W11,DATOS!$C$23*2/4)-MAX($V11,DATOS!$C$23*1/4))*PRESIONES!$C$19+(PRESIONES!$M$34-ABERTURAS!$L$67)*MAX(0,MIN($W11,DATOS!$C$23*3/4)-MAX($V11,DATOS!$C$23*2/4))*PRESIONES!$C$20+(PRESIONES!$M$35-ABERTURAS!$L$67)*MAX(0,MIN($W11,DATOS!$C$23*4/4)-MAX($V11,DATOS!$C$23*3/4))*PRESIONES!$C$21))</f>
        <v>4.7794416082798596</v>
      </c>
      <c r="AR11" s="26">
        <f>IF($L11&lt;&gt;"OK",0,PRESIONES!$C$12*((PRESIONES!$E$32-ABERTURAS!$L$60)*MAX(0,MIN($W11,DATOS!$C$23*1/4)-MAX($V11,DATOS!$C$23*0/4))+(PRESIONES!$E$33-ABERTURAS!$L$60)*MAX(0,MIN($W11,DATOS!$C$23*2/4)-MAX($V11,DATOS!$C$23*1/4))+(PRESIONES!$E$34-ABERTURAS!$L$60)*MAX(0,MIN($W11,DATOS!$C$23*3/4)-MAX($V11,DATOS!$C$23*2/4))+(PRESIONES!$E$35-ABERTURAS!$L$60)*MAX(0,MIN($W11,DATOS!$C$23*4/4)-MAX($V11,DATOS!$C$23*3/4))))</f>
        <v>-13.18466650559963</v>
      </c>
      <c r="AS11" s="26">
        <f>IF($L11&lt;&gt;"OK",0,PRESIONES!$C$12*((PRESIONES!$H$32-ABERTURAS!$L$61)*MAX(0,MIN($W11,DATOS!$C$23*1/4)-MAX($V11,DATOS!$C$23*0/4))+(PRESIONES!$H$33-ABERTURAS!$L$61)*MAX(0,MIN($W11,DATOS!$C$23*2/4)-MAX($V11,DATOS!$C$23*1/4))+(PRESIONES!$H$34-ABERTURAS!$L$61)*MAX(0,MIN($W11,DATOS!$C$23*3/4)-MAX($V11,DATOS!$C$23*2/4))+(PRESIONES!$H$35-ABERTURAS!$L$61)*MAX(0,MIN($W11,DATOS!$C$23*4/4)-MAX($V11,DATOS!$C$23*3/4))))</f>
        <v>-13.18466650559963</v>
      </c>
      <c r="AT11" s="26">
        <f>IF($L11&lt;&gt;"OK",0,PRESIONES!$C$12*((PRESIONES!$K$32-ABERTURAS!$L$62)*MAX(0,MIN($W11,DATOS!$C$23*1/4)-MAX($V11,DATOS!$C$23*0/4))+(PRESIONES!$K$33-ABERTURAS!$L$62)*MAX(0,MIN($W11,DATOS!$C$23*2/4)-MAX($V11,DATOS!$C$23*1/4))+(PRESIONES!$K$34-ABERTURAS!$L$62)*MAX(0,MIN($W11,DATOS!$C$23*3/4)-MAX($V11,DATOS!$C$23*2/4))+(PRESIONES!$K$35-ABERTURAS!$L$62)*MAX(0,MIN($W11,DATOS!$C$23*4/4)-MAX($V11,DATOS!$C$23*3/4))))</f>
        <v>-6.5923332527998149</v>
      </c>
      <c r="AU11" s="26">
        <f>IF($L11&lt;&gt;"OK",0,PRESIONES!$C$12*((PRESIONES!$N$32-ABERTURAS!$L$63)*MAX(0,MIN($W11,DATOS!$C$23*1/4)-MAX($V11,DATOS!$C$23*0/4))+(PRESIONES!$N$33-ABERTURAS!$L$63)*MAX(0,MIN($W11,DATOS!$C$23*2/4)-MAX($V11,DATOS!$C$23*1/4))+(PRESIONES!$N$34-ABERTURAS!$L$63)*MAX(0,MIN($W11,DATOS!$C$23*3/4)-MAX($V11,DATOS!$C$23*2/4))+(PRESIONES!$N$35-ABERTURAS!$L$63)*MAX(0,MIN($W11,DATOS!$C$23*4/4)-MAX($V11,DATOS!$C$23*3/4))))</f>
        <v>-95.588832165597339</v>
      </c>
      <c r="AV11" s="26">
        <f>IF($L11&lt;&gt;"OK",0,PRESIONES!$C$12*((PRESIONES!$E$32-ABERTURAS!$L$64)*MAX(0,MIN($W11,DATOS!$C$23*1/4)-MAX($V11,DATOS!$C$23*0/4))+(PRESIONES!$E$33-ABERTURAS!$L$64)*MAX(0,MIN($W11,DATOS!$C$23*2/4)-MAX($V11,DATOS!$C$23*1/4))+(PRESIONES!$E$34-ABERTURAS!$L$64)*MAX(0,MIN($W11,DATOS!$C$23*3/4)-MAX($V11,DATOS!$C$23*2/4))+(PRESIONES!$E$35-ABERTURAS!$L$64)*MAX(0,MIN($W11,DATOS!$C$23*4/4)-MAX($V11,DATOS!$C$23*3/4))))</f>
        <v>-13.18466650559963</v>
      </c>
      <c r="AW11" s="26">
        <f>IF($L11&lt;&gt;"OK",0,PRESIONES!$C$12*((PRESIONES!$H$32-ABERTURAS!$L$65)*MAX(0,MIN($W11,DATOS!$C$23*1/4)-MAX($V11,DATOS!$C$23*0/4))+(PRESIONES!$H$33-ABERTURAS!$L$65)*MAX(0,MIN($W11,DATOS!$C$23*2/4)-MAX($V11,DATOS!$C$23*1/4))+(PRESIONES!$H$34-ABERTURAS!$L$65)*MAX(0,MIN($W11,DATOS!$C$23*3/4)-MAX($V11,DATOS!$C$23*2/4))+(PRESIONES!$H$35-ABERTURAS!$L$65)*MAX(0,MIN($W11,DATOS!$C$23*4/4)-MAX($V11,DATOS!$C$23*3/4))))</f>
        <v>-13.18466650559963</v>
      </c>
      <c r="AX11" s="26">
        <f>IF($L11&lt;&gt;"OK",0,PRESIONES!$C$12*((PRESIONES!$K$32-ABERTURAS!$L$66)*MAX(0,MIN($W11,DATOS!$C$23*1/4)-MAX($V11,DATOS!$C$23*0/4))+(PRESIONES!$K$33-ABERTURAS!$L$66)*MAX(0,MIN($W11,DATOS!$C$23*2/4)-MAX($V11,DATOS!$C$23*1/4))+(PRESIONES!$K$34-ABERTURAS!$L$66)*MAX(0,MIN($W11,DATOS!$C$23*3/4)-MAX($V11,DATOS!$C$23*2/4))+(PRESIONES!$K$35-ABERTURAS!$L$66)*MAX(0,MIN($W11,DATOS!$C$23*4/4)-MAX($V11,DATOS!$C$23*3/4))))</f>
        <v>-6.5923332527998149</v>
      </c>
      <c r="AY11" s="26">
        <f>IF($L11&lt;&gt;"OK",0,PRESIONES!$C$12*((PRESIONES!$N$32-ABERTURAS!$L$67)*MAX(0,MIN($W11,DATOS!$C$23*1/4)-MAX($V11,DATOS!$C$23*0/4))+(PRESIONES!$N$33-ABERTURAS!$L$67)*MAX(0,MIN($W11,DATOS!$C$23*2/4)-MAX($V11,DATOS!$C$23*1/4))+(PRESIONES!$N$34-ABERTURAS!$L$67)*MAX(0,MIN($W11,DATOS!$C$23*3/4)-MAX($V11,DATOS!$C$23*2/4))+(PRESIONES!$N$35-ABERTURAS!$L$67)*MAX(0,MIN($W11,DATOS!$C$23*4/4)-MAX($V11,DATOS!$C$23*3/4))))</f>
        <v>-95.588832165597339</v>
      </c>
      <c r="AZ11" s="26">
        <f>IF($L11&lt;&gt;"OK",0,PRESIONES!$C$12*((PRESIONES!$E$32-ABERTURAS!$L$60)*MAX(0,MIN($W11,DATOS!$C$23*1/4)-MAX($V11,DATOS!$C$23*0/4))*PRESIONES!$C$18+(PRESIONES!$E$33-ABERTURAS!$L$60)*MAX(0,MIN($W11,DATOS!$C$23*2/4)-MAX($V11,DATOS!$C$23*1/4))*PRESIONES!$C$19+(PRESIONES!$E$34-ABERTURAS!$L$60)*MAX(0,MIN($W11,DATOS!$C$23*3/4)-MAX($V11,DATOS!$C$23*2/4))*PRESIONES!$C$20+(PRESIONES!$E$35-ABERTURAS!$L$60)*MAX(0,MIN($W11,DATOS!$C$23*4/4)-MAX($V11,DATOS!$C$23*3/4))*PRESIONES!$C$21))</f>
        <v>0.65923332527998069</v>
      </c>
      <c r="BA11" s="26">
        <f>IF($L11&lt;&gt;"OK",0,PRESIONES!$C$12*((PRESIONES!$H$32-ABERTURAS!$L$61)*MAX(0,MIN($W11,DATOS!$C$23*1/4)-MAX($V11,DATOS!$C$23*0/4))*PRESIONES!$C$18+(PRESIONES!$H$33-ABERTURAS!$L$61)*MAX(0,MIN($W11,DATOS!$C$23*2/4)-MAX($V11,DATOS!$C$23*1/4))*PRESIONES!$C$19+(PRESIONES!$H$34-ABERTURAS!$L$61)*MAX(0,MIN($W11,DATOS!$C$23*3/4)-MAX($V11,DATOS!$C$23*2/4))*PRESIONES!$C$20+(PRESIONES!$H$35-ABERTURAS!$L$61)*MAX(0,MIN($W11,DATOS!$C$23*4/4)-MAX($V11,DATOS!$C$23*3/4))*PRESIONES!$C$21))</f>
        <v>0.65923332527998069</v>
      </c>
      <c r="BB11" s="26">
        <f>IF($L11&lt;&gt;"OK",0,PRESIONES!$C$12*((PRESIONES!$K$32-ABERTURAS!$L$62)*MAX(0,MIN($W11,DATOS!$C$23*1/4)-MAX($V11,DATOS!$C$23*0/4))*PRESIONES!$C$18+(PRESIONES!$K$33-ABERTURAS!$L$62)*MAX(0,MIN($W11,DATOS!$C$23*2/4)-MAX($V11,DATOS!$C$23*1/4))*PRESIONES!$C$19+(PRESIONES!$K$34-ABERTURAS!$L$62)*MAX(0,MIN($W11,DATOS!$C$23*3/4)-MAX($V11,DATOS!$C$23*2/4))*PRESIONES!$C$20+(PRESIONES!$K$35-ABERTURAS!$L$62)*MAX(0,MIN($W11,DATOS!$C$23*4/4)-MAX($V11,DATOS!$C$23*3/4))*PRESIONES!$C$21))</f>
        <v>0.32961666263999034</v>
      </c>
      <c r="BC11" s="26">
        <f>IF($L11&lt;&gt;"OK",0,PRESIONES!$C$12*((PRESIONES!$N$32-ABERTURAS!$L$63)*MAX(0,MIN($W11,DATOS!$C$23*1/4)-MAX($V11,DATOS!$C$23*0/4))*PRESIONES!$C$18+(PRESIONES!$N$33-ABERTURAS!$L$63)*MAX(0,MIN($W11,DATOS!$C$23*2/4)-MAX($V11,DATOS!$C$23*1/4))*PRESIONES!$C$19+(PRESIONES!$N$34-ABERTURAS!$L$63)*MAX(0,MIN($W11,DATOS!$C$23*3/4)-MAX($V11,DATOS!$C$23*2/4))*PRESIONES!$C$20+(PRESIONES!$N$35-ABERTURAS!$L$63)*MAX(0,MIN($W11,DATOS!$C$23*4/4)-MAX($V11,DATOS!$C$23*3/4))*PRESIONES!$C$21))</f>
        <v>4.7794416082798596</v>
      </c>
      <c r="BD11" s="26">
        <f>IF($L11&lt;&gt;"OK",0,PRESIONES!$C$12*((PRESIONES!$E$32-ABERTURAS!$L$64)*MAX(0,MIN($W11,DATOS!$C$23*1/4)-MAX($V11,DATOS!$C$23*0/4))*PRESIONES!$C$18+(PRESIONES!$E$33-ABERTURAS!$L$64)*MAX(0,MIN($W11,DATOS!$C$23*2/4)-MAX($V11,DATOS!$C$23*1/4))*PRESIONES!$C$19+(PRESIONES!$E$34-ABERTURAS!$L$64)*MAX(0,MIN($W11,DATOS!$C$23*3/4)-MAX($V11,DATOS!$C$23*2/4))*PRESIONES!$C$20+(PRESIONES!$E$35-ABERTURAS!$L$64)*MAX(0,MIN($W11,DATOS!$C$23*4/4)-MAX($V11,DATOS!$C$23*3/4))*PRESIONES!$C$21))</f>
        <v>0.65923332527998069</v>
      </c>
      <c r="BE11" s="26">
        <f>IF($L11&lt;&gt;"OK",0,PRESIONES!$C$12*((PRESIONES!$H$32-ABERTURAS!$L$65)*MAX(0,MIN($W11,DATOS!$C$23*1/4)-MAX($V11,DATOS!$C$23*0/4))*PRESIONES!$C$18+(PRESIONES!$H$33-ABERTURAS!$L$65)*MAX(0,MIN($W11,DATOS!$C$23*2/4)-MAX($V11,DATOS!$C$23*1/4))*PRESIONES!$C$19+(PRESIONES!$H$34-ABERTURAS!$L$65)*MAX(0,MIN($W11,DATOS!$C$23*3/4)-MAX($V11,DATOS!$C$23*2/4))*PRESIONES!$C$20+(PRESIONES!$H$35-ABERTURAS!$L$65)*MAX(0,MIN($W11,DATOS!$C$23*4/4)-MAX($V11,DATOS!$C$23*3/4))*PRESIONES!$C$21))</f>
        <v>0.65923332527998069</v>
      </c>
      <c r="BF11" s="26">
        <f>IF($L11&lt;&gt;"OK",0,PRESIONES!$C$12*((PRESIONES!$K$32-ABERTURAS!$L$66)*MAX(0,MIN($W11,DATOS!$C$23*1/4)-MAX($V11,DATOS!$C$23*0/4))*PRESIONES!$C$18+(PRESIONES!$K$33-ABERTURAS!$L$66)*MAX(0,MIN($W11,DATOS!$C$23*2/4)-MAX($V11,DATOS!$C$23*1/4))*PRESIONES!$C$19+(PRESIONES!$K$34-ABERTURAS!$L$66)*MAX(0,MIN($W11,DATOS!$C$23*3/4)-MAX($V11,DATOS!$C$23*2/4))*PRESIONES!$C$20+(PRESIONES!$K$35-ABERTURAS!$L$66)*MAX(0,MIN($W11,DATOS!$C$23*4/4)-MAX($V11,DATOS!$C$23*3/4))*PRESIONES!$C$21))</f>
        <v>0.32961666263999034</v>
      </c>
      <c r="BG11" s="26">
        <f>IF($L11&lt;&gt;"OK",0,PRESIONES!$C$12*((PRESIONES!$N$32-ABERTURAS!$L$67)*MAX(0,MIN($W11,DATOS!$C$23*1/4)-MAX($V11,DATOS!$C$23*0/4))*PRESIONES!$C$18+(PRESIONES!$N$33-ABERTURAS!$L$67)*MAX(0,MIN($W11,DATOS!$C$23*2/4)-MAX($V11,DATOS!$C$23*1/4))*PRESIONES!$C$19+(PRESIONES!$N$34-ABERTURAS!$L$67)*MAX(0,MIN($W11,DATOS!$C$23*3/4)-MAX($V11,DATOS!$C$23*2/4))*PRESIONES!$C$20+(PRESIONES!$N$35-ABERTURAS!$L$67)*MAX(0,MIN($W11,DATOS!$C$23*4/4)-MAX($V11,DATOS!$C$23*3/4))*PRESIONES!$C$21))</f>
        <v>4.7794416082798596</v>
      </c>
    </row>
    <row r="12" spans="2:59" ht="16.5" customHeight="1" x14ac:dyDescent="0.3">
      <c r="B12" s="4" t="s">
        <v>403</v>
      </c>
      <c r="C12" s="15" t="s">
        <v>397</v>
      </c>
      <c r="D12" s="4" t="s">
        <v>404</v>
      </c>
      <c r="E12" s="15" t="s">
        <v>80</v>
      </c>
      <c r="F12" s="40">
        <v>0</v>
      </c>
      <c r="G12" s="40">
        <v>10.08</v>
      </c>
      <c r="H12" s="40">
        <v>3.375</v>
      </c>
      <c r="I12" s="40">
        <v>4.7249999999999996</v>
      </c>
      <c r="J12" s="40"/>
      <c r="K12" s="40"/>
      <c r="L12" s="18" t="str">
        <f>IF($D12="","",IF($C12&lt;&gt;"TECHO","PON TECHO",IF(OR($F12="",$G12="",$H12="",$I12=""),"FALTAN a o b",IF($M12&lt;=0,"a₂ DEBE SER &gt; a₁",IF($N12&lt;=0,"b₂ DEBE SER &gt; b₁",IF(OR($V12&lt;-0.001,$W12&gt;DATOS!$C$23+0.001),"SE SALE DEL TECHO","OK"))))))</f>
        <v>OK</v>
      </c>
      <c r="M12" s="26">
        <f t="shared" si="0"/>
        <v>10.08</v>
      </c>
      <c r="N12" s="26">
        <f t="shared" si="1"/>
        <v>1.3499999999999996</v>
      </c>
      <c r="O12" s="26">
        <f t="shared" si="2"/>
        <v>13.607999999999997</v>
      </c>
      <c r="P12" s="26">
        <v>0</v>
      </c>
      <c r="Q12" s="26">
        <v>0</v>
      </c>
      <c r="R12" s="26">
        <f t="shared" si="3"/>
        <v>13.607999999999997</v>
      </c>
      <c r="S12" s="26">
        <f t="shared" si="3"/>
        <v>13.607999999999997</v>
      </c>
      <c r="T12" s="41">
        <f>IF($D12="",0,DATOS!$C$21)</f>
        <v>10.62</v>
      </c>
      <c r="U12" s="41">
        <v>0</v>
      </c>
      <c r="V12" s="41">
        <f t="shared" si="4"/>
        <v>3.375</v>
      </c>
      <c r="W12" s="41">
        <f t="shared" si="5"/>
        <v>4.7249999999999996</v>
      </c>
      <c r="AB12" s="26">
        <f>IF($L12&lt;&gt;"OK",0,PRESIONES!$C$12*((PRESIONES!$D$32-ABERTURAS!$L$60)*MAX(0,MIN($W12,DATOS!$C$23*1/4)-MAX($V12,DATOS!$C$23*0/4))+(PRESIONES!$D$33-ABERTURAS!$L$60)*MAX(0,MIN($W12,DATOS!$C$23*2/4)-MAX($V12,DATOS!$C$23*1/4))+(PRESIONES!$D$34-ABERTURAS!$L$60)*MAX(0,MIN($W12,DATOS!$C$23*3/4)-MAX($V12,DATOS!$C$23*2/4))+(PRESIONES!$D$35-ABERTURAS!$L$60)*MAX(0,MIN($W12,DATOS!$C$23*4/4)-MAX($V12,DATOS!$C$23*3/4))))</f>
        <v>-13.184666505599628</v>
      </c>
      <c r="AC12" s="26">
        <f>IF($L12&lt;&gt;"OK",0,PRESIONES!$C$12*((PRESIONES!$G$32-ABERTURAS!$L$61)*MAX(0,MIN($W12,DATOS!$C$23*1/4)-MAX($V12,DATOS!$C$23*0/4))+(PRESIONES!$G$33-ABERTURAS!$L$61)*MAX(0,MIN($W12,DATOS!$C$23*2/4)-MAX($V12,DATOS!$C$23*1/4))+(PRESIONES!$G$34-ABERTURAS!$L$61)*MAX(0,MIN($W12,DATOS!$C$23*3/4)-MAX($V12,DATOS!$C$23*2/4))+(PRESIONES!$G$35-ABERTURAS!$L$61)*MAX(0,MIN($W12,DATOS!$C$23*4/4)-MAX($V12,DATOS!$C$23*3/4))))</f>
        <v>-13.184666505599628</v>
      </c>
      <c r="AD12" s="26">
        <f>IF($L12&lt;&gt;"OK",0,PRESIONES!$C$12*((PRESIONES!$J$32-ABERTURAS!$L$62)*MAX(0,MIN($W12,DATOS!$C$23*1/4)-MAX($V12,DATOS!$C$23*0/4))+(PRESIONES!$J$33-ABERTURAS!$L$62)*MAX(0,MIN($W12,DATOS!$C$23*2/4)-MAX($V12,DATOS!$C$23*1/4))+(PRESIONES!$J$34-ABERTURAS!$L$62)*MAX(0,MIN($W12,DATOS!$C$23*3/4)-MAX($V12,DATOS!$C$23*2/4))+(PRESIONES!$J$35-ABERTURAS!$L$62)*MAX(0,MIN($W12,DATOS!$C$23*4/4)-MAX($V12,DATOS!$C$23*3/4))))</f>
        <v>-6.592333252799814</v>
      </c>
      <c r="AE12" s="26">
        <f>IF($L12&lt;&gt;"OK",0,PRESIONES!$C$12*((PRESIONES!$M$32-ABERTURAS!$L$63)*MAX(0,MIN($W12,DATOS!$C$23*1/4)-MAX($V12,DATOS!$C$23*0/4))+(PRESIONES!$M$33-ABERTURAS!$L$63)*MAX(0,MIN($W12,DATOS!$C$23*2/4)-MAX($V12,DATOS!$C$23*1/4))+(PRESIONES!$M$34-ABERTURAS!$L$63)*MAX(0,MIN($W12,DATOS!$C$23*3/4)-MAX($V12,DATOS!$C$23*2/4))+(PRESIONES!$M$35-ABERTURAS!$L$63)*MAX(0,MIN($W12,DATOS!$C$23*4/4)-MAX($V12,DATOS!$C$23*3/4))))</f>
        <v>-95.588832165597296</v>
      </c>
      <c r="AF12" s="26">
        <f>IF($L12&lt;&gt;"OK",0,PRESIONES!$C$12*((PRESIONES!$D$32-ABERTURAS!$L$64)*MAX(0,MIN($W12,DATOS!$C$23*1/4)-MAX($V12,DATOS!$C$23*0/4))+(PRESIONES!$D$33-ABERTURAS!$L$64)*MAX(0,MIN($W12,DATOS!$C$23*2/4)-MAX($V12,DATOS!$C$23*1/4))+(PRESIONES!$D$34-ABERTURAS!$L$64)*MAX(0,MIN($W12,DATOS!$C$23*3/4)-MAX($V12,DATOS!$C$23*2/4))+(PRESIONES!$D$35-ABERTURAS!$L$64)*MAX(0,MIN($W12,DATOS!$C$23*4/4)-MAX($V12,DATOS!$C$23*3/4))))</f>
        <v>-13.184666505599628</v>
      </c>
      <c r="AG12" s="26">
        <f>IF($L12&lt;&gt;"OK",0,PRESIONES!$C$12*((PRESIONES!$G$32-ABERTURAS!$L$65)*MAX(0,MIN($W12,DATOS!$C$23*1/4)-MAX($V12,DATOS!$C$23*0/4))+(PRESIONES!$G$33-ABERTURAS!$L$65)*MAX(0,MIN($W12,DATOS!$C$23*2/4)-MAX($V12,DATOS!$C$23*1/4))+(PRESIONES!$G$34-ABERTURAS!$L$65)*MAX(0,MIN($W12,DATOS!$C$23*3/4)-MAX($V12,DATOS!$C$23*2/4))+(PRESIONES!$G$35-ABERTURAS!$L$65)*MAX(0,MIN($W12,DATOS!$C$23*4/4)-MAX($V12,DATOS!$C$23*3/4))))</f>
        <v>-13.184666505599628</v>
      </c>
      <c r="AH12" s="26">
        <f>IF($L12&lt;&gt;"OK",0,PRESIONES!$C$12*((PRESIONES!$J$32-ABERTURAS!$L$66)*MAX(0,MIN($W12,DATOS!$C$23*1/4)-MAX($V12,DATOS!$C$23*0/4))+(PRESIONES!$J$33-ABERTURAS!$L$66)*MAX(0,MIN($W12,DATOS!$C$23*2/4)-MAX($V12,DATOS!$C$23*1/4))+(PRESIONES!$J$34-ABERTURAS!$L$66)*MAX(0,MIN($W12,DATOS!$C$23*3/4)-MAX($V12,DATOS!$C$23*2/4))+(PRESIONES!$J$35-ABERTURAS!$L$66)*MAX(0,MIN($W12,DATOS!$C$23*4/4)-MAX($V12,DATOS!$C$23*3/4))))</f>
        <v>-6.592333252799814</v>
      </c>
      <c r="AI12" s="26">
        <f>IF($L12&lt;&gt;"OK",0,PRESIONES!$C$12*((PRESIONES!$M$32-ABERTURAS!$L$67)*MAX(0,MIN($W12,DATOS!$C$23*1/4)-MAX($V12,DATOS!$C$23*0/4))+(PRESIONES!$M$33-ABERTURAS!$L$67)*MAX(0,MIN($W12,DATOS!$C$23*2/4)-MAX($V12,DATOS!$C$23*1/4))+(PRESIONES!$M$34-ABERTURAS!$L$67)*MAX(0,MIN($W12,DATOS!$C$23*3/4)-MAX($V12,DATOS!$C$23*2/4))+(PRESIONES!$M$35-ABERTURAS!$L$67)*MAX(0,MIN($W12,DATOS!$C$23*4/4)-MAX($V12,DATOS!$C$23*3/4))))</f>
        <v>-95.588832165597296</v>
      </c>
      <c r="AJ12" s="26">
        <f>IF($L12&lt;&gt;"OK",0,PRESIONES!$C$12*((PRESIONES!$D$32-ABERTURAS!$L$60)*MAX(0,MIN($W12,DATOS!$C$23*1/4)-MAX($V12,DATOS!$C$23*0/4))*PRESIONES!$C$18+(PRESIONES!$D$33-ABERTURAS!$L$60)*MAX(0,MIN($W12,DATOS!$C$23*2/4)-MAX($V12,DATOS!$C$23*1/4))*PRESIONES!$C$19+(PRESIONES!$D$34-ABERTURAS!$L$60)*MAX(0,MIN($W12,DATOS!$C$23*3/4)-MAX($V12,DATOS!$C$23*2/4))*PRESIONES!$C$20+(PRESIONES!$D$35-ABERTURAS!$L$60)*MAX(0,MIN($W12,DATOS!$C$23*4/4)-MAX($V12,DATOS!$C$23*3/4))*PRESIONES!$C$21))</f>
        <v>0.65923332527998046</v>
      </c>
      <c r="AK12" s="26">
        <f>IF($L12&lt;&gt;"OK",0,PRESIONES!$C$12*((PRESIONES!$G$32-ABERTURAS!$L$61)*MAX(0,MIN($W12,DATOS!$C$23*1/4)-MAX($V12,DATOS!$C$23*0/4))*PRESIONES!$C$18+(PRESIONES!$G$33-ABERTURAS!$L$61)*MAX(0,MIN($W12,DATOS!$C$23*2/4)-MAX($V12,DATOS!$C$23*1/4))*PRESIONES!$C$19+(PRESIONES!$G$34-ABERTURAS!$L$61)*MAX(0,MIN($W12,DATOS!$C$23*3/4)-MAX($V12,DATOS!$C$23*2/4))*PRESIONES!$C$20+(PRESIONES!$G$35-ABERTURAS!$L$61)*MAX(0,MIN($W12,DATOS!$C$23*4/4)-MAX($V12,DATOS!$C$23*3/4))*PRESIONES!$C$21))</f>
        <v>0.65923332527998046</v>
      </c>
      <c r="AL12" s="26">
        <f>IF($L12&lt;&gt;"OK",0,PRESIONES!$C$12*((PRESIONES!$J$32-ABERTURAS!$L$62)*MAX(0,MIN($W12,DATOS!$C$23*1/4)-MAX($V12,DATOS!$C$23*0/4))*PRESIONES!$C$18+(PRESIONES!$J$33-ABERTURAS!$L$62)*MAX(0,MIN($W12,DATOS!$C$23*2/4)-MAX($V12,DATOS!$C$23*1/4))*PRESIONES!$C$19+(PRESIONES!$J$34-ABERTURAS!$L$62)*MAX(0,MIN($W12,DATOS!$C$23*3/4)-MAX($V12,DATOS!$C$23*2/4))*PRESIONES!$C$20+(PRESIONES!$J$35-ABERTURAS!$L$62)*MAX(0,MIN($W12,DATOS!$C$23*4/4)-MAX($V12,DATOS!$C$23*3/4))*PRESIONES!$C$21))</f>
        <v>0.32961666263999023</v>
      </c>
      <c r="AM12" s="26">
        <f>IF($L12&lt;&gt;"OK",0,PRESIONES!$C$12*((PRESIONES!$M$32-ABERTURAS!$L$63)*MAX(0,MIN($W12,DATOS!$C$23*1/4)-MAX($V12,DATOS!$C$23*0/4))*PRESIONES!$C$18+(PRESIONES!$M$33-ABERTURAS!$L$63)*MAX(0,MIN($W12,DATOS!$C$23*2/4)-MAX($V12,DATOS!$C$23*1/4))*PRESIONES!$C$19+(PRESIONES!$M$34-ABERTURAS!$L$63)*MAX(0,MIN($W12,DATOS!$C$23*3/4)-MAX($V12,DATOS!$C$23*2/4))*PRESIONES!$C$20+(PRESIONES!$M$35-ABERTURAS!$L$63)*MAX(0,MIN($W12,DATOS!$C$23*4/4)-MAX($V12,DATOS!$C$23*3/4))*PRESIONES!$C$21))</f>
        <v>4.7794416082798588</v>
      </c>
      <c r="AN12" s="26">
        <f>IF($L12&lt;&gt;"OK",0,PRESIONES!$C$12*((PRESIONES!$D$32-ABERTURAS!$L$64)*MAX(0,MIN($W12,DATOS!$C$23*1/4)-MAX($V12,DATOS!$C$23*0/4))*PRESIONES!$C$18+(PRESIONES!$D$33-ABERTURAS!$L$64)*MAX(0,MIN($W12,DATOS!$C$23*2/4)-MAX($V12,DATOS!$C$23*1/4))*PRESIONES!$C$19+(PRESIONES!$D$34-ABERTURAS!$L$64)*MAX(0,MIN($W12,DATOS!$C$23*3/4)-MAX($V12,DATOS!$C$23*2/4))*PRESIONES!$C$20+(PRESIONES!$D$35-ABERTURAS!$L$64)*MAX(0,MIN($W12,DATOS!$C$23*4/4)-MAX($V12,DATOS!$C$23*3/4))*PRESIONES!$C$21))</f>
        <v>0.65923332527998046</v>
      </c>
      <c r="AO12" s="26">
        <f>IF($L12&lt;&gt;"OK",0,PRESIONES!$C$12*((PRESIONES!$G$32-ABERTURAS!$L$65)*MAX(0,MIN($W12,DATOS!$C$23*1/4)-MAX($V12,DATOS!$C$23*0/4))*PRESIONES!$C$18+(PRESIONES!$G$33-ABERTURAS!$L$65)*MAX(0,MIN($W12,DATOS!$C$23*2/4)-MAX($V12,DATOS!$C$23*1/4))*PRESIONES!$C$19+(PRESIONES!$G$34-ABERTURAS!$L$65)*MAX(0,MIN($W12,DATOS!$C$23*3/4)-MAX($V12,DATOS!$C$23*2/4))*PRESIONES!$C$20+(PRESIONES!$G$35-ABERTURAS!$L$65)*MAX(0,MIN($W12,DATOS!$C$23*4/4)-MAX($V12,DATOS!$C$23*3/4))*PRESIONES!$C$21))</f>
        <v>0.65923332527998046</v>
      </c>
      <c r="AP12" s="26">
        <f>IF($L12&lt;&gt;"OK",0,PRESIONES!$C$12*((PRESIONES!$J$32-ABERTURAS!$L$66)*MAX(0,MIN($W12,DATOS!$C$23*1/4)-MAX($V12,DATOS!$C$23*0/4))*PRESIONES!$C$18+(PRESIONES!$J$33-ABERTURAS!$L$66)*MAX(0,MIN($W12,DATOS!$C$23*2/4)-MAX($V12,DATOS!$C$23*1/4))*PRESIONES!$C$19+(PRESIONES!$J$34-ABERTURAS!$L$66)*MAX(0,MIN($W12,DATOS!$C$23*3/4)-MAX($V12,DATOS!$C$23*2/4))*PRESIONES!$C$20+(PRESIONES!$J$35-ABERTURAS!$L$66)*MAX(0,MIN($W12,DATOS!$C$23*4/4)-MAX($V12,DATOS!$C$23*3/4))*PRESIONES!$C$21))</f>
        <v>0.32961666263999023</v>
      </c>
      <c r="AQ12" s="26">
        <f>IF($L12&lt;&gt;"OK",0,PRESIONES!$C$12*((PRESIONES!$M$32-ABERTURAS!$L$67)*MAX(0,MIN($W12,DATOS!$C$23*1/4)-MAX($V12,DATOS!$C$23*0/4))*PRESIONES!$C$18+(PRESIONES!$M$33-ABERTURAS!$L$67)*MAX(0,MIN($W12,DATOS!$C$23*2/4)-MAX($V12,DATOS!$C$23*1/4))*PRESIONES!$C$19+(PRESIONES!$M$34-ABERTURAS!$L$67)*MAX(0,MIN($W12,DATOS!$C$23*3/4)-MAX($V12,DATOS!$C$23*2/4))*PRESIONES!$C$20+(PRESIONES!$M$35-ABERTURAS!$L$67)*MAX(0,MIN($W12,DATOS!$C$23*4/4)-MAX($V12,DATOS!$C$23*3/4))*PRESIONES!$C$21))</f>
        <v>4.7794416082798588</v>
      </c>
      <c r="AR12" s="26">
        <f>IF($L12&lt;&gt;"OK",0,PRESIONES!$C$12*((PRESIONES!$E$32-ABERTURAS!$L$60)*MAX(0,MIN($W12,DATOS!$C$23*1/4)-MAX($V12,DATOS!$C$23*0/4))+(PRESIONES!$E$33-ABERTURAS!$L$60)*MAX(0,MIN($W12,DATOS!$C$23*2/4)-MAX($V12,DATOS!$C$23*1/4))+(PRESIONES!$E$34-ABERTURAS!$L$60)*MAX(0,MIN($W12,DATOS!$C$23*3/4)-MAX($V12,DATOS!$C$23*2/4))+(PRESIONES!$E$35-ABERTURAS!$L$60)*MAX(0,MIN($W12,DATOS!$C$23*4/4)-MAX($V12,DATOS!$C$23*3/4))))</f>
        <v>-13.184666505599628</v>
      </c>
      <c r="AS12" s="26">
        <f>IF($L12&lt;&gt;"OK",0,PRESIONES!$C$12*((PRESIONES!$H$32-ABERTURAS!$L$61)*MAX(0,MIN($W12,DATOS!$C$23*1/4)-MAX($V12,DATOS!$C$23*0/4))+(PRESIONES!$H$33-ABERTURAS!$L$61)*MAX(0,MIN($W12,DATOS!$C$23*2/4)-MAX($V12,DATOS!$C$23*1/4))+(PRESIONES!$H$34-ABERTURAS!$L$61)*MAX(0,MIN($W12,DATOS!$C$23*3/4)-MAX($V12,DATOS!$C$23*2/4))+(PRESIONES!$H$35-ABERTURAS!$L$61)*MAX(0,MIN($W12,DATOS!$C$23*4/4)-MAX($V12,DATOS!$C$23*3/4))))</f>
        <v>-13.184666505599628</v>
      </c>
      <c r="AT12" s="26">
        <f>IF($L12&lt;&gt;"OK",0,PRESIONES!$C$12*((PRESIONES!$K$32-ABERTURAS!$L$62)*MAX(0,MIN($W12,DATOS!$C$23*1/4)-MAX($V12,DATOS!$C$23*0/4))+(PRESIONES!$K$33-ABERTURAS!$L$62)*MAX(0,MIN($W12,DATOS!$C$23*2/4)-MAX($V12,DATOS!$C$23*1/4))+(PRESIONES!$K$34-ABERTURAS!$L$62)*MAX(0,MIN($W12,DATOS!$C$23*3/4)-MAX($V12,DATOS!$C$23*2/4))+(PRESIONES!$K$35-ABERTURAS!$L$62)*MAX(0,MIN($W12,DATOS!$C$23*4/4)-MAX($V12,DATOS!$C$23*3/4))))</f>
        <v>-6.592333252799814</v>
      </c>
      <c r="AU12" s="26">
        <f>IF($L12&lt;&gt;"OK",0,PRESIONES!$C$12*((PRESIONES!$N$32-ABERTURAS!$L$63)*MAX(0,MIN($W12,DATOS!$C$23*1/4)-MAX($V12,DATOS!$C$23*0/4))+(PRESIONES!$N$33-ABERTURAS!$L$63)*MAX(0,MIN($W12,DATOS!$C$23*2/4)-MAX($V12,DATOS!$C$23*1/4))+(PRESIONES!$N$34-ABERTURAS!$L$63)*MAX(0,MIN($W12,DATOS!$C$23*3/4)-MAX($V12,DATOS!$C$23*2/4))+(PRESIONES!$N$35-ABERTURAS!$L$63)*MAX(0,MIN($W12,DATOS!$C$23*4/4)-MAX($V12,DATOS!$C$23*3/4))))</f>
        <v>-95.588832165597296</v>
      </c>
      <c r="AV12" s="26">
        <f>IF($L12&lt;&gt;"OK",0,PRESIONES!$C$12*((PRESIONES!$E$32-ABERTURAS!$L$64)*MAX(0,MIN($W12,DATOS!$C$23*1/4)-MAX($V12,DATOS!$C$23*0/4))+(PRESIONES!$E$33-ABERTURAS!$L$64)*MAX(0,MIN($W12,DATOS!$C$23*2/4)-MAX($V12,DATOS!$C$23*1/4))+(PRESIONES!$E$34-ABERTURAS!$L$64)*MAX(0,MIN($W12,DATOS!$C$23*3/4)-MAX($V12,DATOS!$C$23*2/4))+(PRESIONES!$E$35-ABERTURAS!$L$64)*MAX(0,MIN($W12,DATOS!$C$23*4/4)-MAX($V12,DATOS!$C$23*3/4))))</f>
        <v>-13.184666505599628</v>
      </c>
      <c r="AW12" s="26">
        <f>IF($L12&lt;&gt;"OK",0,PRESIONES!$C$12*((PRESIONES!$H$32-ABERTURAS!$L$65)*MAX(0,MIN($W12,DATOS!$C$23*1/4)-MAX($V12,DATOS!$C$23*0/4))+(PRESIONES!$H$33-ABERTURAS!$L$65)*MAX(0,MIN($W12,DATOS!$C$23*2/4)-MAX($V12,DATOS!$C$23*1/4))+(PRESIONES!$H$34-ABERTURAS!$L$65)*MAX(0,MIN($W12,DATOS!$C$23*3/4)-MAX($V12,DATOS!$C$23*2/4))+(PRESIONES!$H$35-ABERTURAS!$L$65)*MAX(0,MIN($W12,DATOS!$C$23*4/4)-MAX($V12,DATOS!$C$23*3/4))))</f>
        <v>-13.184666505599628</v>
      </c>
      <c r="AX12" s="26">
        <f>IF($L12&lt;&gt;"OK",0,PRESIONES!$C$12*((PRESIONES!$K$32-ABERTURAS!$L$66)*MAX(0,MIN($W12,DATOS!$C$23*1/4)-MAX($V12,DATOS!$C$23*0/4))+(PRESIONES!$K$33-ABERTURAS!$L$66)*MAX(0,MIN($W12,DATOS!$C$23*2/4)-MAX($V12,DATOS!$C$23*1/4))+(PRESIONES!$K$34-ABERTURAS!$L$66)*MAX(0,MIN($W12,DATOS!$C$23*3/4)-MAX($V12,DATOS!$C$23*2/4))+(PRESIONES!$K$35-ABERTURAS!$L$66)*MAX(0,MIN($W12,DATOS!$C$23*4/4)-MAX($V12,DATOS!$C$23*3/4))))</f>
        <v>-6.592333252799814</v>
      </c>
      <c r="AY12" s="26">
        <f>IF($L12&lt;&gt;"OK",0,PRESIONES!$C$12*((PRESIONES!$N$32-ABERTURAS!$L$67)*MAX(0,MIN($W12,DATOS!$C$23*1/4)-MAX($V12,DATOS!$C$23*0/4))+(PRESIONES!$N$33-ABERTURAS!$L$67)*MAX(0,MIN($W12,DATOS!$C$23*2/4)-MAX($V12,DATOS!$C$23*1/4))+(PRESIONES!$N$34-ABERTURAS!$L$67)*MAX(0,MIN($W12,DATOS!$C$23*3/4)-MAX($V12,DATOS!$C$23*2/4))+(PRESIONES!$N$35-ABERTURAS!$L$67)*MAX(0,MIN($W12,DATOS!$C$23*4/4)-MAX($V12,DATOS!$C$23*3/4))))</f>
        <v>-95.588832165597296</v>
      </c>
      <c r="AZ12" s="26">
        <f>IF($L12&lt;&gt;"OK",0,PRESIONES!$C$12*((PRESIONES!$E$32-ABERTURAS!$L$60)*MAX(0,MIN($W12,DATOS!$C$23*1/4)-MAX($V12,DATOS!$C$23*0/4))*PRESIONES!$C$18+(PRESIONES!$E$33-ABERTURAS!$L$60)*MAX(0,MIN($W12,DATOS!$C$23*2/4)-MAX($V12,DATOS!$C$23*1/4))*PRESIONES!$C$19+(PRESIONES!$E$34-ABERTURAS!$L$60)*MAX(0,MIN($W12,DATOS!$C$23*3/4)-MAX($V12,DATOS!$C$23*2/4))*PRESIONES!$C$20+(PRESIONES!$E$35-ABERTURAS!$L$60)*MAX(0,MIN($W12,DATOS!$C$23*4/4)-MAX($V12,DATOS!$C$23*3/4))*PRESIONES!$C$21))</f>
        <v>0.65923332527998046</v>
      </c>
      <c r="BA12" s="26">
        <f>IF($L12&lt;&gt;"OK",0,PRESIONES!$C$12*((PRESIONES!$H$32-ABERTURAS!$L$61)*MAX(0,MIN($W12,DATOS!$C$23*1/4)-MAX($V12,DATOS!$C$23*0/4))*PRESIONES!$C$18+(PRESIONES!$H$33-ABERTURAS!$L$61)*MAX(0,MIN($W12,DATOS!$C$23*2/4)-MAX($V12,DATOS!$C$23*1/4))*PRESIONES!$C$19+(PRESIONES!$H$34-ABERTURAS!$L$61)*MAX(0,MIN($W12,DATOS!$C$23*3/4)-MAX($V12,DATOS!$C$23*2/4))*PRESIONES!$C$20+(PRESIONES!$H$35-ABERTURAS!$L$61)*MAX(0,MIN($W12,DATOS!$C$23*4/4)-MAX($V12,DATOS!$C$23*3/4))*PRESIONES!$C$21))</f>
        <v>0.65923332527998046</v>
      </c>
      <c r="BB12" s="26">
        <f>IF($L12&lt;&gt;"OK",0,PRESIONES!$C$12*((PRESIONES!$K$32-ABERTURAS!$L$62)*MAX(0,MIN($W12,DATOS!$C$23*1/4)-MAX($V12,DATOS!$C$23*0/4))*PRESIONES!$C$18+(PRESIONES!$K$33-ABERTURAS!$L$62)*MAX(0,MIN($W12,DATOS!$C$23*2/4)-MAX($V12,DATOS!$C$23*1/4))*PRESIONES!$C$19+(PRESIONES!$K$34-ABERTURAS!$L$62)*MAX(0,MIN($W12,DATOS!$C$23*3/4)-MAX($V12,DATOS!$C$23*2/4))*PRESIONES!$C$20+(PRESIONES!$K$35-ABERTURAS!$L$62)*MAX(0,MIN($W12,DATOS!$C$23*4/4)-MAX($V12,DATOS!$C$23*3/4))*PRESIONES!$C$21))</f>
        <v>0.32961666263999023</v>
      </c>
      <c r="BC12" s="26">
        <f>IF($L12&lt;&gt;"OK",0,PRESIONES!$C$12*((PRESIONES!$N$32-ABERTURAS!$L$63)*MAX(0,MIN($W12,DATOS!$C$23*1/4)-MAX($V12,DATOS!$C$23*0/4))*PRESIONES!$C$18+(PRESIONES!$N$33-ABERTURAS!$L$63)*MAX(0,MIN($W12,DATOS!$C$23*2/4)-MAX($V12,DATOS!$C$23*1/4))*PRESIONES!$C$19+(PRESIONES!$N$34-ABERTURAS!$L$63)*MAX(0,MIN($W12,DATOS!$C$23*3/4)-MAX($V12,DATOS!$C$23*2/4))*PRESIONES!$C$20+(PRESIONES!$N$35-ABERTURAS!$L$63)*MAX(0,MIN($W12,DATOS!$C$23*4/4)-MAX($V12,DATOS!$C$23*3/4))*PRESIONES!$C$21))</f>
        <v>4.7794416082798588</v>
      </c>
      <c r="BD12" s="26">
        <f>IF($L12&lt;&gt;"OK",0,PRESIONES!$C$12*((PRESIONES!$E$32-ABERTURAS!$L$64)*MAX(0,MIN($W12,DATOS!$C$23*1/4)-MAX($V12,DATOS!$C$23*0/4))*PRESIONES!$C$18+(PRESIONES!$E$33-ABERTURAS!$L$64)*MAX(0,MIN($W12,DATOS!$C$23*2/4)-MAX($V12,DATOS!$C$23*1/4))*PRESIONES!$C$19+(PRESIONES!$E$34-ABERTURAS!$L$64)*MAX(0,MIN($W12,DATOS!$C$23*3/4)-MAX($V12,DATOS!$C$23*2/4))*PRESIONES!$C$20+(PRESIONES!$E$35-ABERTURAS!$L$64)*MAX(0,MIN($W12,DATOS!$C$23*4/4)-MAX($V12,DATOS!$C$23*3/4))*PRESIONES!$C$21))</f>
        <v>0.65923332527998046</v>
      </c>
      <c r="BE12" s="26">
        <f>IF($L12&lt;&gt;"OK",0,PRESIONES!$C$12*((PRESIONES!$H$32-ABERTURAS!$L$65)*MAX(0,MIN($W12,DATOS!$C$23*1/4)-MAX($V12,DATOS!$C$23*0/4))*PRESIONES!$C$18+(PRESIONES!$H$33-ABERTURAS!$L$65)*MAX(0,MIN($W12,DATOS!$C$23*2/4)-MAX($V12,DATOS!$C$23*1/4))*PRESIONES!$C$19+(PRESIONES!$H$34-ABERTURAS!$L$65)*MAX(0,MIN($W12,DATOS!$C$23*3/4)-MAX($V12,DATOS!$C$23*2/4))*PRESIONES!$C$20+(PRESIONES!$H$35-ABERTURAS!$L$65)*MAX(0,MIN($W12,DATOS!$C$23*4/4)-MAX($V12,DATOS!$C$23*3/4))*PRESIONES!$C$21))</f>
        <v>0.65923332527998046</v>
      </c>
      <c r="BF12" s="26">
        <f>IF($L12&lt;&gt;"OK",0,PRESIONES!$C$12*((PRESIONES!$K$32-ABERTURAS!$L$66)*MAX(0,MIN($W12,DATOS!$C$23*1/4)-MAX($V12,DATOS!$C$23*0/4))*PRESIONES!$C$18+(PRESIONES!$K$33-ABERTURAS!$L$66)*MAX(0,MIN($W12,DATOS!$C$23*2/4)-MAX($V12,DATOS!$C$23*1/4))*PRESIONES!$C$19+(PRESIONES!$K$34-ABERTURAS!$L$66)*MAX(0,MIN($W12,DATOS!$C$23*3/4)-MAX($V12,DATOS!$C$23*2/4))*PRESIONES!$C$20+(PRESIONES!$K$35-ABERTURAS!$L$66)*MAX(0,MIN($W12,DATOS!$C$23*4/4)-MAX($V12,DATOS!$C$23*3/4))*PRESIONES!$C$21))</f>
        <v>0.32961666263999023</v>
      </c>
      <c r="BG12" s="26">
        <f>IF($L12&lt;&gt;"OK",0,PRESIONES!$C$12*((PRESIONES!$N$32-ABERTURAS!$L$67)*MAX(0,MIN($W12,DATOS!$C$23*1/4)-MAX($V12,DATOS!$C$23*0/4))*PRESIONES!$C$18+(PRESIONES!$N$33-ABERTURAS!$L$67)*MAX(0,MIN($W12,DATOS!$C$23*2/4)-MAX($V12,DATOS!$C$23*1/4))*PRESIONES!$C$19+(PRESIONES!$N$34-ABERTURAS!$L$67)*MAX(0,MIN($W12,DATOS!$C$23*3/4)-MAX($V12,DATOS!$C$23*2/4))*PRESIONES!$C$20+(PRESIONES!$N$35-ABERTURAS!$L$67)*MAX(0,MIN($W12,DATOS!$C$23*4/4)-MAX($V12,DATOS!$C$23*3/4))*PRESIONES!$C$21))</f>
        <v>4.7794416082798588</v>
      </c>
    </row>
    <row r="13" spans="2:59" ht="16.5" customHeight="1" x14ac:dyDescent="0.3">
      <c r="B13" s="4" t="s">
        <v>405</v>
      </c>
      <c r="C13" s="15" t="s">
        <v>397</v>
      </c>
      <c r="D13" s="4" t="s">
        <v>406</v>
      </c>
      <c r="E13" s="15" t="s">
        <v>80</v>
      </c>
      <c r="F13" s="40">
        <v>0</v>
      </c>
      <c r="G13" s="40">
        <v>10.08</v>
      </c>
      <c r="H13" s="40">
        <v>4.7249999999999996</v>
      </c>
      <c r="I13" s="40">
        <v>6.0750000000000002</v>
      </c>
      <c r="J13" s="40"/>
      <c r="K13" s="40"/>
      <c r="L13" s="18" t="str">
        <f>IF($D13="","",IF($C13&lt;&gt;"TECHO","PON TECHO",IF(OR($F13="",$G13="",$H13="",$I13=""),"FALTAN a o b",IF($M13&lt;=0,"a₂ DEBE SER &gt; a₁",IF($N13&lt;=0,"b₂ DEBE SER &gt; b₁",IF(OR($V13&lt;-0.001,$W13&gt;DATOS!$C$23+0.001),"SE SALE DEL TECHO","OK"))))))</f>
        <v>OK</v>
      </c>
      <c r="M13" s="26">
        <f t="shared" si="0"/>
        <v>10.08</v>
      </c>
      <c r="N13" s="26">
        <f t="shared" si="1"/>
        <v>1.3500000000000005</v>
      </c>
      <c r="O13" s="26">
        <f t="shared" si="2"/>
        <v>13.608000000000006</v>
      </c>
      <c r="P13" s="26">
        <v>0</v>
      </c>
      <c r="Q13" s="26">
        <v>0</v>
      </c>
      <c r="R13" s="26">
        <f t="shared" si="3"/>
        <v>13.608000000000006</v>
      </c>
      <c r="S13" s="26">
        <f t="shared" si="3"/>
        <v>13.608000000000006</v>
      </c>
      <c r="T13" s="41">
        <f>IF($D13="",0,DATOS!$C$21)</f>
        <v>10.62</v>
      </c>
      <c r="U13" s="41">
        <v>0</v>
      </c>
      <c r="V13" s="41">
        <f t="shared" si="4"/>
        <v>4.7249999999999996</v>
      </c>
      <c r="W13" s="41">
        <f t="shared" si="5"/>
        <v>6.0750000000000002</v>
      </c>
      <c r="AB13" s="26">
        <f>IF($L13&lt;&gt;"OK",0,PRESIONES!$C$12*((PRESIONES!$D$32-ABERTURAS!$L$60)*MAX(0,MIN($W13,DATOS!$C$23*1/4)-MAX($V13,DATOS!$C$23*0/4))+(PRESIONES!$D$33-ABERTURAS!$L$60)*MAX(0,MIN($W13,DATOS!$C$23*2/4)-MAX($V13,DATOS!$C$23*1/4))+(PRESIONES!$D$34-ABERTURAS!$L$60)*MAX(0,MIN($W13,DATOS!$C$23*3/4)-MAX($V13,DATOS!$C$23*2/4))+(PRESIONES!$D$35-ABERTURAS!$L$60)*MAX(0,MIN($W13,DATOS!$C$23*4/4)-MAX($V13,DATOS!$C$23*3/4))))</f>
        <v>-13.184666505599635</v>
      </c>
      <c r="AC13" s="26">
        <f>IF($L13&lt;&gt;"OK",0,PRESIONES!$C$12*((PRESIONES!$G$32-ABERTURAS!$L$61)*MAX(0,MIN($W13,DATOS!$C$23*1/4)-MAX($V13,DATOS!$C$23*0/4))+(PRESIONES!$G$33-ABERTURAS!$L$61)*MAX(0,MIN($W13,DATOS!$C$23*2/4)-MAX($V13,DATOS!$C$23*1/4))+(PRESIONES!$G$34-ABERTURAS!$L$61)*MAX(0,MIN($W13,DATOS!$C$23*3/4)-MAX($V13,DATOS!$C$23*2/4))+(PRESIONES!$G$35-ABERTURAS!$L$61)*MAX(0,MIN($W13,DATOS!$C$23*4/4)-MAX($V13,DATOS!$C$23*3/4))))</f>
        <v>-13.184666505599635</v>
      </c>
      <c r="AD13" s="26">
        <f>IF($L13&lt;&gt;"OK",0,PRESIONES!$C$12*((PRESIONES!$J$32-ABERTURAS!$L$62)*MAX(0,MIN($W13,DATOS!$C$23*1/4)-MAX($V13,DATOS!$C$23*0/4))+(PRESIONES!$J$33-ABERTURAS!$L$62)*MAX(0,MIN($W13,DATOS!$C$23*2/4)-MAX($V13,DATOS!$C$23*1/4))+(PRESIONES!$J$34-ABERTURAS!$L$62)*MAX(0,MIN($W13,DATOS!$C$23*3/4)-MAX($V13,DATOS!$C$23*2/4))+(PRESIONES!$J$35-ABERTURAS!$L$62)*MAX(0,MIN($W13,DATOS!$C$23*4/4)-MAX($V13,DATOS!$C$23*3/4))))</f>
        <v>-6.5923332527998175</v>
      </c>
      <c r="AE13" s="26">
        <f>IF($L13&lt;&gt;"OK",0,PRESIONES!$C$12*((PRESIONES!$M$32-ABERTURAS!$L$63)*MAX(0,MIN($W13,DATOS!$C$23*1/4)-MAX($V13,DATOS!$C$23*0/4))+(PRESIONES!$M$33-ABERTURAS!$L$63)*MAX(0,MIN($W13,DATOS!$C$23*2/4)-MAX($V13,DATOS!$C$23*1/4))+(PRESIONES!$M$34-ABERTURAS!$L$63)*MAX(0,MIN($W13,DATOS!$C$23*3/4)-MAX($V13,DATOS!$C$23*2/4))+(PRESIONES!$M$35-ABERTURAS!$L$63)*MAX(0,MIN($W13,DATOS!$C$23*4/4)-MAX($V13,DATOS!$C$23*3/4))))</f>
        <v>-95.588832165597367</v>
      </c>
      <c r="AF13" s="26">
        <f>IF($L13&lt;&gt;"OK",0,PRESIONES!$C$12*((PRESIONES!$D$32-ABERTURAS!$L$64)*MAX(0,MIN($W13,DATOS!$C$23*1/4)-MAX($V13,DATOS!$C$23*0/4))+(PRESIONES!$D$33-ABERTURAS!$L$64)*MAX(0,MIN($W13,DATOS!$C$23*2/4)-MAX($V13,DATOS!$C$23*1/4))+(PRESIONES!$D$34-ABERTURAS!$L$64)*MAX(0,MIN($W13,DATOS!$C$23*3/4)-MAX($V13,DATOS!$C$23*2/4))+(PRESIONES!$D$35-ABERTURAS!$L$64)*MAX(0,MIN($W13,DATOS!$C$23*4/4)-MAX($V13,DATOS!$C$23*3/4))))</f>
        <v>-13.184666505599635</v>
      </c>
      <c r="AG13" s="26">
        <f>IF($L13&lt;&gt;"OK",0,PRESIONES!$C$12*((PRESIONES!$G$32-ABERTURAS!$L$65)*MAX(0,MIN($W13,DATOS!$C$23*1/4)-MAX($V13,DATOS!$C$23*0/4))+(PRESIONES!$G$33-ABERTURAS!$L$65)*MAX(0,MIN($W13,DATOS!$C$23*2/4)-MAX($V13,DATOS!$C$23*1/4))+(PRESIONES!$G$34-ABERTURAS!$L$65)*MAX(0,MIN($W13,DATOS!$C$23*3/4)-MAX($V13,DATOS!$C$23*2/4))+(PRESIONES!$G$35-ABERTURAS!$L$65)*MAX(0,MIN($W13,DATOS!$C$23*4/4)-MAX($V13,DATOS!$C$23*3/4))))</f>
        <v>-13.184666505599635</v>
      </c>
      <c r="AH13" s="26">
        <f>IF($L13&lt;&gt;"OK",0,PRESIONES!$C$12*((PRESIONES!$J$32-ABERTURAS!$L$66)*MAX(0,MIN($W13,DATOS!$C$23*1/4)-MAX($V13,DATOS!$C$23*0/4))+(PRESIONES!$J$33-ABERTURAS!$L$66)*MAX(0,MIN($W13,DATOS!$C$23*2/4)-MAX($V13,DATOS!$C$23*1/4))+(PRESIONES!$J$34-ABERTURAS!$L$66)*MAX(0,MIN($W13,DATOS!$C$23*3/4)-MAX($V13,DATOS!$C$23*2/4))+(PRESIONES!$J$35-ABERTURAS!$L$66)*MAX(0,MIN($W13,DATOS!$C$23*4/4)-MAX($V13,DATOS!$C$23*3/4))))</f>
        <v>-6.5923332527998175</v>
      </c>
      <c r="AI13" s="26">
        <f>IF($L13&lt;&gt;"OK",0,PRESIONES!$C$12*((PRESIONES!$M$32-ABERTURAS!$L$67)*MAX(0,MIN($W13,DATOS!$C$23*1/4)-MAX($V13,DATOS!$C$23*0/4))+(PRESIONES!$M$33-ABERTURAS!$L$67)*MAX(0,MIN($W13,DATOS!$C$23*2/4)-MAX($V13,DATOS!$C$23*1/4))+(PRESIONES!$M$34-ABERTURAS!$L$67)*MAX(0,MIN($W13,DATOS!$C$23*3/4)-MAX($V13,DATOS!$C$23*2/4))+(PRESIONES!$M$35-ABERTURAS!$L$67)*MAX(0,MIN($W13,DATOS!$C$23*4/4)-MAX($V13,DATOS!$C$23*3/4))))</f>
        <v>-95.588832165597367</v>
      </c>
      <c r="AJ13" s="26">
        <f>IF($L13&lt;&gt;"OK",0,PRESIONES!$C$12*((PRESIONES!$D$32-ABERTURAS!$L$60)*MAX(0,MIN($W13,DATOS!$C$23*1/4)-MAX($V13,DATOS!$C$23*0/4))*PRESIONES!$C$18+(PRESIONES!$D$33-ABERTURAS!$L$60)*MAX(0,MIN($W13,DATOS!$C$23*2/4)-MAX($V13,DATOS!$C$23*1/4))*PRESIONES!$C$19+(PRESIONES!$D$34-ABERTURAS!$L$60)*MAX(0,MIN($W13,DATOS!$C$23*3/4)-MAX($V13,DATOS!$C$23*2/4))*PRESIONES!$C$20+(PRESIONES!$D$35-ABERTURAS!$L$60)*MAX(0,MIN($W13,DATOS!$C$23*4/4)-MAX($V13,DATOS!$C$23*3/4))*PRESIONES!$C$21))</f>
        <v>0.65923332527998091</v>
      </c>
      <c r="AK13" s="26">
        <f>IF($L13&lt;&gt;"OK",0,PRESIONES!$C$12*((PRESIONES!$G$32-ABERTURAS!$L$61)*MAX(0,MIN($W13,DATOS!$C$23*1/4)-MAX($V13,DATOS!$C$23*0/4))*PRESIONES!$C$18+(PRESIONES!$G$33-ABERTURAS!$L$61)*MAX(0,MIN($W13,DATOS!$C$23*2/4)-MAX($V13,DATOS!$C$23*1/4))*PRESIONES!$C$19+(PRESIONES!$G$34-ABERTURAS!$L$61)*MAX(0,MIN($W13,DATOS!$C$23*3/4)-MAX($V13,DATOS!$C$23*2/4))*PRESIONES!$C$20+(PRESIONES!$G$35-ABERTURAS!$L$61)*MAX(0,MIN($W13,DATOS!$C$23*4/4)-MAX($V13,DATOS!$C$23*3/4))*PRESIONES!$C$21))</f>
        <v>0.65923332527998091</v>
      </c>
      <c r="AL13" s="26">
        <f>IF($L13&lt;&gt;"OK",0,PRESIONES!$C$12*((PRESIONES!$J$32-ABERTURAS!$L$62)*MAX(0,MIN($W13,DATOS!$C$23*1/4)-MAX($V13,DATOS!$C$23*0/4))*PRESIONES!$C$18+(PRESIONES!$J$33-ABERTURAS!$L$62)*MAX(0,MIN($W13,DATOS!$C$23*2/4)-MAX($V13,DATOS!$C$23*1/4))*PRESIONES!$C$19+(PRESIONES!$J$34-ABERTURAS!$L$62)*MAX(0,MIN($W13,DATOS!$C$23*3/4)-MAX($V13,DATOS!$C$23*2/4))*PRESIONES!$C$20+(PRESIONES!$J$35-ABERTURAS!$L$62)*MAX(0,MIN($W13,DATOS!$C$23*4/4)-MAX($V13,DATOS!$C$23*3/4))*PRESIONES!$C$21))</f>
        <v>0.32961666263999045</v>
      </c>
      <c r="AM13" s="26">
        <f>IF($L13&lt;&gt;"OK",0,PRESIONES!$C$12*((PRESIONES!$M$32-ABERTURAS!$L$63)*MAX(0,MIN($W13,DATOS!$C$23*1/4)-MAX($V13,DATOS!$C$23*0/4))*PRESIONES!$C$18+(PRESIONES!$M$33-ABERTURAS!$L$63)*MAX(0,MIN($W13,DATOS!$C$23*2/4)-MAX($V13,DATOS!$C$23*1/4))*PRESIONES!$C$19+(PRESIONES!$M$34-ABERTURAS!$L$63)*MAX(0,MIN($W13,DATOS!$C$23*3/4)-MAX($V13,DATOS!$C$23*2/4))*PRESIONES!$C$20+(PRESIONES!$M$35-ABERTURAS!$L$63)*MAX(0,MIN($W13,DATOS!$C$23*4/4)-MAX($V13,DATOS!$C$23*3/4))*PRESIONES!$C$21))</f>
        <v>4.7794416082798623</v>
      </c>
      <c r="AN13" s="26">
        <f>IF($L13&lt;&gt;"OK",0,PRESIONES!$C$12*((PRESIONES!$D$32-ABERTURAS!$L$64)*MAX(0,MIN($W13,DATOS!$C$23*1/4)-MAX($V13,DATOS!$C$23*0/4))*PRESIONES!$C$18+(PRESIONES!$D$33-ABERTURAS!$L$64)*MAX(0,MIN($W13,DATOS!$C$23*2/4)-MAX($V13,DATOS!$C$23*1/4))*PRESIONES!$C$19+(PRESIONES!$D$34-ABERTURAS!$L$64)*MAX(0,MIN($W13,DATOS!$C$23*3/4)-MAX($V13,DATOS!$C$23*2/4))*PRESIONES!$C$20+(PRESIONES!$D$35-ABERTURAS!$L$64)*MAX(0,MIN($W13,DATOS!$C$23*4/4)-MAX($V13,DATOS!$C$23*3/4))*PRESIONES!$C$21))</f>
        <v>0.65923332527998091</v>
      </c>
      <c r="AO13" s="26">
        <f>IF($L13&lt;&gt;"OK",0,PRESIONES!$C$12*((PRESIONES!$G$32-ABERTURAS!$L$65)*MAX(0,MIN($W13,DATOS!$C$23*1/4)-MAX($V13,DATOS!$C$23*0/4))*PRESIONES!$C$18+(PRESIONES!$G$33-ABERTURAS!$L$65)*MAX(0,MIN($W13,DATOS!$C$23*2/4)-MAX($V13,DATOS!$C$23*1/4))*PRESIONES!$C$19+(PRESIONES!$G$34-ABERTURAS!$L$65)*MAX(0,MIN($W13,DATOS!$C$23*3/4)-MAX($V13,DATOS!$C$23*2/4))*PRESIONES!$C$20+(PRESIONES!$G$35-ABERTURAS!$L$65)*MAX(0,MIN($W13,DATOS!$C$23*4/4)-MAX($V13,DATOS!$C$23*3/4))*PRESIONES!$C$21))</f>
        <v>0.65923332527998091</v>
      </c>
      <c r="AP13" s="26">
        <f>IF($L13&lt;&gt;"OK",0,PRESIONES!$C$12*((PRESIONES!$J$32-ABERTURAS!$L$66)*MAX(0,MIN($W13,DATOS!$C$23*1/4)-MAX($V13,DATOS!$C$23*0/4))*PRESIONES!$C$18+(PRESIONES!$J$33-ABERTURAS!$L$66)*MAX(0,MIN($W13,DATOS!$C$23*2/4)-MAX($V13,DATOS!$C$23*1/4))*PRESIONES!$C$19+(PRESIONES!$J$34-ABERTURAS!$L$66)*MAX(0,MIN($W13,DATOS!$C$23*3/4)-MAX($V13,DATOS!$C$23*2/4))*PRESIONES!$C$20+(PRESIONES!$J$35-ABERTURAS!$L$66)*MAX(0,MIN($W13,DATOS!$C$23*4/4)-MAX($V13,DATOS!$C$23*3/4))*PRESIONES!$C$21))</f>
        <v>0.32961666263999045</v>
      </c>
      <c r="AQ13" s="26">
        <f>IF($L13&lt;&gt;"OK",0,PRESIONES!$C$12*((PRESIONES!$M$32-ABERTURAS!$L$67)*MAX(0,MIN($W13,DATOS!$C$23*1/4)-MAX($V13,DATOS!$C$23*0/4))*PRESIONES!$C$18+(PRESIONES!$M$33-ABERTURAS!$L$67)*MAX(0,MIN($W13,DATOS!$C$23*2/4)-MAX($V13,DATOS!$C$23*1/4))*PRESIONES!$C$19+(PRESIONES!$M$34-ABERTURAS!$L$67)*MAX(0,MIN($W13,DATOS!$C$23*3/4)-MAX($V13,DATOS!$C$23*2/4))*PRESIONES!$C$20+(PRESIONES!$M$35-ABERTURAS!$L$67)*MAX(0,MIN($W13,DATOS!$C$23*4/4)-MAX($V13,DATOS!$C$23*3/4))*PRESIONES!$C$21))</f>
        <v>4.7794416082798623</v>
      </c>
      <c r="AR13" s="26">
        <f>IF($L13&lt;&gt;"OK",0,PRESIONES!$C$12*((PRESIONES!$E$32-ABERTURAS!$L$60)*MAX(0,MIN($W13,DATOS!$C$23*1/4)-MAX($V13,DATOS!$C$23*0/4))+(PRESIONES!$E$33-ABERTURAS!$L$60)*MAX(0,MIN($W13,DATOS!$C$23*2/4)-MAX($V13,DATOS!$C$23*1/4))+(PRESIONES!$E$34-ABERTURAS!$L$60)*MAX(0,MIN($W13,DATOS!$C$23*3/4)-MAX($V13,DATOS!$C$23*2/4))+(PRESIONES!$E$35-ABERTURAS!$L$60)*MAX(0,MIN($W13,DATOS!$C$23*4/4)-MAX($V13,DATOS!$C$23*3/4))))</f>
        <v>-13.184666505599635</v>
      </c>
      <c r="AS13" s="26">
        <f>IF($L13&lt;&gt;"OK",0,PRESIONES!$C$12*((PRESIONES!$H$32-ABERTURAS!$L$61)*MAX(0,MIN($W13,DATOS!$C$23*1/4)-MAX($V13,DATOS!$C$23*0/4))+(PRESIONES!$H$33-ABERTURAS!$L$61)*MAX(0,MIN($W13,DATOS!$C$23*2/4)-MAX($V13,DATOS!$C$23*1/4))+(PRESIONES!$H$34-ABERTURAS!$L$61)*MAX(0,MIN($W13,DATOS!$C$23*3/4)-MAX($V13,DATOS!$C$23*2/4))+(PRESIONES!$H$35-ABERTURAS!$L$61)*MAX(0,MIN($W13,DATOS!$C$23*4/4)-MAX($V13,DATOS!$C$23*3/4))))</f>
        <v>-13.184666505599635</v>
      </c>
      <c r="AT13" s="26">
        <f>IF($L13&lt;&gt;"OK",0,PRESIONES!$C$12*((PRESIONES!$K$32-ABERTURAS!$L$62)*MAX(0,MIN($W13,DATOS!$C$23*1/4)-MAX($V13,DATOS!$C$23*0/4))+(PRESIONES!$K$33-ABERTURAS!$L$62)*MAX(0,MIN($W13,DATOS!$C$23*2/4)-MAX($V13,DATOS!$C$23*1/4))+(PRESIONES!$K$34-ABERTURAS!$L$62)*MAX(0,MIN($W13,DATOS!$C$23*3/4)-MAX($V13,DATOS!$C$23*2/4))+(PRESIONES!$K$35-ABERTURAS!$L$62)*MAX(0,MIN($W13,DATOS!$C$23*4/4)-MAX($V13,DATOS!$C$23*3/4))))</f>
        <v>-6.5923332527998175</v>
      </c>
      <c r="AU13" s="26">
        <f>IF($L13&lt;&gt;"OK",0,PRESIONES!$C$12*((PRESIONES!$N$32-ABERTURAS!$L$63)*MAX(0,MIN($W13,DATOS!$C$23*1/4)-MAX($V13,DATOS!$C$23*0/4))+(PRESIONES!$N$33-ABERTURAS!$L$63)*MAX(0,MIN($W13,DATOS!$C$23*2/4)-MAX($V13,DATOS!$C$23*1/4))+(PRESIONES!$N$34-ABERTURAS!$L$63)*MAX(0,MIN($W13,DATOS!$C$23*3/4)-MAX($V13,DATOS!$C$23*2/4))+(PRESIONES!$N$35-ABERTURAS!$L$63)*MAX(0,MIN($W13,DATOS!$C$23*4/4)-MAX($V13,DATOS!$C$23*3/4))))</f>
        <v>-95.588832165597367</v>
      </c>
      <c r="AV13" s="26">
        <f>IF($L13&lt;&gt;"OK",0,PRESIONES!$C$12*((PRESIONES!$E$32-ABERTURAS!$L$64)*MAX(0,MIN($W13,DATOS!$C$23*1/4)-MAX($V13,DATOS!$C$23*0/4))+(PRESIONES!$E$33-ABERTURAS!$L$64)*MAX(0,MIN($W13,DATOS!$C$23*2/4)-MAX($V13,DATOS!$C$23*1/4))+(PRESIONES!$E$34-ABERTURAS!$L$64)*MAX(0,MIN($W13,DATOS!$C$23*3/4)-MAX($V13,DATOS!$C$23*2/4))+(PRESIONES!$E$35-ABERTURAS!$L$64)*MAX(0,MIN($W13,DATOS!$C$23*4/4)-MAX($V13,DATOS!$C$23*3/4))))</f>
        <v>-13.184666505599635</v>
      </c>
      <c r="AW13" s="26">
        <f>IF($L13&lt;&gt;"OK",0,PRESIONES!$C$12*((PRESIONES!$H$32-ABERTURAS!$L$65)*MAX(0,MIN($W13,DATOS!$C$23*1/4)-MAX($V13,DATOS!$C$23*0/4))+(PRESIONES!$H$33-ABERTURAS!$L$65)*MAX(0,MIN($W13,DATOS!$C$23*2/4)-MAX($V13,DATOS!$C$23*1/4))+(PRESIONES!$H$34-ABERTURAS!$L$65)*MAX(0,MIN($W13,DATOS!$C$23*3/4)-MAX($V13,DATOS!$C$23*2/4))+(PRESIONES!$H$35-ABERTURAS!$L$65)*MAX(0,MIN($W13,DATOS!$C$23*4/4)-MAX($V13,DATOS!$C$23*3/4))))</f>
        <v>-13.184666505599635</v>
      </c>
      <c r="AX13" s="26">
        <f>IF($L13&lt;&gt;"OK",0,PRESIONES!$C$12*((PRESIONES!$K$32-ABERTURAS!$L$66)*MAX(0,MIN($W13,DATOS!$C$23*1/4)-MAX($V13,DATOS!$C$23*0/4))+(PRESIONES!$K$33-ABERTURAS!$L$66)*MAX(0,MIN($W13,DATOS!$C$23*2/4)-MAX($V13,DATOS!$C$23*1/4))+(PRESIONES!$K$34-ABERTURAS!$L$66)*MAX(0,MIN($W13,DATOS!$C$23*3/4)-MAX($V13,DATOS!$C$23*2/4))+(PRESIONES!$K$35-ABERTURAS!$L$66)*MAX(0,MIN($W13,DATOS!$C$23*4/4)-MAX($V13,DATOS!$C$23*3/4))))</f>
        <v>-6.5923332527998175</v>
      </c>
      <c r="AY13" s="26">
        <f>IF($L13&lt;&gt;"OK",0,PRESIONES!$C$12*((PRESIONES!$N$32-ABERTURAS!$L$67)*MAX(0,MIN($W13,DATOS!$C$23*1/4)-MAX($V13,DATOS!$C$23*0/4))+(PRESIONES!$N$33-ABERTURAS!$L$67)*MAX(0,MIN($W13,DATOS!$C$23*2/4)-MAX($V13,DATOS!$C$23*1/4))+(PRESIONES!$N$34-ABERTURAS!$L$67)*MAX(0,MIN($W13,DATOS!$C$23*3/4)-MAX($V13,DATOS!$C$23*2/4))+(PRESIONES!$N$35-ABERTURAS!$L$67)*MAX(0,MIN($W13,DATOS!$C$23*4/4)-MAX($V13,DATOS!$C$23*3/4))))</f>
        <v>-95.588832165597367</v>
      </c>
      <c r="AZ13" s="26">
        <f>IF($L13&lt;&gt;"OK",0,PRESIONES!$C$12*((PRESIONES!$E$32-ABERTURAS!$L$60)*MAX(0,MIN($W13,DATOS!$C$23*1/4)-MAX($V13,DATOS!$C$23*0/4))*PRESIONES!$C$18+(PRESIONES!$E$33-ABERTURAS!$L$60)*MAX(0,MIN($W13,DATOS!$C$23*2/4)-MAX($V13,DATOS!$C$23*1/4))*PRESIONES!$C$19+(PRESIONES!$E$34-ABERTURAS!$L$60)*MAX(0,MIN($W13,DATOS!$C$23*3/4)-MAX($V13,DATOS!$C$23*2/4))*PRESIONES!$C$20+(PRESIONES!$E$35-ABERTURAS!$L$60)*MAX(0,MIN($W13,DATOS!$C$23*4/4)-MAX($V13,DATOS!$C$23*3/4))*PRESIONES!$C$21))</f>
        <v>0.65923332527998091</v>
      </c>
      <c r="BA13" s="26">
        <f>IF($L13&lt;&gt;"OK",0,PRESIONES!$C$12*((PRESIONES!$H$32-ABERTURAS!$L$61)*MAX(0,MIN($W13,DATOS!$C$23*1/4)-MAX($V13,DATOS!$C$23*0/4))*PRESIONES!$C$18+(PRESIONES!$H$33-ABERTURAS!$L$61)*MAX(0,MIN($W13,DATOS!$C$23*2/4)-MAX($V13,DATOS!$C$23*1/4))*PRESIONES!$C$19+(PRESIONES!$H$34-ABERTURAS!$L$61)*MAX(0,MIN($W13,DATOS!$C$23*3/4)-MAX($V13,DATOS!$C$23*2/4))*PRESIONES!$C$20+(PRESIONES!$H$35-ABERTURAS!$L$61)*MAX(0,MIN($W13,DATOS!$C$23*4/4)-MAX($V13,DATOS!$C$23*3/4))*PRESIONES!$C$21))</f>
        <v>0.65923332527998091</v>
      </c>
      <c r="BB13" s="26">
        <f>IF($L13&lt;&gt;"OK",0,PRESIONES!$C$12*((PRESIONES!$K$32-ABERTURAS!$L$62)*MAX(0,MIN($W13,DATOS!$C$23*1/4)-MAX($V13,DATOS!$C$23*0/4))*PRESIONES!$C$18+(PRESIONES!$K$33-ABERTURAS!$L$62)*MAX(0,MIN($W13,DATOS!$C$23*2/4)-MAX($V13,DATOS!$C$23*1/4))*PRESIONES!$C$19+(PRESIONES!$K$34-ABERTURAS!$L$62)*MAX(0,MIN($W13,DATOS!$C$23*3/4)-MAX($V13,DATOS!$C$23*2/4))*PRESIONES!$C$20+(PRESIONES!$K$35-ABERTURAS!$L$62)*MAX(0,MIN($W13,DATOS!$C$23*4/4)-MAX($V13,DATOS!$C$23*3/4))*PRESIONES!$C$21))</f>
        <v>0.32961666263999045</v>
      </c>
      <c r="BC13" s="26">
        <f>IF($L13&lt;&gt;"OK",0,PRESIONES!$C$12*((PRESIONES!$N$32-ABERTURAS!$L$63)*MAX(0,MIN($W13,DATOS!$C$23*1/4)-MAX($V13,DATOS!$C$23*0/4))*PRESIONES!$C$18+(PRESIONES!$N$33-ABERTURAS!$L$63)*MAX(0,MIN($W13,DATOS!$C$23*2/4)-MAX($V13,DATOS!$C$23*1/4))*PRESIONES!$C$19+(PRESIONES!$N$34-ABERTURAS!$L$63)*MAX(0,MIN($W13,DATOS!$C$23*3/4)-MAX($V13,DATOS!$C$23*2/4))*PRESIONES!$C$20+(PRESIONES!$N$35-ABERTURAS!$L$63)*MAX(0,MIN($W13,DATOS!$C$23*4/4)-MAX($V13,DATOS!$C$23*3/4))*PRESIONES!$C$21))</f>
        <v>4.7794416082798623</v>
      </c>
      <c r="BD13" s="26">
        <f>IF($L13&lt;&gt;"OK",0,PRESIONES!$C$12*((PRESIONES!$E$32-ABERTURAS!$L$64)*MAX(0,MIN($W13,DATOS!$C$23*1/4)-MAX($V13,DATOS!$C$23*0/4))*PRESIONES!$C$18+(PRESIONES!$E$33-ABERTURAS!$L$64)*MAX(0,MIN($W13,DATOS!$C$23*2/4)-MAX($V13,DATOS!$C$23*1/4))*PRESIONES!$C$19+(PRESIONES!$E$34-ABERTURAS!$L$64)*MAX(0,MIN($W13,DATOS!$C$23*3/4)-MAX($V13,DATOS!$C$23*2/4))*PRESIONES!$C$20+(PRESIONES!$E$35-ABERTURAS!$L$64)*MAX(0,MIN($W13,DATOS!$C$23*4/4)-MAX($V13,DATOS!$C$23*3/4))*PRESIONES!$C$21))</f>
        <v>0.65923332527998091</v>
      </c>
      <c r="BE13" s="26">
        <f>IF($L13&lt;&gt;"OK",0,PRESIONES!$C$12*((PRESIONES!$H$32-ABERTURAS!$L$65)*MAX(0,MIN($W13,DATOS!$C$23*1/4)-MAX($V13,DATOS!$C$23*0/4))*PRESIONES!$C$18+(PRESIONES!$H$33-ABERTURAS!$L$65)*MAX(0,MIN($W13,DATOS!$C$23*2/4)-MAX($V13,DATOS!$C$23*1/4))*PRESIONES!$C$19+(PRESIONES!$H$34-ABERTURAS!$L$65)*MAX(0,MIN($W13,DATOS!$C$23*3/4)-MAX($V13,DATOS!$C$23*2/4))*PRESIONES!$C$20+(PRESIONES!$H$35-ABERTURAS!$L$65)*MAX(0,MIN($W13,DATOS!$C$23*4/4)-MAX($V13,DATOS!$C$23*3/4))*PRESIONES!$C$21))</f>
        <v>0.65923332527998091</v>
      </c>
      <c r="BF13" s="26">
        <f>IF($L13&lt;&gt;"OK",0,PRESIONES!$C$12*((PRESIONES!$K$32-ABERTURAS!$L$66)*MAX(0,MIN($W13,DATOS!$C$23*1/4)-MAX($V13,DATOS!$C$23*0/4))*PRESIONES!$C$18+(PRESIONES!$K$33-ABERTURAS!$L$66)*MAX(0,MIN($W13,DATOS!$C$23*2/4)-MAX($V13,DATOS!$C$23*1/4))*PRESIONES!$C$19+(PRESIONES!$K$34-ABERTURAS!$L$66)*MAX(0,MIN($W13,DATOS!$C$23*3/4)-MAX($V13,DATOS!$C$23*2/4))*PRESIONES!$C$20+(PRESIONES!$K$35-ABERTURAS!$L$66)*MAX(0,MIN($W13,DATOS!$C$23*4/4)-MAX($V13,DATOS!$C$23*3/4))*PRESIONES!$C$21))</f>
        <v>0.32961666263999045</v>
      </c>
      <c r="BG13" s="26">
        <f>IF($L13&lt;&gt;"OK",0,PRESIONES!$C$12*((PRESIONES!$N$32-ABERTURAS!$L$67)*MAX(0,MIN($W13,DATOS!$C$23*1/4)-MAX($V13,DATOS!$C$23*0/4))*PRESIONES!$C$18+(PRESIONES!$N$33-ABERTURAS!$L$67)*MAX(0,MIN($W13,DATOS!$C$23*2/4)-MAX($V13,DATOS!$C$23*1/4))*PRESIONES!$C$19+(PRESIONES!$N$34-ABERTURAS!$L$67)*MAX(0,MIN($W13,DATOS!$C$23*3/4)-MAX($V13,DATOS!$C$23*2/4))*PRESIONES!$C$20+(PRESIONES!$N$35-ABERTURAS!$L$67)*MAX(0,MIN($W13,DATOS!$C$23*4/4)-MAX($V13,DATOS!$C$23*3/4))*PRESIONES!$C$21))</f>
        <v>4.7794416082798623</v>
      </c>
    </row>
    <row r="14" spans="2:59" ht="16.5" customHeight="1" x14ac:dyDescent="0.3">
      <c r="B14" s="4" t="s">
        <v>407</v>
      </c>
      <c r="C14" s="15" t="s">
        <v>397</v>
      </c>
      <c r="D14" s="4" t="s">
        <v>408</v>
      </c>
      <c r="E14" s="15" t="s">
        <v>80</v>
      </c>
      <c r="F14" s="40">
        <v>0</v>
      </c>
      <c r="G14" s="40">
        <v>10.08</v>
      </c>
      <c r="H14" s="40">
        <v>6.0750000000000002</v>
      </c>
      <c r="I14" s="40">
        <v>7.4249999999999998</v>
      </c>
      <c r="J14" s="40"/>
      <c r="K14" s="40"/>
      <c r="L14" s="18" t="str">
        <f>IF($D14="","",IF($C14&lt;&gt;"TECHO","PON TECHO",IF(OR($F14="",$G14="",$H14="",$I14=""),"FALTAN a o b",IF($M14&lt;=0,"a₂ DEBE SER &gt; a₁",IF($N14&lt;=0,"b₂ DEBE SER &gt; b₁",IF(OR($V14&lt;-0.001,$W14&gt;DATOS!$C$23+0.001),"SE SALE DEL TECHO","OK"))))))</f>
        <v>OK</v>
      </c>
      <c r="M14" s="26">
        <f t="shared" si="0"/>
        <v>10.08</v>
      </c>
      <c r="N14" s="26">
        <f t="shared" si="1"/>
        <v>1.3499999999999996</v>
      </c>
      <c r="O14" s="26">
        <f t="shared" si="2"/>
        <v>13.607999999999997</v>
      </c>
      <c r="P14" s="26">
        <v>0</v>
      </c>
      <c r="Q14" s="26">
        <v>0</v>
      </c>
      <c r="R14" s="26">
        <f t="shared" si="3"/>
        <v>13.607999999999997</v>
      </c>
      <c r="S14" s="26">
        <f t="shared" si="3"/>
        <v>13.607999999999997</v>
      </c>
      <c r="T14" s="41">
        <f>IF($D14="",0,DATOS!$C$21)</f>
        <v>10.62</v>
      </c>
      <c r="U14" s="41">
        <v>0</v>
      </c>
      <c r="V14" s="41">
        <f t="shared" si="4"/>
        <v>6.0750000000000002</v>
      </c>
      <c r="W14" s="41">
        <f t="shared" si="5"/>
        <v>7.4249999999999998</v>
      </c>
      <c r="AB14" s="26">
        <f>IF($L14&lt;&gt;"OK",0,PRESIONES!$C$12*((PRESIONES!$D$32-ABERTURAS!$L$60)*MAX(0,MIN($W14,DATOS!$C$23*1/4)-MAX($V14,DATOS!$C$23*0/4))+(PRESIONES!$D$33-ABERTURAS!$L$60)*MAX(0,MIN($W14,DATOS!$C$23*2/4)-MAX($V14,DATOS!$C$23*1/4))+(PRESIONES!$D$34-ABERTURAS!$L$60)*MAX(0,MIN($W14,DATOS!$C$23*3/4)-MAX($V14,DATOS!$C$23*2/4))+(PRESIONES!$D$35-ABERTURAS!$L$60)*MAX(0,MIN($W14,DATOS!$C$23*4/4)-MAX($V14,DATOS!$C$23*3/4))))</f>
        <v>-13.184666505599624</v>
      </c>
      <c r="AC14" s="26">
        <f>IF($L14&lt;&gt;"OK",0,PRESIONES!$C$12*((PRESIONES!$G$32-ABERTURAS!$L$61)*MAX(0,MIN($W14,DATOS!$C$23*1/4)-MAX($V14,DATOS!$C$23*0/4))+(PRESIONES!$G$33-ABERTURAS!$L$61)*MAX(0,MIN($W14,DATOS!$C$23*2/4)-MAX($V14,DATOS!$C$23*1/4))+(PRESIONES!$G$34-ABERTURAS!$L$61)*MAX(0,MIN($W14,DATOS!$C$23*3/4)-MAX($V14,DATOS!$C$23*2/4))+(PRESIONES!$G$35-ABERTURAS!$L$61)*MAX(0,MIN($W14,DATOS!$C$23*4/4)-MAX($V14,DATOS!$C$23*3/4))))</f>
        <v>-13.184666505599624</v>
      </c>
      <c r="AD14" s="26">
        <f>IF($L14&lt;&gt;"OK",0,PRESIONES!$C$12*((PRESIONES!$J$32-ABERTURAS!$L$62)*MAX(0,MIN($W14,DATOS!$C$23*1/4)-MAX($V14,DATOS!$C$23*0/4))+(PRESIONES!$J$33-ABERTURAS!$L$62)*MAX(0,MIN($W14,DATOS!$C$23*2/4)-MAX($V14,DATOS!$C$23*1/4))+(PRESIONES!$J$34-ABERTURAS!$L$62)*MAX(0,MIN($W14,DATOS!$C$23*3/4)-MAX($V14,DATOS!$C$23*2/4))+(PRESIONES!$J$35-ABERTURAS!$L$62)*MAX(0,MIN($W14,DATOS!$C$23*4/4)-MAX($V14,DATOS!$C$23*3/4))))</f>
        <v>-6.5923332527998122</v>
      </c>
      <c r="AE14" s="26">
        <f>IF($L14&lt;&gt;"OK",0,PRESIONES!$C$12*((PRESIONES!$M$32-ABERTURAS!$L$63)*MAX(0,MIN($W14,DATOS!$C$23*1/4)-MAX($V14,DATOS!$C$23*0/4))+(PRESIONES!$M$33-ABERTURAS!$L$63)*MAX(0,MIN($W14,DATOS!$C$23*2/4)-MAX($V14,DATOS!$C$23*1/4))+(PRESIONES!$M$34-ABERTURAS!$L$63)*MAX(0,MIN($W14,DATOS!$C$23*3/4)-MAX($V14,DATOS!$C$23*2/4))+(PRESIONES!$M$35-ABERTURAS!$L$63)*MAX(0,MIN($W14,DATOS!$C$23*4/4)-MAX($V14,DATOS!$C$23*3/4))))</f>
        <v>-95.588832165597296</v>
      </c>
      <c r="AF14" s="26">
        <f>IF($L14&lt;&gt;"OK",0,PRESIONES!$C$12*((PRESIONES!$D$32-ABERTURAS!$L$64)*MAX(0,MIN($W14,DATOS!$C$23*1/4)-MAX($V14,DATOS!$C$23*0/4))+(PRESIONES!$D$33-ABERTURAS!$L$64)*MAX(0,MIN($W14,DATOS!$C$23*2/4)-MAX($V14,DATOS!$C$23*1/4))+(PRESIONES!$D$34-ABERTURAS!$L$64)*MAX(0,MIN($W14,DATOS!$C$23*3/4)-MAX($V14,DATOS!$C$23*2/4))+(PRESIONES!$D$35-ABERTURAS!$L$64)*MAX(0,MIN($W14,DATOS!$C$23*4/4)-MAX($V14,DATOS!$C$23*3/4))))</f>
        <v>-13.184666505599624</v>
      </c>
      <c r="AG14" s="26">
        <f>IF($L14&lt;&gt;"OK",0,PRESIONES!$C$12*((PRESIONES!$G$32-ABERTURAS!$L$65)*MAX(0,MIN($W14,DATOS!$C$23*1/4)-MAX($V14,DATOS!$C$23*0/4))+(PRESIONES!$G$33-ABERTURAS!$L$65)*MAX(0,MIN($W14,DATOS!$C$23*2/4)-MAX($V14,DATOS!$C$23*1/4))+(PRESIONES!$G$34-ABERTURAS!$L$65)*MAX(0,MIN($W14,DATOS!$C$23*3/4)-MAX($V14,DATOS!$C$23*2/4))+(PRESIONES!$G$35-ABERTURAS!$L$65)*MAX(0,MIN($W14,DATOS!$C$23*4/4)-MAX($V14,DATOS!$C$23*3/4))))</f>
        <v>-13.184666505599624</v>
      </c>
      <c r="AH14" s="26">
        <f>IF($L14&lt;&gt;"OK",0,PRESIONES!$C$12*((PRESIONES!$J$32-ABERTURAS!$L$66)*MAX(0,MIN($W14,DATOS!$C$23*1/4)-MAX($V14,DATOS!$C$23*0/4))+(PRESIONES!$J$33-ABERTURAS!$L$66)*MAX(0,MIN($W14,DATOS!$C$23*2/4)-MAX($V14,DATOS!$C$23*1/4))+(PRESIONES!$J$34-ABERTURAS!$L$66)*MAX(0,MIN($W14,DATOS!$C$23*3/4)-MAX($V14,DATOS!$C$23*2/4))+(PRESIONES!$J$35-ABERTURAS!$L$66)*MAX(0,MIN($W14,DATOS!$C$23*4/4)-MAX($V14,DATOS!$C$23*3/4))))</f>
        <v>-6.5923332527998122</v>
      </c>
      <c r="AI14" s="26">
        <f>IF($L14&lt;&gt;"OK",0,PRESIONES!$C$12*((PRESIONES!$M$32-ABERTURAS!$L$67)*MAX(0,MIN($W14,DATOS!$C$23*1/4)-MAX($V14,DATOS!$C$23*0/4))+(PRESIONES!$M$33-ABERTURAS!$L$67)*MAX(0,MIN($W14,DATOS!$C$23*2/4)-MAX($V14,DATOS!$C$23*1/4))+(PRESIONES!$M$34-ABERTURAS!$L$67)*MAX(0,MIN($W14,DATOS!$C$23*3/4)-MAX($V14,DATOS!$C$23*2/4))+(PRESIONES!$M$35-ABERTURAS!$L$67)*MAX(0,MIN($W14,DATOS!$C$23*4/4)-MAX($V14,DATOS!$C$23*3/4))))</f>
        <v>-95.588832165597296</v>
      </c>
      <c r="AJ14" s="26">
        <f>IF($L14&lt;&gt;"OK",0,PRESIONES!$C$12*((PRESIONES!$D$32-ABERTURAS!$L$60)*MAX(0,MIN($W14,DATOS!$C$23*1/4)-MAX($V14,DATOS!$C$23*0/4))*PRESIONES!$C$18+(PRESIONES!$D$33-ABERTURAS!$L$60)*MAX(0,MIN($W14,DATOS!$C$23*2/4)-MAX($V14,DATOS!$C$23*1/4))*PRESIONES!$C$19+(PRESIONES!$D$34-ABERTURAS!$L$60)*MAX(0,MIN($W14,DATOS!$C$23*3/4)-MAX($V14,DATOS!$C$23*2/4))*PRESIONES!$C$20+(PRESIONES!$D$35-ABERTURAS!$L$60)*MAX(0,MIN($W14,DATOS!$C$23*4/4)-MAX($V14,DATOS!$C$23*3/4))*PRESIONES!$C$21))</f>
        <v>0.65923332527998035</v>
      </c>
      <c r="AK14" s="26">
        <f>IF($L14&lt;&gt;"OK",0,PRESIONES!$C$12*((PRESIONES!$G$32-ABERTURAS!$L$61)*MAX(0,MIN($W14,DATOS!$C$23*1/4)-MAX($V14,DATOS!$C$23*0/4))*PRESIONES!$C$18+(PRESIONES!$G$33-ABERTURAS!$L$61)*MAX(0,MIN($W14,DATOS!$C$23*2/4)-MAX($V14,DATOS!$C$23*1/4))*PRESIONES!$C$19+(PRESIONES!$G$34-ABERTURAS!$L$61)*MAX(0,MIN($W14,DATOS!$C$23*3/4)-MAX($V14,DATOS!$C$23*2/4))*PRESIONES!$C$20+(PRESIONES!$G$35-ABERTURAS!$L$61)*MAX(0,MIN($W14,DATOS!$C$23*4/4)-MAX($V14,DATOS!$C$23*3/4))*PRESIONES!$C$21))</f>
        <v>0.65923332527998035</v>
      </c>
      <c r="AL14" s="26">
        <f>IF($L14&lt;&gt;"OK",0,PRESIONES!$C$12*((PRESIONES!$J$32-ABERTURAS!$L$62)*MAX(0,MIN($W14,DATOS!$C$23*1/4)-MAX($V14,DATOS!$C$23*0/4))*PRESIONES!$C$18+(PRESIONES!$J$33-ABERTURAS!$L$62)*MAX(0,MIN($W14,DATOS!$C$23*2/4)-MAX($V14,DATOS!$C$23*1/4))*PRESIONES!$C$19+(PRESIONES!$J$34-ABERTURAS!$L$62)*MAX(0,MIN($W14,DATOS!$C$23*3/4)-MAX($V14,DATOS!$C$23*2/4))*PRESIONES!$C$20+(PRESIONES!$J$35-ABERTURAS!$L$62)*MAX(0,MIN($W14,DATOS!$C$23*4/4)-MAX($V14,DATOS!$C$23*3/4))*PRESIONES!$C$21))</f>
        <v>0.32961666263999018</v>
      </c>
      <c r="AM14" s="26">
        <f>IF($L14&lt;&gt;"OK",0,PRESIONES!$C$12*((PRESIONES!$M$32-ABERTURAS!$L$63)*MAX(0,MIN($W14,DATOS!$C$23*1/4)-MAX($V14,DATOS!$C$23*0/4))*PRESIONES!$C$18+(PRESIONES!$M$33-ABERTURAS!$L$63)*MAX(0,MIN($W14,DATOS!$C$23*2/4)-MAX($V14,DATOS!$C$23*1/4))*PRESIONES!$C$19+(PRESIONES!$M$34-ABERTURAS!$L$63)*MAX(0,MIN($W14,DATOS!$C$23*3/4)-MAX($V14,DATOS!$C$23*2/4))*PRESIONES!$C$20+(PRESIONES!$M$35-ABERTURAS!$L$63)*MAX(0,MIN($W14,DATOS!$C$23*4/4)-MAX($V14,DATOS!$C$23*3/4))*PRESIONES!$C$21))</f>
        <v>4.7794416082798588</v>
      </c>
      <c r="AN14" s="26">
        <f>IF($L14&lt;&gt;"OK",0,PRESIONES!$C$12*((PRESIONES!$D$32-ABERTURAS!$L$64)*MAX(0,MIN($W14,DATOS!$C$23*1/4)-MAX($V14,DATOS!$C$23*0/4))*PRESIONES!$C$18+(PRESIONES!$D$33-ABERTURAS!$L$64)*MAX(0,MIN($W14,DATOS!$C$23*2/4)-MAX($V14,DATOS!$C$23*1/4))*PRESIONES!$C$19+(PRESIONES!$D$34-ABERTURAS!$L$64)*MAX(0,MIN($W14,DATOS!$C$23*3/4)-MAX($V14,DATOS!$C$23*2/4))*PRESIONES!$C$20+(PRESIONES!$D$35-ABERTURAS!$L$64)*MAX(0,MIN($W14,DATOS!$C$23*4/4)-MAX($V14,DATOS!$C$23*3/4))*PRESIONES!$C$21))</f>
        <v>0.65923332527998035</v>
      </c>
      <c r="AO14" s="26">
        <f>IF($L14&lt;&gt;"OK",0,PRESIONES!$C$12*((PRESIONES!$G$32-ABERTURAS!$L$65)*MAX(0,MIN($W14,DATOS!$C$23*1/4)-MAX($V14,DATOS!$C$23*0/4))*PRESIONES!$C$18+(PRESIONES!$G$33-ABERTURAS!$L$65)*MAX(0,MIN($W14,DATOS!$C$23*2/4)-MAX($V14,DATOS!$C$23*1/4))*PRESIONES!$C$19+(PRESIONES!$G$34-ABERTURAS!$L$65)*MAX(0,MIN($W14,DATOS!$C$23*3/4)-MAX($V14,DATOS!$C$23*2/4))*PRESIONES!$C$20+(PRESIONES!$G$35-ABERTURAS!$L$65)*MAX(0,MIN($W14,DATOS!$C$23*4/4)-MAX($V14,DATOS!$C$23*3/4))*PRESIONES!$C$21))</f>
        <v>0.65923332527998035</v>
      </c>
      <c r="AP14" s="26">
        <f>IF($L14&lt;&gt;"OK",0,PRESIONES!$C$12*((PRESIONES!$J$32-ABERTURAS!$L$66)*MAX(0,MIN($W14,DATOS!$C$23*1/4)-MAX($V14,DATOS!$C$23*0/4))*PRESIONES!$C$18+(PRESIONES!$J$33-ABERTURAS!$L$66)*MAX(0,MIN($W14,DATOS!$C$23*2/4)-MAX($V14,DATOS!$C$23*1/4))*PRESIONES!$C$19+(PRESIONES!$J$34-ABERTURAS!$L$66)*MAX(0,MIN($W14,DATOS!$C$23*3/4)-MAX($V14,DATOS!$C$23*2/4))*PRESIONES!$C$20+(PRESIONES!$J$35-ABERTURAS!$L$66)*MAX(0,MIN($W14,DATOS!$C$23*4/4)-MAX($V14,DATOS!$C$23*3/4))*PRESIONES!$C$21))</f>
        <v>0.32961666263999018</v>
      </c>
      <c r="AQ14" s="26">
        <f>IF($L14&lt;&gt;"OK",0,PRESIONES!$C$12*((PRESIONES!$M$32-ABERTURAS!$L$67)*MAX(0,MIN($W14,DATOS!$C$23*1/4)-MAX($V14,DATOS!$C$23*0/4))*PRESIONES!$C$18+(PRESIONES!$M$33-ABERTURAS!$L$67)*MAX(0,MIN($W14,DATOS!$C$23*2/4)-MAX($V14,DATOS!$C$23*1/4))*PRESIONES!$C$19+(PRESIONES!$M$34-ABERTURAS!$L$67)*MAX(0,MIN($W14,DATOS!$C$23*3/4)-MAX($V14,DATOS!$C$23*2/4))*PRESIONES!$C$20+(PRESIONES!$M$35-ABERTURAS!$L$67)*MAX(0,MIN($W14,DATOS!$C$23*4/4)-MAX($V14,DATOS!$C$23*3/4))*PRESIONES!$C$21))</f>
        <v>4.7794416082798588</v>
      </c>
      <c r="AR14" s="26">
        <f>IF($L14&lt;&gt;"OK",0,PRESIONES!$C$12*((PRESIONES!$E$32-ABERTURAS!$L$60)*MAX(0,MIN($W14,DATOS!$C$23*1/4)-MAX($V14,DATOS!$C$23*0/4))+(PRESIONES!$E$33-ABERTURAS!$L$60)*MAX(0,MIN($W14,DATOS!$C$23*2/4)-MAX($V14,DATOS!$C$23*1/4))+(PRESIONES!$E$34-ABERTURAS!$L$60)*MAX(0,MIN($W14,DATOS!$C$23*3/4)-MAX($V14,DATOS!$C$23*2/4))+(PRESIONES!$E$35-ABERTURAS!$L$60)*MAX(0,MIN($W14,DATOS!$C$23*4/4)-MAX($V14,DATOS!$C$23*3/4))))</f>
        <v>-13.184666505599624</v>
      </c>
      <c r="AS14" s="26">
        <f>IF($L14&lt;&gt;"OK",0,PRESIONES!$C$12*((PRESIONES!$H$32-ABERTURAS!$L$61)*MAX(0,MIN($W14,DATOS!$C$23*1/4)-MAX($V14,DATOS!$C$23*0/4))+(PRESIONES!$H$33-ABERTURAS!$L$61)*MAX(0,MIN($W14,DATOS!$C$23*2/4)-MAX($V14,DATOS!$C$23*1/4))+(PRESIONES!$H$34-ABERTURAS!$L$61)*MAX(0,MIN($W14,DATOS!$C$23*3/4)-MAX($V14,DATOS!$C$23*2/4))+(PRESIONES!$H$35-ABERTURAS!$L$61)*MAX(0,MIN($W14,DATOS!$C$23*4/4)-MAX($V14,DATOS!$C$23*3/4))))</f>
        <v>-13.184666505599624</v>
      </c>
      <c r="AT14" s="26">
        <f>IF($L14&lt;&gt;"OK",0,PRESIONES!$C$12*((PRESIONES!$K$32-ABERTURAS!$L$62)*MAX(0,MIN($W14,DATOS!$C$23*1/4)-MAX($V14,DATOS!$C$23*0/4))+(PRESIONES!$K$33-ABERTURAS!$L$62)*MAX(0,MIN($W14,DATOS!$C$23*2/4)-MAX($V14,DATOS!$C$23*1/4))+(PRESIONES!$K$34-ABERTURAS!$L$62)*MAX(0,MIN($W14,DATOS!$C$23*3/4)-MAX($V14,DATOS!$C$23*2/4))+(PRESIONES!$K$35-ABERTURAS!$L$62)*MAX(0,MIN($W14,DATOS!$C$23*4/4)-MAX($V14,DATOS!$C$23*3/4))))</f>
        <v>-6.5923332527998122</v>
      </c>
      <c r="AU14" s="26">
        <f>IF($L14&lt;&gt;"OK",0,PRESIONES!$C$12*((PRESIONES!$N$32-ABERTURAS!$L$63)*MAX(0,MIN($W14,DATOS!$C$23*1/4)-MAX($V14,DATOS!$C$23*0/4))+(PRESIONES!$N$33-ABERTURAS!$L$63)*MAX(0,MIN($W14,DATOS!$C$23*2/4)-MAX($V14,DATOS!$C$23*1/4))+(PRESIONES!$N$34-ABERTURAS!$L$63)*MAX(0,MIN($W14,DATOS!$C$23*3/4)-MAX($V14,DATOS!$C$23*2/4))+(PRESIONES!$N$35-ABERTURAS!$L$63)*MAX(0,MIN($W14,DATOS!$C$23*4/4)-MAX($V14,DATOS!$C$23*3/4))))</f>
        <v>-95.588832165597296</v>
      </c>
      <c r="AV14" s="26">
        <f>IF($L14&lt;&gt;"OK",0,PRESIONES!$C$12*((PRESIONES!$E$32-ABERTURAS!$L$64)*MAX(0,MIN($W14,DATOS!$C$23*1/4)-MAX($V14,DATOS!$C$23*0/4))+(PRESIONES!$E$33-ABERTURAS!$L$64)*MAX(0,MIN($W14,DATOS!$C$23*2/4)-MAX($V14,DATOS!$C$23*1/4))+(PRESIONES!$E$34-ABERTURAS!$L$64)*MAX(0,MIN($W14,DATOS!$C$23*3/4)-MAX($V14,DATOS!$C$23*2/4))+(PRESIONES!$E$35-ABERTURAS!$L$64)*MAX(0,MIN($W14,DATOS!$C$23*4/4)-MAX($V14,DATOS!$C$23*3/4))))</f>
        <v>-13.184666505599624</v>
      </c>
      <c r="AW14" s="26">
        <f>IF($L14&lt;&gt;"OK",0,PRESIONES!$C$12*((PRESIONES!$H$32-ABERTURAS!$L$65)*MAX(0,MIN($W14,DATOS!$C$23*1/4)-MAX($V14,DATOS!$C$23*0/4))+(PRESIONES!$H$33-ABERTURAS!$L$65)*MAX(0,MIN($W14,DATOS!$C$23*2/4)-MAX($V14,DATOS!$C$23*1/4))+(PRESIONES!$H$34-ABERTURAS!$L$65)*MAX(0,MIN($W14,DATOS!$C$23*3/4)-MAX($V14,DATOS!$C$23*2/4))+(PRESIONES!$H$35-ABERTURAS!$L$65)*MAX(0,MIN($W14,DATOS!$C$23*4/4)-MAX($V14,DATOS!$C$23*3/4))))</f>
        <v>-13.184666505599624</v>
      </c>
      <c r="AX14" s="26">
        <f>IF($L14&lt;&gt;"OK",0,PRESIONES!$C$12*((PRESIONES!$K$32-ABERTURAS!$L$66)*MAX(0,MIN($W14,DATOS!$C$23*1/4)-MAX($V14,DATOS!$C$23*0/4))+(PRESIONES!$K$33-ABERTURAS!$L$66)*MAX(0,MIN($W14,DATOS!$C$23*2/4)-MAX($V14,DATOS!$C$23*1/4))+(PRESIONES!$K$34-ABERTURAS!$L$66)*MAX(0,MIN($W14,DATOS!$C$23*3/4)-MAX($V14,DATOS!$C$23*2/4))+(PRESIONES!$K$35-ABERTURAS!$L$66)*MAX(0,MIN($W14,DATOS!$C$23*4/4)-MAX($V14,DATOS!$C$23*3/4))))</f>
        <v>-6.5923332527998122</v>
      </c>
      <c r="AY14" s="26">
        <f>IF($L14&lt;&gt;"OK",0,PRESIONES!$C$12*((PRESIONES!$N$32-ABERTURAS!$L$67)*MAX(0,MIN($W14,DATOS!$C$23*1/4)-MAX($V14,DATOS!$C$23*0/4))+(PRESIONES!$N$33-ABERTURAS!$L$67)*MAX(0,MIN($W14,DATOS!$C$23*2/4)-MAX($V14,DATOS!$C$23*1/4))+(PRESIONES!$N$34-ABERTURAS!$L$67)*MAX(0,MIN($W14,DATOS!$C$23*3/4)-MAX($V14,DATOS!$C$23*2/4))+(PRESIONES!$N$35-ABERTURAS!$L$67)*MAX(0,MIN($W14,DATOS!$C$23*4/4)-MAX($V14,DATOS!$C$23*3/4))))</f>
        <v>-95.588832165597296</v>
      </c>
      <c r="AZ14" s="26">
        <f>IF($L14&lt;&gt;"OK",0,PRESIONES!$C$12*((PRESIONES!$E$32-ABERTURAS!$L$60)*MAX(0,MIN($W14,DATOS!$C$23*1/4)-MAX($V14,DATOS!$C$23*0/4))*PRESIONES!$C$18+(PRESIONES!$E$33-ABERTURAS!$L$60)*MAX(0,MIN($W14,DATOS!$C$23*2/4)-MAX($V14,DATOS!$C$23*1/4))*PRESIONES!$C$19+(PRESIONES!$E$34-ABERTURAS!$L$60)*MAX(0,MIN($W14,DATOS!$C$23*3/4)-MAX($V14,DATOS!$C$23*2/4))*PRESIONES!$C$20+(PRESIONES!$E$35-ABERTURAS!$L$60)*MAX(0,MIN($W14,DATOS!$C$23*4/4)-MAX($V14,DATOS!$C$23*3/4))*PRESIONES!$C$21))</f>
        <v>0.65923332527998035</v>
      </c>
      <c r="BA14" s="26">
        <f>IF($L14&lt;&gt;"OK",0,PRESIONES!$C$12*((PRESIONES!$H$32-ABERTURAS!$L$61)*MAX(0,MIN($W14,DATOS!$C$23*1/4)-MAX($V14,DATOS!$C$23*0/4))*PRESIONES!$C$18+(PRESIONES!$H$33-ABERTURAS!$L$61)*MAX(0,MIN($W14,DATOS!$C$23*2/4)-MAX($V14,DATOS!$C$23*1/4))*PRESIONES!$C$19+(PRESIONES!$H$34-ABERTURAS!$L$61)*MAX(0,MIN($W14,DATOS!$C$23*3/4)-MAX($V14,DATOS!$C$23*2/4))*PRESIONES!$C$20+(PRESIONES!$H$35-ABERTURAS!$L$61)*MAX(0,MIN($W14,DATOS!$C$23*4/4)-MAX($V14,DATOS!$C$23*3/4))*PRESIONES!$C$21))</f>
        <v>0.65923332527998035</v>
      </c>
      <c r="BB14" s="26">
        <f>IF($L14&lt;&gt;"OK",0,PRESIONES!$C$12*((PRESIONES!$K$32-ABERTURAS!$L$62)*MAX(0,MIN($W14,DATOS!$C$23*1/4)-MAX($V14,DATOS!$C$23*0/4))*PRESIONES!$C$18+(PRESIONES!$K$33-ABERTURAS!$L$62)*MAX(0,MIN($W14,DATOS!$C$23*2/4)-MAX($V14,DATOS!$C$23*1/4))*PRESIONES!$C$19+(PRESIONES!$K$34-ABERTURAS!$L$62)*MAX(0,MIN($W14,DATOS!$C$23*3/4)-MAX($V14,DATOS!$C$23*2/4))*PRESIONES!$C$20+(PRESIONES!$K$35-ABERTURAS!$L$62)*MAX(0,MIN($W14,DATOS!$C$23*4/4)-MAX($V14,DATOS!$C$23*3/4))*PRESIONES!$C$21))</f>
        <v>0.32961666263999018</v>
      </c>
      <c r="BC14" s="26">
        <f>IF($L14&lt;&gt;"OK",0,PRESIONES!$C$12*((PRESIONES!$N$32-ABERTURAS!$L$63)*MAX(0,MIN($W14,DATOS!$C$23*1/4)-MAX($V14,DATOS!$C$23*0/4))*PRESIONES!$C$18+(PRESIONES!$N$33-ABERTURAS!$L$63)*MAX(0,MIN($W14,DATOS!$C$23*2/4)-MAX($V14,DATOS!$C$23*1/4))*PRESIONES!$C$19+(PRESIONES!$N$34-ABERTURAS!$L$63)*MAX(0,MIN($W14,DATOS!$C$23*3/4)-MAX($V14,DATOS!$C$23*2/4))*PRESIONES!$C$20+(PRESIONES!$N$35-ABERTURAS!$L$63)*MAX(0,MIN($W14,DATOS!$C$23*4/4)-MAX($V14,DATOS!$C$23*3/4))*PRESIONES!$C$21))</f>
        <v>4.7794416082798588</v>
      </c>
      <c r="BD14" s="26">
        <f>IF($L14&lt;&gt;"OK",0,PRESIONES!$C$12*((PRESIONES!$E$32-ABERTURAS!$L$64)*MAX(0,MIN($W14,DATOS!$C$23*1/4)-MAX($V14,DATOS!$C$23*0/4))*PRESIONES!$C$18+(PRESIONES!$E$33-ABERTURAS!$L$64)*MAX(0,MIN($W14,DATOS!$C$23*2/4)-MAX($V14,DATOS!$C$23*1/4))*PRESIONES!$C$19+(PRESIONES!$E$34-ABERTURAS!$L$64)*MAX(0,MIN($W14,DATOS!$C$23*3/4)-MAX($V14,DATOS!$C$23*2/4))*PRESIONES!$C$20+(PRESIONES!$E$35-ABERTURAS!$L$64)*MAX(0,MIN($W14,DATOS!$C$23*4/4)-MAX($V14,DATOS!$C$23*3/4))*PRESIONES!$C$21))</f>
        <v>0.65923332527998035</v>
      </c>
      <c r="BE14" s="26">
        <f>IF($L14&lt;&gt;"OK",0,PRESIONES!$C$12*((PRESIONES!$H$32-ABERTURAS!$L$65)*MAX(0,MIN($W14,DATOS!$C$23*1/4)-MAX($V14,DATOS!$C$23*0/4))*PRESIONES!$C$18+(PRESIONES!$H$33-ABERTURAS!$L$65)*MAX(0,MIN($W14,DATOS!$C$23*2/4)-MAX($V14,DATOS!$C$23*1/4))*PRESIONES!$C$19+(PRESIONES!$H$34-ABERTURAS!$L$65)*MAX(0,MIN($W14,DATOS!$C$23*3/4)-MAX($V14,DATOS!$C$23*2/4))*PRESIONES!$C$20+(PRESIONES!$H$35-ABERTURAS!$L$65)*MAX(0,MIN($W14,DATOS!$C$23*4/4)-MAX($V14,DATOS!$C$23*3/4))*PRESIONES!$C$21))</f>
        <v>0.65923332527998035</v>
      </c>
      <c r="BF14" s="26">
        <f>IF($L14&lt;&gt;"OK",0,PRESIONES!$C$12*((PRESIONES!$K$32-ABERTURAS!$L$66)*MAX(0,MIN($W14,DATOS!$C$23*1/4)-MAX($V14,DATOS!$C$23*0/4))*PRESIONES!$C$18+(PRESIONES!$K$33-ABERTURAS!$L$66)*MAX(0,MIN($W14,DATOS!$C$23*2/4)-MAX($V14,DATOS!$C$23*1/4))*PRESIONES!$C$19+(PRESIONES!$K$34-ABERTURAS!$L$66)*MAX(0,MIN($W14,DATOS!$C$23*3/4)-MAX($V14,DATOS!$C$23*2/4))*PRESIONES!$C$20+(PRESIONES!$K$35-ABERTURAS!$L$66)*MAX(0,MIN($W14,DATOS!$C$23*4/4)-MAX($V14,DATOS!$C$23*3/4))*PRESIONES!$C$21))</f>
        <v>0.32961666263999018</v>
      </c>
      <c r="BG14" s="26">
        <f>IF($L14&lt;&gt;"OK",0,PRESIONES!$C$12*((PRESIONES!$N$32-ABERTURAS!$L$67)*MAX(0,MIN($W14,DATOS!$C$23*1/4)-MAX($V14,DATOS!$C$23*0/4))*PRESIONES!$C$18+(PRESIONES!$N$33-ABERTURAS!$L$67)*MAX(0,MIN($W14,DATOS!$C$23*2/4)-MAX($V14,DATOS!$C$23*1/4))*PRESIONES!$C$19+(PRESIONES!$N$34-ABERTURAS!$L$67)*MAX(0,MIN($W14,DATOS!$C$23*3/4)-MAX($V14,DATOS!$C$23*2/4))*PRESIONES!$C$20+(PRESIONES!$N$35-ABERTURAS!$L$67)*MAX(0,MIN($W14,DATOS!$C$23*4/4)-MAX($V14,DATOS!$C$23*3/4))*PRESIONES!$C$21))</f>
        <v>4.7794416082798588</v>
      </c>
    </row>
    <row r="15" spans="2:59" ht="16.5" customHeight="1" x14ac:dyDescent="0.3">
      <c r="B15" s="4" t="s">
        <v>409</v>
      </c>
      <c r="C15" s="15" t="s">
        <v>397</v>
      </c>
      <c r="D15" s="4" t="s">
        <v>410</v>
      </c>
      <c r="E15" s="15" t="s">
        <v>80</v>
      </c>
      <c r="F15" s="40">
        <v>0</v>
      </c>
      <c r="G15" s="40">
        <v>10.08</v>
      </c>
      <c r="H15" s="40">
        <v>7.4249999999999998</v>
      </c>
      <c r="I15" s="40">
        <v>8.7750000000000004</v>
      </c>
      <c r="J15" s="40"/>
      <c r="K15" s="40"/>
      <c r="L15" s="18" t="str">
        <f>IF($D15="","",IF($C15&lt;&gt;"TECHO","PON TECHO",IF(OR($F15="",$G15="",$H15="",$I15=""),"FALTAN a o b",IF($M15&lt;=0,"a₂ DEBE SER &gt; a₁",IF($N15&lt;=0,"b₂ DEBE SER &gt; b₁",IF(OR($V15&lt;-0.001,$W15&gt;DATOS!$C$23+0.001),"SE SALE DEL TECHO","OK"))))))</f>
        <v>OK</v>
      </c>
      <c r="M15" s="26">
        <f t="shared" si="0"/>
        <v>10.08</v>
      </c>
      <c r="N15" s="26">
        <f t="shared" si="1"/>
        <v>1.3500000000000005</v>
      </c>
      <c r="O15" s="26">
        <f t="shared" si="2"/>
        <v>13.608000000000006</v>
      </c>
      <c r="P15" s="26">
        <v>0</v>
      </c>
      <c r="Q15" s="26">
        <v>0</v>
      </c>
      <c r="R15" s="26">
        <f t="shared" si="3"/>
        <v>13.608000000000006</v>
      </c>
      <c r="S15" s="26">
        <f t="shared" si="3"/>
        <v>13.608000000000006</v>
      </c>
      <c r="T15" s="41">
        <f>IF($D15="",0,DATOS!$C$21)</f>
        <v>10.62</v>
      </c>
      <c r="U15" s="41">
        <v>0</v>
      </c>
      <c r="V15" s="41">
        <f t="shared" si="4"/>
        <v>7.4249999999999998</v>
      </c>
      <c r="W15" s="41">
        <f t="shared" si="5"/>
        <v>8.7750000000000004</v>
      </c>
      <c r="AB15" s="26">
        <f>IF($L15&lt;&gt;"OK",0,PRESIONES!$C$12*((PRESIONES!$D$32-ABERTURAS!$L$60)*MAX(0,MIN($W15,DATOS!$C$23*1/4)-MAX($V15,DATOS!$C$23*0/4))+(PRESIONES!$D$33-ABERTURAS!$L$60)*MAX(0,MIN($W15,DATOS!$C$23*2/4)-MAX($V15,DATOS!$C$23*1/4))+(PRESIONES!$D$34-ABERTURAS!$L$60)*MAX(0,MIN($W15,DATOS!$C$23*3/4)-MAX($V15,DATOS!$C$23*2/4))+(PRESIONES!$D$35-ABERTURAS!$L$60)*MAX(0,MIN($W15,DATOS!$C$23*4/4)-MAX($V15,DATOS!$C$23*3/4))))</f>
        <v>-13.184666505599633</v>
      </c>
      <c r="AC15" s="26">
        <f>IF($L15&lt;&gt;"OK",0,PRESIONES!$C$12*((PRESIONES!$G$32-ABERTURAS!$L$61)*MAX(0,MIN($W15,DATOS!$C$23*1/4)-MAX($V15,DATOS!$C$23*0/4))+(PRESIONES!$G$33-ABERTURAS!$L$61)*MAX(0,MIN($W15,DATOS!$C$23*2/4)-MAX($V15,DATOS!$C$23*1/4))+(PRESIONES!$G$34-ABERTURAS!$L$61)*MAX(0,MIN($W15,DATOS!$C$23*3/4)-MAX($V15,DATOS!$C$23*2/4))+(PRESIONES!$G$35-ABERTURAS!$L$61)*MAX(0,MIN($W15,DATOS!$C$23*4/4)-MAX($V15,DATOS!$C$23*3/4))))</f>
        <v>-13.184666505599633</v>
      </c>
      <c r="AD15" s="26">
        <f>IF($L15&lt;&gt;"OK",0,PRESIONES!$C$12*((PRESIONES!$J$32-ABERTURAS!$L$62)*MAX(0,MIN($W15,DATOS!$C$23*1/4)-MAX($V15,DATOS!$C$23*0/4))+(PRESIONES!$J$33-ABERTURAS!$L$62)*MAX(0,MIN($W15,DATOS!$C$23*2/4)-MAX($V15,DATOS!$C$23*1/4))+(PRESIONES!$J$34-ABERTURAS!$L$62)*MAX(0,MIN($W15,DATOS!$C$23*3/4)-MAX($V15,DATOS!$C$23*2/4))+(PRESIONES!$J$35-ABERTURAS!$L$62)*MAX(0,MIN($W15,DATOS!$C$23*4/4)-MAX($V15,DATOS!$C$23*3/4))))</f>
        <v>-6.5923332527998166</v>
      </c>
      <c r="AE15" s="26">
        <f>IF($L15&lt;&gt;"OK",0,PRESIONES!$C$12*((PRESIONES!$M$32-ABERTURAS!$L$63)*MAX(0,MIN($W15,DATOS!$C$23*1/4)-MAX($V15,DATOS!$C$23*0/4))+(PRESIONES!$M$33-ABERTURAS!$L$63)*MAX(0,MIN($W15,DATOS!$C$23*2/4)-MAX($V15,DATOS!$C$23*1/4))+(PRESIONES!$M$34-ABERTURAS!$L$63)*MAX(0,MIN($W15,DATOS!$C$23*3/4)-MAX($V15,DATOS!$C$23*2/4))+(PRESIONES!$M$35-ABERTURAS!$L$63)*MAX(0,MIN($W15,DATOS!$C$23*4/4)-MAX($V15,DATOS!$C$23*3/4))))</f>
        <v>-95.588832165597367</v>
      </c>
      <c r="AF15" s="26">
        <f>IF($L15&lt;&gt;"OK",0,PRESIONES!$C$12*((PRESIONES!$D$32-ABERTURAS!$L$64)*MAX(0,MIN($W15,DATOS!$C$23*1/4)-MAX($V15,DATOS!$C$23*0/4))+(PRESIONES!$D$33-ABERTURAS!$L$64)*MAX(0,MIN($W15,DATOS!$C$23*2/4)-MAX($V15,DATOS!$C$23*1/4))+(PRESIONES!$D$34-ABERTURAS!$L$64)*MAX(0,MIN($W15,DATOS!$C$23*3/4)-MAX($V15,DATOS!$C$23*2/4))+(PRESIONES!$D$35-ABERTURAS!$L$64)*MAX(0,MIN($W15,DATOS!$C$23*4/4)-MAX($V15,DATOS!$C$23*3/4))))</f>
        <v>-13.184666505599633</v>
      </c>
      <c r="AG15" s="26">
        <f>IF($L15&lt;&gt;"OK",0,PRESIONES!$C$12*((PRESIONES!$G$32-ABERTURAS!$L$65)*MAX(0,MIN($W15,DATOS!$C$23*1/4)-MAX($V15,DATOS!$C$23*0/4))+(PRESIONES!$G$33-ABERTURAS!$L$65)*MAX(0,MIN($W15,DATOS!$C$23*2/4)-MAX($V15,DATOS!$C$23*1/4))+(PRESIONES!$G$34-ABERTURAS!$L$65)*MAX(0,MIN($W15,DATOS!$C$23*3/4)-MAX($V15,DATOS!$C$23*2/4))+(PRESIONES!$G$35-ABERTURAS!$L$65)*MAX(0,MIN($W15,DATOS!$C$23*4/4)-MAX($V15,DATOS!$C$23*3/4))))</f>
        <v>-13.184666505599633</v>
      </c>
      <c r="AH15" s="26">
        <f>IF($L15&lt;&gt;"OK",0,PRESIONES!$C$12*((PRESIONES!$J$32-ABERTURAS!$L$66)*MAX(0,MIN($W15,DATOS!$C$23*1/4)-MAX($V15,DATOS!$C$23*0/4))+(PRESIONES!$J$33-ABERTURAS!$L$66)*MAX(0,MIN($W15,DATOS!$C$23*2/4)-MAX($V15,DATOS!$C$23*1/4))+(PRESIONES!$J$34-ABERTURAS!$L$66)*MAX(0,MIN($W15,DATOS!$C$23*3/4)-MAX($V15,DATOS!$C$23*2/4))+(PRESIONES!$J$35-ABERTURAS!$L$66)*MAX(0,MIN($W15,DATOS!$C$23*4/4)-MAX($V15,DATOS!$C$23*3/4))))</f>
        <v>-6.5923332527998166</v>
      </c>
      <c r="AI15" s="26">
        <f>IF($L15&lt;&gt;"OK",0,PRESIONES!$C$12*((PRESIONES!$M$32-ABERTURAS!$L$67)*MAX(0,MIN($W15,DATOS!$C$23*1/4)-MAX($V15,DATOS!$C$23*0/4))+(PRESIONES!$M$33-ABERTURAS!$L$67)*MAX(0,MIN($W15,DATOS!$C$23*2/4)-MAX($V15,DATOS!$C$23*1/4))+(PRESIONES!$M$34-ABERTURAS!$L$67)*MAX(0,MIN($W15,DATOS!$C$23*3/4)-MAX($V15,DATOS!$C$23*2/4))+(PRESIONES!$M$35-ABERTURAS!$L$67)*MAX(0,MIN($W15,DATOS!$C$23*4/4)-MAX($V15,DATOS!$C$23*3/4))))</f>
        <v>-95.588832165597367</v>
      </c>
      <c r="AJ15" s="26">
        <f>IF($L15&lt;&gt;"OK",0,PRESIONES!$C$12*((PRESIONES!$D$32-ABERTURAS!$L$60)*MAX(0,MIN($W15,DATOS!$C$23*1/4)-MAX($V15,DATOS!$C$23*0/4))*PRESIONES!$C$18+(PRESIONES!$D$33-ABERTURAS!$L$60)*MAX(0,MIN($W15,DATOS!$C$23*2/4)-MAX($V15,DATOS!$C$23*1/4))*PRESIONES!$C$19+(PRESIONES!$D$34-ABERTURAS!$L$60)*MAX(0,MIN($W15,DATOS!$C$23*3/4)-MAX($V15,DATOS!$C$23*2/4))*PRESIONES!$C$20+(PRESIONES!$D$35-ABERTURAS!$L$60)*MAX(0,MIN($W15,DATOS!$C$23*4/4)-MAX($V15,DATOS!$C$23*3/4))*PRESIONES!$C$21))</f>
        <v>0.6592333252799808</v>
      </c>
      <c r="AK15" s="26">
        <f>IF($L15&lt;&gt;"OK",0,PRESIONES!$C$12*((PRESIONES!$G$32-ABERTURAS!$L$61)*MAX(0,MIN($W15,DATOS!$C$23*1/4)-MAX($V15,DATOS!$C$23*0/4))*PRESIONES!$C$18+(PRESIONES!$G$33-ABERTURAS!$L$61)*MAX(0,MIN($W15,DATOS!$C$23*2/4)-MAX($V15,DATOS!$C$23*1/4))*PRESIONES!$C$19+(PRESIONES!$G$34-ABERTURAS!$L$61)*MAX(0,MIN($W15,DATOS!$C$23*3/4)-MAX($V15,DATOS!$C$23*2/4))*PRESIONES!$C$20+(PRESIONES!$G$35-ABERTURAS!$L$61)*MAX(0,MIN($W15,DATOS!$C$23*4/4)-MAX($V15,DATOS!$C$23*3/4))*PRESIONES!$C$21))</f>
        <v>0.6592333252799808</v>
      </c>
      <c r="AL15" s="26">
        <f>IF($L15&lt;&gt;"OK",0,PRESIONES!$C$12*((PRESIONES!$J$32-ABERTURAS!$L$62)*MAX(0,MIN($W15,DATOS!$C$23*1/4)-MAX($V15,DATOS!$C$23*0/4))*PRESIONES!$C$18+(PRESIONES!$J$33-ABERTURAS!$L$62)*MAX(0,MIN($W15,DATOS!$C$23*2/4)-MAX($V15,DATOS!$C$23*1/4))*PRESIONES!$C$19+(PRESIONES!$J$34-ABERTURAS!$L$62)*MAX(0,MIN($W15,DATOS!$C$23*3/4)-MAX($V15,DATOS!$C$23*2/4))*PRESIONES!$C$20+(PRESIONES!$J$35-ABERTURAS!$L$62)*MAX(0,MIN($W15,DATOS!$C$23*4/4)-MAX($V15,DATOS!$C$23*3/4))*PRESIONES!$C$21))</f>
        <v>0.3296166626399904</v>
      </c>
      <c r="AM15" s="26">
        <f>IF($L15&lt;&gt;"OK",0,PRESIONES!$C$12*((PRESIONES!$M$32-ABERTURAS!$L$63)*MAX(0,MIN($W15,DATOS!$C$23*1/4)-MAX($V15,DATOS!$C$23*0/4))*PRESIONES!$C$18+(PRESIONES!$M$33-ABERTURAS!$L$63)*MAX(0,MIN($W15,DATOS!$C$23*2/4)-MAX($V15,DATOS!$C$23*1/4))*PRESIONES!$C$19+(PRESIONES!$M$34-ABERTURAS!$L$63)*MAX(0,MIN($W15,DATOS!$C$23*3/4)-MAX($V15,DATOS!$C$23*2/4))*PRESIONES!$C$20+(PRESIONES!$M$35-ABERTURAS!$L$63)*MAX(0,MIN($W15,DATOS!$C$23*4/4)-MAX($V15,DATOS!$C$23*3/4))*PRESIONES!$C$21))</f>
        <v>4.7794416082798623</v>
      </c>
      <c r="AN15" s="26">
        <f>IF($L15&lt;&gt;"OK",0,PRESIONES!$C$12*((PRESIONES!$D$32-ABERTURAS!$L$64)*MAX(0,MIN($W15,DATOS!$C$23*1/4)-MAX($V15,DATOS!$C$23*0/4))*PRESIONES!$C$18+(PRESIONES!$D$33-ABERTURAS!$L$64)*MAX(0,MIN($W15,DATOS!$C$23*2/4)-MAX($V15,DATOS!$C$23*1/4))*PRESIONES!$C$19+(PRESIONES!$D$34-ABERTURAS!$L$64)*MAX(0,MIN($W15,DATOS!$C$23*3/4)-MAX($V15,DATOS!$C$23*2/4))*PRESIONES!$C$20+(PRESIONES!$D$35-ABERTURAS!$L$64)*MAX(0,MIN($W15,DATOS!$C$23*4/4)-MAX($V15,DATOS!$C$23*3/4))*PRESIONES!$C$21))</f>
        <v>0.6592333252799808</v>
      </c>
      <c r="AO15" s="26">
        <f>IF($L15&lt;&gt;"OK",0,PRESIONES!$C$12*((PRESIONES!$G$32-ABERTURAS!$L$65)*MAX(0,MIN($W15,DATOS!$C$23*1/4)-MAX($V15,DATOS!$C$23*0/4))*PRESIONES!$C$18+(PRESIONES!$G$33-ABERTURAS!$L$65)*MAX(0,MIN($W15,DATOS!$C$23*2/4)-MAX($V15,DATOS!$C$23*1/4))*PRESIONES!$C$19+(PRESIONES!$G$34-ABERTURAS!$L$65)*MAX(0,MIN($W15,DATOS!$C$23*3/4)-MAX($V15,DATOS!$C$23*2/4))*PRESIONES!$C$20+(PRESIONES!$G$35-ABERTURAS!$L$65)*MAX(0,MIN($W15,DATOS!$C$23*4/4)-MAX($V15,DATOS!$C$23*3/4))*PRESIONES!$C$21))</f>
        <v>0.6592333252799808</v>
      </c>
      <c r="AP15" s="26">
        <f>IF($L15&lt;&gt;"OK",0,PRESIONES!$C$12*((PRESIONES!$J$32-ABERTURAS!$L$66)*MAX(0,MIN($W15,DATOS!$C$23*1/4)-MAX($V15,DATOS!$C$23*0/4))*PRESIONES!$C$18+(PRESIONES!$J$33-ABERTURAS!$L$66)*MAX(0,MIN($W15,DATOS!$C$23*2/4)-MAX($V15,DATOS!$C$23*1/4))*PRESIONES!$C$19+(PRESIONES!$J$34-ABERTURAS!$L$66)*MAX(0,MIN($W15,DATOS!$C$23*3/4)-MAX($V15,DATOS!$C$23*2/4))*PRESIONES!$C$20+(PRESIONES!$J$35-ABERTURAS!$L$66)*MAX(0,MIN($W15,DATOS!$C$23*4/4)-MAX($V15,DATOS!$C$23*3/4))*PRESIONES!$C$21))</f>
        <v>0.3296166626399904</v>
      </c>
      <c r="AQ15" s="26">
        <f>IF($L15&lt;&gt;"OK",0,PRESIONES!$C$12*((PRESIONES!$M$32-ABERTURAS!$L$67)*MAX(0,MIN($W15,DATOS!$C$23*1/4)-MAX($V15,DATOS!$C$23*0/4))*PRESIONES!$C$18+(PRESIONES!$M$33-ABERTURAS!$L$67)*MAX(0,MIN($W15,DATOS!$C$23*2/4)-MAX($V15,DATOS!$C$23*1/4))*PRESIONES!$C$19+(PRESIONES!$M$34-ABERTURAS!$L$67)*MAX(0,MIN($W15,DATOS!$C$23*3/4)-MAX($V15,DATOS!$C$23*2/4))*PRESIONES!$C$20+(PRESIONES!$M$35-ABERTURAS!$L$67)*MAX(0,MIN($W15,DATOS!$C$23*4/4)-MAX($V15,DATOS!$C$23*3/4))*PRESIONES!$C$21))</f>
        <v>4.7794416082798623</v>
      </c>
      <c r="AR15" s="26">
        <f>IF($L15&lt;&gt;"OK",0,PRESIONES!$C$12*((PRESIONES!$E$32-ABERTURAS!$L$60)*MAX(0,MIN($W15,DATOS!$C$23*1/4)-MAX($V15,DATOS!$C$23*0/4))+(PRESIONES!$E$33-ABERTURAS!$L$60)*MAX(0,MIN($W15,DATOS!$C$23*2/4)-MAX($V15,DATOS!$C$23*1/4))+(PRESIONES!$E$34-ABERTURAS!$L$60)*MAX(0,MIN($W15,DATOS!$C$23*3/4)-MAX($V15,DATOS!$C$23*2/4))+(PRESIONES!$E$35-ABERTURAS!$L$60)*MAX(0,MIN($W15,DATOS!$C$23*4/4)-MAX($V15,DATOS!$C$23*3/4))))</f>
        <v>-13.184666505599633</v>
      </c>
      <c r="AS15" s="26">
        <f>IF($L15&lt;&gt;"OK",0,PRESIONES!$C$12*((PRESIONES!$H$32-ABERTURAS!$L$61)*MAX(0,MIN($W15,DATOS!$C$23*1/4)-MAX($V15,DATOS!$C$23*0/4))+(PRESIONES!$H$33-ABERTURAS!$L$61)*MAX(0,MIN($W15,DATOS!$C$23*2/4)-MAX($V15,DATOS!$C$23*1/4))+(PRESIONES!$H$34-ABERTURAS!$L$61)*MAX(0,MIN($W15,DATOS!$C$23*3/4)-MAX($V15,DATOS!$C$23*2/4))+(PRESIONES!$H$35-ABERTURAS!$L$61)*MAX(0,MIN($W15,DATOS!$C$23*4/4)-MAX($V15,DATOS!$C$23*3/4))))</f>
        <v>-13.184666505599633</v>
      </c>
      <c r="AT15" s="26">
        <f>IF($L15&lt;&gt;"OK",0,PRESIONES!$C$12*((PRESIONES!$K$32-ABERTURAS!$L$62)*MAX(0,MIN($W15,DATOS!$C$23*1/4)-MAX($V15,DATOS!$C$23*0/4))+(PRESIONES!$K$33-ABERTURAS!$L$62)*MAX(0,MIN($W15,DATOS!$C$23*2/4)-MAX($V15,DATOS!$C$23*1/4))+(PRESIONES!$K$34-ABERTURAS!$L$62)*MAX(0,MIN($W15,DATOS!$C$23*3/4)-MAX($V15,DATOS!$C$23*2/4))+(PRESIONES!$K$35-ABERTURAS!$L$62)*MAX(0,MIN($W15,DATOS!$C$23*4/4)-MAX($V15,DATOS!$C$23*3/4))))</f>
        <v>-6.5923332527998166</v>
      </c>
      <c r="AU15" s="26">
        <f>IF($L15&lt;&gt;"OK",0,PRESIONES!$C$12*((PRESIONES!$N$32-ABERTURAS!$L$63)*MAX(0,MIN($W15,DATOS!$C$23*1/4)-MAX($V15,DATOS!$C$23*0/4))+(PRESIONES!$N$33-ABERTURAS!$L$63)*MAX(0,MIN($W15,DATOS!$C$23*2/4)-MAX($V15,DATOS!$C$23*1/4))+(PRESIONES!$N$34-ABERTURAS!$L$63)*MAX(0,MIN($W15,DATOS!$C$23*3/4)-MAX($V15,DATOS!$C$23*2/4))+(PRESIONES!$N$35-ABERTURAS!$L$63)*MAX(0,MIN($W15,DATOS!$C$23*4/4)-MAX($V15,DATOS!$C$23*3/4))))</f>
        <v>-95.588832165597367</v>
      </c>
      <c r="AV15" s="26">
        <f>IF($L15&lt;&gt;"OK",0,PRESIONES!$C$12*((PRESIONES!$E$32-ABERTURAS!$L$64)*MAX(0,MIN($W15,DATOS!$C$23*1/4)-MAX($V15,DATOS!$C$23*0/4))+(PRESIONES!$E$33-ABERTURAS!$L$64)*MAX(0,MIN($W15,DATOS!$C$23*2/4)-MAX($V15,DATOS!$C$23*1/4))+(PRESIONES!$E$34-ABERTURAS!$L$64)*MAX(0,MIN($W15,DATOS!$C$23*3/4)-MAX($V15,DATOS!$C$23*2/4))+(PRESIONES!$E$35-ABERTURAS!$L$64)*MAX(0,MIN($W15,DATOS!$C$23*4/4)-MAX($V15,DATOS!$C$23*3/4))))</f>
        <v>-13.184666505599633</v>
      </c>
      <c r="AW15" s="26">
        <f>IF($L15&lt;&gt;"OK",0,PRESIONES!$C$12*((PRESIONES!$H$32-ABERTURAS!$L$65)*MAX(0,MIN($W15,DATOS!$C$23*1/4)-MAX($V15,DATOS!$C$23*0/4))+(PRESIONES!$H$33-ABERTURAS!$L$65)*MAX(0,MIN($W15,DATOS!$C$23*2/4)-MAX($V15,DATOS!$C$23*1/4))+(PRESIONES!$H$34-ABERTURAS!$L$65)*MAX(0,MIN($W15,DATOS!$C$23*3/4)-MAX($V15,DATOS!$C$23*2/4))+(PRESIONES!$H$35-ABERTURAS!$L$65)*MAX(0,MIN($W15,DATOS!$C$23*4/4)-MAX($V15,DATOS!$C$23*3/4))))</f>
        <v>-13.184666505599633</v>
      </c>
      <c r="AX15" s="26">
        <f>IF($L15&lt;&gt;"OK",0,PRESIONES!$C$12*((PRESIONES!$K$32-ABERTURAS!$L$66)*MAX(0,MIN($W15,DATOS!$C$23*1/4)-MAX($V15,DATOS!$C$23*0/4))+(PRESIONES!$K$33-ABERTURAS!$L$66)*MAX(0,MIN($W15,DATOS!$C$23*2/4)-MAX($V15,DATOS!$C$23*1/4))+(PRESIONES!$K$34-ABERTURAS!$L$66)*MAX(0,MIN($W15,DATOS!$C$23*3/4)-MAX($V15,DATOS!$C$23*2/4))+(PRESIONES!$K$35-ABERTURAS!$L$66)*MAX(0,MIN($W15,DATOS!$C$23*4/4)-MAX($V15,DATOS!$C$23*3/4))))</f>
        <v>-6.5923332527998166</v>
      </c>
      <c r="AY15" s="26">
        <f>IF($L15&lt;&gt;"OK",0,PRESIONES!$C$12*((PRESIONES!$N$32-ABERTURAS!$L$67)*MAX(0,MIN($W15,DATOS!$C$23*1/4)-MAX($V15,DATOS!$C$23*0/4))+(PRESIONES!$N$33-ABERTURAS!$L$67)*MAX(0,MIN($W15,DATOS!$C$23*2/4)-MAX($V15,DATOS!$C$23*1/4))+(PRESIONES!$N$34-ABERTURAS!$L$67)*MAX(0,MIN($W15,DATOS!$C$23*3/4)-MAX($V15,DATOS!$C$23*2/4))+(PRESIONES!$N$35-ABERTURAS!$L$67)*MAX(0,MIN($W15,DATOS!$C$23*4/4)-MAX($V15,DATOS!$C$23*3/4))))</f>
        <v>-95.588832165597367</v>
      </c>
      <c r="AZ15" s="26">
        <f>IF($L15&lt;&gt;"OK",0,PRESIONES!$C$12*((PRESIONES!$E$32-ABERTURAS!$L$60)*MAX(0,MIN($W15,DATOS!$C$23*1/4)-MAX($V15,DATOS!$C$23*0/4))*PRESIONES!$C$18+(PRESIONES!$E$33-ABERTURAS!$L$60)*MAX(0,MIN($W15,DATOS!$C$23*2/4)-MAX($V15,DATOS!$C$23*1/4))*PRESIONES!$C$19+(PRESIONES!$E$34-ABERTURAS!$L$60)*MAX(0,MIN($W15,DATOS!$C$23*3/4)-MAX($V15,DATOS!$C$23*2/4))*PRESIONES!$C$20+(PRESIONES!$E$35-ABERTURAS!$L$60)*MAX(0,MIN($W15,DATOS!$C$23*4/4)-MAX($V15,DATOS!$C$23*3/4))*PRESIONES!$C$21))</f>
        <v>0.6592333252799808</v>
      </c>
      <c r="BA15" s="26">
        <f>IF($L15&lt;&gt;"OK",0,PRESIONES!$C$12*((PRESIONES!$H$32-ABERTURAS!$L$61)*MAX(0,MIN($W15,DATOS!$C$23*1/4)-MAX($V15,DATOS!$C$23*0/4))*PRESIONES!$C$18+(PRESIONES!$H$33-ABERTURAS!$L$61)*MAX(0,MIN($W15,DATOS!$C$23*2/4)-MAX($V15,DATOS!$C$23*1/4))*PRESIONES!$C$19+(PRESIONES!$H$34-ABERTURAS!$L$61)*MAX(0,MIN($W15,DATOS!$C$23*3/4)-MAX($V15,DATOS!$C$23*2/4))*PRESIONES!$C$20+(PRESIONES!$H$35-ABERTURAS!$L$61)*MAX(0,MIN($W15,DATOS!$C$23*4/4)-MAX($V15,DATOS!$C$23*3/4))*PRESIONES!$C$21))</f>
        <v>0.6592333252799808</v>
      </c>
      <c r="BB15" s="26">
        <f>IF($L15&lt;&gt;"OK",0,PRESIONES!$C$12*((PRESIONES!$K$32-ABERTURAS!$L$62)*MAX(0,MIN($W15,DATOS!$C$23*1/4)-MAX($V15,DATOS!$C$23*0/4))*PRESIONES!$C$18+(PRESIONES!$K$33-ABERTURAS!$L$62)*MAX(0,MIN($W15,DATOS!$C$23*2/4)-MAX($V15,DATOS!$C$23*1/4))*PRESIONES!$C$19+(PRESIONES!$K$34-ABERTURAS!$L$62)*MAX(0,MIN($W15,DATOS!$C$23*3/4)-MAX($V15,DATOS!$C$23*2/4))*PRESIONES!$C$20+(PRESIONES!$K$35-ABERTURAS!$L$62)*MAX(0,MIN($W15,DATOS!$C$23*4/4)-MAX($V15,DATOS!$C$23*3/4))*PRESIONES!$C$21))</f>
        <v>0.3296166626399904</v>
      </c>
      <c r="BC15" s="26">
        <f>IF($L15&lt;&gt;"OK",0,PRESIONES!$C$12*((PRESIONES!$N$32-ABERTURAS!$L$63)*MAX(0,MIN($W15,DATOS!$C$23*1/4)-MAX($V15,DATOS!$C$23*0/4))*PRESIONES!$C$18+(PRESIONES!$N$33-ABERTURAS!$L$63)*MAX(0,MIN($W15,DATOS!$C$23*2/4)-MAX($V15,DATOS!$C$23*1/4))*PRESIONES!$C$19+(PRESIONES!$N$34-ABERTURAS!$L$63)*MAX(0,MIN($W15,DATOS!$C$23*3/4)-MAX($V15,DATOS!$C$23*2/4))*PRESIONES!$C$20+(PRESIONES!$N$35-ABERTURAS!$L$63)*MAX(0,MIN($W15,DATOS!$C$23*4/4)-MAX($V15,DATOS!$C$23*3/4))*PRESIONES!$C$21))</f>
        <v>4.7794416082798623</v>
      </c>
      <c r="BD15" s="26">
        <f>IF($L15&lt;&gt;"OK",0,PRESIONES!$C$12*((PRESIONES!$E$32-ABERTURAS!$L$64)*MAX(0,MIN($W15,DATOS!$C$23*1/4)-MAX($V15,DATOS!$C$23*0/4))*PRESIONES!$C$18+(PRESIONES!$E$33-ABERTURAS!$L$64)*MAX(0,MIN($W15,DATOS!$C$23*2/4)-MAX($V15,DATOS!$C$23*1/4))*PRESIONES!$C$19+(PRESIONES!$E$34-ABERTURAS!$L$64)*MAX(0,MIN($W15,DATOS!$C$23*3/4)-MAX($V15,DATOS!$C$23*2/4))*PRESIONES!$C$20+(PRESIONES!$E$35-ABERTURAS!$L$64)*MAX(0,MIN($W15,DATOS!$C$23*4/4)-MAX($V15,DATOS!$C$23*3/4))*PRESIONES!$C$21))</f>
        <v>0.6592333252799808</v>
      </c>
      <c r="BE15" s="26">
        <f>IF($L15&lt;&gt;"OK",0,PRESIONES!$C$12*((PRESIONES!$H$32-ABERTURAS!$L$65)*MAX(0,MIN($W15,DATOS!$C$23*1/4)-MAX($V15,DATOS!$C$23*0/4))*PRESIONES!$C$18+(PRESIONES!$H$33-ABERTURAS!$L$65)*MAX(0,MIN($W15,DATOS!$C$23*2/4)-MAX($V15,DATOS!$C$23*1/4))*PRESIONES!$C$19+(PRESIONES!$H$34-ABERTURAS!$L$65)*MAX(0,MIN($W15,DATOS!$C$23*3/4)-MAX($V15,DATOS!$C$23*2/4))*PRESIONES!$C$20+(PRESIONES!$H$35-ABERTURAS!$L$65)*MAX(0,MIN($W15,DATOS!$C$23*4/4)-MAX($V15,DATOS!$C$23*3/4))*PRESIONES!$C$21))</f>
        <v>0.6592333252799808</v>
      </c>
      <c r="BF15" s="26">
        <f>IF($L15&lt;&gt;"OK",0,PRESIONES!$C$12*((PRESIONES!$K$32-ABERTURAS!$L$66)*MAX(0,MIN($W15,DATOS!$C$23*1/4)-MAX($V15,DATOS!$C$23*0/4))*PRESIONES!$C$18+(PRESIONES!$K$33-ABERTURAS!$L$66)*MAX(0,MIN($W15,DATOS!$C$23*2/4)-MAX($V15,DATOS!$C$23*1/4))*PRESIONES!$C$19+(PRESIONES!$K$34-ABERTURAS!$L$66)*MAX(0,MIN($W15,DATOS!$C$23*3/4)-MAX($V15,DATOS!$C$23*2/4))*PRESIONES!$C$20+(PRESIONES!$K$35-ABERTURAS!$L$66)*MAX(0,MIN($W15,DATOS!$C$23*4/4)-MAX($V15,DATOS!$C$23*3/4))*PRESIONES!$C$21))</f>
        <v>0.3296166626399904</v>
      </c>
      <c r="BG15" s="26">
        <f>IF($L15&lt;&gt;"OK",0,PRESIONES!$C$12*((PRESIONES!$N$32-ABERTURAS!$L$67)*MAX(0,MIN($W15,DATOS!$C$23*1/4)-MAX($V15,DATOS!$C$23*0/4))*PRESIONES!$C$18+(PRESIONES!$N$33-ABERTURAS!$L$67)*MAX(0,MIN($W15,DATOS!$C$23*2/4)-MAX($V15,DATOS!$C$23*1/4))*PRESIONES!$C$19+(PRESIONES!$N$34-ABERTURAS!$L$67)*MAX(0,MIN($W15,DATOS!$C$23*3/4)-MAX($V15,DATOS!$C$23*2/4))*PRESIONES!$C$20+(PRESIONES!$N$35-ABERTURAS!$L$67)*MAX(0,MIN($W15,DATOS!$C$23*4/4)-MAX($V15,DATOS!$C$23*3/4))*PRESIONES!$C$21))</f>
        <v>4.7794416082798623</v>
      </c>
    </row>
    <row r="16" spans="2:59" ht="16.5" customHeight="1" x14ac:dyDescent="0.3">
      <c r="B16" s="4" t="s">
        <v>411</v>
      </c>
      <c r="C16" s="15" t="s">
        <v>397</v>
      </c>
      <c r="D16" s="4" t="s">
        <v>412</v>
      </c>
      <c r="E16" s="15" t="s">
        <v>80</v>
      </c>
      <c r="F16" s="40">
        <v>0</v>
      </c>
      <c r="G16" s="40">
        <v>10.08</v>
      </c>
      <c r="H16" s="40">
        <v>8.7750000000000004</v>
      </c>
      <c r="I16" s="40">
        <v>10.125</v>
      </c>
      <c r="J16" s="40"/>
      <c r="K16" s="40"/>
      <c r="L16" s="18" t="str">
        <f>IF($D16="","",IF($C16&lt;&gt;"TECHO","PON TECHO",IF(OR($F16="",$G16="",$H16="",$I16=""),"FALTAN a o b",IF($M16&lt;=0,"a₂ DEBE SER &gt; a₁",IF($N16&lt;=0,"b₂ DEBE SER &gt; b₁",IF(OR($V16&lt;-0.001,$W16&gt;DATOS!$C$23+0.001),"SE SALE DEL TECHO","OK"))))))</f>
        <v>OK</v>
      </c>
      <c r="M16" s="26">
        <f t="shared" si="0"/>
        <v>10.08</v>
      </c>
      <c r="N16" s="26">
        <f t="shared" si="1"/>
        <v>1.3499999999999996</v>
      </c>
      <c r="O16" s="26">
        <f t="shared" si="2"/>
        <v>13.607999999999997</v>
      </c>
      <c r="P16" s="26">
        <v>0</v>
      </c>
      <c r="Q16" s="26">
        <v>0</v>
      </c>
      <c r="R16" s="26">
        <f t="shared" si="3"/>
        <v>13.607999999999997</v>
      </c>
      <c r="S16" s="26">
        <f t="shared" si="3"/>
        <v>13.607999999999997</v>
      </c>
      <c r="T16" s="41">
        <f>IF($D16="",0,DATOS!$C$21)</f>
        <v>10.62</v>
      </c>
      <c r="U16" s="41">
        <v>0</v>
      </c>
      <c r="V16" s="41">
        <f t="shared" si="4"/>
        <v>8.7750000000000004</v>
      </c>
      <c r="W16" s="41">
        <f t="shared" si="5"/>
        <v>10.125</v>
      </c>
      <c r="AB16" s="26">
        <f>IF($L16&lt;&gt;"OK",0,PRESIONES!$C$12*((PRESIONES!$D$32-ABERTURAS!$L$60)*MAX(0,MIN($W16,DATOS!$C$23*1/4)-MAX($V16,DATOS!$C$23*0/4))+(PRESIONES!$D$33-ABERTURAS!$L$60)*MAX(0,MIN($W16,DATOS!$C$23*2/4)-MAX($V16,DATOS!$C$23*1/4))+(PRESIONES!$D$34-ABERTURAS!$L$60)*MAX(0,MIN($W16,DATOS!$C$23*3/4)-MAX($V16,DATOS!$C$23*2/4))+(PRESIONES!$D$35-ABERTURAS!$L$60)*MAX(0,MIN($W16,DATOS!$C$23*4/4)-MAX($V16,DATOS!$C$23*3/4))))</f>
        <v>-13.184666505599624</v>
      </c>
      <c r="AC16" s="26">
        <f>IF($L16&lt;&gt;"OK",0,PRESIONES!$C$12*((PRESIONES!$G$32-ABERTURAS!$L$61)*MAX(0,MIN($W16,DATOS!$C$23*1/4)-MAX($V16,DATOS!$C$23*0/4))+(PRESIONES!$G$33-ABERTURAS!$L$61)*MAX(0,MIN($W16,DATOS!$C$23*2/4)-MAX($V16,DATOS!$C$23*1/4))+(PRESIONES!$G$34-ABERTURAS!$L$61)*MAX(0,MIN($W16,DATOS!$C$23*3/4)-MAX($V16,DATOS!$C$23*2/4))+(PRESIONES!$G$35-ABERTURAS!$L$61)*MAX(0,MIN($W16,DATOS!$C$23*4/4)-MAX($V16,DATOS!$C$23*3/4))))</f>
        <v>-13.184666505599624</v>
      </c>
      <c r="AD16" s="26">
        <f>IF($L16&lt;&gt;"OK",0,PRESIONES!$C$12*((PRESIONES!$J$32-ABERTURAS!$L$62)*MAX(0,MIN($W16,DATOS!$C$23*1/4)-MAX($V16,DATOS!$C$23*0/4))+(PRESIONES!$J$33-ABERTURAS!$L$62)*MAX(0,MIN($W16,DATOS!$C$23*2/4)-MAX($V16,DATOS!$C$23*1/4))+(PRESIONES!$J$34-ABERTURAS!$L$62)*MAX(0,MIN($W16,DATOS!$C$23*3/4)-MAX($V16,DATOS!$C$23*2/4))+(PRESIONES!$J$35-ABERTURAS!$L$62)*MAX(0,MIN($W16,DATOS!$C$23*4/4)-MAX($V16,DATOS!$C$23*3/4))))</f>
        <v>-6.5923332527998122</v>
      </c>
      <c r="AE16" s="26">
        <f>IF($L16&lt;&gt;"OK",0,PRESIONES!$C$12*((PRESIONES!$M$32-ABERTURAS!$L$63)*MAX(0,MIN($W16,DATOS!$C$23*1/4)-MAX($V16,DATOS!$C$23*0/4))+(PRESIONES!$M$33-ABERTURAS!$L$63)*MAX(0,MIN($W16,DATOS!$C$23*2/4)-MAX($V16,DATOS!$C$23*1/4))+(PRESIONES!$M$34-ABERTURAS!$L$63)*MAX(0,MIN($W16,DATOS!$C$23*3/4)-MAX($V16,DATOS!$C$23*2/4))+(PRESIONES!$M$35-ABERTURAS!$L$63)*MAX(0,MIN($W16,DATOS!$C$23*4/4)-MAX($V16,DATOS!$C$23*3/4))))</f>
        <v>-95.588832165597296</v>
      </c>
      <c r="AF16" s="26">
        <f>IF($L16&lt;&gt;"OK",0,PRESIONES!$C$12*((PRESIONES!$D$32-ABERTURAS!$L$64)*MAX(0,MIN($W16,DATOS!$C$23*1/4)-MAX($V16,DATOS!$C$23*0/4))+(PRESIONES!$D$33-ABERTURAS!$L$64)*MAX(0,MIN($W16,DATOS!$C$23*2/4)-MAX($V16,DATOS!$C$23*1/4))+(PRESIONES!$D$34-ABERTURAS!$L$64)*MAX(0,MIN($W16,DATOS!$C$23*3/4)-MAX($V16,DATOS!$C$23*2/4))+(PRESIONES!$D$35-ABERTURAS!$L$64)*MAX(0,MIN($W16,DATOS!$C$23*4/4)-MAX($V16,DATOS!$C$23*3/4))))</f>
        <v>-13.184666505599624</v>
      </c>
      <c r="AG16" s="26">
        <f>IF($L16&lt;&gt;"OK",0,PRESIONES!$C$12*((PRESIONES!$G$32-ABERTURAS!$L$65)*MAX(0,MIN($W16,DATOS!$C$23*1/4)-MAX($V16,DATOS!$C$23*0/4))+(PRESIONES!$G$33-ABERTURAS!$L$65)*MAX(0,MIN($W16,DATOS!$C$23*2/4)-MAX($V16,DATOS!$C$23*1/4))+(PRESIONES!$G$34-ABERTURAS!$L$65)*MAX(0,MIN($W16,DATOS!$C$23*3/4)-MAX($V16,DATOS!$C$23*2/4))+(PRESIONES!$G$35-ABERTURAS!$L$65)*MAX(0,MIN($W16,DATOS!$C$23*4/4)-MAX($V16,DATOS!$C$23*3/4))))</f>
        <v>-13.184666505599624</v>
      </c>
      <c r="AH16" s="26">
        <f>IF($L16&lt;&gt;"OK",0,PRESIONES!$C$12*((PRESIONES!$J$32-ABERTURAS!$L$66)*MAX(0,MIN($W16,DATOS!$C$23*1/4)-MAX($V16,DATOS!$C$23*0/4))+(PRESIONES!$J$33-ABERTURAS!$L$66)*MAX(0,MIN($W16,DATOS!$C$23*2/4)-MAX($V16,DATOS!$C$23*1/4))+(PRESIONES!$J$34-ABERTURAS!$L$66)*MAX(0,MIN($W16,DATOS!$C$23*3/4)-MAX($V16,DATOS!$C$23*2/4))+(PRESIONES!$J$35-ABERTURAS!$L$66)*MAX(0,MIN($W16,DATOS!$C$23*4/4)-MAX($V16,DATOS!$C$23*3/4))))</f>
        <v>-6.5923332527998122</v>
      </c>
      <c r="AI16" s="26">
        <f>IF($L16&lt;&gt;"OK",0,PRESIONES!$C$12*((PRESIONES!$M$32-ABERTURAS!$L$67)*MAX(0,MIN($W16,DATOS!$C$23*1/4)-MAX($V16,DATOS!$C$23*0/4))+(PRESIONES!$M$33-ABERTURAS!$L$67)*MAX(0,MIN($W16,DATOS!$C$23*2/4)-MAX($V16,DATOS!$C$23*1/4))+(PRESIONES!$M$34-ABERTURAS!$L$67)*MAX(0,MIN($W16,DATOS!$C$23*3/4)-MAX($V16,DATOS!$C$23*2/4))+(PRESIONES!$M$35-ABERTURAS!$L$67)*MAX(0,MIN($W16,DATOS!$C$23*4/4)-MAX($V16,DATOS!$C$23*3/4))))</f>
        <v>-95.588832165597296</v>
      </c>
      <c r="AJ16" s="26">
        <f>IF($L16&lt;&gt;"OK",0,PRESIONES!$C$12*((PRESIONES!$D$32-ABERTURAS!$L$60)*MAX(0,MIN($W16,DATOS!$C$23*1/4)-MAX($V16,DATOS!$C$23*0/4))*PRESIONES!$C$18+(PRESIONES!$D$33-ABERTURAS!$L$60)*MAX(0,MIN($W16,DATOS!$C$23*2/4)-MAX($V16,DATOS!$C$23*1/4))*PRESIONES!$C$19+(PRESIONES!$D$34-ABERTURAS!$L$60)*MAX(0,MIN($W16,DATOS!$C$23*3/4)-MAX($V16,DATOS!$C$23*2/4))*PRESIONES!$C$20+(PRESIONES!$D$35-ABERTURAS!$L$60)*MAX(0,MIN($W16,DATOS!$C$23*4/4)-MAX($V16,DATOS!$C$23*3/4))*PRESIONES!$C$21))</f>
        <v>0.65923332527998035</v>
      </c>
      <c r="AK16" s="26">
        <f>IF($L16&lt;&gt;"OK",0,PRESIONES!$C$12*((PRESIONES!$G$32-ABERTURAS!$L$61)*MAX(0,MIN($W16,DATOS!$C$23*1/4)-MAX($V16,DATOS!$C$23*0/4))*PRESIONES!$C$18+(PRESIONES!$G$33-ABERTURAS!$L$61)*MAX(0,MIN($W16,DATOS!$C$23*2/4)-MAX($V16,DATOS!$C$23*1/4))*PRESIONES!$C$19+(PRESIONES!$G$34-ABERTURAS!$L$61)*MAX(0,MIN($W16,DATOS!$C$23*3/4)-MAX($V16,DATOS!$C$23*2/4))*PRESIONES!$C$20+(PRESIONES!$G$35-ABERTURAS!$L$61)*MAX(0,MIN($W16,DATOS!$C$23*4/4)-MAX($V16,DATOS!$C$23*3/4))*PRESIONES!$C$21))</f>
        <v>0.65923332527998035</v>
      </c>
      <c r="AL16" s="26">
        <f>IF($L16&lt;&gt;"OK",0,PRESIONES!$C$12*((PRESIONES!$J$32-ABERTURAS!$L$62)*MAX(0,MIN($W16,DATOS!$C$23*1/4)-MAX($V16,DATOS!$C$23*0/4))*PRESIONES!$C$18+(PRESIONES!$J$33-ABERTURAS!$L$62)*MAX(0,MIN($W16,DATOS!$C$23*2/4)-MAX($V16,DATOS!$C$23*1/4))*PRESIONES!$C$19+(PRESIONES!$J$34-ABERTURAS!$L$62)*MAX(0,MIN($W16,DATOS!$C$23*3/4)-MAX($V16,DATOS!$C$23*2/4))*PRESIONES!$C$20+(PRESIONES!$J$35-ABERTURAS!$L$62)*MAX(0,MIN($W16,DATOS!$C$23*4/4)-MAX($V16,DATOS!$C$23*3/4))*PRESIONES!$C$21))</f>
        <v>0.32961666263999018</v>
      </c>
      <c r="AM16" s="26">
        <f>IF($L16&lt;&gt;"OK",0,PRESIONES!$C$12*((PRESIONES!$M$32-ABERTURAS!$L$63)*MAX(0,MIN($W16,DATOS!$C$23*1/4)-MAX($V16,DATOS!$C$23*0/4))*PRESIONES!$C$18+(PRESIONES!$M$33-ABERTURAS!$L$63)*MAX(0,MIN($W16,DATOS!$C$23*2/4)-MAX($V16,DATOS!$C$23*1/4))*PRESIONES!$C$19+(PRESIONES!$M$34-ABERTURAS!$L$63)*MAX(0,MIN($W16,DATOS!$C$23*3/4)-MAX($V16,DATOS!$C$23*2/4))*PRESIONES!$C$20+(PRESIONES!$M$35-ABERTURAS!$L$63)*MAX(0,MIN($W16,DATOS!$C$23*4/4)-MAX($V16,DATOS!$C$23*3/4))*PRESIONES!$C$21))</f>
        <v>4.7794416082798588</v>
      </c>
      <c r="AN16" s="26">
        <f>IF($L16&lt;&gt;"OK",0,PRESIONES!$C$12*((PRESIONES!$D$32-ABERTURAS!$L$64)*MAX(0,MIN($W16,DATOS!$C$23*1/4)-MAX($V16,DATOS!$C$23*0/4))*PRESIONES!$C$18+(PRESIONES!$D$33-ABERTURAS!$L$64)*MAX(0,MIN($W16,DATOS!$C$23*2/4)-MAX($V16,DATOS!$C$23*1/4))*PRESIONES!$C$19+(PRESIONES!$D$34-ABERTURAS!$L$64)*MAX(0,MIN($W16,DATOS!$C$23*3/4)-MAX($V16,DATOS!$C$23*2/4))*PRESIONES!$C$20+(PRESIONES!$D$35-ABERTURAS!$L$64)*MAX(0,MIN($W16,DATOS!$C$23*4/4)-MAX($V16,DATOS!$C$23*3/4))*PRESIONES!$C$21))</f>
        <v>0.65923332527998035</v>
      </c>
      <c r="AO16" s="26">
        <f>IF($L16&lt;&gt;"OK",0,PRESIONES!$C$12*((PRESIONES!$G$32-ABERTURAS!$L$65)*MAX(0,MIN($W16,DATOS!$C$23*1/4)-MAX($V16,DATOS!$C$23*0/4))*PRESIONES!$C$18+(PRESIONES!$G$33-ABERTURAS!$L$65)*MAX(0,MIN($W16,DATOS!$C$23*2/4)-MAX($V16,DATOS!$C$23*1/4))*PRESIONES!$C$19+(PRESIONES!$G$34-ABERTURAS!$L$65)*MAX(0,MIN($W16,DATOS!$C$23*3/4)-MAX($V16,DATOS!$C$23*2/4))*PRESIONES!$C$20+(PRESIONES!$G$35-ABERTURAS!$L$65)*MAX(0,MIN($W16,DATOS!$C$23*4/4)-MAX($V16,DATOS!$C$23*3/4))*PRESIONES!$C$21))</f>
        <v>0.65923332527998035</v>
      </c>
      <c r="AP16" s="26">
        <f>IF($L16&lt;&gt;"OK",0,PRESIONES!$C$12*((PRESIONES!$J$32-ABERTURAS!$L$66)*MAX(0,MIN($W16,DATOS!$C$23*1/4)-MAX($V16,DATOS!$C$23*0/4))*PRESIONES!$C$18+(PRESIONES!$J$33-ABERTURAS!$L$66)*MAX(0,MIN($W16,DATOS!$C$23*2/4)-MAX($V16,DATOS!$C$23*1/4))*PRESIONES!$C$19+(PRESIONES!$J$34-ABERTURAS!$L$66)*MAX(0,MIN($W16,DATOS!$C$23*3/4)-MAX($V16,DATOS!$C$23*2/4))*PRESIONES!$C$20+(PRESIONES!$J$35-ABERTURAS!$L$66)*MAX(0,MIN($W16,DATOS!$C$23*4/4)-MAX($V16,DATOS!$C$23*3/4))*PRESIONES!$C$21))</f>
        <v>0.32961666263999018</v>
      </c>
      <c r="AQ16" s="26">
        <f>IF($L16&lt;&gt;"OK",0,PRESIONES!$C$12*((PRESIONES!$M$32-ABERTURAS!$L$67)*MAX(0,MIN($W16,DATOS!$C$23*1/4)-MAX($V16,DATOS!$C$23*0/4))*PRESIONES!$C$18+(PRESIONES!$M$33-ABERTURAS!$L$67)*MAX(0,MIN($W16,DATOS!$C$23*2/4)-MAX($V16,DATOS!$C$23*1/4))*PRESIONES!$C$19+(PRESIONES!$M$34-ABERTURAS!$L$67)*MAX(0,MIN($W16,DATOS!$C$23*3/4)-MAX($V16,DATOS!$C$23*2/4))*PRESIONES!$C$20+(PRESIONES!$M$35-ABERTURAS!$L$67)*MAX(0,MIN($W16,DATOS!$C$23*4/4)-MAX($V16,DATOS!$C$23*3/4))*PRESIONES!$C$21))</f>
        <v>4.7794416082798588</v>
      </c>
      <c r="AR16" s="26">
        <f>IF($L16&lt;&gt;"OK",0,PRESIONES!$C$12*((PRESIONES!$E$32-ABERTURAS!$L$60)*MAX(0,MIN($W16,DATOS!$C$23*1/4)-MAX($V16,DATOS!$C$23*0/4))+(PRESIONES!$E$33-ABERTURAS!$L$60)*MAX(0,MIN($W16,DATOS!$C$23*2/4)-MAX($V16,DATOS!$C$23*1/4))+(PRESIONES!$E$34-ABERTURAS!$L$60)*MAX(0,MIN($W16,DATOS!$C$23*3/4)-MAX($V16,DATOS!$C$23*2/4))+(PRESIONES!$E$35-ABERTURAS!$L$60)*MAX(0,MIN($W16,DATOS!$C$23*4/4)-MAX($V16,DATOS!$C$23*3/4))))</f>
        <v>-13.184666505599624</v>
      </c>
      <c r="AS16" s="26">
        <f>IF($L16&lt;&gt;"OK",0,PRESIONES!$C$12*((PRESIONES!$H$32-ABERTURAS!$L$61)*MAX(0,MIN($W16,DATOS!$C$23*1/4)-MAX($V16,DATOS!$C$23*0/4))+(PRESIONES!$H$33-ABERTURAS!$L$61)*MAX(0,MIN($W16,DATOS!$C$23*2/4)-MAX($V16,DATOS!$C$23*1/4))+(PRESIONES!$H$34-ABERTURAS!$L$61)*MAX(0,MIN($W16,DATOS!$C$23*3/4)-MAX($V16,DATOS!$C$23*2/4))+(PRESIONES!$H$35-ABERTURAS!$L$61)*MAX(0,MIN($W16,DATOS!$C$23*4/4)-MAX($V16,DATOS!$C$23*3/4))))</f>
        <v>-13.184666505599624</v>
      </c>
      <c r="AT16" s="26">
        <f>IF($L16&lt;&gt;"OK",0,PRESIONES!$C$12*((PRESIONES!$K$32-ABERTURAS!$L$62)*MAX(0,MIN($W16,DATOS!$C$23*1/4)-MAX($V16,DATOS!$C$23*0/4))+(PRESIONES!$K$33-ABERTURAS!$L$62)*MAX(0,MIN($W16,DATOS!$C$23*2/4)-MAX($V16,DATOS!$C$23*1/4))+(PRESIONES!$K$34-ABERTURAS!$L$62)*MAX(0,MIN($W16,DATOS!$C$23*3/4)-MAX($V16,DATOS!$C$23*2/4))+(PRESIONES!$K$35-ABERTURAS!$L$62)*MAX(0,MIN($W16,DATOS!$C$23*4/4)-MAX($V16,DATOS!$C$23*3/4))))</f>
        <v>-6.5923332527998122</v>
      </c>
      <c r="AU16" s="26">
        <f>IF($L16&lt;&gt;"OK",0,PRESIONES!$C$12*((PRESIONES!$N$32-ABERTURAS!$L$63)*MAX(0,MIN($W16,DATOS!$C$23*1/4)-MAX($V16,DATOS!$C$23*0/4))+(PRESIONES!$N$33-ABERTURAS!$L$63)*MAX(0,MIN($W16,DATOS!$C$23*2/4)-MAX($V16,DATOS!$C$23*1/4))+(PRESIONES!$N$34-ABERTURAS!$L$63)*MAX(0,MIN($W16,DATOS!$C$23*3/4)-MAX($V16,DATOS!$C$23*2/4))+(PRESIONES!$N$35-ABERTURAS!$L$63)*MAX(0,MIN($W16,DATOS!$C$23*4/4)-MAX($V16,DATOS!$C$23*3/4))))</f>
        <v>-95.588832165597296</v>
      </c>
      <c r="AV16" s="26">
        <f>IF($L16&lt;&gt;"OK",0,PRESIONES!$C$12*((PRESIONES!$E$32-ABERTURAS!$L$64)*MAX(0,MIN($W16,DATOS!$C$23*1/4)-MAX($V16,DATOS!$C$23*0/4))+(PRESIONES!$E$33-ABERTURAS!$L$64)*MAX(0,MIN($W16,DATOS!$C$23*2/4)-MAX($V16,DATOS!$C$23*1/4))+(PRESIONES!$E$34-ABERTURAS!$L$64)*MAX(0,MIN($W16,DATOS!$C$23*3/4)-MAX($V16,DATOS!$C$23*2/4))+(PRESIONES!$E$35-ABERTURAS!$L$64)*MAX(0,MIN($W16,DATOS!$C$23*4/4)-MAX($V16,DATOS!$C$23*3/4))))</f>
        <v>-13.184666505599624</v>
      </c>
      <c r="AW16" s="26">
        <f>IF($L16&lt;&gt;"OK",0,PRESIONES!$C$12*((PRESIONES!$H$32-ABERTURAS!$L$65)*MAX(0,MIN($W16,DATOS!$C$23*1/4)-MAX($V16,DATOS!$C$23*0/4))+(PRESIONES!$H$33-ABERTURAS!$L$65)*MAX(0,MIN($W16,DATOS!$C$23*2/4)-MAX($V16,DATOS!$C$23*1/4))+(PRESIONES!$H$34-ABERTURAS!$L$65)*MAX(0,MIN($W16,DATOS!$C$23*3/4)-MAX($V16,DATOS!$C$23*2/4))+(PRESIONES!$H$35-ABERTURAS!$L$65)*MAX(0,MIN($W16,DATOS!$C$23*4/4)-MAX($V16,DATOS!$C$23*3/4))))</f>
        <v>-13.184666505599624</v>
      </c>
      <c r="AX16" s="26">
        <f>IF($L16&lt;&gt;"OK",0,PRESIONES!$C$12*((PRESIONES!$K$32-ABERTURAS!$L$66)*MAX(0,MIN($W16,DATOS!$C$23*1/4)-MAX($V16,DATOS!$C$23*0/4))+(PRESIONES!$K$33-ABERTURAS!$L$66)*MAX(0,MIN($W16,DATOS!$C$23*2/4)-MAX($V16,DATOS!$C$23*1/4))+(PRESIONES!$K$34-ABERTURAS!$L$66)*MAX(0,MIN($W16,DATOS!$C$23*3/4)-MAX($V16,DATOS!$C$23*2/4))+(PRESIONES!$K$35-ABERTURAS!$L$66)*MAX(0,MIN($W16,DATOS!$C$23*4/4)-MAX($V16,DATOS!$C$23*3/4))))</f>
        <v>-6.5923332527998122</v>
      </c>
      <c r="AY16" s="26">
        <f>IF($L16&lt;&gt;"OK",0,PRESIONES!$C$12*((PRESIONES!$N$32-ABERTURAS!$L$67)*MAX(0,MIN($W16,DATOS!$C$23*1/4)-MAX($V16,DATOS!$C$23*0/4))+(PRESIONES!$N$33-ABERTURAS!$L$67)*MAX(0,MIN($W16,DATOS!$C$23*2/4)-MAX($V16,DATOS!$C$23*1/4))+(PRESIONES!$N$34-ABERTURAS!$L$67)*MAX(0,MIN($W16,DATOS!$C$23*3/4)-MAX($V16,DATOS!$C$23*2/4))+(PRESIONES!$N$35-ABERTURAS!$L$67)*MAX(0,MIN($W16,DATOS!$C$23*4/4)-MAX($V16,DATOS!$C$23*3/4))))</f>
        <v>-95.588832165597296</v>
      </c>
      <c r="AZ16" s="26">
        <f>IF($L16&lt;&gt;"OK",0,PRESIONES!$C$12*((PRESIONES!$E$32-ABERTURAS!$L$60)*MAX(0,MIN($W16,DATOS!$C$23*1/4)-MAX($V16,DATOS!$C$23*0/4))*PRESIONES!$C$18+(PRESIONES!$E$33-ABERTURAS!$L$60)*MAX(0,MIN($W16,DATOS!$C$23*2/4)-MAX($V16,DATOS!$C$23*1/4))*PRESIONES!$C$19+(PRESIONES!$E$34-ABERTURAS!$L$60)*MAX(0,MIN($W16,DATOS!$C$23*3/4)-MAX($V16,DATOS!$C$23*2/4))*PRESIONES!$C$20+(PRESIONES!$E$35-ABERTURAS!$L$60)*MAX(0,MIN($W16,DATOS!$C$23*4/4)-MAX($V16,DATOS!$C$23*3/4))*PRESIONES!$C$21))</f>
        <v>0.65923332527998035</v>
      </c>
      <c r="BA16" s="26">
        <f>IF($L16&lt;&gt;"OK",0,PRESIONES!$C$12*((PRESIONES!$H$32-ABERTURAS!$L$61)*MAX(0,MIN($W16,DATOS!$C$23*1/4)-MAX($V16,DATOS!$C$23*0/4))*PRESIONES!$C$18+(PRESIONES!$H$33-ABERTURAS!$L$61)*MAX(0,MIN($W16,DATOS!$C$23*2/4)-MAX($V16,DATOS!$C$23*1/4))*PRESIONES!$C$19+(PRESIONES!$H$34-ABERTURAS!$L$61)*MAX(0,MIN($W16,DATOS!$C$23*3/4)-MAX($V16,DATOS!$C$23*2/4))*PRESIONES!$C$20+(PRESIONES!$H$35-ABERTURAS!$L$61)*MAX(0,MIN($W16,DATOS!$C$23*4/4)-MAX($V16,DATOS!$C$23*3/4))*PRESIONES!$C$21))</f>
        <v>0.65923332527998035</v>
      </c>
      <c r="BB16" s="26">
        <f>IF($L16&lt;&gt;"OK",0,PRESIONES!$C$12*((PRESIONES!$K$32-ABERTURAS!$L$62)*MAX(0,MIN($W16,DATOS!$C$23*1/4)-MAX($V16,DATOS!$C$23*0/4))*PRESIONES!$C$18+(PRESIONES!$K$33-ABERTURAS!$L$62)*MAX(0,MIN($W16,DATOS!$C$23*2/4)-MAX($V16,DATOS!$C$23*1/4))*PRESIONES!$C$19+(PRESIONES!$K$34-ABERTURAS!$L$62)*MAX(0,MIN($W16,DATOS!$C$23*3/4)-MAX($V16,DATOS!$C$23*2/4))*PRESIONES!$C$20+(PRESIONES!$K$35-ABERTURAS!$L$62)*MAX(0,MIN($W16,DATOS!$C$23*4/4)-MAX($V16,DATOS!$C$23*3/4))*PRESIONES!$C$21))</f>
        <v>0.32961666263999018</v>
      </c>
      <c r="BC16" s="26">
        <f>IF($L16&lt;&gt;"OK",0,PRESIONES!$C$12*((PRESIONES!$N$32-ABERTURAS!$L$63)*MAX(0,MIN($W16,DATOS!$C$23*1/4)-MAX($V16,DATOS!$C$23*0/4))*PRESIONES!$C$18+(PRESIONES!$N$33-ABERTURAS!$L$63)*MAX(0,MIN($W16,DATOS!$C$23*2/4)-MAX($V16,DATOS!$C$23*1/4))*PRESIONES!$C$19+(PRESIONES!$N$34-ABERTURAS!$L$63)*MAX(0,MIN($W16,DATOS!$C$23*3/4)-MAX($V16,DATOS!$C$23*2/4))*PRESIONES!$C$20+(PRESIONES!$N$35-ABERTURAS!$L$63)*MAX(0,MIN($W16,DATOS!$C$23*4/4)-MAX($V16,DATOS!$C$23*3/4))*PRESIONES!$C$21))</f>
        <v>4.7794416082798588</v>
      </c>
      <c r="BD16" s="26">
        <f>IF($L16&lt;&gt;"OK",0,PRESIONES!$C$12*((PRESIONES!$E$32-ABERTURAS!$L$64)*MAX(0,MIN($W16,DATOS!$C$23*1/4)-MAX($V16,DATOS!$C$23*0/4))*PRESIONES!$C$18+(PRESIONES!$E$33-ABERTURAS!$L$64)*MAX(0,MIN($W16,DATOS!$C$23*2/4)-MAX($V16,DATOS!$C$23*1/4))*PRESIONES!$C$19+(PRESIONES!$E$34-ABERTURAS!$L$64)*MAX(0,MIN($W16,DATOS!$C$23*3/4)-MAX($V16,DATOS!$C$23*2/4))*PRESIONES!$C$20+(PRESIONES!$E$35-ABERTURAS!$L$64)*MAX(0,MIN($W16,DATOS!$C$23*4/4)-MAX($V16,DATOS!$C$23*3/4))*PRESIONES!$C$21))</f>
        <v>0.65923332527998035</v>
      </c>
      <c r="BE16" s="26">
        <f>IF($L16&lt;&gt;"OK",0,PRESIONES!$C$12*((PRESIONES!$H$32-ABERTURAS!$L$65)*MAX(0,MIN($W16,DATOS!$C$23*1/4)-MAX($V16,DATOS!$C$23*0/4))*PRESIONES!$C$18+(PRESIONES!$H$33-ABERTURAS!$L$65)*MAX(0,MIN($W16,DATOS!$C$23*2/4)-MAX($V16,DATOS!$C$23*1/4))*PRESIONES!$C$19+(PRESIONES!$H$34-ABERTURAS!$L$65)*MAX(0,MIN($W16,DATOS!$C$23*3/4)-MAX($V16,DATOS!$C$23*2/4))*PRESIONES!$C$20+(PRESIONES!$H$35-ABERTURAS!$L$65)*MAX(0,MIN($W16,DATOS!$C$23*4/4)-MAX($V16,DATOS!$C$23*3/4))*PRESIONES!$C$21))</f>
        <v>0.65923332527998035</v>
      </c>
      <c r="BF16" s="26">
        <f>IF($L16&lt;&gt;"OK",0,PRESIONES!$C$12*((PRESIONES!$K$32-ABERTURAS!$L$66)*MAX(0,MIN($W16,DATOS!$C$23*1/4)-MAX($V16,DATOS!$C$23*0/4))*PRESIONES!$C$18+(PRESIONES!$K$33-ABERTURAS!$L$66)*MAX(0,MIN($W16,DATOS!$C$23*2/4)-MAX($V16,DATOS!$C$23*1/4))*PRESIONES!$C$19+(PRESIONES!$K$34-ABERTURAS!$L$66)*MAX(0,MIN($W16,DATOS!$C$23*3/4)-MAX($V16,DATOS!$C$23*2/4))*PRESIONES!$C$20+(PRESIONES!$K$35-ABERTURAS!$L$66)*MAX(0,MIN($W16,DATOS!$C$23*4/4)-MAX($V16,DATOS!$C$23*3/4))*PRESIONES!$C$21))</f>
        <v>0.32961666263999018</v>
      </c>
      <c r="BG16" s="26">
        <f>IF($L16&lt;&gt;"OK",0,PRESIONES!$C$12*((PRESIONES!$N$32-ABERTURAS!$L$67)*MAX(0,MIN($W16,DATOS!$C$23*1/4)-MAX($V16,DATOS!$C$23*0/4))*PRESIONES!$C$18+(PRESIONES!$N$33-ABERTURAS!$L$67)*MAX(0,MIN($W16,DATOS!$C$23*2/4)-MAX($V16,DATOS!$C$23*1/4))*PRESIONES!$C$19+(PRESIONES!$N$34-ABERTURAS!$L$67)*MAX(0,MIN($W16,DATOS!$C$23*3/4)-MAX($V16,DATOS!$C$23*2/4))*PRESIONES!$C$20+(PRESIONES!$N$35-ABERTURAS!$L$67)*MAX(0,MIN($W16,DATOS!$C$23*4/4)-MAX($V16,DATOS!$C$23*3/4))*PRESIONES!$C$21))</f>
        <v>4.7794416082798588</v>
      </c>
    </row>
    <row r="17" spans="2:59" ht="16.5" customHeight="1" x14ac:dyDescent="0.3">
      <c r="B17" s="4" t="s">
        <v>413</v>
      </c>
      <c r="C17" s="15" t="s">
        <v>397</v>
      </c>
      <c r="D17" s="4" t="s">
        <v>414</v>
      </c>
      <c r="E17" s="15" t="s">
        <v>80</v>
      </c>
      <c r="F17" s="40">
        <v>0</v>
      </c>
      <c r="G17" s="40">
        <v>10.08</v>
      </c>
      <c r="H17" s="40">
        <v>10.125</v>
      </c>
      <c r="I17" s="40">
        <v>11.475</v>
      </c>
      <c r="J17" s="40"/>
      <c r="K17" s="40"/>
      <c r="L17" s="18" t="str">
        <f>IF($D17="","",IF($C17&lt;&gt;"TECHO","PON TECHO",IF(OR($F17="",$G17="",$H17="",$I17=""),"FALTAN a o b",IF($M17&lt;=0,"a₂ DEBE SER &gt; a₁",IF($N17&lt;=0,"b₂ DEBE SER &gt; b₁",IF(OR($V17&lt;-0.001,$W17&gt;DATOS!$C$23+0.001),"SE SALE DEL TECHO","OK"))))))</f>
        <v>OK</v>
      </c>
      <c r="M17" s="26">
        <f t="shared" si="0"/>
        <v>10.08</v>
      </c>
      <c r="N17" s="26">
        <f t="shared" si="1"/>
        <v>1.3499999999999996</v>
      </c>
      <c r="O17" s="26">
        <f t="shared" si="2"/>
        <v>13.607999999999997</v>
      </c>
      <c r="P17" s="26">
        <v>0</v>
      </c>
      <c r="Q17" s="26">
        <v>0</v>
      </c>
      <c r="R17" s="26">
        <f t="shared" si="3"/>
        <v>13.607999999999997</v>
      </c>
      <c r="S17" s="26">
        <f t="shared" si="3"/>
        <v>13.607999999999997</v>
      </c>
      <c r="T17" s="41">
        <f>IF($D17="",0,DATOS!$C$21)</f>
        <v>10.62</v>
      </c>
      <c r="U17" s="41">
        <v>0</v>
      </c>
      <c r="V17" s="41">
        <f t="shared" si="4"/>
        <v>10.125</v>
      </c>
      <c r="W17" s="41">
        <f t="shared" si="5"/>
        <v>11.475</v>
      </c>
      <c r="AB17" s="26">
        <f>IF($L17&lt;&gt;"OK",0,PRESIONES!$C$12*((PRESIONES!$D$32-ABERTURAS!$L$60)*MAX(0,MIN($W17,DATOS!$C$23*1/4)-MAX($V17,DATOS!$C$23*0/4))+(PRESIONES!$D$33-ABERTURAS!$L$60)*MAX(0,MIN($W17,DATOS!$C$23*2/4)-MAX($V17,DATOS!$C$23*1/4))+(PRESIONES!$D$34-ABERTURAS!$L$60)*MAX(0,MIN($W17,DATOS!$C$23*3/4)-MAX($V17,DATOS!$C$23*2/4))+(PRESIONES!$D$35-ABERTURAS!$L$60)*MAX(0,MIN($W17,DATOS!$C$23*4/4)-MAX($V17,DATOS!$C$23*3/4))))</f>
        <v>-13.184666505599624</v>
      </c>
      <c r="AC17" s="26">
        <f>IF($L17&lt;&gt;"OK",0,PRESIONES!$C$12*((PRESIONES!$G$32-ABERTURAS!$L$61)*MAX(0,MIN($W17,DATOS!$C$23*1/4)-MAX($V17,DATOS!$C$23*0/4))+(PRESIONES!$G$33-ABERTURAS!$L$61)*MAX(0,MIN($W17,DATOS!$C$23*2/4)-MAX($V17,DATOS!$C$23*1/4))+(PRESIONES!$G$34-ABERTURAS!$L$61)*MAX(0,MIN($W17,DATOS!$C$23*3/4)-MAX($V17,DATOS!$C$23*2/4))+(PRESIONES!$G$35-ABERTURAS!$L$61)*MAX(0,MIN($W17,DATOS!$C$23*4/4)-MAX($V17,DATOS!$C$23*3/4))))</f>
        <v>-13.184666505599624</v>
      </c>
      <c r="AD17" s="26">
        <f>IF($L17&lt;&gt;"OK",0,PRESIONES!$C$12*((PRESIONES!$J$32-ABERTURAS!$L$62)*MAX(0,MIN($W17,DATOS!$C$23*1/4)-MAX($V17,DATOS!$C$23*0/4))+(PRESIONES!$J$33-ABERTURAS!$L$62)*MAX(0,MIN($W17,DATOS!$C$23*2/4)-MAX($V17,DATOS!$C$23*1/4))+(PRESIONES!$J$34-ABERTURAS!$L$62)*MAX(0,MIN($W17,DATOS!$C$23*3/4)-MAX($V17,DATOS!$C$23*2/4))+(PRESIONES!$J$35-ABERTURAS!$L$62)*MAX(0,MIN($W17,DATOS!$C$23*4/4)-MAX($V17,DATOS!$C$23*3/4))))</f>
        <v>-6.5923332527998122</v>
      </c>
      <c r="AE17" s="26">
        <f>IF($L17&lt;&gt;"OK",0,PRESIONES!$C$12*((PRESIONES!$M$32-ABERTURAS!$L$63)*MAX(0,MIN($W17,DATOS!$C$23*1/4)-MAX($V17,DATOS!$C$23*0/4))+(PRESIONES!$M$33-ABERTURAS!$L$63)*MAX(0,MIN($W17,DATOS!$C$23*2/4)-MAX($V17,DATOS!$C$23*1/4))+(PRESIONES!$M$34-ABERTURAS!$L$63)*MAX(0,MIN($W17,DATOS!$C$23*3/4)-MAX($V17,DATOS!$C$23*2/4))+(PRESIONES!$M$35-ABERTURAS!$L$63)*MAX(0,MIN($W17,DATOS!$C$23*4/4)-MAX($V17,DATOS!$C$23*3/4))))</f>
        <v>-95.588832165597296</v>
      </c>
      <c r="AF17" s="26">
        <f>IF($L17&lt;&gt;"OK",0,PRESIONES!$C$12*((PRESIONES!$D$32-ABERTURAS!$L$64)*MAX(0,MIN($W17,DATOS!$C$23*1/4)-MAX($V17,DATOS!$C$23*0/4))+(PRESIONES!$D$33-ABERTURAS!$L$64)*MAX(0,MIN($W17,DATOS!$C$23*2/4)-MAX($V17,DATOS!$C$23*1/4))+(PRESIONES!$D$34-ABERTURAS!$L$64)*MAX(0,MIN($W17,DATOS!$C$23*3/4)-MAX($V17,DATOS!$C$23*2/4))+(PRESIONES!$D$35-ABERTURAS!$L$64)*MAX(0,MIN($W17,DATOS!$C$23*4/4)-MAX($V17,DATOS!$C$23*3/4))))</f>
        <v>-13.184666505599624</v>
      </c>
      <c r="AG17" s="26">
        <f>IF($L17&lt;&gt;"OK",0,PRESIONES!$C$12*((PRESIONES!$G$32-ABERTURAS!$L$65)*MAX(0,MIN($W17,DATOS!$C$23*1/4)-MAX($V17,DATOS!$C$23*0/4))+(PRESIONES!$G$33-ABERTURAS!$L$65)*MAX(0,MIN($W17,DATOS!$C$23*2/4)-MAX($V17,DATOS!$C$23*1/4))+(PRESIONES!$G$34-ABERTURAS!$L$65)*MAX(0,MIN($W17,DATOS!$C$23*3/4)-MAX($V17,DATOS!$C$23*2/4))+(PRESIONES!$G$35-ABERTURAS!$L$65)*MAX(0,MIN($W17,DATOS!$C$23*4/4)-MAX($V17,DATOS!$C$23*3/4))))</f>
        <v>-13.184666505599624</v>
      </c>
      <c r="AH17" s="26">
        <f>IF($L17&lt;&gt;"OK",0,PRESIONES!$C$12*((PRESIONES!$J$32-ABERTURAS!$L$66)*MAX(0,MIN($W17,DATOS!$C$23*1/4)-MAX($V17,DATOS!$C$23*0/4))+(PRESIONES!$J$33-ABERTURAS!$L$66)*MAX(0,MIN($W17,DATOS!$C$23*2/4)-MAX($V17,DATOS!$C$23*1/4))+(PRESIONES!$J$34-ABERTURAS!$L$66)*MAX(0,MIN($W17,DATOS!$C$23*3/4)-MAX($V17,DATOS!$C$23*2/4))+(PRESIONES!$J$35-ABERTURAS!$L$66)*MAX(0,MIN($W17,DATOS!$C$23*4/4)-MAX($V17,DATOS!$C$23*3/4))))</f>
        <v>-6.5923332527998122</v>
      </c>
      <c r="AI17" s="26">
        <f>IF($L17&lt;&gt;"OK",0,PRESIONES!$C$12*((PRESIONES!$M$32-ABERTURAS!$L$67)*MAX(0,MIN($W17,DATOS!$C$23*1/4)-MAX($V17,DATOS!$C$23*0/4))+(PRESIONES!$M$33-ABERTURAS!$L$67)*MAX(0,MIN($W17,DATOS!$C$23*2/4)-MAX($V17,DATOS!$C$23*1/4))+(PRESIONES!$M$34-ABERTURAS!$L$67)*MAX(0,MIN($W17,DATOS!$C$23*3/4)-MAX($V17,DATOS!$C$23*2/4))+(PRESIONES!$M$35-ABERTURAS!$L$67)*MAX(0,MIN($W17,DATOS!$C$23*4/4)-MAX($V17,DATOS!$C$23*3/4))))</f>
        <v>-95.588832165597296</v>
      </c>
      <c r="AJ17" s="26">
        <f>IF($L17&lt;&gt;"OK",0,PRESIONES!$C$12*((PRESIONES!$D$32-ABERTURAS!$L$60)*MAX(0,MIN($W17,DATOS!$C$23*1/4)-MAX($V17,DATOS!$C$23*0/4))*PRESIONES!$C$18+(PRESIONES!$D$33-ABERTURAS!$L$60)*MAX(0,MIN($W17,DATOS!$C$23*2/4)-MAX($V17,DATOS!$C$23*1/4))*PRESIONES!$C$19+(PRESIONES!$D$34-ABERTURAS!$L$60)*MAX(0,MIN($W17,DATOS!$C$23*3/4)-MAX($V17,DATOS!$C$23*2/4))*PRESIONES!$C$20+(PRESIONES!$D$35-ABERTURAS!$L$60)*MAX(0,MIN($W17,DATOS!$C$23*4/4)-MAX($V17,DATOS!$C$23*3/4))*PRESIONES!$C$21))</f>
        <v>0.65923332527998035</v>
      </c>
      <c r="AK17" s="26">
        <f>IF($L17&lt;&gt;"OK",0,PRESIONES!$C$12*((PRESIONES!$G$32-ABERTURAS!$L$61)*MAX(0,MIN($W17,DATOS!$C$23*1/4)-MAX($V17,DATOS!$C$23*0/4))*PRESIONES!$C$18+(PRESIONES!$G$33-ABERTURAS!$L$61)*MAX(0,MIN($W17,DATOS!$C$23*2/4)-MAX($V17,DATOS!$C$23*1/4))*PRESIONES!$C$19+(PRESIONES!$G$34-ABERTURAS!$L$61)*MAX(0,MIN($W17,DATOS!$C$23*3/4)-MAX($V17,DATOS!$C$23*2/4))*PRESIONES!$C$20+(PRESIONES!$G$35-ABERTURAS!$L$61)*MAX(0,MIN($W17,DATOS!$C$23*4/4)-MAX($V17,DATOS!$C$23*3/4))*PRESIONES!$C$21))</f>
        <v>0.65923332527998035</v>
      </c>
      <c r="AL17" s="26">
        <f>IF($L17&lt;&gt;"OK",0,PRESIONES!$C$12*((PRESIONES!$J$32-ABERTURAS!$L$62)*MAX(0,MIN($W17,DATOS!$C$23*1/4)-MAX($V17,DATOS!$C$23*0/4))*PRESIONES!$C$18+(PRESIONES!$J$33-ABERTURAS!$L$62)*MAX(0,MIN($W17,DATOS!$C$23*2/4)-MAX($V17,DATOS!$C$23*1/4))*PRESIONES!$C$19+(PRESIONES!$J$34-ABERTURAS!$L$62)*MAX(0,MIN($W17,DATOS!$C$23*3/4)-MAX($V17,DATOS!$C$23*2/4))*PRESIONES!$C$20+(PRESIONES!$J$35-ABERTURAS!$L$62)*MAX(0,MIN($W17,DATOS!$C$23*4/4)-MAX($V17,DATOS!$C$23*3/4))*PRESIONES!$C$21))</f>
        <v>0.32961666263999018</v>
      </c>
      <c r="AM17" s="26">
        <f>IF($L17&lt;&gt;"OK",0,PRESIONES!$C$12*((PRESIONES!$M$32-ABERTURAS!$L$63)*MAX(0,MIN($W17,DATOS!$C$23*1/4)-MAX($V17,DATOS!$C$23*0/4))*PRESIONES!$C$18+(PRESIONES!$M$33-ABERTURAS!$L$63)*MAX(0,MIN($W17,DATOS!$C$23*2/4)-MAX($V17,DATOS!$C$23*1/4))*PRESIONES!$C$19+(PRESIONES!$M$34-ABERTURAS!$L$63)*MAX(0,MIN($W17,DATOS!$C$23*3/4)-MAX($V17,DATOS!$C$23*2/4))*PRESIONES!$C$20+(PRESIONES!$M$35-ABERTURAS!$L$63)*MAX(0,MIN($W17,DATOS!$C$23*4/4)-MAX($V17,DATOS!$C$23*3/4))*PRESIONES!$C$21))</f>
        <v>4.7794416082798588</v>
      </c>
      <c r="AN17" s="26">
        <f>IF($L17&lt;&gt;"OK",0,PRESIONES!$C$12*((PRESIONES!$D$32-ABERTURAS!$L$64)*MAX(0,MIN($W17,DATOS!$C$23*1/4)-MAX($V17,DATOS!$C$23*0/4))*PRESIONES!$C$18+(PRESIONES!$D$33-ABERTURAS!$L$64)*MAX(0,MIN($W17,DATOS!$C$23*2/4)-MAX($V17,DATOS!$C$23*1/4))*PRESIONES!$C$19+(PRESIONES!$D$34-ABERTURAS!$L$64)*MAX(0,MIN($W17,DATOS!$C$23*3/4)-MAX($V17,DATOS!$C$23*2/4))*PRESIONES!$C$20+(PRESIONES!$D$35-ABERTURAS!$L$64)*MAX(0,MIN($W17,DATOS!$C$23*4/4)-MAX($V17,DATOS!$C$23*3/4))*PRESIONES!$C$21))</f>
        <v>0.65923332527998035</v>
      </c>
      <c r="AO17" s="26">
        <f>IF($L17&lt;&gt;"OK",0,PRESIONES!$C$12*((PRESIONES!$G$32-ABERTURAS!$L$65)*MAX(0,MIN($W17,DATOS!$C$23*1/4)-MAX($V17,DATOS!$C$23*0/4))*PRESIONES!$C$18+(PRESIONES!$G$33-ABERTURAS!$L$65)*MAX(0,MIN($W17,DATOS!$C$23*2/4)-MAX($V17,DATOS!$C$23*1/4))*PRESIONES!$C$19+(PRESIONES!$G$34-ABERTURAS!$L$65)*MAX(0,MIN($W17,DATOS!$C$23*3/4)-MAX($V17,DATOS!$C$23*2/4))*PRESIONES!$C$20+(PRESIONES!$G$35-ABERTURAS!$L$65)*MAX(0,MIN($W17,DATOS!$C$23*4/4)-MAX($V17,DATOS!$C$23*3/4))*PRESIONES!$C$21))</f>
        <v>0.65923332527998035</v>
      </c>
      <c r="AP17" s="26">
        <f>IF($L17&lt;&gt;"OK",0,PRESIONES!$C$12*((PRESIONES!$J$32-ABERTURAS!$L$66)*MAX(0,MIN($W17,DATOS!$C$23*1/4)-MAX($V17,DATOS!$C$23*0/4))*PRESIONES!$C$18+(PRESIONES!$J$33-ABERTURAS!$L$66)*MAX(0,MIN($W17,DATOS!$C$23*2/4)-MAX($V17,DATOS!$C$23*1/4))*PRESIONES!$C$19+(PRESIONES!$J$34-ABERTURAS!$L$66)*MAX(0,MIN($W17,DATOS!$C$23*3/4)-MAX($V17,DATOS!$C$23*2/4))*PRESIONES!$C$20+(PRESIONES!$J$35-ABERTURAS!$L$66)*MAX(0,MIN($W17,DATOS!$C$23*4/4)-MAX($V17,DATOS!$C$23*3/4))*PRESIONES!$C$21))</f>
        <v>0.32961666263999018</v>
      </c>
      <c r="AQ17" s="26">
        <f>IF($L17&lt;&gt;"OK",0,PRESIONES!$C$12*((PRESIONES!$M$32-ABERTURAS!$L$67)*MAX(0,MIN($W17,DATOS!$C$23*1/4)-MAX($V17,DATOS!$C$23*0/4))*PRESIONES!$C$18+(PRESIONES!$M$33-ABERTURAS!$L$67)*MAX(0,MIN($W17,DATOS!$C$23*2/4)-MAX($V17,DATOS!$C$23*1/4))*PRESIONES!$C$19+(PRESIONES!$M$34-ABERTURAS!$L$67)*MAX(0,MIN($W17,DATOS!$C$23*3/4)-MAX($V17,DATOS!$C$23*2/4))*PRESIONES!$C$20+(PRESIONES!$M$35-ABERTURAS!$L$67)*MAX(0,MIN($W17,DATOS!$C$23*4/4)-MAX($V17,DATOS!$C$23*3/4))*PRESIONES!$C$21))</f>
        <v>4.7794416082798588</v>
      </c>
      <c r="AR17" s="26">
        <f>IF($L17&lt;&gt;"OK",0,PRESIONES!$C$12*((PRESIONES!$E$32-ABERTURAS!$L$60)*MAX(0,MIN($W17,DATOS!$C$23*1/4)-MAX($V17,DATOS!$C$23*0/4))+(PRESIONES!$E$33-ABERTURAS!$L$60)*MAX(0,MIN($W17,DATOS!$C$23*2/4)-MAX($V17,DATOS!$C$23*1/4))+(PRESIONES!$E$34-ABERTURAS!$L$60)*MAX(0,MIN($W17,DATOS!$C$23*3/4)-MAX($V17,DATOS!$C$23*2/4))+(PRESIONES!$E$35-ABERTURAS!$L$60)*MAX(0,MIN($W17,DATOS!$C$23*4/4)-MAX($V17,DATOS!$C$23*3/4))))</f>
        <v>-13.184666505599624</v>
      </c>
      <c r="AS17" s="26">
        <f>IF($L17&lt;&gt;"OK",0,PRESIONES!$C$12*((PRESIONES!$H$32-ABERTURAS!$L$61)*MAX(0,MIN($W17,DATOS!$C$23*1/4)-MAX($V17,DATOS!$C$23*0/4))+(PRESIONES!$H$33-ABERTURAS!$L$61)*MAX(0,MIN($W17,DATOS!$C$23*2/4)-MAX($V17,DATOS!$C$23*1/4))+(PRESIONES!$H$34-ABERTURAS!$L$61)*MAX(0,MIN($W17,DATOS!$C$23*3/4)-MAX($V17,DATOS!$C$23*2/4))+(PRESIONES!$H$35-ABERTURAS!$L$61)*MAX(0,MIN($W17,DATOS!$C$23*4/4)-MAX($V17,DATOS!$C$23*3/4))))</f>
        <v>-13.184666505599624</v>
      </c>
      <c r="AT17" s="26">
        <f>IF($L17&lt;&gt;"OK",0,PRESIONES!$C$12*((PRESIONES!$K$32-ABERTURAS!$L$62)*MAX(0,MIN($W17,DATOS!$C$23*1/4)-MAX($V17,DATOS!$C$23*0/4))+(PRESIONES!$K$33-ABERTURAS!$L$62)*MAX(0,MIN($W17,DATOS!$C$23*2/4)-MAX($V17,DATOS!$C$23*1/4))+(PRESIONES!$K$34-ABERTURAS!$L$62)*MAX(0,MIN($W17,DATOS!$C$23*3/4)-MAX($V17,DATOS!$C$23*2/4))+(PRESIONES!$K$35-ABERTURAS!$L$62)*MAX(0,MIN($W17,DATOS!$C$23*4/4)-MAX($V17,DATOS!$C$23*3/4))))</f>
        <v>-6.5923332527998122</v>
      </c>
      <c r="AU17" s="26">
        <f>IF($L17&lt;&gt;"OK",0,PRESIONES!$C$12*((PRESIONES!$N$32-ABERTURAS!$L$63)*MAX(0,MIN($W17,DATOS!$C$23*1/4)-MAX($V17,DATOS!$C$23*0/4))+(PRESIONES!$N$33-ABERTURAS!$L$63)*MAX(0,MIN($W17,DATOS!$C$23*2/4)-MAX($V17,DATOS!$C$23*1/4))+(PRESIONES!$N$34-ABERTURAS!$L$63)*MAX(0,MIN($W17,DATOS!$C$23*3/4)-MAX($V17,DATOS!$C$23*2/4))+(PRESIONES!$N$35-ABERTURAS!$L$63)*MAX(0,MIN($W17,DATOS!$C$23*4/4)-MAX($V17,DATOS!$C$23*3/4))))</f>
        <v>-95.588832165597296</v>
      </c>
      <c r="AV17" s="26">
        <f>IF($L17&lt;&gt;"OK",0,PRESIONES!$C$12*((PRESIONES!$E$32-ABERTURAS!$L$64)*MAX(0,MIN($W17,DATOS!$C$23*1/4)-MAX($V17,DATOS!$C$23*0/4))+(PRESIONES!$E$33-ABERTURAS!$L$64)*MAX(0,MIN($W17,DATOS!$C$23*2/4)-MAX($V17,DATOS!$C$23*1/4))+(PRESIONES!$E$34-ABERTURAS!$L$64)*MAX(0,MIN($W17,DATOS!$C$23*3/4)-MAX($V17,DATOS!$C$23*2/4))+(PRESIONES!$E$35-ABERTURAS!$L$64)*MAX(0,MIN($W17,DATOS!$C$23*4/4)-MAX($V17,DATOS!$C$23*3/4))))</f>
        <v>-13.184666505599624</v>
      </c>
      <c r="AW17" s="26">
        <f>IF($L17&lt;&gt;"OK",0,PRESIONES!$C$12*((PRESIONES!$H$32-ABERTURAS!$L$65)*MAX(0,MIN($W17,DATOS!$C$23*1/4)-MAX($V17,DATOS!$C$23*0/4))+(PRESIONES!$H$33-ABERTURAS!$L$65)*MAX(0,MIN($W17,DATOS!$C$23*2/4)-MAX($V17,DATOS!$C$23*1/4))+(PRESIONES!$H$34-ABERTURAS!$L$65)*MAX(0,MIN($W17,DATOS!$C$23*3/4)-MAX($V17,DATOS!$C$23*2/4))+(PRESIONES!$H$35-ABERTURAS!$L$65)*MAX(0,MIN($W17,DATOS!$C$23*4/4)-MAX($V17,DATOS!$C$23*3/4))))</f>
        <v>-13.184666505599624</v>
      </c>
      <c r="AX17" s="26">
        <f>IF($L17&lt;&gt;"OK",0,PRESIONES!$C$12*((PRESIONES!$K$32-ABERTURAS!$L$66)*MAX(0,MIN($W17,DATOS!$C$23*1/4)-MAX($V17,DATOS!$C$23*0/4))+(PRESIONES!$K$33-ABERTURAS!$L$66)*MAX(0,MIN($W17,DATOS!$C$23*2/4)-MAX($V17,DATOS!$C$23*1/4))+(PRESIONES!$K$34-ABERTURAS!$L$66)*MAX(0,MIN($W17,DATOS!$C$23*3/4)-MAX($V17,DATOS!$C$23*2/4))+(PRESIONES!$K$35-ABERTURAS!$L$66)*MAX(0,MIN($W17,DATOS!$C$23*4/4)-MAX($V17,DATOS!$C$23*3/4))))</f>
        <v>-6.5923332527998122</v>
      </c>
      <c r="AY17" s="26">
        <f>IF($L17&lt;&gt;"OK",0,PRESIONES!$C$12*((PRESIONES!$N$32-ABERTURAS!$L$67)*MAX(0,MIN($W17,DATOS!$C$23*1/4)-MAX($V17,DATOS!$C$23*0/4))+(PRESIONES!$N$33-ABERTURAS!$L$67)*MAX(0,MIN($W17,DATOS!$C$23*2/4)-MAX($V17,DATOS!$C$23*1/4))+(PRESIONES!$N$34-ABERTURAS!$L$67)*MAX(0,MIN($W17,DATOS!$C$23*3/4)-MAX($V17,DATOS!$C$23*2/4))+(PRESIONES!$N$35-ABERTURAS!$L$67)*MAX(0,MIN($W17,DATOS!$C$23*4/4)-MAX($V17,DATOS!$C$23*3/4))))</f>
        <v>-95.588832165597296</v>
      </c>
      <c r="AZ17" s="26">
        <f>IF($L17&lt;&gt;"OK",0,PRESIONES!$C$12*((PRESIONES!$E$32-ABERTURAS!$L$60)*MAX(0,MIN($W17,DATOS!$C$23*1/4)-MAX($V17,DATOS!$C$23*0/4))*PRESIONES!$C$18+(PRESIONES!$E$33-ABERTURAS!$L$60)*MAX(0,MIN($W17,DATOS!$C$23*2/4)-MAX($V17,DATOS!$C$23*1/4))*PRESIONES!$C$19+(PRESIONES!$E$34-ABERTURAS!$L$60)*MAX(0,MIN($W17,DATOS!$C$23*3/4)-MAX($V17,DATOS!$C$23*2/4))*PRESIONES!$C$20+(PRESIONES!$E$35-ABERTURAS!$L$60)*MAX(0,MIN($W17,DATOS!$C$23*4/4)-MAX($V17,DATOS!$C$23*3/4))*PRESIONES!$C$21))</f>
        <v>0.65923332527998035</v>
      </c>
      <c r="BA17" s="26">
        <f>IF($L17&lt;&gt;"OK",0,PRESIONES!$C$12*((PRESIONES!$H$32-ABERTURAS!$L$61)*MAX(0,MIN($W17,DATOS!$C$23*1/4)-MAX($V17,DATOS!$C$23*0/4))*PRESIONES!$C$18+(PRESIONES!$H$33-ABERTURAS!$L$61)*MAX(0,MIN($W17,DATOS!$C$23*2/4)-MAX($V17,DATOS!$C$23*1/4))*PRESIONES!$C$19+(PRESIONES!$H$34-ABERTURAS!$L$61)*MAX(0,MIN($W17,DATOS!$C$23*3/4)-MAX($V17,DATOS!$C$23*2/4))*PRESIONES!$C$20+(PRESIONES!$H$35-ABERTURAS!$L$61)*MAX(0,MIN($W17,DATOS!$C$23*4/4)-MAX($V17,DATOS!$C$23*3/4))*PRESIONES!$C$21))</f>
        <v>0.65923332527998035</v>
      </c>
      <c r="BB17" s="26">
        <f>IF($L17&lt;&gt;"OK",0,PRESIONES!$C$12*((PRESIONES!$K$32-ABERTURAS!$L$62)*MAX(0,MIN($W17,DATOS!$C$23*1/4)-MAX($V17,DATOS!$C$23*0/4))*PRESIONES!$C$18+(PRESIONES!$K$33-ABERTURAS!$L$62)*MAX(0,MIN($W17,DATOS!$C$23*2/4)-MAX($V17,DATOS!$C$23*1/4))*PRESIONES!$C$19+(PRESIONES!$K$34-ABERTURAS!$L$62)*MAX(0,MIN($W17,DATOS!$C$23*3/4)-MAX($V17,DATOS!$C$23*2/4))*PRESIONES!$C$20+(PRESIONES!$K$35-ABERTURAS!$L$62)*MAX(0,MIN($W17,DATOS!$C$23*4/4)-MAX($V17,DATOS!$C$23*3/4))*PRESIONES!$C$21))</f>
        <v>0.32961666263999018</v>
      </c>
      <c r="BC17" s="26">
        <f>IF($L17&lt;&gt;"OK",0,PRESIONES!$C$12*((PRESIONES!$N$32-ABERTURAS!$L$63)*MAX(0,MIN($W17,DATOS!$C$23*1/4)-MAX($V17,DATOS!$C$23*0/4))*PRESIONES!$C$18+(PRESIONES!$N$33-ABERTURAS!$L$63)*MAX(0,MIN($W17,DATOS!$C$23*2/4)-MAX($V17,DATOS!$C$23*1/4))*PRESIONES!$C$19+(PRESIONES!$N$34-ABERTURAS!$L$63)*MAX(0,MIN($W17,DATOS!$C$23*3/4)-MAX($V17,DATOS!$C$23*2/4))*PRESIONES!$C$20+(PRESIONES!$N$35-ABERTURAS!$L$63)*MAX(0,MIN($W17,DATOS!$C$23*4/4)-MAX($V17,DATOS!$C$23*3/4))*PRESIONES!$C$21))</f>
        <v>4.7794416082798588</v>
      </c>
      <c r="BD17" s="26">
        <f>IF($L17&lt;&gt;"OK",0,PRESIONES!$C$12*((PRESIONES!$E$32-ABERTURAS!$L$64)*MAX(0,MIN($W17,DATOS!$C$23*1/4)-MAX($V17,DATOS!$C$23*0/4))*PRESIONES!$C$18+(PRESIONES!$E$33-ABERTURAS!$L$64)*MAX(0,MIN($W17,DATOS!$C$23*2/4)-MAX($V17,DATOS!$C$23*1/4))*PRESIONES!$C$19+(PRESIONES!$E$34-ABERTURAS!$L$64)*MAX(0,MIN($W17,DATOS!$C$23*3/4)-MAX($V17,DATOS!$C$23*2/4))*PRESIONES!$C$20+(PRESIONES!$E$35-ABERTURAS!$L$64)*MAX(0,MIN($W17,DATOS!$C$23*4/4)-MAX($V17,DATOS!$C$23*3/4))*PRESIONES!$C$21))</f>
        <v>0.65923332527998035</v>
      </c>
      <c r="BE17" s="26">
        <f>IF($L17&lt;&gt;"OK",0,PRESIONES!$C$12*((PRESIONES!$H$32-ABERTURAS!$L$65)*MAX(0,MIN($W17,DATOS!$C$23*1/4)-MAX($V17,DATOS!$C$23*0/4))*PRESIONES!$C$18+(PRESIONES!$H$33-ABERTURAS!$L$65)*MAX(0,MIN($W17,DATOS!$C$23*2/4)-MAX($V17,DATOS!$C$23*1/4))*PRESIONES!$C$19+(PRESIONES!$H$34-ABERTURAS!$L$65)*MAX(0,MIN($W17,DATOS!$C$23*3/4)-MAX($V17,DATOS!$C$23*2/4))*PRESIONES!$C$20+(PRESIONES!$H$35-ABERTURAS!$L$65)*MAX(0,MIN($W17,DATOS!$C$23*4/4)-MAX($V17,DATOS!$C$23*3/4))*PRESIONES!$C$21))</f>
        <v>0.65923332527998035</v>
      </c>
      <c r="BF17" s="26">
        <f>IF($L17&lt;&gt;"OK",0,PRESIONES!$C$12*((PRESIONES!$K$32-ABERTURAS!$L$66)*MAX(0,MIN($W17,DATOS!$C$23*1/4)-MAX($V17,DATOS!$C$23*0/4))*PRESIONES!$C$18+(PRESIONES!$K$33-ABERTURAS!$L$66)*MAX(0,MIN($W17,DATOS!$C$23*2/4)-MAX($V17,DATOS!$C$23*1/4))*PRESIONES!$C$19+(PRESIONES!$K$34-ABERTURAS!$L$66)*MAX(0,MIN($W17,DATOS!$C$23*3/4)-MAX($V17,DATOS!$C$23*2/4))*PRESIONES!$C$20+(PRESIONES!$K$35-ABERTURAS!$L$66)*MAX(0,MIN($W17,DATOS!$C$23*4/4)-MAX($V17,DATOS!$C$23*3/4))*PRESIONES!$C$21))</f>
        <v>0.32961666263999018</v>
      </c>
      <c r="BG17" s="26">
        <f>IF($L17&lt;&gt;"OK",0,PRESIONES!$C$12*((PRESIONES!$N$32-ABERTURAS!$L$67)*MAX(0,MIN($W17,DATOS!$C$23*1/4)-MAX($V17,DATOS!$C$23*0/4))*PRESIONES!$C$18+(PRESIONES!$N$33-ABERTURAS!$L$67)*MAX(0,MIN($W17,DATOS!$C$23*2/4)-MAX($V17,DATOS!$C$23*1/4))*PRESIONES!$C$19+(PRESIONES!$N$34-ABERTURAS!$L$67)*MAX(0,MIN($W17,DATOS!$C$23*3/4)-MAX($V17,DATOS!$C$23*2/4))*PRESIONES!$C$20+(PRESIONES!$N$35-ABERTURAS!$L$67)*MAX(0,MIN($W17,DATOS!$C$23*4/4)-MAX($V17,DATOS!$C$23*3/4))*PRESIONES!$C$21))</f>
        <v>4.7794416082798588</v>
      </c>
    </row>
    <row r="18" spans="2:59" ht="16.5" customHeight="1" x14ac:dyDescent="0.3">
      <c r="B18" s="4" t="s">
        <v>415</v>
      </c>
      <c r="C18" s="15" t="s">
        <v>397</v>
      </c>
      <c r="D18" s="4" t="s">
        <v>416</v>
      </c>
      <c r="E18" s="15" t="s">
        <v>80</v>
      </c>
      <c r="F18" s="40">
        <v>0</v>
      </c>
      <c r="G18" s="40">
        <v>10.08</v>
      </c>
      <c r="H18" s="40">
        <v>11.475</v>
      </c>
      <c r="I18" s="40">
        <v>12.824999999999999</v>
      </c>
      <c r="J18" s="40"/>
      <c r="K18" s="40"/>
      <c r="L18" s="18" t="str">
        <f>IF($D18="","",IF($C18&lt;&gt;"TECHO","PON TECHO",IF(OR($F18="",$G18="",$H18="",$I18=""),"FALTAN a o b",IF($M18&lt;=0,"a₂ DEBE SER &gt; a₁",IF($N18&lt;=0,"b₂ DEBE SER &gt; b₁",IF(OR($V18&lt;-0.001,$W18&gt;DATOS!$C$23+0.001),"SE SALE DEL TECHO","OK"))))))</f>
        <v>OK</v>
      </c>
      <c r="M18" s="26">
        <f t="shared" si="0"/>
        <v>10.08</v>
      </c>
      <c r="N18" s="26">
        <f t="shared" si="1"/>
        <v>1.3499999999999996</v>
      </c>
      <c r="O18" s="26">
        <f t="shared" si="2"/>
        <v>13.607999999999997</v>
      </c>
      <c r="P18" s="26">
        <v>0</v>
      </c>
      <c r="Q18" s="26">
        <v>0</v>
      </c>
      <c r="R18" s="26">
        <f t="shared" si="3"/>
        <v>13.607999999999997</v>
      </c>
      <c r="S18" s="26">
        <f t="shared" si="3"/>
        <v>13.607999999999997</v>
      </c>
      <c r="T18" s="41">
        <f>IF($D18="",0,DATOS!$C$21)</f>
        <v>10.62</v>
      </c>
      <c r="U18" s="41">
        <v>0</v>
      </c>
      <c r="V18" s="41">
        <f t="shared" si="4"/>
        <v>11.475</v>
      </c>
      <c r="W18" s="41">
        <f t="shared" si="5"/>
        <v>12.824999999999999</v>
      </c>
      <c r="AB18" s="26">
        <f>IF($L18&lt;&gt;"OK",0,PRESIONES!$C$12*((PRESIONES!$D$32-ABERTURAS!$L$60)*MAX(0,MIN($W18,DATOS!$C$23*1/4)-MAX($V18,DATOS!$C$23*0/4))+(PRESIONES!$D$33-ABERTURAS!$L$60)*MAX(0,MIN($W18,DATOS!$C$23*2/4)-MAX($V18,DATOS!$C$23*1/4))+(PRESIONES!$D$34-ABERTURAS!$L$60)*MAX(0,MIN($W18,DATOS!$C$23*3/4)-MAX($V18,DATOS!$C$23*2/4))+(PRESIONES!$D$35-ABERTURAS!$L$60)*MAX(0,MIN($W18,DATOS!$C$23*4/4)-MAX($V18,DATOS!$C$23*3/4))))</f>
        <v>-13.184666505599624</v>
      </c>
      <c r="AC18" s="26">
        <f>IF($L18&lt;&gt;"OK",0,PRESIONES!$C$12*((PRESIONES!$G$32-ABERTURAS!$L$61)*MAX(0,MIN($W18,DATOS!$C$23*1/4)-MAX($V18,DATOS!$C$23*0/4))+(PRESIONES!$G$33-ABERTURAS!$L$61)*MAX(0,MIN($W18,DATOS!$C$23*2/4)-MAX($V18,DATOS!$C$23*1/4))+(PRESIONES!$G$34-ABERTURAS!$L$61)*MAX(0,MIN($W18,DATOS!$C$23*3/4)-MAX($V18,DATOS!$C$23*2/4))+(PRESIONES!$G$35-ABERTURAS!$L$61)*MAX(0,MIN($W18,DATOS!$C$23*4/4)-MAX($V18,DATOS!$C$23*3/4))))</f>
        <v>-13.184666505599624</v>
      </c>
      <c r="AD18" s="26">
        <f>IF($L18&lt;&gt;"OK",0,PRESIONES!$C$12*((PRESIONES!$J$32-ABERTURAS!$L$62)*MAX(0,MIN($W18,DATOS!$C$23*1/4)-MAX($V18,DATOS!$C$23*0/4))+(PRESIONES!$J$33-ABERTURAS!$L$62)*MAX(0,MIN($W18,DATOS!$C$23*2/4)-MAX($V18,DATOS!$C$23*1/4))+(PRESIONES!$J$34-ABERTURAS!$L$62)*MAX(0,MIN($W18,DATOS!$C$23*3/4)-MAX($V18,DATOS!$C$23*2/4))+(PRESIONES!$J$35-ABERTURAS!$L$62)*MAX(0,MIN($W18,DATOS!$C$23*4/4)-MAX($V18,DATOS!$C$23*3/4))))</f>
        <v>-6.5923332527998122</v>
      </c>
      <c r="AE18" s="26">
        <f>IF($L18&lt;&gt;"OK",0,PRESIONES!$C$12*((PRESIONES!$M$32-ABERTURAS!$L$63)*MAX(0,MIN($W18,DATOS!$C$23*1/4)-MAX($V18,DATOS!$C$23*0/4))+(PRESIONES!$M$33-ABERTURAS!$L$63)*MAX(0,MIN($W18,DATOS!$C$23*2/4)-MAX($V18,DATOS!$C$23*1/4))+(PRESIONES!$M$34-ABERTURAS!$L$63)*MAX(0,MIN($W18,DATOS!$C$23*3/4)-MAX($V18,DATOS!$C$23*2/4))+(PRESIONES!$M$35-ABERTURAS!$L$63)*MAX(0,MIN($W18,DATOS!$C$23*4/4)-MAX($V18,DATOS!$C$23*3/4))))</f>
        <v>-95.58883216559731</v>
      </c>
      <c r="AF18" s="26">
        <f>IF($L18&lt;&gt;"OK",0,PRESIONES!$C$12*((PRESIONES!$D$32-ABERTURAS!$L$64)*MAX(0,MIN($W18,DATOS!$C$23*1/4)-MAX($V18,DATOS!$C$23*0/4))+(PRESIONES!$D$33-ABERTURAS!$L$64)*MAX(0,MIN($W18,DATOS!$C$23*2/4)-MAX($V18,DATOS!$C$23*1/4))+(PRESIONES!$D$34-ABERTURAS!$L$64)*MAX(0,MIN($W18,DATOS!$C$23*3/4)-MAX($V18,DATOS!$C$23*2/4))+(PRESIONES!$D$35-ABERTURAS!$L$64)*MAX(0,MIN($W18,DATOS!$C$23*4/4)-MAX($V18,DATOS!$C$23*3/4))))</f>
        <v>-13.184666505599624</v>
      </c>
      <c r="AG18" s="26">
        <f>IF($L18&lt;&gt;"OK",0,PRESIONES!$C$12*((PRESIONES!$G$32-ABERTURAS!$L$65)*MAX(0,MIN($W18,DATOS!$C$23*1/4)-MAX($V18,DATOS!$C$23*0/4))+(PRESIONES!$G$33-ABERTURAS!$L$65)*MAX(0,MIN($W18,DATOS!$C$23*2/4)-MAX($V18,DATOS!$C$23*1/4))+(PRESIONES!$G$34-ABERTURAS!$L$65)*MAX(0,MIN($W18,DATOS!$C$23*3/4)-MAX($V18,DATOS!$C$23*2/4))+(PRESIONES!$G$35-ABERTURAS!$L$65)*MAX(0,MIN($W18,DATOS!$C$23*4/4)-MAX($V18,DATOS!$C$23*3/4))))</f>
        <v>-13.184666505599624</v>
      </c>
      <c r="AH18" s="26">
        <f>IF($L18&lt;&gt;"OK",0,PRESIONES!$C$12*((PRESIONES!$J$32-ABERTURAS!$L$66)*MAX(0,MIN($W18,DATOS!$C$23*1/4)-MAX($V18,DATOS!$C$23*0/4))+(PRESIONES!$J$33-ABERTURAS!$L$66)*MAX(0,MIN($W18,DATOS!$C$23*2/4)-MAX($V18,DATOS!$C$23*1/4))+(PRESIONES!$J$34-ABERTURAS!$L$66)*MAX(0,MIN($W18,DATOS!$C$23*3/4)-MAX($V18,DATOS!$C$23*2/4))+(PRESIONES!$J$35-ABERTURAS!$L$66)*MAX(0,MIN($W18,DATOS!$C$23*4/4)-MAX($V18,DATOS!$C$23*3/4))))</f>
        <v>-6.5923332527998122</v>
      </c>
      <c r="AI18" s="26">
        <f>IF($L18&lt;&gt;"OK",0,PRESIONES!$C$12*((PRESIONES!$M$32-ABERTURAS!$L$67)*MAX(0,MIN($W18,DATOS!$C$23*1/4)-MAX($V18,DATOS!$C$23*0/4))+(PRESIONES!$M$33-ABERTURAS!$L$67)*MAX(0,MIN($W18,DATOS!$C$23*2/4)-MAX($V18,DATOS!$C$23*1/4))+(PRESIONES!$M$34-ABERTURAS!$L$67)*MAX(0,MIN($W18,DATOS!$C$23*3/4)-MAX($V18,DATOS!$C$23*2/4))+(PRESIONES!$M$35-ABERTURAS!$L$67)*MAX(0,MIN($W18,DATOS!$C$23*4/4)-MAX($V18,DATOS!$C$23*3/4))))</f>
        <v>-95.58883216559731</v>
      </c>
      <c r="AJ18" s="26">
        <f>IF($L18&lt;&gt;"OK",0,PRESIONES!$C$12*((PRESIONES!$D$32-ABERTURAS!$L$60)*MAX(0,MIN($W18,DATOS!$C$23*1/4)-MAX($V18,DATOS!$C$23*0/4))*PRESIONES!$C$18+(PRESIONES!$D$33-ABERTURAS!$L$60)*MAX(0,MIN($W18,DATOS!$C$23*2/4)-MAX($V18,DATOS!$C$23*1/4))*PRESIONES!$C$19+(PRESIONES!$D$34-ABERTURAS!$L$60)*MAX(0,MIN($W18,DATOS!$C$23*3/4)-MAX($V18,DATOS!$C$23*2/4))*PRESIONES!$C$20+(PRESIONES!$D$35-ABERTURAS!$L$60)*MAX(0,MIN($W18,DATOS!$C$23*4/4)-MAX($V18,DATOS!$C$23*3/4))*PRESIONES!$C$21))</f>
        <v>0.65923332527998046</v>
      </c>
      <c r="AK18" s="26">
        <f>IF($L18&lt;&gt;"OK",0,PRESIONES!$C$12*((PRESIONES!$G$32-ABERTURAS!$L$61)*MAX(0,MIN($W18,DATOS!$C$23*1/4)-MAX($V18,DATOS!$C$23*0/4))*PRESIONES!$C$18+(PRESIONES!$G$33-ABERTURAS!$L$61)*MAX(0,MIN($W18,DATOS!$C$23*2/4)-MAX($V18,DATOS!$C$23*1/4))*PRESIONES!$C$19+(PRESIONES!$G$34-ABERTURAS!$L$61)*MAX(0,MIN($W18,DATOS!$C$23*3/4)-MAX($V18,DATOS!$C$23*2/4))*PRESIONES!$C$20+(PRESIONES!$G$35-ABERTURAS!$L$61)*MAX(0,MIN($W18,DATOS!$C$23*4/4)-MAX($V18,DATOS!$C$23*3/4))*PRESIONES!$C$21))</f>
        <v>0.65923332527998046</v>
      </c>
      <c r="AL18" s="26">
        <f>IF($L18&lt;&gt;"OK",0,PRESIONES!$C$12*((PRESIONES!$J$32-ABERTURAS!$L$62)*MAX(0,MIN($W18,DATOS!$C$23*1/4)-MAX($V18,DATOS!$C$23*0/4))*PRESIONES!$C$18+(PRESIONES!$J$33-ABERTURAS!$L$62)*MAX(0,MIN($W18,DATOS!$C$23*2/4)-MAX($V18,DATOS!$C$23*1/4))*PRESIONES!$C$19+(PRESIONES!$J$34-ABERTURAS!$L$62)*MAX(0,MIN($W18,DATOS!$C$23*3/4)-MAX($V18,DATOS!$C$23*2/4))*PRESIONES!$C$20+(PRESIONES!$J$35-ABERTURAS!$L$62)*MAX(0,MIN($W18,DATOS!$C$23*4/4)-MAX($V18,DATOS!$C$23*3/4))*PRESIONES!$C$21))</f>
        <v>0.32961666263999023</v>
      </c>
      <c r="AM18" s="26">
        <f>IF($L18&lt;&gt;"OK",0,PRESIONES!$C$12*((PRESIONES!$M$32-ABERTURAS!$L$63)*MAX(0,MIN($W18,DATOS!$C$23*1/4)-MAX($V18,DATOS!$C$23*0/4))*PRESIONES!$C$18+(PRESIONES!$M$33-ABERTURAS!$L$63)*MAX(0,MIN($W18,DATOS!$C$23*2/4)-MAX($V18,DATOS!$C$23*1/4))*PRESIONES!$C$19+(PRESIONES!$M$34-ABERTURAS!$L$63)*MAX(0,MIN($W18,DATOS!$C$23*3/4)-MAX($V18,DATOS!$C$23*2/4))*PRESIONES!$C$20+(PRESIONES!$M$35-ABERTURAS!$L$63)*MAX(0,MIN($W18,DATOS!$C$23*4/4)-MAX($V18,DATOS!$C$23*3/4))*PRESIONES!$C$21))</f>
        <v>4.7794416082798596</v>
      </c>
      <c r="AN18" s="26">
        <f>IF($L18&lt;&gt;"OK",0,PRESIONES!$C$12*((PRESIONES!$D$32-ABERTURAS!$L$64)*MAX(0,MIN($W18,DATOS!$C$23*1/4)-MAX($V18,DATOS!$C$23*0/4))*PRESIONES!$C$18+(PRESIONES!$D$33-ABERTURAS!$L$64)*MAX(0,MIN($W18,DATOS!$C$23*2/4)-MAX($V18,DATOS!$C$23*1/4))*PRESIONES!$C$19+(PRESIONES!$D$34-ABERTURAS!$L$64)*MAX(0,MIN($W18,DATOS!$C$23*3/4)-MAX($V18,DATOS!$C$23*2/4))*PRESIONES!$C$20+(PRESIONES!$D$35-ABERTURAS!$L$64)*MAX(0,MIN($W18,DATOS!$C$23*4/4)-MAX($V18,DATOS!$C$23*3/4))*PRESIONES!$C$21))</f>
        <v>0.65923332527998046</v>
      </c>
      <c r="AO18" s="26">
        <f>IF($L18&lt;&gt;"OK",0,PRESIONES!$C$12*((PRESIONES!$G$32-ABERTURAS!$L$65)*MAX(0,MIN($W18,DATOS!$C$23*1/4)-MAX($V18,DATOS!$C$23*0/4))*PRESIONES!$C$18+(PRESIONES!$G$33-ABERTURAS!$L$65)*MAX(0,MIN($W18,DATOS!$C$23*2/4)-MAX($V18,DATOS!$C$23*1/4))*PRESIONES!$C$19+(PRESIONES!$G$34-ABERTURAS!$L$65)*MAX(0,MIN($W18,DATOS!$C$23*3/4)-MAX($V18,DATOS!$C$23*2/4))*PRESIONES!$C$20+(PRESIONES!$G$35-ABERTURAS!$L$65)*MAX(0,MIN($W18,DATOS!$C$23*4/4)-MAX($V18,DATOS!$C$23*3/4))*PRESIONES!$C$21))</f>
        <v>0.65923332527998046</v>
      </c>
      <c r="AP18" s="26">
        <f>IF($L18&lt;&gt;"OK",0,PRESIONES!$C$12*((PRESIONES!$J$32-ABERTURAS!$L$66)*MAX(0,MIN($W18,DATOS!$C$23*1/4)-MAX($V18,DATOS!$C$23*0/4))*PRESIONES!$C$18+(PRESIONES!$J$33-ABERTURAS!$L$66)*MAX(0,MIN($W18,DATOS!$C$23*2/4)-MAX($V18,DATOS!$C$23*1/4))*PRESIONES!$C$19+(PRESIONES!$J$34-ABERTURAS!$L$66)*MAX(0,MIN($W18,DATOS!$C$23*3/4)-MAX($V18,DATOS!$C$23*2/4))*PRESIONES!$C$20+(PRESIONES!$J$35-ABERTURAS!$L$66)*MAX(0,MIN($W18,DATOS!$C$23*4/4)-MAX($V18,DATOS!$C$23*3/4))*PRESIONES!$C$21))</f>
        <v>0.32961666263999023</v>
      </c>
      <c r="AQ18" s="26">
        <f>IF($L18&lt;&gt;"OK",0,PRESIONES!$C$12*((PRESIONES!$M$32-ABERTURAS!$L$67)*MAX(0,MIN($W18,DATOS!$C$23*1/4)-MAX($V18,DATOS!$C$23*0/4))*PRESIONES!$C$18+(PRESIONES!$M$33-ABERTURAS!$L$67)*MAX(0,MIN($W18,DATOS!$C$23*2/4)-MAX($V18,DATOS!$C$23*1/4))*PRESIONES!$C$19+(PRESIONES!$M$34-ABERTURAS!$L$67)*MAX(0,MIN($W18,DATOS!$C$23*3/4)-MAX($V18,DATOS!$C$23*2/4))*PRESIONES!$C$20+(PRESIONES!$M$35-ABERTURAS!$L$67)*MAX(0,MIN($W18,DATOS!$C$23*4/4)-MAX($V18,DATOS!$C$23*3/4))*PRESIONES!$C$21))</f>
        <v>4.7794416082798596</v>
      </c>
      <c r="AR18" s="26">
        <f>IF($L18&lt;&gt;"OK",0,PRESIONES!$C$12*((PRESIONES!$E$32-ABERTURAS!$L$60)*MAX(0,MIN($W18,DATOS!$C$23*1/4)-MAX($V18,DATOS!$C$23*0/4))+(PRESIONES!$E$33-ABERTURAS!$L$60)*MAX(0,MIN($W18,DATOS!$C$23*2/4)-MAX($V18,DATOS!$C$23*1/4))+(PRESIONES!$E$34-ABERTURAS!$L$60)*MAX(0,MIN($W18,DATOS!$C$23*3/4)-MAX($V18,DATOS!$C$23*2/4))+(PRESIONES!$E$35-ABERTURAS!$L$60)*MAX(0,MIN($W18,DATOS!$C$23*4/4)-MAX($V18,DATOS!$C$23*3/4))))</f>
        <v>-13.184666505599624</v>
      </c>
      <c r="AS18" s="26">
        <f>IF($L18&lt;&gt;"OK",0,PRESIONES!$C$12*((PRESIONES!$H$32-ABERTURAS!$L$61)*MAX(0,MIN($W18,DATOS!$C$23*1/4)-MAX($V18,DATOS!$C$23*0/4))+(PRESIONES!$H$33-ABERTURAS!$L$61)*MAX(0,MIN($W18,DATOS!$C$23*2/4)-MAX($V18,DATOS!$C$23*1/4))+(PRESIONES!$H$34-ABERTURAS!$L$61)*MAX(0,MIN($W18,DATOS!$C$23*3/4)-MAX($V18,DATOS!$C$23*2/4))+(PRESIONES!$H$35-ABERTURAS!$L$61)*MAX(0,MIN($W18,DATOS!$C$23*4/4)-MAX($V18,DATOS!$C$23*3/4))))</f>
        <v>-13.184666505599624</v>
      </c>
      <c r="AT18" s="26">
        <f>IF($L18&lt;&gt;"OK",0,PRESIONES!$C$12*((PRESIONES!$K$32-ABERTURAS!$L$62)*MAX(0,MIN($W18,DATOS!$C$23*1/4)-MAX($V18,DATOS!$C$23*0/4))+(PRESIONES!$K$33-ABERTURAS!$L$62)*MAX(0,MIN($W18,DATOS!$C$23*2/4)-MAX($V18,DATOS!$C$23*1/4))+(PRESIONES!$K$34-ABERTURAS!$L$62)*MAX(0,MIN($W18,DATOS!$C$23*3/4)-MAX($V18,DATOS!$C$23*2/4))+(PRESIONES!$K$35-ABERTURAS!$L$62)*MAX(0,MIN($W18,DATOS!$C$23*4/4)-MAX($V18,DATOS!$C$23*3/4))))</f>
        <v>-6.5923332527998122</v>
      </c>
      <c r="AU18" s="26">
        <f>IF($L18&lt;&gt;"OK",0,PRESIONES!$C$12*((PRESIONES!$N$32-ABERTURAS!$L$63)*MAX(0,MIN($W18,DATOS!$C$23*1/4)-MAX($V18,DATOS!$C$23*0/4))+(PRESIONES!$N$33-ABERTURAS!$L$63)*MAX(0,MIN($W18,DATOS!$C$23*2/4)-MAX($V18,DATOS!$C$23*1/4))+(PRESIONES!$N$34-ABERTURAS!$L$63)*MAX(0,MIN($W18,DATOS!$C$23*3/4)-MAX($V18,DATOS!$C$23*2/4))+(PRESIONES!$N$35-ABERTURAS!$L$63)*MAX(0,MIN($W18,DATOS!$C$23*4/4)-MAX($V18,DATOS!$C$23*3/4))))</f>
        <v>-95.58883216559731</v>
      </c>
      <c r="AV18" s="26">
        <f>IF($L18&lt;&gt;"OK",0,PRESIONES!$C$12*((PRESIONES!$E$32-ABERTURAS!$L$64)*MAX(0,MIN($W18,DATOS!$C$23*1/4)-MAX($V18,DATOS!$C$23*0/4))+(PRESIONES!$E$33-ABERTURAS!$L$64)*MAX(0,MIN($W18,DATOS!$C$23*2/4)-MAX($V18,DATOS!$C$23*1/4))+(PRESIONES!$E$34-ABERTURAS!$L$64)*MAX(0,MIN($W18,DATOS!$C$23*3/4)-MAX($V18,DATOS!$C$23*2/4))+(PRESIONES!$E$35-ABERTURAS!$L$64)*MAX(0,MIN($W18,DATOS!$C$23*4/4)-MAX($V18,DATOS!$C$23*3/4))))</f>
        <v>-13.184666505599624</v>
      </c>
      <c r="AW18" s="26">
        <f>IF($L18&lt;&gt;"OK",0,PRESIONES!$C$12*((PRESIONES!$H$32-ABERTURAS!$L$65)*MAX(0,MIN($W18,DATOS!$C$23*1/4)-MAX($V18,DATOS!$C$23*0/4))+(PRESIONES!$H$33-ABERTURAS!$L$65)*MAX(0,MIN($W18,DATOS!$C$23*2/4)-MAX($V18,DATOS!$C$23*1/4))+(PRESIONES!$H$34-ABERTURAS!$L$65)*MAX(0,MIN($W18,DATOS!$C$23*3/4)-MAX($V18,DATOS!$C$23*2/4))+(PRESIONES!$H$35-ABERTURAS!$L$65)*MAX(0,MIN($W18,DATOS!$C$23*4/4)-MAX($V18,DATOS!$C$23*3/4))))</f>
        <v>-13.184666505599624</v>
      </c>
      <c r="AX18" s="26">
        <f>IF($L18&lt;&gt;"OK",0,PRESIONES!$C$12*((PRESIONES!$K$32-ABERTURAS!$L$66)*MAX(0,MIN($W18,DATOS!$C$23*1/4)-MAX($V18,DATOS!$C$23*0/4))+(PRESIONES!$K$33-ABERTURAS!$L$66)*MAX(0,MIN($W18,DATOS!$C$23*2/4)-MAX($V18,DATOS!$C$23*1/4))+(PRESIONES!$K$34-ABERTURAS!$L$66)*MAX(0,MIN($W18,DATOS!$C$23*3/4)-MAX($V18,DATOS!$C$23*2/4))+(PRESIONES!$K$35-ABERTURAS!$L$66)*MAX(0,MIN($W18,DATOS!$C$23*4/4)-MAX($V18,DATOS!$C$23*3/4))))</f>
        <v>-6.5923332527998122</v>
      </c>
      <c r="AY18" s="26">
        <f>IF($L18&lt;&gt;"OK",0,PRESIONES!$C$12*((PRESIONES!$N$32-ABERTURAS!$L$67)*MAX(0,MIN($W18,DATOS!$C$23*1/4)-MAX($V18,DATOS!$C$23*0/4))+(PRESIONES!$N$33-ABERTURAS!$L$67)*MAX(0,MIN($W18,DATOS!$C$23*2/4)-MAX($V18,DATOS!$C$23*1/4))+(PRESIONES!$N$34-ABERTURAS!$L$67)*MAX(0,MIN($W18,DATOS!$C$23*3/4)-MAX($V18,DATOS!$C$23*2/4))+(PRESIONES!$N$35-ABERTURAS!$L$67)*MAX(0,MIN($W18,DATOS!$C$23*4/4)-MAX($V18,DATOS!$C$23*3/4))))</f>
        <v>-95.58883216559731</v>
      </c>
      <c r="AZ18" s="26">
        <f>IF($L18&lt;&gt;"OK",0,PRESIONES!$C$12*((PRESIONES!$E$32-ABERTURAS!$L$60)*MAX(0,MIN($W18,DATOS!$C$23*1/4)-MAX($V18,DATOS!$C$23*0/4))*PRESIONES!$C$18+(PRESIONES!$E$33-ABERTURAS!$L$60)*MAX(0,MIN($W18,DATOS!$C$23*2/4)-MAX($V18,DATOS!$C$23*1/4))*PRESIONES!$C$19+(PRESIONES!$E$34-ABERTURAS!$L$60)*MAX(0,MIN($W18,DATOS!$C$23*3/4)-MAX($V18,DATOS!$C$23*2/4))*PRESIONES!$C$20+(PRESIONES!$E$35-ABERTURAS!$L$60)*MAX(0,MIN($W18,DATOS!$C$23*4/4)-MAX($V18,DATOS!$C$23*3/4))*PRESIONES!$C$21))</f>
        <v>0.65923332527998046</v>
      </c>
      <c r="BA18" s="26">
        <f>IF($L18&lt;&gt;"OK",0,PRESIONES!$C$12*((PRESIONES!$H$32-ABERTURAS!$L$61)*MAX(0,MIN($W18,DATOS!$C$23*1/4)-MAX($V18,DATOS!$C$23*0/4))*PRESIONES!$C$18+(PRESIONES!$H$33-ABERTURAS!$L$61)*MAX(0,MIN($W18,DATOS!$C$23*2/4)-MAX($V18,DATOS!$C$23*1/4))*PRESIONES!$C$19+(PRESIONES!$H$34-ABERTURAS!$L$61)*MAX(0,MIN($W18,DATOS!$C$23*3/4)-MAX($V18,DATOS!$C$23*2/4))*PRESIONES!$C$20+(PRESIONES!$H$35-ABERTURAS!$L$61)*MAX(0,MIN($W18,DATOS!$C$23*4/4)-MAX($V18,DATOS!$C$23*3/4))*PRESIONES!$C$21))</f>
        <v>0.65923332527998046</v>
      </c>
      <c r="BB18" s="26">
        <f>IF($L18&lt;&gt;"OK",0,PRESIONES!$C$12*((PRESIONES!$K$32-ABERTURAS!$L$62)*MAX(0,MIN($W18,DATOS!$C$23*1/4)-MAX($V18,DATOS!$C$23*0/4))*PRESIONES!$C$18+(PRESIONES!$K$33-ABERTURAS!$L$62)*MAX(0,MIN($W18,DATOS!$C$23*2/4)-MAX($V18,DATOS!$C$23*1/4))*PRESIONES!$C$19+(PRESIONES!$K$34-ABERTURAS!$L$62)*MAX(0,MIN($W18,DATOS!$C$23*3/4)-MAX($V18,DATOS!$C$23*2/4))*PRESIONES!$C$20+(PRESIONES!$K$35-ABERTURAS!$L$62)*MAX(0,MIN($W18,DATOS!$C$23*4/4)-MAX($V18,DATOS!$C$23*3/4))*PRESIONES!$C$21))</f>
        <v>0.32961666263999023</v>
      </c>
      <c r="BC18" s="26">
        <f>IF($L18&lt;&gt;"OK",0,PRESIONES!$C$12*((PRESIONES!$N$32-ABERTURAS!$L$63)*MAX(0,MIN($W18,DATOS!$C$23*1/4)-MAX($V18,DATOS!$C$23*0/4))*PRESIONES!$C$18+(PRESIONES!$N$33-ABERTURAS!$L$63)*MAX(0,MIN($W18,DATOS!$C$23*2/4)-MAX($V18,DATOS!$C$23*1/4))*PRESIONES!$C$19+(PRESIONES!$N$34-ABERTURAS!$L$63)*MAX(0,MIN($W18,DATOS!$C$23*3/4)-MAX($V18,DATOS!$C$23*2/4))*PRESIONES!$C$20+(PRESIONES!$N$35-ABERTURAS!$L$63)*MAX(0,MIN($W18,DATOS!$C$23*4/4)-MAX($V18,DATOS!$C$23*3/4))*PRESIONES!$C$21))</f>
        <v>4.7794416082798596</v>
      </c>
      <c r="BD18" s="26">
        <f>IF($L18&lt;&gt;"OK",0,PRESIONES!$C$12*((PRESIONES!$E$32-ABERTURAS!$L$64)*MAX(0,MIN($W18,DATOS!$C$23*1/4)-MAX($V18,DATOS!$C$23*0/4))*PRESIONES!$C$18+(PRESIONES!$E$33-ABERTURAS!$L$64)*MAX(0,MIN($W18,DATOS!$C$23*2/4)-MAX($V18,DATOS!$C$23*1/4))*PRESIONES!$C$19+(PRESIONES!$E$34-ABERTURAS!$L$64)*MAX(0,MIN($W18,DATOS!$C$23*3/4)-MAX($V18,DATOS!$C$23*2/4))*PRESIONES!$C$20+(PRESIONES!$E$35-ABERTURAS!$L$64)*MAX(0,MIN($W18,DATOS!$C$23*4/4)-MAX($V18,DATOS!$C$23*3/4))*PRESIONES!$C$21))</f>
        <v>0.65923332527998046</v>
      </c>
      <c r="BE18" s="26">
        <f>IF($L18&lt;&gt;"OK",0,PRESIONES!$C$12*((PRESIONES!$H$32-ABERTURAS!$L$65)*MAX(0,MIN($W18,DATOS!$C$23*1/4)-MAX($V18,DATOS!$C$23*0/4))*PRESIONES!$C$18+(PRESIONES!$H$33-ABERTURAS!$L$65)*MAX(0,MIN($W18,DATOS!$C$23*2/4)-MAX($V18,DATOS!$C$23*1/4))*PRESIONES!$C$19+(PRESIONES!$H$34-ABERTURAS!$L$65)*MAX(0,MIN($W18,DATOS!$C$23*3/4)-MAX($V18,DATOS!$C$23*2/4))*PRESIONES!$C$20+(PRESIONES!$H$35-ABERTURAS!$L$65)*MAX(0,MIN($W18,DATOS!$C$23*4/4)-MAX($V18,DATOS!$C$23*3/4))*PRESIONES!$C$21))</f>
        <v>0.65923332527998046</v>
      </c>
      <c r="BF18" s="26">
        <f>IF($L18&lt;&gt;"OK",0,PRESIONES!$C$12*((PRESIONES!$K$32-ABERTURAS!$L$66)*MAX(0,MIN($W18,DATOS!$C$23*1/4)-MAX($V18,DATOS!$C$23*0/4))*PRESIONES!$C$18+(PRESIONES!$K$33-ABERTURAS!$L$66)*MAX(0,MIN($W18,DATOS!$C$23*2/4)-MAX($V18,DATOS!$C$23*1/4))*PRESIONES!$C$19+(PRESIONES!$K$34-ABERTURAS!$L$66)*MAX(0,MIN($W18,DATOS!$C$23*3/4)-MAX($V18,DATOS!$C$23*2/4))*PRESIONES!$C$20+(PRESIONES!$K$35-ABERTURAS!$L$66)*MAX(0,MIN($W18,DATOS!$C$23*4/4)-MAX($V18,DATOS!$C$23*3/4))*PRESIONES!$C$21))</f>
        <v>0.32961666263999023</v>
      </c>
      <c r="BG18" s="26">
        <f>IF($L18&lt;&gt;"OK",0,PRESIONES!$C$12*((PRESIONES!$N$32-ABERTURAS!$L$67)*MAX(0,MIN($W18,DATOS!$C$23*1/4)-MAX($V18,DATOS!$C$23*0/4))*PRESIONES!$C$18+(PRESIONES!$N$33-ABERTURAS!$L$67)*MAX(0,MIN($W18,DATOS!$C$23*2/4)-MAX($V18,DATOS!$C$23*1/4))*PRESIONES!$C$19+(PRESIONES!$N$34-ABERTURAS!$L$67)*MAX(0,MIN($W18,DATOS!$C$23*3/4)-MAX($V18,DATOS!$C$23*2/4))*PRESIONES!$C$20+(PRESIONES!$N$35-ABERTURAS!$L$67)*MAX(0,MIN($W18,DATOS!$C$23*4/4)-MAX($V18,DATOS!$C$23*3/4))*PRESIONES!$C$21))</f>
        <v>4.7794416082798596</v>
      </c>
    </row>
    <row r="19" spans="2:59" ht="16.5" customHeight="1" x14ac:dyDescent="0.3">
      <c r="B19" s="4" t="s">
        <v>417</v>
      </c>
      <c r="C19" s="15" t="s">
        <v>397</v>
      </c>
      <c r="D19" s="4" t="s">
        <v>418</v>
      </c>
      <c r="E19" s="15" t="s">
        <v>80</v>
      </c>
      <c r="F19" s="40">
        <v>0</v>
      </c>
      <c r="G19" s="40">
        <v>10.08</v>
      </c>
      <c r="H19" s="40">
        <v>12.824999999999999</v>
      </c>
      <c r="I19" s="40">
        <v>14.125</v>
      </c>
      <c r="J19" s="40"/>
      <c r="K19" s="40"/>
      <c r="L19" s="18" t="str">
        <f>IF($D19="","",IF($C19&lt;&gt;"TECHO","PON TECHO",IF(OR($F19="",$G19="",$H19="",$I19=""),"FALTAN a o b",IF($M19&lt;=0,"a₂ DEBE SER &gt; a₁",IF($N19&lt;=0,"b₂ DEBE SER &gt; b₁",IF(OR($V19&lt;-0.001,$W19&gt;DATOS!$C$23+0.001),"SE SALE DEL TECHO","OK"))))))</f>
        <v>OK</v>
      </c>
      <c r="M19" s="26">
        <f t="shared" si="0"/>
        <v>10.08</v>
      </c>
      <c r="N19" s="26">
        <f t="shared" si="1"/>
        <v>1.3000000000000007</v>
      </c>
      <c r="O19" s="26">
        <f t="shared" si="2"/>
        <v>13.104000000000008</v>
      </c>
      <c r="P19" s="26">
        <v>0</v>
      </c>
      <c r="Q19" s="26">
        <v>0</v>
      </c>
      <c r="R19" s="26">
        <f t="shared" si="3"/>
        <v>13.104000000000008</v>
      </c>
      <c r="S19" s="26">
        <f t="shared" si="3"/>
        <v>13.104000000000008</v>
      </c>
      <c r="T19" s="41">
        <f>IF($D19="",0,DATOS!$C$21)</f>
        <v>10.62</v>
      </c>
      <c r="U19" s="41">
        <v>0</v>
      </c>
      <c r="V19" s="41">
        <f t="shared" si="4"/>
        <v>12.824999999999999</v>
      </c>
      <c r="W19" s="41">
        <f t="shared" si="5"/>
        <v>14.125</v>
      </c>
      <c r="AB19" s="26">
        <f>IF($L19&lt;&gt;"OK",0,PRESIONES!$C$12*((PRESIONES!$D$32-ABERTURAS!$L$60)*MAX(0,MIN($W19,DATOS!$C$23*1/4)-MAX($V19,DATOS!$C$23*0/4))+(PRESIONES!$D$33-ABERTURAS!$L$60)*MAX(0,MIN($W19,DATOS!$C$23*2/4)-MAX($V19,DATOS!$C$23*1/4))+(PRESIONES!$D$34-ABERTURAS!$L$60)*MAX(0,MIN($W19,DATOS!$C$23*3/4)-MAX($V19,DATOS!$C$23*2/4))+(PRESIONES!$D$35-ABERTURAS!$L$60)*MAX(0,MIN($W19,DATOS!$C$23*4/4)-MAX($V19,DATOS!$C$23*3/4))))</f>
        <v>-12.696345523910759</v>
      </c>
      <c r="AC19" s="26">
        <f>IF($L19&lt;&gt;"OK",0,PRESIONES!$C$12*((PRESIONES!$G$32-ABERTURAS!$L$61)*MAX(0,MIN($W19,DATOS!$C$23*1/4)-MAX($V19,DATOS!$C$23*0/4))+(PRESIONES!$G$33-ABERTURAS!$L$61)*MAX(0,MIN($W19,DATOS!$C$23*2/4)-MAX($V19,DATOS!$C$23*1/4))+(PRESIONES!$G$34-ABERTURAS!$L$61)*MAX(0,MIN($W19,DATOS!$C$23*3/4)-MAX($V19,DATOS!$C$23*2/4))+(PRESIONES!$G$35-ABERTURAS!$L$61)*MAX(0,MIN($W19,DATOS!$C$23*4/4)-MAX($V19,DATOS!$C$23*3/4))))</f>
        <v>-12.696345523910759</v>
      </c>
      <c r="AD19" s="26">
        <f>IF($L19&lt;&gt;"OK",0,PRESIONES!$C$12*((PRESIONES!$J$32-ABERTURAS!$L$62)*MAX(0,MIN($W19,DATOS!$C$23*1/4)-MAX($V19,DATOS!$C$23*0/4))+(PRESIONES!$J$33-ABERTURAS!$L$62)*MAX(0,MIN($W19,DATOS!$C$23*2/4)-MAX($V19,DATOS!$C$23*1/4))+(PRESIONES!$J$34-ABERTURAS!$L$62)*MAX(0,MIN($W19,DATOS!$C$23*3/4)-MAX($V19,DATOS!$C$23*2/4))+(PRESIONES!$J$35-ABERTURAS!$L$62)*MAX(0,MIN($W19,DATOS!$C$23*4/4)-MAX($V19,DATOS!$C$23*3/4))))</f>
        <v>-6.3481727619553796</v>
      </c>
      <c r="AE19" s="26">
        <f>IF($L19&lt;&gt;"OK",0,PRESIONES!$C$12*((PRESIONES!$M$32-ABERTURAS!$L$63)*MAX(0,MIN($W19,DATOS!$C$23*1/4)-MAX($V19,DATOS!$C$23*0/4))+(PRESIONES!$M$33-ABERTURAS!$L$63)*MAX(0,MIN($W19,DATOS!$C$23*2/4)-MAX($V19,DATOS!$C$23*1/4))+(PRESIONES!$M$34-ABERTURAS!$L$63)*MAX(0,MIN($W19,DATOS!$C$23*3/4)-MAX($V19,DATOS!$C$23*2/4))+(PRESIONES!$M$35-ABERTURAS!$L$63)*MAX(0,MIN($W19,DATOS!$C$23*4/4)-MAX($V19,DATOS!$C$23*3/4))))</f>
        <v>-92.048505048353036</v>
      </c>
      <c r="AF19" s="26">
        <f>IF($L19&lt;&gt;"OK",0,PRESIONES!$C$12*((PRESIONES!$D$32-ABERTURAS!$L$64)*MAX(0,MIN($W19,DATOS!$C$23*1/4)-MAX($V19,DATOS!$C$23*0/4))+(PRESIONES!$D$33-ABERTURAS!$L$64)*MAX(0,MIN($W19,DATOS!$C$23*2/4)-MAX($V19,DATOS!$C$23*1/4))+(PRESIONES!$D$34-ABERTURAS!$L$64)*MAX(0,MIN($W19,DATOS!$C$23*3/4)-MAX($V19,DATOS!$C$23*2/4))+(PRESIONES!$D$35-ABERTURAS!$L$64)*MAX(0,MIN($W19,DATOS!$C$23*4/4)-MAX($V19,DATOS!$C$23*3/4))))</f>
        <v>-12.696345523910759</v>
      </c>
      <c r="AG19" s="26">
        <f>IF($L19&lt;&gt;"OK",0,PRESIONES!$C$12*((PRESIONES!$G$32-ABERTURAS!$L$65)*MAX(0,MIN($W19,DATOS!$C$23*1/4)-MAX($V19,DATOS!$C$23*0/4))+(PRESIONES!$G$33-ABERTURAS!$L$65)*MAX(0,MIN($W19,DATOS!$C$23*2/4)-MAX($V19,DATOS!$C$23*1/4))+(PRESIONES!$G$34-ABERTURAS!$L$65)*MAX(0,MIN($W19,DATOS!$C$23*3/4)-MAX($V19,DATOS!$C$23*2/4))+(PRESIONES!$G$35-ABERTURAS!$L$65)*MAX(0,MIN($W19,DATOS!$C$23*4/4)-MAX($V19,DATOS!$C$23*3/4))))</f>
        <v>-12.696345523910759</v>
      </c>
      <c r="AH19" s="26">
        <f>IF($L19&lt;&gt;"OK",0,PRESIONES!$C$12*((PRESIONES!$J$32-ABERTURAS!$L$66)*MAX(0,MIN($W19,DATOS!$C$23*1/4)-MAX($V19,DATOS!$C$23*0/4))+(PRESIONES!$J$33-ABERTURAS!$L$66)*MAX(0,MIN($W19,DATOS!$C$23*2/4)-MAX($V19,DATOS!$C$23*1/4))+(PRESIONES!$J$34-ABERTURAS!$L$66)*MAX(0,MIN($W19,DATOS!$C$23*3/4)-MAX($V19,DATOS!$C$23*2/4))+(PRESIONES!$J$35-ABERTURAS!$L$66)*MAX(0,MIN($W19,DATOS!$C$23*4/4)-MAX($V19,DATOS!$C$23*3/4))))</f>
        <v>-6.3481727619553796</v>
      </c>
      <c r="AI19" s="26">
        <f>IF($L19&lt;&gt;"OK",0,PRESIONES!$C$12*((PRESIONES!$M$32-ABERTURAS!$L$67)*MAX(0,MIN($W19,DATOS!$C$23*1/4)-MAX($V19,DATOS!$C$23*0/4))+(PRESIONES!$M$33-ABERTURAS!$L$67)*MAX(0,MIN($W19,DATOS!$C$23*2/4)-MAX($V19,DATOS!$C$23*1/4))+(PRESIONES!$M$34-ABERTURAS!$L$67)*MAX(0,MIN($W19,DATOS!$C$23*3/4)-MAX($V19,DATOS!$C$23*2/4))+(PRESIONES!$M$35-ABERTURAS!$L$67)*MAX(0,MIN($W19,DATOS!$C$23*4/4)-MAX($V19,DATOS!$C$23*3/4))))</f>
        <v>-92.048505048353036</v>
      </c>
      <c r="AJ19" s="26">
        <f>IF($L19&lt;&gt;"OK",0,PRESIONES!$C$12*((PRESIONES!$D$32-ABERTURAS!$L$60)*MAX(0,MIN($W19,DATOS!$C$23*1/4)-MAX($V19,DATOS!$C$23*0/4))*PRESIONES!$C$18+(PRESIONES!$D$33-ABERTURAS!$L$60)*MAX(0,MIN($W19,DATOS!$C$23*2/4)-MAX($V19,DATOS!$C$23*1/4))*PRESIONES!$C$19+(PRESIONES!$D$34-ABERTURAS!$L$60)*MAX(0,MIN($W19,DATOS!$C$23*3/4)-MAX($V19,DATOS!$C$23*2/4))*PRESIONES!$C$20+(PRESIONES!$D$35-ABERTURAS!$L$60)*MAX(0,MIN($W19,DATOS!$C$23*4/4)-MAX($V19,DATOS!$C$23*3/4))*PRESIONES!$C$21))</f>
        <v>0.63481727619553718</v>
      </c>
      <c r="AK19" s="26">
        <f>IF($L19&lt;&gt;"OK",0,PRESIONES!$C$12*((PRESIONES!$G$32-ABERTURAS!$L$61)*MAX(0,MIN($W19,DATOS!$C$23*1/4)-MAX($V19,DATOS!$C$23*0/4))*PRESIONES!$C$18+(PRESIONES!$G$33-ABERTURAS!$L$61)*MAX(0,MIN($W19,DATOS!$C$23*2/4)-MAX($V19,DATOS!$C$23*1/4))*PRESIONES!$C$19+(PRESIONES!$G$34-ABERTURAS!$L$61)*MAX(0,MIN($W19,DATOS!$C$23*3/4)-MAX($V19,DATOS!$C$23*2/4))*PRESIONES!$C$20+(PRESIONES!$G$35-ABERTURAS!$L$61)*MAX(0,MIN($W19,DATOS!$C$23*4/4)-MAX($V19,DATOS!$C$23*3/4))*PRESIONES!$C$21))</f>
        <v>0.63481727619553718</v>
      </c>
      <c r="AL19" s="26">
        <f>IF($L19&lt;&gt;"OK",0,PRESIONES!$C$12*((PRESIONES!$J$32-ABERTURAS!$L$62)*MAX(0,MIN($W19,DATOS!$C$23*1/4)-MAX($V19,DATOS!$C$23*0/4))*PRESIONES!$C$18+(PRESIONES!$J$33-ABERTURAS!$L$62)*MAX(0,MIN($W19,DATOS!$C$23*2/4)-MAX($V19,DATOS!$C$23*1/4))*PRESIONES!$C$19+(PRESIONES!$J$34-ABERTURAS!$L$62)*MAX(0,MIN($W19,DATOS!$C$23*3/4)-MAX($V19,DATOS!$C$23*2/4))*PRESIONES!$C$20+(PRESIONES!$J$35-ABERTURAS!$L$62)*MAX(0,MIN($W19,DATOS!$C$23*4/4)-MAX($V19,DATOS!$C$23*3/4))*PRESIONES!$C$21))</f>
        <v>0.31740863809776859</v>
      </c>
      <c r="AM19" s="26">
        <f>IF($L19&lt;&gt;"OK",0,PRESIONES!$C$12*((PRESIONES!$M$32-ABERTURAS!$L$63)*MAX(0,MIN($W19,DATOS!$C$23*1/4)-MAX($V19,DATOS!$C$23*0/4))*PRESIONES!$C$18+(PRESIONES!$M$33-ABERTURAS!$L$63)*MAX(0,MIN($W19,DATOS!$C$23*2/4)-MAX($V19,DATOS!$C$23*1/4))*PRESIONES!$C$19+(PRESIONES!$M$34-ABERTURAS!$L$63)*MAX(0,MIN($W19,DATOS!$C$23*3/4)-MAX($V19,DATOS!$C$23*2/4))*PRESIONES!$C$20+(PRESIONES!$M$35-ABERTURAS!$L$63)*MAX(0,MIN($W19,DATOS!$C$23*4/4)-MAX($V19,DATOS!$C$23*3/4))*PRESIONES!$C$21))</f>
        <v>4.6024252524176452</v>
      </c>
      <c r="AN19" s="26">
        <f>IF($L19&lt;&gt;"OK",0,PRESIONES!$C$12*((PRESIONES!$D$32-ABERTURAS!$L$64)*MAX(0,MIN($W19,DATOS!$C$23*1/4)-MAX($V19,DATOS!$C$23*0/4))*PRESIONES!$C$18+(PRESIONES!$D$33-ABERTURAS!$L$64)*MAX(0,MIN($W19,DATOS!$C$23*2/4)-MAX($V19,DATOS!$C$23*1/4))*PRESIONES!$C$19+(PRESIONES!$D$34-ABERTURAS!$L$64)*MAX(0,MIN($W19,DATOS!$C$23*3/4)-MAX($V19,DATOS!$C$23*2/4))*PRESIONES!$C$20+(PRESIONES!$D$35-ABERTURAS!$L$64)*MAX(0,MIN($W19,DATOS!$C$23*4/4)-MAX($V19,DATOS!$C$23*3/4))*PRESIONES!$C$21))</f>
        <v>0.63481727619553718</v>
      </c>
      <c r="AO19" s="26">
        <f>IF($L19&lt;&gt;"OK",0,PRESIONES!$C$12*((PRESIONES!$G$32-ABERTURAS!$L$65)*MAX(0,MIN($W19,DATOS!$C$23*1/4)-MAX($V19,DATOS!$C$23*0/4))*PRESIONES!$C$18+(PRESIONES!$G$33-ABERTURAS!$L$65)*MAX(0,MIN($W19,DATOS!$C$23*2/4)-MAX($V19,DATOS!$C$23*1/4))*PRESIONES!$C$19+(PRESIONES!$G$34-ABERTURAS!$L$65)*MAX(0,MIN($W19,DATOS!$C$23*3/4)-MAX($V19,DATOS!$C$23*2/4))*PRESIONES!$C$20+(PRESIONES!$G$35-ABERTURAS!$L$65)*MAX(0,MIN($W19,DATOS!$C$23*4/4)-MAX($V19,DATOS!$C$23*3/4))*PRESIONES!$C$21))</f>
        <v>0.63481727619553718</v>
      </c>
      <c r="AP19" s="26">
        <f>IF($L19&lt;&gt;"OK",0,PRESIONES!$C$12*((PRESIONES!$J$32-ABERTURAS!$L$66)*MAX(0,MIN($W19,DATOS!$C$23*1/4)-MAX($V19,DATOS!$C$23*0/4))*PRESIONES!$C$18+(PRESIONES!$J$33-ABERTURAS!$L$66)*MAX(0,MIN($W19,DATOS!$C$23*2/4)-MAX($V19,DATOS!$C$23*1/4))*PRESIONES!$C$19+(PRESIONES!$J$34-ABERTURAS!$L$66)*MAX(0,MIN($W19,DATOS!$C$23*3/4)-MAX($V19,DATOS!$C$23*2/4))*PRESIONES!$C$20+(PRESIONES!$J$35-ABERTURAS!$L$66)*MAX(0,MIN($W19,DATOS!$C$23*4/4)-MAX($V19,DATOS!$C$23*3/4))*PRESIONES!$C$21))</f>
        <v>0.31740863809776859</v>
      </c>
      <c r="AQ19" s="26">
        <f>IF($L19&lt;&gt;"OK",0,PRESIONES!$C$12*((PRESIONES!$M$32-ABERTURAS!$L$67)*MAX(0,MIN($W19,DATOS!$C$23*1/4)-MAX($V19,DATOS!$C$23*0/4))*PRESIONES!$C$18+(PRESIONES!$M$33-ABERTURAS!$L$67)*MAX(0,MIN($W19,DATOS!$C$23*2/4)-MAX($V19,DATOS!$C$23*1/4))*PRESIONES!$C$19+(PRESIONES!$M$34-ABERTURAS!$L$67)*MAX(0,MIN($W19,DATOS!$C$23*3/4)-MAX($V19,DATOS!$C$23*2/4))*PRESIONES!$C$20+(PRESIONES!$M$35-ABERTURAS!$L$67)*MAX(0,MIN($W19,DATOS!$C$23*4/4)-MAX($V19,DATOS!$C$23*3/4))*PRESIONES!$C$21))</f>
        <v>4.6024252524176452</v>
      </c>
      <c r="AR19" s="26">
        <f>IF($L19&lt;&gt;"OK",0,PRESIONES!$C$12*((PRESIONES!$E$32-ABERTURAS!$L$60)*MAX(0,MIN($W19,DATOS!$C$23*1/4)-MAX($V19,DATOS!$C$23*0/4))+(PRESIONES!$E$33-ABERTURAS!$L$60)*MAX(0,MIN($W19,DATOS!$C$23*2/4)-MAX($V19,DATOS!$C$23*1/4))+(PRESIONES!$E$34-ABERTURAS!$L$60)*MAX(0,MIN($W19,DATOS!$C$23*3/4)-MAX($V19,DATOS!$C$23*2/4))+(PRESIONES!$E$35-ABERTURAS!$L$60)*MAX(0,MIN($W19,DATOS!$C$23*4/4)-MAX($V19,DATOS!$C$23*3/4))))</f>
        <v>-12.696345523910759</v>
      </c>
      <c r="AS19" s="26">
        <f>IF($L19&lt;&gt;"OK",0,PRESIONES!$C$12*((PRESIONES!$H$32-ABERTURAS!$L$61)*MAX(0,MIN($W19,DATOS!$C$23*1/4)-MAX($V19,DATOS!$C$23*0/4))+(PRESIONES!$H$33-ABERTURAS!$L$61)*MAX(0,MIN($W19,DATOS!$C$23*2/4)-MAX($V19,DATOS!$C$23*1/4))+(PRESIONES!$H$34-ABERTURAS!$L$61)*MAX(0,MIN($W19,DATOS!$C$23*3/4)-MAX($V19,DATOS!$C$23*2/4))+(PRESIONES!$H$35-ABERTURAS!$L$61)*MAX(0,MIN($W19,DATOS!$C$23*4/4)-MAX($V19,DATOS!$C$23*3/4))))</f>
        <v>-12.696345523910759</v>
      </c>
      <c r="AT19" s="26">
        <f>IF($L19&lt;&gt;"OK",0,PRESIONES!$C$12*((PRESIONES!$K$32-ABERTURAS!$L$62)*MAX(0,MIN($W19,DATOS!$C$23*1/4)-MAX($V19,DATOS!$C$23*0/4))+(PRESIONES!$K$33-ABERTURAS!$L$62)*MAX(0,MIN($W19,DATOS!$C$23*2/4)-MAX($V19,DATOS!$C$23*1/4))+(PRESIONES!$K$34-ABERTURAS!$L$62)*MAX(0,MIN($W19,DATOS!$C$23*3/4)-MAX($V19,DATOS!$C$23*2/4))+(PRESIONES!$K$35-ABERTURAS!$L$62)*MAX(0,MIN($W19,DATOS!$C$23*4/4)-MAX($V19,DATOS!$C$23*3/4))))</f>
        <v>-6.3481727619553796</v>
      </c>
      <c r="AU19" s="26">
        <f>IF($L19&lt;&gt;"OK",0,PRESIONES!$C$12*((PRESIONES!$N$32-ABERTURAS!$L$63)*MAX(0,MIN($W19,DATOS!$C$23*1/4)-MAX($V19,DATOS!$C$23*0/4))+(PRESIONES!$N$33-ABERTURAS!$L$63)*MAX(0,MIN($W19,DATOS!$C$23*2/4)-MAX($V19,DATOS!$C$23*1/4))+(PRESIONES!$N$34-ABERTURAS!$L$63)*MAX(0,MIN($W19,DATOS!$C$23*3/4)-MAX($V19,DATOS!$C$23*2/4))+(PRESIONES!$N$35-ABERTURAS!$L$63)*MAX(0,MIN($W19,DATOS!$C$23*4/4)-MAX($V19,DATOS!$C$23*3/4))))</f>
        <v>-92.048505048353036</v>
      </c>
      <c r="AV19" s="26">
        <f>IF($L19&lt;&gt;"OK",0,PRESIONES!$C$12*((PRESIONES!$E$32-ABERTURAS!$L$64)*MAX(0,MIN($W19,DATOS!$C$23*1/4)-MAX($V19,DATOS!$C$23*0/4))+(PRESIONES!$E$33-ABERTURAS!$L$64)*MAX(0,MIN($W19,DATOS!$C$23*2/4)-MAX($V19,DATOS!$C$23*1/4))+(PRESIONES!$E$34-ABERTURAS!$L$64)*MAX(0,MIN($W19,DATOS!$C$23*3/4)-MAX($V19,DATOS!$C$23*2/4))+(PRESIONES!$E$35-ABERTURAS!$L$64)*MAX(0,MIN($W19,DATOS!$C$23*4/4)-MAX($V19,DATOS!$C$23*3/4))))</f>
        <v>-12.696345523910759</v>
      </c>
      <c r="AW19" s="26">
        <f>IF($L19&lt;&gt;"OK",0,PRESIONES!$C$12*((PRESIONES!$H$32-ABERTURAS!$L$65)*MAX(0,MIN($W19,DATOS!$C$23*1/4)-MAX($V19,DATOS!$C$23*0/4))+(PRESIONES!$H$33-ABERTURAS!$L$65)*MAX(0,MIN($W19,DATOS!$C$23*2/4)-MAX($V19,DATOS!$C$23*1/4))+(PRESIONES!$H$34-ABERTURAS!$L$65)*MAX(0,MIN($W19,DATOS!$C$23*3/4)-MAX($V19,DATOS!$C$23*2/4))+(PRESIONES!$H$35-ABERTURAS!$L$65)*MAX(0,MIN($W19,DATOS!$C$23*4/4)-MAX($V19,DATOS!$C$23*3/4))))</f>
        <v>-12.696345523910759</v>
      </c>
      <c r="AX19" s="26">
        <f>IF($L19&lt;&gt;"OK",0,PRESIONES!$C$12*((PRESIONES!$K$32-ABERTURAS!$L$66)*MAX(0,MIN($W19,DATOS!$C$23*1/4)-MAX($V19,DATOS!$C$23*0/4))+(PRESIONES!$K$33-ABERTURAS!$L$66)*MAX(0,MIN($W19,DATOS!$C$23*2/4)-MAX($V19,DATOS!$C$23*1/4))+(PRESIONES!$K$34-ABERTURAS!$L$66)*MAX(0,MIN($W19,DATOS!$C$23*3/4)-MAX($V19,DATOS!$C$23*2/4))+(PRESIONES!$K$35-ABERTURAS!$L$66)*MAX(0,MIN($W19,DATOS!$C$23*4/4)-MAX($V19,DATOS!$C$23*3/4))))</f>
        <v>-6.3481727619553796</v>
      </c>
      <c r="AY19" s="26">
        <f>IF($L19&lt;&gt;"OK",0,PRESIONES!$C$12*((PRESIONES!$N$32-ABERTURAS!$L$67)*MAX(0,MIN($W19,DATOS!$C$23*1/4)-MAX($V19,DATOS!$C$23*0/4))+(PRESIONES!$N$33-ABERTURAS!$L$67)*MAX(0,MIN($W19,DATOS!$C$23*2/4)-MAX($V19,DATOS!$C$23*1/4))+(PRESIONES!$N$34-ABERTURAS!$L$67)*MAX(0,MIN($W19,DATOS!$C$23*3/4)-MAX($V19,DATOS!$C$23*2/4))+(PRESIONES!$N$35-ABERTURAS!$L$67)*MAX(0,MIN($W19,DATOS!$C$23*4/4)-MAX($V19,DATOS!$C$23*3/4))))</f>
        <v>-92.048505048353036</v>
      </c>
      <c r="AZ19" s="26">
        <f>IF($L19&lt;&gt;"OK",0,PRESIONES!$C$12*((PRESIONES!$E$32-ABERTURAS!$L$60)*MAX(0,MIN($W19,DATOS!$C$23*1/4)-MAX($V19,DATOS!$C$23*0/4))*PRESIONES!$C$18+(PRESIONES!$E$33-ABERTURAS!$L$60)*MAX(0,MIN($W19,DATOS!$C$23*2/4)-MAX($V19,DATOS!$C$23*1/4))*PRESIONES!$C$19+(PRESIONES!$E$34-ABERTURAS!$L$60)*MAX(0,MIN($W19,DATOS!$C$23*3/4)-MAX($V19,DATOS!$C$23*2/4))*PRESIONES!$C$20+(PRESIONES!$E$35-ABERTURAS!$L$60)*MAX(0,MIN($W19,DATOS!$C$23*4/4)-MAX($V19,DATOS!$C$23*3/4))*PRESIONES!$C$21))</f>
        <v>0.63481727619553718</v>
      </c>
      <c r="BA19" s="26">
        <f>IF($L19&lt;&gt;"OK",0,PRESIONES!$C$12*((PRESIONES!$H$32-ABERTURAS!$L$61)*MAX(0,MIN($W19,DATOS!$C$23*1/4)-MAX($V19,DATOS!$C$23*0/4))*PRESIONES!$C$18+(PRESIONES!$H$33-ABERTURAS!$L$61)*MAX(0,MIN($W19,DATOS!$C$23*2/4)-MAX($V19,DATOS!$C$23*1/4))*PRESIONES!$C$19+(PRESIONES!$H$34-ABERTURAS!$L$61)*MAX(0,MIN($W19,DATOS!$C$23*3/4)-MAX($V19,DATOS!$C$23*2/4))*PRESIONES!$C$20+(PRESIONES!$H$35-ABERTURAS!$L$61)*MAX(0,MIN($W19,DATOS!$C$23*4/4)-MAX($V19,DATOS!$C$23*3/4))*PRESIONES!$C$21))</f>
        <v>0.63481727619553718</v>
      </c>
      <c r="BB19" s="26">
        <f>IF($L19&lt;&gt;"OK",0,PRESIONES!$C$12*((PRESIONES!$K$32-ABERTURAS!$L$62)*MAX(0,MIN($W19,DATOS!$C$23*1/4)-MAX($V19,DATOS!$C$23*0/4))*PRESIONES!$C$18+(PRESIONES!$K$33-ABERTURAS!$L$62)*MAX(0,MIN($W19,DATOS!$C$23*2/4)-MAX($V19,DATOS!$C$23*1/4))*PRESIONES!$C$19+(PRESIONES!$K$34-ABERTURAS!$L$62)*MAX(0,MIN($W19,DATOS!$C$23*3/4)-MAX($V19,DATOS!$C$23*2/4))*PRESIONES!$C$20+(PRESIONES!$K$35-ABERTURAS!$L$62)*MAX(0,MIN($W19,DATOS!$C$23*4/4)-MAX($V19,DATOS!$C$23*3/4))*PRESIONES!$C$21))</f>
        <v>0.31740863809776859</v>
      </c>
      <c r="BC19" s="26">
        <f>IF($L19&lt;&gt;"OK",0,PRESIONES!$C$12*((PRESIONES!$N$32-ABERTURAS!$L$63)*MAX(0,MIN($W19,DATOS!$C$23*1/4)-MAX($V19,DATOS!$C$23*0/4))*PRESIONES!$C$18+(PRESIONES!$N$33-ABERTURAS!$L$63)*MAX(0,MIN($W19,DATOS!$C$23*2/4)-MAX($V19,DATOS!$C$23*1/4))*PRESIONES!$C$19+(PRESIONES!$N$34-ABERTURAS!$L$63)*MAX(0,MIN($W19,DATOS!$C$23*3/4)-MAX($V19,DATOS!$C$23*2/4))*PRESIONES!$C$20+(PRESIONES!$N$35-ABERTURAS!$L$63)*MAX(0,MIN($W19,DATOS!$C$23*4/4)-MAX($V19,DATOS!$C$23*3/4))*PRESIONES!$C$21))</f>
        <v>4.6024252524176452</v>
      </c>
      <c r="BD19" s="26">
        <f>IF($L19&lt;&gt;"OK",0,PRESIONES!$C$12*((PRESIONES!$E$32-ABERTURAS!$L$64)*MAX(0,MIN($W19,DATOS!$C$23*1/4)-MAX($V19,DATOS!$C$23*0/4))*PRESIONES!$C$18+(PRESIONES!$E$33-ABERTURAS!$L$64)*MAX(0,MIN($W19,DATOS!$C$23*2/4)-MAX($V19,DATOS!$C$23*1/4))*PRESIONES!$C$19+(PRESIONES!$E$34-ABERTURAS!$L$64)*MAX(0,MIN($W19,DATOS!$C$23*3/4)-MAX($V19,DATOS!$C$23*2/4))*PRESIONES!$C$20+(PRESIONES!$E$35-ABERTURAS!$L$64)*MAX(0,MIN($W19,DATOS!$C$23*4/4)-MAX($V19,DATOS!$C$23*3/4))*PRESIONES!$C$21))</f>
        <v>0.63481727619553718</v>
      </c>
      <c r="BE19" s="26">
        <f>IF($L19&lt;&gt;"OK",0,PRESIONES!$C$12*((PRESIONES!$H$32-ABERTURAS!$L$65)*MAX(0,MIN($W19,DATOS!$C$23*1/4)-MAX($V19,DATOS!$C$23*0/4))*PRESIONES!$C$18+(PRESIONES!$H$33-ABERTURAS!$L$65)*MAX(0,MIN($W19,DATOS!$C$23*2/4)-MAX($V19,DATOS!$C$23*1/4))*PRESIONES!$C$19+(PRESIONES!$H$34-ABERTURAS!$L$65)*MAX(0,MIN($W19,DATOS!$C$23*3/4)-MAX($V19,DATOS!$C$23*2/4))*PRESIONES!$C$20+(PRESIONES!$H$35-ABERTURAS!$L$65)*MAX(0,MIN($W19,DATOS!$C$23*4/4)-MAX($V19,DATOS!$C$23*3/4))*PRESIONES!$C$21))</f>
        <v>0.63481727619553718</v>
      </c>
      <c r="BF19" s="26">
        <f>IF($L19&lt;&gt;"OK",0,PRESIONES!$C$12*((PRESIONES!$K$32-ABERTURAS!$L$66)*MAX(0,MIN($W19,DATOS!$C$23*1/4)-MAX($V19,DATOS!$C$23*0/4))*PRESIONES!$C$18+(PRESIONES!$K$33-ABERTURAS!$L$66)*MAX(0,MIN($W19,DATOS!$C$23*2/4)-MAX($V19,DATOS!$C$23*1/4))*PRESIONES!$C$19+(PRESIONES!$K$34-ABERTURAS!$L$66)*MAX(0,MIN($W19,DATOS!$C$23*3/4)-MAX($V19,DATOS!$C$23*2/4))*PRESIONES!$C$20+(PRESIONES!$K$35-ABERTURAS!$L$66)*MAX(0,MIN($W19,DATOS!$C$23*4/4)-MAX($V19,DATOS!$C$23*3/4))*PRESIONES!$C$21))</f>
        <v>0.31740863809776859</v>
      </c>
      <c r="BG19" s="26">
        <f>IF($L19&lt;&gt;"OK",0,PRESIONES!$C$12*((PRESIONES!$N$32-ABERTURAS!$L$67)*MAX(0,MIN($W19,DATOS!$C$23*1/4)-MAX($V19,DATOS!$C$23*0/4))*PRESIONES!$C$18+(PRESIONES!$N$33-ABERTURAS!$L$67)*MAX(0,MIN($W19,DATOS!$C$23*2/4)-MAX($V19,DATOS!$C$23*1/4))*PRESIONES!$C$19+(PRESIONES!$N$34-ABERTURAS!$L$67)*MAX(0,MIN($W19,DATOS!$C$23*3/4)-MAX($V19,DATOS!$C$23*2/4))*PRESIONES!$C$20+(PRESIONES!$N$35-ABERTURAS!$L$67)*MAX(0,MIN($W19,DATOS!$C$23*4/4)-MAX($V19,DATOS!$C$23*3/4))*PRESIONES!$C$21))</f>
        <v>4.6024252524176452</v>
      </c>
    </row>
    <row r="20" spans="2:59" ht="16.5" customHeight="1" x14ac:dyDescent="0.3">
      <c r="B20" s="4" t="s">
        <v>419</v>
      </c>
      <c r="C20" s="15" t="s">
        <v>397</v>
      </c>
      <c r="D20" s="4" t="s">
        <v>420</v>
      </c>
      <c r="E20" s="15" t="s">
        <v>80</v>
      </c>
      <c r="F20" s="40">
        <v>0</v>
      </c>
      <c r="G20" s="40">
        <v>10.08</v>
      </c>
      <c r="H20" s="40">
        <v>14.125</v>
      </c>
      <c r="I20" s="40">
        <v>15.375</v>
      </c>
      <c r="J20" s="40"/>
      <c r="K20" s="40"/>
      <c r="L20" s="18" t="str">
        <f>IF($D20="","",IF($C20&lt;&gt;"TECHO","PON TECHO",IF(OR($F20="",$G20="",$H20="",$I20=""),"FALTAN a o b",IF($M20&lt;=0,"a₂ DEBE SER &gt; a₁",IF($N20&lt;=0,"b₂ DEBE SER &gt; b₁",IF(OR($V20&lt;-0.001,$W20&gt;DATOS!$C$23+0.001),"SE SALE DEL TECHO","OK"))))))</f>
        <v>OK</v>
      </c>
      <c r="M20" s="26">
        <f t="shared" si="0"/>
        <v>10.08</v>
      </c>
      <c r="N20" s="26">
        <f t="shared" si="1"/>
        <v>1.25</v>
      </c>
      <c r="O20" s="26">
        <f t="shared" si="2"/>
        <v>12.6</v>
      </c>
      <c r="P20" s="26">
        <v>0</v>
      </c>
      <c r="Q20" s="26">
        <v>0</v>
      </c>
      <c r="R20" s="26">
        <f t="shared" si="3"/>
        <v>12.6</v>
      </c>
      <c r="S20" s="26">
        <f t="shared" si="3"/>
        <v>12.6</v>
      </c>
      <c r="T20" s="41">
        <f>IF($D20="",0,DATOS!$C$21)</f>
        <v>10.62</v>
      </c>
      <c r="U20" s="41">
        <v>0</v>
      </c>
      <c r="V20" s="41">
        <f t="shared" si="4"/>
        <v>14.125</v>
      </c>
      <c r="W20" s="41">
        <f t="shared" si="5"/>
        <v>15.375</v>
      </c>
      <c r="AB20" s="26">
        <f>IF($L20&lt;&gt;"OK",0,PRESIONES!$C$12*((PRESIONES!$D$32-ABERTURAS!$L$60)*MAX(0,MIN($W20,DATOS!$C$23*1/4)-MAX($V20,DATOS!$C$23*0/4))+(PRESIONES!$D$33-ABERTURAS!$L$60)*MAX(0,MIN($W20,DATOS!$C$23*2/4)-MAX($V20,DATOS!$C$23*1/4))+(PRESIONES!$D$34-ABERTURAS!$L$60)*MAX(0,MIN($W20,DATOS!$C$23*3/4)-MAX($V20,DATOS!$C$23*2/4))+(PRESIONES!$D$35-ABERTURAS!$L$60)*MAX(0,MIN($W20,DATOS!$C$23*4/4)-MAX($V20,DATOS!$C$23*3/4))))</f>
        <v>-12.208024542221878</v>
      </c>
      <c r="AC20" s="26">
        <f>IF($L20&lt;&gt;"OK",0,PRESIONES!$C$12*((PRESIONES!$G$32-ABERTURAS!$L$61)*MAX(0,MIN($W20,DATOS!$C$23*1/4)-MAX($V20,DATOS!$C$23*0/4))+(PRESIONES!$G$33-ABERTURAS!$L$61)*MAX(0,MIN($W20,DATOS!$C$23*2/4)-MAX($V20,DATOS!$C$23*1/4))+(PRESIONES!$G$34-ABERTURAS!$L$61)*MAX(0,MIN($W20,DATOS!$C$23*3/4)-MAX($V20,DATOS!$C$23*2/4))+(PRESIONES!$G$35-ABERTURAS!$L$61)*MAX(0,MIN($W20,DATOS!$C$23*4/4)-MAX($V20,DATOS!$C$23*3/4))))</f>
        <v>-12.208024542221878</v>
      </c>
      <c r="AD20" s="26">
        <f>IF($L20&lt;&gt;"OK",0,PRESIONES!$C$12*((PRESIONES!$J$32-ABERTURAS!$L$62)*MAX(0,MIN($W20,DATOS!$C$23*1/4)-MAX($V20,DATOS!$C$23*0/4))+(PRESIONES!$J$33-ABERTURAS!$L$62)*MAX(0,MIN($W20,DATOS!$C$23*2/4)-MAX($V20,DATOS!$C$23*1/4))+(PRESIONES!$J$34-ABERTURAS!$L$62)*MAX(0,MIN($W20,DATOS!$C$23*3/4)-MAX($V20,DATOS!$C$23*2/4))+(PRESIONES!$J$35-ABERTURAS!$L$62)*MAX(0,MIN($W20,DATOS!$C$23*4/4)-MAX($V20,DATOS!$C$23*3/4))))</f>
        <v>-6.104012271110939</v>
      </c>
      <c r="AE20" s="26">
        <f>IF($L20&lt;&gt;"OK",0,PRESIONES!$C$12*((PRESIONES!$M$32-ABERTURAS!$L$63)*MAX(0,MIN($W20,DATOS!$C$23*1/4)-MAX($V20,DATOS!$C$23*0/4))+(PRESIONES!$M$33-ABERTURAS!$L$63)*MAX(0,MIN($W20,DATOS!$C$23*2/4)-MAX($V20,DATOS!$C$23*1/4))+(PRESIONES!$M$34-ABERTURAS!$L$63)*MAX(0,MIN($W20,DATOS!$C$23*3/4)-MAX($V20,DATOS!$C$23*2/4))+(PRESIONES!$M$35-ABERTURAS!$L$63)*MAX(0,MIN($W20,DATOS!$C$23*4/4)-MAX($V20,DATOS!$C$23*3/4))))</f>
        <v>-88.508177931108648</v>
      </c>
      <c r="AF20" s="26">
        <f>IF($L20&lt;&gt;"OK",0,PRESIONES!$C$12*((PRESIONES!$D$32-ABERTURAS!$L$64)*MAX(0,MIN($W20,DATOS!$C$23*1/4)-MAX($V20,DATOS!$C$23*0/4))+(PRESIONES!$D$33-ABERTURAS!$L$64)*MAX(0,MIN($W20,DATOS!$C$23*2/4)-MAX($V20,DATOS!$C$23*1/4))+(PRESIONES!$D$34-ABERTURAS!$L$64)*MAX(0,MIN($W20,DATOS!$C$23*3/4)-MAX($V20,DATOS!$C$23*2/4))+(PRESIONES!$D$35-ABERTURAS!$L$64)*MAX(0,MIN($W20,DATOS!$C$23*4/4)-MAX($V20,DATOS!$C$23*3/4))))</f>
        <v>-12.208024542221878</v>
      </c>
      <c r="AG20" s="26">
        <f>IF($L20&lt;&gt;"OK",0,PRESIONES!$C$12*((PRESIONES!$G$32-ABERTURAS!$L$65)*MAX(0,MIN($W20,DATOS!$C$23*1/4)-MAX($V20,DATOS!$C$23*0/4))+(PRESIONES!$G$33-ABERTURAS!$L$65)*MAX(0,MIN($W20,DATOS!$C$23*2/4)-MAX($V20,DATOS!$C$23*1/4))+(PRESIONES!$G$34-ABERTURAS!$L$65)*MAX(0,MIN($W20,DATOS!$C$23*3/4)-MAX($V20,DATOS!$C$23*2/4))+(PRESIONES!$G$35-ABERTURAS!$L$65)*MAX(0,MIN($W20,DATOS!$C$23*4/4)-MAX($V20,DATOS!$C$23*3/4))))</f>
        <v>-12.208024542221878</v>
      </c>
      <c r="AH20" s="26">
        <f>IF($L20&lt;&gt;"OK",0,PRESIONES!$C$12*((PRESIONES!$J$32-ABERTURAS!$L$66)*MAX(0,MIN($W20,DATOS!$C$23*1/4)-MAX($V20,DATOS!$C$23*0/4))+(PRESIONES!$J$33-ABERTURAS!$L$66)*MAX(0,MIN($W20,DATOS!$C$23*2/4)-MAX($V20,DATOS!$C$23*1/4))+(PRESIONES!$J$34-ABERTURAS!$L$66)*MAX(0,MIN($W20,DATOS!$C$23*3/4)-MAX($V20,DATOS!$C$23*2/4))+(PRESIONES!$J$35-ABERTURAS!$L$66)*MAX(0,MIN($W20,DATOS!$C$23*4/4)-MAX($V20,DATOS!$C$23*3/4))))</f>
        <v>-6.104012271110939</v>
      </c>
      <c r="AI20" s="26">
        <f>IF($L20&lt;&gt;"OK",0,PRESIONES!$C$12*((PRESIONES!$M$32-ABERTURAS!$L$67)*MAX(0,MIN($W20,DATOS!$C$23*1/4)-MAX($V20,DATOS!$C$23*0/4))+(PRESIONES!$M$33-ABERTURAS!$L$67)*MAX(0,MIN($W20,DATOS!$C$23*2/4)-MAX($V20,DATOS!$C$23*1/4))+(PRESIONES!$M$34-ABERTURAS!$L$67)*MAX(0,MIN($W20,DATOS!$C$23*3/4)-MAX($V20,DATOS!$C$23*2/4))+(PRESIONES!$M$35-ABERTURAS!$L$67)*MAX(0,MIN($W20,DATOS!$C$23*4/4)-MAX($V20,DATOS!$C$23*3/4))))</f>
        <v>-88.508177931108648</v>
      </c>
      <c r="AJ20" s="26">
        <f>IF($L20&lt;&gt;"OK",0,PRESIONES!$C$12*((PRESIONES!$D$32-ABERTURAS!$L$60)*MAX(0,MIN($W20,DATOS!$C$23*1/4)-MAX($V20,DATOS!$C$23*0/4))*PRESIONES!$C$18+(PRESIONES!$D$33-ABERTURAS!$L$60)*MAX(0,MIN($W20,DATOS!$C$23*2/4)-MAX($V20,DATOS!$C$23*1/4))*PRESIONES!$C$19+(PRESIONES!$D$34-ABERTURAS!$L$60)*MAX(0,MIN($W20,DATOS!$C$23*3/4)-MAX($V20,DATOS!$C$23*2/4))*PRESIONES!$C$20+(PRESIONES!$D$35-ABERTURAS!$L$60)*MAX(0,MIN($W20,DATOS!$C$23*4/4)-MAX($V20,DATOS!$C$23*3/4))*PRESIONES!$C$21))</f>
        <v>0.61040122711109313</v>
      </c>
      <c r="AK20" s="26">
        <f>IF($L20&lt;&gt;"OK",0,PRESIONES!$C$12*((PRESIONES!$G$32-ABERTURAS!$L$61)*MAX(0,MIN($W20,DATOS!$C$23*1/4)-MAX($V20,DATOS!$C$23*0/4))*PRESIONES!$C$18+(PRESIONES!$G$33-ABERTURAS!$L$61)*MAX(0,MIN($W20,DATOS!$C$23*2/4)-MAX($V20,DATOS!$C$23*1/4))*PRESIONES!$C$19+(PRESIONES!$G$34-ABERTURAS!$L$61)*MAX(0,MIN($W20,DATOS!$C$23*3/4)-MAX($V20,DATOS!$C$23*2/4))*PRESIONES!$C$20+(PRESIONES!$G$35-ABERTURAS!$L$61)*MAX(0,MIN($W20,DATOS!$C$23*4/4)-MAX($V20,DATOS!$C$23*3/4))*PRESIONES!$C$21))</f>
        <v>0.61040122711109313</v>
      </c>
      <c r="AL20" s="26">
        <f>IF($L20&lt;&gt;"OK",0,PRESIONES!$C$12*((PRESIONES!$J$32-ABERTURAS!$L$62)*MAX(0,MIN($W20,DATOS!$C$23*1/4)-MAX($V20,DATOS!$C$23*0/4))*PRESIONES!$C$18+(PRESIONES!$J$33-ABERTURAS!$L$62)*MAX(0,MIN($W20,DATOS!$C$23*2/4)-MAX($V20,DATOS!$C$23*1/4))*PRESIONES!$C$19+(PRESIONES!$J$34-ABERTURAS!$L$62)*MAX(0,MIN($W20,DATOS!$C$23*3/4)-MAX($V20,DATOS!$C$23*2/4))*PRESIONES!$C$20+(PRESIONES!$J$35-ABERTURAS!$L$62)*MAX(0,MIN($W20,DATOS!$C$23*4/4)-MAX($V20,DATOS!$C$23*3/4))*PRESIONES!$C$21))</f>
        <v>0.30520061355554656</v>
      </c>
      <c r="AM20" s="26">
        <f>IF($L20&lt;&gt;"OK",0,PRESIONES!$C$12*((PRESIONES!$M$32-ABERTURAS!$L$63)*MAX(0,MIN($W20,DATOS!$C$23*1/4)-MAX($V20,DATOS!$C$23*0/4))*PRESIONES!$C$18+(PRESIONES!$M$33-ABERTURAS!$L$63)*MAX(0,MIN($W20,DATOS!$C$23*2/4)-MAX($V20,DATOS!$C$23*1/4))*PRESIONES!$C$19+(PRESIONES!$M$34-ABERTURAS!$L$63)*MAX(0,MIN($W20,DATOS!$C$23*3/4)-MAX($V20,DATOS!$C$23*2/4))*PRESIONES!$C$20+(PRESIONES!$M$35-ABERTURAS!$L$63)*MAX(0,MIN($W20,DATOS!$C$23*4/4)-MAX($V20,DATOS!$C$23*3/4))*PRESIONES!$C$21))</f>
        <v>4.4254088965554255</v>
      </c>
      <c r="AN20" s="26">
        <f>IF($L20&lt;&gt;"OK",0,PRESIONES!$C$12*((PRESIONES!$D$32-ABERTURAS!$L$64)*MAX(0,MIN($W20,DATOS!$C$23*1/4)-MAX($V20,DATOS!$C$23*0/4))*PRESIONES!$C$18+(PRESIONES!$D$33-ABERTURAS!$L$64)*MAX(0,MIN($W20,DATOS!$C$23*2/4)-MAX($V20,DATOS!$C$23*1/4))*PRESIONES!$C$19+(PRESIONES!$D$34-ABERTURAS!$L$64)*MAX(0,MIN($W20,DATOS!$C$23*3/4)-MAX($V20,DATOS!$C$23*2/4))*PRESIONES!$C$20+(PRESIONES!$D$35-ABERTURAS!$L$64)*MAX(0,MIN($W20,DATOS!$C$23*4/4)-MAX($V20,DATOS!$C$23*3/4))*PRESIONES!$C$21))</f>
        <v>0.61040122711109313</v>
      </c>
      <c r="AO20" s="26">
        <f>IF($L20&lt;&gt;"OK",0,PRESIONES!$C$12*((PRESIONES!$G$32-ABERTURAS!$L$65)*MAX(0,MIN($W20,DATOS!$C$23*1/4)-MAX($V20,DATOS!$C$23*0/4))*PRESIONES!$C$18+(PRESIONES!$G$33-ABERTURAS!$L$65)*MAX(0,MIN($W20,DATOS!$C$23*2/4)-MAX($V20,DATOS!$C$23*1/4))*PRESIONES!$C$19+(PRESIONES!$G$34-ABERTURAS!$L$65)*MAX(0,MIN($W20,DATOS!$C$23*3/4)-MAX($V20,DATOS!$C$23*2/4))*PRESIONES!$C$20+(PRESIONES!$G$35-ABERTURAS!$L$65)*MAX(0,MIN($W20,DATOS!$C$23*4/4)-MAX($V20,DATOS!$C$23*3/4))*PRESIONES!$C$21))</f>
        <v>0.61040122711109313</v>
      </c>
      <c r="AP20" s="26">
        <f>IF($L20&lt;&gt;"OK",0,PRESIONES!$C$12*((PRESIONES!$J$32-ABERTURAS!$L$66)*MAX(0,MIN($W20,DATOS!$C$23*1/4)-MAX($V20,DATOS!$C$23*0/4))*PRESIONES!$C$18+(PRESIONES!$J$33-ABERTURAS!$L$66)*MAX(0,MIN($W20,DATOS!$C$23*2/4)-MAX($V20,DATOS!$C$23*1/4))*PRESIONES!$C$19+(PRESIONES!$J$34-ABERTURAS!$L$66)*MAX(0,MIN($W20,DATOS!$C$23*3/4)-MAX($V20,DATOS!$C$23*2/4))*PRESIONES!$C$20+(PRESIONES!$J$35-ABERTURAS!$L$66)*MAX(0,MIN($W20,DATOS!$C$23*4/4)-MAX($V20,DATOS!$C$23*3/4))*PRESIONES!$C$21))</f>
        <v>0.30520061355554656</v>
      </c>
      <c r="AQ20" s="26">
        <f>IF($L20&lt;&gt;"OK",0,PRESIONES!$C$12*((PRESIONES!$M$32-ABERTURAS!$L$67)*MAX(0,MIN($W20,DATOS!$C$23*1/4)-MAX($V20,DATOS!$C$23*0/4))*PRESIONES!$C$18+(PRESIONES!$M$33-ABERTURAS!$L$67)*MAX(0,MIN($W20,DATOS!$C$23*2/4)-MAX($V20,DATOS!$C$23*1/4))*PRESIONES!$C$19+(PRESIONES!$M$34-ABERTURAS!$L$67)*MAX(0,MIN($W20,DATOS!$C$23*3/4)-MAX($V20,DATOS!$C$23*2/4))*PRESIONES!$C$20+(PRESIONES!$M$35-ABERTURAS!$L$67)*MAX(0,MIN($W20,DATOS!$C$23*4/4)-MAX($V20,DATOS!$C$23*3/4))*PRESIONES!$C$21))</f>
        <v>4.4254088965554255</v>
      </c>
      <c r="AR20" s="26">
        <f>IF($L20&lt;&gt;"OK",0,PRESIONES!$C$12*((PRESIONES!$E$32-ABERTURAS!$L$60)*MAX(0,MIN($W20,DATOS!$C$23*1/4)-MAX($V20,DATOS!$C$23*0/4))+(PRESIONES!$E$33-ABERTURAS!$L$60)*MAX(0,MIN($W20,DATOS!$C$23*2/4)-MAX($V20,DATOS!$C$23*1/4))+(PRESIONES!$E$34-ABERTURAS!$L$60)*MAX(0,MIN($W20,DATOS!$C$23*3/4)-MAX($V20,DATOS!$C$23*2/4))+(PRESIONES!$E$35-ABERTURAS!$L$60)*MAX(0,MIN($W20,DATOS!$C$23*4/4)-MAX($V20,DATOS!$C$23*3/4))))</f>
        <v>-12.208024542221878</v>
      </c>
      <c r="AS20" s="26">
        <f>IF($L20&lt;&gt;"OK",0,PRESIONES!$C$12*((PRESIONES!$H$32-ABERTURAS!$L$61)*MAX(0,MIN($W20,DATOS!$C$23*1/4)-MAX($V20,DATOS!$C$23*0/4))+(PRESIONES!$H$33-ABERTURAS!$L$61)*MAX(0,MIN($W20,DATOS!$C$23*2/4)-MAX($V20,DATOS!$C$23*1/4))+(PRESIONES!$H$34-ABERTURAS!$L$61)*MAX(0,MIN($W20,DATOS!$C$23*3/4)-MAX($V20,DATOS!$C$23*2/4))+(PRESIONES!$H$35-ABERTURAS!$L$61)*MAX(0,MIN($W20,DATOS!$C$23*4/4)-MAX($V20,DATOS!$C$23*3/4))))</f>
        <v>-12.208024542221878</v>
      </c>
      <c r="AT20" s="26">
        <f>IF($L20&lt;&gt;"OK",0,PRESIONES!$C$12*((PRESIONES!$K$32-ABERTURAS!$L$62)*MAX(0,MIN($W20,DATOS!$C$23*1/4)-MAX($V20,DATOS!$C$23*0/4))+(PRESIONES!$K$33-ABERTURAS!$L$62)*MAX(0,MIN($W20,DATOS!$C$23*2/4)-MAX($V20,DATOS!$C$23*1/4))+(PRESIONES!$K$34-ABERTURAS!$L$62)*MAX(0,MIN($W20,DATOS!$C$23*3/4)-MAX($V20,DATOS!$C$23*2/4))+(PRESIONES!$K$35-ABERTURAS!$L$62)*MAX(0,MIN($W20,DATOS!$C$23*4/4)-MAX($V20,DATOS!$C$23*3/4))))</f>
        <v>-6.104012271110939</v>
      </c>
      <c r="AU20" s="26">
        <f>IF($L20&lt;&gt;"OK",0,PRESIONES!$C$12*((PRESIONES!$N$32-ABERTURAS!$L$63)*MAX(0,MIN($W20,DATOS!$C$23*1/4)-MAX($V20,DATOS!$C$23*0/4))+(PRESIONES!$N$33-ABERTURAS!$L$63)*MAX(0,MIN($W20,DATOS!$C$23*2/4)-MAX($V20,DATOS!$C$23*1/4))+(PRESIONES!$N$34-ABERTURAS!$L$63)*MAX(0,MIN($W20,DATOS!$C$23*3/4)-MAX($V20,DATOS!$C$23*2/4))+(PRESIONES!$N$35-ABERTURAS!$L$63)*MAX(0,MIN($W20,DATOS!$C$23*4/4)-MAX($V20,DATOS!$C$23*3/4))))</f>
        <v>-88.508177931108648</v>
      </c>
      <c r="AV20" s="26">
        <f>IF($L20&lt;&gt;"OK",0,PRESIONES!$C$12*((PRESIONES!$E$32-ABERTURAS!$L$64)*MAX(0,MIN($W20,DATOS!$C$23*1/4)-MAX($V20,DATOS!$C$23*0/4))+(PRESIONES!$E$33-ABERTURAS!$L$64)*MAX(0,MIN($W20,DATOS!$C$23*2/4)-MAX($V20,DATOS!$C$23*1/4))+(PRESIONES!$E$34-ABERTURAS!$L$64)*MAX(0,MIN($W20,DATOS!$C$23*3/4)-MAX($V20,DATOS!$C$23*2/4))+(PRESIONES!$E$35-ABERTURAS!$L$64)*MAX(0,MIN($W20,DATOS!$C$23*4/4)-MAX($V20,DATOS!$C$23*3/4))))</f>
        <v>-12.208024542221878</v>
      </c>
      <c r="AW20" s="26">
        <f>IF($L20&lt;&gt;"OK",0,PRESIONES!$C$12*((PRESIONES!$H$32-ABERTURAS!$L$65)*MAX(0,MIN($W20,DATOS!$C$23*1/4)-MAX($V20,DATOS!$C$23*0/4))+(PRESIONES!$H$33-ABERTURAS!$L$65)*MAX(0,MIN($W20,DATOS!$C$23*2/4)-MAX($V20,DATOS!$C$23*1/4))+(PRESIONES!$H$34-ABERTURAS!$L$65)*MAX(0,MIN($W20,DATOS!$C$23*3/4)-MAX($V20,DATOS!$C$23*2/4))+(PRESIONES!$H$35-ABERTURAS!$L$65)*MAX(0,MIN($W20,DATOS!$C$23*4/4)-MAX($V20,DATOS!$C$23*3/4))))</f>
        <v>-12.208024542221878</v>
      </c>
      <c r="AX20" s="26">
        <f>IF($L20&lt;&gt;"OK",0,PRESIONES!$C$12*((PRESIONES!$K$32-ABERTURAS!$L$66)*MAX(0,MIN($W20,DATOS!$C$23*1/4)-MAX($V20,DATOS!$C$23*0/4))+(PRESIONES!$K$33-ABERTURAS!$L$66)*MAX(0,MIN($W20,DATOS!$C$23*2/4)-MAX($V20,DATOS!$C$23*1/4))+(PRESIONES!$K$34-ABERTURAS!$L$66)*MAX(0,MIN($W20,DATOS!$C$23*3/4)-MAX($V20,DATOS!$C$23*2/4))+(PRESIONES!$K$35-ABERTURAS!$L$66)*MAX(0,MIN($W20,DATOS!$C$23*4/4)-MAX($V20,DATOS!$C$23*3/4))))</f>
        <v>-6.104012271110939</v>
      </c>
      <c r="AY20" s="26">
        <f>IF($L20&lt;&gt;"OK",0,PRESIONES!$C$12*((PRESIONES!$N$32-ABERTURAS!$L$67)*MAX(0,MIN($W20,DATOS!$C$23*1/4)-MAX($V20,DATOS!$C$23*0/4))+(PRESIONES!$N$33-ABERTURAS!$L$67)*MAX(0,MIN($W20,DATOS!$C$23*2/4)-MAX($V20,DATOS!$C$23*1/4))+(PRESIONES!$N$34-ABERTURAS!$L$67)*MAX(0,MIN($W20,DATOS!$C$23*3/4)-MAX($V20,DATOS!$C$23*2/4))+(PRESIONES!$N$35-ABERTURAS!$L$67)*MAX(0,MIN($W20,DATOS!$C$23*4/4)-MAX($V20,DATOS!$C$23*3/4))))</f>
        <v>-88.508177931108648</v>
      </c>
      <c r="AZ20" s="26">
        <f>IF($L20&lt;&gt;"OK",0,PRESIONES!$C$12*((PRESIONES!$E$32-ABERTURAS!$L$60)*MAX(0,MIN($W20,DATOS!$C$23*1/4)-MAX($V20,DATOS!$C$23*0/4))*PRESIONES!$C$18+(PRESIONES!$E$33-ABERTURAS!$L$60)*MAX(0,MIN($W20,DATOS!$C$23*2/4)-MAX($V20,DATOS!$C$23*1/4))*PRESIONES!$C$19+(PRESIONES!$E$34-ABERTURAS!$L$60)*MAX(0,MIN($W20,DATOS!$C$23*3/4)-MAX($V20,DATOS!$C$23*2/4))*PRESIONES!$C$20+(PRESIONES!$E$35-ABERTURAS!$L$60)*MAX(0,MIN($W20,DATOS!$C$23*4/4)-MAX($V20,DATOS!$C$23*3/4))*PRESIONES!$C$21))</f>
        <v>0.61040122711109313</v>
      </c>
      <c r="BA20" s="26">
        <f>IF($L20&lt;&gt;"OK",0,PRESIONES!$C$12*((PRESIONES!$H$32-ABERTURAS!$L$61)*MAX(0,MIN($W20,DATOS!$C$23*1/4)-MAX($V20,DATOS!$C$23*0/4))*PRESIONES!$C$18+(PRESIONES!$H$33-ABERTURAS!$L$61)*MAX(0,MIN($W20,DATOS!$C$23*2/4)-MAX($V20,DATOS!$C$23*1/4))*PRESIONES!$C$19+(PRESIONES!$H$34-ABERTURAS!$L$61)*MAX(0,MIN($W20,DATOS!$C$23*3/4)-MAX($V20,DATOS!$C$23*2/4))*PRESIONES!$C$20+(PRESIONES!$H$35-ABERTURAS!$L$61)*MAX(0,MIN($W20,DATOS!$C$23*4/4)-MAX($V20,DATOS!$C$23*3/4))*PRESIONES!$C$21))</f>
        <v>0.61040122711109313</v>
      </c>
      <c r="BB20" s="26">
        <f>IF($L20&lt;&gt;"OK",0,PRESIONES!$C$12*((PRESIONES!$K$32-ABERTURAS!$L$62)*MAX(0,MIN($W20,DATOS!$C$23*1/4)-MAX($V20,DATOS!$C$23*0/4))*PRESIONES!$C$18+(PRESIONES!$K$33-ABERTURAS!$L$62)*MAX(0,MIN($W20,DATOS!$C$23*2/4)-MAX($V20,DATOS!$C$23*1/4))*PRESIONES!$C$19+(PRESIONES!$K$34-ABERTURAS!$L$62)*MAX(0,MIN($W20,DATOS!$C$23*3/4)-MAX($V20,DATOS!$C$23*2/4))*PRESIONES!$C$20+(PRESIONES!$K$35-ABERTURAS!$L$62)*MAX(0,MIN($W20,DATOS!$C$23*4/4)-MAX($V20,DATOS!$C$23*3/4))*PRESIONES!$C$21))</f>
        <v>0.30520061355554656</v>
      </c>
      <c r="BC20" s="26">
        <f>IF($L20&lt;&gt;"OK",0,PRESIONES!$C$12*((PRESIONES!$N$32-ABERTURAS!$L$63)*MAX(0,MIN($W20,DATOS!$C$23*1/4)-MAX($V20,DATOS!$C$23*0/4))*PRESIONES!$C$18+(PRESIONES!$N$33-ABERTURAS!$L$63)*MAX(0,MIN($W20,DATOS!$C$23*2/4)-MAX($V20,DATOS!$C$23*1/4))*PRESIONES!$C$19+(PRESIONES!$N$34-ABERTURAS!$L$63)*MAX(0,MIN($W20,DATOS!$C$23*3/4)-MAX($V20,DATOS!$C$23*2/4))*PRESIONES!$C$20+(PRESIONES!$N$35-ABERTURAS!$L$63)*MAX(0,MIN($W20,DATOS!$C$23*4/4)-MAX($V20,DATOS!$C$23*3/4))*PRESIONES!$C$21))</f>
        <v>4.4254088965554255</v>
      </c>
      <c r="BD20" s="26">
        <f>IF($L20&lt;&gt;"OK",0,PRESIONES!$C$12*((PRESIONES!$E$32-ABERTURAS!$L$64)*MAX(0,MIN($W20,DATOS!$C$23*1/4)-MAX($V20,DATOS!$C$23*0/4))*PRESIONES!$C$18+(PRESIONES!$E$33-ABERTURAS!$L$64)*MAX(0,MIN($W20,DATOS!$C$23*2/4)-MAX($V20,DATOS!$C$23*1/4))*PRESIONES!$C$19+(PRESIONES!$E$34-ABERTURAS!$L$64)*MAX(0,MIN($W20,DATOS!$C$23*3/4)-MAX($V20,DATOS!$C$23*2/4))*PRESIONES!$C$20+(PRESIONES!$E$35-ABERTURAS!$L$64)*MAX(0,MIN($W20,DATOS!$C$23*4/4)-MAX($V20,DATOS!$C$23*3/4))*PRESIONES!$C$21))</f>
        <v>0.61040122711109313</v>
      </c>
      <c r="BE20" s="26">
        <f>IF($L20&lt;&gt;"OK",0,PRESIONES!$C$12*((PRESIONES!$H$32-ABERTURAS!$L$65)*MAX(0,MIN($W20,DATOS!$C$23*1/4)-MAX($V20,DATOS!$C$23*0/4))*PRESIONES!$C$18+(PRESIONES!$H$33-ABERTURAS!$L$65)*MAX(0,MIN($W20,DATOS!$C$23*2/4)-MAX($V20,DATOS!$C$23*1/4))*PRESIONES!$C$19+(PRESIONES!$H$34-ABERTURAS!$L$65)*MAX(0,MIN($W20,DATOS!$C$23*3/4)-MAX($V20,DATOS!$C$23*2/4))*PRESIONES!$C$20+(PRESIONES!$H$35-ABERTURAS!$L$65)*MAX(0,MIN($W20,DATOS!$C$23*4/4)-MAX($V20,DATOS!$C$23*3/4))*PRESIONES!$C$21))</f>
        <v>0.61040122711109313</v>
      </c>
      <c r="BF20" s="26">
        <f>IF($L20&lt;&gt;"OK",0,PRESIONES!$C$12*((PRESIONES!$K$32-ABERTURAS!$L$66)*MAX(0,MIN($W20,DATOS!$C$23*1/4)-MAX($V20,DATOS!$C$23*0/4))*PRESIONES!$C$18+(PRESIONES!$K$33-ABERTURAS!$L$66)*MAX(0,MIN($W20,DATOS!$C$23*2/4)-MAX($V20,DATOS!$C$23*1/4))*PRESIONES!$C$19+(PRESIONES!$K$34-ABERTURAS!$L$66)*MAX(0,MIN($W20,DATOS!$C$23*3/4)-MAX($V20,DATOS!$C$23*2/4))*PRESIONES!$C$20+(PRESIONES!$K$35-ABERTURAS!$L$66)*MAX(0,MIN($W20,DATOS!$C$23*4/4)-MAX($V20,DATOS!$C$23*3/4))*PRESIONES!$C$21))</f>
        <v>0.30520061355554656</v>
      </c>
      <c r="BG20" s="26">
        <f>IF($L20&lt;&gt;"OK",0,PRESIONES!$C$12*((PRESIONES!$N$32-ABERTURAS!$L$67)*MAX(0,MIN($W20,DATOS!$C$23*1/4)-MAX($V20,DATOS!$C$23*0/4))*PRESIONES!$C$18+(PRESIONES!$N$33-ABERTURAS!$L$67)*MAX(0,MIN($W20,DATOS!$C$23*2/4)-MAX($V20,DATOS!$C$23*1/4))*PRESIONES!$C$19+(PRESIONES!$N$34-ABERTURAS!$L$67)*MAX(0,MIN($W20,DATOS!$C$23*3/4)-MAX($V20,DATOS!$C$23*2/4))*PRESIONES!$C$20+(PRESIONES!$N$35-ABERTURAS!$L$67)*MAX(0,MIN($W20,DATOS!$C$23*4/4)-MAX($V20,DATOS!$C$23*3/4))*PRESIONES!$C$21))</f>
        <v>4.4254088965554255</v>
      </c>
    </row>
    <row r="21" spans="2:59" ht="16.5" customHeight="1" x14ac:dyDescent="0.3">
      <c r="B21" s="4" t="s">
        <v>421</v>
      </c>
      <c r="C21" s="15" t="s">
        <v>397</v>
      </c>
      <c r="D21" s="4" t="s">
        <v>422</v>
      </c>
      <c r="E21" s="15" t="s">
        <v>80</v>
      </c>
      <c r="F21" s="40">
        <v>0</v>
      </c>
      <c r="G21" s="40">
        <v>10.08</v>
      </c>
      <c r="H21" s="40">
        <v>15.375</v>
      </c>
      <c r="I21" s="40">
        <v>16</v>
      </c>
      <c r="J21" s="40"/>
      <c r="K21" s="40"/>
      <c r="L21" s="18" t="str">
        <f>IF($D21="","",IF($C21&lt;&gt;"TECHO","PON TECHO",IF(OR($F21="",$G21="",$H21="",$I21=""),"FALTAN a o b",IF($M21&lt;=0,"a₂ DEBE SER &gt; a₁",IF($N21&lt;=0,"b₂ DEBE SER &gt; b₁",IF(OR($V21&lt;-0.001,$W21&gt;DATOS!$C$23+0.001),"SE SALE DEL TECHO","OK"))))))</f>
        <v>OK</v>
      </c>
      <c r="M21" s="26">
        <f t="shared" si="0"/>
        <v>10.08</v>
      </c>
      <c r="N21" s="26">
        <f t="shared" si="1"/>
        <v>0.625</v>
      </c>
      <c r="O21" s="26">
        <f t="shared" si="2"/>
        <v>6.3</v>
      </c>
      <c r="P21" s="26">
        <v>0</v>
      </c>
      <c r="Q21" s="26">
        <v>0</v>
      </c>
      <c r="R21" s="26">
        <f t="shared" si="3"/>
        <v>6.3</v>
      </c>
      <c r="S21" s="26">
        <f t="shared" si="3"/>
        <v>6.3</v>
      </c>
      <c r="T21" s="41">
        <f>IF($D21="",0,DATOS!$C$21)</f>
        <v>10.62</v>
      </c>
      <c r="U21" s="41">
        <v>0</v>
      </c>
      <c r="V21" s="41">
        <f t="shared" si="4"/>
        <v>15.375</v>
      </c>
      <c r="W21" s="41">
        <f t="shared" si="5"/>
        <v>16</v>
      </c>
      <c r="AB21" s="26">
        <f>IF($L21&lt;&gt;"OK",0,PRESIONES!$C$12*((PRESIONES!$D$32-ABERTURAS!$L$60)*MAX(0,MIN($W21,DATOS!$C$23*1/4)-MAX($V21,DATOS!$C$23*0/4))+(PRESIONES!$D$33-ABERTURAS!$L$60)*MAX(0,MIN($W21,DATOS!$C$23*2/4)-MAX($V21,DATOS!$C$23*1/4))+(PRESIONES!$D$34-ABERTURAS!$L$60)*MAX(0,MIN($W21,DATOS!$C$23*3/4)-MAX($V21,DATOS!$C$23*2/4))+(PRESIONES!$D$35-ABERTURAS!$L$60)*MAX(0,MIN($W21,DATOS!$C$23*4/4)-MAX($V21,DATOS!$C$23*3/4))))</f>
        <v>-6.104012271110939</v>
      </c>
      <c r="AC21" s="26">
        <f>IF($L21&lt;&gt;"OK",0,PRESIONES!$C$12*((PRESIONES!$G$32-ABERTURAS!$L$61)*MAX(0,MIN($W21,DATOS!$C$23*1/4)-MAX($V21,DATOS!$C$23*0/4))+(PRESIONES!$G$33-ABERTURAS!$L$61)*MAX(0,MIN($W21,DATOS!$C$23*2/4)-MAX($V21,DATOS!$C$23*1/4))+(PRESIONES!$G$34-ABERTURAS!$L$61)*MAX(0,MIN($W21,DATOS!$C$23*3/4)-MAX($V21,DATOS!$C$23*2/4))+(PRESIONES!$G$35-ABERTURAS!$L$61)*MAX(0,MIN($W21,DATOS!$C$23*4/4)-MAX($V21,DATOS!$C$23*3/4))))</f>
        <v>-6.104012271110939</v>
      </c>
      <c r="AD21" s="26">
        <f>IF($L21&lt;&gt;"OK",0,PRESIONES!$C$12*((PRESIONES!$J$32-ABERTURAS!$L$62)*MAX(0,MIN($W21,DATOS!$C$23*1/4)-MAX($V21,DATOS!$C$23*0/4))+(PRESIONES!$J$33-ABERTURAS!$L$62)*MAX(0,MIN($W21,DATOS!$C$23*2/4)-MAX($V21,DATOS!$C$23*1/4))+(PRESIONES!$J$34-ABERTURAS!$L$62)*MAX(0,MIN($W21,DATOS!$C$23*3/4)-MAX($V21,DATOS!$C$23*2/4))+(PRESIONES!$J$35-ABERTURAS!$L$62)*MAX(0,MIN($W21,DATOS!$C$23*4/4)-MAX($V21,DATOS!$C$23*3/4))))</f>
        <v>-3.0520061355554695</v>
      </c>
      <c r="AE21" s="26">
        <f>IF($L21&lt;&gt;"OK",0,PRESIONES!$C$12*((PRESIONES!$M$32-ABERTURAS!$L$63)*MAX(0,MIN($W21,DATOS!$C$23*1/4)-MAX($V21,DATOS!$C$23*0/4))+(PRESIONES!$M$33-ABERTURAS!$L$63)*MAX(0,MIN($W21,DATOS!$C$23*2/4)-MAX($V21,DATOS!$C$23*1/4))+(PRESIONES!$M$34-ABERTURAS!$L$63)*MAX(0,MIN($W21,DATOS!$C$23*3/4)-MAX($V21,DATOS!$C$23*2/4))+(PRESIONES!$M$35-ABERTURAS!$L$63)*MAX(0,MIN($W21,DATOS!$C$23*4/4)-MAX($V21,DATOS!$C$23*3/4))))</f>
        <v>-44.254088965554324</v>
      </c>
      <c r="AF21" s="26">
        <f>IF($L21&lt;&gt;"OK",0,PRESIONES!$C$12*((PRESIONES!$D$32-ABERTURAS!$L$64)*MAX(0,MIN($W21,DATOS!$C$23*1/4)-MAX($V21,DATOS!$C$23*0/4))+(PRESIONES!$D$33-ABERTURAS!$L$64)*MAX(0,MIN($W21,DATOS!$C$23*2/4)-MAX($V21,DATOS!$C$23*1/4))+(PRESIONES!$D$34-ABERTURAS!$L$64)*MAX(0,MIN($W21,DATOS!$C$23*3/4)-MAX($V21,DATOS!$C$23*2/4))+(PRESIONES!$D$35-ABERTURAS!$L$64)*MAX(0,MIN($W21,DATOS!$C$23*4/4)-MAX($V21,DATOS!$C$23*3/4))))</f>
        <v>-6.104012271110939</v>
      </c>
      <c r="AG21" s="26">
        <f>IF($L21&lt;&gt;"OK",0,PRESIONES!$C$12*((PRESIONES!$G$32-ABERTURAS!$L$65)*MAX(0,MIN($W21,DATOS!$C$23*1/4)-MAX($V21,DATOS!$C$23*0/4))+(PRESIONES!$G$33-ABERTURAS!$L$65)*MAX(0,MIN($W21,DATOS!$C$23*2/4)-MAX($V21,DATOS!$C$23*1/4))+(PRESIONES!$G$34-ABERTURAS!$L$65)*MAX(0,MIN($W21,DATOS!$C$23*3/4)-MAX($V21,DATOS!$C$23*2/4))+(PRESIONES!$G$35-ABERTURAS!$L$65)*MAX(0,MIN($W21,DATOS!$C$23*4/4)-MAX($V21,DATOS!$C$23*3/4))))</f>
        <v>-6.104012271110939</v>
      </c>
      <c r="AH21" s="26">
        <f>IF($L21&lt;&gt;"OK",0,PRESIONES!$C$12*((PRESIONES!$J$32-ABERTURAS!$L$66)*MAX(0,MIN($W21,DATOS!$C$23*1/4)-MAX($V21,DATOS!$C$23*0/4))+(PRESIONES!$J$33-ABERTURAS!$L$66)*MAX(0,MIN($W21,DATOS!$C$23*2/4)-MAX($V21,DATOS!$C$23*1/4))+(PRESIONES!$J$34-ABERTURAS!$L$66)*MAX(0,MIN($W21,DATOS!$C$23*3/4)-MAX($V21,DATOS!$C$23*2/4))+(PRESIONES!$J$35-ABERTURAS!$L$66)*MAX(0,MIN($W21,DATOS!$C$23*4/4)-MAX($V21,DATOS!$C$23*3/4))))</f>
        <v>-3.0520061355554695</v>
      </c>
      <c r="AI21" s="26">
        <f>IF($L21&lt;&gt;"OK",0,PRESIONES!$C$12*((PRESIONES!$M$32-ABERTURAS!$L$67)*MAX(0,MIN($W21,DATOS!$C$23*1/4)-MAX($V21,DATOS!$C$23*0/4))+(PRESIONES!$M$33-ABERTURAS!$L$67)*MAX(0,MIN($W21,DATOS!$C$23*2/4)-MAX($V21,DATOS!$C$23*1/4))+(PRESIONES!$M$34-ABERTURAS!$L$67)*MAX(0,MIN($W21,DATOS!$C$23*3/4)-MAX($V21,DATOS!$C$23*2/4))+(PRESIONES!$M$35-ABERTURAS!$L$67)*MAX(0,MIN($W21,DATOS!$C$23*4/4)-MAX($V21,DATOS!$C$23*3/4))))</f>
        <v>-44.254088965554324</v>
      </c>
      <c r="AJ21" s="26">
        <f>IF($L21&lt;&gt;"OK",0,PRESIONES!$C$12*((PRESIONES!$D$32-ABERTURAS!$L$60)*MAX(0,MIN($W21,DATOS!$C$23*1/4)-MAX($V21,DATOS!$C$23*0/4))*PRESIONES!$C$18+(PRESIONES!$D$33-ABERTURAS!$L$60)*MAX(0,MIN($W21,DATOS!$C$23*2/4)-MAX($V21,DATOS!$C$23*1/4))*PRESIONES!$C$19+(PRESIONES!$D$34-ABERTURAS!$L$60)*MAX(0,MIN($W21,DATOS!$C$23*3/4)-MAX($V21,DATOS!$C$23*2/4))*PRESIONES!$C$20+(PRESIONES!$D$35-ABERTURAS!$L$60)*MAX(0,MIN($W21,DATOS!$C$23*4/4)-MAX($V21,DATOS!$C$23*3/4))*PRESIONES!$C$21))</f>
        <v>0.30520061355554656</v>
      </c>
      <c r="AK21" s="26">
        <f>IF($L21&lt;&gt;"OK",0,PRESIONES!$C$12*((PRESIONES!$G$32-ABERTURAS!$L$61)*MAX(0,MIN($W21,DATOS!$C$23*1/4)-MAX($V21,DATOS!$C$23*0/4))*PRESIONES!$C$18+(PRESIONES!$G$33-ABERTURAS!$L$61)*MAX(0,MIN($W21,DATOS!$C$23*2/4)-MAX($V21,DATOS!$C$23*1/4))*PRESIONES!$C$19+(PRESIONES!$G$34-ABERTURAS!$L$61)*MAX(0,MIN($W21,DATOS!$C$23*3/4)-MAX($V21,DATOS!$C$23*2/4))*PRESIONES!$C$20+(PRESIONES!$G$35-ABERTURAS!$L$61)*MAX(0,MIN($W21,DATOS!$C$23*4/4)-MAX($V21,DATOS!$C$23*3/4))*PRESIONES!$C$21))</f>
        <v>0.30520061355554656</v>
      </c>
      <c r="AL21" s="26">
        <f>IF($L21&lt;&gt;"OK",0,PRESIONES!$C$12*((PRESIONES!$J$32-ABERTURAS!$L$62)*MAX(0,MIN($W21,DATOS!$C$23*1/4)-MAX($V21,DATOS!$C$23*0/4))*PRESIONES!$C$18+(PRESIONES!$J$33-ABERTURAS!$L$62)*MAX(0,MIN($W21,DATOS!$C$23*2/4)-MAX($V21,DATOS!$C$23*1/4))*PRESIONES!$C$19+(PRESIONES!$J$34-ABERTURAS!$L$62)*MAX(0,MIN($W21,DATOS!$C$23*3/4)-MAX($V21,DATOS!$C$23*2/4))*PRESIONES!$C$20+(PRESIONES!$J$35-ABERTURAS!$L$62)*MAX(0,MIN($W21,DATOS!$C$23*4/4)-MAX($V21,DATOS!$C$23*3/4))*PRESIONES!$C$21))</f>
        <v>0.15260030677777328</v>
      </c>
      <c r="AM21" s="26">
        <f>IF($L21&lt;&gt;"OK",0,PRESIONES!$C$12*((PRESIONES!$M$32-ABERTURAS!$L$63)*MAX(0,MIN($W21,DATOS!$C$23*1/4)-MAX($V21,DATOS!$C$23*0/4))*PRESIONES!$C$18+(PRESIONES!$M$33-ABERTURAS!$L$63)*MAX(0,MIN($W21,DATOS!$C$23*2/4)-MAX($V21,DATOS!$C$23*1/4))*PRESIONES!$C$19+(PRESIONES!$M$34-ABERTURAS!$L$63)*MAX(0,MIN($W21,DATOS!$C$23*3/4)-MAX($V21,DATOS!$C$23*2/4))*PRESIONES!$C$20+(PRESIONES!$M$35-ABERTURAS!$L$63)*MAX(0,MIN($W21,DATOS!$C$23*4/4)-MAX($V21,DATOS!$C$23*3/4))*PRESIONES!$C$21))</f>
        <v>2.2127044482777127</v>
      </c>
      <c r="AN21" s="26">
        <f>IF($L21&lt;&gt;"OK",0,PRESIONES!$C$12*((PRESIONES!$D$32-ABERTURAS!$L$64)*MAX(0,MIN($W21,DATOS!$C$23*1/4)-MAX($V21,DATOS!$C$23*0/4))*PRESIONES!$C$18+(PRESIONES!$D$33-ABERTURAS!$L$64)*MAX(0,MIN($W21,DATOS!$C$23*2/4)-MAX($V21,DATOS!$C$23*1/4))*PRESIONES!$C$19+(PRESIONES!$D$34-ABERTURAS!$L$64)*MAX(0,MIN($W21,DATOS!$C$23*3/4)-MAX($V21,DATOS!$C$23*2/4))*PRESIONES!$C$20+(PRESIONES!$D$35-ABERTURAS!$L$64)*MAX(0,MIN($W21,DATOS!$C$23*4/4)-MAX($V21,DATOS!$C$23*3/4))*PRESIONES!$C$21))</f>
        <v>0.30520061355554656</v>
      </c>
      <c r="AO21" s="26">
        <f>IF($L21&lt;&gt;"OK",0,PRESIONES!$C$12*((PRESIONES!$G$32-ABERTURAS!$L$65)*MAX(0,MIN($W21,DATOS!$C$23*1/4)-MAX($V21,DATOS!$C$23*0/4))*PRESIONES!$C$18+(PRESIONES!$G$33-ABERTURAS!$L$65)*MAX(0,MIN($W21,DATOS!$C$23*2/4)-MAX($V21,DATOS!$C$23*1/4))*PRESIONES!$C$19+(PRESIONES!$G$34-ABERTURAS!$L$65)*MAX(0,MIN($W21,DATOS!$C$23*3/4)-MAX($V21,DATOS!$C$23*2/4))*PRESIONES!$C$20+(PRESIONES!$G$35-ABERTURAS!$L$65)*MAX(0,MIN($W21,DATOS!$C$23*4/4)-MAX($V21,DATOS!$C$23*3/4))*PRESIONES!$C$21))</f>
        <v>0.30520061355554656</v>
      </c>
      <c r="AP21" s="26">
        <f>IF($L21&lt;&gt;"OK",0,PRESIONES!$C$12*((PRESIONES!$J$32-ABERTURAS!$L$66)*MAX(0,MIN($W21,DATOS!$C$23*1/4)-MAX($V21,DATOS!$C$23*0/4))*PRESIONES!$C$18+(PRESIONES!$J$33-ABERTURAS!$L$66)*MAX(0,MIN($W21,DATOS!$C$23*2/4)-MAX($V21,DATOS!$C$23*1/4))*PRESIONES!$C$19+(PRESIONES!$J$34-ABERTURAS!$L$66)*MAX(0,MIN($W21,DATOS!$C$23*3/4)-MAX($V21,DATOS!$C$23*2/4))*PRESIONES!$C$20+(PRESIONES!$J$35-ABERTURAS!$L$66)*MAX(0,MIN($W21,DATOS!$C$23*4/4)-MAX($V21,DATOS!$C$23*3/4))*PRESIONES!$C$21))</f>
        <v>0.15260030677777328</v>
      </c>
      <c r="AQ21" s="26">
        <f>IF($L21&lt;&gt;"OK",0,PRESIONES!$C$12*((PRESIONES!$M$32-ABERTURAS!$L$67)*MAX(0,MIN($W21,DATOS!$C$23*1/4)-MAX($V21,DATOS!$C$23*0/4))*PRESIONES!$C$18+(PRESIONES!$M$33-ABERTURAS!$L$67)*MAX(0,MIN($W21,DATOS!$C$23*2/4)-MAX($V21,DATOS!$C$23*1/4))*PRESIONES!$C$19+(PRESIONES!$M$34-ABERTURAS!$L$67)*MAX(0,MIN($W21,DATOS!$C$23*3/4)-MAX($V21,DATOS!$C$23*2/4))*PRESIONES!$C$20+(PRESIONES!$M$35-ABERTURAS!$L$67)*MAX(0,MIN($W21,DATOS!$C$23*4/4)-MAX($V21,DATOS!$C$23*3/4))*PRESIONES!$C$21))</f>
        <v>2.2127044482777127</v>
      </c>
      <c r="AR21" s="26">
        <f>IF($L21&lt;&gt;"OK",0,PRESIONES!$C$12*((PRESIONES!$E$32-ABERTURAS!$L$60)*MAX(0,MIN($W21,DATOS!$C$23*1/4)-MAX($V21,DATOS!$C$23*0/4))+(PRESIONES!$E$33-ABERTURAS!$L$60)*MAX(0,MIN($W21,DATOS!$C$23*2/4)-MAX($V21,DATOS!$C$23*1/4))+(PRESIONES!$E$34-ABERTURAS!$L$60)*MAX(0,MIN($W21,DATOS!$C$23*3/4)-MAX($V21,DATOS!$C$23*2/4))+(PRESIONES!$E$35-ABERTURAS!$L$60)*MAX(0,MIN($W21,DATOS!$C$23*4/4)-MAX($V21,DATOS!$C$23*3/4))))</f>
        <v>-6.104012271110939</v>
      </c>
      <c r="AS21" s="26">
        <f>IF($L21&lt;&gt;"OK",0,PRESIONES!$C$12*((PRESIONES!$H$32-ABERTURAS!$L$61)*MAX(0,MIN($W21,DATOS!$C$23*1/4)-MAX($V21,DATOS!$C$23*0/4))+(PRESIONES!$H$33-ABERTURAS!$L$61)*MAX(0,MIN($W21,DATOS!$C$23*2/4)-MAX($V21,DATOS!$C$23*1/4))+(PRESIONES!$H$34-ABERTURAS!$L$61)*MAX(0,MIN($W21,DATOS!$C$23*3/4)-MAX($V21,DATOS!$C$23*2/4))+(PRESIONES!$H$35-ABERTURAS!$L$61)*MAX(0,MIN($W21,DATOS!$C$23*4/4)-MAX($V21,DATOS!$C$23*3/4))))</f>
        <v>-6.104012271110939</v>
      </c>
      <c r="AT21" s="26">
        <f>IF($L21&lt;&gt;"OK",0,PRESIONES!$C$12*((PRESIONES!$K$32-ABERTURAS!$L$62)*MAX(0,MIN($W21,DATOS!$C$23*1/4)-MAX($V21,DATOS!$C$23*0/4))+(PRESIONES!$K$33-ABERTURAS!$L$62)*MAX(0,MIN($W21,DATOS!$C$23*2/4)-MAX($V21,DATOS!$C$23*1/4))+(PRESIONES!$K$34-ABERTURAS!$L$62)*MAX(0,MIN($W21,DATOS!$C$23*3/4)-MAX($V21,DATOS!$C$23*2/4))+(PRESIONES!$K$35-ABERTURAS!$L$62)*MAX(0,MIN($W21,DATOS!$C$23*4/4)-MAX($V21,DATOS!$C$23*3/4))))</f>
        <v>-3.0520061355554695</v>
      </c>
      <c r="AU21" s="26">
        <f>IF($L21&lt;&gt;"OK",0,PRESIONES!$C$12*((PRESIONES!$N$32-ABERTURAS!$L$63)*MAX(0,MIN($W21,DATOS!$C$23*1/4)-MAX($V21,DATOS!$C$23*0/4))+(PRESIONES!$N$33-ABERTURAS!$L$63)*MAX(0,MIN($W21,DATOS!$C$23*2/4)-MAX($V21,DATOS!$C$23*1/4))+(PRESIONES!$N$34-ABERTURAS!$L$63)*MAX(0,MIN($W21,DATOS!$C$23*3/4)-MAX($V21,DATOS!$C$23*2/4))+(PRESIONES!$N$35-ABERTURAS!$L$63)*MAX(0,MIN($W21,DATOS!$C$23*4/4)-MAX($V21,DATOS!$C$23*3/4))))</f>
        <v>-44.254088965554324</v>
      </c>
      <c r="AV21" s="26">
        <f>IF($L21&lt;&gt;"OK",0,PRESIONES!$C$12*((PRESIONES!$E$32-ABERTURAS!$L$64)*MAX(0,MIN($W21,DATOS!$C$23*1/4)-MAX($V21,DATOS!$C$23*0/4))+(PRESIONES!$E$33-ABERTURAS!$L$64)*MAX(0,MIN($W21,DATOS!$C$23*2/4)-MAX($V21,DATOS!$C$23*1/4))+(PRESIONES!$E$34-ABERTURAS!$L$64)*MAX(0,MIN($W21,DATOS!$C$23*3/4)-MAX($V21,DATOS!$C$23*2/4))+(PRESIONES!$E$35-ABERTURAS!$L$64)*MAX(0,MIN($W21,DATOS!$C$23*4/4)-MAX($V21,DATOS!$C$23*3/4))))</f>
        <v>-6.104012271110939</v>
      </c>
      <c r="AW21" s="26">
        <f>IF($L21&lt;&gt;"OK",0,PRESIONES!$C$12*((PRESIONES!$H$32-ABERTURAS!$L$65)*MAX(0,MIN($W21,DATOS!$C$23*1/4)-MAX($V21,DATOS!$C$23*0/4))+(PRESIONES!$H$33-ABERTURAS!$L$65)*MAX(0,MIN($W21,DATOS!$C$23*2/4)-MAX($V21,DATOS!$C$23*1/4))+(PRESIONES!$H$34-ABERTURAS!$L$65)*MAX(0,MIN($W21,DATOS!$C$23*3/4)-MAX($V21,DATOS!$C$23*2/4))+(PRESIONES!$H$35-ABERTURAS!$L$65)*MAX(0,MIN($W21,DATOS!$C$23*4/4)-MAX($V21,DATOS!$C$23*3/4))))</f>
        <v>-6.104012271110939</v>
      </c>
      <c r="AX21" s="26">
        <f>IF($L21&lt;&gt;"OK",0,PRESIONES!$C$12*((PRESIONES!$K$32-ABERTURAS!$L$66)*MAX(0,MIN($W21,DATOS!$C$23*1/4)-MAX($V21,DATOS!$C$23*0/4))+(PRESIONES!$K$33-ABERTURAS!$L$66)*MAX(0,MIN($W21,DATOS!$C$23*2/4)-MAX($V21,DATOS!$C$23*1/4))+(PRESIONES!$K$34-ABERTURAS!$L$66)*MAX(0,MIN($W21,DATOS!$C$23*3/4)-MAX($V21,DATOS!$C$23*2/4))+(PRESIONES!$K$35-ABERTURAS!$L$66)*MAX(0,MIN($W21,DATOS!$C$23*4/4)-MAX($V21,DATOS!$C$23*3/4))))</f>
        <v>-3.0520061355554695</v>
      </c>
      <c r="AY21" s="26">
        <f>IF($L21&lt;&gt;"OK",0,PRESIONES!$C$12*((PRESIONES!$N$32-ABERTURAS!$L$67)*MAX(0,MIN($W21,DATOS!$C$23*1/4)-MAX($V21,DATOS!$C$23*0/4))+(PRESIONES!$N$33-ABERTURAS!$L$67)*MAX(0,MIN($W21,DATOS!$C$23*2/4)-MAX($V21,DATOS!$C$23*1/4))+(PRESIONES!$N$34-ABERTURAS!$L$67)*MAX(0,MIN($W21,DATOS!$C$23*3/4)-MAX($V21,DATOS!$C$23*2/4))+(PRESIONES!$N$35-ABERTURAS!$L$67)*MAX(0,MIN($W21,DATOS!$C$23*4/4)-MAX($V21,DATOS!$C$23*3/4))))</f>
        <v>-44.254088965554324</v>
      </c>
      <c r="AZ21" s="26">
        <f>IF($L21&lt;&gt;"OK",0,PRESIONES!$C$12*((PRESIONES!$E$32-ABERTURAS!$L$60)*MAX(0,MIN($W21,DATOS!$C$23*1/4)-MAX($V21,DATOS!$C$23*0/4))*PRESIONES!$C$18+(PRESIONES!$E$33-ABERTURAS!$L$60)*MAX(0,MIN($W21,DATOS!$C$23*2/4)-MAX($V21,DATOS!$C$23*1/4))*PRESIONES!$C$19+(PRESIONES!$E$34-ABERTURAS!$L$60)*MAX(0,MIN($W21,DATOS!$C$23*3/4)-MAX($V21,DATOS!$C$23*2/4))*PRESIONES!$C$20+(PRESIONES!$E$35-ABERTURAS!$L$60)*MAX(0,MIN($W21,DATOS!$C$23*4/4)-MAX($V21,DATOS!$C$23*3/4))*PRESIONES!$C$21))</f>
        <v>0.30520061355554656</v>
      </c>
      <c r="BA21" s="26">
        <f>IF($L21&lt;&gt;"OK",0,PRESIONES!$C$12*((PRESIONES!$H$32-ABERTURAS!$L$61)*MAX(0,MIN($W21,DATOS!$C$23*1/4)-MAX($V21,DATOS!$C$23*0/4))*PRESIONES!$C$18+(PRESIONES!$H$33-ABERTURAS!$L$61)*MAX(0,MIN($W21,DATOS!$C$23*2/4)-MAX($V21,DATOS!$C$23*1/4))*PRESIONES!$C$19+(PRESIONES!$H$34-ABERTURAS!$L$61)*MAX(0,MIN($W21,DATOS!$C$23*3/4)-MAX($V21,DATOS!$C$23*2/4))*PRESIONES!$C$20+(PRESIONES!$H$35-ABERTURAS!$L$61)*MAX(0,MIN($W21,DATOS!$C$23*4/4)-MAX($V21,DATOS!$C$23*3/4))*PRESIONES!$C$21))</f>
        <v>0.30520061355554656</v>
      </c>
      <c r="BB21" s="26">
        <f>IF($L21&lt;&gt;"OK",0,PRESIONES!$C$12*((PRESIONES!$K$32-ABERTURAS!$L$62)*MAX(0,MIN($W21,DATOS!$C$23*1/4)-MAX($V21,DATOS!$C$23*0/4))*PRESIONES!$C$18+(PRESIONES!$K$33-ABERTURAS!$L$62)*MAX(0,MIN($W21,DATOS!$C$23*2/4)-MAX($V21,DATOS!$C$23*1/4))*PRESIONES!$C$19+(PRESIONES!$K$34-ABERTURAS!$L$62)*MAX(0,MIN($W21,DATOS!$C$23*3/4)-MAX($V21,DATOS!$C$23*2/4))*PRESIONES!$C$20+(PRESIONES!$K$35-ABERTURAS!$L$62)*MAX(0,MIN($W21,DATOS!$C$23*4/4)-MAX($V21,DATOS!$C$23*3/4))*PRESIONES!$C$21))</f>
        <v>0.15260030677777328</v>
      </c>
      <c r="BC21" s="26">
        <f>IF($L21&lt;&gt;"OK",0,PRESIONES!$C$12*((PRESIONES!$N$32-ABERTURAS!$L$63)*MAX(0,MIN($W21,DATOS!$C$23*1/4)-MAX($V21,DATOS!$C$23*0/4))*PRESIONES!$C$18+(PRESIONES!$N$33-ABERTURAS!$L$63)*MAX(0,MIN($W21,DATOS!$C$23*2/4)-MAX($V21,DATOS!$C$23*1/4))*PRESIONES!$C$19+(PRESIONES!$N$34-ABERTURAS!$L$63)*MAX(0,MIN($W21,DATOS!$C$23*3/4)-MAX($V21,DATOS!$C$23*2/4))*PRESIONES!$C$20+(PRESIONES!$N$35-ABERTURAS!$L$63)*MAX(0,MIN($W21,DATOS!$C$23*4/4)-MAX($V21,DATOS!$C$23*3/4))*PRESIONES!$C$21))</f>
        <v>2.2127044482777127</v>
      </c>
      <c r="BD21" s="26">
        <f>IF($L21&lt;&gt;"OK",0,PRESIONES!$C$12*((PRESIONES!$E$32-ABERTURAS!$L$64)*MAX(0,MIN($W21,DATOS!$C$23*1/4)-MAX($V21,DATOS!$C$23*0/4))*PRESIONES!$C$18+(PRESIONES!$E$33-ABERTURAS!$L$64)*MAX(0,MIN($W21,DATOS!$C$23*2/4)-MAX($V21,DATOS!$C$23*1/4))*PRESIONES!$C$19+(PRESIONES!$E$34-ABERTURAS!$L$64)*MAX(0,MIN($W21,DATOS!$C$23*3/4)-MAX($V21,DATOS!$C$23*2/4))*PRESIONES!$C$20+(PRESIONES!$E$35-ABERTURAS!$L$64)*MAX(0,MIN($W21,DATOS!$C$23*4/4)-MAX($V21,DATOS!$C$23*3/4))*PRESIONES!$C$21))</f>
        <v>0.30520061355554656</v>
      </c>
      <c r="BE21" s="26">
        <f>IF($L21&lt;&gt;"OK",0,PRESIONES!$C$12*((PRESIONES!$H$32-ABERTURAS!$L$65)*MAX(0,MIN($W21,DATOS!$C$23*1/4)-MAX($V21,DATOS!$C$23*0/4))*PRESIONES!$C$18+(PRESIONES!$H$33-ABERTURAS!$L$65)*MAX(0,MIN($W21,DATOS!$C$23*2/4)-MAX($V21,DATOS!$C$23*1/4))*PRESIONES!$C$19+(PRESIONES!$H$34-ABERTURAS!$L$65)*MAX(0,MIN($W21,DATOS!$C$23*3/4)-MAX($V21,DATOS!$C$23*2/4))*PRESIONES!$C$20+(PRESIONES!$H$35-ABERTURAS!$L$65)*MAX(0,MIN($W21,DATOS!$C$23*4/4)-MAX($V21,DATOS!$C$23*3/4))*PRESIONES!$C$21))</f>
        <v>0.30520061355554656</v>
      </c>
      <c r="BF21" s="26">
        <f>IF($L21&lt;&gt;"OK",0,PRESIONES!$C$12*((PRESIONES!$K$32-ABERTURAS!$L$66)*MAX(0,MIN($W21,DATOS!$C$23*1/4)-MAX($V21,DATOS!$C$23*0/4))*PRESIONES!$C$18+(PRESIONES!$K$33-ABERTURAS!$L$66)*MAX(0,MIN($W21,DATOS!$C$23*2/4)-MAX($V21,DATOS!$C$23*1/4))*PRESIONES!$C$19+(PRESIONES!$K$34-ABERTURAS!$L$66)*MAX(0,MIN($W21,DATOS!$C$23*3/4)-MAX($V21,DATOS!$C$23*2/4))*PRESIONES!$C$20+(PRESIONES!$K$35-ABERTURAS!$L$66)*MAX(0,MIN($W21,DATOS!$C$23*4/4)-MAX($V21,DATOS!$C$23*3/4))*PRESIONES!$C$21))</f>
        <v>0.15260030677777328</v>
      </c>
      <c r="BG21" s="26">
        <f>IF($L21&lt;&gt;"OK",0,PRESIONES!$C$12*((PRESIONES!$N$32-ABERTURAS!$L$67)*MAX(0,MIN($W21,DATOS!$C$23*1/4)-MAX($V21,DATOS!$C$23*0/4))*PRESIONES!$C$18+(PRESIONES!$N$33-ABERTURAS!$L$67)*MAX(0,MIN($W21,DATOS!$C$23*2/4)-MAX($V21,DATOS!$C$23*1/4))*PRESIONES!$C$19+(PRESIONES!$N$34-ABERTURAS!$L$67)*MAX(0,MIN($W21,DATOS!$C$23*3/4)-MAX($V21,DATOS!$C$23*2/4))*PRESIONES!$C$20+(PRESIONES!$N$35-ABERTURAS!$L$67)*MAX(0,MIN($W21,DATOS!$C$23*4/4)-MAX($V21,DATOS!$C$23*3/4))*PRESIONES!$C$21))</f>
        <v>2.2127044482777127</v>
      </c>
    </row>
    <row r="22" spans="2:59" ht="15" customHeight="1" x14ac:dyDescent="0.3">
      <c r="B22" s="4"/>
      <c r="C22" s="15"/>
      <c r="D22" s="4"/>
      <c r="E22" s="15"/>
      <c r="F22" s="40"/>
      <c r="G22" s="40"/>
      <c r="H22" s="40"/>
      <c r="I22" s="40"/>
      <c r="J22" s="40"/>
      <c r="K22" s="40"/>
      <c r="L22" s="18" t="str">
        <f>IF($D22="","",IF($C22&lt;&gt;"TECHO","PON TECHO",IF(OR($F22="",$G22="",$H22="",$I22=""),"FALTAN a o b",IF($M22&lt;=0,"a₂ DEBE SER &gt; a₁",IF($N22&lt;=0,"b₂ DEBE SER &gt; b₁",IF(OR($V22&lt;-0.001,$W22&gt;DATOS!$C$23+0.001),"SE SALE DEL TECHO","OK"))))))</f>
        <v/>
      </c>
      <c r="M22" s="26">
        <f t="shared" si="0"/>
        <v>0</v>
      </c>
      <c r="N22" s="26">
        <f t="shared" si="1"/>
        <v>0</v>
      </c>
      <c r="O22" s="26">
        <f t="shared" si="2"/>
        <v>0</v>
      </c>
      <c r="P22" s="26">
        <v>0</v>
      </c>
      <c r="Q22" s="26">
        <v>0</v>
      </c>
      <c r="R22" s="26">
        <f t="shared" si="3"/>
        <v>0</v>
      </c>
      <c r="S22" s="26">
        <f t="shared" si="3"/>
        <v>0</v>
      </c>
      <c r="T22" s="41">
        <f>IF($D22="",0,DATOS!$C$21)</f>
        <v>0</v>
      </c>
      <c r="U22" s="41">
        <v>0</v>
      </c>
      <c r="V22" s="41">
        <f t="shared" si="4"/>
        <v>0</v>
      </c>
      <c r="W22" s="41">
        <f t="shared" si="5"/>
        <v>0</v>
      </c>
      <c r="AB22" s="26">
        <f>IF($L22&lt;&gt;"OK",0,PRESIONES!$C$12*((PRESIONES!$D$32-ABERTURAS!$L$60)*MAX(0,MIN($W22,DATOS!$C$23*1/4)-MAX($V22,DATOS!$C$23*0/4))+(PRESIONES!$D$33-ABERTURAS!$L$60)*MAX(0,MIN($W22,DATOS!$C$23*2/4)-MAX($V22,DATOS!$C$23*1/4))+(PRESIONES!$D$34-ABERTURAS!$L$60)*MAX(0,MIN($W22,DATOS!$C$23*3/4)-MAX($V22,DATOS!$C$23*2/4))+(PRESIONES!$D$35-ABERTURAS!$L$60)*MAX(0,MIN($W22,DATOS!$C$23*4/4)-MAX($V22,DATOS!$C$23*3/4))))</f>
        <v>0</v>
      </c>
      <c r="AC22" s="26">
        <f>IF($L22&lt;&gt;"OK",0,PRESIONES!$C$12*((PRESIONES!$G$32-ABERTURAS!$L$61)*MAX(0,MIN($W22,DATOS!$C$23*1/4)-MAX($V22,DATOS!$C$23*0/4))+(PRESIONES!$G$33-ABERTURAS!$L$61)*MAX(0,MIN($W22,DATOS!$C$23*2/4)-MAX($V22,DATOS!$C$23*1/4))+(PRESIONES!$G$34-ABERTURAS!$L$61)*MAX(0,MIN($W22,DATOS!$C$23*3/4)-MAX($V22,DATOS!$C$23*2/4))+(PRESIONES!$G$35-ABERTURAS!$L$61)*MAX(0,MIN($W22,DATOS!$C$23*4/4)-MAX($V22,DATOS!$C$23*3/4))))</f>
        <v>0</v>
      </c>
      <c r="AD22" s="26">
        <f>IF($L22&lt;&gt;"OK",0,PRESIONES!$C$12*((PRESIONES!$J$32-ABERTURAS!$L$62)*MAX(0,MIN($W22,DATOS!$C$23*1/4)-MAX($V22,DATOS!$C$23*0/4))+(PRESIONES!$J$33-ABERTURAS!$L$62)*MAX(0,MIN($W22,DATOS!$C$23*2/4)-MAX($V22,DATOS!$C$23*1/4))+(PRESIONES!$J$34-ABERTURAS!$L$62)*MAX(0,MIN($W22,DATOS!$C$23*3/4)-MAX($V22,DATOS!$C$23*2/4))+(PRESIONES!$J$35-ABERTURAS!$L$62)*MAX(0,MIN($W22,DATOS!$C$23*4/4)-MAX($V22,DATOS!$C$23*3/4))))</f>
        <v>0</v>
      </c>
      <c r="AE22" s="26">
        <f>IF($L22&lt;&gt;"OK",0,PRESIONES!$C$12*((PRESIONES!$M$32-ABERTURAS!$L$63)*MAX(0,MIN($W22,DATOS!$C$23*1/4)-MAX($V22,DATOS!$C$23*0/4))+(PRESIONES!$M$33-ABERTURAS!$L$63)*MAX(0,MIN($W22,DATOS!$C$23*2/4)-MAX($V22,DATOS!$C$23*1/4))+(PRESIONES!$M$34-ABERTURAS!$L$63)*MAX(0,MIN($W22,DATOS!$C$23*3/4)-MAX($V22,DATOS!$C$23*2/4))+(PRESIONES!$M$35-ABERTURAS!$L$63)*MAX(0,MIN($W22,DATOS!$C$23*4/4)-MAX($V22,DATOS!$C$23*3/4))))</f>
        <v>0</v>
      </c>
      <c r="AF22" s="26">
        <f>IF($L22&lt;&gt;"OK",0,PRESIONES!$C$12*((PRESIONES!$D$32-ABERTURAS!$L$64)*MAX(0,MIN($W22,DATOS!$C$23*1/4)-MAX($V22,DATOS!$C$23*0/4))+(PRESIONES!$D$33-ABERTURAS!$L$64)*MAX(0,MIN($W22,DATOS!$C$23*2/4)-MAX($V22,DATOS!$C$23*1/4))+(PRESIONES!$D$34-ABERTURAS!$L$64)*MAX(0,MIN($W22,DATOS!$C$23*3/4)-MAX($V22,DATOS!$C$23*2/4))+(PRESIONES!$D$35-ABERTURAS!$L$64)*MAX(0,MIN($W22,DATOS!$C$23*4/4)-MAX($V22,DATOS!$C$23*3/4))))</f>
        <v>0</v>
      </c>
      <c r="AG22" s="26">
        <f>IF($L22&lt;&gt;"OK",0,PRESIONES!$C$12*((PRESIONES!$G$32-ABERTURAS!$L$65)*MAX(0,MIN($W22,DATOS!$C$23*1/4)-MAX($V22,DATOS!$C$23*0/4))+(PRESIONES!$G$33-ABERTURAS!$L$65)*MAX(0,MIN($W22,DATOS!$C$23*2/4)-MAX($V22,DATOS!$C$23*1/4))+(PRESIONES!$G$34-ABERTURAS!$L$65)*MAX(0,MIN($W22,DATOS!$C$23*3/4)-MAX($V22,DATOS!$C$23*2/4))+(PRESIONES!$G$35-ABERTURAS!$L$65)*MAX(0,MIN($W22,DATOS!$C$23*4/4)-MAX($V22,DATOS!$C$23*3/4))))</f>
        <v>0</v>
      </c>
      <c r="AH22" s="26">
        <f>IF($L22&lt;&gt;"OK",0,PRESIONES!$C$12*((PRESIONES!$J$32-ABERTURAS!$L$66)*MAX(0,MIN($W22,DATOS!$C$23*1/4)-MAX($V22,DATOS!$C$23*0/4))+(PRESIONES!$J$33-ABERTURAS!$L$66)*MAX(0,MIN($W22,DATOS!$C$23*2/4)-MAX($V22,DATOS!$C$23*1/4))+(PRESIONES!$J$34-ABERTURAS!$L$66)*MAX(0,MIN($W22,DATOS!$C$23*3/4)-MAX($V22,DATOS!$C$23*2/4))+(PRESIONES!$J$35-ABERTURAS!$L$66)*MAX(0,MIN($W22,DATOS!$C$23*4/4)-MAX($V22,DATOS!$C$23*3/4))))</f>
        <v>0</v>
      </c>
      <c r="AI22" s="26">
        <f>IF($L22&lt;&gt;"OK",0,PRESIONES!$C$12*((PRESIONES!$M$32-ABERTURAS!$L$67)*MAX(0,MIN($W22,DATOS!$C$23*1/4)-MAX($V22,DATOS!$C$23*0/4))+(PRESIONES!$M$33-ABERTURAS!$L$67)*MAX(0,MIN($W22,DATOS!$C$23*2/4)-MAX($V22,DATOS!$C$23*1/4))+(PRESIONES!$M$34-ABERTURAS!$L$67)*MAX(0,MIN($W22,DATOS!$C$23*3/4)-MAX($V22,DATOS!$C$23*2/4))+(PRESIONES!$M$35-ABERTURAS!$L$67)*MAX(0,MIN($W22,DATOS!$C$23*4/4)-MAX($V22,DATOS!$C$23*3/4))))</f>
        <v>0</v>
      </c>
      <c r="AJ22" s="26">
        <f>IF($L22&lt;&gt;"OK",0,PRESIONES!$C$12*((PRESIONES!$D$32-ABERTURAS!$L$60)*MAX(0,MIN($W22,DATOS!$C$23*1/4)-MAX($V22,DATOS!$C$23*0/4))*PRESIONES!$C$18+(PRESIONES!$D$33-ABERTURAS!$L$60)*MAX(0,MIN($W22,DATOS!$C$23*2/4)-MAX($V22,DATOS!$C$23*1/4))*PRESIONES!$C$19+(PRESIONES!$D$34-ABERTURAS!$L$60)*MAX(0,MIN($W22,DATOS!$C$23*3/4)-MAX($V22,DATOS!$C$23*2/4))*PRESIONES!$C$20+(PRESIONES!$D$35-ABERTURAS!$L$60)*MAX(0,MIN($W22,DATOS!$C$23*4/4)-MAX($V22,DATOS!$C$23*3/4))*PRESIONES!$C$21))</f>
        <v>0</v>
      </c>
      <c r="AK22" s="26">
        <f>IF($L22&lt;&gt;"OK",0,PRESIONES!$C$12*((PRESIONES!$G$32-ABERTURAS!$L$61)*MAX(0,MIN($W22,DATOS!$C$23*1/4)-MAX($V22,DATOS!$C$23*0/4))*PRESIONES!$C$18+(PRESIONES!$G$33-ABERTURAS!$L$61)*MAX(0,MIN($W22,DATOS!$C$23*2/4)-MAX($V22,DATOS!$C$23*1/4))*PRESIONES!$C$19+(PRESIONES!$G$34-ABERTURAS!$L$61)*MAX(0,MIN($W22,DATOS!$C$23*3/4)-MAX($V22,DATOS!$C$23*2/4))*PRESIONES!$C$20+(PRESIONES!$G$35-ABERTURAS!$L$61)*MAX(0,MIN($W22,DATOS!$C$23*4/4)-MAX($V22,DATOS!$C$23*3/4))*PRESIONES!$C$21))</f>
        <v>0</v>
      </c>
      <c r="AL22" s="26">
        <f>IF($L22&lt;&gt;"OK",0,PRESIONES!$C$12*((PRESIONES!$J$32-ABERTURAS!$L$62)*MAX(0,MIN($W22,DATOS!$C$23*1/4)-MAX($V22,DATOS!$C$23*0/4))*PRESIONES!$C$18+(PRESIONES!$J$33-ABERTURAS!$L$62)*MAX(0,MIN($W22,DATOS!$C$23*2/4)-MAX($V22,DATOS!$C$23*1/4))*PRESIONES!$C$19+(PRESIONES!$J$34-ABERTURAS!$L$62)*MAX(0,MIN($W22,DATOS!$C$23*3/4)-MAX($V22,DATOS!$C$23*2/4))*PRESIONES!$C$20+(PRESIONES!$J$35-ABERTURAS!$L$62)*MAX(0,MIN($W22,DATOS!$C$23*4/4)-MAX($V22,DATOS!$C$23*3/4))*PRESIONES!$C$21))</f>
        <v>0</v>
      </c>
      <c r="AM22" s="26">
        <f>IF($L22&lt;&gt;"OK",0,PRESIONES!$C$12*((PRESIONES!$M$32-ABERTURAS!$L$63)*MAX(0,MIN($W22,DATOS!$C$23*1/4)-MAX($V22,DATOS!$C$23*0/4))*PRESIONES!$C$18+(PRESIONES!$M$33-ABERTURAS!$L$63)*MAX(0,MIN($W22,DATOS!$C$23*2/4)-MAX($V22,DATOS!$C$23*1/4))*PRESIONES!$C$19+(PRESIONES!$M$34-ABERTURAS!$L$63)*MAX(0,MIN($W22,DATOS!$C$23*3/4)-MAX($V22,DATOS!$C$23*2/4))*PRESIONES!$C$20+(PRESIONES!$M$35-ABERTURAS!$L$63)*MAX(0,MIN($W22,DATOS!$C$23*4/4)-MAX($V22,DATOS!$C$23*3/4))*PRESIONES!$C$21))</f>
        <v>0</v>
      </c>
      <c r="AN22" s="26">
        <f>IF($L22&lt;&gt;"OK",0,PRESIONES!$C$12*((PRESIONES!$D$32-ABERTURAS!$L$64)*MAX(0,MIN($W22,DATOS!$C$23*1/4)-MAX($V22,DATOS!$C$23*0/4))*PRESIONES!$C$18+(PRESIONES!$D$33-ABERTURAS!$L$64)*MAX(0,MIN($W22,DATOS!$C$23*2/4)-MAX($V22,DATOS!$C$23*1/4))*PRESIONES!$C$19+(PRESIONES!$D$34-ABERTURAS!$L$64)*MAX(0,MIN($W22,DATOS!$C$23*3/4)-MAX($V22,DATOS!$C$23*2/4))*PRESIONES!$C$20+(PRESIONES!$D$35-ABERTURAS!$L$64)*MAX(0,MIN($W22,DATOS!$C$23*4/4)-MAX($V22,DATOS!$C$23*3/4))*PRESIONES!$C$21))</f>
        <v>0</v>
      </c>
      <c r="AO22" s="26">
        <f>IF($L22&lt;&gt;"OK",0,PRESIONES!$C$12*((PRESIONES!$G$32-ABERTURAS!$L$65)*MAX(0,MIN($W22,DATOS!$C$23*1/4)-MAX($V22,DATOS!$C$23*0/4))*PRESIONES!$C$18+(PRESIONES!$G$33-ABERTURAS!$L$65)*MAX(0,MIN($W22,DATOS!$C$23*2/4)-MAX($V22,DATOS!$C$23*1/4))*PRESIONES!$C$19+(PRESIONES!$G$34-ABERTURAS!$L$65)*MAX(0,MIN($W22,DATOS!$C$23*3/4)-MAX($V22,DATOS!$C$23*2/4))*PRESIONES!$C$20+(PRESIONES!$G$35-ABERTURAS!$L$65)*MAX(0,MIN($W22,DATOS!$C$23*4/4)-MAX($V22,DATOS!$C$23*3/4))*PRESIONES!$C$21))</f>
        <v>0</v>
      </c>
      <c r="AP22" s="26">
        <f>IF($L22&lt;&gt;"OK",0,PRESIONES!$C$12*((PRESIONES!$J$32-ABERTURAS!$L$66)*MAX(0,MIN($W22,DATOS!$C$23*1/4)-MAX($V22,DATOS!$C$23*0/4))*PRESIONES!$C$18+(PRESIONES!$J$33-ABERTURAS!$L$66)*MAX(0,MIN($W22,DATOS!$C$23*2/4)-MAX($V22,DATOS!$C$23*1/4))*PRESIONES!$C$19+(PRESIONES!$J$34-ABERTURAS!$L$66)*MAX(0,MIN($W22,DATOS!$C$23*3/4)-MAX($V22,DATOS!$C$23*2/4))*PRESIONES!$C$20+(PRESIONES!$J$35-ABERTURAS!$L$66)*MAX(0,MIN($W22,DATOS!$C$23*4/4)-MAX($V22,DATOS!$C$23*3/4))*PRESIONES!$C$21))</f>
        <v>0</v>
      </c>
      <c r="AQ22" s="26">
        <f>IF($L22&lt;&gt;"OK",0,PRESIONES!$C$12*((PRESIONES!$M$32-ABERTURAS!$L$67)*MAX(0,MIN($W22,DATOS!$C$23*1/4)-MAX($V22,DATOS!$C$23*0/4))*PRESIONES!$C$18+(PRESIONES!$M$33-ABERTURAS!$L$67)*MAX(0,MIN($W22,DATOS!$C$23*2/4)-MAX($V22,DATOS!$C$23*1/4))*PRESIONES!$C$19+(PRESIONES!$M$34-ABERTURAS!$L$67)*MAX(0,MIN($W22,DATOS!$C$23*3/4)-MAX($V22,DATOS!$C$23*2/4))*PRESIONES!$C$20+(PRESIONES!$M$35-ABERTURAS!$L$67)*MAX(0,MIN($W22,DATOS!$C$23*4/4)-MAX($V22,DATOS!$C$23*3/4))*PRESIONES!$C$21))</f>
        <v>0</v>
      </c>
      <c r="AR22" s="26">
        <f>IF($L22&lt;&gt;"OK",0,PRESIONES!$C$12*((PRESIONES!$E$32-ABERTURAS!$L$60)*MAX(0,MIN($W22,DATOS!$C$23*1/4)-MAX($V22,DATOS!$C$23*0/4))+(PRESIONES!$E$33-ABERTURAS!$L$60)*MAX(0,MIN($W22,DATOS!$C$23*2/4)-MAX($V22,DATOS!$C$23*1/4))+(PRESIONES!$E$34-ABERTURAS!$L$60)*MAX(0,MIN($W22,DATOS!$C$23*3/4)-MAX($V22,DATOS!$C$23*2/4))+(PRESIONES!$E$35-ABERTURAS!$L$60)*MAX(0,MIN($W22,DATOS!$C$23*4/4)-MAX($V22,DATOS!$C$23*3/4))))</f>
        <v>0</v>
      </c>
      <c r="AS22" s="26">
        <f>IF($L22&lt;&gt;"OK",0,PRESIONES!$C$12*((PRESIONES!$H$32-ABERTURAS!$L$61)*MAX(0,MIN($W22,DATOS!$C$23*1/4)-MAX($V22,DATOS!$C$23*0/4))+(PRESIONES!$H$33-ABERTURAS!$L$61)*MAX(0,MIN($W22,DATOS!$C$23*2/4)-MAX($V22,DATOS!$C$23*1/4))+(PRESIONES!$H$34-ABERTURAS!$L$61)*MAX(0,MIN($W22,DATOS!$C$23*3/4)-MAX($V22,DATOS!$C$23*2/4))+(PRESIONES!$H$35-ABERTURAS!$L$61)*MAX(0,MIN($W22,DATOS!$C$23*4/4)-MAX($V22,DATOS!$C$23*3/4))))</f>
        <v>0</v>
      </c>
      <c r="AT22" s="26">
        <f>IF($L22&lt;&gt;"OK",0,PRESIONES!$C$12*((PRESIONES!$K$32-ABERTURAS!$L$62)*MAX(0,MIN($W22,DATOS!$C$23*1/4)-MAX($V22,DATOS!$C$23*0/4))+(PRESIONES!$K$33-ABERTURAS!$L$62)*MAX(0,MIN($W22,DATOS!$C$23*2/4)-MAX($V22,DATOS!$C$23*1/4))+(PRESIONES!$K$34-ABERTURAS!$L$62)*MAX(0,MIN($W22,DATOS!$C$23*3/4)-MAX($V22,DATOS!$C$23*2/4))+(PRESIONES!$K$35-ABERTURAS!$L$62)*MAX(0,MIN($W22,DATOS!$C$23*4/4)-MAX($V22,DATOS!$C$23*3/4))))</f>
        <v>0</v>
      </c>
      <c r="AU22" s="26">
        <f>IF($L22&lt;&gt;"OK",0,PRESIONES!$C$12*((PRESIONES!$N$32-ABERTURAS!$L$63)*MAX(0,MIN($W22,DATOS!$C$23*1/4)-MAX($V22,DATOS!$C$23*0/4))+(PRESIONES!$N$33-ABERTURAS!$L$63)*MAX(0,MIN($W22,DATOS!$C$23*2/4)-MAX($V22,DATOS!$C$23*1/4))+(PRESIONES!$N$34-ABERTURAS!$L$63)*MAX(0,MIN($W22,DATOS!$C$23*3/4)-MAX($V22,DATOS!$C$23*2/4))+(PRESIONES!$N$35-ABERTURAS!$L$63)*MAX(0,MIN($W22,DATOS!$C$23*4/4)-MAX($V22,DATOS!$C$23*3/4))))</f>
        <v>0</v>
      </c>
      <c r="AV22" s="26">
        <f>IF($L22&lt;&gt;"OK",0,PRESIONES!$C$12*((PRESIONES!$E$32-ABERTURAS!$L$64)*MAX(0,MIN($W22,DATOS!$C$23*1/4)-MAX($V22,DATOS!$C$23*0/4))+(PRESIONES!$E$33-ABERTURAS!$L$64)*MAX(0,MIN($W22,DATOS!$C$23*2/4)-MAX($V22,DATOS!$C$23*1/4))+(PRESIONES!$E$34-ABERTURAS!$L$64)*MAX(0,MIN($W22,DATOS!$C$23*3/4)-MAX($V22,DATOS!$C$23*2/4))+(PRESIONES!$E$35-ABERTURAS!$L$64)*MAX(0,MIN($W22,DATOS!$C$23*4/4)-MAX($V22,DATOS!$C$23*3/4))))</f>
        <v>0</v>
      </c>
      <c r="AW22" s="26">
        <f>IF($L22&lt;&gt;"OK",0,PRESIONES!$C$12*((PRESIONES!$H$32-ABERTURAS!$L$65)*MAX(0,MIN($W22,DATOS!$C$23*1/4)-MAX($V22,DATOS!$C$23*0/4))+(PRESIONES!$H$33-ABERTURAS!$L$65)*MAX(0,MIN($W22,DATOS!$C$23*2/4)-MAX($V22,DATOS!$C$23*1/4))+(PRESIONES!$H$34-ABERTURAS!$L$65)*MAX(0,MIN($W22,DATOS!$C$23*3/4)-MAX($V22,DATOS!$C$23*2/4))+(PRESIONES!$H$35-ABERTURAS!$L$65)*MAX(0,MIN($W22,DATOS!$C$23*4/4)-MAX($V22,DATOS!$C$23*3/4))))</f>
        <v>0</v>
      </c>
      <c r="AX22" s="26">
        <f>IF($L22&lt;&gt;"OK",0,PRESIONES!$C$12*((PRESIONES!$K$32-ABERTURAS!$L$66)*MAX(0,MIN($W22,DATOS!$C$23*1/4)-MAX($V22,DATOS!$C$23*0/4))+(PRESIONES!$K$33-ABERTURAS!$L$66)*MAX(0,MIN($W22,DATOS!$C$23*2/4)-MAX($V22,DATOS!$C$23*1/4))+(PRESIONES!$K$34-ABERTURAS!$L$66)*MAX(0,MIN($W22,DATOS!$C$23*3/4)-MAX($V22,DATOS!$C$23*2/4))+(PRESIONES!$K$35-ABERTURAS!$L$66)*MAX(0,MIN($W22,DATOS!$C$23*4/4)-MAX($V22,DATOS!$C$23*3/4))))</f>
        <v>0</v>
      </c>
      <c r="AY22" s="26">
        <f>IF($L22&lt;&gt;"OK",0,PRESIONES!$C$12*((PRESIONES!$N$32-ABERTURAS!$L$67)*MAX(0,MIN($W22,DATOS!$C$23*1/4)-MAX($V22,DATOS!$C$23*0/4))+(PRESIONES!$N$33-ABERTURAS!$L$67)*MAX(0,MIN($W22,DATOS!$C$23*2/4)-MAX($V22,DATOS!$C$23*1/4))+(PRESIONES!$N$34-ABERTURAS!$L$67)*MAX(0,MIN($W22,DATOS!$C$23*3/4)-MAX($V22,DATOS!$C$23*2/4))+(PRESIONES!$N$35-ABERTURAS!$L$67)*MAX(0,MIN($W22,DATOS!$C$23*4/4)-MAX($V22,DATOS!$C$23*3/4))))</f>
        <v>0</v>
      </c>
      <c r="AZ22" s="26">
        <f>IF($L22&lt;&gt;"OK",0,PRESIONES!$C$12*((PRESIONES!$E$32-ABERTURAS!$L$60)*MAX(0,MIN($W22,DATOS!$C$23*1/4)-MAX($V22,DATOS!$C$23*0/4))*PRESIONES!$C$18+(PRESIONES!$E$33-ABERTURAS!$L$60)*MAX(0,MIN($W22,DATOS!$C$23*2/4)-MAX($V22,DATOS!$C$23*1/4))*PRESIONES!$C$19+(PRESIONES!$E$34-ABERTURAS!$L$60)*MAX(0,MIN($W22,DATOS!$C$23*3/4)-MAX($V22,DATOS!$C$23*2/4))*PRESIONES!$C$20+(PRESIONES!$E$35-ABERTURAS!$L$60)*MAX(0,MIN($W22,DATOS!$C$23*4/4)-MAX($V22,DATOS!$C$23*3/4))*PRESIONES!$C$21))</f>
        <v>0</v>
      </c>
      <c r="BA22" s="26">
        <f>IF($L22&lt;&gt;"OK",0,PRESIONES!$C$12*((PRESIONES!$H$32-ABERTURAS!$L$61)*MAX(0,MIN($W22,DATOS!$C$23*1/4)-MAX($V22,DATOS!$C$23*0/4))*PRESIONES!$C$18+(PRESIONES!$H$33-ABERTURAS!$L$61)*MAX(0,MIN($W22,DATOS!$C$23*2/4)-MAX($V22,DATOS!$C$23*1/4))*PRESIONES!$C$19+(PRESIONES!$H$34-ABERTURAS!$L$61)*MAX(0,MIN($W22,DATOS!$C$23*3/4)-MAX($V22,DATOS!$C$23*2/4))*PRESIONES!$C$20+(PRESIONES!$H$35-ABERTURAS!$L$61)*MAX(0,MIN($W22,DATOS!$C$23*4/4)-MAX($V22,DATOS!$C$23*3/4))*PRESIONES!$C$21))</f>
        <v>0</v>
      </c>
      <c r="BB22" s="26">
        <f>IF($L22&lt;&gt;"OK",0,PRESIONES!$C$12*((PRESIONES!$K$32-ABERTURAS!$L$62)*MAX(0,MIN($W22,DATOS!$C$23*1/4)-MAX($V22,DATOS!$C$23*0/4))*PRESIONES!$C$18+(PRESIONES!$K$33-ABERTURAS!$L$62)*MAX(0,MIN($W22,DATOS!$C$23*2/4)-MAX($V22,DATOS!$C$23*1/4))*PRESIONES!$C$19+(PRESIONES!$K$34-ABERTURAS!$L$62)*MAX(0,MIN($W22,DATOS!$C$23*3/4)-MAX($V22,DATOS!$C$23*2/4))*PRESIONES!$C$20+(PRESIONES!$K$35-ABERTURAS!$L$62)*MAX(0,MIN($W22,DATOS!$C$23*4/4)-MAX($V22,DATOS!$C$23*3/4))*PRESIONES!$C$21))</f>
        <v>0</v>
      </c>
      <c r="BC22" s="26">
        <f>IF($L22&lt;&gt;"OK",0,PRESIONES!$C$12*((PRESIONES!$N$32-ABERTURAS!$L$63)*MAX(0,MIN($W22,DATOS!$C$23*1/4)-MAX($V22,DATOS!$C$23*0/4))*PRESIONES!$C$18+(PRESIONES!$N$33-ABERTURAS!$L$63)*MAX(0,MIN($W22,DATOS!$C$23*2/4)-MAX($V22,DATOS!$C$23*1/4))*PRESIONES!$C$19+(PRESIONES!$N$34-ABERTURAS!$L$63)*MAX(0,MIN($W22,DATOS!$C$23*3/4)-MAX($V22,DATOS!$C$23*2/4))*PRESIONES!$C$20+(PRESIONES!$N$35-ABERTURAS!$L$63)*MAX(0,MIN($W22,DATOS!$C$23*4/4)-MAX($V22,DATOS!$C$23*3/4))*PRESIONES!$C$21))</f>
        <v>0</v>
      </c>
      <c r="BD22" s="26">
        <f>IF($L22&lt;&gt;"OK",0,PRESIONES!$C$12*((PRESIONES!$E$32-ABERTURAS!$L$64)*MAX(0,MIN($W22,DATOS!$C$23*1/4)-MAX($V22,DATOS!$C$23*0/4))*PRESIONES!$C$18+(PRESIONES!$E$33-ABERTURAS!$L$64)*MAX(0,MIN($W22,DATOS!$C$23*2/4)-MAX($V22,DATOS!$C$23*1/4))*PRESIONES!$C$19+(PRESIONES!$E$34-ABERTURAS!$L$64)*MAX(0,MIN($W22,DATOS!$C$23*3/4)-MAX($V22,DATOS!$C$23*2/4))*PRESIONES!$C$20+(PRESIONES!$E$35-ABERTURAS!$L$64)*MAX(0,MIN($W22,DATOS!$C$23*4/4)-MAX($V22,DATOS!$C$23*3/4))*PRESIONES!$C$21))</f>
        <v>0</v>
      </c>
      <c r="BE22" s="26">
        <f>IF($L22&lt;&gt;"OK",0,PRESIONES!$C$12*((PRESIONES!$H$32-ABERTURAS!$L$65)*MAX(0,MIN($W22,DATOS!$C$23*1/4)-MAX($V22,DATOS!$C$23*0/4))*PRESIONES!$C$18+(PRESIONES!$H$33-ABERTURAS!$L$65)*MAX(0,MIN($W22,DATOS!$C$23*2/4)-MAX($V22,DATOS!$C$23*1/4))*PRESIONES!$C$19+(PRESIONES!$H$34-ABERTURAS!$L$65)*MAX(0,MIN($W22,DATOS!$C$23*3/4)-MAX($V22,DATOS!$C$23*2/4))*PRESIONES!$C$20+(PRESIONES!$H$35-ABERTURAS!$L$65)*MAX(0,MIN($W22,DATOS!$C$23*4/4)-MAX($V22,DATOS!$C$23*3/4))*PRESIONES!$C$21))</f>
        <v>0</v>
      </c>
      <c r="BF22" s="26">
        <f>IF($L22&lt;&gt;"OK",0,PRESIONES!$C$12*((PRESIONES!$K$32-ABERTURAS!$L$66)*MAX(0,MIN($W22,DATOS!$C$23*1/4)-MAX($V22,DATOS!$C$23*0/4))*PRESIONES!$C$18+(PRESIONES!$K$33-ABERTURAS!$L$66)*MAX(0,MIN($W22,DATOS!$C$23*2/4)-MAX($V22,DATOS!$C$23*1/4))*PRESIONES!$C$19+(PRESIONES!$K$34-ABERTURAS!$L$66)*MAX(0,MIN($W22,DATOS!$C$23*3/4)-MAX($V22,DATOS!$C$23*2/4))*PRESIONES!$C$20+(PRESIONES!$K$35-ABERTURAS!$L$66)*MAX(0,MIN($W22,DATOS!$C$23*4/4)-MAX($V22,DATOS!$C$23*3/4))*PRESIONES!$C$21))</f>
        <v>0</v>
      </c>
      <c r="BG22" s="26">
        <f>IF($L22&lt;&gt;"OK",0,PRESIONES!$C$12*((PRESIONES!$N$32-ABERTURAS!$L$67)*MAX(0,MIN($W22,DATOS!$C$23*1/4)-MAX($V22,DATOS!$C$23*0/4))*PRESIONES!$C$18+(PRESIONES!$N$33-ABERTURAS!$L$67)*MAX(0,MIN($W22,DATOS!$C$23*2/4)-MAX($V22,DATOS!$C$23*1/4))*PRESIONES!$C$19+(PRESIONES!$N$34-ABERTURAS!$L$67)*MAX(0,MIN($W22,DATOS!$C$23*3/4)-MAX($V22,DATOS!$C$23*2/4))*PRESIONES!$C$20+(PRESIONES!$N$35-ABERTURAS!$L$67)*MAX(0,MIN($W22,DATOS!$C$23*4/4)-MAX($V22,DATOS!$C$23*3/4))*PRESIONES!$C$21))</f>
        <v>0</v>
      </c>
    </row>
    <row r="23" spans="2:59" ht="15" customHeight="1" x14ac:dyDescent="0.3">
      <c r="B23" s="4"/>
      <c r="C23" s="15"/>
      <c r="D23" s="4"/>
      <c r="E23" s="15"/>
      <c r="F23" s="40"/>
      <c r="G23" s="40"/>
      <c r="H23" s="40"/>
      <c r="I23" s="40"/>
      <c r="J23" s="40"/>
      <c r="K23" s="40"/>
      <c r="L23" s="18" t="str">
        <f>IF($D23="","",IF($C23&lt;&gt;"TECHO","PON TECHO",IF(OR($F23="",$G23="",$H23="",$I23=""),"FALTAN a o b",IF($M23&lt;=0,"a₂ DEBE SER &gt; a₁",IF($N23&lt;=0,"b₂ DEBE SER &gt; b₁",IF(OR($V23&lt;-0.001,$W23&gt;DATOS!$C$23+0.001),"SE SALE DEL TECHO","OK"))))))</f>
        <v/>
      </c>
      <c r="M23" s="26">
        <f t="shared" si="0"/>
        <v>0</v>
      </c>
      <c r="N23" s="26">
        <f t="shared" si="1"/>
        <v>0</v>
      </c>
      <c r="O23" s="26">
        <f t="shared" si="2"/>
        <v>0</v>
      </c>
      <c r="P23" s="26">
        <v>0</v>
      </c>
      <c r="Q23" s="26">
        <v>0</v>
      </c>
      <c r="R23" s="26">
        <f t="shared" si="3"/>
        <v>0</v>
      </c>
      <c r="S23" s="26">
        <f t="shared" si="3"/>
        <v>0</v>
      </c>
      <c r="T23" s="41">
        <f>IF($D23="",0,DATOS!$C$21)</f>
        <v>0</v>
      </c>
      <c r="U23" s="41">
        <v>0</v>
      </c>
      <c r="V23" s="41">
        <f t="shared" si="4"/>
        <v>0</v>
      </c>
      <c r="W23" s="41">
        <f t="shared" si="5"/>
        <v>0</v>
      </c>
      <c r="AB23" s="26">
        <f>IF($L23&lt;&gt;"OK",0,PRESIONES!$C$12*((PRESIONES!$D$32-ABERTURAS!$L$60)*MAX(0,MIN($W23,DATOS!$C$23*1/4)-MAX($V23,DATOS!$C$23*0/4))+(PRESIONES!$D$33-ABERTURAS!$L$60)*MAX(0,MIN($W23,DATOS!$C$23*2/4)-MAX($V23,DATOS!$C$23*1/4))+(PRESIONES!$D$34-ABERTURAS!$L$60)*MAX(0,MIN($W23,DATOS!$C$23*3/4)-MAX($V23,DATOS!$C$23*2/4))+(PRESIONES!$D$35-ABERTURAS!$L$60)*MAX(0,MIN($W23,DATOS!$C$23*4/4)-MAX($V23,DATOS!$C$23*3/4))))</f>
        <v>0</v>
      </c>
      <c r="AC23" s="26">
        <f>IF($L23&lt;&gt;"OK",0,PRESIONES!$C$12*((PRESIONES!$G$32-ABERTURAS!$L$61)*MAX(0,MIN($W23,DATOS!$C$23*1/4)-MAX($V23,DATOS!$C$23*0/4))+(PRESIONES!$G$33-ABERTURAS!$L$61)*MAX(0,MIN($W23,DATOS!$C$23*2/4)-MAX($V23,DATOS!$C$23*1/4))+(PRESIONES!$G$34-ABERTURAS!$L$61)*MAX(0,MIN($W23,DATOS!$C$23*3/4)-MAX($V23,DATOS!$C$23*2/4))+(PRESIONES!$G$35-ABERTURAS!$L$61)*MAX(0,MIN($W23,DATOS!$C$23*4/4)-MAX($V23,DATOS!$C$23*3/4))))</f>
        <v>0</v>
      </c>
      <c r="AD23" s="26">
        <f>IF($L23&lt;&gt;"OK",0,PRESIONES!$C$12*((PRESIONES!$J$32-ABERTURAS!$L$62)*MAX(0,MIN($W23,DATOS!$C$23*1/4)-MAX($V23,DATOS!$C$23*0/4))+(PRESIONES!$J$33-ABERTURAS!$L$62)*MAX(0,MIN($W23,DATOS!$C$23*2/4)-MAX($V23,DATOS!$C$23*1/4))+(PRESIONES!$J$34-ABERTURAS!$L$62)*MAX(0,MIN($W23,DATOS!$C$23*3/4)-MAX($V23,DATOS!$C$23*2/4))+(PRESIONES!$J$35-ABERTURAS!$L$62)*MAX(0,MIN($W23,DATOS!$C$23*4/4)-MAX($V23,DATOS!$C$23*3/4))))</f>
        <v>0</v>
      </c>
      <c r="AE23" s="26">
        <f>IF($L23&lt;&gt;"OK",0,PRESIONES!$C$12*((PRESIONES!$M$32-ABERTURAS!$L$63)*MAX(0,MIN($W23,DATOS!$C$23*1/4)-MAX($V23,DATOS!$C$23*0/4))+(PRESIONES!$M$33-ABERTURAS!$L$63)*MAX(0,MIN($W23,DATOS!$C$23*2/4)-MAX($V23,DATOS!$C$23*1/4))+(PRESIONES!$M$34-ABERTURAS!$L$63)*MAX(0,MIN($W23,DATOS!$C$23*3/4)-MAX($V23,DATOS!$C$23*2/4))+(PRESIONES!$M$35-ABERTURAS!$L$63)*MAX(0,MIN($W23,DATOS!$C$23*4/4)-MAX($V23,DATOS!$C$23*3/4))))</f>
        <v>0</v>
      </c>
      <c r="AF23" s="26">
        <f>IF($L23&lt;&gt;"OK",0,PRESIONES!$C$12*((PRESIONES!$D$32-ABERTURAS!$L$64)*MAX(0,MIN($W23,DATOS!$C$23*1/4)-MAX($V23,DATOS!$C$23*0/4))+(PRESIONES!$D$33-ABERTURAS!$L$64)*MAX(0,MIN($W23,DATOS!$C$23*2/4)-MAX($V23,DATOS!$C$23*1/4))+(PRESIONES!$D$34-ABERTURAS!$L$64)*MAX(0,MIN($W23,DATOS!$C$23*3/4)-MAX($V23,DATOS!$C$23*2/4))+(PRESIONES!$D$35-ABERTURAS!$L$64)*MAX(0,MIN($W23,DATOS!$C$23*4/4)-MAX($V23,DATOS!$C$23*3/4))))</f>
        <v>0</v>
      </c>
      <c r="AG23" s="26">
        <f>IF($L23&lt;&gt;"OK",0,PRESIONES!$C$12*((PRESIONES!$G$32-ABERTURAS!$L$65)*MAX(0,MIN($W23,DATOS!$C$23*1/4)-MAX($V23,DATOS!$C$23*0/4))+(PRESIONES!$G$33-ABERTURAS!$L$65)*MAX(0,MIN($W23,DATOS!$C$23*2/4)-MAX($V23,DATOS!$C$23*1/4))+(PRESIONES!$G$34-ABERTURAS!$L$65)*MAX(0,MIN($W23,DATOS!$C$23*3/4)-MAX($V23,DATOS!$C$23*2/4))+(PRESIONES!$G$35-ABERTURAS!$L$65)*MAX(0,MIN($W23,DATOS!$C$23*4/4)-MAX($V23,DATOS!$C$23*3/4))))</f>
        <v>0</v>
      </c>
      <c r="AH23" s="26">
        <f>IF($L23&lt;&gt;"OK",0,PRESIONES!$C$12*((PRESIONES!$J$32-ABERTURAS!$L$66)*MAX(0,MIN($W23,DATOS!$C$23*1/4)-MAX($V23,DATOS!$C$23*0/4))+(PRESIONES!$J$33-ABERTURAS!$L$66)*MAX(0,MIN($W23,DATOS!$C$23*2/4)-MAX($V23,DATOS!$C$23*1/4))+(PRESIONES!$J$34-ABERTURAS!$L$66)*MAX(0,MIN($W23,DATOS!$C$23*3/4)-MAX($V23,DATOS!$C$23*2/4))+(PRESIONES!$J$35-ABERTURAS!$L$66)*MAX(0,MIN($W23,DATOS!$C$23*4/4)-MAX($V23,DATOS!$C$23*3/4))))</f>
        <v>0</v>
      </c>
      <c r="AI23" s="26">
        <f>IF($L23&lt;&gt;"OK",0,PRESIONES!$C$12*((PRESIONES!$M$32-ABERTURAS!$L$67)*MAX(0,MIN($W23,DATOS!$C$23*1/4)-MAX($V23,DATOS!$C$23*0/4))+(PRESIONES!$M$33-ABERTURAS!$L$67)*MAX(0,MIN($W23,DATOS!$C$23*2/4)-MAX($V23,DATOS!$C$23*1/4))+(PRESIONES!$M$34-ABERTURAS!$L$67)*MAX(0,MIN($W23,DATOS!$C$23*3/4)-MAX($V23,DATOS!$C$23*2/4))+(PRESIONES!$M$35-ABERTURAS!$L$67)*MAX(0,MIN($W23,DATOS!$C$23*4/4)-MAX($V23,DATOS!$C$23*3/4))))</f>
        <v>0</v>
      </c>
      <c r="AJ23" s="26">
        <f>IF($L23&lt;&gt;"OK",0,PRESIONES!$C$12*((PRESIONES!$D$32-ABERTURAS!$L$60)*MAX(0,MIN($W23,DATOS!$C$23*1/4)-MAX($V23,DATOS!$C$23*0/4))*PRESIONES!$C$18+(PRESIONES!$D$33-ABERTURAS!$L$60)*MAX(0,MIN($W23,DATOS!$C$23*2/4)-MAX($V23,DATOS!$C$23*1/4))*PRESIONES!$C$19+(PRESIONES!$D$34-ABERTURAS!$L$60)*MAX(0,MIN($W23,DATOS!$C$23*3/4)-MAX($V23,DATOS!$C$23*2/4))*PRESIONES!$C$20+(PRESIONES!$D$35-ABERTURAS!$L$60)*MAX(0,MIN($W23,DATOS!$C$23*4/4)-MAX($V23,DATOS!$C$23*3/4))*PRESIONES!$C$21))</f>
        <v>0</v>
      </c>
      <c r="AK23" s="26">
        <f>IF($L23&lt;&gt;"OK",0,PRESIONES!$C$12*((PRESIONES!$G$32-ABERTURAS!$L$61)*MAX(0,MIN($W23,DATOS!$C$23*1/4)-MAX($V23,DATOS!$C$23*0/4))*PRESIONES!$C$18+(PRESIONES!$G$33-ABERTURAS!$L$61)*MAX(0,MIN($W23,DATOS!$C$23*2/4)-MAX($V23,DATOS!$C$23*1/4))*PRESIONES!$C$19+(PRESIONES!$G$34-ABERTURAS!$L$61)*MAX(0,MIN($W23,DATOS!$C$23*3/4)-MAX($V23,DATOS!$C$23*2/4))*PRESIONES!$C$20+(PRESIONES!$G$35-ABERTURAS!$L$61)*MAX(0,MIN($W23,DATOS!$C$23*4/4)-MAX($V23,DATOS!$C$23*3/4))*PRESIONES!$C$21))</f>
        <v>0</v>
      </c>
      <c r="AL23" s="26">
        <f>IF($L23&lt;&gt;"OK",0,PRESIONES!$C$12*((PRESIONES!$J$32-ABERTURAS!$L$62)*MAX(0,MIN($W23,DATOS!$C$23*1/4)-MAX($V23,DATOS!$C$23*0/4))*PRESIONES!$C$18+(PRESIONES!$J$33-ABERTURAS!$L$62)*MAX(0,MIN($W23,DATOS!$C$23*2/4)-MAX($V23,DATOS!$C$23*1/4))*PRESIONES!$C$19+(PRESIONES!$J$34-ABERTURAS!$L$62)*MAX(0,MIN($W23,DATOS!$C$23*3/4)-MAX($V23,DATOS!$C$23*2/4))*PRESIONES!$C$20+(PRESIONES!$J$35-ABERTURAS!$L$62)*MAX(0,MIN($W23,DATOS!$C$23*4/4)-MAX($V23,DATOS!$C$23*3/4))*PRESIONES!$C$21))</f>
        <v>0</v>
      </c>
      <c r="AM23" s="26">
        <f>IF($L23&lt;&gt;"OK",0,PRESIONES!$C$12*((PRESIONES!$M$32-ABERTURAS!$L$63)*MAX(0,MIN($W23,DATOS!$C$23*1/4)-MAX($V23,DATOS!$C$23*0/4))*PRESIONES!$C$18+(PRESIONES!$M$33-ABERTURAS!$L$63)*MAX(0,MIN($W23,DATOS!$C$23*2/4)-MAX($V23,DATOS!$C$23*1/4))*PRESIONES!$C$19+(PRESIONES!$M$34-ABERTURAS!$L$63)*MAX(0,MIN($W23,DATOS!$C$23*3/4)-MAX($V23,DATOS!$C$23*2/4))*PRESIONES!$C$20+(PRESIONES!$M$35-ABERTURAS!$L$63)*MAX(0,MIN($W23,DATOS!$C$23*4/4)-MAX($V23,DATOS!$C$23*3/4))*PRESIONES!$C$21))</f>
        <v>0</v>
      </c>
      <c r="AN23" s="26">
        <f>IF($L23&lt;&gt;"OK",0,PRESIONES!$C$12*((PRESIONES!$D$32-ABERTURAS!$L$64)*MAX(0,MIN($W23,DATOS!$C$23*1/4)-MAX($V23,DATOS!$C$23*0/4))*PRESIONES!$C$18+(PRESIONES!$D$33-ABERTURAS!$L$64)*MAX(0,MIN($W23,DATOS!$C$23*2/4)-MAX($V23,DATOS!$C$23*1/4))*PRESIONES!$C$19+(PRESIONES!$D$34-ABERTURAS!$L$64)*MAX(0,MIN($W23,DATOS!$C$23*3/4)-MAX($V23,DATOS!$C$23*2/4))*PRESIONES!$C$20+(PRESIONES!$D$35-ABERTURAS!$L$64)*MAX(0,MIN($W23,DATOS!$C$23*4/4)-MAX($V23,DATOS!$C$23*3/4))*PRESIONES!$C$21))</f>
        <v>0</v>
      </c>
      <c r="AO23" s="26">
        <f>IF($L23&lt;&gt;"OK",0,PRESIONES!$C$12*((PRESIONES!$G$32-ABERTURAS!$L$65)*MAX(0,MIN($W23,DATOS!$C$23*1/4)-MAX($V23,DATOS!$C$23*0/4))*PRESIONES!$C$18+(PRESIONES!$G$33-ABERTURAS!$L$65)*MAX(0,MIN($W23,DATOS!$C$23*2/4)-MAX($V23,DATOS!$C$23*1/4))*PRESIONES!$C$19+(PRESIONES!$G$34-ABERTURAS!$L$65)*MAX(0,MIN($W23,DATOS!$C$23*3/4)-MAX($V23,DATOS!$C$23*2/4))*PRESIONES!$C$20+(PRESIONES!$G$35-ABERTURAS!$L$65)*MAX(0,MIN($W23,DATOS!$C$23*4/4)-MAX($V23,DATOS!$C$23*3/4))*PRESIONES!$C$21))</f>
        <v>0</v>
      </c>
      <c r="AP23" s="26">
        <f>IF($L23&lt;&gt;"OK",0,PRESIONES!$C$12*((PRESIONES!$J$32-ABERTURAS!$L$66)*MAX(0,MIN($W23,DATOS!$C$23*1/4)-MAX($V23,DATOS!$C$23*0/4))*PRESIONES!$C$18+(PRESIONES!$J$33-ABERTURAS!$L$66)*MAX(0,MIN($W23,DATOS!$C$23*2/4)-MAX($V23,DATOS!$C$23*1/4))*PRESIONES!$C$19+(PRESIONES!$J$34-ABERTURAS!$L$66)*MAX(0,MIN($W23,DATOS!$C$23*3/4)-MAX($V23,DATOS!$C$23*2/4))*PRESIONES!$C$20+(PRESIONES!$J$35-ABERTURAS!$L$66)*MAX(0,MIN($W23,DATOS!$C$23*4/4)-MAX($V23,DATOS!$C$23*3/4))*PRESIONES!$C$21))</f>
        <v>0</v>
      </c>
      <c r="AQ23" s="26">
        <f>IF($L23&lt;&gt;"OK",0,PRESIONES!$C$12*((PRESIONES!$M$32-ABERTURAS!$L$67)*MAX(0,MIN($W23,DATOS!$C$23*1/4)-MAX($V23,DATOS!$C$23*0/4))*PRESIONES!$C$18+(PRESIONES!$M$33-ABERTURAS!$L$67)*MAX(0,MIN($W23,DATOS!$C$23*2/4)-MAX($V23,DATOS!$C$23*1/4))*PRESIONES!$C$19+(PRESIONES!$M$34-ABERTURAS!$L$67)*MAX(0,MIN($W23,DATOS!$C$23*3/4)-MAX($V23,DATOS!$C$23*2/4))*PRESIONES!$C$20+(PRESIONES!$M$35-ABERTURAS!$L$67)*MAX(0,MIN($W23,DATOS!$C$23*4/4)-MAX($V23,DATOS!$C$23*3/4))*PRESIONES!$C$21))</f>
        <v>0</v>
      </c>
      <c r="AR23" s="26">
        <f>IF($L23&lt;&gt;"OK",0,PRESIONES!$C$12*((PRESIONES!$E$32-ABERTURAS!$L$60)*MAX(0,MIN($W23,DATOS!$C$23*1/4)-MAX($V23,DATOS!$C$23*0/4))+(PRESIONES!$E$33-ABERTURAS!$L$60)*MAX(0,MIN($W23,DATOS!$C$23*2/4)-MAX($V23,DATOS!$C$23*1/4))+(PRESIONES!$E$34-ABERTURAS!$L$60)*MAX(0,MIN($W23,DATOS!$C$23*3/4)-MAX($V23,DATOS!$C$23*2/4))+(PRESIONES!$E$35-ABERTURAS!$L$60)*MAX(0,MIN($W23,DATOS!$C$23*4/4)-MAX($V23,DATOS!$C$23*3/4))))</f>
        <v>0</v>
      </c>
      <c r="AS23" s="26">
        <f>IF($L23&lt;&gt;"OK",0,PRESIONES!$C$12*((PRESIONES!$H$32-ABERTURAS!$L$61)*MAX(0,MIN($W23,DATOS!$C$23*1/4)-MAX($V23,DATOS!$C$23*0/4))+(PRESIONES!$H$33-ABERTURAS!$L$61)*MAX(0,MIN($W23,DATOS!$C$23*2/4)-MAX($V23,DATOS!$C$23*1/4))+(PRESIONES!$H$34-ABERTURAS!$L$61)*MAX(0,MIN($W23,DATOS!$C$23*3/4)-MAX($V23,DATOS!$C$23*2/4))+(PRESIONES!$H$35-ABERTURAS!$L$61)*MAX(0,MIN($W23,DATOS!$C$23*4/4)-MAX($V23,DATOS!$C$23*3/4))))</f>
        <v>0</v>
      </c>
      <c r="AT23" s="26">
        <f>IF($L23&lt;&gt;"OK",0,PRESIONES!$C$12*((PRESIONES!$K$32-ABERTURAS!$L$62)*MAX(0,MIN($W23,DATOS!$C$23*1/4)-MAX($V23,DATOS!$C$23*0/4))+(PRESIONES!$K$33-ABERTURAS!$L$62)*MAX(0,MIN($W23,DATOS!$C$23*2/4)-MAX($V23,DATOS!$C$23*1/4))+(PRESIONES!$K$34-ABERTURAS!$L$62)*MAX(0,MIN($W23,DATOS!$C$23*3/4)-MAX($V23,DATOS!$C$23*2/4))+(PRESIONES!$K$35-ABERTURAS!$L$62)*MAX(0,MIN($W23,DATOS!$C$23*4/4)-MAX($V23,DATOS!$C$23*3/4))))</f>
        <v>0</v>
      </c>
      <c r="AU23" s="26">
        <f>IF($L23&lt;&gt;"OK",0,PRESIONES!$C$12*((PRESIONES!$N$32-ABERTURAS!$L$63)*MAX(0,MIN($W23,DATOS!$C$23*1/4)-MAX($V23,DATOS!$C$23*0/4))+(PRESIONES!$N$33-ABERTURAS!$L$63)*MAX(0,MIN($W23,DATOS!$C$23*2/4)-MAX($V23,DATOS!$C$23*1/4))+(PRESIONES!$N$34-ABERTURAS!$L$63)*MAX(0,MIN($W23,DATOS!$C$23*3/4)-MAX($V23,DATOS!$C$23*2/4))+(PRESIONES!$N$35-ABERTURAS!$L$63)*MAX(0,MIN($W23,DATOS!$C$23*4/4)-MAX($V23,DATOS!$C$23*3/4))))</f>
        <v>0</v>
      </c>
      <c r="AV23" s="26">
        <f>IF($L23&lt;&gt;"OK",0,PRESIONES!$C$12*((PRESIONES!$E$32-ABERTURAS!$L$64)*MAX(0,MIN($W23,DATOS!$C$23*1/4)-MAX($V23,DATOS!$C$23*0/4))+(PRESIONES!$E$33-ABERTURAS!$L$64)*MAX(0,MIN($W23,DATOS!$C$23*2/4)-MAX($V23,DATOS!$C$23*1/4))+(PRESIONES!$E$34-ABERTURAS!$L$64)*MAX(0,MIN($W23,DATOS!$C$23*3/4)-MAX($V23,DATOS!$C$23*2/4))+(PRESIONES!$E$35-ABERTURAS!$L$64)*MAX(0,MIN($W23,DATOS!$C$23*4/4)-MAX($V23,DATOS!$C$23*3/4))))</f>
        <v>0</v>
      </c>
      <c r="AW23" s="26">
        <f>IF($L23&lt;&gt;"OK",0,PRESIONES!$C$12*((PRESIONES!$H$32-ABERTURAS!$L$65)*MAX(0,MIN($W23,DATOS!$C$23*1/4)-MAX($V23,DATOS!$C$23*0/4))+(PRESIONES!$H$33-ABERTURAS!$L$65)*MAX(0,MIN($W23,DATOS!$C$23*2/4)-MAX($V23,DATOS!$C$23*1/4))+(PRESIONES!$H$34-ABERTURAS!$L$65)*MAX(0,MIN($W23,DATOS!$C$23*3/4)-MAX($V23,DATOS!$C$23*2/4))+(PRESIONES!$H$35-ABERTURAS!$L$65)*MAX(0,MIN($W23,DATOS!$C$23*4/4)-MAX($V23,DATOS!$C$23*3/4))))</f>
        <v>0</v>
      </c>
      <c r="AX23" s="26">
        <f>IF($L23&lt;&gt;"OK",0,PRESIONES!$C$12*((PRESIONES!$K$32-ABERTURAS!$L$66)*MAX(0,MIN($W23,DATOS!$C$23*1/4)-MAX($V23,DATOS!$C$23*0/4))+(PRESIONES!$K$33-ABERTURAS!$L$66)*MAX(0,MIN($W23,DATOS!$C$23*2/4)-MAX($V23,DATOS!$C$23*1/4))+(PRESIONES!$K$34-ABERTURAS!$L$66)*MAX(0,MIN($W23,DATOS!$C$23*3/4)-MAX($V23,DATOS!$C$23*2/4))+(PRESIONES!$K$35-ABERTURAS!$L$66)*MAX(0,MIN($W23,DATOS!$C$23*4/4)-MAX($V23,DATOS!$C$23*3/4))))</f>
        <v>0</v>
      </c>
      <c r="AY23" s="26">
        <f>IF($L23&lt;&gt;"OK",0,PRESIONES!$C$12*((PRESIONES!$N$32-ABERTURAS!$L$67)*MAX(0,MIN($W23,DATOS!$C$23*1/4)-MAX($V23,DATOS!$C$23*0/4))+(PRESIONES!$N$33-ABERTURAS!$L$67)*MAX(0,MIN($W23,DATOS!$C$23*2/4)-MAX($V23,DATOS!$C$23*1/4))+(PRESIONES!$N$34-ABERTURAS!$L$67)*MAX(0,MIN($W23,DATOS!$C$23*3/4)-MAX($V23,DATOS!$C$23*2/4))+(PRESIONES!$N$35-ABERTURAS!$L$67)*MAX(0,MIN($W23,DATOS!$C$23*4/4)-MAX($V23,DATOS!$C$23*3/4))))</f>
        <v>0</v>
      </c>
      <c r="AZ23" s="26">
        <f>IF($L23&lt;&gt;"OK",0,PRESIONES!$C$12*((PRESIONES!$E$32-ABERTURAS!$L$60)*MAX(0,MIN($W23,DATOS!$C$23*1/4)-MAX($V23,DATOS!$C$23*0/4))*PRESIONES!$C$18+(PRESIONES!$E$33-ABERTURAS!$L$60)*MAX(0,MIN($W23,DATOS!$C$23*2/4)-MAX($V23,DATOS!$C$23*1/4))*PRESIONES!$C$19+(PRESIONES!$E$34-ABERTURAS!$L$60)*MAX(0,MIN($W23,DATOS!$C$23*3/4)-MAX($V23,DATOS!$C$23*2/4))*PRESIONES!$C$20+(PRESIONES!$E$35-ABERTURAS!$L$60)*MAX(0,MIN($W23,DATOS!$C$23*4/4)-MAX($V23,DATOS!$C$23*3/4))*PRESIONES!$C$21))</f>
        <v>0</v>
      </c>
      <c r="BA23" s="26">
        <f>IF($L23&lt;&gt;"OK",0,PRESIONES!$C$12*((PRESIONES!$H$32-ABERTURAS!$L$61)*MAX(0,MIN($W23,DATOS!$C$23*1/4)-MAX($V23,DATOS!$C$23*0/4))*PRESIONES!$C$18+(PRESIONES!$H$33-ABERTURAS!$L$61)*MAX(0,MIN($W23,DATOS!$C$23*2/4)-MAX($V23,DATOS!$C$23*1/4))*PRESIONES!$C$19+(PRESIONES!$H$34-ABERTURAS!$L$61)*MAX(0,MIN($W23,DATOS!$C$23*3/4)-MAX($V23,DATOS!$C$23*2/4))*PRESIONES!$C$20+(PRESIONES!$H$35-ABERTURAS!$L$61)*MAX(0,MIN($W23,DATOS!$C$23*4/4)-MAX($V23,DATOS!$C$23*3/4))*PRESIONES!$C$21))</f>
        <v>0</v>
      </c>
      <c r="BB23" s="26">
        <f>IF($L23&lt;&gt;"OK",0,PRESIONES!$C$12*((PRESIONES!$K$32-ABERTURAS!$L$62)*MAX(0,MIN($W23,DATOS!$C$23*1/4)-MAX($V23,DATOS!$C$23*0/4))*PRESIONES!$C$18+(PRESIONES!$K$33-ABERTURAS!$L$62)*MAX(0,MIN($W23,DATOS!$C$23*2/4)-MAX($V23,DATOS!$C$23*1/4))*PRESIONES!$C$19+(PRESIONES!$K$34-ABERTURAS!$L$62)*MAX(0,MIN($W23,DATOS!$C$23*3/4)-MAX($V23,DATOS!$C$23*2/4))*PRESIONES!$C$20+(PRESIONES!$K$35-ABERTURAS!$L$62)*MAX(0,MIN($W23,DATOS!$C$23*4/4)-MAX($V23,DATOS!$C$23*3/4))*PRESIONES!$C$21))</f>
        <v>0</v>
      </c>
      <c r="BC23" s="26">
        <f>IF($L23&lt;&gt;"OK",0,PRESIONES!$C$12*((PRESIONES!$N$32-ABERTURAS!$L$63)*MAX(0,MIN($W23,DATOS!$C$23*1/4)-MAX($V23,DATOS!$C$23*0/4))*PRESIONES!$C$18+(PRESIONES!$N$33-ABERTURAS!$L$63)*MAX(0,MIN($W23,DATOS!$C$23*2/4)-MAX($V23,DATOS!$C$23*1/4))*PRESIONES!$C$19+(PRESIONES!$N$34-ABERTURAS!$L$63)*MAX(0,MIN($W23,DATOS!$C$23*3/4)-MAX($V23,DATOS!$C$23*2/4))*PRESIONES!$C$20+(PRESIONES!$N$35-ABERTURAS!$L$63)*MAX(0,MIN($W23,DATOS!$C$23*4/4)-MAX($V23,DATOS!$C$23*3/4))*PRESIONES!$C$21))</f>
        <v>0</v>
      </c>
      <c r="BD23" s="26">
        <f>IF($L23&lt;&gt;"OK",0,PRESIONES!$C$12*((PRESIONES!$E$32-ABERTURAS!$L$64)*MAX(0,MIN($W23,DATOS!$C$23*1/4)-MAX($V23,DATOS!$C$23*0/4))*PRESIONES!$C$18+(PRESIONES!$E$33-ABERTURAS!$L$64)*MAX(0,MIN($W23,DATOS!$C$23*2/4)-MAX($V23,DATOS!$C$23*1/4))*PRESIONES!$C$19+(PRESIONES!$E$34-ABERTURAS!$L$64)*MAX(0,MIN($W23,DATOS!$C$23*3/4)-MAX($V23,DATOS!$C$23*2/4))*PRESIONES!$C$20+(PRESIONES!$E$35-ABERTURAS!$L$64)*MAX(0,MIN($W23,DATOS!$C$23*4/4)-MAX($V23,DATOS!$C$23*3/4))*PRESIONES!$C$21))</f>
        <v>0</v>
      </c>
      <c r="BE23" s="26">
        <f>IF($L23&lt;&gt;"OK",0,PRESIONES!$C$12*((PRESIONES!$H$32-ABERTURAS!$L$65)*MAX(0,MIN($W23,DATOS!$C$23*1/4)-MAX($V23,DATOS!$C$23*0/4))*PRESIONES!$C$18+(PRESIONES!$H$33-ABERTURAS!$L$65)*MAX(0,MIN($W23,DATOS!$C$23*2/4)-MAX($V23,DATOS!$C$23*1/4))*PRESIONES!$C$19+(PRESIONES!$H$34-ABERTURAS!$L$65)*MAX(0,MIN($W23,DATOS!$C$23*3/4)-MAX($V23,DATOS!$C$23*2/4))*PRESIONES!$C$20+(PRESIONES!$H$35-ABERTURAS!$L$65)*MAX(0,MIN($W23,DATOS!$C$23*4/4)-MAX($V23,DATOS!$C$23*3/4))*PRESIONES!$C$21))</f>
        <v>0</v>
      </c>
      <c r="BF23" s="26">
        <f>IF($L23&lt;&gt;"OK",0,PRESIONES!$C$12*((PRESIONES!$K$32-ABERTURAS!$L$66)*MAX(0,MIN($W23,DATOS!$C$23*1/4)-MAX($V23,DATOS!$C$23*0/4))*PRESIONES!$C$18+(PRESIONES!$K$33-ABERTURAS!$L$66)*MAX(0,MIN($W23,DATOS!$C$23*2/4)-MAX($V23,DATOS!$C$23*1/4))*PRESIONES!$C$19+(PRESIONES!$K$34-ABERTURAS!$L$66)*MAX(0,MIN($W23,DATOS!$C$23*3/4)-MAX($V23,DATOS!$C$23*2/4))*PRESIONES!$C$20+(PRESIONES!$K$35-ABERTURAS!$L$66)*MAX(0,MIN($W23,DATOS!$C$23*4/4)-MAX($V23,DATOS!$C$23*3/4))*PRESIONES!$C$21))</f>
        <v>0</v>
      </c>
      <c r="BG23" s="26">
        <f>IF($L23&lt;&gt;"OK",0,PRESIONES!$C$12*((PRESIONES!$N$32-ABERTURAS!$L$67)*MAX(0,MIN($W23,DATOS!$C$23*1/4)-MAX($V23,DATOS!$C$23*0/4))*PRESIONES!$C$18+(PRESIONES!$N$33-ABERTURAS!$L$67)*MAX(0,MIN($W23,DATOS!$C$23*2/4)-MAX($V23,DATOS!$C$23*1/4))*PRESIONES!$C$19+(PRESIONES!$N$34-ABERTURAS!$L$67)*MAX(0,MIN($W23,DATOS!$C$23*3/4)-MAX($V23,DATOS!$C$23*2/4))*PRESIONES!$C$20+(PRESIONES!$N$35-ABERTURAS!$L$67)*MAX(0,MIN($W23,DATOS!$C$23*4/4)-MAX($V23,DATOS!$C$23*3/4))*PRESIONES!$C$21))</f>
        <v>0</v>
      </c>
    </row>
    <row r="24" spans="2:59" ht="15" customHeight="1" x14ac:dyDescent="0.3">
      <c r="B24" s="4"/>
      <c r="C24" s="15"/>
      <c r="D24" s="4"/>
      <c r="E24" s="15"/>
      <c r="F24" s="40"/>
      <c r="G24" s="40"/>
      <c r="H24" s="40"/>
      <c r="I24" s="40"/>
      <c r="J24" s="40"/>
      <c r="K24" s="40"/>
      <c r="L24" s="18" t="str">
        <f>IF($D24="","",IF($C24&lt;&gt;"TECHO","PON TECHO",IF(OR($F24="",$G24="",$H24="",$I24=""),"FALTAN a o b",IF($M24&lt;=0,"a₂ DEBE SER &gt; a₁",IF($N24&lt;=0,"b₂ DEBE SER &gt; b₁",IF(OR($V24&lt;-0.001,$W24&gt;DATOS!$C$23+0.001),"SE SALE DEL TECHO","OK"))))))</f>
        <v/>
      </c>
      <c r="M24" s="26">
        <f t="shared" si="0"/>
        <v>0</v>
      </c>
      <c r="N24" s="26">
        <f t="shared" si="1"/>
        <v>0</v>
      </c>
      <c r="O24" s="26">
        <f t="shared" si="2"/>
        <v>0</v>
      </c>
      <c r="P24" s="26">
        <v>0</v>
      </c>
      <c r="Q24" s="26">
        <v>0</v>
      </c>
      <c r="R24" s="26">
        <f t="shared" si="3"/>
        <v>0</v>
      </c>
      <c r="S24" s="26">
        <f t="shared" si="3"/>
        <v>0</v>
      </c>
      <c r="T24" s="41">
        <f>IF($D24="",0,DATOS!$C$21)</f>
        <v>0</v>
      </c>
      <c r="U24" s="41">
        <v>0</v>
      </c>
      <c r="V24" s="41">
        <f t="shared" si="4"/>
        <v>0</v>
      </c>
      <c r="W24" s="41">
        <f t="shared" si="5"/>
        <v>0</v>
      </c>
      <c r="AB24" s="26">
        <f>IF($L24&lt;&gt;"OK",0,PRESIONES!$C$12*((PRESIONES!$D$32-ABERTURAS!$L$60)*MAX(0,MIN($W24,DATOS!$C$23*1/4)-MAX($V24,DATOS!$C$23*0/4))+(PRESIONES!$D$33-ABERTURAS!$L$60)*MAX(0,MIN($W24,DATOS!$C$23*2/4)-MAX($V24,DATOS!$C$23*1/4))+(PRESIONES!$D$34-ABERTURAS!$L$60)*MAX(0,MIN($W24,DATOS!$C$23*3/4)-MAX($V24,DATOS!$C$23*2/4))+(PRESIONES!$D$35-ABERTURAS!$L$60)*MAX(0,MIN($W24,DATOS!$C$23*4/4)-MAX($V24,DATOS!$C$23*3/4))))</f>
        <v>0</v>
      </c>
      <c r="AC24" s="26">
        <f>IF($L24&lt;&gt;"OK",0,PRESIONES!$C$12*((PRESIONES!$G$32-ABERTURAS!$L$61)*MAX(0,MIN($W24,DATOS!$C$23*1/4)-MAX($V24,DATOS!$C$23*0/4))+(PRESIONES!$G$33-ABERTURAS!$L$61)*MAX(0,MIN($W24,DATOS!$C$23*2/4)-MAX($V24,DATOS!$C$23*1/4))+(PRESIONES!$G$34-ABERTURAS!$L$61)*MAX(0,MIN($W24,DATOS!$C$23*3/4)-MAX($V24,DATOS!$C$23*2/4))+(PRESIONES!$G$35-ABERTURAS!$L$61)*MAX(0,MIN($W24,DATOS!$C$23*4/4)-MAX($V24,DATOS!$C$23*3/4))))</f>
        <v>0</v>
      </c>
      <c r="AD24" s="26">
        <f>IF($L24&lt;&gt;"OK",0,PRESIONES!$C$12*((PRESIONES!$J$32-ABERTURAS!$L$62)*MAX(0,MIN($W24,DATOS!$C$23*1/4)-MAX($V24,DATOS!$C$23*0/4))+(PRESIONES!$J$33-ABERTURAS!$L$62)*MAX(0,MIN($W24,DATOS!$C$23*2/4)-MAX($V24,DATOS!$C$23*1/4))+(PRESIONES!$J$34-ABERTURAS!$L$62)*MAX(0,MIN($W24,DATOS!$C$23*3/4)-MAX($V24,DATOS!$C$23*2/4))+(PRESIONES!$J$35-ABERTURAS!$L$62)*MAX(0,MIN($W24,DATOS!$C$23*4/4)-MAX($V24,DATOS!$C$23*3/4))))</f>
        <v>0</v>
      </c>
      <c r="AE24" s="26">
        <f>IF($L24&lt;&gt;"OK",0,PRESIONES!$C$12*((PRESIONES!$M$32-ABERTURAS!$L$63)*MAX(0,MIN($W24,DATOS!$C$23*1/4)-MAX($V24,DATOS!$C$23*0/4))+(PRESIONES!$M$33-ABERTURAS!$L$63)*MAX(0,MIN($W24,DATOS!$C$23*2/4)-MAX($V24,DATOS!$C$23*1/4))+(PRESIONES!$M$34-ABERTURAS!$L$63)*MAX(0,MIN($W24,DATOS!$C$23*3/4)-MAX($V24,DATOS!$C$23*2/4))+(PRESIONES!$M$35-ABERTURAS!$L$63)*MAX(0,MIN($W24,DATOS!$C$23*4/4)-MAX($V24,DATOS!$C$23*3/4))))</f>
        <v>0</v>
      </c>
      <c r="AF24" s="26">
        <f>IF($L24&lt;&gt;"OK",0,PRESIONES!$C$12*((PRESIONES!$D$32-ABERTURAS!$L$64)*MAX(0,MIN($W24,DATOS!$C$23*1/4)-MAX($V24,DATOS!$C$23*0/4))+(PRESIONES!$D$33-ABERTURAS!$L$64)*MAX(0,MIN($W24,DATOS!$C$23*2/4)-MAX($V24,DATOS!$C$23*1/4))+(PRESIONES!$D$34-ABERTURAS!$L$64)*MAX(0,MIN($W24,DATOS!$C$23*3/4)-MAX($V24,DATOS!$C$23*2/4))+(PRESIONES!$D$35-ABERTURAS!$L$64)*MAX(0,MIN($W24,DATOS!$C$23*4/4)-MAX($V24,DATOS!$C$23*3/4))))</f>
        <v>0</v>
      </c>
      <c r="AG24" s="26">
        <f>IF($L24&lt;&gt;"OK",0,PRESIONES!$C$12*((PRESIONES!$G$32-ABERTURAS!$L$65)*MAX(0,MIN($W24,DATOS!$C$23*1/4)-MAX($V24,DATOS!$C$23*0/4))+(PRESIONES!$G$33-ABERTURAS!$L$65)*MAX(0,MIN($W24,DATOS!$C$23*2/4)-MAX($V24,DATOS!$C$23*1/4))+(PRESIONES!$G$34-ABERTURAS!$L$65)*MAX(0,MIN($W24,DATOS!$C$23*3/4)-MAX($V24,DATOS!$C$23*2/4))+(PRESIONES!$G$35-ABERTURAS!$L$65)*MAX(0,MIN($W24,DATOS!$C$23*4/4)-MAX($V24,DATOS!$C$23*3/4))))</f>
        <v>0</v>
      </c>
      <c r="AH24" s="26">
        <f>IF($L24&lt;&gt;"OK",0,PRESIONES!$C$12*((PRESIONES!$J$32-ABERTURAS!$L$66)*MAX(0,MIN($W24,DATOS!$C$23*1/4)-MAX($V24,DATOS!$C$23*0/4))+(PRESIONES!$J$33-ABERTURAS!$L$66)*MAX(0,MIN($W24,DATOS!$C$23*2/4)-MAX($V24,DATOS!$C$23*1/4))+(PRESIONES!$J$34-ABERTURAS!$L$66)*MAX(0,MIN($W24,DATOS!$C$23*3/4)-MAX($V24,DATOS!$C$23*2/4))+(PRESIONES!$J$35-ABERTURAS!$L$66)*MAX(0,MIN($W24,DATOS!$C$23*4/4)-MAX($V24,DATOS!$C$23*3/4))))</f>
        <v>0</v>
      </c>
      <c r="AI24" s="26">
        <f>IF($L24&lt;&gt;"OK",0,PRESIONES!$C$12*((PRESIONES!$M$32-ABERTURAS!$L$67)*MAX(0,MIN($W24,DATOS!$C$23*1/4)-MAX($V24,DATOS!$C$23*0/4))+(PRESIONES!$M$33-ABERTURAS!$L$67)*MAX(0,MIN($W24,DATOS!$C$23*2/4)-MAX($V24,DATOS!$C$23*1/4))+(PRESIONES!$M$34-ABERTURAS!$L$67)*MAX(0,MIN($W24,DATOS!$C$23*3/4)-MAX($V24,DATOS!$C$23*2/4))+(PRESIONES!$M$35-ABERTURAS!$L$67)*MAX(0,MIN($W24,DATOS!$C$23*4/4)-MAX($V24,DATOS!$C$23*3/4))))</f>
        <v>0</v>
      </c>
      <c r="AJ24" s="26">
        <f>IF($L24&lt;&gt;"OK",0,PRESIONES!$C$12*((PRESIONES!$D$32-ABERTURAS!$L$60)*MAX(0,MIN($W24,DATOS!$C$23*1/4)-MAX($V24,DATOS!$C$23*0/4))*PRESIONES!$C$18+(PRESIONES!$D$33-ABERTURAS!$L$60)*MAX(0,MIN($W24,DATOS!$C$23*2/4)-MAX($V24,DATOS!$C$23*1/4))*PRESIONES!$C$19+(PRESIONES!$D$34-ABERTURAS!$L$60)*MAX(0,MIN($W24,DATOS!$C$23*3/4)-MAX($V24,DATOS!$C$23*2/4))*PRESIONES!$C$20+(PRESIONES!$D$35-ABERTURAS!$L$60)*MAX(0,MIN($W24,DATOS!$C$23*4/4)-MAX($V24,DATOS!$C$23*3/4))*PRESIONES!$C$21))</f>
        <v>0</v>
      </c>
      <c r="AK24" s="26">
        <f>IF($L24&lt;&gt;"OK",0,PRESIONES!$C$12*((PRESIONES!$G$32-ABERTURAS!$L$61)*MAX(0,MIN($W24,DATOS!$C$23*1/4)-MAX($V24,DATOS!$C$23*0/4))*PRESIONES!$C$18+(PRESIONES!$G$33-ABERTURAS!$L$61)*MAX(0,MIN($W24,DATOS!$C$23*2/4)-MAX($V24,DATOS!$C$23*1/4))*PRESIONES!$C$19+(PRESIONES!$G$34-ABERTURAS!$L$61)*MAX(0,MIN($W24,DATOS!$C$23*3/4)-MAX($V24,DATOS!$C$23*2/4))*PRESIONES!$C$20+(PRESIONES!$G$35-ABERTURAS!$L$61)*MAX(0,MIN($W24,DATOS!$C$23*4/4)-MAX($V24,DATOS!$C$23*3/4))*PRESIONES!$C$21))</f>
        <v>0</v>
      </c>
      <c r="AL24" s="26">
        <f>IF($L24&lt;&gt;"OK",0,PRESIONES!$C$12*((PRESIONES!$J$32-ABERTURAS!$L$62)*MAX(0,MIN($W24,DATOS!$C$23*1/4)-MAX($V24,DATOS!$C$23*0/4))*PRESIONES!$C$18+(PRESIONES!$J$33-ABERTURAS!$L$62)*MAX(0,MIN($W24,DATOS!$C$23*2/4)-MAX($V24,DATOS!$C$23*1/4))*PRESIONES!$C$19+(PRESIONES!$J$34-ABERTURAS!$L$62)*MAX(0,MIN($W24,DATOS!$C$23*3/4)-MAX($V24,DATOS!$C$23*2/4))*PRESIONES!$C$20+(PRESIONES!$J$35-ABERTURAS!$L$62)*MAX(0,MIN($W24,DATOS!$C$23*4/4)-MAX($V24,DATOS!$C$23*3/4))*PRESIONES!$C$21))</f>
        <v>0</v>
      </c>
      <c r="AM24" s="26">
        <f>IF($L24&lt;&gt;"OK",0,PRESIONES!$C$12*((PRESIONES!$M$32-ABERTURAS!$L$63)*MAX(0,MIN($W24,DATOS!$C$23*1/4)-MAX($V24,DATOS!$C$23*0/4))*PRESIONES!$C$18+(PRESIONES!$M$33-ABERTURAS!$L$63)*MAX(0,MIN($W24,DATOS!$C$23*2/4)-MAX($V24,DATOS!$C$23*1/4))*PRESIONES!$C$19+(PRESIONES!$M$34-ABERTURAS!$L$63)*MAX(0,MIN($W24,DATOS!$C$23*3/4)-MAX($V24,DATOS!$C$23*2/4))*PRESIONES!$C$20+(PRESIONES!$M$35-ABERTURAS!$L$63)*MAX(0,MIN($W24,DATOS!$C$23*4/4)-MAX($V24,DATOS!$C$23*3/4))*PRESIONES!$C$21))</f>
        <v>0</v>
      </c>
      <c r="AN24" s="26">
        <f>IF($L24&lt;&gt;"OK",0,PRESIONES!$C$12*((PRESIONES!$D$32-ABERTURAS!$L$64)*MAX(0,MIN($W24,DATOS!$C$23*1/4)-MAX($V24,DATOS!$C$23*0/4))*PRESIONES!$C$18+(PRESIONES!$D$33-ABERTURAS!$L$64)*MAX(0,MIN($W24,DATOS!$C$23*2/4)-MAX($V24,DATOS!$C$23*1/4))*PRESIONES!$C$19+(PRESIONES!$D$34-ABERTURAS!$L$64)*MAX(0,MIN($W24,DATOS!$C$23*3/4)-MAX($V24,DATOS!$C$23*2/4))*PRESIONES!$C$20+(PRESIONES!$D$35-ABERTURAS!$L$64)*MAX(0,MIN($W24,DATOS!$C$23*4/4)-MAX($V24,DATOS!$C$23*3/4))*PRESIONES!$C$21))</f>
        <v>0</v>
      </c>
      <c r="AO24" s="26">
        <f>IF($L24&lt;&gt;"OK",0,PRESIONES!$C$12*((PRESIONES!$G$32-ABERTURAS!$L$65)*MAX(0,MIN($W24,DATOS!$C$23*1/4)-MAX($V24,DATOS!$C$23*0/4))*PRESIONES!$C$18+(PRESIONES!$G$33-ABERTURAS!$L$65)*MAX(0,MIN($W24,DATOS!$C$23*2/4)-MAX($V24,DATOS!$C$23*1/4))*PRESIONES!$C$19+(PRESIONES!$G$34-ABERTURAS!$L$65)*MAX(0,MIN($W24,DATOS!$C$23*3/4)-MAX($V24,DATOS!$C$23*2/4))*PRESIONES!$C$20+(PRESIONES!$G$35-ABERTURAS!$L$65)*MAX(0,MIN($W24,DATOS!$C$23*4/4)-MAX($V24,DATOS!$C$23*3/4))*PRESIONES!$C$21))</f>
        <v>0</v>
      </c>
      <c r="AP24" s="26">
        <f>IF($L24&lt;&gt;"OK",0,PRESIONES!$C$12*((PRESIONES!$J$32-ABERTURAS!$L$66)*MAX(0,MIN($W24,DATOS!$C$23*1/4)-MAX($V24,DATOS!$C$23*0/4))*PRESIONES!$C$18+(PRESIONES!$J$33-ABERTURAS!$L$66)*MAX(0,MIN($W24,DATOS!$C$23*2/4)-MAX($V24,DATOS!$C$23*1/4))*PRESIONES!$C$19+(PRESIONES!$J$34-ABERTURAS!$L$66)*MAX(0,MIN($W24,DATOS!$C$23*3/4)-MAX($V24,DATOS!$C$23*2/4))*PRESIONES!$C$20+(PRESIONES!$J$35-ABERTURAS!$L$66)*MAX(0,MIN($W24,DATOS!$C$23*4/4)-MAX($V24,DATOS!$C$23*3/4))*PRESIONES!$C$21))</f>
        <v>0</v>
      </c>
      <c r="AQ24" s="26">
        <f>IF($L24&lt;&gt;"OK",0,PRESIONES!$C$12*((PRESIONES!$M$32-ABERTURAS!$L$67)*MAX(0,MIN($W24,DATOS!$C$23*1/4)-MAX($V24,DATOS!$C$23*0/4))*PRESIONES!$C$18+(PRESIONES!$M$33-ABERTURAS!$L$67)*MAX(0,MIN($W24,DATOS!$C$23*2/4)-MAX($V24,DATOS!$C$23*1/4))*PRESIONES!$C$19+(PRESIONES!$M$34-ABERTURAS!$L$67)*MAX(0,MIN($W24,DATOS!$C$23*3/4)-MAX($V24,DATOS!$C$23*2/4))*PRESIONES!$C$20+(PRESIONES!$M$35-ABERTURAS!$L$67)*MAX(0,MIN($W24,DATOS!$C$23*4/4)-MAX($V24,DATOS!$C$23*3/4))*PRESIONES!$C$21))</f>
        <v>0</v>
      </c>
      <c r="AR24" s="26">
        <f>IF($L24&lt;&gt;"OK",0,PRESIONES!$C$12*((PRESIONES!$E$32-ABERTURAS!$L$60)*MAX(0,MIN($W24,DATOS!$C$23*1/4)-MAX($V24,DATOS!$C$23*0/4))+(PRESIONES!$E$33-ABERTURAS!$L$60)*MAX(0,MIN($W24,DATOS!$C$23*2/4)-MAX($V24,DATOS!$C$23*1/4))+(PRESIONES!$E$34-ABERTURAS!$L$60)*MAX(0,MIN($W24,DATOS!$C$23*3/4)-MAX($V24,DATOS!$C$23*2/4))+(PRESIONES!$E$35-ABERTURAS!$L$60)*MAX(0,MIN($W24,DATOS!$C$23*4/4)-MAX($V24,DATOS!$C$23*3/4))))</f>
        <v>0</v>
      </c>
      <c r="AS24" s="26">
        <f>IF($L24&lt;&gt;"OK",0,PRESIONES!$C$12*((PRESIONES!$H$32-ABERTURAS!$L$61)*MAX(0,MIN($W24,DATOS!$C$23*1/4)-MAX($V24,DATOS!$C$23*0/4))+(PRESIONES!$H$33-ABERTURAS!$L$61)*MAX(0,MIN($W24,DATOS!$C$23*2/4)-MAX($V24,DATOS!$C$23*1/4))+(PRESIONES!$H$34-ABERTURAS!$L$61)*MAX(0,MIN($W24,DATOS!$C$23*3/4)-MAX($V24,DATOS!$C$23*2/4))+(PRESIONES!$H$35-ABERTURAS!$L$61)*MAX(0,MIN($W24,DATOS!$C$23*4/4)-MAX($V24,DATOS!$C$23*3/4))))</f>
        <v>0</v>
      </c>
      <c r="AT24" s="26">
        <f>IF($L24&lt;&gt;"OK",0,PRESIONES!$C$12*((PRESIONES!$K$32-ABERTURAS!$L$62)*MAX(0,MIN($W24,DATOS!$C$23*1/4)-MAX($V24,DATOS!$C$23*0/4))+(PRESIONES!$K$33-ABERTURAS!$L$62)*MAX(0,MIN($W24,DATOS!$C$23*2/4)-MAX($V24,DATOS!$C$23*1/4))+(PRESIONES!$K$34-ABERTURAS!$L$62)*MAX(0,MIN($W24,DATOS!$C$23*3/4)-MAX($V24,DATOS!$C$23*2/4))+(PRESIONES!$K$35-ABERTURAS!$L$62)*MAX(0,MIN($W24,DATOS!$C$23*4/4)-MAX($V24,DATOS!$C$23*3/4))))</f>
        <v>0</v>
      </c>
      <c r="AU24" s="26">
        <f>IF($L24&lt;&gt;"OK",0,PRESIONES!$C$12*((PRESIONES!$N$32-ABERTURAS!$L$63)*MAX(0,MIN($W24,DATOS!$C$23*1/4)-MAX($V24,DATOS!$C$23*0/4))+(PRESIONES!$N$33-ABERTURAS!$L$63)*MAX(0,MIN($W24,DATOS!$C$23*2/4)-MAX($V24,DATOS!$C$23*1/4))+(PRESIONES!$N$34-ABERTURAS!$L$63)*MAX(0,MIN($W24,DATOS!$C$23*3/4)-MAX($V24,DATOS!$C$23*2/4))+(PRESIONES!$N$35-ABERTURAS!$L$63)*MAX(0,MIN($W24,DATOS!$C$23*4/4)-MAX($V24,DATOS!$C$23*3/4))))</f>
        <v>0</v>
      </c>
      <c r="AV24" s="26">
        <f>IF($L24&lt;&gt;"OK",0,PRESIONES!$C$12*((PRESIONES!$E$32-ABERTURAS!$L$64)*MAX(0,MIN($W24,DATOS!$C$23*1/4)-MAX($V24,DATOS!$C$23*0/4))+(PRESIONES!$E$33-ABERTURAS!$L$64)*MAX(0,MIN($W24,DATOS!$C$23*2/4)-MAX($V24,DATOS!$C$23*1/4))+(PRESIONES!$E$34-ABERTURAS!$L$64)*MAX(0,MIN($W24,DATOS!$C$23*3/4)-MAX($V24,DATOS!$C$23*2/4))+(PRESIONES!$E$35-ABERTURAS!$L$64)*MAX(0,MIN($W24,DATOS!$C$23*4/4)-MAX($V24,DATOS!$C$23*3/4))))</f>
        <v>0</v>
      </c>
      <c r="AW24" s="26">
        <f>IF($L24&lt;&gt;"OK",0,PRESIONES!$C$12*((PRESIONES!$H$32-ABERTURAS!$L$65)*MAX(0,MIN($W24,DATOS!$C$23*1/4)-MAX($V24,DATOS!$C$23*0/4))+(PRESIONES!$H$33-ABERTURAS!$L$65)*MAX(0,MIN($W24,DATOS!$C$23*2/4)-MAX($V24,DATOS!$C$23*1/4))+(PRESIONES!$H$34-ABERTURAS!$L$65)*MAX(0,MIN($W24,DATOS!$C$23*3/4)-MAX($V24,DATOS!$C$23*2/4))+(PRESIONES!$H$35-ABERTURAS!$L$65)*MAX(0,MIN($W24,DATOS!$C$23*4/4)-MAX($V24,DATOS!$C$23*3/4))))</f>
        <v>0</v>
      </c>
      <c r="AX24" s="26">
        <f>IF($L24&lt;&gt;"OK",0,PRESIONES!$C$12*((PRESIONES!$K$32-ABERTURAS!$L$66)*MAX(0,MIN($W24,DATOS!$C$23*1/4)-MAX($V24,DATOS!$C$23*0/4))+(PRESIONES!$K$33-ABERTURAS!$L$66)*MAX(0,MIN($W24,DATOS!$C$23*2/4)-MAX($V24,DATOS!$C$23*1/4))+(PRESIONES!$K$34-ABERTURAS!$L$66)*MAX(0,MIN($W24,DATOS!$C$23*3/4)-MAX($V24,DATOS!$C$23*2/4))+(PRESIONES!$K$35-ABERTURAS!$L$66)*MAX(0,MIN($W24,DATOS!$C$23*4/4)-MAX($V24,DATOS!$C$23*3/4))))</f>
        <v>0</v>
      </c>
      <c r="AY24" s="26">
        <f>IF($L24&lt;&gt;"OK",0,PRESIONES!$C$12*((PRESIONES!$N$32-ABERTURAS!$L$67)*MAX(0,MIN($W24,DATOS!$C$23*1/4)-MAX($V24,DATOS!$C$23*0/4))+(PRESIONES!$N$33-ABERTURAS!$L$67)*MAX(0,MIN($W24,DATOS!$C$23*2/4)-MAX($V24,DATOS!$C$23*1/4))+(PRESIONES!$N$34-ABERTURAS!$L$67)*MAX(0,MIN($W24,DATOS!$C$23*3/4)-MAX($V24,DATOS!$C$23*2/4))+(PRESIONES!$N$35-ABERTURAS!$L$67)*MAX(0,MIN($W24,DATOS!$C$23*4/4)-MAX($V24,DATOS!$C$23*3/4))))</f>
        <v>0</v>
      </c>
      <c r="AZ24" s="26">
        <f>IF($L24&lt;&gt;"OK",0,PRESIONES!$C$12*((PRESIONES!$E$32-ABERTURAS!$L$60)*MAX(0,MIN($W24,DATOS!$C$23*1/4)-MAX($V24,DATOS!$C$23*0/4))*PRESIONES!$C$18+(PRESIONES!$E$33-ABERTURAS!$L$60)*MAX(0,MIN($W24,DATOS!$C$23*2/4)-MAX($V24,DATOS!$C$23*1/4))*PRESIONES!$C$19+(PRESIONES!$E$34-ABERTURAS!$L$60)*MAX(0,MIN($W24,DATOS!$C$23*3/4)-MAX($V24,DATOS!$C$23*2/4))*PRESIONES!$C$20+(PRESIONES!$E$35-ABERTURAS!$L$60)*MAX(0,MIN($W24,DATOS!$C$23*4/4)-MAX($V24,DATOS!$C$23*3/4))*PRESIONES!$C$21))</f>
        <v>0</v>
      </c>
      <c r="BA24" s="26">
        <f>IF($L24&lt;&gt;"OK",0,PRESIONES!$C$12*((PRESIONES!$H$32-ABERTURAS!$L$61)*MAX(0,MIN($W24,DATOS!$C$23*1/4)-MAX($V24,DATOS!$C$23*0/4))*PRESIONES!$C$18+(PRESIONES!$H$33-ABERTURAS!$L$61)*MAX(0,MIN($W24,DATOS!$C$23*2/4)-MAX($V24,DATOS!$C$23*1/4))*PRESIONES!$C$19+(PRESIONES!$H$34-ABERTURAS!$L$61)*MAX(0,MIN($W24,DATOS!$C$23*3/4)-MAX($V24,DATOS!$C$23*2/4))*PRESIONES!$C$20+(PRESIONES!$H$35-ABERTURAS!$L$61)*MAX(0,MIN($W24,DATOS!$C$23*4/4)-MAX($V24,DATOS!$C$23*3/4))*PRESIONES!$C$21))</f>
        <v>0</v>
      </c>
      <c r="BB24" s="26">
        <f>IF($L24&lt;&gt;"OK",0,PRESIONES!$C$12*((PRESIONES!$K$32-ABERTURAS!$L$62)*MAX(0,MIN($W24,DATOS!$C$23*1/4)-MAX($V24,DATOS!$C$23*0/4))*PRESIONES!$C$18+(PRESIONES!$K$33-ABERTURAS!$L$62)*MAX(0,MIN($W24,DATOS!$C$23*2/4)-MAX($V24,DATOS!$C$23*1/4))*PRESIONES!$C$19+(PRESIONES!$K$34-ABERTURAS!$L$62)*MAX(0,MIN($W24,DATOS!$C$23*3/4)-MAX($V24,DATOS!$C$23*2/4))*PRESIONES!$C$20+(PRESIONES!$K$35-ABERTURAS!$L$62)*MAX(0,MIN($W24,DATOS!$C$23*4/4)-MAX($V24,DATOS!$C$23*3/4))*PRESIONES!$C$21))</f>
        <v>0</v>
      </c>
      <c r="BC24" s="26">
        <f>IF($L24&lt;&gt;"OK",0,PRESIONES!$C$12*((PRESIONES!$N$32-ABERTURAS!$L$63)*MAX(0,MIN($W24,DATOS!$C$23*1/4)-MAX($V24,DATOS!$C$23*0/4))*PRESIONES!$C$18+(PRESIONES!$N$33-ABERTURAS!$L$63)*MAX(0,MIN($W24,DATOS!$C$23*2/4)-MAX($V24,DATOS!$C$23*1/4))*PRESIONES!$C$19+(PRESIONES!$N$34-ABERTURAS!$L$63)*MAX(0,MIN($W24,DATOS!$C$23*3/4)-MAX($V24,DATOS!$C$23*2/4))*PRESIONES!$C$20+(PRESIONES!$N$35-ABERTURAS!$L$63)*MAX(0,MIN($W24,DATOS!$C$23*4/4)-MAX($V24,DATOS!$C$23*3/4))*PRESIONES!$C$21))</f>
        <v>0</v>
      </c>
      <c r="BD24" s="26">
        <f>IF($L24&lt;&gt;"OK",0,PRESIONES!$C$12*((PRESIONES!$E$32-ABERTURAS!$L$64)*MAX(0,MIN($W24,DATOS!$C$23*1/4)-MAX($V24,DATOS!$C$23*0/4))*PRESIONES!$C$18+(PRESIONES!$E$33-ABERTURAS!$L$64)*MAX(0,MIN($W24,DATOS!$C$23*2/4)-MAX($V24,DATOS!$C$23*1/4))*PRESIONES!$C$19+(PRESIONES!$E$34-ABERTURAS!$L$64)*MAX(0,MIN($W24,DATOS!$C$23*3/4)-MAX($V24,DATOS!$C$23*2/4))*PRESIONES!$C$20+(PRESIONES!$E$35-ABERTURAS!$L$64)*MAX(0,MIN($W24,DATOS!$C$23*4/4)-MAX($V24,DATOS!$C$23*3/4))*PRESIONES!$C$21))</f>
        <v>0</v>
      </c>
      <c r="BE24" s="26">
        <f>IF($L24&lt;&gt;"OK",0,PRESIONES!$C$12*((PRESIONES!$H$32-ABERTURAS!$L$65)*MAX(0,MIN($W24,DATOS!$C$23*1/4)-MAX($V24,DATOS!$C$23*0/4))*PRESIONES!$C$18+(PRESIONES!$H$33-ABERTURAS!$L$65)*MAX(0,MIN($W24,DATOS!$C$23*2/4)-MAX($V24,DATOS!$C$23*1/4))*PRESIONES!$C$19+(PRESIONES!$H$34-ABERTURAS!$L$65)*MAX(0,MIN($W24,DATOS!$C$23*3/4)-MAX($V24,DATOS!$C$23*2/4))*PRESIONES!$C$20+(PRESIONES!$H$35-ABERTURAS!$L$65)*MAX(0,MIN($W24,DATOS!$C$23*4/4)-MAX($V24,DATOS!$C$23*3/4))*PRESIONES!$C$21))</f>
        <v>0</v>
      </c>
      <c r="BF24" s="26">
        <f>IF($L24&lt;&gt;"OK",0,PRESIONES!$C$12*((PRESIONES!$K$32-ABERTURAS!$L$66)*MAX(0,MIN($W24,DATOS!$C$23*1/4)-MAX($V24,DATOS!$C$23*0/4))*PRESIONES!$C$18+(PRESIONES!$K$33-ABERTURAS!$L$66)*MAX(0,MIN($W24,DATOS!$C$23*2/4)-MAX($V24,DATOS!$C$23*1/4))*PRESIONES!$C$19+(PRESIONES!$K$34-ABERTURAS!$L$66)*MAX(0,MIN($W24,DATOS!$C$23*3/4)-MAX($V24,DATOS!$C$23*2/4))*PRESIONES!$C$20+(PRESIONES!$K$35-ABERTURAS!$L$66)*MAX(0,MIN($W24,DATOS!$C$23*4/4)-MAX($V24,DATOS!$C$23*3/4))*PRESIONES!$C$21))</f>
        <v>0</v>
      </c>
      <c r="BG24" s="26">
        <f>IF($L24&lt;&gt;"OK",0,PRESIONES!$C$12*((PRESIONES!$N$32-ABERTURAS!$L$67)*MAX(0,MIN($W24,DATOS!$C$23*1/4)-MAX($V24,DATOS!$C$23*0/4))*PRESIONES!$C$18+(PRESIONES!$N$33-ABERTURAS!$L$67)*MAX(0,MIN($W24,DATOS!$C$23*2/4)-MAX($V24,DATOS!$C$23*1/4))*PRESIONES!$C$19+(PRESIONES!$N$34-ABERTURAS!$L$67)*MAX(0,MIN($W24,DATOS!$C$23*3/4)-MAX($V24,DATOS!$C$23*2/4))*PRESIONES!$C$20+(PRESIONES!$N$35-ABERTURAS!$L$67)*MAX(0,MIN($W24,DATOS!$C$23*4/4)-MAX($V24,DATOS!$C$23*3/4))*PRESIONES!$C$21))</f>
        <v>0</v>
      </c>
    </row>
    <row r="25" spans="2:59" ht="15" customHeight="1" x14ac:dyDescent="0.3">
      <c r="B25" s="4"/>
      <c r="C25" s="15"/>
      <c r="D25" s="4"/>
      <c r="E25" s="15"/>
      <c r="F25" s="40"/>
      <c r="G25" s="40"/>
      <c r="H25" s="40"/>
      <c r="I25" s="40"/>
      <c r="J25" s="40"/>
      <c r="K25" s="40"/>
      <c r="L25" s="18" t="str">
        <f>IF($D25="","",IF($C25&lt;&gt;"TECHO","PON TECHO",IF(OR($F25="",$G25="",$H25="",$I25=""),"FALTAN a o b",IF($M25&lt;=0,"a₂ DEBE SER &gt; a₁",IF($N25&lt;=0,"b₂ DEBE SER &gt; b₁",IF(OR($V25&lt;-0.001,$W25&gt;DATOS!$C$23+0.001),"SE SALE DEL TECHO","OK"))))))</f>
        <v/>
      </c>
      <c r="M25" s="26">
        <f t="shared" si="0"/>
        <v>0</v>
      </c>
      <c r="N25" s="26">
        <f t="shared" si="1"/>
        <v>0</v>
      </c>
      <c r="O25" s="26">
        <f t="shared" si="2"/>
        <v>0</v>
      </c>
      <c r="P25" s="26">
        <v>0</v>
      </c>
      <c r="Q25" s="26">
        <v>0</v>
      </c>
      <c r="R25" s="26">
        <f t="shared" si="3"/>
        <v>0</v>
      </c>
      <c r="S25" s="26">
        <f t="shared" si="3"/>
        <v>0</v>
      </c>
      <c r="T25" s="41">
        <f>IF($D25="",0,DATOS!$C$21)</f>
        <v>0</v>
      </c>
      <c r="U25" s="41">
        <v>0</v>
      </c>
      <c r="V25" s="41">
        <f t="shared" si="4"/>
        <v>0</v>
      </c>
      <c r="W25" s="41">
        <f t="shared" si="5"/>
        <v>0</v>
      </c>
      <c r="AB25" s="26">
        <f>IF($L25&lt;&gt;"OK",0,PRESIONES!$C$12*((PRESIONES!$D$32-ABERTURAS!$L$60)*MAX(0,MIN($W25,DATOS!$C$23*1/4)-MAX($V25,DATOS!$C$23*0/4))+(PRESIONES!$D$33-ABERTURAS!$L$60)*MAX(0,MIN($W25,DATOS!$C$23*2/4)-MAX($V25,DATOS!$C$23*1/4))+(PRESIONES!$D$34-ABERTURAS!$L$60)*MAX(0,MIN($W25,DATOS!$C$23*3/4)-MAX($V25,DATOS!$C$23*2/4))+(PRESIONES!$D$35-ABERTURAS!$L$60)*MAX(0,MIN($W25,DATOS!$C$23*4/4)-MAX($V25,DATOS!$C$23*3/4))))</f>
        <v>0</v>
      </c>
      <c r="AC25" s="26">
        <f>IF($L25&lt;&gt;"OK",0,PRESIONES!$C$12*((PRESIONES!$G$32-ABERTURAS!$L$61)*MAX(0,MIN($W25,DATOS!$C$23*1/4)-MAX($V25,DATOS!$C$23*0/4))+(PRESIONES!$G$33-ABERTURAS!$L$61)*MAX(0,MIN($W25,DATOS!$C$23*2/4)-MAX($V25,DATOS!$C$23*1/4))+(PRESIONES!$G$34-ABERTURAS!$L$61)*MAX(0,MIN($W25,DATOS!$C$23*3/4)-MAX($V25,DATOS!$C$23*2/4))+(PRESIONES!$G$35-ABERTURAS!$L$61)*MAX(0,MIN($W25,DATOS!$C$23*4/4)-MAX($V25,DATOS!$C$23*3/4))))</f>
        <v>0</v>
      </c>
      <c r="AD25" s="26">
        <f>IF($L25&lt;&gt;"OK",0,PRESIONES!$C$12*((PRESIONES!$J$32-ABERTURAS!$L$62)*MAX(0,MIN($W25,DATOS!$C$23*1/4)-MAX($V25,DATOS!$C$23*0/4))+(PRESIONES!$J$33-ABERTURAS!$L$62)*MAX(0,MIN($W25,DATOS!$C$23*2/4)-MAX($V25,DATOS!$C$23*1/4))+(PRESIONES!$J$34-ABERTURAS!$L$62)*MAX(0,MIN($W25,DATOS!$C$23*3/4)-MAX($V25,DATOS!$C$23*2/4))+(PRESIONES!$J$35-ABERTURAS!$L$62)*MAX(0,MIN($W25,DATOS!$C$23*4/4)-MAX($V25,DATOS!$C$23*3/4))))</f>
        <v>0</v>
      </c>
      <c r="AE25" s="26">
        <f>IF($L25&lt;&gt;"OK",0,PRESIONES!$C$12*((PRESIONES!$M$32-ABERTURAS!$L$63)*MAX(0,MIN($W25,DATOS!$C$23*1/4)-MAX($V25,DATOS!$C$23*0/4))+(PRESIONES!$M$33-ABERTURAS!$L$63)*MAX(0,MIN($W25,DATOS!$C$23*2/4)-MAX($V25,DATOS!$C$23*1/4))+(PRESIONES!$M$34-ABERTURAS!$L$63)*MAX(0,MIN($W25,DATOS!$C$23*3/4)-MAX($V25,DATOS!$C$23*2/4))+(PRESIONES!$M$35-ABERTURAS!$L$63)*MAX(0,MIN($W25,DATOS!$C$23*4/4)-MAX($V25,DATOS!$C$23*3/4))))</f>
        <v>0</v>
      </c>
      <c r="AF25" s="26">
        <f>IF($L25&lt;&gt;"OK",0,PRESIONES!$C$12*((PRESIONES!$D$32-ABERTURAS!$L$64)*MAX(0,MIN($W25,DATOS!$C$23*1/4)-MAX($V25,DATOS!$C$23*0/4))+(PRESIONES!$D$33-ABERTURAS!$L$64)*MAX(0,MIN($W25,DATOS!$C$23*2/4)-MAX($V25,DATOS!$C$23*1/4))+(PRESIONES!$D$34-ABERTURAS!$L$64)*MAX(0,MIN($W25,DATOS!$C$23*3/4)-MAX($V25,DATOS!$C$23*2/4))+(PRESIONES!$D$35-ABERTURAS!$L$64)*MAX(0,MIN($W25,DATOS!$C$23*4/4)-MAX($V25,DATOS!$C$23*3/4))))</f>
        <v>0</v>
      </c>
      <c r="AG25" s="26">
        <f>IF($L25&lt;&gt;"OK",0,PRESIONES!$C$12*((PRESIONES!$G$32-ABERTURAS!$L$65)*MAX(0,MIN($W25,DATOS!$C$23*1/4)-MAX($V25,DATOS!$C$23*0/4))+(PRESIONES!$G$33-ABERTURAS!$L$65)*MAX(0,MIN($W25,DATOS!$C$23*2/4)-MAX($V25,DATOS!$C$23*1/4))+(PRESIONES!$G$34-ABERTURAS!$L$65)*MAX(0,MIN($W25,DATOS!$C$23*3/4)-MAX($V25,DATOS!$C$23*2/4))+(PRESIONES!$G$35-ABERTURAS!$L$65)*MAX(0,MIN($W25,DATOS!$C$23*4/4)-MAX($V25,DATOS!$C$23*3/4))))</f>
        <v>0</v>
      </c>
      <c r="AH25" s="26">
        <f>IF($L25&lt;&gt;"OK",0,PRESIONES!$C$12*((PRESIONES!$J$32-ABERTURAS!$L$66)*MAX(0,MIN($W25,DATOS!$C$23*1/4)-MAX($V25,DATOS!$C$23*0/4))+(PRESIONES!$J$33-ABERTURAS!$L$66)*MAX(0,MIN($W25,DATOS!$C$23*2/4)-MAX($V25,DATOS!$C$23*1/4))+(PRESIONES!$J$34-ABERTURAS!$L$66)*MAX(0,MIN($W25,DATOS!$C$23*3/4)-MAX($V25,DATOS!$C$23*2/4))+(PRESIONES!$J$35-ABERTURAS!$L$66)*MAX(0,MIN($W25,DATOS!$C$23*4/4)-MAX($V25,DATOS!$C$23*3/4))))</f>
        <v>0</v>
      </c>
      <c r="AI25" s="26">
        <f>IF($L25&lt;&gt;"OK",0,PRESIONES!$C$12*((PRESIONES!$M$32-ABERTURAS!$L$67)*MAX(0,MIN($W25,DATOS!$C$23*1/4)-MAX($V25,DATOS!$C$23*0/4))+(PRESIONES!$M$33-ABERTURAS!$L$67)*MAX(0,MIN($W25,DATOS!$C$23*2/4)-MAX($V25,DATOS!$C$23*1/4))+(PRESIONES!$M$34-ABERTURAS!$L$67)*MAX(0,MIN($W25,DATOS!$C$23*3/4)-MAX($V25,DATOS!$C$23*2/4))+(PRESIONES!$M$35-ABERTURAS!$L$67)*MAX(0,MIN($W25,DATOS!$C$23*4/4)-MAX($V25,DATOS!$C$23*3/4))))</f>
        <v>0</v>
      </c>
      <c r="AJ25" s="26">
        <f>IF($L25&lt;&gt;"OK",0,PRESIONES!$C$12*((PRESIONES!$D$32-ABERTURAS!$L$60)*MAX(0,MIN($W25,DATOS!$C$23*1/4)-MAX($V25,DATOS!$C$23*0/4))*PRESIONES!$C$18+(PRESIONES!$D$33-ABERTURAS!$L$60)*MAX(0,MIN($W25,DATOS!$C$23*2/4)-MAX($V25,DATOS!$C$23*1/4))*PRESIONES!$C$19+(PRESIONES!$D$34-ABERTURAS!$L$60)*MAX(0,MIN($W25,DATOS!$C$23*3/4)-MAX($V25,DATOS!$C$23*2/4))*PRESIONES!$C$20+(PRESIONES!$D$35-ABERTURAS!$L$60)*MAX(0,MIN($W25,DATOS!$C$23*4/4)-MAX($V25,DATOS!$C$23*3/4))*PRESIONES!$C$21))</f>
        <v>0</v>
      </c>
      <c r="AK25" s="26">
        <f>IF($L25&lt;&gt;"OK",0,PRESIONES!$C$12*((PRESIONES!$G$32-ABERTURAS!$L$61)*MAX(0,MIN($W25,DATOS!$C$23*1/4)-MAX($V25,DATOS!$C$23*0/4))*PRESIONES!$C$18+(PRESIONES!$G$33-ABERTURAS!$L$61)*MAX(0,MIN($W25,DATOS!$C$23*2/4)-MAX($V25,DATOS!$C$23*1/4))*PRESIONES!$C$19+(PRESIONES!$G$34-ABERTURAS!$L$61)*MAX(0,MIN($W25,DATOS!$C$23*3/4)-MAX($V25,DATOS!$C$23*2/4))*PRESIONES!$C$20+(PRESIONES!$G$35-ABERTURAS!$L$61)*MAX(0,MIN($W25,DATOS!$C$23*4/4)-MAX($V25,DATOS!$C$23*3/4))*PRESIONES!$C$21))</f>
        <v>0</v>
      </c>
      <c r="AL25" s="26">
        <f>IF($L25&lt;&gt;"OK",0,PRESIONES!$C$12*((PRESIONES!$J$32-ABERTURAS!$L$62)*MAX(0,MIN($W25,DATOS!$C$23*1/4)-MAX($V25,DATOS!$C$23*0/4))*PRESIONES!$C$18+(PRESIONES!$J$33-ABERTURAS!$L$62)*MAX(0,MIN($W25,DATOS!$C$23*2/4)-MAX($V25,DATOS!$C$23*1/4))*PRESIONES!$C$19+(PRESIONES!$J$34-ABERTURAS!$L$62)*MAX(0,MIN($W25,DATOS!$C$23*3/4)-MAX($V25,DATOS!$C$23*2/4))*PRESIONES!$C$20+(PRESIONES!$J$35-ABERTURAS!$L$62)*MAX(0,MIN($W25,DATOS!$C$23*4/4)-MAX($V25,DATOS!$C$23*3/4))*PRESIONES!$C$21))</f>
        <v>0</v>
      </c>
      <c r="AM25" s="26">
        <f>IF($L25&lt;&gt;"OK",0,PRESIONES!$C$12*((PRESIONES!$M$32-ABERTURAS!$L$63)*MAX(0,MIN($W25,DATOS!$C$23*1/4)-MAX($V25,DATOS!$C$23*0/4))*PRESIONES!$C$18+(PRESIONES!$M$33-ABERTURAS!$L$63)*MAX(0,MIN($W25,DATOS!$C$23*2/4)-MAX($V25,DATOS!$C$23*1/4))*PRESIONES!$C$19+(PRESIONES!$M$34-ABERTURAS!$L$63)*MAX(0,MIN($W25,DATOS!$C$23*3/4)-MAX($V25,DATOS!$C$23*2/4))*PRESIONES!$C$20+(PRESIONES!$M$35-ABERTURAS!$L$63)*MAX(0,MIN($W25,DATOS!$C$23*4/4)-MAX($V25,DATOS!$C$23*3/4))*PRESIONES!$C$21))</f>
        <v>0</v>
      </c>
      <c r="AN25" s="26">
        <f>IF($L25&lt;&gt;"OK",0,PRESIONES!$C$12*((PRESIONES!$D$32-ABERTURAS!$L$64)*MAX(0,MIN($W25,DATOS!$C$23*1/4)-MAX($V25,DATOS!$C$23*0/4))*PRESIONES!$C$18+(PRESIONES!$D$33-ABERTURAS!$L$64)*MAX(0,MIN($W25,DATOS!$C$23*2/4)-MAX($V25,DATOS!$C$23*1/4))*PRESIONES!$C$19+(PRESIONES!$D$34-ABERTURAS!$L$64)*MAX(0,MIN($W25,DATOS!$C$23*3/4)-MAX($V25,DATOS!$C$23*2/4))*PRESIONES!$C$20+(PRESIONES!$D$35-ABERTURAS!$L$64)*MAX(0,MIN($W25,DATOS!$C$23*4/4)-MAX($V25,DATOS!$C$23*3/4))*PRESIONES!$C$21))</f>
        <v>0</v>
      </c>
      <c r="AO25" s="26">
        <f>IF($L25&lt;&gt;"OK",0,PRESIONES!$C$12*((PRESIONES!$G$32-ABERTURAS!$L$65)*MAX(0,MIN($W25,DATOS!$C$23*1/4)-MAX($V25,DATOS!$C$23*0/4))*PRESIONES!$C$18+(PRESIONES!$G$33-ABERTURAS!$L$65)*MAX(0,MIN($W25,DATOS!$C$23*2/4)-MAX($V25,DATOS!$C$23*1/4))*PRESIONES!$C$19+(PRESIONES!$G$34-ABERTURAS!$L$65)*MAX(0,MIN($W25,DATOS!$C$23*3/4)-MAX($V25,DATOS!$C$23*2/4))*PRESIONES!$C$20+(PRESIONES!$G$35-ABERTURAS!$L$65)*MAX(0,MIN($W25,DATOS!$C$23*4/4)-MAX($V25,DATOS!$C$23*3/4))*PRESIONES!$C$21))</f>
        <v>0</v>
      </c>
      <c r="AP25" s="26">
        <f>IF($L25&lt;&gt;"OK",0,PRESIONES!$C$12*((PRESIONES!$J$32-ABERTURAS!$L$66)*MAX(0,MIN($W25,DATOS!$C$23*1/4)-MAX($V25,DATOS!$C$23*0/4))*PRESIONES!$C$18+(PRESIONES!$J$33-ABERTURAS!$L$66)*MAX(0,MIN($W25,DATOS!$C$23*2/4)-MAX($V25,DATOS!$C$23*1/4))*PRESIONES!$C$19+(PRESIONES!$J$34-ABERTURAS!$L$66)*MAX(0,MIN($W25,DATOS!$C$23*3/4)-MAX($V25,DATOS!$C$23*2/4))*PRESIONES!$C$20+(PRESIONES!$J$35-ABERTURAS!$L$66)*MAX(0,MIN($W25,DATOS!$C$23*4/4)-MAX($V25,DATOS!$C$23*3/4))*PRESIONES!$C$21))</f>
        <v>0</v>
      </c>
      <c r="AQ25" s="26">
        <f>IF($L25&lt;&gt;"OK",0,PRESIONES!$C$12*((PRESIONES!$M$32-ABERTURAS!$L$67)*MAX(0,MIN($W25,DATOS!$C$23*1/4)-MAX($V25,DATOS!$C$23*0/4))*PRESIONES!$C$18+(PRESIONES!$M$33-ABERTURAS!$L$67)*MAX(0,MIN($W25,DATOS!$C$23*2/4)-MAX($V25,DATOS!$C$23*1/4))*PRESIONES!$C$19+(PRESIONES!$M$34-ABERTURAS!$L$67)*MAX(0,MIN($W25,DATOS!$C$23*3/4)-MAX($V25,DATOS!$C$23*2/4))*PRESIONES!$C$20+(PRESIONES!$M$35-ABERTURAS!$L$67)*MAX(0,MIN($W25,DATOS!$C$23*4/4)-MAX($V25,DATOS!$C$23*3/4))*PRESIONES!$C$21))</f>
        <v>0</v>
      </c>
      <c r="AR25" s="26">
        <f>IF($L25&lt;&gt;"OK",0,PRESIONES!$C$12*((PRESIONES!$E$32-ABERTURAS!$L$60)*MAX(0,MIN($W25,DATOS!$C$23*1/4)-MAX($V25,DATOS!$C$23*0/4))+(PRESIONES!$E$33-ABERTURAS!$L$60)*MAX(0,MIN($W25,DATOS!$C$23*2/4)-MAX($V25,DATOS!$C$23*1/4))+(PRESIONES!$E$34-ABERTURAS!$L$60)*MAX(0,MIN($W25,DATOS!$C$23*3/4)-MAX($V25,DATOS!$C$23*2/4))+(PRESIONES!$E$35-ABERTURAS!$L$60)*MAX(0,MIN($W25,DATOS!$C$23*4/4)-MAX($V25,DATOS!$C$23*3/4))))</f>
        <v>0</v>
      </c>
      <c r="AS25" s="26">
        <f>IF($L25&lt;&gt;"OK",0,PRESIONES!$C$12*((PRESIONES!$H$32-ABERTURAS!$L$61)*MAX(0,MIN($W25,DATOS!$C$23*1/4)-MAX($V25,DATOS!$C$23*0/4))+(PRESIONES!$H$33-ABERTURAS!$L$61)*MAX(0,MIN($W25,DATOS!$C$23*2/4)-MAX($V25,DATOS!$C$23*1/4))+(PRESIONES!$H$34-ABERTURAS!$L$61)*MAX(0,MIN($W25,DATOS!$C$23*3/4)-MAX($V25,DATOS!$C$23*2/4))+(PRESIONES!$H$35-ABERTURAS!$L$61)*MAX(0,MIN($W25,DATOS!$C$23*4/4)-MAX($V25,DATOS!$C$23*3/4))))</f>
        <v>0</v>
      </c>
      <c r="AT25" s="26">
        <f>IF($L25&lt;&gt;"OK",0,PRESIONES!$C$12*((PRESIONES!$K$32-ABERTURAS!$L$62)*MAX(0,MIN($W25,DATOS!$C$23*1/4)-MAX($V25,DATOS!$C$23*0/4))+(PRESIONES!$K$33-ABERTURAS!$L$62)*MAX(0,MIN($W25,DATOS!$C$23*2/4)-MAX($V25,DATOS!$C$23*1/4))+(PRESIONES!$K$34-ABERTURAS!$L$62)*MAX(0,MIN($W25,DATOS!$C$23*3/4)-MAX($V25,DATOS!$C$23*2/4))+(PRESIONES!$K$35-ABERTURAS!$L$62)*MAX(0,MIN($W25,DATOS!$C$23*4/4)-MAX($V25,DATOS!$C$23*3/4))))</f>
        <v>0</v>
      </c>
      <c r="AU25" s="26">
        <f>IF($L25&lt;&gt;"OK",0,PRESIONES!$C$12*((PRESIONES!$N$32-ABERTURAS!$L$63)*MAX(0,MIN($W25,DATOS!$C$23*1/4)-MAX($V25,DATOS!$C$23*0/4))+(PRESIONES!$N$33-ABERTURAS!$L$63)*MAX(0,MIN($W25,DATOS!$C$23*2/4)-MAX($V25,DATOS!$C$23*1/4))+(PRESIONES!$N$34-ABERTURAS!$L$63)*MAX(0,MIN($W25,DATOS!$C$23*3/4)-MAX($V25,DATOS!$C$23*2/4))+(PRESIONES!$N$35-ABERTURAS!$L$63)*MAX(0,MIN($W25,DATOS!$C$23*4/4)-MAX($V25,DATOS!$C$23*3/4))))</f>
        <v>0</v>
      </c>
      <c r="AV25" s="26">
        <f>IF($L25&lt;&gt;"OK",0,PRESIONES!$C$12*((PRESIONES!$E$32-ABERTURAS!$L$64)*MAX(0,MIN($W25,DATOS!$C$23*1/4)-MAX($V25,DATOS!$C$23*0/4))+(PRESIONES!$E$33-ABERTURAS!$L$64)*MAX(0,MIN($W25,DATOS!$C$23*2/4)-MAX($V25,DATOS!$C$23*1/4))+(PRESIONES!$E$34-ABERTURAS!$L$64)*MAX(0,MIN($W25,DATOS!$C$23*3/4)-MAX($V25,DATOS!$C$23*2/4))+(PRESIONES!$E$35-ABERTURAS!$L$64)*MAX(0,MIN($W25,DATOS!$C$23*4/4)-MAX($V25,DATOS!$C$23*3/4))))</f>
        <v>0</v>
      </c>
      <c r="AW25" s="26">
        <f>IF($L25&lt;&gt;"OK",0,PRESIONES!$C$12*((PRESIONES!$H$32-ABERTURAS!$L$65)*MAX(0,MIN($W25,DATOS!$C$23*1/4)-MAX($V25,DATOS!$C$23*0/4))+(PRESIONES!$H$33-ABERTURAS!$L$65)*MAX(0,MIN($W25,DATOS!$C$23*2/4)-MAX($V25,DATOS!$C$23*1/4))+(PRESIONES!$H$34-ABERTURAS!$L$65)*MAX(0,MIN($W25,DATOS!$C$23*3/4)-MAX($V25,DATOS!$C$23*2/4))+(PRESIONES!$H$35-ABERTURAS!$L$65)*MAX(0,MIN($W25,DATOS!$C$23*4/4)-MAX($V25,DATOS!$C$23*3/4))))</f>
        <v>0</v>
      </c>
      <c r="AX25" s="26">
        <f>IF($L25&lt;&gt;"OK",0,PRESIONES!$C$12*((PRESIONES!$K$32-ABERTURAS!$L$66)*MAX(0,MIN($W25,DATOS!$C$23*1/4)-MAX($V25,DATOS!$C$23*0/4))+(PRESIONES!$K$33-ABERTURAS!$L$66)*MAX(0,MIN($W25,DATOS!$C$23*2/4)-MAX($V25,DATOS!$C$23*1/4))+(PRESIONES!$K$34-ABERTURAS!$L$66)*MAX(0,MIN($W25,DATOS!$C$23*3/4)-MAX($V25,DATOS!$C$23*2/4))+(PRESIONES!$K$35-ABERTURAS!$L$66)*MAX(0,MIN($W25,DATOS!$C$23*4/4)-MAX($V25,DATOS!$C$23*3/4))))</f>
        <v>0</v>
      </c>
      <c r="AY25" s="26">
        <f>IF($L25&lt;&gt;"OK",0,PRESIONES!$C$12*((PRESIONES!$N$32-ABERTURAS!$L$67)*MAX(0,MIN($W25,DATOS!$C$23*1/4)-MAX($V25,DATOS!$C$23*0/4))+(PRESIONES!$N$33-ABERTURAS!$L$67)*MAX(0,MIN($W25,DATOS!$C$23*2/4)-MAX($V25,DATOS!$C$23*1/4))+(PRESIONES!$N$34-ABERTURAS!$L$67)*MAX(0,MIN($W25,DATOS!$C$23*3/4)-MAX($V25,DATOS!$C$23*2/4))+(PRESIONES!$N$35-ABERTURAS!$L$67)*MAX(0,MIN($W25,DATOS!$C$23*4/4)-MAX($V25,DATOS!$C$23*3/4))))</f>
        <v>0</v>
      </c>
      <c r="AZ25" s="26">
        <f>IF($L25&lt;&gt;"OK",0,PRESIONES!$C$12*((PRESIONES!$E$32-ABERTURAS!$L$60)*MAX(0,MIN($W25,DATOS!$C$23*1/4)-MAX($V25,DATOS!$C$23*0/4))*PRESIONES!$C$18+(PRESIONES!$E$33-ABERTURAS!$L$60)*MAX(0,MIN($W25,DATOS!$C$23*2/4)-MAX($V25,DATOS!$C$23*1/4))*PRESIONES!$C$19+(PRESIONES!$E$34-ABERTURAS!$L$60)*MAX(0,MIN($W25,DATOS!$C$23*3/4)-MAX($V25,DATOS!$C$23*2/4))*PRESIONES!$C$20+(PRESIONES!$E$35-ABERTURAS!$L$60)*MAX(0,MIN($W25,DATOS!$C$23*4/4)-MAX($V25,DATOS!$C$23*3/4))*PRESIONES!$C$21))</f>
        <v>0</v>
      </c>
      <c r="BA25" s="26">
        <f>IF($L25&lt;&gt;"OK",0,PRESIONES!$C$12*((PRESIONES!$H$32-ABERTURAS!$L$61)*MAX(0,MIN($W25,DATOS!$C$23*1/4)-MAX($V25,DATOS!$C$23*0/4))*PRESIONES!$C$18+(PRESIONES!$H$33-ABERTURAS!$L$61)*MAX(0,MIN($W25,DATOS!$C$23*2/4)-MAX($V25,DATOS!$C$23*1/4))*PRESIONES!$C$19+(PRESIONES!$H$34-ABERTURAS!$L$61)*MAX(0,MIN($W25,DATOS!$C$23*3/4)-MAX($V25,DATOS!$C$23*2/4))*PRESIONES!$C$20+(PRESIONES!$H$35-ABERTURAS!$L$61)*MAX(0,MIN($W25,DATOS!$C$23*4/4)-MAX($V25,DATOS!$C$23*3/4))*PRESIONES!$C$21))</f>
        <v>0</v>
      </c>
      <c r="BB25" s="26">
        <f>IF($L25&lt;&gt;"OK",0,PRESIONES!$C$12*((PRESIONES!$K$32-ABERTURAS!$L$62)*MAX(0,MIN($W25,DATOS!$C$23*1/4)-MAX($V25,DATOS!$C$23*0/4))*PRESIONES!$C$18+(PRESIONES!$K$33-ABERTURAS!$L$62)*MAX(0,MIN($W25,DATOS!$C$23*2/4)-MAX($V25,DATOS!$C$23*1/4))*PRESIONES!$C$19+(PRESIONES!$K$34-ABERTURAS!$L$62)*MAX(0,MIN($W25,DATOS!$C$23*3/4)-MAX($V25,DATOS!$C$23*2/4))*PRESIONES!$C$20+(PRESIONES!$K$35-ABERTURAS!$L$62)*MAX(0,MIN($W25,DATOS!$C$23*4/4)-MAX($V25,DATOS!$C$23*3/4))*PRESIONES!$C$21))</f>
        <v>0</v>
      </c>
      <c r="BC25" s="26">
        <f>IF($L25&lt;&gt;"OK",0,PRESIONES!$C$12*((PRESIONES!$N$32-ABERTURAS!$L$63)*MAX(0,MIN($W25,DATOS!$C$23*1/4)-MAX($V25,DATOS!$C$23*0/4))*PRESIONES!$C$18+(PRESIONES!$N$33-ABERTURAS!$L$63)*MAX(0,MIN($W25,DATOS!$C$23*2/4)-MAX($V25,DATOS!$C$23*1/4))*PRESIONES!$C$19+(PRESIONES!$N$34-ABERTURAS!$L$63)*MAX(0,MIN($W25,DATOS!$C$23*3/4)-MAX($V25,DATOS!$C$23*2/4))*PRESIONES!$C$20+(PRESIONES!$N$35-ABERTURAS!$L$63)*MAX(0,MIN($W25,DATOS!$C$23*4/4)-MAX($V25,DATOS!$C$23*3/4))*PRESIONES!$C$21))</f>
        <v>0</v>
      </c>
      <c r="BD25" s="26">
        <f>IF($L25&lt;&gt;"OK",0,PRESIONES!$C$12*((PRESIONES!$E$32-ABERTURAS!$L$64)*MAX(0,MIN($W25,DATOS!$C$23*1/4)-MAX($V25,DATOS!$C$23*0/4))*PRESIONES!$C$18+(PRESIONES!$E$33-ABERTURAS!$L$64)*MAX(0,MIN($W25,DATOS!$C$23*2/4)-MAX($V25,DATOS!$C$23*1/4))*PRESIONES!$C$19+(PRESIONES!$E$34-ABERTURAS!$L$64)*MAX(0,MIN($W25,DATOS!$C$23*3/4)-MAX($V25,DATOS!$C$23*2/4))*PRESIONES!$C$20+(PRESIONES!$E$35-ABERTURAS!$L$64)*MAX(0,MIN($W25,DATOS!$C$23*4/4)-MAX($V25,DATOS!$C$23*3/4))*PRESIONES!$C$21))</f>
        <v>0</v>
      </c>
      <c r="BE25" s="26">
        <f>IF($L25&lt;&gt;"OK",0,PRESIONES!$C$12*((PRESIONES!$H$32-ABERTURAS!$L$65)*MAX(0,MIN($W25,DATOS!$C$23*1/4)-MAX($V25,DATOS!$C$23*0/4))*PRESIONES!$C$18+(PRESIONES!$H$33-ABERTURAS!$L$65)*MAX(0,MIN($W25,DATOS!$C$23*2/4)-MAX($V25,DATOS!$C$23*1/4))*PRESIONES!$C$19+(PRESIONES!$H$34-ABERTURAS!$L$65)*MAX(0,MIN($W25,DATOS!$C$23*3/4)-MAX($V25,DATOS!$C$23*2/4))*PRESIONES!$C$20+(PRESIONES!$H$35-ABERTURAS!$L$65)*MAX(0,MIN($W25,DATOS!$C$23*4/4)-MAX($V25,DATOS!$C$23*3/4))*PRESIONES!$C$21))</f>
        <v>0</v>
      </c>
      <c r="BF25" s="26">
        <f>IF($L25&lt;&gt;"OK",0,PRESIONES!$C$12*((PRESIONES!$K$32-ABERTURAS!$L$66)*MAX(0,MIN($W25,DATOS!$C$23*1/4)-MAX($V25,DATOS!$C$23*0/4))*PRESIONES!$C$18+(PRESIONES!$K$33-ABERTURAS!$L$66)*MAX(0,MIN($W25,DATOS!$C$23*2/4)-MAX($V25,DATOS!$C$23*1/4))*PRESIONES!$C$19+(PRESIONES!$K$34-ABERTURAS!$L$66)*MAX(0,MIN($W25,DATOS!$C$23*3/4)-MAX($V25,DATOS!$C$23*2/4))*PRESIONES!$C$20+(PRESIONES!$K$35-ABERTURAS!$L$66)*MAX(0,MIN($W25,DATOS!$C$23*4/4)-MAX($V25,DATOS!$C$23*3/4))*PRESIONES!$C$21))</f>
        <v>0</v>
      </c>
      <c r="BG25" s="26">
        <f>IF($L25&lt;&gt;"OK",0,PRESIONES!$C$12*((PRESIONES!$N$32-ABERTURAS!$L$67)*MAX(0,MIN($W25,DATOS!$C$23*1/4)-MAX($V25,DATOS!$C$23*0/4))*PRESIONES!$C$18+(PRESIONES!$N$33-ABERTURAS!$L$67)*MAX(0,MIN($W25,DATOS!$C$23*2/4)-MAX($V25,DATOS!$C$23*1/4))*PRESIONES!$C$19+(PRESIONES!$N$34-ABERTURAS!$L$67)*MAX(0,MIN($W25,DATOS!$C$23*3/4)-MAX($V25,DATOS!$C$23*2/4))*PRESIONES!$C$20+(PRESIONES!$N$35-ABERTURAS!$L$67)*MAX(0,MIN($W25,DATOS!$C$23*4/4)-MAX($V25,DATOS!$C$23*3/4))*PRESIONES!$C$21))</f>
        <v>0</v>
      </c>
    </row>
    <row r="26" spans="2:59" ht="15" customHeight="1" x14ac:dyDescent="0.3">
      <c r="B26" s="4"/>
      <c r="C26" s="15"/>
      <c r="D26" s="4"/>
      <c r="E26" s="15"/>
      <c r="F26" s="40"/>
      <c r="G26" s="40"/>
      <c r="H26" s="40"/>
      <c r="I26" s="40"/>
      <c r="J26" s="40"/>
      <c r="K26" s="40"/>
      <c r="L26" s="18" t="str">
        <f>IF($D26="","",IF($C26&lt;&gt;"TECHO","PON TECHO",IF(OR($F26="",$G26="",$H26="",$I26=""),"FALTAN a o b",IF($M26&lt;=0,"a₂ DEBE SER &gt; a₁",IF($N26&lt;=0,"b₂ DEBE SER &gt; b₁",IF(OR($V26&lt;-0.001,$W26&gt;DATOS!$C$23+0.001),"SE SALE DEL TECHO","OK"))))))</f>
        <v/>
      </c>
      <c r="M26" s="26">
        <f t="shared" si="0"/>
        <v>0</v>
      </c>
      <c r="N26" s="26">
        <f t="shared" si="1"/>
        <v>0</v>
      </c>
      <c r="O26" s="26">
        <f t="shared" si="2"/>
        <v>0</v>
      </c>
      <c r="P26" s="26">
        <v>0</v>
      </c>
      <c r="Q26" s="26">
        <v>0</v>
      </c>
      <c r="R26" s="26">
        <f t="shared" si="3"/>
        <v>0</v>
      </c>
      <c r="S26" s="26">
        <f t="shared" si="3"/>
        <v>0</v>
      </c>
      <c r="T26" s="41">
        <f>IF($D26="",0,DATOS!$C$21)</f>
        <v>0</v>
      </c>
      <c r="U26" s="41">
        <v>0</v>
      </c>
      <c r="V26" s="41">
        <f t="shared" si="4"/>
        <v>0</v>
      </c>
      <c r="W26" s="41">
        <f t="shared" si="5"/>
        <v>0</v>
      </c>
      <c r="AB26" s="26">
        <f>IF($L26&lt;&gt;"OK",0,PRESIONES!$C$12*((PRESIONES!$D$32-ABERTURAS!$L$60)*MAX(0,MIN($W26,DATOS!$C$23*1/4)-MAX($V26,DATOS!$C$23*0/4))+(PRESIONES!$D$33-ABERTURAS!$L$60)*MAX(0,MIN($W26,DATOS!$C$23*2/4)-MAX($V26,DATOS!$C$23*1/4))+(PRESIONES!$D$34-ABERTURAS!$L$60)*MAX(0,MIN($W26,DATOS!$C$23*3/4)-MAX($V26,DATOS!$C$23*2/4))+(PRESIONES!$D$35-ABERTURAS!$L$60)*MAX(0,MIN($W26,DATOS!$C$23*4/4)-MAX($V26,DATOS!$C$23*3/4))))</f>
        <v>0</v>
      </c>
      <c r="AC26" s="26">
        <f>IF($L26&lt;&gt;"OK",0,PRESIONES!$C$12*((PRESIONES!$G$32-ABERTURAS!$L$61)*MAX(0,MIN($W26,DATOS!$C$23*1/4)-MAX($V26,DATOS!$C$23*0/4))+(PRESIONES!$G$33-ABERTURAS!$L$61)*MAX(0,MIN($W26,DATOS!$C$23*2/4)-MAX($V26,DATOS!$C$23*1/4))+(PRESIONES!$G$34-ABERTURAS!$L$61)*MAX(0,MIN($W26,DATOS!$C$23*3/4)-MAX($V26,DATOS!$C$23*2/4))+(PRESIONES!$G$35-ABERTURAS!$L$61)*MAX(0,MIN($W26,DATOS!$C$23*4/4)-MAX($V26,DATOS!$C$23*3/4))))</f>
        <v>0</v>
      </c>
      <c r="AD26" s="26">
        <f>IF($L26&lt;&gt;"OK",0,PRESIONES!$C$12*((PRESIONES!$J$32-ABERTURAS!$L$62)*MAX(0,MIN($W26,DATOS!$C$23*1/4)-MAX($V26,DATOS!$C$23*0/4))+(PRESIONES!$J$33-ABERTURAS!$L$62)*MAX(0,MIN($W26,DATOS!$C$23*2/4)-MAX($V26,DATOS!$C$23*1/4))+(PRESIONES!$J$34-ABERTURAS!$L$62)*MAX(0,MIN($W26,DATOS!$C$23*3/4)-MAX($V26,DATOS!$C$23*2/4))+(PRESIONES!$J$35-ABERTURAS!$L$62)*MAX(0,MIN($W26,DATOS!$C$23*4/4)-MAX($V26,DATOS!$C$23*3/4))))</f>
        <v>0</v>
      </c>
      <c r="AE26" s="26">
        <f>IF($L26&lt;&gt;"OK",0,PRESIONES!$C$12*((PRESIONES!$M$32-ABERTURAS!$L$63)*MAX(0,MIN($W26,DATOS!$C$23*1/4)-MAX($V26,DATOS!$C$23*0/4))+(PRESIONES!$M$33-ABERTURAS!$L$63)*MAX(0,MIN($W26,DATOS!$C$23*2/4)-MAX($V26,DATOS!$C$23*1/4))+(PRESIONES!$M$34-ABERTURAS!$L$63)*MAX(0,MIN($W26,DATOS!$C$23*3/4)-MAX($V26,DATOS!$C$23*2/4))+(PRESIONES!$M$35-ABERTURAS!$L$63)*MAX(0,MIN($W26,DATOS!$C$23*4/4)-MAX($V26,DATOS!$C$23*3/4))))</f>
        <v>0</v>
      </c>
      <c r="AF26" s="26">
        <f>IF($L26&lt;&gt;"OK",0,PRESIONES!$C$12*((PRESIONES!$D$32-ABERTURAS!$L$64)*MAX(0,MIN($W26,DATOS!$C$23*1/4)-MAX($V26,DATOS!$C$23*0/4))+(PRESIONES!$D$33-ABERTURAS!$L$64)*MAX(0,MIN($W26,DATOS!$C$23*2/4)-MAX($V26,DATOS!$C$23*1/4))+(PRESIONES!$D$34-ABERTURAS!$L$64)*MAX(0,MIN($W26,DATOS!$C$23*3/4)-MAX($V26,DATOS!$C$23*2/4))+(PRESIONES!$D$35-ABERTURAS!$L$64)*MAX(0,MIN($W26,DATOS!$C$23*4/4)-MAX($V26,DATOS!$C$23*3/4))))</f>
        <v>0</v>
      </c>
      <c r="AG26" s="26">
        <f>IF($L26&lt;&gt;"OK",0,PRESIONES!$C$12*((PRESIONES!$G$32-ABERTURAS!$L$65)*MAX(0,MIN($W26,DATOS!$C$23*1/4)-MAX($V26,DATOS!$C$23*0/4))+(PRESIONES!$G$33-ABERTURAS!$L$65)*MAX(0,MIN($W26,DATOS!$C$23*2/4)-MAX($V26,DATOS!$C$23*1/4))+(PRESIONES!$G$34-ABERTURAS!$L$65)*MAX(0,MIN($W26,DATOS!$C$23*3/4)-MAX($V26,DATOS!$C$23*2/4))+(PRESIONES!$G$35-ABERTURAS!$L$65)*MAX(0,MIN($W26,DATOS!$C$23*4/4)-MAX($V26,DATOS!$C$23*3/4))))</f>
        <v>0</v>
      </c>
      <c r="AH26" s="26">
        <f>IF($L26&lt;&gt;"OK",0,PRESIONES!$C$12*((PRESIONES!$J$32-ABERTURAS!$L$66)*MAX(0,MIN($W26,DATOS!$C$23*1/4)-MAX($V26,DATOS!$C$23*0/4))+(PRESIONES!$J$33-ABERTURAS!$L$66)*MAX(0,MIN($W26,DATOS!$C$23*2/4)-MAX($V26,DATOS!$C$23*1/4))+(PRESIONES!$J$34-ABERTURAS!$L$66)*MAX(0,MIN($W26,DATOS!$C$23*3/4)-MAX($V26,DATOS!$C$23*2/4))+(PRESIONES!$J$35-ABERTURAS!$L$66)*MAX(0,MIN($W26,DATOS!$C$23*4/4)-MAX($V26,DATOS!$C$23*3/4))))</f>
        <v>0</v>
      </c>
      <c r="AI26" s="26">
        <f>IF($L26&lt;&gt;"OK",0,PRESIONES!$C$12*((PRESIONES!$M$32-ABERTURAS!$L$67)*MAX(0,MIN($W26,DATOS!$C$23*1/4)-MAX($V26,DATOS!$C$23*0/4))+(PRESIONES!$M$33-ABERTURAS!$L$67)*MAX(0,MIN($W26,DATOS!$C$23*2/4)-MAX($V26,DATOS!$C$23*1/4))+(PRESIONES!$M$34-ABERTURAS!$L$67)*MAX(0,MIN($W26,DATOS!$C$23*3/4)-MAX($V26,DATOS!$C$23*2/4))+(PRESIONES!$M$35-ABERTURAS!$L$67)*MAX(0,MIN($W26,DATOS!$C$23*4/4)-MAX($V26,DATOS!$C$23*3/4))))</f>
        <v>0</v>
      </c>
      <c r="AJ26" s="26">
        <f>IF($L26&lt;&gt;"OK",0,PRESIONES!$C$12*((PRESIONES!$D$32-ABERTURAS!$L$60)*MAX(0,MIN($W26,DATOS!$C$23*1/4)-MAX($V26,DATOS!$C$23*0/4))*PRESIONES!$C$18+(PRESIONES!$D$33-ABERTURAS!$L$60)*MAX(0,MIN($W26,DATOS!$C$23*2/4)-MAX($V26,DATOS!$C$23*1/4))*PRESIONES!$C$19+(PRESIONES!$D$34-ABERTURAS!$L$60)*MAX(0,MIN($W26,DATOS!$C$23*3/4)-MAX($V26,DATOS!$C$23*2/4))*PRESIONES!$C$20+(PRESIONES!$D$35-ABERTURAS!$L$60)*MAX(0,MIN($W26,DATOS!$C$23*4/4)-MAX($V26,DATOS!$C$23*3/4))*PRESIONES!$C$21))</f>
        <v>0</v>
      </c>
      <c r="AK26" s="26">
        <f>IF($L26&lt;&gt;"OK",0,PRESIONES!$C$12*((PRESIONES!$G$32-ABERTURAS!$L$61)*MAX(0,MIN($W26,DATOS!$C$23*1/4)-MAX($V26,DATOS!$C$23*0/4))*PRESIONES!$C$18+(PRESIONES!$G$33-ABERTURAS!$L$61)*MAX(0,MIN($W26,DATOS!$C$23*2/4)-MAX($V26,DATOS!$C$23*1/4))*PRESIONES!$C$19+(PRESIONES!$G$34-ABERTURAS!$L$61)*MAX(0,MIN($W26,DATOS!$C$23*3/4)-MAX($V26,DATOS!$C$23*2/4))*PRESIONES!$C$20+(PRESIONES!$G$35-ABERTURAS!$L$61)*MAX(0,MIN($W26,DATOS!$C$23*4/4)-MAX($V26,DATOS!$C$23*3/4))*PRESIONES!$C$21))</f>
        <v>0</v>
      </c>
      <c r="AL26" s="26">
        <f>IF($L26&lt;&gt;"OK",0,PRESIONES!$C$12*((PRESIONES!$J$32-ABERTURAS!$L$62)*MAX(0,MIN($W26,DATOS!$C$23*1/4)-MAX($V26,DATOS!$C$23*0/4))*PRESIONES!$C$18+(PRESIONES!$J$33-ABERTURAS!$L$62)*MAX(0,MIN($W26,DATOS!$C$23*2/4)-MAX($V26,DATOS!$C$23*1/4))*PRESIONES!$C$19+(PRESIONES!$J$34-ABERTURAS!$L$62)*MAX(0,MIN($W26,DATOS!$C$23*3/4)-MAX($V26,DATOS!$C$23*2/4))*PRESIONES!$C$20+(PRESIONES!$J$35-ABERTURAS!$L$62)*MAX(0,MIN($W26,DATOS!$C$23*4/4)-MAX($V26,DATOS!$C$23*3/4))*PRESIONES!$C$21))</f>
        <v>0</v>
      </c>
      <c r="AM26" s="26">
        <f>IF($L26&lt;&gt;"OK",0,PRESIONES!$C$12*((PRESIONES!$M$32-ABERTURAS!$L$63)*MAX(0,MIN($W26,DATOS!$C$23*1/4)-MAX($V26,DATOS!$C$23*0/4))*PRESIONES!$C$18+(PRESIONES!$M$33-ABERTURAS!$L$63)*MAX(0,MIN($W26,DATOS!$C$23*2/4)-MAX($V26,DATOS!$C$23*1/4))*PRESIONES!$C$19+(PRESIONES!$M$34-ABERTURAS!$L$63)*MAX(0,MIN($W26,DATOS!$C$23*3/4)-MAX($V26,DATOS!$C$23*2/4))*PRESIONES!$C$20+(PRESIONES!$M$35-ABERTURAS!$L$63)*MAX(0,MIN($W26,DATOS!$C$23*4/4)-MAX($V26,DATOS!$C$23*3/4))*PRESIONES!$C$21))</f>
        <v>0</v>
      </c>
      <c r="AN26" s="26">
        <f>IF($L26&lt;&gt;"OK",0,PRESIONES!$C$12*((PRESIONES!$D$32-ABERTURAS!$L$64)*MAX(0,MIN($W26,DATOS!$C$23*1/4)-MAX($V26,DATOS!$C$23*0/4))*PRESIONES!$C$18+(PRESIONES!$D$33-ABERTURAS!$L$64)*MAX(0,MIN($W26,DATOS!$C$23*2/4)-MAX($V26,DATOS!$C$23*1/4))*PRESIONES!$C$19+(PRESIONES!$D$34-ABERTURAS!$L$64)*MAX(0,MIN($W26,DATOS!$C$23*3/4)-MAX($V26,DATOS!$C$23*2/4))*PRESIONES!$C$20+(PRESIONES!$D$35-ABERTURAS!$L$64)*MAX(0,MIN($W26,DATOS!$C$23*4/4)-MAX($V26,DATOS!$C$23*3/4))*PRESIONES!$C$21))</f>
        <v>0</v>
      </c>
      <c r="AO26" s="26">
        <f>IF($L26&lt;&gt;"OK",0,PRESIONES!$C$12*((PRESIONES!$G$32-ABERTURAS!$L$65)*MAX(0,MIN($W26,DATOS!$C$23*1/4)-MAX($V26,DATOS!$C$23*0/4))*PRESIONES!$C$18+(PRESIONES!$G$33-ABERTURAS!$L$65)*MAX(0,MIN($W26,DATOS!$C$23*2/4)-MAX($V26,DATOS!$C$23*1/4))*PRESIONES!$C$19+(PRESIONES!$G$34-ABERTURAS!$L$65)*MAX(0,MIN($W26,DATOS!$C$23*3/4)-MAX($V26,DATOS!$C$23*2/4))*PRESIONES!$C$20+(PRESIONES!$G$35-ABERTURAS!$L$65)*MAX(0,MIN($W26,DATOS!$C$23*4/4)-MAX($V26,DATOS!$C$23*3/4))*PRESIONES!$C$21))</f>
        <v>0</v>
      </c>
      <c r="AP26" s="26">
        <f>IF($L26&lt;&gt;"OK",0,PRESIONES!$C$12*((PRESIONES!$J$32-ABERTURAS!$L$66)*MAX(0,MIN($W26,DATOS!$C$23*1/4)-MAX($V26,DATOS!$C$23*0/4))*PRESIONES!$C$18+(PRESIONES!$J$33-ABERTURAS!$L$66)*MAX(0,MIN($W26,DATOS!$C$23*2/4)-MAX($V26,DATOS!$C$23*1/4))*PRESIONES!$C$19+(PRESIONES!$J$34-ABERTURAS!$L$66)*MAX(0,MIN($W26,DATOS!$C$23*3/4)-MAX($V26,DATOS!$C$23*2/4))*PRESIONES!$C$20+(PRESIONES!$J$35-ABERTURAS!$L$66)*MAX(0,MIN($W26,DATOS!$C$23*4/4)-MAX($V26,DATOS!$C$23*3/4))*PRESIONES!$C$21))</f>
        <v>0</v>
      </c>
      <c r="AQ26" s="26">
        <f>IF($L26&lt;&gt;"OK",0,PRESIONES!$C$12*((PRESIONES!$M$32-ABERTURAS!$L$67)*MAX(0,MIN($W26,DATOS!$C$23*1/4)-MAX($V26,DATOS!$C$23*0/4))*PRESIONES!$C$18+(PRESIONES!$M$33-ABERTURAS!$L$67)*MAX(0,MIN($W26,DATOS!$C$23*2/4)-MAX($V26,DATOS!$C$23*1/4))*PRESIONES!$C$19+(PRESIONES!$M$34-ABERTURAS!$L$67)*MAX(0,MIN($W26,DATOS!$C$23*3/4)-MAX($V26,DATOS!$C$23*2/4))*PRESIONES!$C$20+(PRESIONES!$M$35-ABERTURAS!$L$67)*MAX(0,MIN($W26,DATOS!$C$23*4/4)-MAX($V26,DATOS!$C$23*3/4))*PRESIONES!$C$21))</f>
        <v>0</v>
      </c>
      <c r="AR26" s="26">
        <f>IF($L26&lt;&gt;"OK",0,PRESIONES!$C$12*((PRESIONES!$E$32-ABERTURAS!$L$60)*MAX(0,MIN($W26,DATOS!$C$23*1/4)-MAX($V26,DATOS!$C$23*0/4))+(PRESIONES!$E$33-ABERTURAS!$L$60)*MAX(0,MIN($W26,DATOS!$C$23*2/4)-MAX($V26,DATOS!$C$23*1/4))+(PRESIONES!$E$34-ABERTURAS!$L$60)*MAX(0,MIN($W26,DATOS!$C$23*3/4)-MAX($V26,DATOS!$C$23*2/4))+(PRESIONES!$E$35-ABERTURAS!$L$60)*MAX(0,MIN($W26,DATOS!$C$23*4/4)-MAX($V26,DATOS!$C$23*3/4))))</f>
        <v>0</v>
      </c>
      <c r="AS26" s="26">
        <f>IF($L26&lt;&gt;"OK",0,PRESIONES!$C$12*((PRESIONES!$H$32-ABERTURAS!$L$61)*MAX(0,MIN($W26,DATOS!$C$23*1/4)-MAX($V26,DATOS!$C$23*0/4))+(PRESIONES!$H$33-ABERTURAS!$L$61)*MAX(0,MIN($W26,DATOS!$C$23*2/4)-MAX($V26,DATOS!$C$23*1/4))+(PRESIONES!$H$34-ABERTURAS!$L$61)*MAX(0,MIN($W26,DATOS!$C$23*3/4)-MAX($V26,DATOS!$C$23*2/4))+(PRESIONES!$H$35-ABERTURAS!$L$61)*MAX(0,MIN($W26,DATOS!$C$23*4/4)-MAX($V26,DATOS!$C$23*3/4))))</f>
        <v>0</v>
      </c>
      <c r="AT26" s="26">
        <f>IF($L26&lt;&gt;"OK",0,PRESIONES!$C$12*((PRESIONES!$K$32-ABERTURAS!$L$62)*MAX(0,MIN($W26,DATOS!$C$23*1/4)-MAX($V26,DATOS!$C$23*0/4))+(PRESIONES!$K$33-ABERTURAS!$L$62)*MAX(0,MIN($W26,DATOS!$C$23*2/4)-MAX($V26,DATOS!$C$23*1/4))+(PRESIONES!$K$34-ABERTURAS!$L$62)*MAX(0,MIN($W26,DATOS!$C$23*3/4)-MAX($V26,DATOS!$C$23*2/4))+(PRESIONES!$K$35-ABERTURAS!$L$62)*MAX(0,MIN($W26,DATOS!$C$23*4/4)-MAX($V26,DATOS!$C$23*3/4))))</f>
        <v>0</v>
      </c>
      <c r="AU26" s="26">
        <f>IF($L26&lt;&gt;"OK",0,PRESIONES!$C$12*((PRESIONES!$N$32-ABERTURAS!$L$63)*MAX(0,MIN($W26,DATOS!$C$23*1/4)-MAX($V26,DATOS!$C$23*0/4))+(PRESIONES!$N$33-ABERTURAS!$L$63)*MAX(0,MIN($W26,DATOS!$C$23*2/4)-MAX($V26,DATOS!$C$23*1/4))+(PRESIONES!$N$34-ABERTURAS!$L$63)*MAX(0,MIN($W26,DATOS!$C$23*3/4)-MAX($V26,DATOS!$C$23*2/4))+(PRESIONES!$N$35-ABERTURAS!$L$63)*MAX(0,MIN($W26,DATOS!$C$23*4/4)-MAX($V26,DATOS!$C$23*3/4))))</f>
        <v>0</v>
      </c>
      <c r="AV26" s="26">
        <f>IF($L26&lt;&gt;"OK",0,PRESIONES!$C$12*((PRESIONES!$E$32-ABERTURAS!$L$64)*MAX(0,MIN($W26,DATOS!$C$23*1/4)-MAX($V26,DATOS!$C$23*0/4))+(PRESIONES!$E$33-ABERTURAS!$L$64)*MAX(0,MIN($W26,DATOS!$C$23*2/4)-MAX($V26,DATOS!$C$23*1/4))+(PRESIONES!$E$34-ABERTURAS!$L$64)*MAX(0,MIN($W26,DATOS!$C$23*3/4)-MAX($V26,DATOS!$C$23*2/4))+(PRESIONES!$E$35-ABERTURAS!$L$64)*MAX(0,MIN($W26,DATOS!$C$23*4/4)-MAX($V26,DATOS!$C$23*3/4))))</f>
        <v>0</v>
      </c>
      <c r="AW26" s="26">
        <f>IF($L26&lt;&gt;"OK",0,PRESIONES!$C$12*((PRESIONES!$H$32-ABERTURAS!$L$65)*MAX(0,MIN($W26,DATOS!$C$23*1/4)-MAX($V26,DATOS!$C$23*0/4))+(PRESIONES!$H$33-ABERTURAS!$L$65)*MAX(0,MIN($W26,DATOS!$C$23*2/4)-MAX($V26,DATOS!$C$23*1/4))+(PRESIONES!$H$34-ABERTURAS!$L$65)*MAX(0,MIN($W26,DATOS!$C$23*3/4)-MAX($V26,DATOS!$C$23*2/4))+(PRESIONES!$H$35-ABERTURAS!$L$65)*MAX(0,MIN($W26,DATOS!$C$23*4/4)-MAX($V26,DATOS!$C$23*3/4))))</f>
        <v>0</v>
      </c>
      <c r="AX26" s="26">
        <f>IF($L26&lt;&gt;"OK",0,PRESIONES!$C$12*((PRESIONES!$K$32-ABERTURAS!$L$66)*MAX(0,MIN($W26,DATOS!$C$23*1/4)-MAX($V26,DATOS!$C$23*0/4))+(PRESIONES!$K$33-ABERTURAS!$L$66)*MAX(0,MIN($W26,DATOS!$C$23*2/4)-MAX($V26,DATOS!$C$23*1/4))+(PRESIONES!$K$34-ABERTURAS!$L$66)*MAX(0,MIN($W26,DATOS!$C$23*3/4)-MAX($V26,DATOS!$C$23*2/4))+(PRESIONES!$K$35-ABERTURAS!$L$66)*MAX(0,MIN($W26,DATOS!$C$23*4/4)-MAX($V26,DATOS!$C$23*3/4))))</f>
        <v>0</v>
      </c>
      <c r="AY26" s="26">
        <f>IF($L26&lt;&gt;"OK",0,PRESIONES!$C$12*((PRESIONES!$N$32-ABERTURAS!$L$67)*MAX(0,MIN($W26,DATOS!$C$23*1/4)-MAX($V26,DATOS!$C$23*0/4))+(PRESIONES!$N$33-ABERTURAS!$L$67)*MAX(0,MIN($W26,DATOS!$C$23*2/4)-MAX($V26,DATOS!$C$23*1/4))+(PRESIONES!$N$34-ABERTURAS!$L$67)*MAX(0,MIN($W26,DATOS!$C$23*3/4)-MAX($V26,DATOS!$C$23*2/4))+(PRESIONES!$N$35-ABERTURAS!$L$67)*MAX(0,MIN($W26,DATOS!$C$23*4/4)-MAX($V26,DATOS!$C$23*3/4))))</f>
        <v>0</v>
      </c>
      <c r="AZ26" s="26">
        <f>IF($L26&lt;&gt;"OK",0,PRESIONES!$C$12*((PRESIONES!$E$32-ABERTURAS!$L$60)*MAX(0,MIN($W26,DATOS!$C$23*1/4)-MAX($V26,DATOS!$C$23*0/4))*PRESIONES!$C$18+(PRESIONES!$E$33-ABERTURAS!$L$60)*MAX(0,MIN($W26,DATOS!$C$23*2/4)-MAX($V26,DATOS!$C$23*1/4))*PRESIONES!$C$19+(PRESIONES!$E$34-ABERTURAS!$L$60)*MAX(0,MIN($W26,DATOS!$C$23*3/4)-MAX($V26,DATOS!$C$23*2/4))*PRESIONES!$C$20+(PRESIONES!$E$35-ABERTURAS!$L$60)*MAX(0,MIN($W26,DATOS!$C$23*4/4)-MAX($V26,DATOS!$C$23*3/4))*PRESIONES!$C$21))</f>
        <v>0</v>
      </c>
      <c r="BA26" s="26">
        <f>IF($L26&lt;&gt;"OK",0,PRESIONES!$C$12*((PRESIONES!$H$32-ABERTURAS!$L$61)*MAX(0,MIN($W26,DATOS!$C$23*1/4)-MAX($V26,DATOS!$C$23*0/4))*PRESIONES!$C$18+(PRESIONES!$H$33-ABERTURAS!$L$61)*MAX(0,MIN($W26,DATOS!$C$23*2/4)-MAX($V26,DATOS!$C$23*1/4))*PRESIONES!$C$19+(PRESIONES!$H$34-ABERTURAS!$L$61)*MAX(0,MIN($W26,DATOS!$C$23*3/4)-MAX($V26,DATOS!$C$23*2/4))*PRESIONES!$C$20+(PRESIONES!$H$35-ABERTURAS!$L$61)*MAX(0,MIN($W26,DATOS!$C$23*4/4)-MAX($V26,DATOS!$C$23*3/4))*PRESIONES!$C$21))</f>
        <v>0</v>
      </c>
      <c r="BB26" s="26">
        <f>IF($L26&lt;&gt;"OK",0,PRESIONES!$C$12*((PRESIONES!$K$32-ABERTURAS!$L$62)*MAX(0,MIN($W26,DATOS!$C$23*1/4)-MAX($V26,DATOS!$C$23*0/4))*PRESIONES!$C$18+(PRESIONES!$K$33-ABERTURAS!$L$62)*MAX(0,MIN($W26,DATOS!$C$23*2/4)-MAX($V26,DATOS!$C$23*1/4))*PRESIONES!$C$19+(PRESIONES!$K$34-ABERTURAS!$L$62)*MAX(0,MIN($W26,DATOS!$C$23*3/4)-MAX($V26,DATOS!$C$23*2/4))*PRESIONES!$C$20+(PRESIONES!$K$35-ABERTURAS!$L$62)*MAX(0,MIN($W26,DATOS!$C$23*4/4)-MAX($V26,DATOS!$C$23*3/4))*PRESIONES!$C$21))</f>
        <v>0</v>
      </c>
      <c r="BC26" s="26">
        <f>IF($L26&lt;&gt;"OK",0,PRESIONES!$C$12*((PRESIONES!$N$32-ABERTURAS!$L$63)*MAX(0,MIN($W26,DATOS!$C$23*1/4)-MAX($V26,DATOS!$C$23*0/4))*PRESIONES!$C$18+(PRESIONES!$N$33-ABERTURAS!$L$63)*MAX(0,MIN($W26,DATOS!$C$23*2/4)-MAX($V26,DATOS!$C$23*1/4))*PRESIONES!$C$19+(PRESIONES!$N$34-ABERTURAS!$L$63)*MAX(0,MIN($W26,DATOS!$C$23*3/4)-MAX($V26,DATOS!$C$23*2/4))*PRESIONES!$C$20+(PRESIONES!$N$35-ABERTURAS!$L$63)*MAX(0,MIN($W26,DATOS!$C$23*4/4)-MAX($V26,DATOS!$C$23*3/4))*PRESIONES!$C$21))</f>
        <v>0</v>
      </c>
      <c r="BD26" s="26">
        <f>IF($L26&lt;&gt;"OK",0,PRESIONES!$C$12*((PRESIONES!$E$32-ABERTURAS!$L$64)*MAX(0,MIN($W26,DATOS!$C$23*1/4)-MAX($V26,DATOS!$C$23*0/4))*PRESIONES!$C$18+(PRESIONES!$E$33-ABERTURAS!$L$64)*MAX(0,MIN($W26,DATOS!$C$23*2/4)-MAX($V26,DATOS!$C$23*1/4))*PRESIONES!$C$19+(PRESIONES!$E$34-ABERTURAS!$L$64)*MAX(0,MIN($W26,DATOS!$C$23*3/4)-MAX($V26,DATOS!$C$23*2/4))*PRESIONES!$C$20+(PRESIONES!$E$35-ABERTURAS!$L$64)*MAX(0,MIN($W26,DATOS!$C$23*4/4)-MAX($V26,DATOS!$C$23*3/4))*PRESIONES!$C$21))</f>
        <v>0</v>
      </c>
      <c r="BE26" s="26">
        <f>IF($L26&lt;&gt;"OK",0,PRESIONES!$C$12*((PRESIONES!$H$32-ABERTURAS!$L$65)*MAX(0,MIN($W26,DATOS!$C$23*1/4)-MAX($V26,DATOS!$C$23*0/4))*PRESIONES!$C$18+(PRESIONES!$H$33-ABERTURAS!$L$65)*MAX(0,MIN($W26,DATOS!$C$23*2/4)-MAX($V26,DATOS!$C$23*1/4))*PRESIONES!$C$19+(PRESIONES!$H$34-ABERTURAS!$L$65)*MAX(0,MIN($W26,DATOS!$C$23*3/4)-MAX($V26,DATOS!$C$23*2/4))*PRESIONES!$C$20+(PRESIONES!$H$35-ABERTURAS!$L$65)*MAX(0,MIN($W26,DATOS!$C$23*4/4)-MAX($V26,DATOS!$C$23*3/4))*PRESIONES!$C$21))</f>
        <v>0</v>
      </c>
      <c r="BF26" s="26">
        <f>IF($L26&lt;&gt;"OK",0,PRESIONES!$C$12*((PRESIONES!$K$32-ABERTURAS!$L$66)*MAX(0,MIN($W26,DATOS!$C$23*1/4)-MAX($V26,DATOS!$C$23*0/4))*PRESIONES!$C$18+(PRESIONES!$K$33-ABERTURAS!$L$66)*MAX(0,MIN($W26,DATOS!$C$23*2/4)-MAX($V26,DATOS!$C$23*1/4))*PRESIONES!$C$19+(PRESIONES!$K$34-ABERTURAS!$L$66)*MAX(0,MIN($W26,DATOS!$C$23*3/4)-MAX($V26,DATOS!$C$23*2/4))*PRESIONES!$C$20+(PRESIONES!$K$35-ABERTURAS!$L$66)*MAX(0,MIN($W26,DATOS!$C$23*4/4)-MAX($V26,DATOS!$C$23*3/4))*PRESIONES!$C$21))</f>
        <v>0</v>
      </c>
      <c r="BG26" s="26">
        <f>IF($L26&lt;&gt;"OK",0,PRESIONES!$C$12*((PRESIONES!$N$32-ABERTURAS!$L$67)*MAX(0,MIN($W26,DATOS!$C$23*1/4)-MAX($V26,DATOS!$C$23*0/4))*PRESIONES!$C$18+(PRESIONES!$N$33-ABERTURAS!$L$67)*MAX(0,MIN($W26,DATOS!$C$23*2/4)-MAX($V26,DATOS!$C$23*1/4))*PRESIONES!$C$19+(PRESIONES!$N$34-ABERTURAS!$L$67)*MAX(0,MIN($W26,DATOS!$C$23*3/4)-MAX($V26,DATOS!$C$23*2/4))*PRESIONES!$C$20+(PRESIONES!$N$35-ABERTURAS!$L$67)*MAX(0,MIN($W26,DATOS!$C$23*4/4)-MAX($V26,DATOS!$C$23*3/4))*PRESIONES!$C$21))</f>
        <v>0</v>
      </c>
    </row>
    <row r="27" spans="2:59" ht="15" customHeight="1" x14ac:dyDescent="0.3">
      <c r="B27" s="4"/>
      <c r="C27" s="15"/>
      <c r="D27" s="4"/>
      <c r="E27" s="15"/>
      <c r="F27" s="40"/>
      <c r="G27" s="40"/>
      <c r="H27" s="40"/>
      <c r="I27" s="40"/>
      <c r="J27" s="40"/>
      <c r="K27" s="40"/>
      <c r="L27" s="18" t="str">
        <f>IF($D27="","",IF($C27&lt;&gt;"TECHO","PON TECHO",IF(OR($F27="",$G27="",$H27="",$I27=""),"FALTAN a o b",IF($M27&lt;=0,"a₂ DEBE SER &gt; a₁",IF($N27&lt;=0,"b₂ DEBE SER &gt; b₁",IF(OR($V27&lt;-0.001,$W27&gt;DATOS!$C$23+0.001),"SE SALE DEL TECHO","OK"))))))</f>
        <v/>
      </c>
      <c r="M27" s="26">
        <f t="shared" si="0"/>
        <v>0</v>
      </c>
      <c r="N27" s="26">
        <f t="shared" si="1"/>
        <v>0</v>
      </c>
      <c r="O27" s="26">
        <f t="shared" si="2"/>
        <v>0</v>
      </c>
      <c r="P27" s="26">
        <v>0</v>
      </c>
      <c r="Q27" s="26">
        <v>0</v>
      </c>
      <c r="R27" s="26">
        <f t="shared" si="3"/>
        <v>0</v>
      </c>
      <c r="S27" s="26">
        <f t="shared" si="3"/>
        <v>0</v>
      </c>
      <c r="T27" s="41">
        <f>IF($D27="",0,DATOS!$C$21)</f>
        <v>0</v>
      </c>
      <c r="U27" s="41">
        <v>0</v>
      </c>
      <c r="V27" s="41">
        <f t="shared" si="4"/>
        <v>0</v>
      </c>
      <c r="W27" s="41">
        <f t="shared" si="5"/>
        <v>0</v>
      </c>
      <c r="AB27" s="26">
        <f>IF($L27&lt;&gt;"OK",0,PRESIONES!$C$12*((PRESIONES!$D$32-ABERTURAS!$L$60)*MAX(0,MIN($W27,DATOS!$C$23*1/4)-MAX($V27,DATOS!$C$23*0/4))+(PRESIONES!$D$33-ABERTURAS!$L$60)*MAX(0,MIN($W27,DATOS!$C$23*2/4)-MAX($V27,DATOS!$C$23*1/4))+(PRESIONES!$D$34-ABERTURAS!$L$60)*MAX(0,MIN($W27,DATOS!$C$23*3/4)-MAX($V27,DATOS!$C$23*2/4))+(PRESIONES!$D$35-ABERTURAS!$L$60)*MAX(0,MIN($W27,DATOS!$C$23*4/4)-MAX($V27,DATOS!$C$23*3/4))))</f>
        <v>0</v>
      </c>
      <c r="AC27" s="26">
        <f>IF($L27&lt;&gt;"OK",0,PRESIONES!$C$12*((PRESIONES!$G$32-ABERTURAS!$L$61)*MAX(0,MIN($W27,DATOS!$C$23*1/4)-MAX($V27,DATOS!$C$23*0/4))+(PRESIONES!$G$33-ABERTURAS!$L$61)*MAX(0,MIN($W27,DATOS!$C$23*2/4)-MAX($V27,DATOS!$C$23*1/4))+(PRESIONES!$G$34-ABERTURAS!$L$61)*MAX(0,MIN($W27,DATOS!$C$23*3/4)-MAX($V27,DATOS!$C$23*2/4))+(PRESIONES!$G$35-ABERTURAS!$L$61)*MAX(0,MIN($W27,DATOS!$C$23*4/4)-MAX($V27,DATOS!$C$23*3/4))))</f>
        <v>0</v>
      </c>
      <c r="AD27" s="26">
        <f>IF($L27&lt;&gt;"OK",0,PRESIONES!$C$12*((PRESIONES!$J$32-ABERTURAS!$L$62)*MAX(0,MIN($W27,DATOS!$C$23*1/4)-MAX($V27,DATOS!$C$23*0/4))+(PRESIONES!$J$33-ABERTURAS!$L$62)*MAX(0,MIN($W27,DATOS!$C$23*2/4)-MAX($V27,DATOS!$C$23*1/4))+(PRESIONES!$J$34-ABERTURAS!$L$62)*MAX(0,MIN($W27,DATOS!$C$23*3/4)-MAX($V27,DATOS!$C$23*2/4))+(PRESIONES!$J$35-ABERTURAS!$L$62)*MAX(0,MIN($W27,DATOS!$C$23*4/4)-MAX($V27,DATOS!$C$23*3/4))))</f>
        <v>0</v>
      </c>
      <c r="AE27" s="26">
        <f>IF($L27&lt;&gt;"OK",0,PRESIONES!$C$12*((PRESIONES!$M$32-ABERTURAS!$L$63)*MAX(0,MIN($W27,DATOS!$C$23*1/4)-MAX($V27,DATOS!$C$23*0/4))+(PRESIONES!$M$33-ABERTURAS!$L$63)*MAX(0,MIN($W27,DATOS!$C$23*2/4)-MAX($V27,DATOS!$C$23*1/4))+(PRESIONES!$M$34-ABERTURAS!$L$63)*MAX(0,MIN($W27,DATOS!$C$23*3/4)-MAX($V27,DATOS!$C$23*2/4))+(PRESIONES!$M$35-ABERTURAS!$L$63)*MAX(0,MIN($W27,DATOS!$C$23*4/4)-MAX($V27,DATOS!$C$23*3/4))))</f>
        <v>0</v>
      </c>
      <c r="AF27" s="26">
        <f>IF($L27&lt;&gt;"OK",0,PRESIONES!$C$12*((PRESIONES!$D$32-ABERTURAS!$L$64)*MAX(0,MIN($W27,DATOS!$C$23*1/4)-MAX($V27,DATOS!$C$23*0/4))+(PRESIONES!$D$33-ABERTURAS!$L$64)*MAX(0,MIN($W27,DATOS!$C$23*2/4)-MAX($V27,DATOS!$C$23*1/4))+(PRESIONES!$D$34-ABERTURAS!$L$64)*MAX(0,MIN($W27,DATOS!$C$23*3/4)-MAX($V27,DATOS!$C$23*2/4))+(PRESIONES!$D$35-ABERTURAS!$L$64)*MAX(0,MIN($W27,DATOS!$C$23*4/4)-MAX($V27,DATOS!$C$23*3/4))))</f>
        <v>0</v>
      </c>
      <c r="AG27" s="26">
        <f>IF($L27&lt;&gt;"OK",0,PRESIONES!$C$12*((PRESIONES!$G$32-ABERTURAS!$L$65)*MAX(0,MIN($W27,DATOS!$C$23*1/4)-MAX($V27,DATOS!$C$23*0/4))+(PRESIONES!$G$33-ABERTURAS!$L$65)*MAX(0,MIN($W27,DATOS!$C$23*2/4)-MAX($V27,DATOS!$C$23*1/4))+(PRESIONES!$G$34-ABERTURAS!$L$65)*MAX(0,MIN($W27,DATOS!$C$23*3/4)-MAX($V27,DATOS!$C$23*2/4))+(PRESIONES!$G$35-ABERTURAS!$L$65)*MAX(0,MIN($W27,DATOS!$C$23*4/4)-MAX($V27,DATOS!$C$23*3/4))))</f>
        <v>0</v>
      </c>
      <c r="AH27" s="26">
        <f>IF($L27&lt;&gt;"OK",0,PRESIONES!$C$12*((PRESIONES!$J$32-ABERTURAS!$L$66)*MAX(0,MIN($W27,DATOS!$C$23*1/4)-MAX($V27,DATOS!$C$23*0/4))+(PRESIONES!$J$33-ABERTURAS!$L$66)*MAX(0,MIN($W27,DATOS!$C$23*2/4)-MAX($V27,DATOS!$C$23*1/4))+(PRESIONES!$J$34-ABERTURAS!$L$66)*MAX(0,MIN($W27,DATOS!$C$23*3/4)-MAX($V27,DATOS!$C$23*2/4))+(PRESIONES!$J$35-ABERTURAS!$L$66)*MAX(0,MIN($W27,DATOS!$C$23*4/4)-MAX($V27,DATOS!$C$23*3/4))))</f>
        <v>0</v>
      </c>
      <c r="AI27" s="26">
        <f>IF($L27&lt;&gt;"OK",0,PRESIONES!$C$12*((PRESIONES!$M$32-ABERTURAS!$L$67)*MAX(0,MIN($W27,DATOS!$C$23*1/4)-MAX($V27,DATOS!$C$23*0/4))+(PRESIONES!$M$33-ABERTURAS!$L$67)*MAX(0,MIN($W27,DATOS!$C$23*2/4)-MAX($V27,DATOS!$C$23*1/4))+(PRESIONES!$M$34-ABERTURAS!$L$67)*MAX(0,MIN($W27,DATOS!$C$23*3/4)-MAX($V27,DATOS!$C$23*2/4))+(PRESIONES!$M$35-ABERTURAS!$L$67)*MAX(0,MIN($W27,DATOS!$C$23*4/4)-MAX($V27,DATOS!$C$23*3/4))))</f>
        <v>0</v>
      </c>
      <c r="AJ27" s="26">
        <f>IF($L27&lt;&gt;"OK",0,PRESIONES!$C$12*((PRESIONES!$D$32-ABERTURAS!$L$60)*MAX(0,MIN($W27,DATOS!$C$23*1/4)-MAX($V27,DATOS!$C$23*0/4))*PRESIONES!$C$18+(PRESIONES!$D$33-ABERTURAS!$L$60)*MAX(0,MIN($W27,DATOS!$C$23*2/4)-MAX($V27,DATOS!$C$23*1/4))*PRESIONES!$C$19+(PRESIONES!$D$34-ABERTURAS!$L$60)*MAX(0,MIN($W27,DATOS!$C$23*3/4)-MAX($V27,DATOS!$C$23*2/4))*PRESIONES!$C$20+(PRESIONES!$D$35-ABERTURAS!$L$60)*MAX(0,MIN($W27,DATOS!$C$23*4/4)-MAX($V27,DATOS!$C$23*3/4))*PRESIONES!$C$21))</f>
        <v>0</v>
      </c>
      <c r="AK27" s="26">
        <f>IF($L27&lt;&gt;"OK",0,PRESIONES!$C$12*((PRESIONES!$G$32-ABERTURAS!$L$61)*MAX(0,MIN($W27,DATOS!$C$23*1/4)-MAX($V27,DATOS!$C$23*0/4))*PRESIONES!$C$18+(PRESIONES!$G$33-ABERTURAS!$L$61)*MAX(0,MIN($W27,DATOS!$C$23*2/4)-MAX($V27,DATOS!$C$23*1/4))*PRESIONES!$C$19+(PRESIONES!$G$34-ABERTURAS!$L$61)*MAX(0,MIN($W27,DATOS!$C$23*3/4)-MAX($V27,DATOS!$C$23*2/4))*PRESIONES!$C$20+(PRESIONES!$G$35-ABERTURAS!$L$61)*MAX(0,MIN($W27,DATOS!$C$23*4/4)-MAX($V27,DATOS!$C$23*3/4))*PRESIONES!$C$21))</f>
        <v>0</v>
      </c>
      <c r="AL27" s="26">
        <f>IF($L27&lt;&gt;"OK",0,PRESIONES!$C$12*((PRESIONES!$J$32-ABERTURAS!$L$62)*MAX(0,MIN($W27,DATOS!$C$23*1/4)-MAX($V27,DATOS!$C$23*0/4))*PRESIONES!$C$18+(PRESIONES!$J$33-ABERTURAS!$L$62)*MAX(0,MIN($W27,DATOS!$C$23*2/4)-MAX($V27,DATOS!$C$23*1/4))*PRESIONES!$C$19+(PRESIONES!$J$34-ABERTURAS!$L$62)*MAX(0,MIN($W27,DATOS!$C$23*3/4)-MAX($V27,DATOS!$C$23*2/4))*PRESIONES!$C$20+(PRESIONES!$J$35-ABERTURAS!$L$62)*MAX(0,MIN($W27,DATOS!$C$23*4/4)-MAX($V27,DATOS!$C$23*3/4))*PRESIONES!$C$21))</f>
        <v>0</v>
      </c>
      <c r="AM27" s="26">
        <f>IF($L27&lt;&gt;"OK",0,PRESIONES!$C$12*((PRESIONES!$M$32-ABERTURAS!$L$63)*MAX(0,MIN($W27,DATOS!$C$23*1/4)-MAX($V27,DATOS!$C$23*0/4))*PRESIONES!$C$18+(PRESIONES!$M$33-ABERTURAS!$L$63)*MAX(0,MIN($W27,DATOS!$C$23*2/4)-MAX($V27,DATOS!$C$23*1/4))*PRESIONES!$C$19+(PRESIONES!$M$34-ABERTURAS!$L$63)*MAX(0,MIN($W27,DATOS!$C$23*3/4)-MAX($V27,DATOS!$C$23*2/4))*PRESIONES!$C$20+(PRESIONES!$M$35-ABERTURAS!$L$63)*MAX(0,MIN($W27,DATOS!$C$23*4/4)-MAX($V27,DATOS!$C$23*3/4))*PRESIONES!$C$21))</f>
        <v>0</v>
      </c>
      <c r="AN27" s="26">
        <f>IF($L27&lt;&gt;"OK",0,PRESIONES!$C$12*((PRESIONES!$D$32-ABERTURAS!$L$64)*MAX(0,MIN($W27,DATOS!$C$23*1/4)-MAX($V27,DATOS!$C$23*0/4))*PRESIONES!$C$18+(PRESIONES!$D$33-ABERTURAS!$L$64)*MAX(0,MIN($W27,DATOS!$C$23*2/4)-MAX($V27,DATOS!$C$23*1/4))*PRESIONES!$C$19+(PRESIONES!$D$34-ABERTURAS!$L$64)*MAX(0,MIN($W27,DATOS!$C$23*3/4)-MAX($V27,DATOS!$C$23*2/4))*PRESIONES!$C$20+(PRESIONES!$D$35-ABERTURAS!$L$64)*MAX(0,MIN($W27,DATOS!$C$23*4/4)-MAX($V27,DATOS!$C$23*3/4))*PRESIONES!$C$21))</f>
        <v>0</v>
      </c>
      <c r="AO27" s="26">
        <f>IF($L27&lt;&gt;"OK",0,PRESIONES!$C$12*((PRESIONES!$G$32-ABERTURAS!$L$65)*MAX(0,MIN($W27,DATOS!$C$23*1/4)-MAX($V27,DATOS!$C$23*0/4))*PRESIONES!$C$18+(PRESIONES!$G$33-ABERTURAS!$L$65)*MAX(0,MIN($W27,DATOS!$C$23*2/4)-MAX($V27,DATOS!$C$23*1/4))*PRESIONES!$C$19+(PRESIONES!$G$34-ABERTURAS!$L$65)*MAX(0,MIN($W27,DATOS!$C$23*3/4)-MAX($V27,DATOS!$C$23*2/4))*PRESIONES!$C$20+(PRESIONES!$G$35-ABERTURAS!$L$65)*MAX(0,MIN($W27,DATOS!$C$23*4/4)-MAX($V27,DATOS!$C$23*3/4))*PRESIONES!$C$21))</f>
        <v>0</v>
      </c>
      <c r="AP27" s="26">
        <f>IF($L27&lt;&gt;"OK",0,PRESIONES!$C$12*((PRESIONES!$J$32-ABERTURAS!$L$66)*MAX(0,MIN($W27,DATOS!$C$23*1/4)-MAX($V27,DATOS!$C$23*0/4))*PRESIONES!$C$18+(PRESIONES!$J$33-ABERTURAS!$L$66)*MAX(0,MIN($W27,DATOS!$C$23*2/4)-MAX($V27,DATOS!$C$23*1/4))*PRESIONES!$C$19+(PRESIONES!$J$34-ABERTURAS!$L$66)*MAX(0,MIN($W27,DATOS!$C$23*3/4)-MAX($V27,DATOS!$C$23*2/4))*PRESIONES!$C$20+(PRESIONES!$J$35-ABERTURAS!$L$66)*MAX(0,MIN($W27,DATOS!$C$23*4/4)-MAX($V27,DATOS!$C$23*3/4))*PRESIONES!$C$21))</f>
        <v>0</v>
      </c>
      <c r="AQ27" s="26">
        <f>IF($L27&lt;&gt;"OK",0,PRESIONES!$C$12*((PRESIONES!$M$32-ABERTURAS!$L$67)*MAX(0,MIN($W27,DATOS!$C$23*1/4)-MAX($V27,DATOS!$C$23*0/4))*PRESIONES!$C$18+(PRESIONES!$M$33-ABERTURAS!$L$67)*MAX(0,MIN($W27,DATOS!$C$23*2/4)-MAX($V27,DATOS!$C$23*1/4))*PRESIONES!$C$19+(PRESIONES!$M$34-ABERTURAS!$L$67)*MAX(0,MIN($W27,DATOS!$C$23*3/4)-MAX($V27,DATOS!$C$23*2/4))*PRESIONES!$C$20+(PRESIONES!$M$35-ABERTURAS!$L$67)*MAX(0,MIN($W27,DATOS!$C$23*4/4)-MAX($V27,DATOS!$C$23*3/4))*PRESIONES!$C$21))</f>
        <v>0</v>
      </c>
      <c r="AR27" s="26">
        <f>IF($L27&lt;&gt;"OK",0,PRESIONES!$C$12*((PRESIONES!$E$32-ABERTURAS!$L$60)*MAX(0,MIN($W27,DATOS!$C$23*1/4)-MAX($V27,DATOS!$C$23*0/4))+(PRESIONES!$E$33-ABERTURAS!$L$60)*MAX(0,MIN($W27,DATOS!$C$23*2/4)-MAX($V27,DATOS!$C$23*1/4))+(PRESIONES!$E$34-ABERTURAS!$L$60)*MAX(0,MIN($W27,DATOS!$C$23*3/4)-MAX($V27,DATOS!$C$23*2/4))+(PRESIONES!$E$35-ABERTURAS!$L$60)*MAX(0,MIN($W27,DATOS!$C$23*4/4)-MAX($V27,DATOS!$C$23*3/4))))</f>
        <v>0</v>
      </c>
      <c r="AS27" s="26">
        <f>IF($L27&lt;&gt;"OK",0,PRESIONES!$C$12*((PRESIONES!$H$32-ABERTURAS!$L$61)*MAX(0,MIN($W27,DATOS!$C$23*1/4)-MAX($V27,DATOS!$C$23*0/4))+(PRESIONES!$H$33-ABERTURAS!$L$61)*MAX(0,MIN($W27,DATOS!$C$23*2/4)-MAX($V27,DATOS!$C$23*1/4))+(PRESIONES!$H$34-ABERTURAS!$L$61)*MAX(0,MIN($W27,DATOS!$C$23*3/4)-MAX($V27,DATOS!$C$23*2/4))+(PRESIONES!$H$35-ABERTURAS!$L$61)*MAX(0,MIN($W27,DATOS!$C$23*4/4)-MAX($V27,DATOS!$C$23*3/4))))</f>
        <v>0</v>
      </c>
      <c r="AT27" s="26">
        <f>IF($L27&lt;&gt;"OK",0,PRESIONES!$C$12*((PRESIONES!$K$32-ABERTURAS!$L$62)*MAX(0,MIN($W27,DATOS!$C$23*1/4)-MAX($V27,DATOS!$C$23*0/4))+(PRESIONES!$K$33-ABERTURAS!$L$62)*MAX(0,MIN($W27,DATOS!$C$23*2/4)-MAX($V27,DATOS!$C$23*1/4))+(PRESIONES!$K$34-ABERTURAS!$L$62)*MAX(0,MIN($W27,DATOS!$C$23*3/4)-MAX($V27,DATOS!$C$23*2/4))+(PRESIONES!$K$35-ABERTURAS!$L$62)*MAX(0,MIN($W27,DATOS!$C$23*4/4)-MAX($V27,DATOS!$C$23*3/4))))</f>
        <v>0</v>
      </c>
      <c r="AU27" s="26">
        <f>IF($L27&lt;&gt;"OK",0,PRESIONES!$C$12*((PRESIONES!$N$32-ABERTURAS!$L$63)*MAX(0,MIN($W27,DATOS!$C$23*1/4)-MAX($V27,DATOS!$C$23*0/4))+(PRESIONES!$N$33-ABERTURAS!$L$63)*MAX(0,MIN($W27,DATOS!$C$23*2/4)-MAX($V27,DATOS!$C$23*1/4))+(PRESIONES!$N$34-ABERTURAS!$L$63)*MAX(0,MIN($W27,DATOS!$C$23*3/4)-MAX($V27,DATOS!$C$23*2/4))+(PRESIONES!$N$35-ABERTURAS!$L$63)*MAX(0,MIN($W27,DATOS!$C$23*4/4)-MAX($V27,DATOS!$C$23*3/4))))</f>
        <v>0</v>
      </c>
      <c r="AV27" s="26">
        <f>IF($L27&lt;&gt;"OK",0,PRESIONES!$C$12*((PRESIONES!$E$32-ABERTURAS!$L$64)*MAX(0,MIN($W27,DATOS!$C$23*1/4)-MAX($V27,DATOS!$C$23*0/4))+(PRESIONES!$E$33-ABERTURAS!$L$64)*MAX(0,MIN($W27,DATOS!$C$23*2/4)-MAX($V27,DATOS!$C$23*1/4))+(PRESIONES!$E$34-ABERTURAS!$L$64)*MAX(0,MIN($W27,DATOS!$C$23*3/4)-MAX($V27,DATOS!$C$23*2/4))+(PRESIONES!$E$35-ABERTURAS!$L$64)*MAX(0,MIN($W27,DATOS!$C$23*4/4)-MAX($V27,DATOS!$C$23*3/4))))</f>
        <v>0</v>
      </c>
      <c r="AW27" s="26">
        <f>IF($L27&lt;&gt;"OK",0,PRESIONES!$C$12*((PRESIONES!$H$32-ABERTURAS!$L$65)*MAX(0,MIN($W27,DATOS!$C$23*1/4)-MAX($V27,DATOS!$C$23*0/4))+(PRESIONES!$H$33-ABERTURAS!$L$65)*MAX(0,MIN($W27,DATOS!$C$23*2/4)-MAX($V27,DATOS!$C$23*1/4))+(PRESIONES!$H$34-ABERTURAS!$L$65)*MAX(0,MIN($W27,DATOS!$C$23*3/4)-MAX($V27,DATOS!$C$23*2/4))+(PRESIONES!$H$35-ABERTURAS!$L$65)*MAX(0,MIN($W27,DATOS!$C$23*4/4)-MAX($V27,DATOS!$C$23*3/4))))</f>
        <v>0</v>
      </c>
      <c r="AX27" s="26">
        <f>IF($L27&lt;&gt;"OK",0,PRESIONES!$C$12*((PRESIONES!$K$32-ABERTURAS!$L$66)*MAX(0,MIN($W27,DATOS!$C$23*1/4)-MAX($V27,DATOS!$C$23*0/4))+(PRESIONES!$K$33-ABERTURAS!$L$66)*MAX(0,MIN($W27,DATOS!$C$23*2/4)-MAX($V27,DATOS!$C$23*1/4))+(PRESIONES!$K$34-ABERTURAS!$L$66)*MAX(0,MIN($W27,DATOS!$C$23*3/4)-MAX($V27,DATOS!$C$23*2/4))+(PRESIONES!$K$35-ABERTURAS!$L$66)*MAX(0,MIN($W27,DATOS!$C$23*4/4)-MAX($V27,DATOS!$C$23*3/4))))</f>
        <v>0</v>
      </c>
      <c r="AY27" s="26">
        <f>IF($L27&lt;&gt;"OK",0,PRESIONES!$C$12*((PRESIONES!$N$32-ABERTURAS!$L$67)*MAX(0,MIN($W27,DATOS!$C$23*1/4)-MAX($V27,DATOS!$C$23*0/4))+(PRESIONES!$N$33-ABERTURAS!$L$67)*MAX(0,MIN($W27,DATOS!$C$23*2/4)-MAX($V27,DATOS!$C$23*1/4))+(PRESIONES!$N$34-ABERTURAS!$L$67)*MAX(0,MIN($W27,DATOS!$C$23*3/4)-MAX($V27,DATOS!$C$23*2/4))+(PRESIONES!$N$35-ABERTURAS!$L$67)*MAX(0,MIN($W27,DATOS!$C$23*4/4)-MAX($V27,DATOS!$C$23*3/4))))</f>
        <v>0</v>
      </c>
      <c r="AZ27" s="26">
        <f>IF($L27&lt;&gt;"OK",0,PRESIONES!$C$12*((PRESIONES!$E$32-ABERTURAS!$L$60)*MAX(0,MIN($W27,DATOS!$C$23*1/4)-MAX($V27,DATOS!$C$23*0/4))*PRESIONES!$C$18+(PRESIONES!$E$33-ABERTURAS!$L$60)*MAX(0,MIN($W27,DATOS!$C$23*2/4)-MAX($V27,DATOS!$C$23*1/4))*PRESIONES!$C$19+(PRESIONES!$E$34-ABERTURAS!$L$60)*MAX(0,MIN($W27,DATOS!$C$23*3/4)-MAX($V27,DATOS!$C$23*2/4))*PRESIONES!$C$20+(PRESIONES!$E$35-ABERTURAS!$L$60)*MAX(0,MIN($W27,DATOS!$C$23*4/4)-MAX($V27,DATOS!$C$23*3/4))*PRESIONES!$C$21))</f>
        <v>0</v>
      </c>
      <c r="BA27" s="26">
        <f>IF($L27&lt;&gt;"OK",0,PRESIONES!$C$12*((PRESIONES!$H$32-ABERTURAS!$L$61)*MAX(0,MIN($W27,DATOS!$C$23*1/4)-MAX($V27,DATOS!$C$23*0/4))*PRESIONES!$C$18+(PRESIONES!$H$33-ABERTURAS!$L$61)*MAX(0,MIN($W27,DATOS!$C$23*2/4)-MAX($V27,DATOS!$C$23*1/4))*PRESIONES!$C$19+(PRESIONES!$H$34-ABERTURAS!$L$61)*MAX(0,MIN($W27,DATOS!$C$23*3/4)-MAX($V27,DATOS!$C$23*2/4))*PRESIONES!$C$20+(PRESIONES!$H$35-ABERTURAS!$L$61)*MAX(0,MIN($W27,DATOS!$C$23*4/4)-MAX($V27,DATOS!$C$23*3/4))*PRESIONES!$C$21))</f>
        <v>0</v>
      </c>
      <c r="BB27" s="26">
        <f>IF($L27&lt;&gt;"OK",0,PRESIONES!$C$12*((PRESIONES!$K$32-ABERTURAS!$L$62)*MAX(0,MIN($W27,DATOS!$C$23*1/4)-MAX($V27,DATOS!$C$23*0/4))*PRESIONES!$C$18+(PRESIONES!$K$33-ABERTURAS!$L$62)*MAX(0,MIN($W27,DATOS!$C$23*2/4)-MAX($V27,DATOS!$C$23*1/4))*PRESIONES!$C$19+(PRESIONES!$K$34-ABERTURAS!$L$62)*MAX(0,MIN($W27,DATOS!$C$23*3/4)-MAX($V27,DATOS!$C$23*2/4))*PRESIONES!$C$20+(PRESIONES!$K$35-ABERTURAS!$L$62)*MAX(0,MIN($W27,DATOS!$C$23*4/4)-MAX($V27,DATOS!$C$23*3/4))*PRESIONES!$C$21))</f>
        <v>0</v>
      </c>
      <c r="BC27" s="26">
        <f>IF($L27&lt;&gt;"OK",0,PRESIONES!$C$12*((PRESIONES!$N$32-ABERTURAS!$L$63)*MAX(0,MIN($W27,DATOS!$C$23*1/4)-MAX($V27,DATOS!$C$23*0/4))*PRESIONES!$C$18+(PRESIONES!$N$33-ABERTURAS!$L$63)*MAX(0,MIN($W27,DATOS!$C$23*2/4)-MAX($V27,DATOS!$C$23*1/4))*PRESIONES!$C$19+(PRESIONES!$N$34-ABERTURAS!$L$63)*MAX(0,MIN($W27,DATOS!$C$23*3/4)-MAX($V27,DATOS!$C$23*2/4))*PRESIONES!$C$20+(PRESIONES!$N$35-ABERTURAS!$L$63)*MAX(0,MIN($W27,DATOS!$C$23*4/4)-MAX($V27,DATOS!$C$23*3/4))*PRESIONES!$C$21))</f>
        <v>0</v>
      </c>
      <c r="BD27" s="26">
        <f>IF($L27&lt;&gt;"OK",0,PRESIONES!$C$12*((PRESIONES!$E$32-ABERTURAS!$L$64)*MAX(0,MIN($W27,DATOS!$C$23*1/4)-MAX($V27,DATOS!$C$23*0/4))*PRESIONES!$C$18+(PRESIONES!$E$33-ABERTURAS!$L$64)*MAX(0,MIN($W27,DATOS!$C$23*2/4)-MAX($V27,DATOS!$C$23*1/4))*PRESIONES!$C$19+(PRESIONES!$E$34-ABERTURAS!$L$64)*MAX(0,MIN($W27,DATOS!$C$23*3/4)-MAX($V27,DATOS!$C$23*2/4))*PRESIONES!$C$20+(PRESIONES!$E$35-ABERTURAS!$L$64)*MAX(0,MIN($W27,DATOS!$C$23*4/4)-MAX($V27,DATOS!$C$23*3/4))*PRESIONES!$C$21))</f>
        <v>0</v>
      </c>
      <c r="BE27" s="26">
        <f>IF($L27&lt;&gt;"OK",0,PRESIONES!$C$12*((PRESIONES!$H$32-ABERTURAS!$L$65)*MAX(0,MIN($W27,DATOS!$C$23*1/4)-MAX($V27,DATOS!$C$23*0/4))*PRESIONES!$C$18+(PRESIONES!$H$33-ABERTURAS!$L$65)*MAX(0,MIN($W27,DATOS!$C$23*2/4)-MAX($V27,DATOS!$C$23*1/4))*PRESIONES!$C$19+(PRESIONES!$H$34-ABERTURAS!$L$65)*MAX(0,MIN($W27,DATOS!$C$23*3/4)-MAX($V27,DATOS!$C$23*2/4))*PRESIONES!$C$20+(PRESIONES!$H$35-ABERTURAS!$L$65)*MAX(0,MIN($W27,DATOS!$C$23*4/4)-MAX($V27,DATOS!$C$23*3/4))*PRESIONES!$C$21))</f>
        <v>0</v>
      </c>
      <c r="BF27" s="26">
        <f>IF($L27&lt;&gt;"OK",0,PRESIONES!$C$12*((PRESIONES!$K$32-ABERTURAS!$L$66)*MAX(0,MIN($W27,DATOS!$C$23*1/4)-MAX($V27,DATOS!$C$23*0/4))*PRESIONES!$C$18+(PRESIONES!$K$33-ABERTURAS!$L$66)*MAX(0,MIN($W27,DATOS!$C$23*2/4)-MAX($V27,DATOS!$C$23*1/4))*PRESIONES!$C$19+(PRESIONES!$K$34-ABERTURAS!$L$66)*MAX(0,MIN($W27,DATOS!$C$23*3/4)-MAX($V27,DATOS!$C$23*2/4))*PRESIONES!$C$20+(PRESIONES!$K$35-ABERTURAS!$L$66)*MAX(0,MIN($W27,DATOS!$C$23*4/4)-MAX($V27,DATOS!$C$23*3/4))*PRESIONES!$C$21))</f>
        <v>0</v>
      </c>
      <c r="BG27" s="26">
        <f>IF($L27&lt;&gt;"OK",0,PRESIONES!$C$12*((PRESIONES!$N$32-ABERTURAS!$L$67)*MAX(0,MIN($W27,DATOS!$C$23*1/4)-MAX($V27,DATOS!$C$23*0/4))*PRESIONES!$C$18+(PRESIONES!$N$33-ABERTURAS!$L$67)*MAX(0,MIN($W27,DATOS!$C$23*2/4)-MAX($V27,DATOS!$C$23*1/4))*PRESIONES!$C$19+(PRESIONES!$N$34-ABERTURAS!$L$67)*MAX(0,MIN($W27,DATOS!$C$23*3/4)-MAX($V27,DATOS!$C$23*2/4))*PRESIONES!$C$20+(PRESIONES!$N$35-ABERTURAS!$L$67)*MAX(0,MIN($W27,DATOS!$C$23*4/4)-MAX($V27,DATOS!$C$23*3/4))*PRESIONES!$C$21))</f>
        <v>0</v>
      </c>
    </row>
    <row r="28" spans="2:59" ht="15" customHeight="1" x14ac:dyDescent="0.3">
      <c r="B28" s="4"/>
      <c r="C28" s="15"/>
      <c r="D28" s="4"/>
      <c r="E28" s="15"/>
      <c r="F28" s="40"/>
      <c r="G28" s="40"/>
      <c r="H28" s="40"/>
      <c r="I28" s="40"/>
      <c r="J28" s="40"/>
      <c r="K28" s="40"/>
      <c r="L28" s="18" t="str">
        <f>IF($D28="","",IF($C28&lt;&gt;"TECHO","PON TECHO",IF(OR($F28="",$G28="",$H28="",$I28=""),"FALTAN a o b",IF($M28&lt;=0,"a₂ DEBE SER &gt; a₁",IF($N28&lt;=0,"b₂ DEBE SER &gt; b₁",IF(OR($V28&lt;-0.001,$W28&gt;DATOS!$C$23+0.001),"SE SALE DEL TECHO","OK"))))))</f>
        <v/>
      </c>
      <c r="M28" s="26">
        <f t="shared" si="0"/>
        <v>0</v>
      </c>
      <c r="N28" s="26">
        <f t="shared" si="1"/>
        <v>0</v>
      </c>
      <c r="O28" s="26">
        <f t="shared" si="2"/>
        <v>0</v>
      </c>
      <c r="P28" s="26">
        <v>0</v>
      </c>
      <c r="Q28" s="26">
        <v>0</v>
      </c>
      <c r="R28" s="26">
        <f t="shared" si="3"/>
        <v>0</v>
      </c>
      <c r="S28" s="26">
        <f t="shared" si="3"/>
        <v>0</v>
      </c>
      <c r="T28" s="41">
        <f>IF($D28="",0,DATOS!$C$21)</f>
        <v>0</v>
      </c>
      <c r="U28" s="41">
        <v>0</v>
      </c>
      <c r="V28" s="41">
        <f t="shared" si="4"/>
        <v>0</v>
      </c>
      <c r="W28" s="41">
        <f t="shared" si="5"/>
        <v>0</v>
      </c>
      <c r="AB28" s="26">
        <f>IF($L28&lt;&gt;"OK",0,PRESIONES!$C$12*((PRESIONES!$D$32-ABERTURAS!$L$60)*MAX(0,MIN($W28,DATOS!$C$23*1/4)-MAX($V28,DATOS!$C$23*0/4))+(PRESIONES!$D$33-ABERTURAS!$L$60)*MAX(0,MIN($W28,DATOS!$C$23*2/4)-MAX($V28,DATOS!$C$23*1/4))+(PRESIONES!$D$34-ABERTURAS!$L$60)*MAX(0,MIN($W28,DATOS!$C$23*3/4)-MAX($V28,DATOS!$C$23*2/4))+(PRESIONES!$D$35-ABERTURAS!$L$60)*MAX(0,MIN($W28,DATOS!$C$23*4/4)-MAX($V28,DATOS!$C$23*3/4))))</f>
        <v>0</v>
      </c>
      <c r="AC28" s="26">
        <f>IF($L28&lt;&gt;"OK",0,PRESIONES!$C$12*((PRESIONES!$G$32-ABERTURAS!$L$61)*MAX(0,MIN($W28,DATOS!$C$23*1/4)-MAX($V28,DATOS!$C$23*0/4))+(PRESIONES!$G$33-ABERTURAS!$L$61)*MAX(0,MIN($W28,DATOS!$C$23*2/4)-MAX($V28,DATOS!$C$23*1/4))+(PRESIONES!$G$34-ABERTURAS!$L$61)*MAX(0,MIN($W28,DATOS!$C$23*3/4)-MAX($V28,DATOS!$C$23*2/4))+(PRESIONES!$G$35-ABERTURAS!$L$61)*MAX(0,MIN($W28,DATOS!$C$23*4/4)-MAX($V28,DATOS!$C$23*3/4))))</f>
        <v>0</v>
      </c>
      <c r="AD28" s="26">
        <f>IF($L28&lt;&gt;"OK",0,PRESIONES!$C$12*((PRESIONES!$J$32-ABERTURAS!$L$62)*MAX(0,MIN($W28,DATOS!$C$23*1/4)-MAX($V28,DATOS!$C$23*0/4))+(PRESIONES!$J$33-ABERTURAS!$L$62)*MAX(0,MIN($W28,DATOS!$C$23*2/4)-MAX($V28,DATOS!$C$23*1/4))+(PRESIONES!$J$34-ABERTURAS!$L$62)*MAX(0,MIN($W28,DATOS!$C$23*3/4)-MAX($V28,DATOS!$C$23*2/4))+(PRESIONES!$J$35-ABERTURAS!$L$62)*MAX(0,MIN($W28,DATOS!$C$23*4/4)-MAX($V28,DATOS!$C$23*3/4))))</f>
        <v>0</v>
      </c>
      <c r="AE28" s="26">
        <f>IF($L28&lt;&gt;"OK",0,PRESIONES!$C$12*((PRESIONES!$M$32-ABERTURAS!$L$63)*MAX(0,MIN($W28,DATOS!$C$23*1/4)-MAX($V28,DATOS!$C$23*0/4))+(PRESIONES!$M$33-ABERTURAS!$L$63)*MAX(0,MIN($W28,DATOS!$C$23*2/4)-MAX($V28,DATOS!$C$23*1/4))+(PRESIONES!$M$34-ABERTURAS!$L$63)*MAX(0,MIN($W28,DATOS!$C$23*3/4)-MAX($V28,DATOS!$C$23*2/4))+(PRESIONES!$M$35-ABERTURAS!$L$63)*MAX(0,MIN($W28,DATOS!$C$23*4/4)-MAX($V28,DATOS!$C$23*3/4))))</f>
        <v>0</v>
      </c>
      <c r="AF28" s="26">
        <f>IF($L28&lt;&gt;"OK",0,PRESIONES!$C$12*((PRESIONES!$D$32-ABERTURAS!$L$64)*MAX(0,MIN($W28,DATOS!$C$23*1/4)-MAX($V28,DATOS!$C$23*0/4))+(PRESIONES!$D$33-ABERTURAS!$L$64)*MAX(0,MIN($W28,DATOS!$C$23*2/4)-MAX($V28,DATOS!$C$23*1/4))+(PRESIONES!$D$34-ABERTURAS!$L$64)*MAX(0,MIN($W28,DATOS!$C$23*3/4)-MAX($V28,DATOS!$C$23*2/4))+(PRESIONES!$D$35-ABERTURAS!$L$64)*MAX(0,MIN($W28,DATOS!$C$23*4/4)-MAX($V28,DATOS!$C$23*3/4))))</f>
        <v>0</v>
      </c>
      <c r="AG28" s="26">
        <f>IF($L28&lt;&gt;"OK",0,PRESIONES!$C$12*((PRESIONES!$G$32-ABERTURAS!$L$65)*MAX(0,MIN($W28,DATOS!$C$23*1/4)-MAX($V28,DATOS!$C$23*0/4))+(PRESIONES!$G$33-ABERTURAS!$L$65)*MAX(0,MIN($W28,DATOS!$C$23*2/4)-MAX($V28,DATOS!$C$23*1/4))+(PRESIONES!$G$34-ABERTURAS!$L$65)*MAX(0,MIN($W28,DATOS!$C$23*3/4)-MAX($V28,DATOS!$C$23*2/4))+(PRESIONES!$G$35-ABERTURAS!$L$65)*MAX(0,MIN($W28,DATOS!$C$23*4/4)-MAX($V28,DATOS!$C$23*3/4))))</f>
        <v>0</v>
      </c>
      <c r="AH28" s="26">
        <f>IF($L28&lt;&gt;"OK",0,PRESIONES!$C$12*((PRESIONES!$J$32-ABERTURAS!$L$66)*MAX(0,MIN($W28,DATOS!$C$23*1/4)-MAX($V28,DATOS!$C$23*0/4))+(PRESIONES!$J$33-ABERTURAS!$L$66)*MAX(0,MIN($W28,DATOS!$C$23*2/4)-MAX($V28,DATOS!$C$23*1/4))+(PRESIONES!$J$34-ABERTURAS!$L$66)*MAX(0,MIN($W28,DATOS!$C$23*3/4)-MAX($V28,DATOS!$C$23*2/4))+(PRESIONES!$J$35-ABERTURAS!$L$66)*MAX(0,MIN($W28,DATOS!$C$23*4/4)-MAX($V28,DATOS!$C$23*3/4))))</f>
        <v>0</v>
      </c>
      <c r="AI28" s="26">
        <f>IF($L28&lt;&gt;"OK",0,PRESIONES!$C$12*((PRESIONES!$M$32-ABERTURAS!$L$67)*MAX(0,MIN($W28,DATOS!$C$23*1/4)-MAX($V28,DATOS!$C$23*0/4))+(PRESIONES!$M$33-ABERTURAS!$L$67)*MAX(0,MIN($W28,DATOS!$C$23*2/4)-MAX($V28,DATOS!$C$23*1/4))+(PRESIONES!$M$34-ABERTURAS!$L$67)*MAX(0,MIN($W28,DATOS!$C$23*3/4)-MAX($V28,DATOS!$C$23*2/4))+(PRESIONES!$M$35-ABERTURAS!$L$67)*MAX(0,MIN($W28,DATOS!$C$23*4/4)-MAX($V28,DATOS!$C$23*3/4))))</f>
        <v>0</v>
      </c>
      <c r="AJ28" s="26">
        <f>IF($L28&lt;&gt;"OK",0,PRESIONES!$C$12*((PRESIONES!$D$32-ABERTURAS!$L$60)*MAX(0,MIN($W28,DATOS!$C$23*1/4)-MAX($V28,DATOS!$C$23*0/4))*PRESIONES!$C$18+(PRESIONES!$D$33-ABERTURAS!$L$60)*MAX(0,MIN($W28,DATOS!$C$23*2/4)-MAX($V28,DATOS!$C$23*1/4))*PRESIONES!$C$19+(PRESIONES!$D$34-ABERTURAS!$L$60)*MAX(0,MIN($W28,DATOS!$C$23*3/4)-MAX($V28,DATOS!$C$23*2/4))*PRESIONES!$C$20+(PRESIONES!$D$35-ABERTURAS!$L$60)*MAX(0,MIN($W28,DATOS!$C$23*4/4)-MAX($V28,DATOS!$C$23*3/4))*PRESIONES!$C$21))</f>
        <v>0</v>
      </c>
      <c r="AK28" s="26">
        <f>IF($L28&lt;&gt;"OK",0,PRESIONES!$C$12*((PRESIONES!$G$32-ABERTURAS!$L$61)*MAX(0,MIN($W28,DATOS!$C$23*1/4)-MAX($V28,DATOS!$C$23*0/4))*PRESIONES!$C$18+(PRESIONES!$G$33-ABERTURAS!$L$61)*MAX(0,MIN($W28,DATOS!$C$23*2/4)-MAX($V28,DATOS!$C$23*1/4))*PRESIONES!$C$19+(PRESIONES!$G$34-ABERTURAS!$L$61)*MAX(0,MIN($W28,DATOS!$C$23*3/4)-MAX($V28,DATOS!$C$23*2/4))*PRESIONES!$C$20+(PRESIONES!$G$35-ABERTURAS!$L$61)*MAX(0,MIN($W28,DATOS!$C$23*4/4)-MAX($V28,DATOS!$C$23*3/4))*PRESIONES!$C$21))</f>
        <v>0</v>
      </c>
      <c r="AL28" s="26">
        <f>IF($L28&lt;&gt;"OK",0,PRESIONES!$C$12*((PRESIONES!$J$32-ABERTURAS!$L$62)*MAX(0,MIN($W28,DATOS!$C$23*1/4)-MAX($V28,DATOS!$C$23*0/4))*PRESIONES!$C$18+(PRESIONES!$J$33-ABERTURAS!$L$62)*MAX(0,MIN($W28,DATOS!$C$23*2/4)-MAX($V28,DATOS!$C$23*1/4))*PRESIONES!$C$19+(PRESIONES!$J$34-ABERTURAS!$L$62)*MAX(0,MIN($W28,DATOS!$C$23*3/4)-MAX($V28,DATOS!$C$23*2/4))*PRESIONES!$C$20+(PRESIONES!$J$35-ABERTURAS!$L$62)*MAX(0,MIN($W28,DATOS!$C$23*4/4)-MAX($V28,DATOS!$C$23*3/4))*PRESIONES!$C$21))</f>
        <v>0</v>
      </c>
      <c r="AM28" s="26">
        <f>IF($L28&lt;&gt;"OK",0,PRESIONES!$C$12*((PRESIONES!$M$32-ABERTURAS!$L$63)*MAX(0,MIN($W28,DATOS!$C$23*1/4)-MAX($V28,DATOS!$C$23*0/4))*PRESIONES!$C$18+(PRESIONES!$M$33-ABERTURAS!$L$63)*MAX(0,MIN($W28,DATOS!$C$23*2/4)-MAX($V28,DATOS!$C$23*1/4))*PRESIONES!$C$19+(PRESIONES!$M$34-ABERTURAS!$L$63)*MAX(0,MIN($W28,DATOS!$C$23*3/4)-MAX($V28,DATOS!$C$23*2/4))*PRESIONES!$C$20+(PRESIONES!$M$35-ABERTURAS!$L$63)*MAX(0,MIN($W28,DATOS!$C$23*4/4)-MAX($V28,DATOS!$C$23*3/4))*PRESIONES!$C$21))</f>
        <v>0</v>
      </c>
      <c r="AN28" s="26">
        <f>IF($L28&lt;&gt;"OK",0,PRESIONES!$C$12*((PRESIONES!$D$32-ABERTURAS!$L$64)*MAX(0,MIN($W28,DATOS!$C$23*1/4)-MAX($V28,DATOS!$C$23*0/4))*PRESIONES!$C$18+(PRESIONES!$D$33-ABERTURAS!$L$64)*MAX(0,MIN($W28,DATOS!$C$23*2/4)-MAX($V28,DATOS!$C$23*1/4))*PRESIONES!$C$19+(PRESIONES!$D$34-ABERTURAS!$L$64)*MAX(0,MIN($W28,DATOS!$C$23*3/4)-MAX($V28,DATOS!$C$23*2/4))*PRESIONES!$C$20+(PRESIONES!$D$35-ABERTURAS!$L$64)*MAX(0,MIN($W28,DATOS!$C$23*4/4)-MAX($V28,DATOS!$C$23*3/4))*PRESIONES!$C$21))</f>
        <v>0</v>
      </c>
      <c r="AO28" s="26">
        <f>IF($L28&lt;&gt;"OK",0,PRESIONES!$C$12*((PRESIONES!$G$32-ABERTURAS!$L$65)*MAX(0,MIN($W28,DATOS!$C$23*1/4)-MAX($V28,DATOS!$C$23*0/4))*PRESIONES!$C$18+(PRESIONES!$G$33-ABERTURAS!$L$65)*MAX(0,MIN($W28,DATOS!$C$23*2/4)-MAX($V28,DATOS!$C$23*1/4))*PRESIONES!$C$19+(PRESIONES!$G$34-ABERTURAS!$L$65)*MAX(0,MIN($W28,DATOS!$C$23*3/4)-MAX($V28,DATOS!$C$23*2/4))*PRESIONES!$C$20+(PRESIONES!$G$35-ABERTURAS!$L$65)*MAX(0,MIN($W28,DATOS!$C$23*4/4)-MAX($V28,DATOS!$C$23*3/4))*PRESIONES!$C$21))</f>
        <v>0</v>
      </c>
      <c r="AP28" s="26">
        <f>IF($L28&lt;&gt;"OK",0,PRESIONES!$C$12*((PRESIONES!$J$32-ABERTURAS!$L$66)*MAX(0,MIN($W28,DATOS!$C$23*1/4)-MAX($V28,DATOS!$C$23*0/4))*PRESIONES!$C$18+(PRESIONES!$J$33-ABERTURAS!$L$66)*MAX(0,MIN($W28,DATOS!$C$23*2/4)-MAX($V28,DATOS!$C$23*1/4))*PRESIONES!$C$19+(PRESIONES!$J$34-ABERTURAS!$L$66)*MAX(0,MIN($W28,DATOS!$C$23*3/4)-MAX($V28,DATOS!$C$23*2/4))*PRESIONES!$C$20+(PRESIONES!$J$35-ABERTURAS!$L$66)*MAX(0,MIN($W28,DATOS!$C$23*4/4)-MAX($V28,DATOS!$C$23*3/4))*PRESIONES!$C$21))</f>
        <v>0</v>
      </c>
      <c r="AQ28" s="26">
        <f>IF($L28&lt;&gt;"OK",0,PRESIONES!$C$12*((PRESIONES!$M$32-ABERTURAS!$L$67)*MAX(0,MIN($W28,DATOS!$C$23*1/4)-MAX($V28,DATOS!$C$23*0/4))*PRESIONES!$C$18+(PRESIONES!$M$33-ABERTURAS!$L$67)*MAX(0,MIN($W28,DATOS!$C$23*2/4)-MAX($V28,DATOS!$C$23*1/4))*PRESIONES!$C$19+(PRESIONES!$M$34-ABERTURAS!$L$67)*MAX(0,MIN($W28,DATOS!$C$23*3/4)-MAX($V28,DATOS!$C$23*2/4))*PRESIONES!$C$20+(PRESIONES!$M$35-ABERTURAS!$L$67)*MAX(0,MIN($W28,DATOS!$C$23*4/4)-MAX($V28,DATOS!$C$23*3/4))*PRESIONES!$C$21))</f>
        <v>0</v>
      </c>
      <c r="AR28" s="26">
        <f>IF($L28&lt;&gt;"OK",0,PRESIONES!$C$12*((PRESIONES!$E$32-ABERTURAS!$L$60)*MAX(0,MIN($W28,DATOS!$C$23*1/4)-MAX($V28,DATOS!$C$23*0/4))+(PRESIONES!$E$33-ABERTURAS!$L$60)*MAX(0,MIN($W28,DATOS!$C$23*2/4)-MAX($V28,DATOS!$C$23*1/4))+(PRESIONES!$E$34-ABERTURAS!$L$60)*MAX(0,MIN($W28,DATOS!$C$23*3/4)-MAX($V28,DATOS!$C$23*2/4))+(PRESIONES!$E$35-ABERTURAS!$L$60)*MAX(0,MIN($W28,DATOS!$C$23*4/4)-MAX($V28,DATOS!$C$23*3/4))))</f>
        <v>0</v>
      </c>
      <c r="AS28" s="26">
        <f>IF($L28&lt;&gt;"OK",0,PRESIONES!$C$12*((PRESIONES!$H$32-ABERTURAS!$L$61)*MAX(0,MIN($W28,DATOS!$C$23*1/4)-MAX($V28,DATOS!$C$23*0/4))+(PRESIONES!$H$33-ABERTURAS!$L$61)*MAX(0,MIN($W28,DATOS!$C$23*2/4)-MAX($V28,DATOS!$C$23*1/4))+(PRESIONES!$H$34-ABERTURAS!$L$61)*MAX(0,MIN($W28,DATOS!$C$23*3/4)-MAX($V28,DATOS!$C$23*2/4))+(PRESIONES!$H$35-ABERTURAS!$L$61)*MAX(0,MIN($W28,DATOS!$C$23*4/4)-MAX($V28,DATOS!$C$23*3/4))))</f>
        <v>0</v>
      </c>
      <c r="AT28" s="26">
        <f>IF($L28&lt;&gt;"OK",0,PRESIONES!$C$12*((PRESIONES!$K$32-ABERTURAS!$L$62)*MAX(0,MIN($W28,DATOS!$C$23*1/4)-MAX($V28,DATOS!$C$23*0/4))+(PRESIONES!$K$33-ABERTURAS!$L$62)*MAX(0,MIN($W28,DATOS!$C$23*2/4)-MAX($V28,DATOS!$C$23*1/4))+(PRESIONES!$K$34-ABERTURAS!$L$62)*MAX(0,MIN($W28,DATOS!$C$23*3/4)-MAX($V28,DATOS!$C$23*2/4))+(PRESIONES!$K$35-ABERTURAS!$L$62)*MAX(0,MIN($W28,DATOS!$C$23*4/4)-MAX($V28,DATOS!$C$23*3/4))))</f>
        <v>0</v>
      </c>
      <c r="AU28" s="26">
        <f>IF($L28&lt;&gt;"OK",0,PRESIONES!$C$12*((PRESIONES!$N$32-ABERTURAS!$L$63)*MAX(0,MIN($W28,DATOS!$C$23*1/4)-MAX($V28,DATOS!$C$23*0/4))+(PRESIONES!$N$33-ABERTURAS!$L$63)*MAX(0,MIN($W28,DATOS!$C$23*2/4)-MAX($V28,DATOS!$C$23*1/4))+(PRESIONES!$N$34-ABERTURAS!$L$63)*MAX(0,MIN($W28,DATOS!$C$23*3/4)-MAX($V28,DATOS!$C$23*2/4))+(PRESIONES!$N$35-ABERTURAS!$L$63)*MAX(0,MIN($W28,DATOS!$C$23*4/4)-MAX($V28,DATOS!$C$23*3/4))))</f>
        <v>0</v>
      </c>
      <c r="AV28" s="26">
        <f>IF($L28&lt;&gt;"OK",0,PRESIONES!$C$12*((PRESIONES!$E$32-ABERTURAS!$L$64)*MAX(0,MIN($W28,DATOS!$C$23*1/4)-MAX($V28,DATOS!$C$23*0/4))+(PRESIONES!$E$33-ABERTURAS!$L$64)*MAX(0,MIN($W28,DATOS!$C$23*2/4)-MAX($V28,DATOS!$C$23*1/4))+(PRESIONES!$E$34-ABERTURAS!$L$64)*MAX(0,MIN($W28,DATOS!$C$23*3/4)-MAX($V28,DATOS!$C$23*2/4))+(PRESIONES!$E$35-ABERTURAS!$L$64)*MAX(0,MIN($W28,DATOS!$C$23*4/4)-MAX($V28,DATOS!$C$23*3/4))))</f>
        <v>0</v>
      </c>
      <c r="AW28" s="26">
        <f>IF($L28&lt;&gt;"OK",0,PRESIONES!$C$12*((PRESIONES!$H$32-ABERTURAS!$L$65)*MAX(0,MIN($W28,DATOS!$C$23*1/4)-MAX($V28,DATOS!$C$23*0/4))+(PRESIONES!$H$33-ABERTURAS!$L$65)*MAX(0,MIN($W28,DATOS!$C$23*2/4)-MAX($V28,DATOS!$C$23*1/4))+(PRESIONES!$H$34-ABERTURAS!$L$65)*MAX(0,MIN($W28,DATOS!$C$23*3/4)-MAX($V28,DATOS!$C$23*2/4))+(PRESIONES!$H$35-ABERTURAS!$L$65)*MAX(0,MIN($W28,DATOS!$C$23*4/4)-MAX($V28,DATOS!$C$23*3/4))))</f>
        <v>0</v>
      </c>
      <c r="AX28" s="26">
        <f>IF($L28&lt;&gt;"OK",0,PRESIONES!$C$12*((PRESIONES!$K$32-ABERTURAS!$L$66)*MAX(0,MIN($W28,DATOS!$C$23*1/4)-MAX($V28,DATOS!$C$23*0/4))+(PRESIONES!$K$33-ABERTURAS!$L$66)*MAX(0,MIN($W28,DATOS!$C$23*2/4)-MAX($V28,DATOS!$C$23*1/4))+(PRESIONES!$K$34-ABERTURAS!$L$66)*MAX(0,MIN($W28,DATOS!$C$23*3/4)-MAX($V28,DATOS!$C$23*2/4))+(PRESIONES!$K$35-ABERTURAS!$L$66)*MAX(0,MIN($W28,DATOS!$C$23*4/4)-MAX($V28,DATOS!$C$23*3/4))))</f>
        <v>0</v>
      </c>
      <c r="AY28" s="26">
        <f>IF($L28&lt;&gt;"OK",0,PRESIONES!$C$12*((PRESIONES!$N$32-ABERTURAS!$L$67)*MAX(0,MIN($W28,DATOS!$C$23*1/4)-MAX($V28,DATOS!$C$23*0/4))+(PRESIONES!$N$33-ABERTURAS!$L$67)*MAX(0,MIN($W28,DATOS!$C$23*2/4)-MAX($V28,DATOS!$C$23*1/4))+(PRESIONES!$N$34-ABERTURAS!$L$67)*MAX(0,MIN($W28,DATOS!$C$23*3/4)-MAX($V28,DATOS!$C$23*2/4))+(PRESIONES!$N$35-ABERTURAS!$L$67)*MAX(0,MIN($W28,DATOS!$C$23*4/4)-MAX($V28,DATOS!$C$23*3/4))))</f>
        <v>0</v>
      </c>
      <c r="AZ28" s="26">
        <f>IF($L28&lt;&gt;"OK",0,PRESIONES!$C$12*((PRESIONES!$E$32-ABERTURAS!$L$60)*MAX(0,MIN($W28,DATOS!$C$23*1/4)-MAX($V28,DATOS!$C$23*0/4))*PRESIONES!$C$18+(PRESIONES!$E$33-ABERTURAS!$L$60)*MAX(0,MIN($W28,DATOS!$C$23*2/4)-MAX($V28,DATOS!$C$23*1/4))*PRESIONES!$C$19+(PRESIONES!$E$34-ABERTURAS!$L$60)*MAX(0,MIN($W28,DATOS!$C$23*3/4)-MAX($V28,DATOS!$C$23*2/4))*PRESIONES!$C$20+(PRESIONES!$E$35-ABERTURAS!$L$60)*MAX(0,MIN($W28,DATOS!$C$23*4/4)-MAX($V28,DATOS!$C$23*3/4))*PRESIONES!$C$21))</f>
        <v>0</v>
      </c>
      <c r="BA28" s="26">
        <f>IF($L28&lt;&gt;"OK",0,PRESIONES!$C$12*((PRESIONES!$H$32-ABERTURAS!$L$61)*MAX(0,MIN($W28,DATOS!$C$23*1/4)-MAX($V28,DATOS!$C$23*0/4))*PRESIONES!$C$18+(PRESIONES!$H$33-ABERTURAS!$L$61)*MAX(0,MIN($W28,DATOS!$C$23*2/4)-MAX($V28,DATOS!$C$23*1/4))*PRESIONES!$C$19+(PRESIONES!$H$34-ABERTURAS!$L$61)*MAX(0,MIN($W28,DATOS!$C$23*3/4)-MAX($V28,DATOS!$C$23*2/4))*PRESIONES!$C$20+(PRESIONES!$H$35-ABERTURAS!$L$61)*MAX(0,MIN($W28,DATOS!$C$23*4/4)-MAX($V28,DATOS!$C$23*3/4))*PRESIONES!$C$21))</f>
        <v>0</v>
      </c>
      <c r="BB28" s="26">
        <f>IF($L28&lt;&gt;"OK",0,PRESIONES!$C$12*((PRESIONES!$K$32-ABERTURAS!$L$62)*MAX(0,MIN($W28,DATOS!$C$23*1/4)-MAX($V28,DATOS!$C$23*0/4))*PRESIONES!$C$18+(PRESIONES!$K$33-ABERTURAS!$L$62)*MAX(0,MIN($W28,DATOS!$C$23*2/4)-MAX($V28,DATOS!$C$23*1/4))*PRESIONES!$C$19+(PRESIONES!$K$34-ABERTURAS!$L$62)*MAX(0,MIN($W28,DATOS!$C$23*3/4)-MAX($V28,DATOS!$C$23*2/4))*PRESIONES!$C$20+(PRESIONES!$K$35-ABERTURAS!$L$62)*MAX(0,MIN($W28,DATOS!$C$23*4/4)-MAX($V28,DATOS!$C$23*3/4))*PRESIONES!$C$21))</f>
        <v>0</v>
      </c>
      <c r="BC28" s="26">
        <f>IF($L28&lt;&gt;"OK",0,PRESIONES!$C$12*((PRESIONES!$N$32-ABERTURAS!$L$63)*MAX(0,MIN($W28,DATOS!$C$23*1/4)-MAX($V28,DATOS!$C$23*0/4))*PRESIONES!$C$18+(PRESIONES!$N$33-ABERTURAS!$L$63)*MAX(0,MIN($W28,DATOS!$C$23*2/4)-MAX($V28,DATOS!$C$23*1/4))*PRESIONES!$C$19+(PRESIONES!$N$34-ABERTURAS!$L$63)*MAX(0,MIN($W28,DATOS!$C$23*3/4)-MAX($V28,DATOS!$C$23*2/4))*PRESIONES!$C$20+(PRESIONES!$N$35-ABERTURAS!$L$63)*MAX(0,MIN($W28,DATOS!$C$23*4/4)-MAX($V28,DATOS!$C$23*3/4))*PRESIONES!$C$21))</f>
        <v>0</v>
      </c>
      <c r="BD28" s="26">
        <f>IF($L28&lt;&gt;"OK",0,PRESIONES!$C$12*((PRESIONES!$E$32-ABERTURAS!$L$64)*MAX(0,MIN($W28,DATOS!$C$23*1/4)-MAX($V28,DATOS!$C$23*0/4))*PRESIONES!$C$18+(PRESIONES!$E$33-ABERTURAS!$L$64)*MAX(0,MIN($W28,DATOS!$C$23*2/4)-MAX($V28,DATOS!$C$23*1/4))*PRESIONES!$C$19+(PRESIONES!$E$34-ABERTURAS!$L$64)*MAX(0,MIN($W28,DATOS!$C$23*3/4)-MAX($V28,DATOS!$C$23*2/4))*PRESIONES!$C$20+(PRESIONES!$E$35-ABERTURAS!$L$64)*MAX(0,MIN($W28,DATOS!$C$23*4/4)-MAX($V28,DATOS!$C$23*3/4))*PRESIONES!$C$21))</f>
        <v>0</v>
      </c>
      <c r="BE28" s="26">
        <f>IF($L28&lt;&gt;"OK",0,PRESIONES!$C$12*((PRESIONES!$H$32-ABERTURAS!$L$65)*MAX(0,MIN($W28,DATOS!$C$23*1/4)-MAX($V28,DATOS!$C$23*0/4))*PRESIONES!$C$18+(PRESIONES!$H$33-ABERTURAS!$L$65)*MAX(0,MIN($W28,DATOS!$C$23*2/4)-MAX($V28,DATOS!$C$23*1/4))*PRESIONES!$C$19+(PRESIONES!$H$34-ABERTURAS!$L$65)*MAX(0,MIN($W28,DATOS!$C$23*3/4)-MAX($V28,DATOS!$C$23*2/4))*PRESIONES!$C$20+(PRESIONES!$H$35-ABERTURAS!$L$65)*MAX(0,MIN($W28,DATOS!$C$23*4/4)-MAX($V28,DATOS!$C$23*3/4))*PRESIONES!$C$21))</f>
        <v>0</v>
      </c>
      <c r="BF28" s="26">
        <f>IF($L28&lt;&gt;"OK",0,PRESIONES!$C$12*((PRESIONES!$K$32-ABERTURAS!$L$66)*MAX(0,MIN($W28,DATOS!$C$23*1/4)-MAX($V28,DATOS!$C$23*0/4))*PRESIONES!$C$18+(PRESIONES!$K$33-ABERTURAS!$L$66)*MAX(0,MIN($W28,DATOS!$C$23*2/4)-MAX($V28,DATOS!$C$23*1/4))*PRESIONES!$C$19+(PRESIONES!$K$34-ABERTURAS!$L$66)*MAX(0,MIN($W28,DATOS!$C$23*3/4)-MAX($V28,DATOS!$C$23*2/4))*PRESIONES!$C$20+(PRESIONES!$K$35-ABERTURAS!$L$66)*MAX(0,MIN($W28,DATOS!$C$23*4/4)-MAX($V28,DATOS!$C$23*3/4))*PRESIONES!$C$21))</f>
        <v>0</v>
      </c>
      <c r="BG28" s="26">
        <f>IF($L28&lt;&gt;"OK",0,PRESIONES!$C$12*((PRESIONES!$N$32-ABERTURAS!$L$67)*MAX(0,MIN($W28,DATOS!$C$23*1/4)-MAX($V28,DATOS!$C$23*0/4))*PRESIONES!$C$18+(PRESIONES!$N$33-ABERTURAS!$L$67)*MAX(0,MIN($W28,DATOS!$C$23*2/4)-MAX($V28,DATOS!$C$23*1/4))*PRESIONES!$C$19+(PRESIONES!$N$34-ABERTURAS!$L$67)*MAX(0,MIN($W28,DATOS!$C$23*3/4)-MAX($V28,DATOS!$C$23*2/4))*PRESIONES!$C$20+(PRESIONES!$N$35-ABERTURAS!$L$67)*MAX(0,MIN($W28,DATOS!$C$23*4/4)-MAX($V28,DATOS!$C$23*3/4))*PRESIONES!$C$21))</f>
        <v>0</v>
      </c>
    </row>
    <row r="29" spans="2:59" ht="15" customHeight="1" x14ac:dyDescent="0.3">
      <c r="B29" s="4"/>
      <c r="C29" s="15"/>
      <c r="D29" s="4"/>
      <c r="E29" s="15"/>
      <c r="F29" s="40"/>
      <c r="G29" s="40"/>
      <c r="H29" s="40"/>
      <c r="I29" s="40"/>
      <c r="J29" s="40"/>
      <c r="K29" s="40"/>
      <c r="L29" s="18" t="str">
        <f>IF($D29="","",IF($C29&lt;&gt;"TECHO","PON TECHO",IF(OR($F29="",$G29="",$H29="",$I29=""),"FALTAN a o b",IF($M29&lt;=0,"a₂ DEBE SER &gt; a₁",IF($N29&lt;=0,"b₂ DEBE SER &gt; b₁",IF(OR($V29&lt;-0.001,$W29&gt;DATOS!$C$23+0.001),"SE SALE DEL TECHO","OK"))))))</f>
        <v/>
      </c>
      <c r="M29" s="26">
        <f t="shared" si="0"/>
        <v>0</v>
      </c>
      <c r="N29" s="26">
        <f t="shared" si="1"/>
        <v>0</v>
      </c>
      <c r="O29" s="26">
        <f t="shared" si="2"/>
        <v>0</v>
      </c>
      <c r="P29" s="26">
        <v>0</v>
      </c>
      <c r="Q29" s="26">
        <v>0</v>
      </c>
      <c r="R29" s="26">
        <f t="shared" si="3"/>
        <v>0</v>
      </c>
      <c r="S29" s="26">
        <f t="shared" si="3"/>
        <v>0</v>
      </c>
      <c r="T29" s="41">
        <f>IF($D29="",0,DATOS!$C$21)</f>
        <v>0</v>
      </c>
      <c r="U29" s="41">
        <v>0</v>
      </c>
      <c r="V29" s="41">
        <f t="shared" si="4"/>
        <v>0</v>
      </c>
      <c r="W29" s="41">
        <f t="shared" si="5"/>
        <v>0</v>
      </c>
      <c r="AB29" s="26">
        <f>IF($L29&lt;&gt;"OK",0,PRESIONES!$C$12*((PRESIONES!$D$32-ABERTURAS!$L$60)*MAX(0,MIN($W29,DATOS!$C$23*1/4)-MAX($V29,DATOS!$C$23*0/4))+(PRESIONES!$D$33-ABERTURAS!$L$60)*MAX(0,MIN($W29,DATOS!$C$23*2/4)-MAX($V29,DATOS!$C$23*1/4))+(PRESIONES!$D$34-ABERTURAS!$L$60)*MAX(0,MIN($W29,DATOS!$C$23*3/4)-MAX($V29,DATOS!$C$23*2/4))+(PRESIONES!$D$35-ABERTURAS!$L$60)*MAX(0,MIN($W29,DATOS!$C$23*4/4)-MAX($V29,DATOS!$C$23*3/4))))</f>
        <v>0</v>
      </c>
      <c r="AC29" s="26">
        <f>IF($L29&lt;&gt;"OK",0,PRESIONES!$C$12*((PRESIONES!$G$32-ABERTURAS!$L$61)*MAX(0,MIN($W29,DATOS!$C$23*1/4)-MAX($V29,DATOS!$C$23*0/4))+(PRESIONES!$G$33-ABERTURAS!$L$61)*MAX(0,MIN($W29,DATOS!$C$23*2/4)-MAX($V29,DATOS!$C$23*1/4))+(PRESIONES!$G$34-ABERTURAS!$L$61)*MAX(0,MIN($W29,DATOS!$C$23*3/4)-MAX($V29,DATOS!$C$23*2/4))+(PRESIONES!$G$35-ABERTURAS!$L$61)*MAX(0,MIN($W29,DATOS!$C$23*4/4)-MAX($V29,DATOS!$C$23*3/4))))</f>
        <v>0</v>
      </c>
      <c r="AD29" s="26">
        <f>IF($L29&lt;&gt;"OK",0,PRESIONES!$C$12*((PRESIONES!$J$32-ABERTURAS!$L$62)*MAX(0,MIN($W29,DATOS!$C$23*1/4)-MAX($V29,DATOS!$C$23*0/4))+(PRESIONES!$J$33-ABERTURAS!$L$62)*MAX(0,MIN($W29,DATOS!$C$23*2/4)-MAX($V29,DATOS!$C$23*1/4))+(PRESIONES!$J$34-ABERTURAS!$L$62)*MAX(0,MIN($W29,DATOS!$C$23*3/4)-MAX($V29,DATOS!$C$23*2/4))+(PRESIONES!$J$35-ABERTURAS!$L$62)*MAX(0,MIN($W29,DATOS!$C$23*4/4)-MAX($V29,DATOS!$C$23*3/4))))</f>
        <v>0</v>
      </c>
      <c r="AE29" s="26">
        <f>IF($L29&lt;&gt;"OK",0,PRESIONES!$C$12*((PRESIONES!$M$32-ABERTURAS!$L$63)*MAX(0,MIN($W29,DATOS!$C$23*1/4)-MAX($V29,DATOS!$C$23*0/4))+(PRESIONES!$M$33-ABERTURAS!$L$63)*MAX(0,MIN($W29,DATOS!$C$23*2/4)-MAX($V29,DATOS!$C$23*1/4))+(PRESIONES!$M$34-ABERTURAS!$L$63)*MAX(0,MIN($W29,DATOS!$C$23*3/4)-MAX($V29,DATOS!$C$23*2/4))+(PRESIONES!$M$35-ABERTURAS!$L$63)*MAX(0,MIN($W29,DATOS!$C$23*4/4)-MAX($V29,DATOS!$C$23*3/4))))</f>
        <v>0</v>
      </c>
      <c r="AF29" s="26">
        <f>IF($L29&lt;&gt;"OK",0,PRESIONES!$C$12*((PRESIONES!$D$32-ABERTURAS!$L$64)*MAX(0,MIN($W29,DATOS!$C$23*1/4)-MAX($V29,DATOS!$C$23*0/4))+(PRESIONES!$D$33-ABERTURAS!$L$64)*MAX(0,MIN($W29,DATOS!$C$23*2/4)-MAX($V29,DATOS!$C$23*1/4))+(PRESIONES!$D$34-ABERTURAS!$L$64)*MAX(0,MIN($W29,DATOS!$C$23*3/4)-MAX($V29,DATOS!$C$23*2/4))+(PRESIONES!$D$35-ABERTURAS!$L$64)*MAX(0,MIN($W29,DATOS!$C$23*4/4)-MAX($V29,DATOS!$C$23*3/4))))</f>
        <v>0</v>
      </c>
      <c r="AG29" s="26">
        <f>IF($L29&lt;&gt;"OK",0,PRESIONES!$C$12*((PRESIONES!$G$32-ABERTURAS!$L$65)*MAX(0,MIN($W29,DATOS!$C$23*1/4)-MAX($V29,DATOS!$C$23*0/4))+(PRESIONES!$G$33-ABERTURAS!$L$65)*MAX(0,MIN($W29,DATOS!$C$23*2/4)-MAX($V29,DATOS!$C$23*1/4))+(PRESIONES!$G$34-ABERTURAS!$L$65)*MAX(0,MIN($W29,DATOS!$C$23*3/4)-MAX($V29,DATOS!$C$23*2/4))+(PRESIONES!$G$35-ABERTURAS!$L$65)*MAX(0,MIN($W29,DATOS!$C$23*4/4)-MAX($V29,DATOS!$C$23*3/4))))</f>
        <v>0</v>
      </c>
      <c r="AH29" s="26">
        <f>IF($L29&lt;&gt;"OK",0,PRESIONES!$C$12*((PRESIONES!$J$32-ABERTURAS!$L$66)*MAX(0,MIN($W29,DATOS!$C$23*1/4)-MAX($V29,DATOS!$C$23*0/4))+(PRESIONES!$J$33-ABERTURAS!$L$66)*MAX(0,MIN($W29,DATOS!$C$23*2/4)-MAX($V29,DATOS!$C$23*1/4))+(PRESIONES!$J$34-ABERTURAS!$L$66)*MAX(0,MIN($W29,DATOS!$C$23*3/4)-MAX($V29,DATOS!$C$23*2/4))+(PRESIONES!$J$35-ABERTURAS!$L$66)*MAX(0,MIN($W29,DATOS!$C$23*4/4)-MAX($V29,DATOS!$C$23*3/4))))</f>
        <v>0</v>
      </c>
      <c r="AI29" s="26">
        <f>IF($L29&lt;&gt;"OK",0,PRESIONES!$C$12*((PRESIONES!$M$32-ABERTURAS!$L$67)*MAX(0,MIN($W29,DATOS!$C$23*1/4)-MAX($V29,DATOS!$C$23*0/4))+(PRESIONES!$M$33-ABERTURAS!$L$67)*MAX(0,MIN($W29,DATOS!$C$23*2/4)-MAX($V29,DATOS!$C$23*1/4))+(PRESIONES!$M$34-ABERTURAS!$L$67)*MAX(0,MIN($W29,DATOS!$C$23*3/4)-MAX($V29,DATOS!$C$23*2/4))+(PRESIONES!$M$35-ABERTURAS!$L$67)*MAX(0,MIN($W29,DATOS!$C$23*4/4)-MAX($V29,DATOS!$C$23*3/4))))</f>
        <v>0</v>
      </c>
      <c r="AJ29" s="26">
        <f>IF($L29&lt;&gt;"OK",0,PRESIONES!$C$12*((PRESIONES!$D$32-ABERTURAS!$L$60)*MAX(0,MIN($W29,DATOS!$C$23*1/4)-MAX($V29,DATOS!$C$23*0/4))*PRESIONES!$C$18+(PRESIONES!$D$33-ABERTURAS!$L$60)*MAX(0,MIN($W29,DATOS!$C$23*2/4)-MAX($V29,DATOS!$C$23*1/4))*PRESIONES!$C$19+(PRESIONES!$D$34-ABERTURAS!$L$60)*MAX(0,MIN($W29,DATOS!$C$23*3/4)-MAX($V29,DATOS!$C$23*2/4))*PRESIONES!$C$20+(PRESIONES!$D$35-ABERTURAS!$L$60)*MAX(0,MIN($W29,DATOS!$C$23*4/4)-MAX($V29,DATOS!$C$23*3/4))*PRESIONES!$C$21))</f>
        <v>0</v>
      </c>
      <c r="AK29" s="26">
        <f>IF($L29&lt;&gt;"OK",0,PRESIONES!$C$12*((PRESIONES!$G$32-ABERTURAS!$L$61)*MAX(0,MIN($W29,DATOS!$C$23*1/4)-MAX($V29,DATOS!$C$23*0/4))*PRESIONES!$C$18+(PRESIONES!$G$33-ABERTURAS!$L$61)*MAX(0,MIN($W29,DATOS!$C$23*2/4)-MAX($V29,DATOS!$C$23*1/4))*PRESIONES!$C$19+(PRESIONES!$G$34-ABERTURAS!$L$61)*MAX(0,MIN($W29,DATOS!$C$23*3/4)-MAX($V29,DATOS!$C$23*2/4))*PRESIONES!$C$20+(PRESIONES!$G$35-ABERTURAS!$L$61)*MAX(0,MIN($W29,DATOS!$C$23*4/4)-MAX($V29,DATOS!$C$23*3/4))*PRESIONES!$C$21))</f>
        <v>0</v>
      </c>
      <c r="AL29" s="26">
        <f>IF($L29&lt;&gt;"OK",0,PRESIONES!$C$12*((PRESIONES!$J$32-ABERTURAS!$L$62)*MAX(0,MIN($W29,DATOS!$C$23*1/4)-MAX($V29,DATOS!$C$23*0/4))*PRESIONES!$C$18+(PRESIONES!$J$33-ABERTURAS!$L$62)*MAX(0,MIN($W29,DATOS!$C$23*2/4)-MAX($V29,DATOS!$C$23*1/4))*PRESIONES!$C$19+(PRESIONES!$J$34-ABERTURAS!$L$62)*MAX(0,MIN($W29,DATOS!$C$23*3/4)-MAX($V29,DATOS!$C$23*2/4))*PRESIONES!$C$20+(PRESIONES!$J$35-ABERTURAS!$L$62)*MAX(0,MIN($W29,DATOS!$C$23*4/4)-MAX($V29,DATOS!$C$23*3/4))*PRESIONES!$C$21))</f>
        <v>0</v>
      </c>
      <c r="AM29" s="26">
        <f>IF($L29&lt;&gt;"OK",0,PRESIONES!$C$12*((PRESIONES!$M$32-ABERTURAS!$L$63)*MAX(0,MIN($W29,DATOS!$C$23*1/4)-MAX($V29,DATOS!$C$23*0/4))*PRESIONES!$C$18+(PRESIONES!$M$33-ABERTURAS!$L$63)*MAX(0,MIN($W29,DATOS!$C$23*2/4)-MAX($V29,DATOS!$C$23*1/4))*PRESIONES!$C$19+(PRESIONES!$M$34-ABERTURAS!$L$63)*MAX(0,MIN($W29,DATOS!$C$23*3/4)-MAX($V29,DATOS!$C$23*2/4))*PRESIONES!$C$20+(PRESIONES!$M$35-ABERTURAS!$L$63)*MAX(0,MIN($W29,DATOS!$C$23*4/4)-MAX($V29,DATOS!$C$23*3/4))*PRESIONES!$C$21))</f>
        <v>0</v>
      </c>
      <c r="AN29" s="26">
        <f>IF($L29&lt;&gt;"OK",0,PRESIONES!$C$12*((PRESIONES!$D$32-ABERTURAS!$L$64)*MAX(0,MIN($W29,DATOS!$C$23*1/4)-MAX($V29,DATOS!$C$23*0/4))*PRESIONES!$C$18+(PRESIONES!$D$33-ABERTURAS!$L$64)*MAX(0,MIN($W29,DATOS!$C$23*2/4)-MAX($V29,DATOS!$C$23*1/4))*PRESIONES!$C$19+(PRESIONES!$D$34-ABERTURAS!$L$64)*MAX(0,MIN($W29,DATOS!$C$23*3/4)-MAX($V29,DATOS!$C$23*2/4))*PRESIONES!$C$20+(PRESIONES!$D$35-ABERTURAS!$L$64)*MAX(0,MIN($W29,DATOS!$C$23*4/4)-MAX($V29,DATOS!$C$23*3/4))*PRESIONES!$C$21))</f>
        <v>0</v>
      </c>
      <c r="AO29" s="26">
        <f>IF($L29&lt;&gt;"OK",0,PRESIONES!$C$12*((PRESIONES!$G$32-ABERTURAS!$L$65)*MAX(0,MIN($W29,DATOS!$C$23*1/4)-MAX($V29,DATOS!$C$23*0/4))*PRESIONES!$C$18+(PRESIONES!$G$33-ABERTURAS!$L$65)*MAX(0,MIN($W29,DATOS!$C$23*2/4)-MAX($V29,DATOS!$C$23*1/4))*PRESIONES!$C$19+(PRESIONES!$G$34-ABERTURAS!$L$65)*MAX(0,MIN($W29,DATOS!$C$23*3/4)-MAX($V29,DATOS!$C$23*2/4))*PRESIONES!$C$20+(PRESIONES!$G$35-ABERTURAS!$L$65)*MAX(0,MIN($W29,DATOS!$C$23*4/4)-MAX($V29,DATOS!$C$23*3/4))*PRESIONES!$C$21))</f>
        <v>0</v>
      </c>
      <c r="AP29" s="26">
        <f>IF($L29&lt;&gt;"OK",0,PRESIONES!$C$12*((PRESIONES!$J$32-ABERTURAS!$L$66)*MAX(0,MIN($W29,DATOS!$C$23*1/4)-MAX($V29,DATOS!$C$23*0/4))*PRESIONES!$C$18+(PRESIONES!$J$33-ABERTURAS!$L$66)*MAX(0,MIN($W29,DATOS!$C$23*2/4)-MAX($V29,DATOS!$C$23*1/4))*PRESIONES!$C$19+(PRESIONES!$J$34-ABERTURAS!$L$66)*MAX(0,MIN($W29,DATOS!$C$23*3/4)-MAX($V29,DATOS!$C$23*2/4))*PRESIONES!$C$20+(PRESIONES!$J$35-ABERTURAS!$L$66)*MAX(0,MIN($W29,DATOS!$C$23*4/4)-MAX($V29,DATOS!$C$23*3/4))*PRESIONES!$C$21))</f>
        <v>0</v>
      </c>
      <c r="AQ29" s="26">
        <f>IF($L29&lt;&gt;"OK",0,PRESIONES!$C$12*((PRESIONES!$M$32-ABERTURAS!$L$67)*MAX(0,MIN($W29,DATOS!$C$23*1/4)-MAX($V29,DATOS!$C$23*0/4))*PRESIONES!$C$18+(PRESIONES!$M$33-ABERTURAS!$L$67)*MAX(0,MIN($W29,DATOS!$C$23*2/4)-MAX($V29,DATOS!$C$23*1/4))*PRESIONES!$C$19+(PRESIONES!$M$34-ABERTURAS!$L$67)*MAX(0,MIN($W29,DATOS!$C$23*3/4)-MAX($V29,DATOS!$C$23*2/4))*PRESIONES!$C$20+(PRESIONES!$M$35-ABERTURAS!$L$67)*MAX(0,MIN($W29,DATOS!$C$23*4/4)-MAX($V29,DATOS!$C$23*3/4))*PRESIONES!$C$21))</f>
        <v>0</v>
      </c>
      <c r="AR29" s="26">
        <f>IF($L29&lt;&gt;"OK",0,PRESIONES!$C$12*((PRESIONES!$E$32-ABERTURAS!$L$60)*MAX(0,MIN($W29,DATOS!$C$23*1/4)-MAX($V29,DATOS!$C$23*0/4))+(PRESIONES!$E$33-ABERTURAS!$L$60)*MAX(0,MIN($W29,DATOS!$C$23*2/4)-MAX($V29,DATOS!$C$23*1/4))+(PRESIONES!$E$34-ABERTURAS!$L$60)*MAX(0,MIN($W29,DATOS!$C$23*3/4)-MAX($V29,DATOS!$C$23*2/4))+(PRESIONES!$E$35-ABERTURAS!$L$60)*MAX(0,MIN($W29,DATOS!$C$23*4/4)-MAX($V29,DATOS!$C$23*3/4))))</f>
        <v>0</v>
      </c>
      <c r="AS29" s="26">
        <f>IF($L29&lt;&gt;"OK",0,PRESIONES!$C$12*((PRESIONES!$H$32-ABERTURAS!$L$61)*MAX(0,MIN($W29,DATOS!$C$23*1/4)-MAX($V29,DATOS!$C$23*0/4))+(PRESIONES!$H$33-ABERTURAS!$L$61)*MAX(0,MIN($W29,DATOS!$C$23*2/4)-MAX($V29,DATOS!$C$23*1/4))+(PRESIONES!$H$34-ABERTURAS!$L$61)*MAX(0,MIN($W29,DATOS!$C$23*3/4)-MAX($V29,DATOS!$C$23*2/4))+(PRESIONES!$H$35-ABERTURAS!$L$61)*MAX(0,MIN($W29,DATOS!$C$23*4/4)-MAX($V29,DATOS!$C$23*3/4))))</f>
        <v>0</v>
      </c>
      <c r="AT29" s="26">
        <f>IF($L29&lt;&gt;"OK",0,PRESIONES!$C$12*((PRESIONES!$K$32-ABERTURAS!$L$62)*MAX(0,MIN($W29,DATOS!$C$23*1/4)-MAX($V29,DATOS!$C$23*0/4))+(PRESIONES!$K$33-ABERTURAS!$L$62)*MAX(0,MIN($W29,DATOS!$C$23*2/4)-MAX($V29,DATOS!$C$23*1/4))+(PRESIONES!$K$34-ABERTURAS!$L$62)*MAX(0,MIN($W29,DATOS!$C$23*3/4)-MAX($V29,DATOS!$C$23*2/4))+(PRESIONES!$K$35-ABERTURAS!$L$62)*MAX(0,MIN($W29,DATOS!$C$23*4/4)-MAX($V29,DATOS!$C$23*3/4))))</f>
        <v>0</v>
      </c>
      <c r="AU29" s="26">
        <f>IF($L29&lt;&gt;"OK",0,PRESIONES!$C$12*((PRESIONES!$N$32-ABERTURAS!$L$63)*MAX(0,MIN($W29,DATOS!$C$23*1/4)-MAX($V29,DATOS!$C$23*0/4))+(PRESIONES!$N$33-ABERTURAS!$L$63)*MAX(0,MIN($W29,DATOS!$C$23*2/4)-MAX($V29,DATOS!$C$23*1/4))+(PRESIONES!$N$34-ABERTURAS!$L$63)*MAX(0,MIN($W29,DATOS!$C$23*3/4)-MAX($V29,DATOS!$C$23*2/4))+(PRESIONES!$N$35-ABERTURAS!$L$63)*MAX(0,MIN($W29,DATOS!$C$23*4/4)-MAX($V29,DATOS!$C$23*3/4))))</f>
        <v>0</v>
      </c>
      <c r="AV29" s="26">
        <f>IF($L29&lt;&gt;"OK",0,PRESIONES!$C$12*((PRESIONES!$E$32-ABERTURAS!$L$64)*MAX(0,MIN($W29,DATOS!$C$23*1/4)-MAX($V29,DATOS!$C$23*0/4))+(PRESIONES!$E$33-ABERTURAS!$L$64)*MAX(0,MIN($W29,DATOS!$C$23*2/4)-MAX($V29,DATOS!$C$23*1/4))+(PRESIONES!$E$34-ABERTURAS!$L$64)*MAX(0,MIN($W29,DATOS!$C$23*3/4)-MAX($V29,DATOS!$C$23*2/4))+(PRESIONES!$E$35-ABERTURAS!$L$64)*MAX(0,MIN($W29,DATOS!$C$23*4/4)-MAX($V29,DATOS!$C$23*3/4))))</f>
        <v>0</v>
      </c>
      <c r="AW29" s="26">
        <f>IF($L29&lt;&gt;"OK",0,PRESIONES!$C$12*((PRESIONES!$H$32-ABERTURAS!$L$65)*MAX(0,MIN($W29,DATOS!$C$23*1/4)-MAX($V29,DATOS!$C$23*0/4))+(PRESIONES!$H$33-ABERTURAS!$L$65)*MAX(0,MIN($W29,DATOS!$C$23*2/4)-MAX($V29,DATOS!$C$23*1/4))+(PRESIONES!$H$34-ABERTURAS!$L$65)*MAX(0,MIN($W29,DATOS!$C$23*3/4)-MAX($V29,DATOS!$C$23*2/4))+(PRESIONES!$H$35-ABERTURAS!$L$65)*MAX(0,MIN($W29,DATOS!$C$23*4/4)-MAX($V29,DATOS!$C$23*3/4))))</f>
        <v>0</v>
      </c>
      <c r="AX29" s="26">
        <f>IF($L29&lt;&gt;"OK",0,PRESIONES!$C$12*((PRESIONES!$K$32-ABERTURAS!$L$66)*MAX(0,MIN($W29,DATOS!$C$23*1/4)-MAX($V29,DATOS!$C$23*0/4))+(PRESIONES!$K$33-ABERTURAS!$L$66)*MAX(0,MIN($W29,DATOS!$C$23*2/4)-MAX($V29,DATOS!$C$23*1/4))+(PRESIONES!$K$34-ABERTURAS!$L$66)*MAX(0,MIN($W29,DATOS!$C$23*3/4)-MAX($V29,DATOS!$C$23*2/4))+(PRESIONES!$K$35-ABERTURAS!$L$66)*MAX(0,MIN($W29,DATOS!$C$23*4/4)-MAX($V29,DATOS!$C$23*3/4))))</f>
        <v>0</v>
      </c>
      <c r="AY29" s="26">
        <f>IF($L29&lt;&gt;"OK",0,PRESIONES!$C$12*((PRESIONES!$N$32-ABERTURAS!$L$67)*MAX(0,MIN($W29,DATOS!$C$23*1/4)-MAX($V29,DATOS!$C$23*0/4))+(PRESIONES!$N$33-ABERTURAS!$L$67)*MAX(0,MIN($W29,DATOS!$C$23*2/4)-MAX($V29,DATOS!$C$23*1/4))+(PRESIONES!$N$34-ABERTURAS!$L$67)*MAX(0,MIN($W29,DATOS!$C$23*3/4)-MAX($V29,DATOS!$C$23*2/4))+(PRESIONES!$N$35-ABERTURAS!$L$67)*MAX(0,MIN($W29,DATOS!$C$23*4/4)-MAX($V29,DATOS!$C$23*3/4))))</f>
        <v>0</v>
      </c>
      <c r="AZ29" s="26">
        <f>IF($L29&lt;&gt;"OK",0,PRESIONES!$C$12*((PRESIONES!$E$32-ABERTURAS!$L$60)*MAX(0,MIN($W29,DATOS!$C$23*1/4)-MAX($V29,DATOS!$C$23*0/4))*PRESIONES!$C$18+(PRESIONES!$E$33-ABERTURAS!$L$60)*MAX(0,MIN($W29,DATOS!$C$23*2/4)-MAX($V29,DATOS!$C$23*1/4))*PRESIONES!$C$19+(PRESIONES!$E$34-ABERTURAS!$L$60)*MAX(0,MIN($W29,DATOS!$C$23*3/4)-MAX($V29,DATOS!$C$23*2/4))*PRESIONES!$C$20+(PRESIONES!$E$35-ABERTURAS!$L$60)*MAX(0,MIN($W29,DATOS!$C$23*4/4)-MAX($V29,DATOS!$C$23*3/4))*PRESIONES!$C$21))</f>
        <v>0</v>
      </c>
      <c r="BA29" s="26">
        <f>IF($L29&lt;&gt;"OK",0,PRESIONES!$C$12*((PRESIONES!$H$32-ABERTURAS!$L$61)*MAX(0,MIN($W29,DATOS!$C$23*1/4)-MAX($V29,DATOS!$C$23*0/4))*PRESIONES!$C$18+(PRESIONES!$H$33-ABERTURAS!$L$61)*MAX(0,MIN($W29,DATOS!$C$23*2/4)-MAX($V29,DATOS!$C$23*1/4))*PRESIONES!$C$19+(PRESIONES!$H$34-ABERTURAS!$L$61)*MAX(0,MIN($W29,DATOS!$C$23*3/4)-MAX($V29,DATOS!$C$23*2/4))*PRESIONES!$C$20+(PRESIONES!$H$35-ABERTURAS!$L$61)*MAX(0,MIN($W29,DATOS!$C$23*4/4)-MAX($V29,DATOS!$C$23*3/4))*PRESIONES!$C$21))</f>
        <v>0</v>
      </c>
      <c r="BB29" s="26">
        <f>IF($L29&lt;&gt;"OK",0,PRESIONES!$C$12*((PRESIONES!$K$32-ABERTURAS!$L$62)*MAX(0,MIN($W29,DATOS!$C$23*1/4)-MAX($V29,DATOS!$C$23*0/4))*PRESIONES!$C$18+(PRESIONES!$K$33-ABERTURAS!$L$62)*MAX(0,MIN($W29,DATOS!$C$23*2/4)-MAX($V29,DATOS!$C$23*1/4))*PRESIONES!$C$19+(PRESIONES!$K$34-ABERTURAS!$L$62)*MAX(0,MIN($W29,DATOS!$C$23*3/4)-MAX($V29,DATOS!$C$23*2/4))*PRESIONES!$C$20+(PRESIONES!$K$35-ABERTURAS!$L$62)*MAX(0,MIN($W29,DATOS!$C$23*4/4)-MAX($V29,DATOS!$C$23*3/4))*PRESIONES!$C$21))</f>
        <v>0</v>
      </c>
      <c r="BC29" s="26">
        <f>IF($L29&lt;&gt;"OK",0,PRESIONES!$C$12*((PRESIONES!$N$32-ABERTURAS!$L$63)*MAX(0,MIN($W29,DATOS!$C$23*1/4)-MAX($V29,DATOS!$C$23*0/4))*PRESIONES!$C$18+(PRESIONES!$N$33-ABERTURAS!$L$63)*MAX(0,MIN($W29,DATOS!$C$23*2/4)-MAX($V29,DATOS!$C$23*1/4))*PRESIONES!$C$19+(PRESIONES!$N$34-ABERTURAS!$L$63)*MAX(0,MIN($W29,DATOS!$C$23*3/4)-MAX($V29,DATOS!$C$23*2/4))*PRESIONES!$C$20+(PRESIONES!$N$35-ABERTURAS!$L$63)*MAX(0,MIN($W29,DATOS!$C$23*4/4)-MAX($V29,DATOS!$C$23*3/4))*PRESIONES!$C$21))</f>
        <v>0</v>
      </c>
      <c r="BD29" s="26">
        <f>IF($L29&lt;&gt;"OK",0,PRESIONES!$C$12*((PRESIONES!$E$32-ABERTURAS!$L$64)*MAX(0,MIN($W29,DATOS!$C$23*1/4)-MAX($V29,DATOS!$C$23*0/4))*PRESIONES!$C$18+(PRESIONES!$E$33-ABERTURAS!$L$64)*MAX(0,MIN($W29,DATOS!$C$23*2/4)-MAX($V29,DATOS!$C$23*1/4))*PRESIONES!$C$19+(PRESIONES!$E$34-ABERTURAS!$L$64)*MAX(0,MIN($W29,DATOS!$C$23*3/4)-MAX($V29,DATOS!$C$23*2/4))*PRESIONES!$C$20+(PRESIONES!$E$35-ABERTURAS!$L$64)*MAX(0,MIN($W29,DATOS!$C$23*4/4)-MAX($V29,DATOS!$C$23*3/4))*PRESIONES!$C$21))</f>
        <v>0</v>
      </c>
      <c r="BE29" s="26">
        <f>IF($L29&lt;&gt;"OK",0,PRESIONES!$C$12*((PRESIONES!$H$32-ABERTURAS!$L$65)*MAX(0,MIN($W29,DATOS!$C$23*1/4)-MAX($V29,DATOS!$C$23*0/4))*PRESIONES!$C$18+(PRESIONES!$H$33-ABERTURAS!$L$65)*MAX(0,MIN($W29,DATOS!$C$23*2/4)-MAX($V29,DATOS!$C$23*1/4))*PRESIONES!$C$19+(PRESIONES!$H$34-ABERTURAS!$L$65)*MAX(0,MIN($W29,DATOS!$C$23*3/4)-MAX($V29,DATOS!$C$23*2/4))*PRESIONES!$C$20+(PRESIONES!$H$35-ABERTURAS!$L$65)*MAX(0,MIN($W29,DATOS!$C$23*4/4)-MAX($V29,DATOS!$C$23*3/4))*PRESIONES!$C$21))</f>
        <v>0</v>
      </c>
      <c r="BF29" s="26">
        <f>IF($L29&lt;&gt;"OK",0,PRESIONES!$C$12*((PRESIONES!$K$32-ABERTURAS!$L$66)*MAX(0,MIN($W29,DATOS!$C$23*1/4)-MAX($V29,DATOS!$C$23*0/4))*PRESIONES!$C$18+(PRESIONES!$K$33-ABERTURAS!$L$66)*MAX(0,MIN($W29,DATOS!$C$23*2/4)-MAX($V29,DATOS!$C$23*1/4))*PRESIONES!$C$19+(PRESIONES!$K$34-ABERTURAS!$L$66)*MAX(0,MIN($W29,DATOS!$C$23*3/4)-MAX($V29,DATOS!$C$23*2/4))*PRESIONES!$C$20+(PRESIONES!$K$35-ABERTURAS!$L$66)*MAX(0,MIN($W29,DATOS!$C$23*4/4)-MAX($V29,DATOS!$C$23*3/4))*PRESIONES!$C$21))</f>
        <v>0</v>
      </c>
      <c r="BG29" s="26">
        <f>IF($L29&lt;&gt;"OK",0,PRESIONES!$C$12*((PRESIONES!$N$32-ABERTURAS!$L$67)*MAX(0,MIN($W29,DATOS!$C$23*1/4)-MAX($V29,DATOS!$C$23*0/4))*PRESIONES!$C$18+(PRESIONES!$N$33-ABERTURAS!$L$67)*MAX(0,MIN($W29,DATOS!$C$23*2/4)-MAX($V29,DATOS!$C$23*1/4))*PRESIONES!$C$19+(PRESIONES!$N$34-ABERTURAS!$L$67)*MAX(0,MIN($W29,DATOS!$C$23*3/4)-MAX($V29,DATOS!$C$23*2/4))*PRESIONES!$C$20+(PRESIONES!$N$35-ABERTURAS!$L$67)*MAX(0,MIN($W29,DATOS!$C$23*4/4)-MAX($V29,DATOS!$C$23*3/4))*PRESIONES!$C$21))</f>
        <v>0</v>
      </c>
    </row>
    <row r="30" spans="2:59" ht="15" customHeight="1" x14ac:dyDescent="0.3">
      <c r="B30" s="4"/>
      <c r="C30" s="15"/>
      <c r="D30" s="4"/>
      <c r="E30" s="15"/>
      <c r="F30" s="40"/>
      <c r="G30" s="40"/>
      <c r="H30" s="40"/>
      <c r="I30" s="40"/>
      <c r="J30" s="40"/>
      <c r="K30" s="40"/>
      <c r="L30" s="18" t="str">
        <f>IF($D30="","",IF($C30&lt;&gt;"TECHO","PON TECHO",IF(OR($F30="",$G30="",$H30="",$I30=""),"FALTAN a o b",IF($M30&lt;=0,"a₂ DEBE SER &gt; a₁",IF($N30&lt;=0,"b₂ DEBE SER &gt; b₁",IF(OR($V30&lt;-0.001,$W30&gt;DATOS!$C$23+0.001),"SE SALE DEL TECHO","OK"))))))</f>
        <v/>
      </c>
      <c r="M30" s="26">
        <f t="shared" si="0"/>
        <v>0</v>
      </c>
      <c r="N30" s="26">
        <f t="shared" si="1"/>
        <v>0</v>
      </c>
      <c r="O30" s="26">
        <f t="shared" si="2"/>
        <v>0</v>
      </c>
      <c r="P30" s="26">
        <v>0</v>
      </c>
      <c r="Q30" s="26">
        <v>0</v>
      </c>
      <c r="R30" s="26">
        <f t="shared" si="3"/>
        <v>0</v>
      </c>
      <c r="S30" s="26">
        <f t="shared" si="3"/>
        <v>0</v>
      </c>
      <c r="T30" s="41">
        <f>IF($D30="",0,DATOS!$C$21)</f>
        <v>0</v>
      </c>
      <c r="U30" s="41">
        <v>0</v>
      </c>
      <c r="V30" s="41">
        <f t="shared" si="4"/>
        <v>0</v>
      </c>
      <c r="W30" s="41">
        <f t="shared" si="5"/>
        <v>0</v>
      </c>
      <c r="AB30" s="26">
        <f>IF($L30&lt;&gt;"OK",0,PRESIONES!$C$12*((PRESIONES!$D$32-ABERTURAS!$L$60)*MAX(0,MIN($W30,DATOS!$C$23*1/4)-MAX($V30,DATOS!$C$23*0/4))+(PRESIONES!$D$33-ABERTURAS!$L$60)*MAX(0,MIN($W30,DATOS!$C$23*2/4)-MAX($V30,DATOS!$C$23*1/4))+(PRESIONES!$D$34-ABERTURAS!$L$60)*MAX(0,MIN($W30,DATOS!$C$23*3/4)-MAX($V30,DATOS!$C$23*2/4))+(PRESIONES!$D$35-ABERTURAS!$L$60)*MAX(0,MIN($W30,DATOS!$C$23*4/4)-MAX($V30,DATOS!$C$23*3/4))))</f>
        <v>0</v>
      </c>
      <c r="AC30" s="26">
        <f>IF($L30&lt;&gt;"OK",0,PRESIONES!$C$12*((PRESIONES!$G$32-ABERTURAS!$L$61)*MAX(0,MIN($W30,DATOS!$C$23*1/4)-MAX($V30,DATOS!$C$23*0/4))+(PRESIONES!$G$33-ABERTURAS!$L$61)*MAX(0,MIN($W30,DATOS!$C$23*2/4)-MAX($V30,DATOS!$C$23*1/4))+(PRESIONES!$G$34-ABERTURAS!$L$61)*MAX(0,MIN($W30,DATOS!$C$23*3/4)-MAX($V30,DATOS!$C$23*2/4))+(PRESIONES!$G$35-ABERTURAS!$L$61)*MAX(0,MIN($W30,DATOS!$C$23*4/4)-MAX($V30,DATOS!$C$23*3/4))))</f>
        <v>0</v>
      </c>
      <c r="AD30" s="26">
        <f>IF($L30&lt;&gt;"OK",0,PRESIONES!$C$12*((PRESIONES!$J$32-ABERTURAS!$L$62)*MAX(0,MIN($W30,DATOS!$C$23*1/4)-MAX($V30,DATOS!$C$23*0/4))+(PRESIONES!$J$33-ABERTURAS!$L$62)*MAX(0,MIN($W30,DATOS!$C$23*2/4)-MAX($V30,DATOS!$C$23*1/4))+(PRESIONES!$J$34-ABERTURAS!$L$62)*MAX(0,MIN($W30,DATOS!$C$23*3/4)-MAX($V30,DATOS!$C$23*2/4))+(PRESIONES!$J$35-ABERTURAS!$L$62)*MAX(0,MIN($W30,DATOS!$C$23*4/4)-MAX($V30,DATOS!$C$23*3/4))))</f>
        <v>0</v>
      </c>
      <c r="AE30" s="26">
        <f>IF($L30&lt;&gt;"OK",0,PRESIONES!$C$12*((PRESIONES!$M$32-ABERTURAS!$L$63)*MAX(0,MIN($W30,DATOS!$C$23*1/4)-MAX($V30,DATOS!$C$23*0/4))+(PRESIONES!$M$33-ABERTURAS!$L$63)*MAX(0,MIN($W30,DATOS!$C$23*2/4)-MAX($V30,DATOS!$C$23*1/4))+(PRESIONES!$M$34-ABERTURAS!$L$63)*MAX(0,MIN($W30,DATOS!$C$23*3/4)-MAX($V30,DATOS!$C$23*2/4))+(PRESIONES!$M$35-ABERTURAS!$L$63)*MAX(0,MIN($W30,DATOS!$C$23*4/4)-MAX($V30,DATOS!$C$23*3/4))))</f>
        <v>0</v>
      </c>
      <c r="AF30" s="26">
        <f>IF($L30&lt;&gt;"OK",0,PRESIONES!$C$12*((PRESIONES!$D$32-ABERTURAS!$L$64)*MAX(0,MIN($W30,DATOS!$C$23*1/4)-MAX($V30,DATOS!$C$23*0/4))+(PRESIONES!$D$33-ABERTURAS!$L$64)*MAX(0,MIN($W30,DATOS!$C$23*2/4)-MAX($V30,DATOS!$C$23*1/4))+(PRESIONES!$D$34-ABERTURAS!$L$64)*MAX(0,MIN($W30,DATOS!$C$23*3/4)-MAX($V30,DATOS!$C$23*2/4))+(PRESIONES!$D$35-ABERTURAS!$L$64)*MAX(0,MIN($W30,DATOS!$C$23*4/4)-MAX($V30,DATOS!$C$23*3/4))))</f>
        <v>0</v>
      </c>
      <c r="AG30" s="26">
        <f>IF($L30&lt;&gt;"OK",0,PRESIONES!$C$12*((PRESIONES!$G$32-ABERTURAS!$L$65)*MAX(0,MIN($W30,DATOS!$C$23*1/4)-MAX($V30,DATOS!$C$23*0/4))+(PRESIONES!$G$33-ABERTURAS!$L$65)*MAX(0,MIN($W30,DATOS!$C$23*2/4)-MAX($V30,DATOS!$C$23*1/4))+(PRESIONES!$G$34-ABERTURAS!$L$65)*MAX(0,MIN($W30,DATOS!$C$23*3/4)-MAX($V30,DATOS!$C$23*2/4))+(PRESIONES!$G$35-ABERTURAS!$L$65)*MAX(0,MIN($W30,DATOS!$C$23*4/4)-MAX($V30,DATOS!$C$23*3/4))))</f>
        <v>0</v>
      </c>
      <c r="AH30" s="26">
        <f>IF($L30&lt;&gt;"OK",0,PRESIONES!$C$12*((PRESIONES!$J$32-ABERTURAS!$L$66)*MAX(0,MIN($W30,DATOS!$C$23*1/4)-MAX($V30,DATOS!$C$23*0/4))+(PRESIONES!$J$33-ABERTURAS!$L$66)*MAX(0,MIN($W30,DATOS!$C$23*2/4)-MAX($V30,DATOS!$C$23*1/4))+(PRESIONES!$J$34-ABERTURAS!$L$66)*MAX(0,MIN($W30,DATOS!$C$23*3/4)-MAX($V30,DATOS!$C$23*2/4))+(PRESIONES!$J$35-ABERTURAS!$L$66)*MAX(0,MIN($W30,DATOS!$C$23*4/4)-MAX($V30,DATOS!$C$23*3/4))))</f>
        <v>0</v>
      </c>
      <c r="AI30" s="26">
        <f>IF($L30&lt;&gt;"OK",0,PRESIONES!$C$12*((PRESIONES!$M$32-ABERTURAS!$L$67)*MAX(0,MIN($W30,DATOS!$C$23*1/4)-MAX($V30,DATOS!$C$23*0/4))+(PRESIONES!$M$33-ABERTURAS!$L$67)*MAX(0,MIN($W30,DATOS!$C$23*2/4)-MAX($V30,DATOS!$C$23*1/4))+(PRESIONES!$M$34-ABERTURAS!$L$67)*MAX(0,MIN($W30,DATOS!$C$23*3/4)-MAX($V30,DATOS!$C$23*2/4))+(PRESIONES!$M$35-ABERTURAS!$L$67)*MAX(0,MIN($W30,DATOS!$C$23*4/4)-MAX($V30,DATOS!$C$23*3/4))))</f>
        <v>0</v>
      </c>
      <c r="AJ30" s="26">
        <f>IF($L30&lt;&gt;"OK",0,PRESIONES!$C$12*((PRESIONES!$D$32-ABERTURAS!$L$60)*MAX(0,MIN($W30,DATOS!$C$23*1/4)-MAX($V30,DATOS!$C$23*0/4))*PRESIONES!$C$18+(PRESIONES!$D$33-ABERTURAS!$L$60)*MAX(0,MIN($W30,DATOS!$C$23*2/4)-MAX($V30,DATOS!$C$23*1/4))*PRESIONES!$C$19+(PRESIONES!$D$34-ABERTURAS!$L$60)*MAX(0,MIN($W30,DATOS!$C$23*3/4)-MAX($V30,DATOS!$C$23*2/4))*PRESIONES!$C$20+(PRESIONES!$D$35-ABERTURAS!$L$60)*MAX(0,MIN($W30,DATOS!$C$23*4/4)-MAX($V30,DATOS!$C$23*3/4))*PRESIONES!$C$21))</f>
        <v>0</v>
      </c>
      <c r="AK30" s="26">
        <f>IF($L30&lt;&gt;"OK",0,PRESIONES!$C$12*((PRESIONES!$G$32-ABERTURAS!$L$61)*MAX(0,MIN($W30,DATOS!$C$23*1/4)-MAX($V30,DATOS!$C$23*0/4))*PRESIONES!$C$18+(PRESIONES!$G$33-ABERTURAS!$L$61)*MAX(0,MIN($W30,DATOS!$C$23*2/4)-MAX($V30,DATOS!$C$23*1/4))*PRESIONES!$C$19+(PRESIONES!$G$34-ABERTURAS!$L$61)*MAX(0,MIN($W30,DATOS!$C$23*3/4)-MAX($V30,DATOS!$C$23*2/4))*PRESIONES!$C$20+(PRESIONES!$G$35-ABERTURAS!$L$61)*MAX(0,MIN($W30,DATOS!$C$23*4/4)-MAX($V30,DATOS!$C$23*3/4))*PRESIONES!$C$21))</f>
        <v>0</v>
      </c>
      <c r="AL30" s="26">
        <f>IF($L30&lt;&gt;"OK",0,PRESIONES!$C$12*((PRESIONES!$J$32-ABERTURAS!$L$62)*MAX(0,MIN($W30,DATOS!$C$23*1/4)-MAX($V30,DATOS!$C$23*0/4))*PRESIONES!$C$18+(PRESIONES!$J$33-ABERTURAS!$L$62)*MAX(0,MIN($W30,DATOS!$C$23*2/4)-MAX($V30,DATOS!$C$23*1/4))*PRESIONES!$C$19+(PRESIONES!$J$34-ABERTURAS!$L$62)*MAX(0,MIN($W30,DATOS!$C$23*3/4)-MAX($V30,DATOS!$C$23*2/4))*PRESIONES!$C$20+(PRESIONES!$J$35-ABERTURAS!$L$62)*MAX(0,MIN($W30,DATOS!$C$23*4/4)-MAX($V30,DATOS!$C$23*3/4))*PRESIONES!$C$21))</f>
        <v>0</v>
      </c>
      <c r="AM30" s="26">
        <f>IF($L30&lt;&gt;"OK",0,PRESIONES!$C$12*((PRESIONES!$M$32-ABERTURAS!$L$63)*MAX(0,MIN($W30,DATOS!$C$23*1/4)-MAX($V30,DATOS!$C$23*0/4))*PRESIONES!$C$18+(PRESIONES!$M$33-ABERTURAS!$L$63)*MAX(0,MIN($W30,DATOS!$C$23*2/4)-MAX($V30,DATOS!$C$23*1/4))*PRESIONES!$C$19+(PRESIONES!$M$34-ABERTURAS!$L$63)*MAX(0,MIN($W30,DATOS!$C$23*3/4)-MAX($V30,DATOS!$C$23*2/4))*PRESIONES!$C$20+(PRESIONES!$M$35-ABERTURAS!$L$63)*MAX(0,MIN($W30,DATOS!$C$23*4/4)-MAX($V30,DATOS!$C$23*3/4))*PRESIONES!$C$21))</f>
        <v>0</v>
      </c>
      <c r="AN30" s="26">
        <f>IF($L30&lt;&gt;"OK",0,PRESIONES!$C$12*((PRESIONES!$D$32-ABERTURAS!$L$64)*MAX(0,MIN($W30,DATOS!$C$23*1/4)-MAX($V30,DATOS!$C$23*0/4))*PRESIONES!$C$18+(PRESIONES!$D$33-ABERTURAS!$L$64)*MAX(0,MIN($W30,DATOS!$C$23*2/4)-MAX($V30,DATOS!$C$23*1/4))*PRESIONES!$C$19+(PRESIONES!$D$34-ABERTURAS!$L$64)*MAX(0,MIN($W30,DATOS!$C$23*3/4)-MAX($V30,DATOS!$C$23*2/4))*PRESIONES!$C$20+(PRESIONES!$D$35-ABERTURAS!$L$64)*MAX(0,MIN($W30,DATOS!$C$23*4/4)-MAX($V30,DATOS!$C$23*3/4))*PRESIONES!$C$21))</f>
        <v>0</v>
      </c>
      <c r="AO30" s="26">
        <f>IF($L30&lt;&gt;"OK",0,PRESIONES!$C$12*((PRESIONES!$G$32-ABERTURAS!$L$65)*MAX(0,MIN($W30,DATOS!$C$23*1/4)-MAX($V30,DATOS!$C$23*0/4))*PRESIONES!$C$18+(PRESIONES!$G$33-ABERTURAS!$L$65)*MAX(0,MIN($W30,DATOS!$C$23*2/4)-MAX($V30,DATOS!$C$23*1/4))*PRESIONES!$C$19+(PRESIONES!$G$34-ABERTURAS!$L$65)*MAX(0,MIN($W30,DATOS!$C$23*3/4)-MAX($V30,DATOS!$C$23*2/4))*PRESIONES!$C$20+(PRESIONES!$G$35-ABERTURAS!$L$65)*MAX(0,MIN($W30,DATOS!$C$23*4/4)-MAX($V30,DATOS!$C$23*3/4))*PRESIONES!$C$21))</f>
        <v>0</v>
      </c>
      <c r="AP30" s="26">
        <f>IF($L30&lt;&gt;"OK",0,PRESIONES!$C$12*((PRESIONES!$J$32-ABERTURAS!$L$66)*MAX(0,MIN($W30,DATOS!$C$23*1/4)-MAX($V30,DATOS!$C$23*0/4))*PRESIONES!$C$18+(PRESIONES!$J$33-ABERTURAS!$L$66)*MAX(0,MIN($W30,DATOS!$C$23*2/4)-MAX($V30,DATOS!$C$23*1/4))*PRESIONES!$C$19+(PRESIONES!$J$34-ABERTURAS!$L$66)*MAX(0,MIN($W30,DATOS!$C$23*3/4)-MAX($V30,DATOS!$C$23*2/4))*PRESIONES!$C$20+(PRESIONES!$J$35-ABERTURAS!$L$66)*MAX(0,MIN($W30,DATOS!$C$23*4/4)-MAX($V30,DATOS!$C$23*3/4))*PRESIONES!$C$21))</f>
        <v>0</v>
      </c>
      <c r="AQ30" s="26">
        <f>IF($L30&lt;&gt;"OK",0,PRESIONES!$C$12*((PRESIONES!$M$32-ABERTURAS!$L$67)*MAX(0,MIN($W30,DATOS!$C$23*1/4)-MAX($V30,DATOS!$C$23*0/4))*PRESIONES!$C$18+(PRESIONES!$M$33-ABERTURAS!$L$67)*MAX(0,MIN($W30,DATOS!$C$23*2/4)-MAX($V30,DATOS!$C$23*1/4))*PRESIONES!$C$19+(PRESIONES!$M$34-ABERTURAS!$L$67)*MAX(0,MIN($W30,DATOS!$C$23*3/4)-MAX($V30,DATOS!$C$23*2/4))*PRESIONES!$C$20+(PRESIONES!$M$35-ABERTURAS!$L$67)*MAX(0,MIN($W30,DATOS!$C$23*4/4)-MAX($V30,DATOS!$C$23*3/4))*PRESIONES!$C$21))</f>
        <v>0</v>
      </c>
      <c r="AR30" s="26">
        <f>IF($L30&lt;&gt;"OK",0,PRESIONES!$C$12*((PRESIONES!$E$32-ABERTURAS!$L$60)*MAX(0,MIN($W30,DATOS!$C$23*1/4)-MAX($V30,DATOS!$C$23*0/4))+(PRESIONES!$E$33-ABERTURAS!$L$60)*MAX(0,MIN($W30,DATOS!$C$23*2/4)-MAX($V30,DATOS!$C$23*1/4))+(PRESIONES!$E$34-ABERTURAS!$L$60)*MAX(0,MIN($W30,DATOS!$C$23*3/4)-MAX($V30,DATOS!$C$23*2/4))+(PRESIONES!$E$35-ABERTURAS!$L$60)*MAX(0,MIN($W30,DATOS!$C$23*4/4)-MAX($V30,DATOS!$C$23*3/4))))</f>
        <v>0</v>
      </c>
      <c r="AS30" s="26">
        <f>IF($L30&lt;&gt;"OK",0,PRESIONES!$C$12*((PRESIONES!$H$32-ABERTURAS!$L$61)*MAX(0,MIN($W30,DATOS!$C$23*1/4)-MAX($V30,DATOS!$C$23*0/4))+(PRESIONES!$H$33-ABERTURAS!$L$61)*MAX(0,MIN($W30,DATOS!$C$23*2/4)-MAX($V30,DATOS!$C$23*1/4))+(PRESIONES!$H$34-ABERTURAS!$L$61)*MAX(0,MIN($W30,DATOS!$C$23*3/4)-MAX($V30,DATOS!$C$23*2/4))+(PRESIONES!$H$35-ABERTURAS!$L$61)*MAX(0,MIN($W30,DATOS!$C$23*4/4)-MAX($V30,DATOS!$C$23*3/4))))</f>
        <v>0</v>
      </c>
      <c r="AT30" s="26">
        <f>IF($L30&lt;&gt;"OK",0,PRESIONES!$C$12*((PRESIONES!$K$32-ABERTURAS!$L$62)*MAX(0,MIN($W30,DATOS!$C$23*1/4)-MAX($V30,DATOS!$C$23*0/4))+(PRESIONES!$K$33-ABERTURAS!$L$62)*MAX(0,MIN($W30,DATOS!$C$23*2/4)-MAX($V30,DATOS!$C$23*1/4))+(PRESIONES!$K$34-ABERTURAS!$L$62)*MAX(0,MIN($W30,DATOS!$C$23*3/4)-MAX($V30,DATOS!$C$23*2/4))+(PRESIONES!$K$35-ABERTURAS!$L$62)*MAX(0,MIN($W30,DATOS!$C$23*4/4)-MAX($V30,DATOS!$C$23*3/4))))</f>
        <v>0</v>
      </c>
      <c r="AU30" s="26">
        <f>IF($L30&lt;&gt;"OK",0,PRESIONES!$C$12*((PRESIONES!$N$32-ABERTURAS!$L$63)*MAX(0,MIN($W30,DATOS!$C$23*1/4)-MAX($V30,DATOS!$C$23*0/4))+(PRESIONES!$N$33-ABERTURAS!$L$63)*MAX(0,MIN($W30,DATOS!$C$23*2/4)-MAX($V30,DATOS!$C$23*1/4))+(PRESIONES!$N$34-ABERTURAS!$L$63)*MAX(0,MIN($W30,DATOS!$C$23*3/4)-MAX($V30,DATOS!$C$23*2/4))+(PRESIONES!$N$35-ABERTURAS!$L$63)*MAX(0,MIN($W30,DATOS!$C$23*4/4)-MAX($V30,DATOS!$C$23*3/4))))</f>
        <v>0</v>
      </c>
      <c r="AV30" s="26">
        <f>IF($L30&lt;&gt;"OK",0,PRESIONES!$C$12*((PRESIONES!$E$32-ABERTURAS!$L$64)*MAX(0,MIN($W30,DATOS!$C$23*1/4)-MAX($V30,DATOS!$C$23*0/4))+(PRESIONES!$E$33-ABERTURAS!$L$64)*MAX(0,MIN($W30,DATOS!$C$23*2/4)-MAX($V30,DATOS!$C$23*1/4))+(PRESIONES!$E$34-ABERTURAS!$L$64)*MAX(0,MIN($W30,DATOS!$C$23*3/4)-MAX($V30,DATOS!$C$23*2/4))+(PRESIONES!$E$35-ABERTURAS!$L$64)*MAX(0,MIN($W30,DATOS!$C$23*4/4)-MAX($V30,DATOS!$C$23*3/4))))</f>
        <v>0</v>
      </c>
      <c r="AW30" s="26">
        <f>IF($L30&lt;&gt;"OK",0,PRESIONES!$C$12*((PRESIONES!$H$32-ABERTURAS!$L$65)*MAX(0,MIN($W30,DATOS!$C$23*1/4)-MAX($V30,DATOS!$C$23*0/4))+(PRESIONES!$H$33-ABERTURAS!$L$65)*MAX(0,MIN($W30,DATOS!$C$23*2/4)-MAX($V30,DATOS!$C$23*1/4))+(PRESIONES!$H$34-ABERTURAS!$L$65)*MAX(0,MIN($W30,DATOS!$C$23*3/4)-MAX($V30,DATOS!$C$23*2/4))+(PRESIONES!$H$35-ABERTURAS!$L$65)*MAX(0,MIN($W30,DATOS!$C$23*4/4)-MAX($V30,DATOS!$C$23*3/4))))</f>
        <v>0</v>
      </c>
      <c r="AX30" s="26">
        <f>IF($L30&lt;&gt;"OK",0,PRESIONES!$C$12*((PRESIONES!$K$32-ABERTURAS!$L$66)*MAX(0,MIN($W30,DATOS!$C$23*1/4)-MAX($V30,DATOS!$C$23*0/4))+(PRESIONES!$K$33-ABERTURAS!$L$66)*MAX(0,MIN($W30,DATOS!$C$23*2/4)-MAX($V30,DATOS!$C$23*1/4))+(PRESIONES!$K$34-ABERTURAS!$L$66)*MAX(0,MIN($W30,DATOS!$C$23*3/4)-MAX($V30,DATOS!$C$23*2/4))+(PRESIONES!$K$35-ABERTURAS!$L$66)*MAX(0,MIN($W30,DATOS!$C$23*4/4)-MAX($V30,DATOS!$C$23*3/4))))</f>
        <v>0</v>
      </c>
      <c r="AY30" s="26">
        <f>IF($L30&lt;&gt;"OK",0,PRESIONES!$C$12*((PRESIONES!$N$32-ABERTURAS!$L$67)*MAX(0,MIN($W30,DATOS!$C$23*1/4)-MAX($V30,DATOS!$C$23*0/4))+(PRESIONES!$N$33-ABERTURAS!$L$67)*MAX(0,MIN($W30,DATOS!$C$23*2/4)-MAX($V30,DATOS!$C$23*1/4))+(PRESIONES!$N$34-ABERTURAS!$L$67)*MAX(0,MIN($W30,DATOS!$C$23*3/4)-MAX($V30,DATOS!$C$23*2/4))+(PRESIONES!$N$35-ABERTURAS!$L$67)*MAX(0,MIN($W30,DATOS!$C$23*4/4)-MAX($V30,DATOS!$C$23*3/4))))</f>
        <v>0</v>
      </c>
      <c r="AZ30" s="26">
        <f>IF($L30&lt;&gt;"OK",0,PRESIONES!$C$12*((PRESIONES!$E$32-ABERTURAS!$L$60)*MAX(0,MIN($W30,DATOS!$C$23*1/4)-MAX($V30,DATOS!$C$23*0/4))*PRESIONES!$C$18+(PRESIONES!$E$33-ABERTURAS!$L$60)*MAX(0,MIN($W30,DATOS!$C$23*2/4)-MAX($V30,DATOS!$C$23*1/4))*PRESIONES!$C$19+(PRESIONES!$E$34-ABERTURAS!$L$60)*MAX(0,MIN($W30,DATOS!$C$23*3/4)-MAX($V30,DATOS!$C$23*2/4))*PRESIONES!$C$20+(PRESIONES!$E$35-ABERTURAS!$L$60)*MAX(0,MIN($W30,DATOS!$C$23*4/4)-MAX($V30,DATOS!$C$23*3/4))*PRESIONES!$C$21))</f>
        <v>0</v>
      </c>
      <c r="BA30" s="26">
        <f>IF($L30&lt;&gt;"OK",0,PRESIONES!$C$12*((PRESIONES!$H$32-ABERTURAS!$L$61)*MAX(0,MIN($W30,DATOS!$C$23*1/4)-MAX($V30,DATOS!$C$23*0/4))*PRESIONES!$C$18+(PRESIONES!$H$33-ABERTURAS!$L$61)*MAX(0,MIN($W30,DATOS!$C$23*2/4)-MAX($V30,DATOS!$C$23*1/4))*PRESIONES!$C$19+(PRESIONES!$H$34-ABERTURAS!$L$61)*MAX(0,MIN($W30,DATOS!$C$23*3/4)-MAX($V30,DATOS!$C$23*2/4))*PRESIONES!$C$20+(PRESIONES!$H$35-ABERTURAS!$L$61)*MAX(0,MIN($W30,DATOS!$C$23*4/4)-MAX($V30,DATOS!$C$23*3/4))*PRESIONES!$C$21))</f>
        <v>0</v>
      </c>
      <c r="BB30" s="26">
        <f>IF($L30&lt;&gt;"OK",0,PRESIONES!$C$12*((PRESIONES!$K$32-ABERTURAS!$L$62)*MAX(0,MIN($W30,DATOS!$C$23*1/4)-MAX($V30,DATOS!$C$23*0/4))*PRESIONES!$C$18+(PRESIONES!$K$33-ABERTURAS!$L$62)*MAX(0,MIN($W30,DATOS!$C$23*2/4)-MAX($V30,DATOS!$C$23*1/4))*PRESIONES!$C$19+(PRESIONES!$K$34-ABERTURAS!$L$62)*MAX(0,MIN($W30,DATOS!$C$23*3/4)-MAX($V30,DATOS!$C$23*2/4))*PRESIONES!$C$20+(PRESIONES!$K$35-ABERTURAS!$L$62)*MAX(0,MIN($W30,DATOS!$C$23*4/4)-MAX($V30,DATOS!$C$23*3/4))*PRESIONES!$C$21))</f>
        <v>0</v>
      </c>
      <c r="BC30" s="26">
        <f>IF($L30&lt;&gt;"OK",0,PRESIONES!$C$12*((PRESIONES!$N$32-ABERTURAS!$L$63)*MAX(0,MIN($W30,DATOS!$C$23*1/4)-MAX($V30,DATOS!$C$23*0/4))*PRESIONES!$C$18+(PRESIONES!$N$33-ABERTURAS!$L$63)*MAX(0,MIN($W30,DATOS!$C$23*2/4)-MAX($V30,DATOS!$C$23*1/4))*PRESIONES!$C$19+(PRESIONES!$N$34-ABERTURAS!$L$63)*MAX(0,MIN($W30,DATOS!$C$23*3/4)-MAX($V30,DATOS!$C$23*2/4))*PRESIONES!$C$20+(PRESIONES!$N$35-ABERTURAS!$L$63)*MAX(0,MIN($W30,DATOS!$C$23*4/4)-MAX($V30,DATOS!$C$23*3/4))*PRESIONES!$C$21))</f>
        <v>0</v>
      </c>
      <c r="BD30" s="26">
        <f>IF($L30&lt;&gt;"OK",0,PRESIONES!$C$12*((PRESIONES!$E$32-ABERTURAS!$L$64)*MAX(0,MIN($W30,DATOS!$C$23*1/4)-MAX($V30,DATOS!$C$23*0/4))*PRESIONES!$C$18+(PRESIONES!$E$33-ABERTURAS!$L$64)*MAX(0,MIN($W30,DATOS!$C$23*2/4)-MAX($V30,DATOS!$C$23*1/4))*PRESIONES!$C$19+(PRESIONES!$E$34-ABERTURAS!$L$64)*MAX(0,MIN($W30,DATOS!$C$23*3/4)-MAX($V30,DATOS!$C$23*2/4))*PRESIONES!$C$20+(PRESIONES!$E$35-ABERTURAS!$L$64)*MAX(0,MIN($W30,DATOS!$C$23*4/4)-MAX($V30,DATOS!$C$23*3/4))*PRESIONES!$C$21))</f>
        <v>0</v>
      </c>
      <c r="BE30" s="26">
        <f>IF($L30&lt;&gt;"OK",0,PRESIONES!$C$12*((PRESIONES!$H$32-ABERTURAS!$L$65)*MAX(0,MIN($W30,DATOS!$C$23*1/4)-MAX($V30,DATOS!$C$23*0/4))*PRESIONES!$C$18+(PRESIONES!$H$33-ABERTURAS!$L$65)*MAX(0,MIN($W30,DATOS!$C$23*2/4)-MAX($V30,DATOS!$C$23*1/4))*PRESIONES!$C$19+(PRESIONES!$H$34-ABERTURAS!$L$65)*MAX(0,MIN($W30,DATOS!$C$23*3/4)-MAX($V30,DATOS!$C$23*2/4))*PRESIONES!$C$20+(PRESIONES!$H$35-ABERTURAS!$L$65)*MAX(0,MIN($W30,DATOS!$C$23*4/4)-MAX($V30,DATOS!$C$23*3/4))*PRESIONES!$C$21))</f>
        <v>0</v>
      </c>
      <c r="BF30" s="26">
        <f>IF($L30&lt;&gt;"OK",0,PRESIONES!$C$12*((PRESIONES!$K$32-ABERTURAS!$L$66)*MAX(0,MIN($W30,DATOS!$C$23*1/4)-MAX($V30,DATOS!$C$23*0/4))*PRESIONES!$C$18+(PRESIONES!$K$33-ABERTURAS!$L$66)*MAX(0,MIN($W30,DATOS!$C$23*2/4)-MAX($V30,DATOS!$C$23*1/4))*PRESIONES!$C$19+(PRESIONES!$K$34-ABERTURAS!$L$66)*MAX(0,MIN($W30,DATOS!$C$23*3/4)-MAX($V30,DATOS!$C$23*2/4))*PRESIONES!$C$20+(PRESIONES!$K$35-ABERTURAS!$L$66)*MAX(0,MIN($W30,DATOS!$C$23*4/4)-MAX($V30,DATOS!$C$23*3/4))*PRESIONES!$C$21))</f>
        <v>0</v>
      </c>
      <c r="BG30" s="26">
        <f>IF($L30&lt;&gt;"OK",0,PRESIONES!$C$12*((PRESIONES!$N$32-ABERTURAS!$L$67)*MAX(0,MIN($W30,DATOS!$C$23*1/4)-MAX($V30,DATOS!$C$23*0/4))*PRESIONES!$C$18+(PRESIONES!$N$33-ABERTURAS!$L$67)*MAX(0,MIN($W30,DATOS!$C$23*2/4)-MAX($V30,DATOS!$C$23*1/4))*PRESIONES!$C$19+(PRESIONES!$N$34-ABERTURAS!$L$67)*MAX(0,MIN($W30,DATOS!$C$23*3/4)-MAX($V30,DATOS!$C$23*2/4))*PRESIONES!$C$20+(PRESIONES!$N$35-ABERTURAS!$L$67)*MAX(0,MIN($W30,DATOS!$C$23*4/4)-MAX($V30,DATOS!$C$23*3/4))*PRESIONES!$C$21))</f>
        <v>0</v>
      </c>
    </row>
    <row r="31" spans="2:59" ht="15" customHeight="1" x14ac:dyDescent="0.3">
      <c r="B31" s="4"/>
      <c r="C31" s="15"/>
      <c r="D31" s="4"/>
      <c r="E31" s="15"/>
      <c r="F31" s="40"/>
      <c r="G31" s="40"/>
      <c r="H31" s="40"/>
      <c r="I31" s="40"/>
      <c r="J31" s="40"/>
      <c r="K31" s="40"/>
      <c r="L31" s="18" t="str">
        <f>IF($D31="","",IF($C31&lt;&gt;"TECHO","PON TECHO",IF(OR($F31="",$G31="",$H31="",$I31=""),"FALTAN a o b",IF($M31&lt;=0,"a₂ DEBE SER &gt; a₁",IF($N31&lt;=0,"b₂ DEBE SER &gt; b₁",IF(OR($V31&lt;-0.001,$W31&gt;DATOS!$C$23+0.001),"SE SALE DEL TECHO","OK"))))))</f>
        <v/>
      </c>
      <c r="M31" s="26">
        <f t="shared" si="0"/>
        <v>0</v>
      </c>
      <c r="N31" s="26">
        <f t="shared" si="1"/>
        <v>0</v>
      </c>
      <c r="O31" s="26">
        <f t="shared" si="2"/>
        <v>0</v>
      </c>
      <c r="P31" s="26">
        <v>0</v>
      </c>
      <c r="Q31" s="26">
        <v>0</v>
      </c>
      <c r="R31" s="26">
        <f t="shared" si="3"/>
        <v>0</v>
      </c>
      <c r="S31" s="26">
        <f t="shared" si="3"/>
        <v>0</v>
      </c>
      <c r="T31" s="41">
        <f>IF($D31="",0,DATOS!$C$21)</f>
        <v>0</v>
      </c>
      <c r="U31" s="41">
        <v>0</v>
      </c>
      <c r="V31" s="41">
        <f t="shared" si="4"/>
        <v>0</v>
      </c>
      <c r="W31" s="41">
        <f t="shared" si="5"/>
        <v>0</v>
      </c>
      <c r="AB31" s="26">
        <f>IF($L31&lt;&gt;"OK",0,PRESIONES!$C$12*((PRESIONES!$D$32-ABERTURAS!$L$60)*MAX(0,MIN($W31,DATOS!$C$23*1/4)-MAX($V31,DATOS!$C$23*0/4))+(PRESIONES!$D$33-ABERTURAS!$L$60)*MAX(0,MIN($W31,DATOS!$C$23*2/4)-MAX($V31,DATOS!$C$23*1/4))+(PRESIONES!$D$34-ABERTURAS!$L$60)*MAX(0,MIN($W31,DATOS!$C$23*3/4)-MAX($V31,DATOS!$C$23*2/4))+(PRESIONES!$D$35-ABERTURAS!$L$60)*MAX(0,MIN($W31,DATOS!$C$23*4/4)-MAX($V31,DATOS!$C$23*3/4))))</f>
        <v>0</v>
      </c>
      <c r="AC31" s="26">
        <f>IF($L31&lt;&gt;"OK",0,PRESIONES!$C$12*((PRESIONES!$G$32-ABERTURAS!$L$61)*MAX(0,MIN($W31,DATOS!$C$23*1/4)-MAX($V31,DATOS!$C$23*0/4))+(PRESIONES!$G$33-ABERTURAS!$L$61)*MAX(0,MIN($W31,DATOS!$C$23*2/4)-MAX($V31,DATOS!$C$23*1/4))+(PRESIONES!$G$34-ABERTURAS!$L$61)*MAX(0,MIN($W31,DATOS!$C$23*3/4)-MAX($V31,DATOS!$C$23*2/4))+(PRESIONES!$G$35-ABERTURAS!$L$61)*MAX(0,MIN($W31,DATOS!$C$23*4/4)-MAX($V31,DATOS!$C$23*3/4))))</f>
        <v>0</v>
      </c>
      <c r="AD31" s="26">
        <f>IF($L31&lt;&gt;"OK",0,PRESIONES!$C$12*((PRESIONES!$J$32-ABERTURAS!$L$62)*MAX(0,MIN($W31,DATOS!$C$23*1/4)-MAX($V31,DATOS!$C$23*0/4))+(PRESIONES!$J$33-ABERTURAS!$L$62)*MAX(0,MIN($W31,DATOS!$C$23*2/4)-MAX($V31,DATOS!$C$23*1/4))+(PRESIONES!$J$34-ABERTURAS!$L$62)*MAX(0,MIN($W31,DATOS!$C$23*3/4)-MAX($V31,DATOS!$C$23*2/4))+(PRESIONES!$J$35-ABERTURAS!$L$62)*MAX(0,MIN($W31,DATOS!$C$23*4/4)-MAX($V31,DATOS!$C$23*3/4))))</f>
        <v>0</v>
      </c>
      <c r="AE31" s="26">
        <f>IF($L31&lt;&gt;"OK",0,PRESIONES!$C$12*((PRESIONES!$M$32-ABERTURAS!$L$63)*MAX(0,MIN($W31,DATOS!$C$23*1/4)-MAX($V31,DATOS!$C$23*0/4))+(PRESIONES!$M$33-ABERTURAS!$L$63)*MAX(0,MIN($W31,DATOS!$C$23*2/4)-MAX($V31,DATOS!$C$23*1/4))+(PRESIONES!$M$34-ABERTURAS!$L$63)*MAX(0,MIN($W31,DATOS!$C$23*3/4)-MAX($V31,DATOS!$C$23*2/4))+(PRESIONES!$M$35-ABERTURAS!$L$63)*MAX(0,MIN($W31,DATOS!$C$23*4/4)-MAX($V31,DATOS!$C$23*3/4))))</f>
        <v>0</v>
      </c>
      <c r="AF31" s="26">
        <f>IF($L31&lt;&gt;"OK",0,PRESIONES!$C$12*((PRESIONES!$D$32-ABERTURAS!$L$64)*MAX(0,MIN($W31,DATOS!$C$23*1/4)-MAX($V31,DATOS!$C$23*0/4))+(PRESIONES!$D$33-ABERTURAS!$L$64)*MAX(0,MIN($W31,DATOS!$C$23*2/4)-MAX($V31,DATOS!$C$23*1/4))+(PRESIONES!$D$34-ABERTURAS!$L$64)*MAX(0,MIN($W31,DATOS!$C$23*3/4)-MAX($V31,DATOS!$C$23*2/4))+(PRESIONES!$D$35-ABERTURAS!$L$64)*MAX(0,MIN($W31,DATOS!$C$23*4/4)-MAX($V31,DATOS!$C$23*3/4))))</f>
        <v>0</v>
      </c>
      <c r="AG31" s="26">
        <f>IF($L31&lt;&gt;"OK",0,PRESIONES!$C$12*((PRESIONES!$G$32-ABERTURAS!$L$65)*MAX(0,MIN($W31,DATOS!$C$23*1/4)-MAX($V31,DATOS!$C$23*0/4))+(PRESIONES!$G$33-ABERTURAS!$L$65)*MAX(0,MIN($W31,DATOS!$C$23*2/4)-MAX($V31,DATOS!$C$23*1/4))+(PRESIONES!$G$34-ABERTURAS!$L$65)*MAX(0,MIN($W31,DATOS!$C$23*3/4)-MAX($V31,DATOS!$C$23*2/4))+(PRESIONES!$G$35-ABERTURAS!$L$65)*MAX(0,MIN($W31,DATOS!$C$23*4/4)-MAX($V31,DATOS!$C$23*3/4))))</f>
        <v>0</v>
      </c>
      <c r="AH31" s="26">
        <f>IF($L31&lt;&gt;"OK",0,PRESIONES!$C$12*((PRESIONES!$J$32-ABERTURAS!$L$66)*MAX(0,MIN($W31,DATOS!$C$23*1/4)-MAX($V31,DATOS!$C$23*0/4))+(PRESIONES!$J$33-ABERTURAS!$L$66)*MAX(0,MIN($W31,DATOS!$C$23*2/4)-MAX($V31,DATOS!$C$23*1/4))+(PRESIONES!$J$34-ABERTURAS!$L$66)*MAX(0,MIN($W31,DATOS!$C$23*3/4)-MAX($V31,DATOS!$C$23*2/4))+(PRESIONES!$J$35-ABERTURAS!$L$66)*MAX(0,MIN($W31,DATOS!$C$23*4/4)-MAX($V31,DATOS!$C$23*3/4))))</f>
        <v>0</v>
      </c>
      <c r="AI31" s="26">
        <f>IF($L31&lt;&gt;"OK",0,PRESIONES!$C$12*((PRESIONES!$M$32-ABERTURAS!$L$67)*MAX(0,MIN($W31,DATOS!$C$23*1/4)-MAX($V31,DATOS!$C$23*0/4))+(PRESIONES!$M$33-ABERTURAS!$L$67)*MAX(0,MIN($W31,DATOS!$C$23*2/4)-MAX($V31,DATOS!$C$23*1/4))+(PRESIONES!$M$34-ABERTURAS!$L$67)*MAX(0,MIN($W31,DATOS!$C$23*3/4)-MAX($V31,DATOS!$C$23*2/4))+(PRESIONES!$M$35-ABERTURAS!$L$67)*MAX(0,MIN($W31,DATOS!$C$23*4/4)-MAX($V31,DATOS!$C$23*3/4))))</f>
        <v>0</v>
      </c>
      <c r="AJ31" s="26">
        <f>IF($L31&lt;&gt;"OK",0,PRESIONES!$C$12*((PRESIONES!$D$32-ABERTURAS!$L$60)*MAX(0,MIN($W31,DATOS!$C$23*1/4)-MAX($V31,DATOS!$C$23*0/4))*PRESIONES!$C$18+(PRESIONES!$D$33-ABERTURAS!$L$60)*MAX(0,MIN($W31,DATOS!$C$23*2/4)-MAX($V31,DATOS!$C$23*1/4))*PRESIONES!$C$19+(PRESIONES!$D$34-ABERTURAS!$L$60)*MAX(0,MIN($W31,DATOS!$C$23*3/4)-MAX($V31,DATOS!$C$23*2/4))*PRESIONES!$C$20+(PRESIONES!$D$35-ABERTURAS!$L$60)*MAX(0,MIN($W31,DATOS!$C$23*4/4)-MAX($V31,DATOS!$C$23*3/4))*PRESIONES!$C$21))</f>
        <v>0</v>
      </c>
      <c r="AK31" s="26">
        <f>IF($L31&lt;&gt;"OK",0,PRESIONES!$C$12*((PRESIONES!$G$32-ABERTURAS!$L$61)*MAX(0,MIN($W31,DATOS!$C$23*1/4)-MAX($V31,DATOS!$C$23*0/4))*PRESIONES!$C$18+(PRESIONES!$G$33-ABERTURAS!$L$61)*MAX(0,MIN($W31,DATOS!$C$23*2/4)-MAX($V31,DATOS!$C$23*1/4))*PRESIONES!$C$19+(PRESIONES!$G$34-ABERTURAS!$L$61)*MAX(0,MIN($W31,DATOS!$C$23*3/4)-MAX($V31,DATOS!$C$23*2/4))*PRESIONES!$C$20+(PRESIONES!$G$35-ABERTURAS!$L$61)*MAX(0,MIN($W31,DATOS!$C$23*4/4)-MAX($V31,DATOS!$C$23*3/4))*PRESIONES!$C$21))</f>
        <v>0</v>
      </c>
      <c r="AL31" s="26">
        <f>IF($L31&lt;&gt;"OK",0,PRESIONES!$C$12*((PRESIONES!$J$32-ABERTURAS!$L$62)*MAX(0,MIN($W31,DATOS!$C$23*1/4)-MAX($V31,DATOS!$C$23*0/4))*PRESIONES!$C$18+(PRESIONES!$J$33-ABERTURAS!$L$62)*MAX(0,MIN($W31,DATOS!$C$23*2/4)-MAX($V31,DATOS!$C$23*1/4))*PRESIONES!$C$19+(PRESIONES!$J$34-ABERTURAS!$L$62)*MAX(0,MIN($W31,DATOS!$C$23*3/4)-MAX($V31,DATOS!$C$23*2/4))*PRESIONES!$C$20+(PRESIONES!$J$35-ABERTURAS!$L$62)*MAX(0,MIN($W31,DATOS!$C$23*4/4)-MAX($V31,DATOS!$C$23*3/4))*PRESIONES!$C$21))</f>
        <v>0</v>
      </c>
      <c r="AM31" s="26">
        <f>IF($L31&lt;&gt;"OK",0,PRESIONES!$C$12*((PRESIONES!$M$32-ABERTURAS!$L$63)*MAX(0,MIN($W31,DATOS!$C$23*1/4)-MAX($V31,DATOS!$C$23*0/4))*PRESIONES!$C$18+(PRESIONES!$M$33-ABERTURAS!$L$63)*MAX(0,MIN($W31,DATOS!$C$23*2/4)-MAX($V31,DATOS!$C$23*1/4))*PRESIONES!$C$19+(PRESIONES!$M$34-ABERTURAS!$L$63)*MAX(0,MIN($W31,DATOS!$C$23*3/4)-MAX($V31,DATOS!$C$23*2/4))*PRESIONES!$C$20+(PRESIONES!$M$35-ABERTURAS!$L$63)*MAX(0,MIN($W31,DATOS!$C$23*4/4)-MAX($V31,DATOS!$C$23*3/4))*PRESIONES!$C$21))</f>
        <v>0</v>
      </c>
      <c r="AN31" s="26">
        <f>IF($L31&lt;&gt;"OK",0,PRESIONES!$C$12*((PRESIONES!$D$32-ABERTURAS!$L$64)*MAX(0,MIN($W31,DATOS!$C$23*1/4)-MAX($V31,DATOS!$C$23*0/4))*PRESIONES!$C$18+(PRESIONES!$D$33-ABERTURAS!$L$64)*MAX(0,MIN($W31,DATOS!$C$23*2/4)-MAX($V31,DATOS!$C$23*1/4))*PRESIONES!$C$19+(PRESIONES!$D$34-ABERTURAS!$L$64)*MAX(0,MIN($W31,DATOS!$C$23*3/4)-MAX($V31,DATOS!$C$23*2/4))*PRESIONES!$C$20+(PRESIONES!$D$35-ABERTURAS!$L$64)*MAX(0,MIN($W31,DATOS!$C$23*4/4)-MAX($V31,DATOS!$C$23*3/4))*PRESIONES!$C$21))</f>
        <v>0</v>
      </c>
      <c r="AO31" s="26">
        <f>IF($L31&lt;&gt;"OK",0,PRESIONES!$C$12*((PRESIONES!$G$32-ABERTURAS!$L$65)*MAX(0,MIN($W31,DATOS!$C$23*1/4)-MAX($V31,DATOS!$C$23*0/4))*PRESIONES!$C$18+(PRESIONES!$G$33-ABERTURAS!$L$65)*MAX(0,MIN($W31,DATOS!$C$23*2/4)-MAX($V31,DATOS!$C$23*1/4))*PRESIONES!$C$19+(PRESIONES!$G$34-ABERTURAS!$L$65)*MAX(0,MIN($W31,DATOS!$C$23*3/4)-MAX($V31,DATOS!$C$23*2/4))*PRESIONES!$C$20+(PRESIONES!$G$35-ABERTURAS!$L$65)*MAX(0,MIN($W31,DATOS!$C$23*4/4)-MAX($V31,DATOS!$C$23*3/4))*PRESIONES!$C$21))</f>
        <v>0</v>
      </c>
      <c r="AP31" s="26">
        <f>IF($L31&lt;&gt;"OK",0,PRESIONES!$C$12*((PRESIONES!$J$32-ABERTURAS!$L$66)*MAX(0,MIN($W31,DATOS!$C$23*1/4)-MAX($V31,DATOS!$C$23*0/4))*PRESIONES!$C$18+(PRESIONES!$J$33-ABERTURAS!$L$66)*MAX(0,MIN($W31,DATOS!$C$23*2/4)-MAX($V31,DATOS!$C$23*1/4))*PRESIONES!$C$19+(PRESIONES!$J$34-ABERTURAS!$L$66)*MAX(0,MIN($W31,DATOS!$C$23*3/4)-MAX($V31,DATOS!$C$23*2/4))*PRESIONES!$C$20+(PRESIONES!$J$35-ABERTURAS!$L$66)*MAX(0,MIN($W31,DATOS!$C$23*4/4)-MAX($V31,DATOS!$C$23*3/4))*PRESIONES!$C$21))</f>
        <v>0</v>
      </c>
      <c r="AQ31" s="26">
        <f>IF($L31&lt;&gt;"OK",0,PRESIONES!$C$12*((PRESIONES!$M$32-ABERTURAS!$L$67)*MAX(0,MIN($W31,DATOS!$C$23*1/4)-MAX($V31,DATOS!$C$23*0/4))*PRESIONES!$C$18+(PRESIONES!$M$33-ABERTURAS!$L$67)*MAX(0,MIN($W31,DATOS!$C$23*2/4)-MAX($V31,DATOS!$C$23*1/4))*PRESIONES!$C$19+(PRESIONES!$M$34-ABERTURAS!$L$67)*MAX(0,MIN($W31,DATOS!$C$23*3/4)-MAX($V31,DATOS!$C$23*2/4))*PRESIONES!$C$20+(PRESIONES!$M$35-ABERTURAS!$L$67)*MAX(0,MIN($W31,DATOS!$C$23*4/4)-MAX($V31,DATOS!$C$23*3/4))*PRESIONES!$C$21))</f>
        <v>0</v>
      </c>
      <c r="AR31" s="26">
        <f>IF($L31&lt;&gt;"OK",0,PRESIONES!$C$12*((PRESIONES!$E$32-ABERTURAS!$L$60)*MAX(0,MIN($W31,DATOS!$C$23*1/4)-MAX($V31,DATOS!$C$23*0/4))+(PRESIONES!$E$33-ABERTURAS!$L$60)*MAX(0,MIN($W31,DATOS!$C$23*2/4)-MAX($V31,DATOS!$C$23*1/4))+(PRESIONES!$E$34-ABERTURAS!$L$60)*MAX(0,MIN($W31,DATOS!$C$23*3/4)-MAX($V31,DATOS!$C$23*2/4))+(PRESIONES!$E$35-ABERTURAS!$L$60)*MAX(0,MIN($W31,DATOS!$C$23*4/4)-MAX($V31,DATOS!$C$23*3/4))))</f>
        <v>0</v>
      </c>
      <c r="AS31" s="26">
        <f>IF($L31&lt;&gt;"OK",0,PRESIONES!$C$12*((PRESIONES!$H$32-ABERTURAS!$L$61)*MAX(0,MIN($W31,DATOS!$C$23*1/4)-MAX($V31,DATOS!$C$23*0/4))+(PRESIONES!$H$33-ABERTURAS!$L$61)*MAX(0,MIN($W31,DATOS!$C$23*2/4)-MAX($V31,DATOS!$C$23*1/4))+(PRESIONES!$H$34-ABERTURAS!$L$61)*MAX(0,MIN($W31,DATOS!$C$23*3/4)-MAX($V31,DATOS!$C$23*2/4))+(PRESIONES!$H$35-ABERTURAS!$L$61)*MAX(0,MIN($W31,DATOS!$C$23*4/4)-MAX($V31,DATOS!$C$23*3/4))))</f>
        <v>0</v>
      </c>
      <c r="AT31" s="26">
        <f>IF($L31&lt;&gt;"OK",0,PRESIONES!$C$12*((PRESIONES!$K$32-ABERTURAS!$L$62)*MAX(0,MIN($W31,DATOS!$C$23*1/4)-MAX($V31,DATOS!$C$23*0/4))+(PRESIONES!$K$33-ABERTURAS!$L$62)*MAX(0,MIN($W31,DATOS!$C$23*2/4)-MAX($V31,DATOS!$C$23*1/4))+(PRESIONES!$K$34-ABERTURAS!$L$62)*MAX(0,MIN($W31,DATOS!$C$23*3/4)-MAX($V31,DATOS!$C$23*2/4))+(PRESIONES!$K$35-ABERTURAS!$L$62)*MAX(0,MIN($W31,DATOS!$C$23*4/4)-MAX($V31,DATOS!$C$23*3/4))))</f>
        <v>0</v>
      </c>
      <c r="AU31" s="26">
        <f>IF($L31&lt;&gt;"OK",0,PRESIONES!$C$12*((PRESIONES!$N$32-ABERTURAS!$L$63)*MAX(0,MIN($W31,DATOS!$C$23*1/4)-MAX($V31,DATOS!$C$23*0/4))+(PRESIONES!$N$33-ABERTURAS!$L$63)*MAX(0,MIN($W31,DATOS!$C$23*2/4)-MAX($V31,DATOS!$C$23*1/4))+(PRESIONES!$N$34-ABERTURAS!$L$63)*MAX(0,MIN($W31,DATOS!$C$23*3/4)-MAX($V31,DATOS!$C$23*2/4))+(PRESIONES!$N$35-ABERTURAS!$L$63)*MAX(0,MIN($W31,DATOS!$C$23*4/4)-MAX($V31,DATOS!$C$23*3/4))))</f>
        <v>0</v>
      </c>
      <c r="AV31" s="26">
        <f>IF($L31&lt;&gt;"OK",0,PRESIONES!$C$12*((PRESIONES!$E$32-ABERTURAS!$L$64)*MAX(0,MIN($W31,DATOS!$C$23*1/4)-MAX($V31,DATOS!$C$23*0/4))+(PRESIONES!$E$33-ABERTURAS!$L$64)*MAX(0,MIN($W31,DATOS!$C$23*2/4)-MAX($V31,DATOS!$C$23*1/4))+(PRESIONES!$E$34-ABERTURAS!$L$64)*MAX(0,MIN($W31,DATOS!$C$23*3/4)-MAX($V31,DATOS!$C$23*2/4))+(PRESIONES!$E$35-ABERTURAS!$L$64)*MAX(0,MIN($W31,DATOS!$C$23*4/4)-MAX($V31,DATOS!$C$23*3/4))))</f>
        <v>0</v>
      </c>
      <c r="AW31" s="26">
        <f>IF($L31&lt;&gt;"OK",0,PRESIONES!$C$12*((PRESIONES!$H$32-ABERTURAS!$L$65)*MAX(0,MIN($W31,DATOS!$C$23*1/4)-MAX($V31,DATOS!$C$23*0/4))+(PRESIONES!$H$33-ABERTURAS!$L$65)*MAX(0,MIN($W31,DATOS!$C$23*2/4)-MAX($V31,DATOS!$C$23*1/4))+(PRESIONES!$H$34-ABERTURAS!$L$65)*MAX(0,MIN($W31,DATOS!$C$23*3/4)-MAX($V31,DATOS!$C$23*2/4))+(PRESIONES!$H$35-ABERTURAS!$L$65)*MAX(0,MIN($W31,DATOS!$C$23*4/4)-MAX($V31,DATOS!$C$23*3/4))))</f>
        <v>0</v>
      </c>
      <c r="AX31" s="26">
        <f>IF($L31&lt;&gt;"OK",0,PRESIONES!$C$12*((PRESIONES!$K$32-ABERTURAS!$L$66)*MAX(0,MIN($W31,DATOS!$C$23*1/4)-MAX($V31,DATOS!$C$23*0/4))+(PRESIONES!$K$33-ABERTURAS!$L$66)*MAX(0,MIN($W31,DATOS!$C$23*2/4)-MAX($V31,DATOS!$C$23*1/4))+(PRESIONES!$K$34-ABERTURAS!$L$66)*MAX(0,MIN($W31,DATOS!$C$23*3/4)-MAX($V31,DATOS!$C$23*2/4))+(PRESIONES!$K$35-ABERTURAS!$L$66)*MAX(0,MIN($W31,DATOS!$C$23*4/4)-MAX($V31,DATOS!$C$23*3/4))))</f>
        <v>0</v>
      </c>
      <c r="AY31" s="26">
        <f>IF($L31&lt;&gt;"OK",0,PRESIONES!$C$12*((PRESIONES!$N$32-ABERTURAS!$L$67)*MAX(0,MIN($W31,DATOS!$C$23*1/4)-MAX($V31,DATOS!$C$23*0/4))+(PRESIONES!$N$33-ABERTURAS!$L$67)*MAX(0,MIN($W31,DATOS!$C$23*2/4)-MAX($V31,DATOS!$C$23*1/4))+(PRESIONES!$N$34-ABERTURAS!$L$67)*MAX(0,MIN($W31,DATOS!$C$23*3/4)-MAX($V31,DATOS!$C$23*2/4))+(PRESIONES!$N$35-ABERTURAS!$L$67)*MAX(0,MIN($W31,DATOS!$C$23*4/4)-MAX($V31,DATOS!$C$23*3/4))))</f>
        <v>0</v>
      </c>
      <c r="AZ31" s="26">
        <f>IF($L31&lt;&gt;"OK",0,PRESIONES!$C$12*((PRESIONES!$E$32-ABERTURAS!$L$60)*MAX(0,MIN($W31,DATOS!$C$23*1/4)-MAX($V31,DATOS!$C$23*0/4))*PRESIONES!$C$18+(PRESIONES!$E$33-ABERTURAS!$L$60)*MAX(0,MIN($W31,DATOS!$C$23*2/4)-MAX($V31,DATOS!$C$23*1/4))*PRESIONES!$C$19+(PRESIONES!$E$34-ABERTURAS!$L$60)*MAX(0,MIN($W31,DATOS!$C$23*3/4)-MAX($V31,DATOS!$C$23*2/4))*PRESIONES!$C$20+(PRESIONES!$E$35-ABERTURAS!$L$60)*MAX(0,MIN($W31,DATOS!$C$23*4/4)-MAX($V31,DATOS!$C$23*3/4))*PRESIONES!$C$21))</f>
        <v>0</v>
      </c>
      <c r="BA31" s="26">
        <f>IF($L31&lt;&gt;"OK",0,PRESIONES!$C$12*((PRESIONES!$H$32-ABERTURAS!$L$61)*MAX(0,MIN($W31,DATOS!$C$23*1/4)-MAX($V31,DATOS!$C$23*0/4))*PRESIONES!$C$18+(PRESIONES!$H$33-ABERTURAS!$L$61)*MAX(0,MIN($W31,DATOS!$C$23*2/4)-MAX($V31,DATOS!$C$23*1/4))*PRESIONES!$C$19+(PRESIONES!$H$34-ABERTURAS!$L$61)*MAX(0,MIN($W31,DATOS!$C$23*3/4)-MAX($V31,DATOS!$C$23*2/4))*PRESIONES!$C$20+(PRESIONES!$H$35-ABERTURAS!$L$61)*MAX(0,MIN($W31,DATOS!$C$23*4/4)-MAX($V31,DATOS!$C$23*3/4))*PRESIONES!$C$21))</f>
        <v>0</v>
      </c>
      <c r="BB31" s="26">
        <f>IF($L31&lt;&gt;"OK",0,PRESIONES!$C$12*((PRESIONES!$K$32-ABERTURAS!$L$62)*MAX(0,MIN($W31,DATOS!$C$23*1/4)-MAX($V31,DATOS!$C$23*0/4))*PRESIONES!$C$18+(PRESIONES!$K$33-ABERTURAS!$L$62)*MAX(0,MIN($W31,DATOS!$C$23*2/4)-MAX($V31,DATOS!$C$23*1/4))*PRESIONES!$C$19+(PRESIONES!$K$34-ABERTURAS!$L$62)*MAX(0,MIN($W31,DATOS!$C$23*3/4)-MAX($V31,DATOS!$C$23*2/4))*PRESIONES!$C$20+(PRESIONES!$K$35-ABERTURAS!$L$62)*MAX(0,MIN($W31,DATOS!$C$23*4/4)-MAX($V31,DATOS!$C$23*3/4))*PRESIONES!$C$21))</f>
        <v>0</v>
      </c>
      <c r="BC31" s="26">
        <f>IF($L31&lt;&gt;"OK",0,PRESIONES!$C$12*((PRESIONES!$N$32-ABERTURAS!$L$63)*MAX(0,MIN($W31,DATOS!$C$23*1/4)-MAX($V31,DATOS!$C$23*0/4))*PRESIONES!$C$18+(PRESIONES!$N$33-ABERTURAS!$L$63)*MAX(0,MIN($W31,DATOS!$C$23*2/4)-MAX($V31,DATOS!$C$23*1/4))*PRESIONES!$C$19+(PRESIONES!$N$34-ABERTURAS!$L$63)*MAX(0,MIN($W31,DATOS!$C$23*3/4)-MAX($V31,DATOS!$C$23*2/4))*PRESIONES!$C$20+(PRESIONES!$N$35-ABERTURAS!$L$63)*MAX(0,MIN($W31,DATOS!$C$23*4/4)-MAX($V31,DATOS!$C$23*3/4))*PRESIONES!$C$21))</f>
        <v>0</v>
      </c>
      <c r="BD31" s="26">
        <f>IF($L31&lt;&gt;"OK",0,PRESIONES!$C$12*((PRESIONES!$E$32-ABERTURAS!$L$64)*MAX(0,MIN($W31,DATOS!$C$23*1/4)-MAX($V31,DATOS!$C$23*0/4))*PRESIONES!$C$18+(PRESIONES!$E$33-ABERTURAS!$L$64)*MAX(0,MIN($W31,DATOS!$C$23*2/4)-MAX($V31,DATOS!$C$23*1/4))*PRESIONES!$C$19+(PRESIONES!$E$34-ABERTURAS!$L$64)*MAX(0,MIN($W31,DATOS!$C$23*3/4)-MAX($V31,DATOS!$C$23*2/4))*PRESIONES!$C$20+(PRESIONES!$E$35-ABERTURAS!$L$64)*MAX(0,MIN($W31,DATOS!$C$23*4/4)-MAX($V31,DATOS!$C$23*3/4))*PRESIONES!$C$21))</f>
        <v>0</v>
      </c>
      <c r="BE31" s="26">
        <f>IF($L31&lt;&gt;"OK",0,PRESIONES!$C$12*((PRESIONES!$H$32-ABERTURAS!$L$65)*MAX(0,MIN($W31,DATOS!$C$23*1/4)-MAX($V31,DATOS!$C$23*0/4))*PRESIONES!$C$18+(PRESIONES!$H$33-ABERTURAS!$L$65)*MAX(0,MIN($W31,DATOS!$C$23*2/4)-MAX($V31,DATOS!$C$23*1/4))*PRESIONES!$C$19+(PRESIONES!$H$34-ABERTURAS!$L$65)*MAX(0,MIN($W31,DATOS!$C$23*3/4)-MAX($V31,DATOS!$C$23*2/4))*PRESIONES!$C$20+(PRESIONES!$H$35-ABERTURAS!$L$65)*MAX(0,MIN($W31,DATOS!$C$23*4/4)-MAX($V31,DATOS!$C$23*3/4))*PRESIONES!$C$21))</f>
        <v>0</v>
      </c>
      <c r="BF31" s="26">
        <f>IF($L31&lt;&gt;"OK",0,PRESIONES!$C$12*((PRESIONES!$K$32-ABERTURAS!$L$66)*MAX(0,MIN($W31,DATOS!$C$23*1/4)-MAX($V31,DATOS!$C$23*0/4))*PRESIONES!$C$18+(PRESIONES!$K$33-ABERTURAS!$L$66)*MAX(0,MIN($W31,DATOS!$C$23*2/4)-MAX($V31,DATOS!$C$23*1/4))*PRESIONES!$C$19+(PRESIONES!$K$34-ABERTURAS!$L$66)*MAX(0,MIN($W31,DATOS!$C$23*3/4)-MAX($V31,DATOS!$C$23*2/4))*PRESIONES!$C$20+(PRESIONES!$K$35-ABERTURAS!$L$66)*MAX(0,MIN($W31,DATOS!$C$23*4/4)-MAX($V31,DATOS!$C$23*3/4))*PRESIONES!$C$21))</f>
        <v>0</v>
      </c>
      <c r="BG31" s="26">
        <f>IF($L31&lt;&gt;"OK",0,PRESIONES!$C$12*((PRESIONES!$N$32-ABERTURAS!$L$67)*MAX(0,MIN($W31,DATOS!$C$23*1/4)-MAX($V31,DATOS!$C$23*0/4))*PRESIONES!$C$18+(PRESIONES!$N$33-ABERTURAS!$L$67)*MAX(0,MIN($W31,DATOS!$C$23*2/4)-MAX($V31,DATOS!$C$23*1/4))*PRESIONES!$C$19+(PRESIONES!$N$34-ABERTURAS!$L$67)*MAX(0,MIN($W31,DATOS!$C$23*3/4)-MAX($V31,DATOS!$C$23*2/4))*PRESIONES!$C$20+(PRESIONES!$N$35-ABERTURAS!$L$67)*MAX(0,MIN($W31,DATOS!$C$23*4/4)-MAX($V31,DATOS!$C$23*3/4))*PRESIONES!$C$21))</f>
        <v>0</v>
      </c>
    </row>
    <row r="32" spans="2:59" ht="15" customHeight="1" x14ac:dyDescent="0.3">
      <c r="B32" s="4"/>
      <c r="C32" s="15"/>
      <c r="D32" s="4"/>
      <c r="E32" s="15"/>
      <c r="F32" s="40"/>
      <c r="G32" s="40"/>
      <c r="H32" s="40"/>
      <c r="I32" s="40"/>
      <c r="J32" s="40"/>
      <c r="K32" s="40"/>
      <c r="L32" s="18" t="str">
        <f>IF($D32="","",IF($C32&lt;&gt;"TECHO","PON TECHO",IF(OR($F32="",$G32="",$H32="",$I32=""),"FALTAN a o b",IF($M32&lt;=0,"a₂ DEBE SER &gt; a₁",IF($N32&lt;=0,"b₂ DEBE SER &gt; b₁",IF(OR($V32&lt;-0.001,$W32&gt;DATOS!$C$23+0.001),"SE SALE DEL TECHO","OK"))))))</f>
        <v/>
      </c>
      <c r="M32" s="26">
        <f t="shared" si="0"/>
        <v>0</v>
      </c>
      <c r="N32" s="26">
        <f t="shared" si="1"/>
        <v>0</v>
      </c>
      <c r="O32" s="26">
        <f t="shared" si="2"/>
        <v>0</v>
      </c>
      <c r="P32" s="26">
        <v>0</v>
      </c>
      <c r="Q32" s="26">
        <v>0</v>
      </c>
      <c r="R32" s="26">
        <f t="shared" si="3"/>
        <v>0</v>
      </c>
      <c r="S32" s="26">
        <f t="shared" si="3"/>
        <v>0</v>
      </c>
      <c r="T32" s="41">
        <f>IF($D32="",0,DATOS!$C$21)</f>
        <v>0</v>
      </c>
      <c r="U32" s="41">
        <v>0</v>
      </c>
      <c r="V32" s="41">
        <f t="shared" si="4"/>
        <v>0</v>
      </c>
      <c r="W32" s="41">
        <f t="shared" si="5"/>
        <v>0</v>
      </c>
      <c r="AB32" s="26">
        <f>IF($L32&lt;&gt;"OK",0,PRESIONES!$C$12*((PRESIONES!$D$32-ABERTURAS!$L$60)*MAX(0,MIN($W32,DATOS!$C$23*1/4)-MAX($V32,DATOS!$C$23*0/4))+(PRESIONES!$D$33-ABERTURAS!$L$60)*MAX(0,MIN($W32,DATOS!$C$23*2/4)-MAX($V32,DATOS!$C$23*1/4))+(PRESIONES!$D$34-ABERTURAS!$L$60)*MAX(0,MIN($W32,DATOS!$C$23*3/4)-MAX($V32,DATOS!$C$23*2/4))+(PRESIONES!$D$35-ABERTURAS!$L$60)*MAX(0,MIN($W32,DATOS!$C$23*4/4)-MAX($V32,DATOS!$C$23*3/4))))</f>
        <v>0</v>
      </c>
      <c r="AC32" s="26">
        <f>IF($L32&lt;&gt;"OK",0,PRESIONES!$C$12*((PRESIONES!$G$32-ABERTURAS!$L$61)*MAX(0,MIN($W32,DATOS!$C$23*1/4)-MAX($V32,DATOS!$C$23*0/4))+(PRESIONES!$G$33-ABERTURAS!$L$61)*MAX(0,MIN($W32,DATOS!$C$23*2/4)-MAX($V32,DATOS!$C$23*1/4))+(PRESIONES!$G$34-ABERTURAS!$L$61)*MAX(0,MIN($W32,DATOS!$C$23*3/4)-MAX($V32,DATOS!$C$23*2/4))+(PRESIONES!$G$35-ABERTURAS!$L$61)*MAX(0,MIN($W32,DATOS!$C$23*4/4)-MAX($V32,DATOS!$C$23*3/4))))</f>
        <v>0</v>
      </c>
      <c r="AD32" s="26">
        <f>IF($L32&lt;&gt;"OK",0,PRESIONES!$C$12*((PRESIONES!$J$32-ABERTURAS!$L$62)*MAX(0,MIN($W32,DATOS!$C$23*1/4)-MAX($V32,DATOS!$C$23*0/4))+(PRESIONES!$J$33-ABERTURAS!$L$62)*MAX(0,MIN($W32,DATOS!$C$23*2/4)-MAX($V32,DATOS!$C$23*1/4))+(PRESIONES!$J$34-ABERTURAS!$L$62)*MAX(0,MIN($W32,DATOS!$C$23*3/4)-MAX($V32,DATOS!$C$23*2/4))+(PRESIONES!$J$35-ABERTURAS!$L$62)*MAX(0,MIN($W32,DATOS!$C$23*4/4)-MAX($V32,DATOS!$C$23*3/4))))</f>
        <v>0</v>
      </c>
      <c r="AE32" s="26">
        <f>IF($L32&lt;&gt;"OK",0,PRESIONES!$C$12*((PRESIONES!$M$32-ABERTURAS!$L$63)*MAX(0,MIN($W32,DATOS!$C$23*1/4)-MAX($V32,DATOS!$C$23*0/4))+(PRESIONES!$M$33-ABERTURAS!$L$63)*MAX(0,MIN($W32,DATOS!$C$23*2/4)-MAX($V32,DATOS!$C$23*1/4))+(PRESIONES!$M$34-ABERTURAS!$L$63)*MAX(0,MIN($W32,DATOS!$C$23*3/4)-MAX($V32,DATOS!$C$23*2/4))+(PRESIONES!$M$35-ABERTURAS!$L$63)*MAX(0,MIN($W32,DATOS!$C$23*4/4)-MAX($V32,DATOS!$C$23*3/4))))</f>
        <v>0</v>
      </c>
      <c r="AF32" s="26">
        <f>IF($L32&lt;&gt;"OK",0,PRESIONES!$C$12*((PRESIONES!$D$32-ABERTURAS!$L$64)*MAX(0,MIN($W32,DATOS!$C$23*1/4)-MAX($V32,DATOS!$C$23*0/4))+(PRESIONES!$D$33-ABERTURAS!$L$64)*MAX(0,MIN($W32,DATOS!$C$23*2/4)-MAX($V32,DATOS!$C$23*1/4))+(PRESIONES!$D$34-ABERTURAS!$L$64)*MAX(0,MIN($W32,DATOS!$C$23*3/4)-MAX($V32,DATOS!$C$23*2/4))+(PRESIONES!$D$35-ABERTURAS!$L$64)*MAX(0,MIN($W32,DATOS!$C$23*4/4)-MAX($V32,DATOS!$C$23*3/4))))</f>
        <v>0</v>
      </c>
      <c r="AG32" s="26">
        <f>IF($L32&lt;&gt;"OK",0,PRESIONES!$C$12*((PRESIONES!$G$32-ABERTURAS!$L$65)*MAX(0,MIN($W32,DATOS!$C$23*1/4)-MAX($V32,DATOS!$C$23*0/4))+(PRESIONES!$G$33-ABERTURAS!$L$65)*MAX(0,MIN($W32,DATOS!$C$23*2/4)-MAX($V32,DATOS!$C$23*1/4))+(PRESIONES!$G$34-ABERTURAS!$L$65)*MAX(0,MIN($W32,DATOS!$C$23*3/4)-MAX($V32,DATOS!$C$23*2/4))+(PRESIONES!$G$35-ABERTURAS!$L$65)*MAX(0,MIN($W32,DATOS!$C$23*4/4)-MAX($V32,DATOS!$C$23*3/4))))</f>
        <v>0</v>
      </c>
      <c r="AH32" s="26">
        <f>IF($L32&lt;&gt;"OK",0,PRESIONES!$C$12*((PRESIONES!$J$32-ABERTURAS!$L$66)*MAX(0,MIN($W32,DATOS!$C$23*1/4)-MAX($V32,DATOS!$C$23*0/4))+(PRESIONES!$J$33-ABERTURAS!$L$66)*MAX(0,MIN($W32,DATOS!$C$23*2/4)-MAX($V32,DATOS!$C$23*1/4))+(PRESIONES!$J$34-ABERTURAS!$L$66)*MAX(0,MIN($W32,DATOS!$C$23*3/4)-MAX($V32,DATOS!$C$23*2/4))+(PRESIONES!$J$35-ABERTURAS!$L$66)*MAX(0,MIN($W32,DATOS!$C$23*4/4)-MAX($V32,DATOS!$C$23*3/4))))</f>
        <v>0</v>
      </c>
      <c r="AI32" s="26">
        <f>IF($L32&lt;&gt;"OK",0,PRESIONES!$C$12*((PRESIONES!$M$32-ABERTURAS!$L$67)*MAX(0,MIN($W32,DATOS!$C$23*1/4)-MAX($V32,DATOS!$C$23*0/4))+(PRESIONES!$M$33-ABERTURAS!$L$67)*MAX(0,MIN($W32,DATOS!$C$23*2/4)-MAX($V32,DATOS!$C$23*1/4))+(PRESIONES!$M$34-ABERTURAS!$L$67)*MAX(0,MIN($W32,DATOS!$C$23*3/4)-MAX($V32,DATOS!$C$23*2/4))+(PRESIONES!$M$35-ABERTURAS!$L$67)*MAX(0,MIN($W32,DATOS!$C$23*4/4)-MAX($V32,DATOS!$C$23*3/4))))</f>
        <v>0</v>
      </c>
      <c r="AJ32" s="26">
        <f>IF($L32&lt;&gt;"OK",0,PRESIONES!$C$12*((PRESIONES!$D$32-ABERTURAS!$L$60)*MAX(0,MIN($W32,DATOS!$C$23*1/4)-MAX($V32,DATOS!$C$23*0/4))*PRESIONES!$C$18+(PRESIONES!$D$33-ABERTURAS!$L$60)*MAX(0,MIN($W32,DATOS!$C$23*2/4)-MAX($V32,DATOS!$C$23*1/4))*PRESIONES!$C$19+(PRESIONES!$D$34-ABERTURAS!$L$60)*MAX(0,MIN($W32,DATOS!$C$23*3/4)-MAX($V32,DATOS!$C$23*2/4))*PRESIONES!$C$20+(PRESIONES!$D$35-ABERTURAS!$L$60)*MAX(0,MIN($W32,DATOS!$C$23*4/4)-MAX($V32,DATOS!$C$23*3/4))*PRESIONES!$C$21))</f>
        <v>0</v>
      </c>
      <c r="AK32" s="26">
        <f>IF($L32&lt;&gt;"OK",0,PRESIONES!$C$12*((PRESIONES!$G$32-ABERTURAS!$L$61)*MAX(0,MIN($W32,DATOS!$C$23*1/4)-MAX($V32,DATOS!$C$23*0/4))*PRESIONES!$C$18+(PRESIONES!$G$33-ABERTURAS!$L$61)*MAX(0,MIN($W32,DATOS!$C$23*2/4)-MAX($V32,DATOS!$C$23*1/4))*PRESIONES!$C$19+(PRESIONES!$G$34-ABERTURAS!$L$61)*MAX(0,MIN($W32,DATOS!$C$23*3/4)-MAX($V32,DATOS!$C$23*2/4))*PRESIONES!$C$20+(PRESIONES!$G$35-ABERTURAS!$L$61)*MAX(0,MIN($W32,DATOS!$C$23*4/4)-MAX($V32,DATOS!$C$23*3/4))*PRESIONES!$C$21))</f>
        <v>0</v>
      </c>
      <c r="AL32" s="26">
        <f>IF($L32&lt;&gt;"OK",0,PRESIONES!$C$12*((PRESIONES!$J$32-ABERTURAS!$L$62)*MAX(0,MIN($W32,DATOS!$C$23*1/4)-MAX($V32,DATOS!$C$23*0/4))*PRESIONES!$C$18+(PRESIONES!$J$33-ABERTURAS!$L$62)*MAX(0,MIN($W32,DATOS!$C$23*2/4)-MAX($V32,DATOS!$C$23*1/4))*PRESIONES!$C$19+(PRESIONES!$J$34-ABERTURAS!$L$62)*MAX(0,MIN($W32,DATOS!$C$23*3/4)-MAX($V32,DATOS!$C$23*2/4))*PRESIONES!$C$20+(PRESIONES!$J$35-ABERTURAS!$L$62)*MAX(0,MIN($W32,DATOS!$C$23*4/4)-MAX($V32,DATOS!$C$23*3/4))*PRESIONES!$C$21))</f>
        <v>0</v>
      </c>
      <c r="AM32" s="26">
        <f>IF($L32&lt;&gt;"OK",0,PRESIONES!$C$12*((PRESIONES!$M$32-ABERTURAS!$L$63)*MAX(0,MIN($W32,DATOS!$C$23*1/4)-MAX($V32,DATOS!$C$23*0/4))*PRESIONES!$C$18+(PRESIONES!$M$33-ABERTURAS!$L$63)*MAX(0,MIN($W32,DATOS!$C$23*2/4)-MAX($V32,DATOS!$C$23*1/4))*PRESIONES!$C$19+(PRESIONES!$M$34-ABERTURAS!$L$63)*MAX(0,MIN($W32,DATOS!$C$23*3/4)-MAX($V32,DATOS!$C$23*2/4))*PRESIONES!$C$20+(PRESIONES!$M$35-ABERTURAS!$L$63)*MAX(0,MIN($W32,DATOS!$C$23*4/4)-MAX($V32,DATOS!$C$23*3/4))*PRESIONES!$C$21))</f>
        <v>0</v>
      </c>
      <c r="AN32" s="26">
        <f>IF($L32&lt;&gt;"OK",0,PRESIONES!$C$12*((PRESIONES!$D$32-ABERTURAS!$L$64)*MAX(0,MIN($W32,DATOS!$C$23*1/4)-MAX($V32,DATOS!$C$23*0/4))*PRESIONES!$C$18+(PRESIONES!$D$33-ABERTURAS!$L$64)*MAX(0,MIN($W32,DATOS!$C$23*2/4)-MAX($V32,DATOS!$C$23*1/4))*PRESIONES!$C$19+(PRESIONES!$D$34-ABERTURAS!$L$64)*MAX(0,MIN($W32,DATOS!$C$23*3/4)-MAX($V32,DATOS!$C$23*2/4))*PRESIONES!$C$20+(PRESIONES!$D$35-ABERTURAS!$L$64)*MAX(0,MIN($W32,DATOS!$C$23*4/4)-MAX($V32,DATOS!$C$23*3/4))*PRESIONES!$C$21))</f>
        <v>0</v>
      </c>
      <c r="AO32" s="26">
        <f>IF($L32&lt;&gt;"OK",0,PRESIONES!$C$12*((PRESIONES!$G$32-ABERTURAS!$L$65)*MAX(0,MIN($W32,DATOS!$C$23*1/4)-MAX($V32,DATOS!$C$23*0/4))*PRESIONES!$C$18+(PRESIONES!$G$33-ABERTURAS!$L$65)*MAX(0,MIN($W32,DATOS!$C$23*2/4)-MAX($V32,DATOS!$C$23*1/4))*PRESIONES!$C$19+(PRESIONES!$G$34-ABERTURAS!$L$65)*MAX(0,MIN($W32,DATOS!$C$23*3/4)-MAX($V32,DATOS!$C$23*2/4))*PRESIONES!$C$20+(PRESIONES!$G$35-ABERTURAS!$L$65)*MAX(0,MIN($W32,DATOS!$C$23*4/4)-MAX($V32,DATOS!$C$23*3/4))*PRESIONES!$C$21))</f>
        <v>0</v>
      </c>
      <c r="AP32" s="26">
        <f>IF($L32&lt;&gt;"OK",0,PRESIONES!$C$12*((PRESIONES!$J$32-ABERTURAS!$L$66)*MAX(0,MIN($W32,DATOS!$C$23*1/4)-MAX($V32,DATOS!$C$23*0/4))*PRESIONES!$C$18+(PRESIONES!$J$33-ABERTURAS!$L$66)*MAX(0,MIN($W32,DATOS!$C$23*2/4)-MAX($V32,DATOS!$C$23*1/4))*PRESIONES!$C$19+(PRESIONES!$J$34-ABERTURAS!$L$66)*MAX(0,MIN($W32,DATOS!$C$23*3/4)-MAX($V32,DATOS!$C$23*2/4))*PRESIONES!$C$20+(PRESIONES!$J$35-ABERTURAS!$L$66)*MAX(0,MIN($W32,DATOS!$C$23*4/4)-MAX($V32,DATOS!$C$23*3/4))*PRESIONES!$C$21))</f>
        <v>0</v>
      </c>
      <c r="AQ32" s="26">
        <f>IF($L32&lt;&gt;"OK",0,PRESIONES!$C$12*((PRESIONES!$M$32-ABERTURAS!$L$67)*MAX(0,MIN($W32,DATOS!$C$23*1/4)-MAX($V32,DATOS!$C$23*0/4))*PRESIONES!$C$18+(PRESIONES!$M$33-ABERTURAS!$L$67)*MAX(0,MIN($W32,DATOS!$C$23*2/4)-MAX($V32,DATOS!$C$23*1/4))*PRESIONES!$C$19+(PRESIONES!$M$34-ABERTURAS!$L$67)*MAX(0,MIN($W32,DATOS!$C$23*3/4)-MAX($V32,DATOS!$C$23*2/4))*PRESIONES!$C$20+(PRESIONES!$M$35-ABERTURAS!$L$67)*MAX(0,MIN($W32,DATOS!$C$23*4/4)-MAX($V32,DATOS!$C$23*3/4))*PRESIONES!$C$21))</f>
        <v>0</v>
      </c>
      <c r="AR32" s="26">
        <f>IF($L32&lt;&gt;"OK",0,PRESIONES!$C$12*((PRESIONES!$E$32-ABERTURAS!$L$60)*MAX(0,MIN($W32,DATOS!$C$23*1/4)-MAX($V32,DATOS!$C$23*0/4))+(PRESIONES!$E$33-ABERTURAS!$L$60)*MAX(0,MIN($W32,DATOS!$C$23*2/4)-MAX($V32,DATOS!$C$23*1/4))+(PRESIONES!$E$34-ABERTURAS!$L$60)*MAX(0,MIN($W32,DATOS!$C$23*3/4)-MAX($V32,DATOS!$C$23*2/4))+(PRESIONES!$E$35-ABERTURAS!$L$60)*MAX(0,MIN($W32,DATOS!$C$23*4/4)-MAX($V32,DATOS!$C$23*3/4))))</f>
        <v>0</v>
      </c>
      <c r="AS32" s="26">
        <f>IF($L32&lt;&gt;"OK",0,PRESIONES!$C$12*((PRESIONES!$H$32-ABERTURAS!$L$61)*MAX(0,MIN($W32,DATOS!$C$23*1/4)-MAX($V32,DATOS!$C$23*0/4))+(PRESIONES!$H$33-ABERTURAS!$L$61)*MAX(0,MIN($W32,DATOS!$C$23*2/4)-MAX($V32,DATOS!$C$23*1/4))+(PRESIONES!$H$34-ABERTURAS!$L$61)*MAX(0,MIN($W32,DATOS!$C$23*3/4)-MAX($V32,DATOS!$C$23*2/4))+(PRESIONES!$H$35-ABERTURAS!$L$61)*MAX(0,MIN($W32,DATOS!$C$23*4/4)-MAX($V32,DATOS!$C$23*3/4))))</f>
        <v>0</v>
      </c>
      <c r="AT32" s="26">
        <f>IF($L32&lt;&gt;"OK",0,PRESIONES!$C$12*((PRESIONES!$K$32-ABERTURAS!$L$62)*MAX(0,MIN($W32,DATOS!$C$23*1/4)-MAX($V32,DATOS!$C$23*0/4))+(PRESIONES!$K$33-ABERTURAS!$L$62)*MAX(0,MIN($W32,DATOS!$C$23*2/4)-MAX($V32,DATOS!$C$23*1/4))+(PRESIONES!$K$34-ABERTURAS!$L$62)*MAX(0,MIN($W32,DATOS!$C$23*3/4)-MAX($V32,DATOS!$C$23*2/4))+(PRESIONES!$K$35-ABERTURAS!$L$62)*MAX(0,MIN($W32,DATOS!$C$23*4/4)-MAX($V32,DATOS!$C$23*3/4))))</f>
        <v>0</v>
      </c>
      <c r="AU32" s="26">
        <f>IF($L32&lt;&gt;"OK",0,PRESIONES!$C$12*((PRESIONES!$N$32-ABERTURAS!$L$63)*MAX(0,MIN($W32,DATOS!$C$23*1/4)-MAX($V32,DATOS!$C$23*0/4))+(PRESIONES!$N$33-ABERTURAS!$L$63)*MAX(0,MIN($W32,DATOS!$C$23*2/4)-MAX($V32,DATOS!$C$23*1/4))+(PRESIONES!$N$34-ABERTURAS!$L$63)*MAX(0,MIN($W32,DATOS!$C$23*3/4)-MAX($V32,DATOS!$C$23*2/4))+(PRESIONES!$N$35-ABERTURAS!$L$63)*MAX(0,MIN($W32,DATOS!$C$23*4/4)-MAX($V32,DATOS!$C$23*3/4))))</f>
        <v>0</v>
      </c>
      <c r="AV32" s="26">
        <f>IF($L32&lt;&gt;"OK",0,PRESIONES!$C$12*((PRESIONES!$E$32-ABERTURAS!$L$64)*MAX(0,MIN($W32,DATOS!$C$23*1/4)-MAX($V32,DATOS!$C$23*0/4))+(PRESIONES!$E$33-ABERTURAS!$L$64)*MAX(0,MIN($W32,DATOS!$C$23*2/4)-MAX($V32,DATOS!$C$23*1/4))+(PRESIONES!$E$34-ABERTURAS!$L$64)*MAX(0,MIN($W32,DATOS!$C$23*3/4)-MAX($V32,DATOS!$C$23*2/4))+(PRESIONES!$E$35-ABERTURAS!$L$64)*MAX(0,MIN($W32,DATOS!$C$23*4/4)-MAX($V32,DATOS!$C$23*3/4))))</f>
        <v>0</v>
      </c>
      <c r="AW32" s="26">
        <f>IF($L32&lt;&gt;"OK",0,PRESIONES!$C$12*((PRESIONES!$H$32-ABERTURAS!$L$65)*MAX(0,MIN($W32,DATOS!$C$23*1/4)-MAX($V32,DATOS!$C$23*0/4))+(PRESIONES!$H$33-ABERTURAS!$L$65)*MAX(0,MIN($W32,DATOS!$C$23*2/4)-MAX($V32,DATOS!$C$23*1/4))+(PRESIONES!$H$34-ABERTURAS!$L$65)*MAX(0,MIN($W32,DATOS!$C$23*3/4)-MAX($V32,DATOS!$C$23*2/4))+(PRESIONES!$H$35-ABERTURAS!$L$65)*MAX(0,MIN($W32,DATOS!$C$23*4/4)-MAX($V32,DATOS!$C$23*3/4))))</f>
        <v>0</v>
      </c>
      <c r="AX32" s="26">
        <f>IF($L32&lt;&gt;"OK",0,PRESIONES!$C$12*((PRESIONES!$K$32-ABERTURAS!$L$66)*MAX(0,MIN($W32,DATOS!$C$23*1/4)-MAX($V32,DATOS!$C$23*0/4))+(PRESIONES!$K$33-ABERTURAS!$L$66)*MAX(0,MIN($W32,DATOS!$C$23*2/4)-MAX($V32,DATOS!$C$23*1/4))+(PRESIONES!$K$34-ABERTURAS!$L$66)*MAX(0,MIN($W32,DATOS!$C$23*3/4)-MAX($V32,DATOS!$C$23*2/4))+(PRESIONES!$K$35-ABERTURAS!$L$66)*MAX(0,MIN($W32,DATOS!$C$23*4/4)-MAX($V32,DATOS!$C$23*3/4))))</f>
        <v>0</v>
      </c>
      <c r="AY32" s="26">
        <f>IF($L32&lt;&gt;"OK",0,PRESIONES!$C$12*((PRESIONES!$N$32-ABERTURAS!$L$67)*MAX(0,MIN($W32,DATOS!$C$23*1/4)-MAX($V32,DATOS!$C$23*0/4))+(PRESIONES!$N$33-ABERTURAS!$L$67)*MAX(0,MIN($W32,DATOS!$C$23*2/4)-MAX($V32,DATOS!$C$23*1/4))+(PRESIONES!$N$34-ABERTURAS!$L$67)*MAX(0,MIN($W32,DATOS!$C$23*3/4)-MAX($V32,DATOS!$C$23*2/4))+(PRESIONES!$N$35-ABERTURAS!$L$67)*MAX(0,MIN($W32,DATOS!$C$23*4/4)-MAX($V32,DATOS!$C$23*3/4))))</f>
        <v>0</v>
      </c>
      <c r="AZ32" s="26">
        <f>IF($L32&lt;&gt;"OK",0,PRESIONES!$C$12*((PRESIONES!$E$32-ABERTURAS!$L$60)*MAX(0,MIN($W32,DATOS!$C$23*1/4)-MAX($V32,DATOS!$C$23*0/4))*PRESIONES!$C$18+(PRESIONES!$E$33-ABERTURAS!$L$60)*MAX(0,MIN($W32,DATOS!$C$23*2/4)-MAX($V32,DATOS!$C$23*1/4))*PRESIONES!$C$19+(PRESIONES!$E$34-ABERTURAS!$L$60)*MAX(0,MIN($W32,DATOS!$C$23*3/4)-MAX($V32,DATOS!$C$23*2/4))*PRESIONES!$C$20+(PRESIONES!$E$35-ABERTURAS!$L$60)*MAX(0,MIN($W32,DATOS!$C$23*4/4)-MAX($V32,DATOS!$C$23*3/4))*PRESIONES!$C$21))</f>
        <v>0</v>
      </c>
      <c r="BA32" s="26">
        <f>IF($L32&lt;&gt;"OK",0,PRESIONES!$C$12*((PRESIONES!$H$32-ABERTURAS!$L$61)*MAX(0,MIN($W32,DATOS!$C$23*1/4)-MAX($V32,DATOS!$C$23*0/4))*PRESIONES!$C$18+(PRESIONES!$H$33-ABERTURAS!$L$61)*MAX(0,MIN($W32,DATOS!$C$23*2/4)-MAX($V32,DATOS!$C$23*1/4))*PRESIONES!$C$19+(PRESIONES!$H$34-ABERTURAS!$L$61)*MAX(0,MIN($W32,DATOS!$C$23*3/4)-MAX($V32,DATOS!$C$23*2/4))*PRESIONES!$C$20+(PRESIONES!$H$35-ABERTURAS!$L$61)*MAX(0,MIN($W32,DATOS!$C$23*4/4)-MAX($V32,DATOS!$C$23*3/4))*PRESIONES!$C$21))</f>
        <v>0</v>
      </c>
      <c r="BB32" s="26">
        <f>IF($L32&lt;&gt;"OK",0,PRESIONES!$C$12*((PRESIONES!$K$32-ABERTURAS!$L$62)*MAX(0,MIN($W32,DATOS!$C$23*1/4)-MAX($V32,DATOS!$C$23*0/4))*PRESIONES!$C$18+(PRESIONES!$K$33-ABERTURAS!$L$62)*MAX(0,MIN($W32,DATOS!$C$23*2/4)-MAX($V32,DATOS!$C$23*1/4))*PRESIONES!$C$19+(PRESIONES!$K$34-ABERTURAS!$L$62)*MAX(0,MIN($W32,DATOS!$C$23*3/4)-MAX($V32,DATOS!$C$23*2/4))*PRESIONES!$C$20+(PRESIONES!$K$35-ABERTURAS!$L$62)*MAX(0,MIN($W32,DATOS!$C$23*4/4)-MAX($V32,DATOS!$C$23*3/4))*PRESIONES!$C$21))</f>
        <v>0</v>
      </c>
      <c r="BC32" s="26">
        <f>IF($L32&lt;&gt;"OK",0,PRESIONES!$C$12*((PRESIONES!$N$32-ABERTURAS!$L$63)*MAX(0,MIN($W32,DATOS!$C$23*1/4)-MAX($V32,DATOS!$C$23*0/4))*PRESIONES!$C$18+(PRESIONES!$N$33-ABERTURAS!$L$63)*MAX(0,MIN($W32,DATOS!$C$23*2/4)-MAX($V32,DATOS!$C$23*1/4))*PRESIONES!$C$19+(PRESIONES!$N$34-ABERTURAS!$L$63)*MAX(0,MIN($W32,DATOS!$C$23*3/4)-MAX($V32,DATOS!$C$23*2/4))*PRESIONES!$C$20+(PRESIONES!$N$35-ABERTURAS!$L$63)*MAX(0,MIN($W32,DATOS!$C$23*4/4)-MAX($V32,DATOS!$C$23*3/4))*PRESIONES!$C$21))</f>
        <v>0</v>
      </c>
      <c r="BD32" s="26">
        <f>IF($L32&lt;&gt;"OK",0,PRESIONES!$C$12*((PRESIONES!$E$32-ABERTURAS!$L$64)*MAX(0,MIN($W32,DATOS!$C$23*1/4)-MAX($V32,DATOS!$C$23*0/4))*PRESIONES!$C$18+(PRESIONES!$E$33-ABERTURAS!$L$64)*MAX(0,MIN($W32,DATOS!$C$23*2/4)-MAX($V32,DATOS!$C$23*1/4))*PRESIONES!$C$19+(PRESIONES!$E$34-ABERTURAS!$L$64)*MAX(0,MIN($W32,DATOS!$C$23*3/4)-MAX($V32,DATOS!$C$23*2/4))*PRESIONES!$C$20+(PRESIONES!$E$35-ABERTURAS!$L$64)*MAX(0,MIN($W32,DATOS!$C$23*4/4)-MAX($V32,DATOS!$C$23*3/4))*PRESIONES!$C$21))</f>
        <v>0</v>
      </c>
      <c r="BE32" s="26">
        <f>IF($L32&lt;&gt;"OK",0,PRESIONES!$C$12*((PRESIONES!$H$32-ABERTURAS!$L$65)*MAX(0,MIN($W32,DATOS!$C$23*1/4)-MAX($V32,DATOS!$C$23*0/4))*PRESIONES!$C$18+(PRESIONES!$H$33-ABERTURAS!$L$65)*MAX(0,MIN($W32,DATOS!$C$23*2/4)-MAX($V32,DATOS!$C$23*1/4))*PRESIONES!$C$19+(PRESIONES!$H$34-ABERTURAS!$L$65)*MAX(0,MIN($W32,DATOS!$C$23*3/4)-MAX($V32,DATOS!$C$23*2/4))*PRESIONES!$C$20+(PRESIONES!$H$35-ABERTURAS!$L$65)*MAX(0,MIN($W32,DATOS!$C$23*4/4)-MAX($V32,DATOS!$C$23*3/4))*PRESIONES!$C$21))</f>
        <v>0</v>
      </c>
      <c r="BF32" s="26">
        <f>IF($L32&lt;&gt;"OK",0,PRESIONES!$C$12*((PRESIONES!$K$32-ABERTURAS!$L$66)*MAX(0,MIN($W32,DATOS!$C$23*1/4)-MAX($V32,DATOS!$C$23*0/4))*PRESIONES!$C$18+(PRESIONES!$K$33-ABERTURAS!$L$66)*MAX(0,MIN($W32,DATOS!$C$23*2/4)-MAX($V32,DATOS!$C$23*1/4))*PRESIONES!$C$19+(PRESIONES!$K$34-ABERTURAS!$L$66)*MAX(0,MIN($W32,DATOS!$C$23*3/4)-MAX($V32,DATOS!$C$23*2/4))*PRESIONES!$C$20+(PRESIONES!$K$35-ABERTURAS!$L$66)*MAX(0,MIN($W32,DATOS!$C$23*4/4)-MAX($V32,DATOS!$C$23*3/4))*PRESIONES!$C$21))</f>
        <v>0</v>
      </c>
      <c r="BG32" s="26">
        <f>IF($L32&lt;&gt;"OK",0,PRESIONES!$C$12*((PRESIONES!$N$32-ABERTURAS!$L$67)*MAX(0,MIN($W32,DATOS!$C$23*1/4)-MAX($V32,DATOS!$C$23*0/4))*PRESIONES!$C$18+(PRESIONES!$N$33-ABERTURAS!$L$67)*MAX(0,MIN($W32,DATOS!$C$23*2/4)-MAX($V32,DATOS!$C$23*1/4))*PRESIONES!$C$19+(PRESIONES!$N$34-ABERTURAS!$L$67)*MAX(0,MIN($W32,DATOS!$C$23*3/4)-MAX($V32,DATOS!$C$23*2/4))*PRESIONES!$C$20+(PRESIONES!$N$35-ABERTURAS!$L$67)*MAX(0,MIN($W32,DATOS!$C$23*4/4)-MAX($V32,DATOS!$C$23*3/4))*PRESIONES!$C$21))</f>
        <v>0</v>
      </c>
    </row>
    <row r="33" spans="2:59" ht="15" customHeight="1" x14ac:dyDescent="0.3">
      <c r="B33" s="4"/>
      <c r="C33" s="15"/>
      <c r="D33" s="4"/>
      <c r="E33" s="15"/>
      <c r="F33" s="40"/>
      <c r="G33" s="40"/>
      <c r="H33" s="40"/>
      <c r="I33" s="40"/>
      <c r="J33" s="40"/>
      <c r="K33" s="40"/>
      <c r="L33" s="18" t="str">
        <f>IF($D33="","",IF($C33&lt;&gt;"TECHO","PON TECHO",IF(OR($F33="",$G33="",$H33="",$I33=""),"FALTAN a o b",IF($M33&lt;=0,"a₂ DEBE SER &gt; a₁",IF($N33&lt;=0,"b₂ DEBE SER &gt; b₁",IF(OR($V33&lt;-0.001,$W33&gt;DATOS!$C$23+0.001),"SE SALE DEL TECHO","OK"))))))</f>
        <v/>
      </c>
      <c r="M33" s="26">
        <f t="shared" si="0"/>
        <v>0</v>
      </c>
      <c r="N33" s="26">
        <f t="shared" si="1"/>
        <v>0</v>
      </c>
      <c r="O33" s="26">
        <f t="shared" si="2"/>
        <v>0</v>
      </c>
      <c r="P33" s="26">
        <v>0</v>
      </c>
      <c r="Q33" s="26">
        <v>0</v>
      </c>
      <c r="R33" s="26">
        <f t="shared" si="3"/>
        <v>0</v>
      </c>
      <c r="S33" s="26">
        <f t="shared" si="3"/>
        <v>0</v>
      </c>
      <c r="T33" s="41">
        <f>IF($D33="",0,DATOS!$C$21)</f>
        <v>0</v>
      </c>
      <c r="U33" s="41">
        <v>0</v>
      </c>
      <c r="V33" s="41">
        <f t="shared" si="4"/>
        <v>0</v>
      </c>
      <c r="W33" s="41">
        <f t="shared" si="5"/>
        <v>0</v>
      </c>
      <c r="AB33" s="26">
        <f>IF($L33&lt;&gt;"OK",0,PRESIONES!$C$12*((PRESIONES!$D$32-ABERTURAS!$L$60)*MAX(0,MIN($W33,DATOS!$C$23*1/4)-MAX($V33,DATOS!$C$23*0/4))+(PRESIONES!$D$33-ABERTURAS!$L$60)*MAX(0,MIN($W33,DATOS!$C$23*2/4)-MAX($V33,DATOS!$C$23*1/4))+(PRESIONES!$D$34-ABERTURAS!$L$60)*MAX(0,MIN($W33,DATOS!$C$23*3/4)-MAX($V33,DATOS!$C$23*2/4))+(PRESIONES!$D$35-ABERTURAS!$L$60)*MAX(0,MIN($W33,DATOS!$C$23*4/4)-MAX($V33,DATOS!$C$23*3/4))))</f>
        <v>0</v>
      </c>
      <c r="AC33" s="26">
        <f>IF($L33&lt;&gt;"OK",0,PRESIONES!$C$12*((PRESIONES!$G$32-ABERTURAS!$L$61)*MAX(0,MIN($W33,DATOS!$C$23*1/4)-MAX($V33,DATOS!$C$23*0/4))+(PRESIONES!$G$33-ABERTURAS!$L$61)*MAX(0,MIN($W33,DATOS!$C$23*2/4)-MAX($V33,DATOS!$C$23*1/4))+(PRESIONES!$G$34-ABERTURAS!$L$61)*MAX(0,MIN($W33,DATOS!$C$23*3/4)-MAX($V33,DATOS!$C$23*2/4))+(PRESIONES!$G$35-ABERTURAS!$L$61)*MAX(0,MIN($W33,DATOS!$C$23*4/4)-MAX($V33,DATOS!$C$23*3/4))))</f>
        <v>0</v>
      </c>
      <c r="AD33" s="26">
        <f>IF($L33&lt;&gt;"OK",0,PRESIONES!$C$12*((PRESIONES!$J$32-ABERTURAS!$L$62)*MAX(0,MIN($W33,DATOS!$C$23*1/4)-MAX($V33,DATOS!$C$23*0/4))+(PRESIONES!$J$33-ABERTURAS!$L$62)*MAX(0,MIN($W33,DATOS!$C$23*2/4)-MAX($V33,DATOS!$C$23*1/4))+(PRESIONES!$J$34-ABERTURAS!$L$62)*MAX(0,MIN($W33,DATOS!$C$23*3/4)-MAX($V33,DATOS!$C$23*2/4))+(PRESIONES!$J$35-ABERTURAS!$L$62)*MAX(0,MIN($W33,DATOS!$C$23*4/4)-MAX($V33,DATOS!$C$23*3/4))))</f>
        <v>0</v>
      </c>
      <c r="AE33" s="26">
        <f>IF($L33&lt;&gt;"OK",0,PRESIONES!$C$12*((PRESIONES!$M$32-ABERTURAS!$L$63)*MAX(0,MIN($W33,DATOS!$C$23*1/4)-MAX($V33,DATOS!$C$23*0/4))+(PRESIONES!$M$33-ABERTURAS!$L$63)*MAX(0,MIN($W33,DATOS!$C$23*2/4)-MAX($V33,DATOS!$C$23*1/4))+(PRESIONES!$M$34-ABERTURAS!$L$63)*MAX(0,MIN($W33,DATOS!$C$23*3/4)-MAX($V33,DATOS!$C$23*2/4))+(PRESIONES!$M$35-ABERTURAS!$L$63)*MAX(0,MIN($W33,DATOS!$C$23*4/4)-MAX($V33,DATOS!$C$23*3/4))))</f>
        <v>0</v>
      </c>
      <c r="AF33" s="26">
        <f>IF($L33&lt;&gt;"OK",0,PRESIONES!$C$12*((PRESIONES!$D$32-ABERTURAS!$L$64)*MAX(0,MIN($W33,DATOS!$C$23*1/4)-MAX($V33,DATOS!$C$23*0/4))+(PRESIONES!$D$33-ABERTURAS!$L$64)*MAX(0,MIN($W33,DATOS!$C$23*2/4)-MAX($V33,DATOS!$C$23*1/4))+(PRESIONES!$D$34-ABERTURAS!$L$64)*MAX(0,MIN($W33,DATOS!$C$23*3/4)-MAX($V33,DATOS!$C$23*2/4))+(PRESIONES!$D$35-ABERTURAS!$L$64)*MAX(0,MIN($W33,DATOS!$C$23*4/4)-MAX($V33,DATOS!$C$23*3/4))))</f>
        <v>0</v>
      </c>
      <c r="AG33" s="26">
        <f>IF($L33&lt;&gt;"OK",0,PRESIONES!$C$12*((PRESIONES!$G$32-ABERTURAS!$L$65)*MAX(0,MIN($W33,DATOS!$C$23*1/4)-MAX($V33,DATOS!$C$23*0/4))+(PRESIONES!$G$33-ABERTURAS!$L$65)*MAX(0,MIN($W33,DATOS!$C$23*2/4)-MAX($V33,DATOS!$C$23*1/4))+(PRESIONES!$G$34-ABERTURAS!$L$65)*MAX(0,MIN($W33,DATOS!$C$23*3/4)-MAX($V33,DATOS!$C$23*2/4))+(PRESIONES!$G$35-ABERTURAS!$L$65)*MAX(0,MIN($W33,DATOS!$C$23*4/4)-MAX($V33,DATOS!$C$23*3/4))))</f>
        <v>0</v>
      </c>
      <c r="AH33" s="26">
        <f>IF($L33&lt;&gt;"OK",0,PRESIONES!$C$12*((PRESIONES!$J$32-ABERTURAS!$L$66)*MAX(0,MIN($W33,DATOS!$C$23*1/4)-MAX($V33,DATOS!$C$23*0/4))+(PRESIONES!$J$33-ABERTURAS!$L$66)*MAX(0,MIN($W33,DATOS!$C$23*2/4)-MAX($V33,DATOS!$C$23*1/4))+(PRESIONES!$J$34-ABERTURAS!$L$66)*MAX(0,MIN($W33,DATOS!$C$23*3/4)-MAX($V33,DATOS!$C$23*2/4))+(PRESIONES!$J$35-ABERTURAS!$L$66)*MAX(0,MIN($W33,DATOS!$C$23*4/4)-MAX($V33,DATOS!$C$23*3/4))))</f>
        <v>0</v>
      </c>
      <c r="AI33" s="26">
        <f>IF($L33&lt;&gt;"OK",0,PRESIONES!$C$12*((PRESIONES!$M$32-ABERTURAS!$L$67)*MAX(0,MIN($W33,DATOS!$C$23*1/4)-MAX($V33,DATOS!$C$23*0/4))+(PRESIONES!$M$33-ABERTURAS!$L$67)*MAX(0,MIN($W33,DATOS!$C$23*2/4)-MAX($V33,DATOS!$C$23*1/4))+(PRESIONES!$M$34-ABERTURAS!$L$67)*MAX(0,MIN($W33,DATOS!$C$23*3/4)-MAX($V33,DATOS!$C$23*2/4))+(PRESIONES!$M$35-ABERTURAS!$L$67)*MAX(0,MIN($W33,DATOS!$C$23*4/4)-MAX($V33,DATOS!$C$23*3/4))))</f>
        <v>0</v>
      </c>
      <c r="AJ33" s="26">
        <f>IF($L33&lt;&gt;"OK",0,PRESIONES!$C$12*((PRESIONES!$D$32-ABERTURAS!$L$60)*MAX(0,MIN($W33,DATOS!$C$23*1/4)-MAX($V33,DATOS!$C$23*0/4))*PRESIONES!$C$18+(PRESIONES!$D$33-ABERTURAS!$L$60)*MAX(0,MIN($W33,DATOS!$C$23*2/4)-MAX($V33,DATOS!$C$23*1/4))*PRESIONES!$C$19+(PRESIONES!$D$34-ABERTURAS!$L$60)*MAX(0,MIN($W33,DATOS!$C$23*3/4)-MAX($V33,DATOS!$C$23*2/4))*PRESIONES!$C$20+(PRESIONES!$D$35-ABERTURAS!$L$60)*MAX(0,MIN($W33,DATOS!$C$23*4/4)-MAX($V33,DATOS!$C$23*3/4))*PRESIONES!$C$21))</f>
        <v>0</v>
      </c>
      <c r="AK33" s="26">
        <f>IF($L33&lt;&gt;"OK",0,PRESIONES!$C$12*((PRESIONES!$G$32-ABERTURAS!$L$61)*MAX(0,MIN($W33,DATOS!$C$23*1/4)-MAX($V33,DATOS!$C$23*0/4))*PRESIONES!$C$18+(PRESIONES!$G$33-ABERTURAS!$L$61)*MAX(0,MIN($W33,DATOS!$C$23*2/4)-MAX($V33,DATOS!$C$23*1/4))*PRESIONES!$C$19+(PRESIONES!$G$34-ABERTURAS!$L$61)*MAX(0,MIN($W33,DATOS!$C$23*3/4)-MAX($V33,DATOS!$C$23*2/4))*PRESIONES!$C$20+(PRESIONES!$G$35-ABERTURAS!$L$61)*MAX(0,MIN($W33,DATOS!$C$23*4/4)-MAX($V33,DATOS!$C$23*3/4))*PRESIONES!$C$21))</f>
        <v>0</v>
      </c>
      <c r="AL33" s="26">
        <f>IF($L33&lt;&gt;"OK",0,PRESIONES!$C$12*((PRESIONES!$J$32-ABERTURAS!$L$62)*MAX(0,MIN($W33,DATOS!$C$23*1/4)-MAX($V33,DATOS!$C$23*0/4))*PRESIONES!$C$18+(PRESIONES!$J$33-ABERTURAS!$L$62)*MAX(0,MIN($W33,DATOS!$C$23*2/4)-MAX($V33,DATOS!$C$23*1/4))*PRESIONES!$C$19+(PRESIONES!$J$34-ABERTURAS!$L$62)*MAX(0,MIN($W33,DATOS!$C$23*3/4)-MAX($V33,DATOS!$C$23*2/4))*PRESIONES!$C$20+(PRESIONES!$J$35-ABERTURAS!$L$62)*MAX(0,MIN($W33,DATOS!$C$23*4/4)-MAX($V33,DATOS!$C$23*3/4))*PRESIONES!$C$21))</f>
        <v>0</v>
      </c>
      <c r="AM33" s="26">
        <f>IF($L33&lt;&gt;"OK",0,PRESIONES!$C$12*((PRESIONES!$M$32-ABERTURAS!$L$63)*MAX(0,MIN($W33,DATOS!$C$23*1/4)-MAX($V33,DATOS!$C$23*0/4))*PRESIONES!$C$18+(PRESIONES!$M$33-ABERTURAS!$L$63)*MAX(0,MIN($W33,DATOS!$C$23*2/4)-MAX($V33,DATOS!$C$23*1/4))*PRESIONES!$C$19+(PRESIONES!$M$34-ABERTURAS!$L$63)*MAX(0,MIN($W33,DATOS!$C$23*3/4)-MAX($V33,DATOS!$C$23*2/4))*PRESIONES!$C$20+(PRESIONES!$M$35-ABERTURAS!$L$63)*MAX(0,MIN($W33,DATOS!$C$23*4/4)-MAX($V33,DATOS!$C$23*3/4))*PRESIONES!$C$21))</f>
        <v>0</v>
      </c>
      <c r="AN33" s="26">
        <f>IF($L33&lt;&gt;"OK",0,PRESIONES!$C$12*((PRESIONES!$D$32-ABERTURAS!$L$64)*MAX(0,MIN($W33,DATOS!$C$23*1/4)-MAX($V33,DATOS!$C$23*0/4))*PRESIONES!$C$18+(PRESIONES!$D$33-ABERTURAS!$L$64)*MAX(0,MIN($W33,DATOS!$C$23*2/4)-MAX($V33,DATOS!$C$23*1/4))*PRESIONES!$C$19+(PRESIONES!$D$34-ABERTURAS!$L$64)*MAX(0,MIN($W33,DATOS!$C$23*3/4)-MAX($V33,DATOS!$C$23*2/4))*PRESIONES!$C$20+(PRESIONES!$D$35-ABERTURAS!$L$64)*MAX(0,MIN($W33,DATOS!$C$23*4/4)-MAX($V33,DATOS!$C$23*3/4))*PRESIONES!$C$21))</f>
        <v>0</v>
      </c>
      <c r="AO33" s="26">
        <f>IF($L33&lt;&gt;"OK",0,PRESIONES!$C$12*((PRESIONES!$G$32-ABERTURAS!$L$65)*MAX(0,MIN($W33,DATOS!$C$23*1/4)-MAX($V33,DATOS!$C$23*0/4))*PRESIONES!$C$18+(PRESIONES!$G$33-ABERTURAS!$L$65)*MAX(0,MIN($W33,DATOS!$C$23*2/4)-MAX($V33,DATOS!$C$23*1/4))*PRESIONES!$C$19+(PRESIONES!$G$34-ABERTURAS!$L$65)*MAX(0,MIN($W33,DATOS!$C$23*3/4)-MAX($V33,DATOS!$C$23*2/4))*PRESIONES!$C$20+(PRESIONES!$G$35-ABERTURAS!$L$65)*MAX(0,MIN($W33,DATOS!$C$23*4/4)-MAX($V33,DATOS!$C$23*3/4))*PRESIONES!$C$21))</f>
        <v>0</v>
      </c>
      <c r="AP33" s="26">
        <f>IF($L33&lt;&gt;"OK",0,PRESIONES!$C$12*((PRESIONES!$J$32-ABERTURAS!$L$66)*MAX(0,MIN($W33,DATOS!$C$23*1/4)-MAX($V33,DATOS!$C$23*0/4))*PRESIONES!$C$18+(PRESIONES!$J$33-ABERTURAS!$L$66)*MAX(0,MIN($W33,DATOS!$C$23*2/4)-MAX($V33,DATOS!$C$23*1/4))*PRESIONES!$C$19+(PRESIONES!$J$34-ABERTURAS!$L$66)*MAX(0,MIN($W33,DATOS!$C$23*3/4)-MAX($V33,DATOS!$C$23*2/4))*PRESIONES!$C$20+(PRESIONES!$J$35-ABERTURAS!$L$66)*MAX(0,MIN($W33,DATOS!$C$23*4/4)-MAX($V33,DATOS!$C$23*3/4))*PRESIONES!$C$21))</f>
        <v>0</v>
      </c>
      <c r="AQ33" s="26">
        <f>IF($L33&lt;&gt;"OK",0,PRESIONES!$C$12*((PRESIONES!$M$32-ABERTURAS!$L$67)*MAX(0,MIN($W33,DATOS!$C$23*1/4)-MAX($V33,DATOS!$C$23*0/4))*PRESIONES!$C$18+(PRESIONES!$M$33-ABERTURAS!$L$67)*MAX(0,MIN($W33,DATOS!$C$23*2/4)-MAX($V33,DATOS!$C$23*1/4))*PRESIONES!$C$19+(PRESIONES!$M$34-ABERTURAS!$L$67)*MAX(0,MIN($W33,DATOS!$C$23*3/4)-MAX($V33,DATOS!$C$23*2/4))*PRESIONES!$C$20+(PRESIONES!$M$35-ABERTURAS!$L$67)*MAX(0,MIN($W33,DATOS!$C$23*4/4)-MAX($V33,DATOS!$C$23*3/4))*PRESIONES!$C$21))</f>
        <v>0</v>
      </c>
      <c r="AR33" s="26">
        <f>IF($L33&lt;&gt;"OK",0,PRESIONES!$C$12*((PRESIONES!$E$32-ABERTURAS!$L$60)*MAX(0,MIN($W33,DATOS!$C$23*1/4)-MAX($V33,DATOS!$C$23*0/4))+(PRESIONES!$E$33-ABERTURAS!$L$60)*MAX(0,MIN($W33,DATOS!$C$23*2/4)-MAX($V33,DATOS!$C$23*1/4))+(PRESIONES!$E$34-ABERTURAS!$L$60)*MAX(0,MIN($W33,DATOS!$C$23*3/4)-MAX($V33,DATOS!$C$23*2/4))+(PRESIONES!$E$35-ABERTURAS!$L$60)*MAX(0,MIN($W33,DATOS!$C$23*4/4)-MAX($V33,DATOS!$C$23*3/4))))</f>
        <v>0</v>
      </c>
      <c r="AS33" s="26">
        <f>IF($L33&lt;&gt;"OK",0,PRESIONES!$C$12*((PRESIONES!$H$32-ABERTURAS!$L$61)*MAX(0,MIN($W33,DATOS!$C$23*1/4)-MAX($V33,DATOS!$C$23*0/4))+(PRESIONES!$H$33-ABERTURAS!$L$61)*MAX(0,MIN($W33,DATOS!$C$23*2/4)-MAX($V33,DATOS!$C$23*1/4))+(PRESIONES!$H$34-ABERTURAS!$L$61)*MAX(0,MIN($W33,DATOS!$C$23*3/4)-MAX($V33,DATOS!$C$23*2/4))+(PRESIONES!$H$35-ABERTURAS!$L$61)*MAX(0,MIN($W33,DATOS!$C$23*4/4)-MAX($V33,DATOS!$C$23*3/4))))</f>
        <v>0</v>
      </c>
      <c r="AT33" s="26">
        <f>IF($L33&lt;&gt;"OK",0,PRESIONES!$C$12*((PRESIONES!$K$32-ABERTURAS!$L$62)*MAX(0,MIN($W33,DATOS!$C$23*1/4)-MAX($V33,DATOS!$C$23*0/4))+(PRESIONES!$K$33-ABERTURAS!$L$62)*MAX(0,MIN($W33,DATOS!$C$23*2/4)-MAX($V33,DATOS!$C$23*1/4))+(PRESIONES!$K$34-ABERTURAS!$L$62)*MAX(0,MIN($W33,DATOS!$C$23*3/4)-MAX($V33,DATOS!$C$23*2/4))+(PRESIONES!$K$35-ABERTURAS!$L$62)*MAX(0,MIN($W33,DATOS!$C$23*4/4)-MAX($V33,DATOS!$C$23*3/4))))</f>
        <v>0</v>
      </c>
      <c r="AU33" s="26">
        <f>IF($L33&lt;&gt;"OK",0,PRESIONES!$C$12*((PRESIONES!$N$32-ABERTURAS!$L$63)*MAX(0,MIN($W33,DATOS!$C$23*1/4)-MAX($V33,DATOS!$C$23*0/4))+(PRESIONES!$N$33-ABERTURAS!$L$63)*MAX(0,MIN($W33,DATOS!$C$23*2/4)-MAX($V33,DATOS!$C$23*1/4))+(PRESIONES!$N$34-ABERTURAS!$L$63)*MAX(0,MIN($W33,DATOS!$C$23*3/4)-MAX($V33,DATOS!$C$23*2/4))+(PRESIONES!$N$35-ABERTURAS!$L$63)*MAX(0,MIN($W33,DATOS!$C$23*4/4)-MAX($V33,DATOS!$C$23*3/4))))</f>
        <v>0</v>
      </c>
      <c r="AV33" s="26">
        <f>IF($L33&lt;&gt;"OK",0,PRESIONES!$C$12*((PRESIONES!$E$32-ABERTURAS!$L$64)*MAX(0,MIN($W33,DATOS!$C$23*1/4)-MAX($V33,DATOS!$C$23*0/4))+(PRESIONES!$E$33-ABERTURAS!$L$64)*MAX(0,MIN($W33,DATOS!$C$23*2/4)-MAX($V33,DATOS!$C$23*1/4))+(PRESIONES!$E$34-ABERTURAS!$L$64)*MAX(0,MIN($W33,DATOS!$C$23*3/4)-MAX($V33,DATOS!$C$23*2/4))+(PRESIONES!$E$35-ABERTURAS!$L$64)*MAX(0,MIN($W33,DATOS!$C$23*4/4)-MAX($V33,DATOS!$C$23*3/4))))</f>
        <v>0</v>
      </c>
      <c r="AW33" s="26">
        <f>IF($L33&lt;&gt;"OK",0,PRESIONES!$C$12*((PRESIONES!$H$32-ABERTURAS!$L$65)*MAX(0,MIN($W33,DATOS!$C$23*1/4)-MAX($V33,DATOS!$C$23*0/4))+(PRESIONES!$H$33-ABERTURAS!$L$65)*MAX(0,MIN($W33,DATOS!$C$23*2/4)-MAX($V33,DATOS!$C$23*1/4))+(PRESIONES!$H$34-ABERTURAS!$L$65)*MAX(0,MIN($W33,DATOS!$C$23*3/4)-MAX($V33,DATOS!$C$23*2/4))+(PRESIONES!$H$35-ABERTURAS!$L$65)*MAX(0,MIN($W33,DATOS!$C$23*4/4)-MAX($V33,DATOS!$C$23*3/4))))</f>
        <v>0</v>
      </c>
      <c r="AX33" s="26">
        <f>IF($L33&lt;&gt;"OK",0,PRESIONES!$C$12*((PRESIONES!$K$32-ABERTURAS!$L$66)*MAX(0,MIN($W33,DATOS!$C$23*1/4)-MAX($V33,DATOS!$C$23*0/4))+(PRESIONES!$K$33-ABERTURAS!$L$66)*MAX(0,MIN($W33,DATOS!$C$23*2/4)-MAX($V33,DATOS!$C$23*1/4))+(PRESIONES!$K$34-ABERTURAS!$L$66)*MAX(0,MIN($W33,DATOS!$C$23*3/4)-MAX($V33,DATOS!$C$23*2/4))+(PRESIONES!$K$35-ABERTURAS!$L$66)*MAX(0,MIN($W33,DATOS!$C$23*4/4)-MAX($V33,DATOS!$C$23*3/4))))</f>
        <v>0</v>
      </c>
      <c r="AY33" s="26">
        <f>IF($L33&lt;&gt;"OK",0,PRESIONES!$C$12*((PRESIONES!$N$32-ABERTURAS!$L$67)*MAX(0,MIN($W33,DATOS!$C$23*1/4)-MAX($V33,DATOS!$C$23*0/4))+(PRESIONES!$N$33-ABERTURAS!$L$67)*MAX(0,MIN($W33,DATOS!$C$23*2/4)-MAX($V33,DATOS!$C$23*1/4))+(PRESIONES!$N$34-ABERTURAS!$L$67)*MAX(0,MIN($W33,DATOS!$C$23*3/4)-MAX($V33,DATOS!$C$23*2/4))+(PRESIONES!$N$35-ABERTURAS!$L$67)*MAX(0,MIN($W33,DATOS!$C$23*4/4)-MAX($V33,DATOS!$C$23*3/4))))</f>
        <v>0</v>
      </c>
      <c r="AZ33" s="26">
        <f>IF($L33&lt;&gt;"OK",0,PRESIONES!$C$12*((PRESIONES!$E$32-ABERTURAS!$L$60)*MAX(0,MIN($W33,DATOS!$C$23*1/4)-MAX($V33,DATOS!$C$23*0/4))*PRESIONES!$C$18+(PRESIONES!$E$33-ABERTURAS!$L$60)*MAX(0,MIN($W33,DATOS!$C$23*2/4)-MAX($V33,DATOS!$C$23*1/4))*PRESIONES!$C$19+(PRESIONES!$E$34-ABERTURAS!$L$60)*MAX(0,MIN($W33,DATOS!$C$23*3/4)-MAX($V33,DATOS!$C$23*2/4))*PRESIONES!$C$20+(PRESIONES!$E$35-ABERTURAS!$L$60)*MAX(0,MIN($W33,DATOS!$C$23*4/4)-MAX($V33,DATOS!$C$23*3/4))*PRESIONES!$C$21))</f>
        <v>0</v>
      </c>
      <c r="BA33" s="26">
        <f>IF($L33&lt;&gt;"OK",0,PRESIONES!$C$12*((PRESIONES!$H$32-ABERTURAS!$L$61)*MAX(0,MIN($W33,DATOS!$C$23*1/4)-MAX($V33,DATOS!$C$23*0/4))*PRESIONES!$C$18+(PRESIONES!$H$33-ABERTURAS!$L$61)*MAX(0,MIN($W33,DATOS!$C$23*2/4)-MAX($V33,DATOS!$C$23*1/4))*PRESIONES!$C$19+(PRESIONES!$H$34-ABERTURAS!$L$61)*MAX(0,MIN($W33,DATOS!$C$23*3/4)-MAX($V33,DATOS!$C$23*2/4))*PRESIONES!$C$20+(PRESIONES!$H$35-ABERTURAS!$L$61)*MAX(0,MIN($W33,DATOS!$C$23*4/4)-MAX($V33,DATOS!$C$23*3/4))*PRESIONES!$C$21))</f>
        <v>0</v>
      </c>
      <c r="BB33" s="26">
        <f>IF($L33&lt;&gt;"OK",0,PRESIONES!$C$12*((PRESIONES!$K$32-ABERTURAS!$L$62)*MAX(0,MIN($W33,DATOS!$C$23*1/4)-MAX($V33,DATOS!$C$23*0/4))*PRESIONES!$C$18+(PRESIONES!$K$33-ABERTURAS!$L$62)*MAX(0,MIN($W33,DATOS!$C$23*2/4)-MAX($V33,DATOS!$C$23*1/4))*PRESIONES!$C$19+(PRESIONES!$K$34-ABERTURAS!$L$62)*MAX(0,MIN($W33,DATOS!$C$23*3/4)-MAX($V33,DATOS!$C$23*2/4))*PRESIONES!$C$20+(PRESIONES!$K$35-ABERTURAS!$L$62)*MAX(0,MIN($W33,DATOS!$C$23*4/4)-MAX($V33,DATOS!$C$23*3/4))*PRESIONES!$C$21))</f>
        <v>0</v>
      </c>
      <c r="BC33" s="26">
        <f>IF($L33&lt;&gt;"OK",0,PRESIONES!$C$12*((PRESIONES!$N$32-ABERTURAS!$L$63)*MAX(0,MIN($W33,DATOS!$C$23*1/4)-MAX($V33,DATOS!$C$23*0/4))*PRESIONES!$C$18+(PRESIONES!$N$33-ABERTURAS!$L$63)*MAX(0,MIN($W33,DATOS!$C$23*2/4)-MAX($V33,DATOS!$C$23*1/4))*PRESIONES!$C$19+(PRESIONES!$N$34-ABERTURAS!$L$63)*MAX(0,MIN($W33,DATOS!$C$23*3/4)-MAX($V33,DATOS!$C$23*2/4))*PRESIONES!$C$20+(PRESIONES!$N$35-ABERTURAS!$L$63)*MAX(0,MIN($W33,DATOS!$C$23*4/4)-MAX($V33,DATOS!$C$23*3/4))*PRESIONES!$C$21))</f>
        <v>0</v>
      </c>
      <c r="BD33" s="26">
        <f>IF($L33&lt;&gt;"OK",0,PRESIONES!$C$12*((PRESIONES!$E$32-ABERTURAS!$L$64)*MAX(0,MIN($W33,DATOS!$C$23*1/4)-MAX($V33,DATOS!$C$23*0/4))*PRESIONES!$C$18+(PRESIONES!$E$33-ABERTURAS!$L$64)*MAX(0,MIN($W33,DATOS!$C$23*2/4)-MAX($V33,DATOS!$C$23*1/4))*PRESIONES!$C$19+(PRESIONES!$E$34-ABERTURAS!$L$64)*MAX(0,MIN($W33,DATOS!$C$23*3/4)-MAX($V33,DATOS!$C$23*2/4))*PRESIONES!$C$20+(PRESIONES!$E$35-ABERTURAS!$L$64)*MAX(0,MIN($W33,DATOS!$C$23*4/4)-MAX($V33,DATOS!$C$23*3/4))*PRESIONES!$C$21))</f>
        <v>0</v>
      </c>
      <c r="BE33" s="26">
        <f>IF($L33&lt;&gt;"OK",0,PRESIONES!$C$12*((PRESIONES!$H$32-ABERTURAS!$L$65)*MAX(0,MIN($W33,DATOS!$C$23*1/4)-MAX($V33,DATOS!$C$23*0/4))*PRESIONES!$C$18+(PRESIONES!$H$33-ABERTURAS!$L$65)*MAX(0,MIN($W33,DATOS!$C$23*2/4)-MAX($V33,DATOS!$C$23*1/4))*PRESIONES!$C$19+(PRESIONES!$H$34-ABERTURAS!$L$65)*MAX(0,MIN($W33,DATOS!$C$23*3/4)-MAX($V33,DATOS!$C$23*2/4))*PRESIONES!$C$20+(PRESIONES!$H$35-ABERTURAS!$L$65)*MAX(0,MIN($W33,DATOS!$C$23*4/4)-MAX($V33,DATOS!$C$23*3/4))*PRESIONES!$C$21))</f>
        <v>0</v>
      </c>
      <c r="BF33" s="26">
        <f>IF($L33&lt;&gt;"OK",0,PRESIONES!$C$12*((PRESIONES!$K$32-ABERTURAS!$L$66)*MAX(0,MIN($W33,DATOS!$C$23*1/4)-MAX($V33,DATOS!$C$23*0/4))*PRESIONES!$C$18+(PRESIONES!$K$33-ABERTURAS!$L$66)*MAX(0,MIN($W33,DATOS!$C$23*2/4)-MAX($V33,DATOS!$C$23*1/4))*PRESIONES!$C$19+(PRESIONES!$K$34-ABERTURAS!$L$66)*MAX(0,MIN($W33,DATOS!$C$23*3/4)-MAX($V33,DATOS!$C$23*2/4))*PRESIONES!$C$20+(PRESIONES!$K$35-ABERTURAS!$L$66)*MAX(0,MIN($W33,DATOS!$C$23*4/4)-MAX($V33,DATOS!$C$23*3/4))*PRESIONES!$C$21))</f>
        <v>0</v>
      </c>
      <c r="BG33" s="26">
        <f>IF($L33&lt;&gt;"OK",0,PRESIONES!$C$12*((PRESIONES!$N$32-ABERTURAS!$L$67)*MAX(0,MIN($W33,DATOS!$C$23*1/4)-MAX($V33,DATOS!$C$23*0/4))*PRESIONES!$C$18+(PRESIONES!$N$33-ABERTURAS!$L$67)*MAX(0,MIN($W33,DATOS!$C$23*2/4)-MAX($V33,DATOS!$C$23*1/4))*PRESIONES!$C$19+(PRESIONES!$N$34-ABERTURAS!$L$67)*MAX(0,MIN($W33,DATOS!$C$23*3/4)-MAX($V33,DATOS!$C$23*2/4))*PRESIONES!$C$20+(PRESIONES!$N$35-ABERTURAS!$L$67)*MAX(0,MIN($W33,DATOS!$C$23*4/4)-MAX($V33,DATOS!$C$23*3/4))*PRESIONES!$C$21))</f>
        <v>0</v>
      </c>
    </row>
    <row r="34" spans="2:59" ht="15" customHeight="1" x14ac:dyDescent="0.3">
      <c r="B34" s="4"/>
      <c r="C34" s="15"/>
      <c r="D34" s="4"/>
      <c r="E34" s="15"/>
      <c r="F34" s="40"/>
      <c r="G34" s="40"/>
      <c r="H34" s="40"/>
      <c r="I34" s="40"/>
      <c r="J34" s="40"/>
      <c r="K34" s="40"/>
      <c r="L34" s="18" t="str">
        <f>IF($D34="","",IF($C34&lt;&gt;"TECHO","PON TECHO",IF(OR($F34="",$G34="",$H34="",$I34=""),"FALTAN a o b",IF($M34&lt;=0,"a₂ DEBE SER &gt; a₁",IF($N34&lt;=0,"b₂ DEBE SER &gt; b₁",IF(OR($V34&lt;-0.001,$W34&gt;DATOS!$C$23+0.001),"SE SALE DEL TECHO","OK"))))))</f>
        <v/>
      </c>
      <c r="M34" s="26">
        <f t="shared" si="0"/>
        <v>0</v>
      </c>
      <c r="N34" s="26">
        <f t="shared" si="1"/>
        <v>0</v>
      </c>
      <c r="O34" s="26">
        <f t="shared" si="2"/>
        <v>0</v>
      </c>
      <c r="P34" s="26">
        <v>0</v>
      </c>
      <c r="Q34" s="26">
        <v>0</v>
      </c>
      <c r="R34" s="26">
        <f t="shared" si="3"/>
        <v>0</v>
      </c>
      <c r="S34" s="26">
        <f t="shared" si="3"/>
        <v>0</v>
      </c>
      <c r="T34" s="41">
        <f>IF($D34="",0,DATOS!$C$21)</f>
        <v>0</v>
      </c>
      <c r="U34" s="41">
        <v>0</v>
      </c>
      <c r="V34" s="41">
        <f t="shared" si="4"/>
        <v>0</v>
      </c>
      <c r="W34" s="41">
        <f t="shared" si="5"/>
        <v>0</v>
      </c>
      <c r="AB34" s="26">
        <f>IF($L34&lt;&gt;"OK",0,PRESIONES!$C$12*((PRESIONES!$D$32-ABERTURAS!$L$60)*MAX(0,MIN($W34,DATOS!$C$23*1/4)-MAX($V34,DATOS!$C$23*0/4))+(PRESIONES!$D$33-ABERTURAS!$L$60)*MAX(0,MIN($W34,DATOS!$C$23*2/4)-MAX($V34,DATOS!$C$23*1/4))+(PRESIONES!$D$34-ABERTURAS!$L$60)*MAX(0,MIN($W34,DATOS!$C$23*3/4)-MAX($V34,DATOS!$C$23*2/4))+(PRESIONES!$D$35-ABERTURAS!$L$60)*MAX(0,MIN($W34,DATOS!$C$23*4/4)-MAX($V34,DATOS!$C$23*3/4))))</f>
        <v>0</v>
      </c>
      <c r="AC34" s="26">
        <f>IF($L34&lt;&gt;"OK",0,PRESIONES!$C$12*((PRESIONES!$G$32-ABERTURAS!$L$61)*MAX(0,MIN($W34,DATOS!$C$23*1/4)-MAX($V34,DATOS!$C$23*0/4))+(PRESIONES!$G$33-ABERTURAS!$L$61)*MAX(0,MIN($W34,DATOS!$C$23*2/4)-MAX($V34,DATOS!$C$23*1/4))+(PRESIONES!$G$34-ABERTURAS!$L$61)*MAX(0,MIN($W34,DATOS!$C$23*3/4)-MAX($V34,DATOS!$C$23*2/4))+(PRESIONES!$G$35-ABERTURAS!$L$61)*MAX(0,MIN($W34,DATOS!$C$23*4/4)-MAX($V34,DATOS!$C$23*3/4))))</f>
        <v>0</v>
      </c>
      <c r="AD34" s="26">
        <f>IF($L34&lt;&gt;"OK",0,PRESIONES!$C$12*((PRESIONES!$J$32-ABERTURAS!$L$62)*MAX(0,MIN($W34,DATOS!$C$23*1/4)-MAX($V34,DATOS!$C$23*0/4))+(PRESIONES!$J$33-ABERTURAS!$L$62)*MAX(0,MIN($W34,DATOS!$C$23*2/4)-MAX($V34,DATOS!$C$23*1/4))+(PRESIONES!$J$34-ABERTURAS!$L$62)*MAX(0,MIN($W34,DATOS!$C$23*3/4)-MAX($V34,DATOS!$C$23*2/4))+(PRESIONES!$J$35-ABERTURAS!$L$62)*MAX(0,MIN($W34,DATOS!$C$23*4/4)-MAX($V34,DATOS!$C$23*3/4))))</f>
        <v>0</v>
      </c>
      <c r="AE34" s="26">
        <f>IF($L34&lt;&gt;"OK",0,PRESIONES!$C$12*((PRESIONES!$M$32-ABERTURAS!$L$63)*MAX(0,MIN($W34,DATOS!$C$23*1/4)-MAX($V34,DATOS!$C$23*0/4))+(PRESIONES!$M$33-ABERTURAS!$L$63)*MAX(0,MIN($W34,DATOS!$C$23*2/4)-MAX($V34,DATOS!$C$23*1/4))+(PRESIONES!$M$34-ABERTURAS!$L$63)*MAX(0,MIN($W34,DATOS!$C$23*3/4)-MAX($V34,DATOS!$C$23*2/4))+(PRESIONES!$M$35-ABERTURAS!$L$63)*MAX(0,MIN($W34,DATOS!$C$23*4/4)-MAX($V34,DATOS!$C$23*3/4))))</f>
        <v>0</v>
      </c>
      <c r="AF34" s="26">
        <f>IF($L34&lt;&gt;"OK",0,PRESIONES!$C$12*((PRESIONES!$D$32-ABERTURAS!$L$64)*MAX(0,MIN($W34,DATOS!$C$23*1/4)-MAX($V34,DATOS!$C$23*0/4))+(PRESIONES!$D$33-ABERTURAS!$L$64)*MAX(0,MIN($W34,DATOS!$C$23*2/4)-MAX($V34,DATOS!$C$23*1/4))+(PRESIONES!$D$34-ABERTURAS!$L$64)*MAX(0,MIN($W34,DATOS!$C$23*3/4)-MAX($V34,DATOS!$C$23*2/4))+(PRESIONES!$D$35-ABERTURAS!$L$64)*MAX(0,MIN($W34,DATOS!$C$23*4/4)-MAX($V34,DATOS!$C$23*3/4))))</f>
        <v>0</v>
      </c>
      <c r="AG34" s="26">
        <f>IF($L34&lt;&gt;"OK",0,PRESIONES!$C$12*((PRESIONES!$G$32-ABERTURAS!$L$65)*MAX(0,MIN($W34,DATOS!$C$23*1/4)-MAX($V34,DATOS!$C$23*0/4))+(PRESIONES!$G$33-ABERTURAS!$L$65)*MAX(0,MIN($W34,DATOS!$C$23*2/4)-MAX($V34,DATOS!$C$23*1/4))+(PRESIONES!$G$34-ABERTURAS!$L$65)*MAX(0,MIN($W34,DATOS!$C$23*3/4)-MAX($V34,DATOS!$C$23*2/4))+(PRESIONES!$G$35-ABERTURAS!$L$65)*MAX(0,MIN($W34,DATOS!$C$23*4/4)-MAX($V34,DATOS!$C$23*3/4))))</f>
        <v>0</v>
      </c>
      <c r="AH34" s="26">
        <f>IF($L34&lt;&gt;"OK",0,PRESIONES!$C$12*((PRESIONES!$J$32-ABERTURAS!$L$66)*MAX(0,MIN($W34,DATOS!$C$23*1/4)-MAX($V34,DATOS!$C$23*0/4))+(PRESIONES!$J$33-ABERTURAS!$L$66)*MAX(0,MIN($W34,DATOS!$C$23*2/4)-MAX($V34,DATOS!$C$23*1/4))+(PRESIONES!$J$34-ABERTURAS!$L$66)*MAX(0,MIN($W34,DATOS!$C$23*3/4)-MAX($V34,DATOS!$C$23*2/4))+(PRESIONES!$J$35-ABERTURAS!$L$66)*MAX(0,MIN($W34,DATOS!$C$23*4/4)-MAX($V34,DATOS!$C$23*3/4))))</f>
        <v>0</v>
      </c>
      <c r="AI34" s="26">
        <f>IF($L34&lt;&gt;"OK",0,PRESIONES!$C$12*((PRESIONES!$M$32-ABERTURAS!$L$67)*MAX(0,MIN($W34,DATOS!$C$23*1/4)-MAX($V34,DATOS!$C$23*0/4))+(PRESIONES!$M$33-ABERTURAS!$L$67)*MAX(0,MIN($W34,DATOS!$C$23*2/4)-MAX($V34,DATOS!$C$23*1/4))+(PRESIONES!$M$34-ABERTURAS!$L$67)*MAX(0,MIN($W34,DATOS!$C$23*3/4)-MAX($V34,DATOS!$C$23*2/4))+(PRESIONES!$M$35-ABERTURAS!$L$67)*MAX(0,MIN($W34,DATOS!$C$23*4/4)-MAX($V34,DATOS!$C$23*3/4))))</f>
        <v>0</v>
      </c>
      <c r="AJ34" s="26">
        <f>IF($L34&lt;&gt;"OK",0,PRESIONES!$C$12*((PRESIONES!$D$32-ABERTURAS!$L$60)*MAX(0,MIN($W34,DATOS!$C$23*1/4)-MAX($V34,DATOS!$C$23*0/4))*PRESIONES!$C$18+(PRESIONES!$D$33-ABERTURAS!$L$60)*MAX(0,MIN($W34,DATOS!$C$23*2/4)-MAX($V34,DATOS!$C$23*1/4))*PRESIONES!$C$19+(PRESIONES!$D$34-ABERTURAS!$L$60)*MAX(0,MIN($W34,DATOS!$C$23*3/4)-MAX($V34,DATOS!$C$23*2/4))*PRESIONES!$C$20+(PRESIONES!$D$35-ABERTURAS!$L$60)*MAX(0,MIN($W34,DATOS!$C$23*4/4)-MAX($V34,DATOS!$C$23*3/4))*PRESIONES!$C$21))</f>
        <v>0</v>
      </c>
      <c r="AK34" s="26">
        <f>IF($L34&lt;&gt;"OK",0,PRESIONES!$C$12*((PRESIONES!$G$32-ABERTURAS!$L$61)*MAX(0,MIN($W34,DATOS!$C$23*1/4)-MAX($V34,DATOS!$C$23*0/4))*PRESIONES!$C$18+(PRESIONES!$G$33-ABERTURAS!$L$61)*MAX(0,MIN($W34,DATOS!$C$23*2/4)-MAX($V34,DATOS!$C$23*1/4))*PRESIONES!$C$19+(PRESIONES!$G$34-ABERTURAS!$L$61)*MAX(0,MIN($W34,DATOS!$C$23*3/4)-MAX($V34,DATOS!$C$23*2/4))*PRESIONES!$C$20+(PRESIONES!$G$35-ABERTURAS!$L$61)*MAX(0,MIN($W34,DATOS!$C$23*4/4)-MAX($V34,DATOS!$C$23*3/4))*PRESIONES!$C$21))</f>
        <v>0</v>
      </c>
      <c r="AL34" s="26">
        <f>IF($L34&lt;&gt;"OK",0,PRESIONES!$C$12*((PRESIONES!$J$32-ABERTURAS!$L$62)*MAX(0,MIN($W34,DATOS!$C$23*1/4)-MAX($V34,DATOS!$C$23*0/4))*PRESIONES!$C$18+(PRESIONES!$J$33-ABERTURAS!$L$62)*MAX(0,MIN($W34,DATOS!$C$23*2/4)-MAX($V34,DATOS!$C$23*1/4))*PRESIONES!$C$19+(PRESIONES!$J$34-ABERTURAS!$L$62)*MAX(0,MIN($W34,DATOS!$C$23*3/4)-MAX($V34,DATOS!$C$23*2/4))*PRESIONES!$C$20+(PRESIONES!$J$35-ABERTURAS!$L$62)*MAX(0,MIN($W34,DATOS!$C$23*4/4)-MAX($V34,DATOS!$C$23*3/4))*PRESIONES!$C$21))</f>
        <v>0</v>
      </c>
      <c r="AM34" s="26">
        <f>IF($L34&lt;&gt;"OK",0,PRESIONES!$C$12*((PRESIONES!$M$32-ABERTURAS!$L$63)*MAX(0,MIN($W34,DATOS!$C$23*1/4)-MAX($V34,DATOS!$C$23*0/4))*PRESIONES!$C$18+(PRESIONES!$M$33-ABERTURAS!$L$63)*MAX(0,MIN($W34,DATOS!$C$23*2/4)-MAX($V34,DATOS!$C$23*1/4))*PRESIONES!$C$19+(PRESIONES!$M$34-ABERTURAS!$L$63)*MAX(0,MIN($W34,DATOS!$C$23*3/4)-MAX($V34,DATOS!$C$23*2/4))*PRESIONES!$C$20+(PRESIONES!$M$35-ABERTURAS!$L$63)*MAX(0,MIN($W34,DATOS!$C$23*4/4)-MAX($V34,DATOS!$C$23*3/4))*PRESIONES!$C$21))</f>
        <v>0</v>
      </c>
      <c r="AN34" s="26">
        <f>IF($L34&lt;&gt;"OK",0,PRESIONES!$C$12*((PRESIONES!$D$32-ABERTURAS!$L$64)*MAX(0,MIN($W34,DATOS!$C$23*1/4)-MAX($V34,DATOS!$C$23*0/4))*PRESIONES!$C$18+(PRESIONES!$D$33-ABERTURAS!$L$64)*MAX(0,MIN($W34,DATOS!$C$23*2/4)-MAX($V34,DATOS!$C$23*1/4))*PRESIONES!$C$19+(PRESIONES!$D$34-ABERTURAS!$L$64)*MAX(0,MIN($W34,DATOS!$C$23*3/4)-MAX($V34,DATOS!$C$23*2/4))*PRESIONES!$C$20+(PRESIONES!$D$35-ABERTURAS!$L$64)*MAX(0,MIN($W34,DATOS!$C$23*4/4)-MAX($V34,DATOS!$C$23*3/4))*PRESIONES!$C$21))</f>
        <v>0</v>
      </c>
      <c r="AO34" s="26">
        <f>IF($L34&lt;&gt;"OK",0,PRESIONES!$C$12*((PRESIONES!$G$32-ABERTURAS!$L$65)*MAX(0,MIN($W34,DATOS!$C$23*1/4)-MAX($V34,DATOS!$C$23*0/4))*PRESIONES!$C$18+(PRESIONES!$G$33-ABERTURAS!$L$65)*MAX(0,MIN($W34,DATOS!$C$23*2/4)-MAX($V34,DATOS!$C$23*1/4))*PRESIONES!$C$19+(PRESIONES!$G$34-ABERTURAS!$L$65)*MAX(0,MIN($W34,DATOS!$C$23*3/4)-MAX($V34,DATOS!$C$23*2/4))*PRESIONES!$C$20+(PRESIONES!$G$35-ABERTURAS!$L$65)*MAX(0,MIN($W34,DATOS!$C$23*4/4)-MAX($V34,DATOS!$C$23*3/4))*PRESIONES!$C$21))</f>
        <v>0</v>
      </c>
      <c r="AP34" s="26">
        <f>IF($L34&lt;&gt;"OK",0,PRESIONES!$C$12*((PRESIONES!$J$32-ABERTURAS!$L$66)*MAX(0,MIN($W34,DATOS!$C$23*1/4)-MAX($V34,DATOS!$C$23*0/4))*PRESIONES!$C$18+(PRESIONES!$J$33-ABERTURAS!$L$66)*MAX(0,MIN($W34,DATOS!$C$23*2/4)-MAX($V34,DATOS!$C$23*1/4))*PRESIONES!$C$19+(PRESIONES!$J$34-ABERTURAS!$L$66)*MAX(0,MIN($W34,DATOS!$C$23*3/4)-MAX($V34,DATOS!$C$23*2/4))*PRESIONES!$C$20+(PRESIONES!$J$35-ABERTURAS!$L$66)*MAX(0,MIN($W34,DATOS!$C$23*4/4)-MAX($V34,DATOS!$C$23*3/4))*PRESIONES!$C$21))</f>
        <v>0</v>
      </c>
      <c r="AQ34" s="26">
        <f>IF($L34&lt;&gt;"OK",0,PRESIONES!$C$12*((PRESIONES!$M$32-ABERTURAS!$L$67)*MAX(0,MIN($W34,DATOS!$C$23*1/4)-MAX($V34,DATOS!$C$23*0/4))*PRESIONES!$C$18+(PRESIONES!$M$33-ABERTURAS!$L$67)*MAX(0,MIN($W34,DATOS!$C$23*2/4)-MAX($V34,DATOS!$C$23*1/4))*PRESIONES!$C$19+(PRESIONES!$M$34-ABERTURAS!$L$67)*MAX(0,MIN($W34,DATOS!$C$23*3/4)-MAX($V34,DATOS!$C$23*2/4))*PRESIONES!$C$20+(PRESIONES!$M$35-ABERTURAS!$L$67)*MAX(0,MIN($W34,DATOS!$C$23*4/4)-MAX($V34,DATOS!$C$23*3/4))*PRESIONES!$C$21))</f>
        <v>0</v>
      </c>
      <c r="AR34" s="26">
        <f>IF($L34&lt;&gt;"OK",0,PRESIONES!$C$12*((PRESIONES!$E$32-ABERTURAS!$L$60)*MAX(0,MIN($W34,DATOS!$C$23*1/4)-MAX($V34,DATOS!$C$23*0/4))+(PRESIONES!$E$33-ABERTURAS!$L$60)*MAX(0,MIN($W34,DATOS!$C$23*2/4)-MAX($V34,DATOS!$C$23*1/4))+(PRESIONES!$E$34-ABERTURAS!$L$60)*MAX(0,MIN($W34,DATOS!$C$23*3/4)-MAX($V34,DATOS!$C$23*2/4))+(PRESIONES!$E$35-ABERTURAS!$L$60)*MAX(0,MIN($W34,DATOS!$C$23*4/4)-MAX($V34,DATOS!$C$23*3/4))))</f>
        <v>0</v>
      </c>
      <c r="AS34" s="26">
        <f>IF($L34&lt;&gt;"OK",0,PRESIONES!$C$12*((PRESIONES!$H$32-ABERTURAS!$L$61)*MAX(0,MIN($W34,DATOS!$C$23*1/4)-MAX($V34,DATOS!$C$23*0/4))+(PRESIONES!$H$33-ABERTURAS!$L$61)*MAX(0,MIN($W34,DATOS!$C$23*2/4)-MAX($V34,DATOS!$C$23*1/4))+(PRESIONES!$H$34-ABERTURAS!$L$61)*MAX(0,MIN($W34,DATOS!$C$23*3/4)-MAX($V34,DATOS!$C$23*2/4))+(PRESIONES!$H$35-ABERTURAS!$L$61)*MAX(0,MIN($W34,DATOS!$C$23*4/4)-MAX($V34,DATOS!$C$23*3/4))))</f>
        <v>0</v>
      </c>
      <c r="AT34" s="26">
        <f>IF($L34&lt;&gt;"OK",0,PRESIONES!$C$12*((PRESIONES!$K$32-ABERTURAS!$L$62)*MAX(0,MIN($W34,DATOS!$C$23*1/4)-MAX($V34,DATOS!$C$23*0/4))+(PRESIONES!$K$33-ABERTURAS!$L$62)*MAX(0,MIN($W34,DATOS!$C$23*2/4)-MAX($V34,DATOS!$C$23*1/4))+(PRESIONES!$K$34-ABERTURAS!$L$62)*MAX(0,MIN($W34,DATOS!$C$23*3/4)-MAX($V34,DATOS!$C$23*2/4))+(PRESIONES!$K$35-ABERTURAS!$L$62)*MAX(0,MIN($W34,DATOS!$C$23*4/4)-MAX($V34,DATOS!$C$23*3/4))))</f>
        <v>0</v>
      </c>
      <c r="AU34" s="26">
        <f>IF($L34&lt;&gt;"OK",0,PRESIONES!$C$12*((PRESIONES!$N$32-ABERTURAS!$L$63)*MAX(0,MIN($W34,DATOS!$C$23*1/4)-MAX($V34,DATOS!$C$23*0/4))+(PRESIONES!$N$33-ABERTURAS!$L$63)*MAX(0,MIN($W34,DATOS!$C$23*2/4)-MAX($V34,DATOS!$C$23*1/4))+(PRESIONES!$N$34-ABERTURAS!$L$63)*MAX(0,MIN($W34,DATOS!$C$23*3/4)-MAX($V34,DATOS!$C$23*2/4))+(PRESIONES!$N$35-ABERTURAS!$L$63)*MAX(0,MIN($W34,DATOS!$C$23*4/4)-MAX($V34,DATOS!$C$23*3/4))))</f>
        <v>0</v>
      </c>
      <c r="AV34" s="26">
        <f>IF($L34&lt;&gt;"OK",0,PRESIONES!$C$12*((PRESIONES!$E$32-ABERTURAS!$L$64)*MAX(0,MIN($W34,DATOS!$C$23*1/4)-MAX($V34,DATOS!$C$23*0/4))+(PRESIONES!$E$33-ABERTURAS!$L$64)*MAX(0,MIN($W34,DATOS!$C$23*2/4)-MAX($V34,DATOS!$C$23*1/4))+(PRESIONES!$E$34-ABERTURAS!$L$64)*MAX(0,MIN($W34,DATOS!$C$23*3/4)-MAX($V34,DATOS!$C$23*2/4))+(PRESIONES!$E$35-ABERTURAS!$L$64)*MAX(0,MIN($W34,DATOS!$C$23*4/4)-MAX($V34,DATOS!$C$23*3/4))))</f>
        <v>0</v>
      </c>
      <c r="AW34" s="26">
        <f>IF($L34&lt;&gt;"OK",0,PRESIONES!$C$12*((PRESIONES!$H$32-ABERTURAS!$L$65)*MAX(0,MIN($W34,DATOS!$C$23*1/4)-MAX($V34,DATOS!$C$23*0/4))+(PRESIONES!$H$33-ABERTURAS!$L$65)*MAX(0,MIN($W34,DATOS!$C$23*2/4)-MAX($V34,DATOS!$C$23*1/4))+(PRESIONES!$H$34-ABERTURAS!$L$65)*MAX(0,MIN($W34,DATOS!$C$23*3/4)-MAX($V34,DATOS!$C$23*2/4))+(PRESIONES!$H$35-ABERTURAS!$L$65)*MAX(0,MIN($W34,DATOS!$C$23*4/4)-MAX($V34,DATOS!$C$23*3/4))))</f>
        <v>0</v>
      </c>
      <c r="AX34" s="26">
        <f>IF($L34&lt;&gt;"OK",0,PRESIONES!$C$12*((PRESIONES!$K$32-ABERTURAS!$L$66)*MAX(0,MIN($W34,DATOS!$C$23*1/4)-MAX($V34,DATOS!$C$23*0/4))+(PRESIONES!$K$33-ABERTURAS!$L$66)*MAX(0,MIN($W34,DATOS!$C$23*2/4)-MAX($V34,DATOS!$C$23*1/4))+(PRESIONES!$K$34-ABERTURAS!$L$66)*MAX(0,MIN($W34,DATOS!$C$23*3/4)-MAX($V34,DATOS!$C$23*2/4))+(PRESIONES!$K$35-ABERTURAS!$L$66)*MAX(0,MIN($W34,DATOS!$C$23*4/4)-MAX($V34,DATOS!$C$23*3/4))))</f>
        <v>0</v>
      </c>
      <c r="AY34" s="26">
        <f>IF($L34&lt;&gt;"OK",0,PRESIONES!$C$12*((PRESIONES!$N$32-ABERTURAS!$L$67)*MAX(0,MIN($W34,DATOS!$C$23*1/4)-MAX($V34,DATOS!$C$23*0/4))+(PRESIONES!$N$33-ABERTURAS!$L$67)*MAX(0,MIN($W34,DATOS!$C$23*2/4)-MAX($V34,DATOS!$C$23*1/4))+(PRESIONES!$N$34-ABERTURAS!$L$67)*MAX(0,MIN($W34,DATOS!$C$23*3/4)-MAX($V34,DATOS!$C$23*2/4))+(PRESIONES!$N$35-ABERTURAS!$L$67)*MAX(0,MIN($W34,DATOS!$C$23*4/4)-MAX($V34,DATOS!$C$23*3/4))))</f>
        <v>0</v>
      </c>
      <c r="AZ34" s="26">
        <f>IF($L34&lt;&gt;"OK",0,PRESIONES!$C$12*((PRESIONES!$E$32-ABERTURAS!$L$60)*MAX(0,MIN($W34,DATOS!$C$23*1/4)-MAX($V34,DATOS!$C$23*0/4))*PRESIONES!$C$18+(PRESIONES!$E$33-ABERTURAS!$L$60)*MAX(0,MIN($W34,DATOS!$C$23*2/4)-MAX($V34,DATOS!$C$23*1/4))*PRESIONES!$C$19+(PRESIONES!$E$34-ABERTURAS!$L$60)*MAX(0,MIN($W34,DATOS!$C$23*3/4)-MAX($V34,DATOS!$C$23*2/4))*PRESIONES!$C$20+(PRESIONES!$E$35-ABERTURAS!$L$60)*MAX(0,MIN($W34,DATOS!$C$23*4/4)-MAX($V34,DATOS!$C$23*3/4))*PRESIONES!$C$21))</f>
        <v>0</v>
      </c>
      <c r="BA34" s="26">
        <f>IF($L34&lt;&gt;"OK",0,PRESIONES!$C$12*((PRESIONES!$H$32-ABERTURAS!$L$61)*MAX(0,MIN($W34,DATOS!$C$23*1/4)-MAX($V34,DATOS!$C$23*0/4))*PRESIONES!$C$18+(PRESIONES!$H$33-ABERTURAS!$L$61)*MAX(0,MIN($W34,DATOS!$C$23*2/4)-MAX($V34,DATOS!$C$23*1/4))*PRESIONES!$C$19+(PRESIONES!$H$34-ABERTURAS!$L$61)*MAX(0,MIN($W34,DATOS!$C$23*3/4)-MAX($V34,DATOS!$C$23*2/4))*PRESIONES!$C$20+(PRESIONES!$H$35-ABERTURAS!$L$61)*MAX(0,MIN($W34,DATOS!$C$23*4/4)-MAX($V34,DATOS!$C$23*3/4))*PRESIONES!$C$21))</f>
        <v>0</v>
      </c>
      <c r="BB34" s="26">
        <f>IF($L34&lt;&gt;"OK",0,PRESIONES!$C$12*((PRESIONES!$K$32-ABERTURAS!$L$62)*MAX(0,MIN($W34,DATOS!$C$23*1/4)-MAX($V34,DATOS!$C$23*0/4))*PRESIONES!$C$18+(PRESIONES!$K$33-ABERTURAS!$L$62)*MAX(0,MIN($W34,DATOS!$C$23*2/4)-MAX($V34,DATOS!$C$23*1/4))*PRESIONES!$C$19+(PRESIONES!$K$34-ABERTURAS!$L$62)*MAX(0,MIN($W34,DATOS!$C$23*3/4)-MAX($V34,DATOS!$C$23*2/4))*PRESIONES!$C$20+(PRESIONES!$K$35-ABERTURAS!$L$62)*MAX(0,MIN($W34,DATOS!$C$23*4/4)-MAX($V34,DATOS!$C$23*3/4))*PRESIONES!$C$21))</f>
        <v>0</v>
      </c>
      <c r="BC34" s="26">
        <f>IF($L34&lt;&gt;"OK",0,PRESIONES!$C$12*((PRESIONES!$N$32-ABERTURAS!$L$63)*MAX(0,MIN($W34,DATOS!$C$23*1/4)-MAX($V34,DATOS!$C$23*0/4))*PRESIONES!$C$18+(PRESIONES!$N$33-ABERTURAS!$L$63)*MAX(0,MIN($W34,DATOS!$C$23*2/4)-MAX($V34,DATOS!$C$23*1/4))*PRESIONES!$C$19+(PRESIONES!$N$34-ABERTURAS!$L$63)*MAX(0,MIN($W34,DATOS!$C$23*3/4)-MAX($V34,DATOS!$C$23*2/4))*PRESIONES!$C$20+(PRESIONES!$N$35-ABERTURAS!$L$63)*MAX(0,MIN($W34,DATOS!$C$23*4/4)-MAX($V34,DATOS!$C$23*3/4))*PRESIONES!$C$21))</f>
        <v>0</v>
      </c>
      <c r="BD34" s="26">
        <f>IF($L34&lt;&gt;"OK",0,PRESIONES!$C$12*((PRESIONES!$E$32-ABERTURAS!$L$64)*MAX(0,MIN($W34,DATOS!$C$23*1/4)-MAX($V34,DATOS!$C$23*0/4))*PRESIONES!$C$18+(PRESIONES!$E$33-ABERTURAS!$L$64)*MAX(0,MIN($W34,DATOS!$C$23*2/4)-MAX($V34,DATOS!$C$23*1/4))*PRESIONES!$C$19+(PRESIONES!$E$34-ABERTURAS!$L$64)*MAX(0,MIN($W34,DATOS!$C$23*3/4)-MAX($V34,DATOS!$C$23*2/4))*PRESIONES!$C$20+(PRESIONES!$E$35-ABERTURAS!$L$64)*MAX(0,MIN($W34,DATOS!$C$23*4/4)-MAX($V34,DATOS!$C$23*3/4))*PRESIONES!$C$21))</f>
        <v>0</v>
      </c>
      <c r="BE34" s="26">
        <f>IF($L34&lt;&gt;"OK",0,PRESIONES!$C$12*((PRESIONES!$H$32-ABERTURAS!$L$65)*MAX(0,MIN($W34,DATOS!$C$23*1/4)-MAX($V34,DATOS!$C$23*0/4))*PRESIONES!$C$18+(PRESIONES!$H$33-ABERTURAS!$L$65)*MAX(0,MIN($W34,DATOS!$C$23*2/4)-MAX($V34,DATOS!$C$23*1/4))*PRESIONES!$C$19+(PRESIONES!$H$34-ABERTURAS!$L$65)*MAX(0,MIN($W34,DATOS!$C$23*3/4)-MAX($V34,DATOS!$C$23*2/4))*PRESIONES!$C$20+(PRESIONES!$H$35-ABERTURAS!$L$65)*MAX(0,MIN($W34,DATOS!$C$23*4/4)-MAX($V34,DATOS!$C$23*3/4))*PRESIONES!$C$21))</f>
        <v>0</v>
      </c>
      <c r="BF34" s="26">
        <f>IF($L34&lt;&gt;"OK",0,PRESIONES!$C$12*((PRESIONES!$K$32-ABERTURAS!$L$66)*MAX(0,MIN($W34,DATOS!$C$23*1/4)-MAX($V34,DATOS!$C$23*0/4))*PRESIONES!$C$18+(PRESIONES!$K$33-ABERTURAS!$L$66)*MAX(0,MIN($W34,DATOS!$C$23*2/4)-MAX($V34,DATOS!$C$23*1/4))*PRESIONES!$C$19+(PRESIONES!$K$34-ABERTURAS!$L$66)*MAX(0,MIN($W34,DATOS!$C$23*3/4)-MAX($V34,DATOS!$C$23*2/4))*PRESIONES!$C$20+(PRESIONES!$K$35-ABERTURAS!$L$66)*MAX(0,MIN($W34,DATOS!$C$23*4/4)-MAX($V34,DATOS!$C$23*3/4))*PRESIONES!$C$21))</f>
        <v>0</v>
      </c>
      <c r="BG34" s="26">
        <f>IF($L34&lt;&gt;"OK",0,PRESIONES!$C$12*((PRESIONES!$N$32-ABERTURAS!$L$67)*MAX(0,MIN($W34,DATOS!$C$23*1/4)-MAX($V34,DATOS!$C$23*0/4))*PRESIONES!$C$18+(PRESIONES!$N$33-ABERTURAS!$L$67)*MAX(0,MIN($W34,DATOS!$C$23*2/4)-MAX($V34,DATOS!$C$23*1/4))*PRESIONES!$C$19+(PRESIONES!$N$34-ABERTURAS!$L$67)*MAX(0,MIN($W34,DATOS!$C$23*3/4)-MAX($V34,DATOS!$C$23*2/4))*PRESIONES!$C$20+(PRESIONES!$N$35-ABERTURAS!$L$67)*MAX(0,MIN($W34,DATOS!$C$23*4/4)-MAX($V34,DATOS!$C$23*3/4))*PRESIONES!$C$21))</f>
        <v>0</v>
      </c>
    </row>
    <row r="35" spans="2:59" ht="15" customHeight="1" x14ac:dyDescent="0.3">
      <c r="B35" s="4"/>
      <c r="C35" s="15"/>
      <c r="D35" s="4"/>
      <c r="E35" s="15"/>
      <c r="F35" s="40"/>
      <c r="G35" s="40"/>
      <c r="H35" s="40"/>
      <c r="I35" s="40"/>
      <c r="J35" s="40"/>
      <c r="K35" s="40"/>
      <c r="L35" s="18" t="str">
        <f>IF($D35="","",IF($C35&lt;&gt;"TECHO","PON TECHO",IF(OR($F35="",$G35="",$H35="",$I35=""),"FALTAN a o b",IF($M35&lt;=0,"a₂ DEBE SER &gt; a₁",IF($N35&lt;=0,"b₂ DEBE SER &gt; b₁",IF(OR($V35&lt;-0.001,$W35&gt;DATOS!$C$23+0.001),"SE SALE DEL TECHO","OK"))))))</f>
        <v/>
      </c>
      <c r="M35" s="26">
        <f t="shared" si="0"/>
        <v>0</v>
      </c>
      <c r="N35" s="26">
        <f t="shared" si="1"/>
        <v>0</v>
      </c>
      <c r="O35" s="26">
        <f t="shared" si="2"/>
        <v>0</v>
      </c>
      <c r="P35" s="26">
        <v>0</v>
      </c>
      <c r="Q35" s="26">
        <v>0</v>
      </c>
      <c r="R35" s="26">
        <f t="shared" si="3"/>
        <v>0</v>
      </c>
      <c r="S35" s="26">
        <f t="shared" si="3"/>
        <v>0</v>
      </c>
      <c r="T35" s="41">
        <f>IF($D35="",0,DATOS!$C$21)</f>
        <v>0</v>
      </c>
      <c r="U35" s="41">
        <v>0</v>
      </c>
      <c r="V35" s="41">
        <f t="shared" si="4"/>
        <v>0</v>
      </c>
      <c r="W35" s="41">
        <f t="shared" si="5"/>
        <v>0</v>
      </c>
      <c r="AB35" s="26">
        <f>IF($L35&lt;&gt;"OK",0,PRESIONES!$C$12*((PRESIONES!$D$32-ABERTURAS!$L$60)*MAX(0,MIN($W35,DATOS!$C$23*1/4)-MAX($V35,DATOS!$C$23*0/4))+(PRESIONES!$D$33-ABERTURAS!$L$60)*MAX(0,MIN($W35,DATOS!$C$23*2/4)-MAX($V35,DATOS!$C$23*1/4))+(PRESIONES!$D$34-ABERTURAS!$L$60)*MAX(0,MIN($W35,DATOS!$C$23*3/4)-MAX($V35,DATOS!$C$23*2/4))+(PRESIONES!$D$35-ABERTURAS!$L$60)*MAX(0,MIN($W35,DATOS!$C$23*4/4)-MAX($V35,DATOS!$C$23*3/4))))</f>
        <v>0</v>
      </c>
      <c r="AC35" s="26">
        <f>IF($L35&lt;&gt;"OK",0,PRESIONES!$C$12*((PRESIONES!$G$32-ABERTURAS!$L$61)*MAX(0,MIN($W35,DATOS!$C$23*1/4)-MAX($V35,DATOS!$C$23*0/4))+(PRESIONES!$G$33-ABERTURAS!$L$61)*MAX(0,MIN($W35,DATOS!$C$23*2/4)-MAX($V35,DATOS!$C$23*1/4))+(PRESIONES!$G$34-ABERTURAS!$L$61)*MAX(0,MIN($W35,DATOS!$C$23*3/4)-MAX($V35,DATOS!$C$23*2/4))+(PRESIONES!$G$35-ABERTURAS!$L$61)*MAX(0,MIN($W35,DATOS!$C$23*4/4)-MAX($V35,DATOS!$C$23*3/4))))</f>
        <v>0</v>
      </c>
      <c r="AD35" s="26">
        <f>IF($L35&lt;&gt;"OK",0,PRESIONES!$C$12*((PRESIONES!$J$32-ABERTURAS!$L$62)*MAX(0,MIN($W35,DATOS!$C$23*1/4)-MAX($V35,DATOS!$C$23*0/4))+(PRESIONES!$J$33-ABERTURAS!$L$62)*MAX(0,MIN($W35,DATOS!$C$23*2/4)-MAX($V35,DATOS!$C$23*1/4))+(PRESIONES!$J$34-ABERTURAS!$L$62)*MAX(0,MIN($W35,DATOS!$C$23*3/4)-MAX($V35,DATOS!$C$23*2/4))+(PRESIONES!$J$35-ABERTURAS!$L$62)*MAX(0,MIN($W35,DATOS!$C$23*4/4)-MAX($V35,DATOS!$C$23*3/4))))</f>
        <v>0</v>
      </c>
      <c r="AE35" s="26">
        <f>IF($L35&lt;&gt;"OK",0,PRESIONES!$C$12*((PRESIONES!$M$32-ABERTURAS!$L$63)*MAX(0,MIN($W35,DATOS!$C$23*1/4)-MAX($V35,DATOS!$C$23*0/4))+(PRESIONES!$M$33-ABERTURAS!$L$63)*MAX(0,MIN($W35,DATOS!$C$23*2/4)-MAX($V35,DATOS!$C$23*1/4))+(PRESIONES!$M$34-ABERTURAS!$L$63)*MAX(0,MIN($W35,DATOS!$C$23*3/4)-MAX($V35,DATOS!$C$23*2/4))+(PRESIONES!$M$35-ABERTURAS!$L$63)*MAX(0,MIN($W35,DATOS!$C$23*4/4)-MAX($V35,DATOS!$C$23*3/4))))</f>
        <v>0</v>
      </c>
      <c r="AF35" s="26">
        <f>IF($L35&lt;&gt;"OK",0,PRESIONES!$C$12*((PRESIONES!$D$32-ABERTURAS!$L$64)*MAX(0,MIN($W35,DATOS!$C$23*1/4)-MAX($V35,DATOS!$C$23*0/4))+(PRESIONES!$D$33-ABERTURAS!$L$64)*MAX(0,MIN($W35,DATOS!$C$23*2/4)-MAX($V35,DATOS!$C$23*1/4))+(PRESIONES!$D$34-ABERTURAS!$L$64)*MAX(0,MIN($W35,DATOS!$C$23*3/4)-MAX($V35,DATOS!$C$23*2/4))+(PRESIONES!$D$35-ABERTURAS!$L$64)*MAX(0,MIN($W35,DATOS!$C$23*4/4)-MAX($V35,DATOS!$C$23*3/4))))</f>
        <v>0</v>
      </c>
      <c r="AG35" s="26">
        <f>IF($L35&lt;&gt;"OK",0,PRESIONES!$C$12*((PRESIONES!$G$32-ABERTURAS!$L$65)*MAX(0,MIN($W35,DATOS!$C$23*1/4)-MAX($V35,DATOS!$C$23*0/4))+(PRESIONES!$G$33-ABERTURAS!$L$65)*MAX(0,MIN($W35,DATOS!$C$23*2/4)-MAX($V35,DATOS!$C$23*1/4))+(PRESIONES!$G$34-ABERTURAS!$L$65)*MAX(0,MIN($W35,DATOS!$C$23*3/4)-MAX($V35,DATOS!$C$23*2/4))+(PRESIONES!$G$35-ABERTURAS!$L$65)*MAX(0,MIN($W35,DATOS!$C$23*4/4)-MAX($V35,DATOS!$C$23*3/4))))</f>
        <v>0</v>
      </c>
      <c r="AH35" s="26">
        <f>IF($L35&lt;&gt;"OK",0,PRESIONES!$C$12*((PRESIONES!$J$32-ABERTURAS!$L$66)*MAX(0,MIN($W35,DATOS!$C$23*1/4)-MAX($V35,DATOS!$C$23*0/4))+(PRESIONES!$J$33-ABERTURAS!$L$66)*MAX(0,MIN($W35,DATOS!$C$23*2/4)-MAX($V35,DATOS!$C$23*1/4))+(PRESIONES!$J$34-ABERTURAS!$L$66)*MAX(0,MIN($W35,DATOS!$C$23*3/4)-MAX($V35,DATOS!$C$23*2/4))+(PRESIONES!$J$35-ABERTURAS!$L$66)*MAX(0,MIN($W35,DATOS!$C$23*4/4)-MAX($V35,DATOS!$C$23*3/4))))</f>
        <v>0</v>
      </c>
      <c r="AI35" s="26">
        <f>IF($L35&lt;&gt;"OK",0,PRESIONES!$C$12*((PRESIONES!$M$32-ABERTURAS!$L$67)*MAX(0,MIN($W35,DATOS!$C$23*1/4)-MAX($V35,DATOS!$C$23*0/4))+(PRESIONES!$M$33-ABERTURAS!$L$67)*MAX(0,MIN($W35,DATOS!$C$23*2/4)-MAX($V35,DATOS!$C$23*1/4))+(PRESIONES!$M$34-ABERTURAS!$L$67)*MAX(0,MIN($W35,DATOS!$C$23*3/4)-MAX($V35,DATOS!$C$23*2/4))+(PRESIONES!$M$35-ABERTURAS!$L$67)*MAX(0,MIN($W35,DATOS!$C$23*4/4)-MAX($V35,DATOS!$C$23*3/4))))</f>
        <v>0</v>
      </c>
      <c r="AJ35" s="26">
        <f>IF($L35&lt;&gt;"OK",0,PRESIONES!$C$12*((PRESIONES!$D$32-ABERTURAS!$L$60)*MAX(0,MIN($W35,DATOS!$C$23*1/4)-MAX($V35,DATOS!$C$23*0/4))*PRESIONES!$C$18+(PRESIONES!$D$33-ABERTURAS!$L$60)*MAX(0,MIN($W35,DATOS!$C$23*2/4)-MAX($V35,DATOS!$C$23*1/4))*PRESIONES!$C$19+(PRESIONES!$D$34-ABERTURAS!$L$60)*MAX(0,MIN($W35,DATOS!$C$23*3/4)-MAX($V35,DATOS!$C$23*2/4))*PRESIONES!$C$20+(PRESIONES!$D$35-ABERTURAS!$L$60)*MAX(0,MIN($W35,DATOS!$C$23*4/4)-MAX($V35,DATOS!$C$23*3/4))*PRESIONES!$C$21))</f>
        <v>0</v>
      </c>
      <c r="AK35" s="26">
        <f>IF($L35&lt;&gt;"OK",0,PRESIONES!$C$12*((PRESIONES!$G$32-ABERTURAS!$L$61)*MAX(0,MIN($W35,DATOS!$C$23*1/4)-MAX($V35,DATOS!$C$23*0/4))*PRESIONES!$C$18+(PRESIONES!$G$33-ABERTURAS!$L$61)*MAX(0,MIN($W35,DATOS!$C$23*2/4)-MAX($V35,DATOS!$C$23*1/4))*PRESIONES!$C$19+(PRESIONES!$G$34-ABERTURAS!$L$61)*MAX(0,MIN($W35,DATOS!$C$23*3/4)-MAX($V35,DATOS!$C$23*2/4))*PRESIONES!$C$20+(PRESIONES!$G$35-ABERTURAS!$L$61)*MAX(0,MIN($W35,DATOS!$C$23*4/4)-MAX($V35,DATOS!$C$23*3/4))*PRESIONES!$C$21))</f>
        <v>0</v>
      </c>
      <c r="AL35" s="26">
        <f>IF($L35&lt;&gt;"OK",0,PRESIONES!$C$12*((PRESIONES!$J$32-ABERTURAS!$L$62)*MAX(0,MIN($W35,DATOS!$C$23*1/4)-MAX($V35,DATOS!$C$23*0/4))*PRESIONES!$C$18+(PRESIONES!$J$33-ABERTURAS!$L$62)*MAX(0,MIN($W35,DATOS!$C$23*2/4)-MAX($V35,DATOS!$C$23*1/4))*PRESIONES!$C$19+(PRESIONES!$J$34-ABERTURAS!$L$62)*MAX(0,MIN($W35,DATOS!$C$23*3/4)-MAX($V35,DATOS!$C$23*2/4))*PRESIONES!$C$20+(PRESIONES!$J$35-ABERTURAS!$L$62)*MAX(0,MIN($W35,DATOS!$C$23*4/4)-MAX($V35,DATOS!$C$23*3/4))*PRESIONES!$C$21))</f>
        <v>0</v>
      </c>
      <c r="AM35" s="26">
        <f>IF($L35&lt;&gt;"OK",0,PRESIONES!$C$12*((PRESIONES!$M$32-ABERTURAS!$L$63)*MAX(0,MIN($W35,DATOS!$C$23*1/4)-MAX($V35,DATOS!$C$23*0/4))*PRESIONES!$C$18+(PRESIONES!$M$33-ABERTURAS!$L$63)*MAX(0,MIN($W35,DATOS!$C$23*2/4)-MAX($V35,DATOS!$C$23*1/4))*PRESIONES!$C$19+(PRESIONES!$M$34-ABERTURAS!$L$63)*MAX(0,MIN($W35,DATOS!$C$23*3/4)-MAX($V35,DATOS!$C$23*2/4))*PRESIONES!$C$20+(PRESIONES!$M$35-ABERTURAS!$L$63)*MAX(0,MIN($W35,DATOS!$C$23*4/4)-MAX($V35,DATOS!$C$23*3/4))*PRESIONES!$C$21))</f>
        <v>0</v>
      </c>
      <c r="AN35" s="26">
        <f>IF($L35&lt;&gt;"OK",0,PRESIONES!$C$12*((PRESIONES!$D$32-ABERTURAS!$L$64)*MAX(0,MIN($W35,DATOS!$C$23*1/4)-MAX($V35,DATOS!$C$23*0/4))*PRESIONES!$C$18+(PRESIONES!$D$33-ABERTURAS!$L$64)*MAX(0,MIN($W35,DATOS!$C$23*2/4)-MAX($V35,DATOS!$C$23*1/4))*PRESIONES!$C$19+(PRESIONES!$D$34-ABERTURAS!$L$64)*MAX(0,MIN($W35,DATOS!$C$23*3/4)-MAX($V35,DATOS!$C$23*2/4))*PRESIONES!$C$20+(PRESIONES!$D$35-ABERTURAS!$L$64)*MAX(0,MIN($W35,DATOS!$C$23*4/4)-MAX($V35,DATOS!$C$23*3/4))*PRESIONES!$C$21))</f>
        <v>0</v>
      </c>
      <c r="AO35" s="26">
        <f>IF($L35&lt;&gt;"OK",0,PRESIONES!$C$12*((PRESIONES!$G$32-ABERTURAS!$L$65)*MAX(0,MIN($W35,DATOS!$C$23*1/4)-MAX($V35,DATOS!$C$23*0/4))*PRESIONES!$C$18+(PRESIONES!$G$33-ABERTURAS!$L$65)*MAX(0,MIN($W35,DATOS!$C$23*2/4)-MAX($V35,DATOS!$C$23*1/4))*PRESIONES!$C$19+(PRESIONES!$G$34-ABERTURAS!$L$65)*MAX(0,MIN($W35,DATOS!$C$23*3/4)-MAX($V35,DATOS!$C$23*2/4))*PRESIONES!$C$20+(PRESIONES!$G$35-ABERTURAS!$L$65)*MAX(0,MIN($W35,DATOS!$C$23*4/4)-MAX($V35,DATOS!$C$23*3/4))*PRESIONES!$C$21))</f>
        <v>0</v>
      </c>
      <c r="AP35" s="26">
        <f>IF($L35&lt;&gt;"OK",0,PRESIONES!$C$12*((PRESIONES!$J$32-ABERTURAS!$L$66)*MAX(0,MIN($W35,DATOS!$C$23*1/4)-MAX($V35,DATOS!$C$23*0/4))*PRESIONES!$C$18+(PRESIONES!$J$33-ABERTURAS!$L$66)*MAX(0,MIN($W35,DATOS!$C$23*2/4)-MAX($V35,DATOS!$C$23*1/4))*PRESIONES!$C$19+(PRESIONES!$J$34-ABERTURAS!$L$66)*MAX(0,MIN($W35,DATOS!$C$23*3/4)-MAX($V35,DATOS!$C$23*2/4))*PRESIONES!$C$20+(PRESIONES!$J$35-ABERTURAS!$L$66)*MAX(0,MIN($W35,DATOS!$C$23*4/4)-MAX($V35,DATOS!$C$23*3/4))*PRESIONES!$C$21))</f>
        <v>0</v>
      </c>
      <c r="AQ35" s="26">
        <f>IF($L35&lt;&gt;"OK",0,PRESIONES!$C$12*((PRESIONES!$M$32-ABERTURAS!$L$67)*MAX(0,MIN($W35,DATOS!$C$23*1/4)-MAX($V35,DATOS!$C$23*0/4))*PRESIONES!$C$18+(PRESIONES!$M$33-ABERTURAS!$L$67)*MAX(0,MIN($W35,DATOS!$C$23*2/4)-MAX($V35,DATOS!$C$23*1/4))*PRESIONES!$C$19+(PRESIONES!$M$34-ABERTURAS!$L$67)*MAX(0,MIN($W35,DATOS!$C$23*3/4)-MAX($V35,DATOS!$C$23*2/4))*PRESIONES!$C$20+(PRESIONES!$M$35-ABERTURAS!$L$67)*MAX(0,MIN($W35,DATOS!$C$23*4/4)-MAX($V35,DATOS!$C$23*3/4))*PRESIONES!$C$21))</f>
        <v>0</v>
      </c>
      <c r="AR35" s="26">
        <f>IF($L35&lt;&gt;"OK",0,PRESIONES!$C$12*((PRESIONES!$E$32-ABERTURAS!$L$60)*MAX(0,MIN($W35,DATOS!$C$23*1/4)-MAX($V35,DATOS!$C$23*0/4))+(PRESIONES!$E$33-ABERTURAS!$L$60)*MAX(0,MIN($W35,DATOS!$C$23*2/4)-MAX($V35,DATOS!$C$23*1/4))+(PRESIONES!$E$34-ABERTURAS!$L$60)*MAX(0,MIN($W35,DATOS!$C$23*3/4)-MAX($V35,DATOS!$C$23*2/4))+(PRESIONES!$E$35-ABERTURAS!$L$60)*MAX(0,MIN($W35,DATOS!$C$23*4/4)-MAX($V35,DATOS!$C$23*3/4))))</f>
        <v>0</v>
      </c>
      <c r="AS35" s="26">
        <f>IF($L35&lt;&gt;"OK",0,PRESIONES!$C$12*((PRESIONES!$H$32-ABERTURAS!$L$61)*MAX(0,MIN($W35,DATOS!$C$23*1/4)-MAX($V35,DATOS!$C$23*0/4))+(PRESIONES!$H$33-ABERTURAS!$L$61)*MAX(0,MIN($W35,DATOS!$C$23*2/4)-MAX($V35,DATOS!$C$23*1/4))+(PRESIONES!$H$34-ABERTURAS!$L$61)*MAX(0,MIN($W35,DATOS!$C$23*3/4)-MAX($V35,DATOS!$C$23*2/4))+(PRESIONES!$H$35-ABERTURAS!$L$61)*MAX(0,MIN($W35,DATOS!$C$23*4/4)-MAX($V35,DATOS!$C$23*3/4))))</f>
        <v>0</v>
      </c>
      <c r="AT35" s="26">
        <f>IF($L35&lt;&gt;"OK",0,PRESIONES!$C$12*((PRESIONES!$K$32-ABERTURAS!$L$62)*MAX(0,MIN($W35,DATOS!$C$23*1/4)-MAX($V35,DATOS!$C$23*0/4))+(PRESIONES!$K$33-ABERTURAS!$L$62)*MAX(0,MIN($W35,DATOS!$C$23*2/4)-MAX($V35,DATOS!$C$23*1/4))+(PRESIONES!$K$34-ABERTURAS!$L$62)*MAX(0,MIN($W35,DATOS!$C$23*3/4)-MAX($V35,DATOS!$C$23*2/4))+(PRESIONES!$K$35-ABERTURAS!$L$62)*MAX(0,MIN($W35,DATOS!$C$23*4/4)-MAX($V35,DATOS!$C$23*3/4))))</f>
        <v>0</v>
      </c>
      <c r="AU35" s="26">
        <f>IF($L35&lt;&gt;"OK",0,PRESIONES!$C$12*((PRESIONES!$N$32-ABERTURAS!$L$63)*MAX(0,MIN($W35,DATOS!$C$23*1/4)-MAX($V35,DATOS!$C$23*0/4))+(PRESIONES!$N$33-ABERTURAS!$L$63)*MAX(0,MIN($W35,DATOS!$C$23*2/4)-MAX($V35,DATOS!$C$23*1/4))+(PRESIONES!$N$34-ABERTURAS!$L$63)*MAX(0,MIN($W35,DATOS!$C$23*3/4)-MAX($V35,DATOS!$C$23*2/4))+(PRESIONES!$N$35-ABERTURAS!$L$63)*MAX(0,MIN($W35,DATOS!$C$23*4/4)-MAX($V35,DATOS!$C$23*3/4))))</f>
        <v>0</v>
      </c>
      <c r="AV35" s="26">
        <f>IF($L35&lt;&gt;"OK",0,PRESIONES!$C$12*((PRESIONES!$E$32-ABERTURAS!$L$64)*MAX(0,MIN($W35,DATOS!$C$23*1/4)-MAX($V35,DATOS!$C$23*0/4))+(PRESIONES!$E$33-ABERTURAS!$L$64)*MAX(0,MIN($W35,DATOS!$C$23*2/4)-MAX($V35,DATOS!$C$23*1/4))+(PRESIONES!$E$34-ABERTURAS!$L$64)*MAX(0,MIN($W35,DATOS!$C$23*3/4)-MAX($V35,DATOS!$C$23*2/4))+(PRESIONES!$E$35-ABERTURAS!$L$64)*MAX(0,MIN($W35,DATOS!$C$23*4/4)-MAX($V35,DATOS!$C$23*3/4))))</f>
        <v>0</v>
      </c>
      <c r="AW35" s="26">
        <f>IF($L35&lt;&gt;"OK",0,PRESIONES!$C$12*((PRESIONES!$H$32-ABERTURAS!$L$65)*MAX(0,MIN($W35,DATOS!$C$23*1/4)-MAX($V35,DATOS!$C$23*0/4))+(PRESIONES!$H$33-ABERTURAS!$L$65)*MAX(0,MIN($W35,DATOS!$C$23*2/4)-MAX($V35,DATOS!$C$23*1/4))+(PRESIONES!$H$34-ABERTURAS!$L$65)*MAX(0,MIN($W35,DATOS!$C$23*3/4)-MAX($V35,DATOS!$C$23*2/4))+(PRESIONES!$H$35-ABERTURAS!$L$65)*MAX(0,MIN($W35,DATOS!$C$23*4/4)-MAX($V35,DATOS!$C$23*3/4))))</f>
        <v>0</v>
      </c>
      <c r="AX35" s="26">
        <f>IF($L35&lt;&gt;"OK",0,PRESIONES!$C$12*((PRESIONES!$K$32-ABERTURAS!$L$66)*MAX(0,MIN($W35,DATOS!$C$23*1/4)-MAX($V35,DATOS!$C$23*0/4))+(PRESIONES!$K$33-ABERTURAS!$L$66)*MAX(0,MIN($W35,DATOS!$C$23*2/4)-MAX($V35,DATOS!$C$23*1/4))+(PRESIONES!$K$34-ABERTURAS!$L$66)*MAX(0,MIN($W35,DATOS!$C$23*3/4)-MAX($V35,DATOS!$C$23*2/4))+(PRESIONES!$K$35-ABERTURAS!$L$66)*MAX(0,MIN($W35,DATOS!$C$23*4/4)-MAX($V35,DATOS!$C$23*3/4))))</f>
        <v>0</v>
      </c>
      <c r="AY35" s="26">
        <f>IF($L35&lt;&gt;"OK",0,PRESIONES!$C$12*((PRESIONES!$N$32-ABERTURAS!$L$67)*MAX(0,MIN($W35,DATOS!$C$23*1/4)-MAX($V35,DATOS!$C$23*0/4))+(PRESIONES!$N$33-ABERTURAS!$L$67)*MAX(0,MIN($W35,DATOS!$C$23*2/4)-MAX($V35,DATOS!$C$23*1/4))+(PRESIONES!$N$34-ABERTURAS!$L$67)*MAX(0,MIN($W35,DATOS!$C$23*3/4)-MAX($V35,DATOS!$C$23*2/4))+(PRESIONES!$N$35-ABERTURAS!$L$67)*MAX(0,MIN($W35,DATOS!$C$23*4/4)-MAX($V35,DATOS!$C$23*3/4))))</f>
        <v>0</v>
      </c>
      <c r="AZ35" s="26">
        <f>IF($L35&lt;&gt;"OK",0,PRESIONES!$C$12*((PRESIONES!$E$32-ABERTURAS!$L$60)*MAX(0,MIN($W35,DATOS!$C$23*1/4)-MAX($V35,DATOS!$C$23*0/4))*PRESIONES!$C$18+(PRESIONES!$E$33-ABERTURAS!$L$60)*MAX(0,MIN($W35,DATOS!$C$23*2/4)-MAX($V35,DATOS!$C$23*1/4))*PRESIONES!$C$19+(PRESIONES!$E$34-ABERTURAS!$L$60)*MAX(0,MIN($W35,DATOS!$C$23*3/4)-MAX($V35,DATOS!$C$23*2/4))*PRESIONES!$C$20+(PRESIONES!$E$35-ABERTURAS!$L$60)*MAX(0,MIN($W35,DATOS!$C$23*4/4)-MAX($V35,DATOS!$C$23*3/4))*PRESIONES!$C$21))</f>
        <v>0</v>
      </c>
      <c r="BA35" s="26">
        <f>IF($L35&lt;&gt;"OK",0,PRESIONES!$C$12*((PRESIONES!$H$32-ABERTURAS!$L$61)*MAX(0,MIN($W35,DATOS!$C$23*1/4)-MAX($V35,DATOS!$C$23*0/4))*PRESIONES!$C$18+(PRESIONES!$H$33-ABERTURAS!$L$61)*MAX(0,MIN($W35,DATOS!$C$23*2/4)-MAX($V35,DATOS!$C$23*1/4))*PRESIONES!$C$19+(PRESIONES!$H$34-ABERTURAS!$L$61)*MAX(0,MIN($W35,DATOS!$C$23*3/4)-MAX($V35,DATOS!$C$23*2/4))*PRESIONES!$C$20+(PRESIONES!$H$35-ABERTURAS!$L$61)*MAX(0,MIN($W35,DATOS!$C$23*4/4)-MAX($V35,DATOS!$C$23*3/4))*PRESIONES!$C$21))</f>
        <v>0</v>
      </c>
      <c r="BB35" s="26">
        <f>IF($L35&lt;&gt;"OK",0,PRESIONES!$C$12*((PRESIONES!$K$32-ABERTURAS!$L$62)*MAX(0,MIN($W35,DATOS!$C$23*1/4)-MAX($V35,DATOS!$C$23*0/4))*PRESIONES!$C$18+(PRESIONES!$K$33-ABERTURAS!$L$62)*MAX(0,MIN($W35,DATOS!$C$23*2/4)-MAX($V35,DATOS!$C$23*1/4))*PRESIONES!$C$19+(PRESIONES!$K$34-ABERTURAS!$L$62)*MAX(0,MIN($W35,DATOS!$C$23*3/4)-MAX($V35,DATOS!$C$23*2/4))*PRESIONES!$C$20+(PRESIONES!$K$35-ABERTURAS!$L$62)*MAX(0,MIN($W35,DATOS!$C$23*4/4)-MAX($V35,DATOS!$C$23*3/4))*PRESIONES!$C$21))</f>
        <v>0</v>
      </c>
      <c r="BC35" s="26">
        <f>IF($L35&lt;&gt;"OK",0,PRESIONES!$C$12*((PRESIONES!$N$32-ABERTURAS!$L$63)*MAX(0,MIN($W35,DATOS!$C$23*1/4)-MAX($V35,DATOS!$C$23*0/4))*PRESIONES!$C$18+(PRESIONES!$N$33-ABERTURAS!$L$63)*MAX(0,MIN($W35,DATOS!$C$23*2/4)-MAX($V35,DATOS!$C$23*1/4))*PRESIONES!$C$19+(PRESIONES!$N$34-ABERTURAS!$L$63)*MAX(0,MIN($W35,DATOS!$C$23*3/4)-MAX($V35,DATOS!$C$23*2/4))*PRESIONES!$C$20+(PRESIONES!$N$35-ABERTURAS!$L$63)*MAX(0,MIN($W35,DATOS!$C$23*4/4)-MAX($V35,DATOS!$C$23*3/4))*PRESIONES!$C$21))</f>
        <v>0</v>
      </c>
      <c r="BD35" s="26">
        <f>IF($L35&lt;&gt;"OK",0,PRESIONES!$C$12*((PRESIONES!$E$32-ABERTURAS!$L$64)*MAX(0,MIN($W35,DATOS!$C$23*1/4)-MAX($V35,DATOS!$C$23*0/4))*PRESIONES!$C$18+(PRESIONES!$E$33-ABERTURAS!$L$64)*MAX(0,MIN($W35,DATOS!$C$23*2/4)-MAX($V35,DATOS!$C$23*1/4))*PRESIONES!$C$19+(PRESIONES!$E$34-ABERTURAS!$L$64)*MAX(0,MIN($W35,DATOS!$C$23*3/4)-MAX($V35,DATOS!$C$23*2/4))*PRESIONES!$C$20+(PRESIONES!$E$35-ABERTURAS!$L$64)*MAX(0,MIN($W35,DATOS!$C$23*4/4)-MAX($V35,DATOS!$C$23*3/4))*PRESIONES!$C$21))</f>
        <v>0</v>
      </c>
      <c r="BE35" s="26">
        <f>IF($L35&lt;&gt;"OK",0,PRESIONES!$C$12*((PRESIONES!$H$32-ABERTURAS!$L$65)*MAX(0,MIN($W35,DATOS!$C$23*1/4)-MAX($V35,DATOS!$C$23*0/4))*PRESIONES!$C$18+(PRESIONES!$H$33-ABERTURAS!$L$65)*MAX(0,MIN($W35,DATOS!$C$23*2/4)-MAX($V35,DATOS!$C$23*1/4))*PRESIONES!$C$19+(PRESIONES!$H$34-ABERTURAS!$L$65)*MAX(0,MIN($W35,DATOS!$C$23*3/4)-MAX($V35,DATOS!$C$23*2/4))*PRESIONES!$C$20+(PRESIONES!$H$35-ABERTURAS!$L$65)*MAX(0,MIN($W35,DATOS!$C$23*4/4)-MAX($V35,DATOS!$C$23*3/4))*PRESIONES!$C$21))</f>
        <v>0</v>
      </c>
      <c r="BF35" s="26">
        <f>IF($L35&lt;&gt;"OK",0,PRESIONES!$C$12*((PRESIONES!$K$32-ABERTURAS!$L$66)*MAX(0,MIN($W35,DATOS!$C$23*1/4)-MAX($V35,DATOS!$C$23*0/4))*PRESIONES!$C$18+(PRESIONES!$K$33-ABERTURAS!$L$66)*MAX(0,MIN($W35,DATOS!$C$23*2/4)-MAX($V35,DATOS!$C$23*1/4))*PRESIONES!$C$19+(PRESIONES!$K$34-ABERTURAS!$L$66)*MAX(0,MIN($W35,DATOS!$C$23*3/4)-MAX($V35,DATOS!$C$23*2/4))*PRESIONES!$C$20+(PRESIONES!$K$35-ABERTURAS!$L$66)*MAX(0,MIN($W35,DATOS!$C$23*4/4)-MAX($V35,DATOS!$C$23*3/4))*PRESIONES!$C$21))</f>
        <v>0</v>
      </c>
      <c r="BG35" s="26">
        <f>IF($L35&lt;&gt;"OK",0,PRESIONES!$C$12*((PRESIONES!$N$32-ABERTURAS!$L$67)*MAX(0,MIN($W35,DATOS!$C$23*1/4)-MAX($V35,DATOS!$C$23*0/4))*PRESIONES!$C$18+(PRESIONES!$N$33-ABERTURAS!$L$67)*MAX(0,MIN($W35,DATOS!$C$23*2/4)-MAX($V35,DATOS!$C$23*1/4))*PRESIONES!$C$19+(PRESIONES!$N$34-ABERTURAS!$L$67)*MAX(0,MIN($W35,DATOS!$C$23*3/4)-MAX($V35,DATOS!$C$23*2/4))*PRESIONES!$C$20+(PRESIONES!$N$35-ABERTURAS!$L$67)*MAX(0,MIN($W35,DATOS!$C$23*4/4)-MAX($V35,DATOS!$C$23*3/4))*PRESIONES!$C$21))</f>
        <v>0</v>
      </c>
    </row>
    <row r="36" spans="2:59" ht="15" customHeight="1" x14ac:dyDescent="0.3">
      <c r="B36" s="4"/>
      <c r="C36" s="15"/>
      <c r="D36" s="4"/>
      <c r="E36" s="15"/>
      <c r="F36" s="40"/>
      <c r="G36" s="40"/>
      <c r="H36" s="40"/>
      <c r="I36" s="40"/>
      <c r="J36" s="40"/>
      <c r="K36" s="40"/>
      <c r="L36" s="18" t="str">
        <f>IF($D36="","",IF($C36&lt;&gt;"TECHO","PON TECHO",IF(OR($F36="",$G36="",$H36="",$I36=""),"FALTAN a o b",IF($M36&lt;=0,"a₂ DEBE SER &gt; a₁",IF($N36&lt;=0,"b₂ DEBE SER &gt; b₁",IF(OR($V36&lt;-0.001,$W36&gt;DATOS!$C$23+0.001),"SE SALE DEL TECHO","OK"))))))</f>
        <v/>
      </c>
      <c r="M36" s="26">
        <f t="shared" si="0"/>
        <v>0</v>
      </c>
      <c r="N36" s="26">
        <f t="shared" si="1"/>
        <v>0</v>
      </c>
      <c r="O36" s="26">
        <f t="shared" si="2"/>
        <v>0</v>
      </c>
      <c r="P36" s="26">
        <v>0</v>
      </c>
      <c r="Q36" s="26">
        <v>0</v>
      </c>
      <c r="R36" s="26">
        <f t="shared" si="3"/>
        <v>0</v>
      </c>
      <c r="S36" s="26">
        <f t="shared" si="3"/>
        <v>0</v>
      </c>
      <c r="T36" s="41">
        <f>IF($D36="",0,DATOS!$C$21)</f>
        <v>0</v>
      </c>
      <c r="U36" s="41">
        <v>0</v>
      </c>
      <c r="V36" s="41">
        <f t="shared" si="4"/>
        <v>0</v>
      </c>
      <c r="W36" s="41">
        <f t="shared" si="5"/>
        <v>0</v>
      </c>
      <c r="AB36" s="26">
        <f>IF($L36&lt;&gt;"OK",0,PRESIONES!$C$12*((PRESIONES!$D$32-ABERTURAS!$L$60)*MAX(0,MIN($W36,DATOS!$C$23*1/4)-MAX($V36,DATOS!$C$23*0/4))+(PRESIONES!$D$33-ABERTURAS!$L$60)*MAX(0,MIN($W36,DATOS!$C$23*2/4)-MAX($V36,DATOS!$C$23*1/4))+(PRESIONES!$D$34-ABERTURAS!$L$60)*MAX(0,MIN($W36,DATOS!$C$23*3/4)-MAX($V36,DATOS!$C$23*2/4))+(PRESIONES!$D$35-ABERTURAS!$L$60)*MAX(0,MIN($W36,DATOS!$C$23*4/4)-MAX($V36,DATOS!$C$23*3/4))))</f>
        <v>0</v>
      </c>
      <c r="AC36" s="26">
        <f>IF($L36&lt;&gt;"OK",0,PRESIONES!$C$12*((PRESIONES!$G$32-ABERTURAS!$L$61)*MAX(0,MIN($W36,DATOS!$C$23*1/4)-MAX($V36,DATOS!$C$23*0/4))+(PRESIONES!$G$33-ABERTURAS!$L$61)*MAX(0,MIN($W36,DATOS!$C$23*2/4)-MAX($V36,DATOS!$C$23*1/4))+(PRESIONES!$G$34-ABERTURAS!$L$61)*MAX(0,MIN($W36,DATOS!$C$23*3/4)-MAX($V36,DATOS!$C$23*2/4))+(PRESIONES!$G$35-ABERTURAS!$L$61)*MAX(0,MIN($W36,DATOS!$C$23*4/4)-MAX($V36,DATOS!$C$23*3/4))))</f>
        <v>0</v>
      </c>
      <c r="AD36" s="26">
        <f>IF($L36&lt;&gt;"OK",0,PRESIONES!$C$12*((PRESIONES!$J$32-ABERTURAS!$L$62)*MAX(0,MIN($W36,DATOS!$C$23*1/4)-MAX($V36,DATOS!$C$23*0/4))+(PRESIONES!$J$33-ABERTURAS!$L$62)*MAX(0,MIN($W36,DATOS!$C$23*2/4)-MAX($V36,DATOS!$C$23*1/4))+(PRESIONES!$J$34-ABERTURAS!$L$62)*MAX(0,MIN($W36,DATOS!$C$23*3/4)-MAX($V36,DATOS!$C$23*2/4))+(PRESIONES!$J$35-ABERTURAS!$L$62)*MAX(0,MIN($W36,DATOS!$C$23*4/4)-MAX($V36,DATOS!$C$23*3/4))))</f>
        <v>0</v>
      </c>
      <c r="AE36" s="26">
        <f>IF($L36&lt;&gt;"OK",0,PRESIONES!$C$12*((PRESIONES!$M$32-ABERTURAS!$L$63)*MAX(0,MIN($W36,DATOS!$C$23*1/4)-MAX($V36,DATOS!$C$23*0/4))+(PRESIONES!$M$33-ABERTURAS!$L$63)*MAX(0,MIN($W36,DATOS!$C$23*2/4)-MAX($V36,DATOS!$C$23*1/4))+(PRESIONES!$M$34-ABERTURAS!$L$63)*MAX(0,MIN($W36,DATOS!$C$23*3/4)-MAX($V36,DATOS!$C$23*2/4))+(PRESIONES!$M$35-ABERTURAS!$L$63)*MAX(0,MIN($W36,DATOS!$C$23*4/4)-MAX($V36,DATOS!$C$23*3/4))))</f>
        <v>0</v>
      </c>
      <c r="AF36" s="26">
        <f>IF($L36&lt;&gt;"OK",0,PRESIONES!$C$12*((PRESIONES!$D$32-ABERTURAS!$L$64)*MAX(0,MIN($W36,DATOS!$C$23*1/4)-MAX($V36,DATOS!$C$23*0/4))+(PRESIONES!$D$33-ABERTURAS!$L$64)*MAX(0,MIN($W36,DATOS!$C$23*2/4)-MAX($V36,DATOS!$C$23*1/4))+(PRESIONES!$D$34-ABERTURAS!$L$64)*MAX(0,MIN($W36,DATOS!$C$23*3/4)-MAX($V36,DATOS!$C$23*2/4))+(PRESIONES!$D$35-ABERTURAS!$L$64)*MAX(0,MIN($W36,DATOS!$C$23*4/4)-MAX($V36,DATOS!$C$23*3/4))))</f>
        <v>0</v>
      </c>
      <c r="AG36" s="26">
        <f>IF($L36&lt;&gt;"OK",0,PRESIONES!$C$12*((PRESIONES!$G$32-ABERTURAS!$L$65)*MAX(0,MIN($W36,DATOS!$C$23*1/4)-MAX($V36,DATOS!$C$23*0/4))+(PRESIONES!$G$33-ABERTURAS!$L$65)*MAX(0,MIN($W36,DATOS!$C$23*2/4)-MAX($V36,DATOS!$C$23*1/4))+(PRESIONES!$G$34-ABERTURAS!$L$65)*MAX(0,MIN($W36,DATOS!$C$23*3/4)-MAX($V36,DATOS!$C$23*2/4))+(PRESIONES!$G$35-ABERTURAS!$L$65)*MAX(0,MIN($W36,DATOS!$C$23*4/4)-MAX($V36,DATOS!$C$23*3/4))))</f>
        <v>0</v>
      </c>
      <c r="AH36" s="26">
        <f>IF($L36&lt;&gt;"OK",0,PRESIONES!$C$12*((PRESIONES!$J$32-ABERTURAS!$L$66)*MAX(0,MIN($W36,DATOS!$C$23*1/4)-MAX($V36,DATOS!$C$23*0/4))+(PRESIONES!$J$33-ABERTURAS!$L$66)*MAX(0,MIN($W36,DATOS!$C$23*2/4)-MAX($V36,DATOS!$C$23*1/4))+(PRESIONES!$J$34-ABERTURAS!$L$66)*MAX(0,MIN($W36,DATOS!$C$23*3/4)-MAX($V36,DATOS!$C$23*2/4))+(PRESIONES!$J$35-ABERTURAS!$L$66)*MAX(0,MIN($W36,DATOS!$C$23*4/4)-MAX($V36,DATOS!$C$23*3/4))))</f>
        <v>0</v>
      </c>
      <c r="AI36" s="26">
        <f>IF($L36&lt;&gt;"OK",0,PRESIONES!$C$12*((PRESIONES!$M$32-ABERTURAS!$L$67)*MAX(0,MIN($W36,DATOS!$C$23*1/4)-MAX($V36,DATOS!$C$23*0/4))+(PRESIONES!$M$33-ABERTURAS!$L$67)*MAX(0,MIN($W36,DATOS!$C$23*2/4)-MAX($V36,DATOS!$C$23*1/4))+(PRESIONES!$M$34-ABERTURAS!$L$67)*MAX(0,MIN($W36,DATOS!$C$23*3/4)-MAX($V36,DATOS!$C$23*2/4))+(PRESIONES!$M$35-ABERTURAS!$L$67)*MAX(0,MIN($W36,DATOS!$C$23*4/4)-MAX($V36,DATOS!$C$23*3/4))))</f>
        <v>0</v>
      </c>
      <c r="AJ36" s="26">
        <f>IF($L36&lt;&gt;"OK",0,PRESIONES!$C$12*((PRESIONES!$D$32-ABERTURAS!$L$60)*MAX(0,MIN($W36,DATOS!$C$23*1/4)-MAX($V36,DATOS!$C$23*0/4))*PRESIONES!$C$18+(PRESIONES!$D$33-ABERTURAS!$L$60)*MAX(0,MIN($W36,DATOS!$C$23*2/4)-MAX($V36,DATOS!$C$23*1/4))*PRESIONES!$C$19+(PRESIONES!$D$34-ABERTURAS!$L$60)*MAX(0,MIN($W36,DATOS!$C$23*3/4)-MAX($V36,DATOS!$C$23*2/4))*PRESIONES!$C$20+(PRESIONES!$D$35-ABERTURAS!$L$60)*MAX(0,MIN($W36,DATOS!$C$23*4/4)-MAX($V36,DATOS!$C$23*3/4))*PRESIONES!$C$21))</f>
        <v>0</v>
      </c>
      <c r="AK36" s="26">
        <f>IF($L36&lt;&gt;"OK",0,PRESIONES!$C$12*((PRESIONES!$G$32-ABERTURAS!$L$61)*MAX(0,MIN($W36,DATOS!$C$23*1/4)-MAX($V36,DATOS!$C$23*0/4))*PRESIONES!$C$18+(PRESIONES!$G$33-ABERTURAS!$L$61)*MAX(0,MIN($W36,DATOS!$C$23*2/4)-MAX($V36,DATOS!$C$23*1/4))*PRESIONES!$C$19+(PRESIONES!$G$34-ABERTURAS!$L$61)*MAX(0,MIN($W36,DATOS!$C$23*3/4)-MAX($V36,DATOS!$C$23*2/4))*PRESIONES!$C$20+(PRESIONES!$G$35-ABERTURAS!$L$61)*MAX(0,MIN($W36,DATOS!$C$23*4/4)-MAX($V36,DATOS!$C$23*3/4))*PRESIONES!$C$21))</f>
        <v>0</v>
      </c>
      <c r="AL36" s="26">
        <f>IF($L36&lt;&gt;"OK",0,PRESIONES!$C$12*((PRESIONES!$J$32-ABERTURAS!$L$62)*MAX(0,MIN($W36,DATOS!$C$23*1/4)-MAX($V36,DATOS!$C$23*0/4))*PRESIONES!$C$18+(PRESIONES!$J$33-ABERTURAS!$L$62)*MAX(0,MIN($W36,DATOS!$C$23*2/4)-MAX($V36,DATOS!$C$23*1/4))*PRESIONES!$C$19+(PRESIONES!$J$34-ABERTURAS!$L$62)*MAX(0,MIN($W36,DATOS!$C$23*3/4)-MAX($V36,DATOS!$C$23*2/4))*PRESIONES!$C$20+(PRESIONES!$J$35-ABERTURAS!$L$62)*MAX(0,MIN($W36,DATOS!$C$23*4/4)-MAX($V36,DATOS!$C$23*3/4))*PRESIONES!$C$21))</f>
        <v>0</v>
      </c>
      <c r="AM36" s="26">
        <f>IF($L36&lt;&gt;"OK",0,PRESIONES!$C$12*((PRESIONES!$M$32-ABERTURAS!$L$63)*MAX(0,MIN($W36,DATOS!$C$23*1/4)-MAX($V36,DATOS!$C$23*0/4))*PRESIONES!$C$18+(PRESIONES!$M$33-ABERTURAS!$L$63)*MAX(0,MIN($W36,DATOS!$C$23*2/4)-MAX($V36,DATOS!$C$23*1/4))*PRESIONES!$C$19+(PRESIONES!$M$34-ABERTURAS!$L$63)*MAX(0,MIN($W36,DATOS!$C$23*3/4)-MAX($V36,DATOS!$C$23*2/4))*PRESIONES!$C$20+(PRESIONES!$M$35-ABERTURAS!$L$63)*MAX(0,MIN($W36,DATOS!$C$23*4/4)-MAX($V36,DATOS!$C$23*3/4))*PRESIONES!$C$21))</f>
        <v>0</v>
      </c>
      <c r="AN36" s="26">
        <f>IF($L36&lt;&gt;"OK",0,PRESIONES!$C$12*((PRESIONES!$D$32-ABERTURAS!$L$64)*MAX(0,MIN($W36,DATOS!$C$23*1/4)-MAX($V36,DATOS!$C$23*0/4))*PRESIONES!$C$18+(PRESIONES!$D$33-ABERTURAS!$L$64)*MAX(0,MIN($W36,DATOS!$C$23*2/4)-MAX($V36,DATOS!$C$23*1/4))*PRESIONES!$C$19+(PRESIONES!$D$34-ABERTURAS!$L$64)*MAX(0,MIN($W36,DATOS!$C$23*3/4)-MAX($V36,DATOS!$C$23*2/4))*PRESIONES!$C$20+(PRESIONES!$D$35-ABERTURAS!$L$64)*MAX(0,MIN($W36,DATOS!$C$23*4/4)-MAX($V36,DATOS!$C$23*3/4))*PRESIONES!$C$21))</f>
        <v>0</v>
      </c>
      <c r="AO36" s="26">
        <f>IF($L36&lt;&gt;"OK",0,PRESIONES!$C$12*((PRESIONES!$G$32-ABERTURAS!$L$65)*MAX(0,MIN($W36,DATOS!$C$23*1/4)-MAX($V36,DATOS!$C$23*0/4))*PRESIONES!$C$18+(PRESIONES!$G$33-ABERTURAS!$L$65)*MAX(0,MIN($W36,DATOS!$C$23*2/4)-MAX($V36,DATOS!$C$23*1/4))*PRESIONES!$C$19+(PRESIONES!$G$34-ABERTURAS!$L$65)*MAX(0,MIN($W36,DATOS!$C$23*3/4)-MAX($V36,DATOS!$C$23*2/4))*PRESIONES!$C$20+(PRESIONES!$G$35-ABERTURAS!$L$65)*MAX(0,MIN($W36,DATOS!$C$23*4/4)-MAX($V36,DATOS!$C$23*3/4))*PRESIONES!$C$21))</f>
        <v>0</v>
      </c>
      <c r="AP36" s="26">
        <f>IF($L36&lt;&gt;"OK",0,PRESIONES!$C$12*((PRESIONES!$J$32-ABERTURAS!$L$66)*MAX(0,MIN($W36,DATOS!$C$23*1/4)-MAX($V36,DATOS!$C$23*0/4))*PRESIONES!$C$18+(PRESIONES!$J$33-ABERTURAS!$L$66)*MAX(0,MIN($W36,DATOS!$C$23*2/4)-MAX($V36,DATOS!$C$23*1/4))*PRESIONES!$C$19+(PRESIONES!$J$34-ABERTURAS!$L$66)*MAX(0,MIN($W36,DATOS!$C$23*3/4)-MAX($V36,DATOS!$C$23*2/4))*PRESIONES!$C$20+(PRESIONES!$J$35-ABERTURAS!$L$66)*MAX(0,MIN($W36,DATOS!$C$23*4/4)-MAX($V36,DATOS!$C$23*3/4))*PRESIONES!$C$21))</f>
        <v>0</v>
      </c>
      <c r="AQ36" s="26">
        <f>IF($L36&lt;&gt;"OK",0,PRESIONES!$C$12*((PRESIONES!$M$32-ABERTURAS!$L$67)*MAX(0,MIN($W36,DATOS!$C$23*1/4)-MAX($V36,DATOS!$C$23*0/4))*PRESIONES!$C$18+(PRESIONES!$M$33-ABERTURAS!$L$67)*MAX(0,MIN($W36,DATOS!$C$23*2/4)-MAX($V36,DATOS!$C$23*1/4))*PRESIONES!$C$19+(PRESIONES!$M$34-ABERTURAS!$L$67)*MAX(0,MIN($W36,DATOS!$C$23*3/4)-MAX($V36,DATOS!$C$23*2/4))*PRESIONES!$C$20+(PRESIONES!$M$35-ABERTURAS!$L$67)*MAX(0,MIN($W36,DATOS!$C$23*4/4)-MAX($V36,DATOS!$C$23*3/4))*PRESIONES!$C$21))</f>
        <v>0</v>
      </c>
      <c r="AR36" s="26">
        <f>IF($L36&lt;&gt;"OK",0,PRESIONES!$C$12*((PRESIONES!$E$32-ABERTURAS!$L$60)*MAX(0,MIN($W36,DATOS!$C$23*1/4)-MAX($V36,DATOS!$C$23*0/4))+(PRESIONES!$E$33-ABERTURAS!$L$60)*MAX(0,MIN($W36,DATOS!$C$23*2/4)-MAX($V36,DATOS!$C$23*1/4))+(PRESIONES!$E$34-ABERTURAS!$L$60)*MAX(0,MIN($W36,DATOS!$C$23*3/4)-MAX($V36,DATOS!$C$23*2/4))+(PRESIONES!$E$35-ABERTURAS!$L$60)*MAX(0,MIN($W36,DATOS!$C$23*4/4)-MAX($V36,DATOS!$C$23*3/4))))</f>
        <v>0</v>
      </c>
      <c r="AS36" s="26">
        <f>IF($L36&lt;&gt;"OK",0,PRESIONES!$C$12*((PRESIONES!$H$32-ABERTURAS!$L$61)*MAX(0,MIN($W36,DATOS!$C$23*1/4)-MAX($V36,DATOS!$C$23*0/4))+(PRESIONES!$H$33-ABERTURAS!$L$61)*MAX(0,MIN($W36,DATOS!$C$23*2/4)-MAX($V36,DATOS!$C$23*1/4))+(PRESIONES!$H$34-ABERTURAS!$L$61)*MAX(0,MIN($W36,DATOS!$C$23*3/4)-MAX($V36,DATOS!$C$23*2/4))+(PRESIONES!$H$35-ABERTURAS!$L$61)*MAX(0,MIN($W36,DATOS!$C$23*4/4)-MAX($V36,DATOS!$C$23*3/4))))</f>
        <v>0</v>
      </c>
      <c r="AT36" s="26">
        <f>IF($L36&lt;&gt;"OK",0,PRESIONES!$C$12*((PRESIONES!$K$32-ABERTURAS!$L$62)*MAX(0,MIN($W36,DATOS!$C$23*1/4)-MAX($V36,DATOS!$C$23*0/4))+(PRESIONES!$K$33-ABERTURAS!$L$62)*MAX(0,MIN($W36,DATOS!$C$23*2/4)-MAX($V36,DATOS!$C$23*1/4))+(PRESIONES!$K$34-ABERTURAS!$L$62)*MAX(0,MIN($W36,DATOS!$C$23*3/4)-MAX($V36,DATOS!$C$23*2/4))+(PRESIONES!$K$35-ABERTURAS!$L$62)*MAX(0,MIN($W36,DATOS!$C$23*4/4)-MAX($V36,DATOS!$C$23*3/4))))</f>
        <v>0</v>
      </c>
      <c r="AU36" s="26">
        <f>IF($L36&lt;&gt;"OK",0,PRESIONES!$C$12*((PRESIONES!$N$32-ABERTURAS!$L$63)*MAX(0,MIN($W36,DATOS!$C$23*1/4)-MAX($V36,DATOS!$C$23*0/4))+(PRESIONES!$N$33-ABERTURAS!$L$63)*MAX(0,MIN($W36,DATOS!$C$23*2/4)-MAX($V36,DATOS!$C$23*1/4))+(PRESIONES!$N$34-ABERTURAS!$L$63)*MAX(0,MIN($W36,DATOS!$C$23*3/4)-MAX($V36,DATOS!$C$23*2/4))+(PRESIONES!$N$35-ABERTURAS!$L$63)*MAX(0,MIN($W36,DATOS!$C$23*4/4)-MAX($V36,DATOS!$C$23*3/4))))</f>
        <v>0</v>
      </c>
      <c r="AV36" s="26">
        <f>IF($L36&lt;&gt;"OK",0,PRESIONES!$C$12*((PRESIONES!$E$32-ABERTURAS!$L$64)*MAX(0,MIN($W36,DATOS!$C$23*1/4)-MAX($V36,DATOS!$C$23*0/4))+(PRESIONES!$E$33-ABERTURAS!$L$64)*MAX(0,MIN($W36,DATOS!$C$23*2/4)-MAX($V36,DATOS!$C$23*1/4))+(PRESIONES!$E$34-ABERTURAS!$L$64)*MAX(0,MIN($W36,DATOS!$C$23*3/4)-MAX($V36,DATOS!$C$23*2/4))+(PRESIONES!$E$35-ABERTURAS!$L$64)*MAX(0,MIN($W36,DATOS!$C$23*4/4)-MAX($V36,DATOS!$C$23*3/4))))</f>
        <v>0</v>
      </c>
      <c r="AW36" s="26">
        <f>IF($L36&lt;&gt;"OK",0,PRESIONES!$C$12*((PRESIONES!$H$32-ABERTURAS!$L$65)*MAX(0,MIN($W36,DATOS!$C$23*1/4)-MAX($V36,DATOS!$C$23*0/4))+(PRESIONES!$H$33-ABERTURAS!$L$65)*MAX(0,MIN($W36,DATOS!$C$23*2/4)-MAX($V36,DATOS!$C$23*1/4))+(PRESIONES!$H$34-ABERTURAS!$L$65)*MAX(0,MIN($W36,DATOS!$C$23*3/4)-MAX($V36,DATOS!$C$23*2/4))+(PRESIONES!$H$35-ABERTURAS!$L$65)*MAX(0,MIN($W36,DATOS!$C$23*4/4)-MAX($V36,DATOS!$C$23*3/4))))</f>
        <v>0</v>
      </c>
      <c r="AX36" s="26">
        <f>IF($L36&lt;&gt;"OK",0,PRESIONES!$C$12*((PRESIONES!$K$32-ABERTURAS!$L$66)*MAX(0,MIN($W36,DATOS!$C$23*1/4)-MAX($V36,DATOS!$C$23*0/4))+(PRESIONES!$K$33-ABERTURAS!$L$66)*MAX(0,MIN($W36,DATOS!$C$23*2/4)-MAX($V36,DATOS!$C$23*1/4))+(PRESIONES!$K$34-ABERTURAS!$L$66)*MAX(0,MIN($W36,DATOS!$C$23*3/4)-MAX($V36,DATOS!$C$23*2/4))+(PRESIONES!$K$35-ABERTURAS!$L$66)*MAX(0,MIN($W36,DATOS!$C$23*4/4)-MAX($V36,DATOS!$C$23*3/4))))</f>
        <v>0</v>
      </c>
      <c r="AY36" s="26">
        <f>IF($L36&lt;&gt;"OK",0,PRESIONES!$C$12*((PRESIONES!$N$32-ABERTURAS!$L$67)*MAX(0,MIN($W36,DATOS!$C$23*1/4)-MAX($V36,DATOS!$C$23*0/4))+(PRESIONES!$N$33-ABERTURAS!$L$67)*MAX(0,MIN($W36,DATOS!$C$23*2/4)-MAX($V36,DATOS!$C$23*1/4))+(PRESIONES!$N$34-ABERTURAS!$L$67)*MAX(0,MIN($W36,DATOS!$C$23*3/4)-MAX($V36,DATOS!$C$23*2/4))+(PRESIONES!$N$35-ABERTURAS!$L$67)*MAX(0,MIN($W36,DATOS!$C$23*4/4)-MAX($V36,DATOS!$C$23*3/4))))</f>
        <v>0</v>
      </c>
      <c r="AZ36" s="26">
        <f>IF($L36&lt;&gt;"OK",0,PRESIONES!$C$12*((PRESIONES!$E$32-ABERTURAS!$L$60)*MAX(0,MIN($W36,DATOS!$C$23*1/4)-MAX($V36,DATOS!$C$23*0/4))*PRESIONES!$C$18+(PRESIONES!$E$33-ABERTURAS!$L$60)*MAX(0,MIN($W36,DATOS!$C$23*2/4)-MAX($V36,DATOS!$C$23*1/4))*PRESIONES!$C$19+(PRESIONES!$E$34-ABERTURAS!$L$60)*MAX(0,MIN($W36,DATOS!$C$23*3/4)-MAX($V36,DATOS!$C$23*2/4))*PRESIONES!$C$20+(PRESIONES!$E$35-ABERTURAS!$L$60)*MAX(0,MIN($W36,DATOS!$C$23*4/4)-MAX($V36,DATOS!$C$23*3/4))*PRESIONES!$C$21))</f>
        <v>0</v>
      </c>
      <c r="BA36" s="26">
        <f>IF($L36&lt;&gt;"OK",0,PRESIONES!$C$12*((PRESIONES!$H$32-ABERTURAS!$L$61)*MAX(0,MIN($W36,DATOS!$C$23*1/4)-MAX($V36,DATOS!$C$23*0/4))*PRESIONES!$C$18+(PRESIONES!$H$33-ABERTURAS!$L$61)*MAX(0,MIN($W36,DATOS!$C$23*2/4)-MAX($V36,DATOS!$C$23*1/4))*PRESIONES!$C$19+(PRESIONES!$H$34-ABERTURAS!$L$61)*MAX(0,MIN($W36,DATOS!$C$23*3/4)-MAX($V36,DATOS!$C$23*2/4))*PRESIONES!$C$20+(PRESIONES!$H$35-ABERTURAS!$L$61)*MAX(0,MIN($W36,DATOS!$C$23*4/4)-MAX($V36,DATOS!$C$23*3/4))*PRESIONES!$C$21))</f>
        <v>0</v>
      </c>
      <c r="BB36" s="26">
        <f>IF($L36&lt;&gt;"OK",0,PRESIONES!$C$12*((PRESIONES!$K$32-ABERTURAS!$L$62)*MAX(0,MIN($W36,DATOS!$C$23*1/4)-MAX($V36,DATOS!$C$23*0/4))*PRESIONES!$C$18+(PRESIONES!$K$33-ABERTURAS!$L$62)*MAX(0,MIN($W36,DATOS!$C$23*2/4)-MAX($V36,DATOS!$C$23*1/4))*PRESIONES!$C$19+(PRESIONES!$K$34-ABERTURAS!$L$62)*MAX(0,MIN($W36,DATOS!$C$23*3/4)-MAX($V36,DATOS!$C$23*2/4))*PRESIONES!$C$20+(PRESIONES!$K$35-ABERTURAS!$L$62)*MAX(0,MIN($W36,DATOS!$C$23*4/4)-MAX($V36,DATOS!$C$23*3/4))*PRESIONES!$C$21))</f>
        <v>0</v>
      </c>
      <c r="BC36" s="26">
        <f>IF($L36&lt;&gt;"OK",0,PRESIONES!$C$12*((PRESIONES!$N$32-ABERTURAS!$L$63)*MAX(0,MIN($W36,DATOS!$C$23*1/4)-MAX($V36,DATOS!$C$23*0/4))*PRESIONES!$C$18+(PRESIONES!$N$33-ABERTURAS!$L$63)*MAX(0,MIN($W36,DATOS!$C$23*2/4)-MAX($V36,DATOS!$C$23*1/4))*PRESIONES!$C$19+(PRESIONES!$N$34-ABERTURAS!$L$63)*MAX(0,MIN($W36,DATOS!$C$23*3/4)-MAX($V36,DATOS!$C$23*2/4))*PRESIONES!$C$20+(PRESIONES!$N$35-ABERTURAS!$L$63)*MAX(0,MIN($W36,DATOS!$C$23*4/4)-MAX($V36,DATOS!$C$23*3/4))*PRESIONES!$C$21))</f>
        <v>0</v>
      </c>
      <c r="BD36" s="26">
        <f>IF($L36&lt;&gt;"OK",0,PRESIONES!$C$12*((PRESIONES!$E$32-ABERTURAS!$L$64)*MAX(0,MIN($W36,DATOS!$C$23*1/4)-MAX($V36,DATOS!$C$23*0/4))*PRESIONES!$C$18+(PRESIONES!$E$33-ABERTURAS!$L$64)*MAX(0,MIN($W36,DATOS!$C$23*2/4)-MAX($V36,DATOS!$C$23*1/4))*PRESIONES!$C$19+(PRESIONES!$E$34-ABERTURAS!$L$64)*MAX(0,MIN($W36,DATOS!$C$23*3/4)-MAX($V36,DATOS!$C$23*2/4))*PRESIONES!$C$20+(PRESIONES!$E$35-ABERTURAS!$L$64)*MAX(0,MIN($W36,DATOS!$C$23*4/4)-MAX($V36,DATOS!$C$23*3/4))*PRESIONES!$C$21))</f>
        <v>0</v>
      </c>
      <c r="BE36" s="26">
        <f>IF($L36&lt;&gt;"OK",0,PRESIONES!$C$12*((PRESIONES!$H$32-ABERTURAS!$L$65)*MAX(0,MIN($W36,DATOS!$C$23*1/4)-MAX($V36,DATOS!$C$23*0/4))*PRESIONES!$C$18+(PRESIONES!$H$33-ABERTURAS!$L$65)*MAX(0,MIN($W36,DATOS!$C$23*2/4)-MAX($V36,DATOS!$C$23*1/4))*PRESIONES!$C$19+(PRESIONES!$H$34-ABERTURAS!$L$65)*MAX(0,MIN($W36,DATOS!$C$23*3/4)-MAX($V36,DATOS!$C$23*2/4))*PRESIONES!$C$20+(PRESIONES!$H$35-ABERTURAS!$L$65)*MAX(0,MIN($W36,DATOS!$C$23*4/4)-MAX($V36,DATOS!$C$23*3/4))*PRESIONES!$C$21))</f>
        <v>0</v>
      </c>
      <c r="BF36" s="26">
        <f>IF($L36&lt;&gt;"OK",0,PRESIONES!$C$12*((PRESIONES!$K$32-ABERTURAS!$L$66)*MAX(0,MIN($W36,DATOS!$C$23*1/4)-MAX($V36,DATOS!$C$23*0/4))*PRESIONES!$C$18+(PRESIONES!$K$33-ABERTURAS!$L$66)*MAX(0,MIN($W36,DATOS!$C$23*2/4)-MAX($V36,DATOS!$C$23*1/4))*PRESIONES!$C$19+(PRESIONES!$K$34-ABERTURAS!$L$66)*MAX(0,MIN($W36,DATOS!$C$23*3/4)-MAX($V36,DATOS!$C$23*2/4))*PRESIONES!$C$20+(PRESIONES!$K$35-ABERTURAS!$L$66)*MAX(0,MIN($W36,DATOS!$C$23*4/4)-MAX($V36,DATOS!$C$23*3/4))*PRESIONES!$C$21))</f>
        <v>0</v>
      </c>
      <c r="BG36" s="26">
        <f>IF($L36&lt;&gt;"OK",0,PRESIONES!$C$12*((PRESIONES!$N$32-ABERTURAS!$L$67)*MAX(0,MIN($W36,DATOS!$C$23*1/4)-MAX($V36,DATOS!$C$23*0/4))*PRESIONES!$C$18+(PRESIONES!$N$33-ABERTURAS!$L$67)*MAX(0,MIN($W36,DATOS!$C$23*2/4)-MAX($V36,DATOS!$C$23*1/4))*PRESIONES!$C$19+(PRESIONES!$N$34-ABERTURAS!$L$67)*MAX(0,MIN($W36,DATOS!$C$23*3/4)-MAX($V36,DATOS!$C$23*2/4))*PRESIONES!$C$20+(PRESIONES!$N$35-ABERTURAS!$L$67)*MAX(0,MIN($W36,DATOS!$C$23*4/4)-MAX($V36,DATOS!$C$23*3/4))*PRESIONES!$C$21))</f>
        <v>0</v>
      </c>
    </row>
    <row r="37" spans="2:59" ht="15" customHeight="1" x14ac:dyDescent="0.3">
      <c r="B37" s="4"/>
      <c r="C37" s="15"/>
      <c r="D37" s="4"/>
      <c r="E37" s="15"/>
      <c r="F37" s="40"/>
      <c r="G37" s="40"/>
      <c r="H37" s="40"/>
      <c r="I37" s="40"/>
      <c r="J37" s="40"/>
      <c r="K37" s="40"/>
      <c r="L37" s="18" t="str">
        <f>IF($D37="","",IF($C37&lt;&gt;"TECHO","PON TECHO",IF(OR($F37="",$G37="",$H37="",$I37=""),"FALTAN a o b",IF($M37&lt;=0,"a₂ DEBE SER &gt; a₁",IF($N37&lt;=0,"b₂ DEBE SER &gt; b₁",IF(OR($V37&lt;-0.001,$W37&gt;DATOS!$C$23+0.001),"SE SALE DEL TECHO","OK"))))))</f>
        <v/>
      </c>
      <c r="M37" s="26">
        <f t="shared" si="0"/>
        <v>0</v>
      </c>
      <c r="N37" s="26">
        <f t="shared" si="1"/>
        <v>0</v>
      </c>
      <c r="O37" s="26">
        <f t="shared" si="2"/>
        <v>0</v>
      </c>
      <c r="P37" s="26">
        <v>0</v>
      </c>
      <c r="Q37" s="26">
        <v>0</v>
      </c>
      <c r="R37" s="26">
        <f t="shared" si="3"/>
        <v>0</v>
      </c>
      <c r="S37" s="26">
        <f t="shared" si="3"/>
        <v>0</v>
      </c>
      <c r="T37" s="41">
        <f>IF($D37="",0,DATOS!$C$21)</f>
        <v>0</v>
      </c>
      <c r="U37" s="41">
        <v>0</v>
      </c>
      <c r="V37" s="41">
        <f t="shared" si="4"/>
        <v>0</v>
      </c>
      <c r="W37" s="41">
        <f t="shared" si="5"/>
        <v>0</v>
      </c>
      <c r="AB37" s="26">
        <f>IF($L37&lt;&gt;"OK",0,PRESIONES!$C$12*((PRESIONES!$D$32-ABERTURAS!$L$60)*MAX(0,MIN($W37,DATOS!$C$23*1/4)-MAX($V37,DATOS!$C$23*0/4))+(PRESIONES!$D$33-ABERTURAS!$L$60)*MAX(0,MIN($W37,DATOS!$C$23*2/4)-MAX($V37,DATOS!$C$23*1/4))+(PRESIONES!$D$34-ABERTURAS!$L$60)*MAX(0,MIN($W37,DATOS!$C$23*3/4)-MAX($V37,DATOS!$C$23*2/4))+(PRESIONES!$D$35-ABERTURAS!$L$60)*MAX(0,MIN($W37,DATOS!$C$23*4/4)-MAX($V37,DATOS!$C$23*3/4))))</f>
        <v>0</v>
      </c>
      <c r="AC37" s="26">
        <f>IF($L37&lt;&gt;"OK",0,PRESIONES!$C$12*((PRESIONES!$G$32-ABERTURAS!$L$61)*MAX(0,MIN($W37,DATOS!$C$23*1/4)-MAX($V37,DATOS!$C$23*0/4))+(PRESIONES!$G$33-ABERTURAS!$L$61)*MAX(0,MIN($W37,DATOS!$C$23*2/4)-MAX($V37,DATOS!$C$23*1/4))+(PRESIONES!$G$34-ABERTURAS!$L$61)*MAX(0,MIN($W37,DATOS!$C$23*3/4)-MAX($V37,DATOS!$C$23*2/4))+(PRESIONES!$G$35-ABERTURAS!$L$61)*MAX(0,MIN($W37,DATOS!$C$23*4/4)-MAX($V37,DATOS!$C$23*3/4))))</f>
        <v>0</v>
      </c>
      <c r="AD37" s="26">
        <f>IF($L37&lt;&gt;"OK",0,PRESIONES!$C$12*((PRESIONES!$J$32-ABERTURAS!$L$62)*MAX(0,MIN($W37,DATOS!$C$23*1/4)-MAX($V37,DATOS!$C$23*0/4))+(PRESIONES!$J$33-ABERTURAS!$L$62)*MAX(0,MIN($W37,DATOS!$C$23*2/4)-MAX($V37,DATOS!$C$23*1/4))+(PRESIONES!$J$34-ABERTURAS!$L$62)*MAX(0,MIN($W37,DATOS!$C$23*3/4)-MAX($V37,DATOS!$C$23*2/4))+(PRESIONES!$J$35-ABERTURAS!$L$62)*MAX(0,MIN($W37,DATOS!$C$23*4/4)-MAX($V37,DATOS!$C$23*3/4))))</f>
        <v>0</v>
      </c>
      <c r="AE37" s="26">
        <f>IF($L37&lt;&gt;"OK",0,PRESIONES!$C$12*((PRESIONES!$M$32-ABERTURAS!$L$63)*MAX(0,MIN($W37,DATOS!$C$23*1/4)-MAX($V37,DATOS!$C$23*0/4))+(PRESIONES!$M$33-ABERTURAS!$L$63)*MAX(0,MIN($W37,DATOS!$C$23*2/4)-MAX($V37,DATOS!$C$23*1/4))+(PRESIONES!$M$34-ABERTURAS!$L$63)*MAX(0,MIN($W37,DATOS!$C$23*3/4)-MAX($V37,DATOS!$C$23*2/4))+(PRESIONES!$M$35-ABERTURAS!$L$63)*MAX(0,MIN($W37,DATOS!$C$23*4/4)-MAX($V37,DATOS!$C$23*3/4))))</f>
        <v>0</v>
      </c>
      <c r="AF37" s="26">
        <f>IF($L37&lt;&gt;"OK",0,PRESIONES!$C$12*((PRESIONES!$D$32-ABERTURAS!$L$64)*MAX(0,MIN($W37,DATOS!$C$23*1/4)-MAX($V37,DATOS!$C$23*0/4))+(PRESIONES!$D$33-ABERTURAS!$L$64)*MAX(0,MIN($W37,DATOS!$C$23*2/4)-MAX($V37,DATOS!$C$23*1/4))+(PRESIONES!$D$34-ABERTURAS!$L$64)*MAX(0,MIN($W37,DATOS!$C$23*3/4)-MAX($V37,DATOS!$C$23*2/4))+(PRESIONES!$D$35-ABERTURAS!$L$64)*MAX(0,MIN($W37,DATOS!$C$23*4/4)-MAX($V37,DATOS!$C$23*3/4))))</f>
        <v>0</v>
      </c>
      <c r="AG37" s="26">
        <f>IF($L37&lt;&gt;"OK",0,PRESIONES!$C$12*((PRESIONES!$G$32-ABERTURAS!$L$65)*MAX(0,MIN($W37,DATOS!$C$23*1/4)-MAX($V37,DATOS!$C$23*0/4))+(PRESIONES!$G$33-ABERTURAS!$L$65)*MAX(0,MIN($W37,DATOS!$C$23*2/4)-MAX($V37,DATOS!$C$23*1/4))+(PRESIONES!$G$34-ABERTURAS!$L$65)*MAX(0,MIN($W37,DATOS!$C$23*3/4)-MAX($V37,DATOS!$C$23*2/4))+(PRESIONES!$G$35-ABERTURAS!$L$65)*MAX(0,MIN($W37,DATOS!$C$23*4/4)-MAX($V37,DATOS!$C$23*3/4))))</f>
        <v>0</v>
      </c>
      <c r="AH37" s="26">
        <f>IF($L37&lt;&gt;"OK",0,PRESIONES!$C$12*((PRESIONES!$J$32-ABERTURAS!$L$66)*MAX(0,MIN($W37,DATOS!$C$23*1/4)-MAX($V37,DATOS!$C$23*0/4))+(PRESIONES!$J$33-ABERTURAS!$L$66)*MAX(0,MIN($W37,DATOS!$C$23*2/4)-MAX($V37,DATOS!$C$23*1/4))+(PRESIONES!$J$34-ABERTURAS!$L$66)*MAX(0,MIN($W37,DATOS!$C$23*3/4)-MAX($V37,DATOS!$C$23*2/4))+(PRESIONES!$J$35-ABERTURAS!$L$66)*MAX(0,MIN($W37,DATOS!$C$23*4/4)-MAX($V37,DATOS!$C$23*3/4))))</f>
        <v>0</v>
      </c>
      <c r="AI37" s="26">
        <f>IF($L37&lt;&gt;"OK",0,PRESIONES!$C$12*((PRESIONES!$M$32-ABERTURAS!$L$67)*MAX(0,MIN($W37,DATOS!$C$23*1/4)-MAX($V37,DATOS!$C$23*0/4))+(PRESIONES!$M$33-ABERTURAS!$L$67)*MAX(0,MIN($W37,DATOS!$C$23*2/4)-MAX($V37,DATOS!$C$23*1/4))+(PRESIONES!$M$34-ABERTURAS!$L$67)*MAX(0,MIN($W37,DATOS!$C$23*3/4)-MAX($V37,DATOS!$C$23*2/4))+(PRESIONES!$M$35-ABERTURAS!$L$67)*MAX(0,MIN($W37,DATOS!$C$23*4/4)-MAX($V37,DATOS!$C$23*3/4))))</f>
        <v>0</v>
      </c>
      <c r="AJ37" s="26">
        <f>IF($L37&lt;&gt;"OK",0,PRESIONES!$C$12*((PRESIONES!$D$32-ABERTURAS!$L$60)*MAX(0,MIN($W37,DATOS!$C$23*1/4)-MAX($V37,DATOS!$C$23*0/4))*PRESIONES!$C$18+(PRESIONES!$D$33-ABERTURAS!$L$60)*MAX(0,MIN($W37,DATOS!$C$23*2/4)-MAX($V37,DATOS!$C$23*1/4))*PRESIONES!$C$19+(PRESIONES!$D$34-ABERTURAS!$L$60)*MAX(0,MIN($W37,DATOS!$C$23*3/4)-MAX($V37,DATOS!$C$23*2/4))*PRESIONES!$C$20+(PRESIONES!$D$35-ABERTURAS!$L$60)*MAX(0,MIN($W37,DATOS!$C$23*4/4)-MAX($V37,DATOS!$C$23*3/4))*PRESIONES!$C$21))</f>
        <v>0</v>
      </c>
      <c r="AK37" s="26">
        <f>IF($L37&lt;&gt;"OK",0,PRESIONES!$C$12*((PRESIONES!$G$32-ABERTURAS!$L$61)*MAX(0,MIN($W37,DATOS!$C$23*1/4)-MAX($V37,DATOS!$C$23*0/4))*PRESIONES!$C$18+(PRESIONES!$G$33-ABERTURAS!$L$61)*MAX(0,MIN($W37,DATOS!$C$23*2/4)-MAX($V37,DATOS!$C$23*1/4))*PRESIONES!$C$19+(PRESIONES!$G$34-ABERTURAS!$L$61)*MAX(0,MIN($W37,DATOS!$C$23*3/4)-MAX($V37,DATOS!$C$23*2/4))*PRESIONES!$C$20+(PRESIONES!$G$35-ABERTURAS!$L$61)*MAX(0,MIN($W37,DATOS!$C$23*4/4)-MAX($V37,DATOS!$C$23*3/4))*PRESIONES!$C$21))</f>
        <v>0</v>
      </c>
      <c r="AL37" s="26">
        <f>IF($L37&lt;&gt;"OK",0,PRESIONES!$C$12*((PRESIONES!$J$32-ABERTURAS!$L$62)*MAX(0,MIN($W37,DATOS!$C$23*1/4)-MAX($V37,DATOS!$C$23*0/4))*PRESIONES!$C$18+(PRESIONES!$J$33-ABERTURAS!$L$62)*MAX(0,MIN($W37,DATOS!$C$23*2/4)-MAX($V37,DATOS!$C$23*1/4))*PRESIONES!$C$19+(PRESIONES!$J$34-ABERTURAS!$L$62)*MAX(0,MIN($W37,DATOS!$C$23*3/4)-MAX($V37,DATOS!$C$23*2/4))*PRESIONES!$C$20+(PRESIONES!$J$35-ABERTURAS!$L$62)*MAX(0,MIN($W37,DATOS!$C$23*4/4)-MAX($V37,DATOS!$C$23*3/4))*PRESIONES!$C$21))</f>
        <v>0</v>
      </c>
      <c r="AM37" s="26">
        <f>IF($L37&lt;&gt;"OK",0,PRESIONES!$C$12*((PRESIONES!$M$32-ABERTURAS!$L$63)*MAX(0,MIN($W37,DATOS!$C$23*1/4)-MAX($V37,DATOS!$C$23*0/4))*PRESIONES!$C$18+(PRESIONES!$M$33-ABERTURAS!$L$63)*MAX(0,MIN($W37,DATOS!$C$23*2/4)-MAX($V37,DATOS!$C$23*1/4))*PRESIONES!$C$19+(PRESIONES!$M$34-ABERTURAS!$L$63)*MAX(0,MIN($W37,DATOS!$C$23*3/4)-MAX($V37,DATOS!$C$23*2/4))*PRESIONES!$C$20+(PRESIONES!$M$35-ABERTURAS!$L$63)*MAX(0,MIN($W37,DATOS!$C$23*4/4)-MAX($V37,DATOS!$C$23*3/4))*PRESIONES!$C$21))</f>
        <v>0</v>
      </c>
      <c r="AN37" s="26">
        <f>IF($L37&lt;&gt;"OK",0,PRESIONES!$C$12*((PRESIONES!$D$32-ABERTURAS!$L$64)*MAX(0,MIN($W37,DATOS!$C$23*1/4)-MAX($V37,DATOS!$C$23*0/4))*PRESIONES!$C$18+(PRESIONES!$D$33-ABERTURAS!$L$64)*MAX(0,MIN($W37,DATOS!$C$23*2/4)-MAX($V37,DATOS!$C$23*1/4))*PRESIONES!$C$19+(PRESIONES!$D$34-ABERTURAS!$L$64)*MAX(0,MIN($W37,DATOS!$C$23*3/4)-MAX($V37,DATOS!$C$23*2/4))*PRESIONES!$C$20+(PRESIONES!$D$35-ABERTURAS!$L$64)*MAX(0,MIN($W37,DATOS!$C$23*4/4)-MAX($V37,DATOS!$C$23*3/4))*PRESIONES!$C$21))</f>
        <v>0</v>
      </c>
      <c r="AO37" s="26">
        <f>IF($L37&lt;&gt;"OK",0,PRESIONES!$C$12*((PRESIONES!$G$32-ABERTURAS!$L$65)*MAX(0,MIN($W37,DATOS!$C$23*1/4)-MAX($V37,DATOS!$C$23*0/4))*PRESIONES!$C$18+(PRESIONES!$G$33-ABERTURAS!$L$65)*MAX(0,MIN($W37,DATOS!$C$23*2/4)-MAX($V37,DATOS!$C$23*1/4))*PRESIONES!$C$19+(PRESIONES!$G$34-ABERTURAS!$L$65)*MAX(0,MIN($W37,DATOS!$C$23*3/4)-MAX($V37,DATOS!$C$23*2/4))*PRESIONES!$C$20+(PRESIONES!$G$35-ABERTURAS!$L$65)*MAX(0,MIN($W37,DATOS!$C$23*4/4)-MAX($V37,DATOS!$C$23*3/4))*PRESIONES!$C$21))</f>
        <v>0</v>
      </c>
      <c r="AP37" s="26">
        <f>IF($L37&lt;&gt;"OK",0,PRESIONES!$C$12*((PRESIONES!$J$32-ABERTURAS!$L$66)*MAX(0,MIN($W37,DATOS!$C$23*1/4)-MAX($V37,DATOS!$C$23*0/4))*PRESIONES!$C$18+(PRESIONES!$J$33-ABERTURAS!$L$66)*MAX(0,MIN($W37,DATOS!$C$23*2/4)-MAX($V37,DATOS!$C$23*1/4))*PRESIONES!$C$19+(PRESIONES!$J$34-ABERTURAS!$L$66)*MAX(0,MIN($W37,DATOS!$C$23*3/4)-MAX($V37,DATOS!$C$23*2/4))*PRESIONES!$C$20+(PRESIONES!$J$35-ABERTURAS!$L$66)*MAX(0,MIN($W37,DATOS!$C$23*4/4)-MAX($V37,DATOS!$C$23*3/4))*PRESIONES!$C$21))</f>
        <v>0</v>
      </c>
      <c r="AQ37" s="26">
        <f>IF($L37&lt;&gt;"OK",0,PRESIONES!$C$12*((PRESIONES!$M$32-ABERTURAS!$L$67)*MAX(0,MIN($W37,DATOS!$C$23*1/4)-MAX($V37,DATOS!$C$23*0/4))*PRESIONES!$C$18+(PRESIONES!$M$33-ABERTURAS!$L$67)*MAX(0,MIN($W37,DATOS!$C$23*2/4)-MAX($V37,DATOS!$C$23*1/4))*PRESIONES!$C$19+(PRESIONES!$M$34-ABERTURAS!$L$67)*MAX(0,MIN($W37,DATOS!$C$23*3/4)-MAX($V37,DATOS!$C$23*2/4))*PRESIONES!$C$20+(PRESIONES!$M$35-ABERTURAS!$L$67)*MAX(0,MIN($W37,DATOS!$C$23*4/4)-MAX($V37,DATOS!$C$23*3/4))*PRESIONES!$C$21))</f>
        <v>0</v>
      </c>
      <c r="AR37" s="26">
        <f>IF($L37&lt;&gt;"OK",0,PRESIONES!$C$12*((PRESIONES!$E$32-ABERTURAS!$L$60)*MAX(0,MIN($W37,DATOS!$C$23*1/4)-MAX($V37,DATOS!$C$23*0/4))+(PRESIONES!$E$33-ABERTURAS!$L$60)*MAX(0,MIN($W37,DATOS!$C$23*2/4)-MAX($V37,DATOS!$C$23*1/4))+(PRESIONES!$E$34-ABERTURAS!$L$60)*MAX(0,MIN($W37,DATOS!$C$23*3/4)-MAX($V37,DATOS!$C$23*2/4))+(PRESIONES!$E$35-ABERTURAS!$L$60)*MAX(0,MIN($W37,DATOS!$C$23*4/4)-MAX($V37,DATOS!$C$23*3/4))))</f>
        <v>0</v>
      </c>
      <c r="AS37" s="26">
        <f>IF($L37&lt;&gt;"OK",0,PRESIONES!$C$12*((PRESIONES!$H$32-ABERTURAS!$L$61)*MAX(0,MIN($W37,DATOS!$C$23*1/4)-MAX($V37,DATOS!$C$23*0/4))+(PRESIONES!$H$33-ABERTURAS!$L$61)*MAX(0,MIN($W37,DATOS!$C$23*2/4)-MAX($V37,DATOS!$C$23*1/4))+(PRESIONES!$H$34-ABERTURAS!$L$61)*MAX(0,MIN($W37,DATOS!$C$23*3/4)-MAX($V37,DATOS!$C$23*2/4))+(PRESIONES!$H$35-ABERTURAS!$L$61)*MAX(0,MIN($W37,DATOS!$C$23*4/4)-MAX($V37,DATOS!$C$23*3/4))))</f>
        <v>0</v>
      </c>
      <c r="AT37" s="26">
        <f>IF($L37&lt;&gt;"OK",0,PRESIONES!$C$12*((PRESIONES!$K$32-ABERTURAS!$L$62)*MAX(0,MIN($W37,DATOS!$C$23*1/4)-MAX($V37,DATOS!$C$23*0/4))+(PRESIONES!$K$33-ABERTURAS!$L$62)*MAX(0,MIN($W37,DATOS!$C$23*2/4)-MAX($V37,DATOS!$C$23*1/4))+(PRESIONES!$K$34-ABERTURAS!$L$62)*MAX(0,MIN($W37,DATOS!$C$23*3/4)-MAX($V37,DATOS!$C$23*2/4))+(PRESIONES!$K$35-ABERTURAS!$L$62)*MAX(0,MIN($W37,DATOS!$C$23*4/4)-MAX($V37,DATOS!$C$23*3/4))))</f>
        <v>0</v>
      </c>
      <c r="AU37" s="26">
        <f>IF($L37&lt;&gt;"OK",0,PRESIONES!$C$12*((PRESIONES!$N$32-ABERTURAS!$L$63)*MAX(0,MIN($W37,DATOS!$C$23*1/4)-MAX($V37,DATOS!$C$23*0/4))+(PRESIONES!$N$33-ABERTURAS!$L$63)*MAX(0,MIN($W37,DATOS!$C$23*2/4)-MAX($V37,DATOS!$C$23*1/4))+(PRESIONES!$N$34-ABERTURAS!$L$63)*MAX(0,MIN($W37,DATOS!$C$23*3/4)-MAX($V37,DATOS!$C$23*2/4))+(PRESIONES!$N$35-ABERTURAS!$L$63)*MAX(0,MIN($W37,DATOS!$C$23*4/4)-MAX($V37,DATOS!$C$23*3/4))))</f>
        <v>0</v>
      </c>
      <c r="AV37" s="26">
        <f>IF($L37&lt;&gt;"OK",0,PRESIONES!$C$12*((PRESIONES!$E$32-ABERTURAS!$L$64)*MAX(0,MIN($W37,DATOS!$C$23*1/4)-MAX($V37,DATOS!$C$23*0/4))+(PRESIONES!$E$33-ABERTURAS!$L$64)*MAX(0,MIN($W37,DATOS!$C$23*2/4)-MAX($V37,DATOS!$C$23*1/4))+(PRESIONES!$E$34-ABERTURAS!$L$64)*MAX(0,MIN($W37,DATOS!$C$23*3/4)-MAX($V37,DATOS!$C$23*2/4))+(PRESIONES!$E$35-ABERTURAS!$L$64)*MAX(0,MIN($W37,DATOS!$C$23*4/4)-MAX($V37,DATOS!$C$23*3/4))))</f>
        <v>0</v>
      </c>
      <c r="AW37" s="26">
        <f>IF($L37&lt;&gt;"OK",0,PRESIONES!$C$12*((PRESIONES!$H$32-ABERTURAS!$L$65)*MAX(0,MIN($W37,DATOS!$C$23*1/4)-MAX($V37,DATOS!$C$23*0/4))+(PRESIONES!$H$33-ABERTURAS!$L$65)*MAX(0,MIN($W37,DATOS!$C$23*2/4)-MAX($V37,DATOS!$C$23*1/4))+(PRESIONES!$H$34-ABERTURAS!$L$65)*MAX(0,MIN($W37,DATOS!$C$23*3/4)-MAX($V37,DATOS!$C$23*2/4))+(PRESIONES!$H$35-ABERTURAS!$L$65)*MAX(0,MIN($W37,DATOS!$C$23*4/4)-MAX($V37,DATOS!$C$23*3/4))))</f>
        <v>0</v>
      </c>
      <c r="AX37" s="26">
        <f>IF($L37&lt;&gt;"OK",0,PRESIONES!$C$12*((PRESIONES!$K$32-ABERTURAS!$L$66)*MAX(0,MIN($W37,DATOS!$C$23*1/4)-MAX($V37,DATOS!$C$23*0/4))+(PRESIONES!$K$33-ABERTURAS!$L$66)*MAX(0,MIN($W37,DATOS!$C$23*2/4)-MAX($V37,DATOS!$C$23*1/4))+(PRESIONES!$K$34-ABERTURAS!$L$66)*MAX(0,MIN($W37,DATOS!$C$23*3/4)-MAX($V37,DATOS!$C$23*2/4))+(PRESIONES!$K$35-ABERTURAS!$L$66)*MAX(0,MIN($W37,DATOS!$C$23*4/4)-MAX($V37,DATOS!$C$23*3/4))))</f>
        <v>0</v>
      </c>
      <c r="AY37" s="26">
        <f>IF($L37&lt;&gt;"OK",0,PRESIONES!$C$12*((PRESIONES!$N$32-ABERTURAS!$L$67)*MAX(0,MIN($W37,DATOS!$C$23*1/4)-MAX($V37,DATOS!$C$23*0/4))+(PRESIONES!$N$33-ABERTURAS!$L$67)*MAX(0,MIN($W37,DATOS!$C$23*2/4)-MAX($V37,DATOS!$C$23*1/4))+(PRESIONES!$N$34-ABERTURAS!$L$67)*MAX(0,MIN($W37,DATOS!$C$23*3/4)-MAX($V37,DATOS!$C$23*2/4))+(PRESIONES!$N$35-ABERTURAS!$L$67)*MAX(0,MIN($W37,DATOS!$C$23*4/4)-MAX($V37,DATOS!$C$23*3/4))))</f>
        <v>0</v>
      </c>
      <c r="AZ37" s="26">
        <f>IF($L37&lt;&gt;"OK",0,PRESIONES!$C$12*((PRESIONES!$E$32-ABERTURAS!$L$60)*MAX(0,MIN($W37,DATOS!$C$23*1/4)-MAX($V37,DATOS!$C$23*0/4))*PRESIONES!$C$18+(PRESIONES!$E$33-ABERTURAS!$L$60)*MAX(0,MIN($W37,DATOS!$C$23*2/4)-MAX($V37,DATOS!$C$23*1/4))*PRESIONES!$C$19+(PRESIONES!$E$34-ABERTURAS!$L$60)*MAX(0,MIN($W37,DATOS!$C$23*3/4)-MAX($V37,DATOS!$C$23*2/4))*PRESIONES!$C$20+(PRESIONES!$E$35-ABERTURAS!$L$60)*MAX(0,MIN($W37,DATOS!$C$23*4/4)-MAX($V37,DATOS!$C$23*3/4))*PRESIONES!$C$21))</f>
        <v>0</v>
      </c>
      <c r="BA37" s="26">
        <f>IF($L37&lt;&gt;"OK",0,PRESIONES!$C$12*((PRESIONES!$H$32-ABERTURAS!$L$61)*MAX(0,MIN($W37,DATOS!$C$23*1/4)-MAX($V37,DATOS!$C$23*0/4))*PRESIONES!$C$18+(PRESIONES!$H$33-ABERTURAS!$L$61)*MAX(0,MIN($W37,DATOS!$C$23*2/4)-MAX($V37,DATOS!$C$23*1/4))*PRESIONES!$C$19+(PRESIONES!$H$34-ABERTURAS!$L$61)*MAX(0,MIN($W37,DATOS!$C$23*3/4)-MAX($V37,DATOS!$C$23*2/4))*PRESIONES!$C$20+(PRESIONES!$H$35-ABERTURAS!$L$61)*MAX(0,MIN($W37,DATOS!$C$23*4/4)-MAX($V37,DATOS!$C$23*3/4))*PRESIONES!$C$21))</f>
        <v>0</v>
      </c>
      <c r="BB37" s="26">
        <f>IF($L37&lt;&gt;"OK",0,PRESIONES!$C$12*((PRESIONES!$K$32-ABERTURAS!$L$62)*MAX(0,MIN($W37,DATOS!$C$23*1/4)-MAX($V37,DATOS!$C$23*0/4))*PRESIONES!$C$18+(PRESIONES!$K$33-ABERTURAS!$L$62)*MAX(0,MIN($W37,DATOS!$C$23*2/4)-MAX($V37,DATOS!$C$23*1/4))*PRESIONES!$C$19+(PRESIONES!$K$34-ABERTURAS!$L$62)*MAX(0,MIN($W37,DATOS!$C$23*3/4)-MAX($V37,DATOS!$C$23*2/4))*PRESIONES!$C$20+(PRESIONES!$K$35-ABERTURAS!$L$62)*MAX(0,MIN($W37,DATOS!$C$23*4/4)-MAX($V37,DATOS!$C$23*3/4))*PRESIONES!$C$21))</f>
        <v>0</v>
      </c>
      <c r="BC37" s="26">
        <f>IF($L37&lt;&gt;"OK",0,PRESIONES!$C$12*((PRESIONES!$N$32-ABERTURAS!$L$63)*MAX(0,MIN($W37,DATOS!$C$23*1/4)-MAX($V37,DATOS!$C$23*0/4))*PRESIONES!$C$18+(PRESIONES!$N$33-ABERTURAS!$L$63)*MAX(0,MIN($W37,DATOS!$C$23*2/4)-MAX($V37,DATOS!$C$23*1/4))*PRESIONES!$C$19+(PRESIONES!$N$34-ABERTURAS!$L$63)*MAX(0,MIN($W37,DATOS!$C$23*3/4)-MAX($V37,DATOS!$C$23*2/4))*PRESIONES!$C$20+(PRESIONES!$N$35-ABERTURAS!$L$63)*MAX(0,MIN($W37,DATOS!$C$23*4/4)-MAX($V37,DATOS!$C$23*3/4))*PRESIONES!$C$21))</f>
        <v>0</v>
      </c>
      <c r="BD37" s="26">
        <f>IF($L37&lt;&gt;"OK",0,PRESIONES!$C$12*((PRESIONES!$E$32-ABERTURAS!$L$64)*MAX(0,MIN($W37,DATOS!$C$23*1/4)-MAX($V37,DATOS!$C$23*0/4))*PRESIONES!$C$18+(PRESIONES!$E$33-ABERTURAS!$L$64)*MAX(0,MIN($W37,DATOS!$C$23*2/4)-MAX($V37,DATOS!$C$23*1/4))*PRESIONES!$C$19+(PRESIONES!$E$34-ABERTURAS!$L$64)*MAX(0,MIN($W37,DATOS!$C$23*3/4)-MAX($V37,DATOS!$C$23*2/4))*PRESIONES!$C$20+(PRESIONES!$E$35-ABERTURAS!$L$64)*MAX(0,MIN($W37,DATOS!$C$23*4/4)-MAX($V37,DATOS!$C$23*3/4))*PRESIONES!$C$21))</f>
        <v>0</v>
      </c>
      <c r="BE37" s="26">
        <f>IF($L37&lt;&gt;"OK",0,PRESIONES!$C$12*((PRESIONES!$H$32-ABERTURAS!$L$65)*MAX(0,MIN($W37,DATOS!$C$23*1/4)-MAX($V37,DATOS!$C$23*0/4))*PRESIONES!$C$18+(PRESIONES!$H$33-ABERTURAS!$L$65)*MAX(0,MIN($W37,DATOS!$C$23*2/4)-MAX($V37,DATOS!$C$23*1/4))*PRESIONES!$C$19+(PRESIONES!$H$34-ABERTURAS!$L$65)*MAX(0,MIN($W37,DATOS!$C$23*3/4)-MAX($V37,DATOS!$C$23*2/4))*PRESIONES!$C$20+(PRESIONES!$H$35-ABERTURAS!$L$65)*MAX(0,MIN($W37,DATOS!$C$23*4/4)-MAX($V37,DATOS!$C$23*3/4))*PRESIONES!$C$21))</f>
        <v>0</v>
      </c>
      <c r="BF37" s="26">
        <f>IF($L37&lt;&gt;"OK",0,PRESIONES!$C$12*((PRESIONES!$K$32-ABERTURAS!$L$66)*MAX(0,MIN($W37,DATOS!$C$23*1/4)-MAX($V37,DATOS!$C$23*0/4))*PRESIONES!$C$18+(PRESIONES!$K$33-ABERTURAS!$L$66)*MAX(0,MIN($W37,DATOS!$C$23*2/4)-MAX($V37,DATOS!$C$23*1/4))*PRESIONES!$C$19+(PRESIONES!$K$34-ABERTURAS!$L$66)*MAX(0,MIN($W37,DATOS!$C$23*3/4)-MAX($V37,DATOS!$C$23*2/4))*PRESIONES!$C$20+(PRESIONES!$K$35-ABERTURAS!$L$66)*MAX(0,MIN($W37,DATOS!$C$23*4/4)-MAX($V37,DATOS!$C$23*3/4))*PRESIONES!$C$21))</f>
        <v>0</v>
      </c>
      <c r="BG37" s="26">
        <f>IF($L37&lt;&gt;"OK",0,PRESIONES!$C$12*((PRESIONES!$N$32-ABERTURAS!$L$67)*MAX(0,MIN($W37,DATOS!$C$23*1/4)-MAX($V37,DATOS!$C$23*0/4))*PRESIONES!$C$18+(PRESIONES!$N$33-ABERTURAS!$L$67)*MAX(0,MIN($W37,DATOS!$C$23*2/4)-MAX($V37,DATOS!$C$23*1/4))*PRESIONES!$C$19+(PRESIONES!$N$34-ABERTURAS!$L$67)*MAX(0,MIN($W37,DATOS!$C$23*3/4)-MAX($V37,DATOS!$C$23*2/4))*PRESIONES!$C$20+(PRESIONES!$N$35-ABERTURAS!$L$67)*MAX(0,MIN($W37,DATOS!$C$23*4/4)-MAX($V37,DATOS!$C$23*3/4))*PRESIONES!$C$21))</f>
        <v>0</v>
      </c>
    </row>
    <row r="38" spans="2:59" ht="15" customHeight="1" x14ac:dyDescent="0.3">
      <c r="B38" s="4"/>
      <c r="C38" s="15"/>
      <c r="D38" s="4"/>
      <c r="E38" s="15"/>
      <c r="F38" s="40"/>
      <c r="G38" s="40"/>
      <c r="H38" s="40"/>
      <c r="I38" s="40"/>
      <c r="J38" s="40"/>
      <c r="K38" s="40"/>
      <c r="L38" s="18" t="str">
        <f>IF($D38="","",IF($C38&lt;&gt;"TECHO","PON TECHO",IF(OR($F38="",$G38="",$H38="",$I38=""),"FALTAN a o b",IF($M38&lt;=0,"a₂ DEBE SER &gt; a₁",IF($N38&lt;=0,"b₂ DEBE SER &gt; b₁",IF(OR($V38&lt;-0.001,$W38&gt;DATOS!$C$23+0.001),"SE SALE DEL TECHO","OK"))))))</f>
        <v/>
      </c>
      <c r="M38" s="26">
        <f t="shared" si="0"/>
        <v>0</v>
      </c>
      <c r="N38" s="26">
        <f t="shared" si="1"/>
        <v>0</v>
      </c>
      <c r="O38" s="26">
        <f t="shared" si="2"/>
        <v>0</v>
      </c>
      <c r="P38" s="26">
        <v>0</v>
      </c>
      <c r="Q38" s="26">
        <v>0</v>
      </c>
      <c r="R38" s="26">
        <f t="shared" si="3"/>
        <v>0</v>
      </c>
      <c r="S38" s="26">
        <f t="shared" si="3"/>
        <v>0</v>
      </c>
      <c r="T38" s="41">
        <f>IF($D38="",0,DATOS!$C$21)</f>
        <v>0</v>
      </c>
      <c r="U38" s="41">
        <v>0</v>
      </c>
      <c r="V38" s="41">
        <f t="shared" si="4"/>
        <v>0</v>
      </c>
      <c r="W38" s="41">
        <f t="shared" si="5"/>
        <v>0</v>
      </c>
      <c r="AB38" s="26">
        <f>IF($L38&lt;&gt;"OK",0,PRESIONES!$C$12*((PRESIONES!$D$32-ABERTURAS!$L$60)*MAX(0,MIN($W38,DATOS!$C$23*1/4)-MAX($V38,DATOS!$C$23*0/4))+(PRESIONES!$D$33-ABERTURAS!$L$60)*MAX(0,MIN($W38,DATOS!$C$23*2/4)-MAX($V38,DATOS!$C$23*1/4))+(PRESIONES!$D$34-ABERTURAS!$L$60)*MAX(0,MIN($W38,DATOS!$C$23*3/4)-MAX($V38,DATOS!$C$23*2/4))+(PRESIONES!$D$35-ABERTURAS!$L$60)*MAX(0,MIN($W38,DATOS!$C$23*4/4)-MAX($V38,DATOS!$C$23*3/4))))</f>
        <v>0</v>
      </c>
      <c r="AC38" s="26">
        <f>IF($L38&lt;&gt;"OK",0,PRESIONES!$C$12*((PRESIONES!$G$32-ABERTURAS!$L$61)*MAX(0,MIN($W38,DATOS!$C$23*1/4)-MAX($V38,DATOS!$C$23*0/4))+(PRESIONES!$G$33-ABERTURAS!$L$61)*MAX(0,MIN($W38,DATOS!$C$23*2/4)-MAX($V38,DATOS!$C$23*1/4))+(PRESIONES!$G$34-ABERTURAS!$L$61)*MAX(0,MIN($W38,DATOS!$C$23*3/4)-MAX($V38,DATOS!$C$23*2/4))+(PRESIONES!$G$35-ABERTURAS!$L$61)*MAX(0,MIN($W38,DATOS!$C$23*4/4)-MAX($V38,DATOS!$C$23*3/4))))</f>
        <v>0</v>
      </c>
      <c r="AD38" s="26">
        <f>IF($L38&lt;&gt;"OK",0,PRESIONES!$C$12*((PRESIONES!$J$32-ABERTURAS!$L$62)*MAX(0,MIN($W38,DATOS!$C$23*1/4)-MAX($V38,DATOS!$C$23*0/4))+(PRESIONES!$J$33-ABERTURAS!$L$62)*MAX(0,MIN($W38,DATOS!$C$23*2/4)-MAX($V38,DATOS!$C$23*1/4))+(PRESIONES!$J$34-ABERTURAS!$L$62)*MAX(0,MIN($W38,DATOS!$C$23*3/4)-MAX($V38,DATOS!$C$23*2/4))+(PRESIONES!$J$35-ABERTURAS!$L$62)*MAX(0,MIN($W38,DATOS!$C$23*4/4)-MAX($V38,DATOS!$C$23*3/4))))</f>
        <v>0</v>
      </c>
      <c r="AE38" s="26">
        <f>IF($L38&lt;&gt;"OK",0,PRESIONES!$C$12*((PRESIONES!$M$32-ABERTURAS!$L$63)*MAX(0,MIN($W38,DATOS!$C$23*1/4)-MAX($V38,DATOS!$C$23*0/4))+(PRESIONES!$M$33-ABERTURAS!$L$63)*MAX(0,MIN($W38,DATOS!$C$23*2/4)-MAX($V38,DATOS!$C$23*1/4))+(PRESIONES!$M$34-ABERTURAS!$L$63)*MAX(0,MIN($W38,DATOS!$C$23*3/4)-MAX($V38,DATOS!$C$23*2/4))+(PRESIONES!$M$35-ABERTURAS!$L$63)*MAX(0,MIN($W38,DATOS!$C$23*4/4)-MAX($V38,DATOS!$C$23*3/4))))</f>
        <v>0</v>
      </c>
      <c r="AF38" s="26">
        <f>IF($L38&lt;&gt;"OK",0,PRESIONES!$C$12*((PRESIONES!$D$32-ABERTURAS!$L$64)*MAX(0,MIN($W38,DATOS!$C$23*1/4)-MAX($V38,DATOS!$C$23*0/4))+(PRESIONES!$D$33-ABERTURAS!$L$64)*MAX(0,MIN($W38,DATOS!$C$23*2/4)-MAX($V38,DATOS!$C$23*1/4))+(PRESIONES!$D$34-ABERTURAS!$L$64)*MAX(0,MIN($W38,DATOS!$C$23*3/4)-MAX($V38,DATOS!$C$23*2/4))+(PRESIONES!$D$35-ABERTURAS!$L$64)*MAX(0,MIN($W38,DATOS!$C$23*4/4)-MAX($V38,DATOS!$C$23*3/4))))</f>
        <v>0</v>
      </c>
      <c r="AG38" s="26">
        <f>IF($L38&lt;&gt;"OK",0,PRESIONES!$C$12*((PRESIONES!$G$32-ABERTURAS!$L$65)*MAX(0,MIN($W38,DATOS!$C$23*1/4)-MAX($V38,DATOS!$C$23*0/4))+(PRESIONES!$G$33-ABERTURAS!$L$65)*MAX(0,MIN($W38,DATOS!$C$23*2/4)-MAX($V38,DATOS!$C$23*1/4))+(PRESIONES!$G$34-ABERTURAS!$L$65)*MAX(0,MIN($W38,DATOS!$C$23*3/4)-MAX($V38,DATOS!$C$23*2/4))+(PRESIONES!$G$35-ABERTURAS!$L$65)*MAX(0,MIN($W38,DATOS!$C$23*4/4)-MAX($V38,DATOS!$C$23*3/4))))</f>
        <v>0</v>
      </c>
      <c r="AH38" s="26">
        <f>IF($L38&lt;&gt;"OK",0,PRESIONES!$C$12*((PRESIONES!$J$32-ABERTURAS!$L$66)*MAX(0,MIN($W38,DATOS!$C$23*1/4)-MAX($V38,DATOS!$C$23*0/4))+(PRESIONES!$J$33-ABERTURAS!$L$66)*MAX(0,MIN($W38,DATOS!$C$23*2/4)-MAX($V38,DATOS!$C$23*1/4))+(PRESIONES!$J$34-ABERTURAS!$L$66)*MAX(0,MIN($W38,DATOS!$C$23*3/4)-MAX($V38,DATOS!$C$23*2/4))+(PRESIONES!$J$35-ABERTURAS!$L$66)*MAX(0,MIN($W38,DATOS!$C$23*4/4)-MAX($V38,DATOS!$C$23*3/4))))</f>
        <v>0</v>
      </c>
      <c r="AI38" s="26">
        <f>IF($L38&lt;&gt;"OK",0,PRESIONES!$C$12*((PRESIONES!$M$32-ABERTURAS!$L$67)*MAX(0,MIN($W38,DATOS!$C$23*1/4)-MAX($V38,DATOS!$C$23*0/4))+(PRESIONES!$M$33-ABERTURAS!$L$67)*MAX(0,MIN($W38,DATOS!$C$23*2/4)-MAX($V38,DATOS!$C$23*1/4))+(PRESIONES!$M$34-ABERTURAS!$L$67)*MAX(0,MIN($W38,DATOS!$C$23*3/4)-MAX($V38,DATOS!$C$23*2/4))+(PRESIONES!$M$35-ABERTURAS!$L$67)*MAX(0,MIN($W38,DATOS!$C$23*4/4)-MAX($V38,DATOS!$C$23*3/4))))</f>
        <v>0</v>
      </c>
      <c r="AJ38" s="26">
        <f>IF($L38&lt;&gt;"OK",0,PRESIONES!$C$12*((PRESIONES!$D$32-ABERTURAS!$L$60)*MAX(0,MIN($W38,DATOS!$C$23*1/4)-MAX($V38,DATOS!$C$23*0/4))*PRESIONES!$C$18+(PRESIONES!$D$33-ABERTURAS!$L$60)*MAX(0,MIN($W38,DATOS!$C$23*2/4)-MAX($V38,DATOS!$C$23*1/4))*PRESIONES!$C$19+(PRESIONES!$D$34-ABERTURAS!$L$60)*MAX(0,MIN($W38,DATOS!$C$23*3/4)-MAX($V38,DATOS!$C$23*2/4))*PRESIONES!$C$20+(PRESIONES!$D$35-ABERTURAS!$L$60)*MAX(0,MIN($W38,DATOS!$C$23*4/4)-MAX($V38,DATOS!$C$23*3/4))*PRESIONES!$C$21))</f>
        <v>0</v>
      </c>
      <c r="AK38" s="26">
        <f>IF($L38&lt;&gt;"OK",0,PRESIONES!$C$12*((PRESIONES!$G$32-ABERTURAS!$L$61)*MAX(0,MIN($W38,DATOS!$C$23*1/4)-MAX($V38,DATOS!$C$23*0/4))*PRESIONES!$C$18+(PRESIONES!$G$33-ABERTURAS!$L$61)*MAX(0,MIN($W38,DATOS!$C$23*2/4)-MAX($V38,DATOS!$C$23*1/4))*PRESIONES!$C$19+(PRESIONES!$G$34-ABERTURAS!$L$61)*MAX(0,MIN($W38,DATOS!$C$23*3/4)-MAX($V38,DATOS!$C$23*2/4))*PRESIONES!$C$20+(PRESIONES!$G$35-ABERTURAS!$L$61)*MAX(0,MIN($W38,DATOS!$C$23*4/4)-MAX($V38,DATOS!$C$23*3/4))*PRESIONES!$C$21))</f>
        <v>0</v>
      </c>
      <c r="AL38" s="26">
        <f>IF($L38&lt;&gt;"OK",0,PRESIONES!$C$12*((PRESIONES!$J$32-ABERTURAS!$L$62)*MAX(0,MIN($W38,DATOS!$C$23*1/4)-MAX($V38,DATOS!$C$23*0/4))*PRESIONES!$C$18+(PRESIONES!$J$33-ABERTURAS!$L$62)*MAX(0,MIN($W38,DATOS!$C$23*2/4)-MAX($V38,DATOS!$C$23*1/4))*PRESIONES!$C$19+(PRESIONES!$J$34-ABERTURAS!$L$62)*MAX(0,MIN($W38,DATOS!$C$23*3/4)-MAX($V38,DATOS!$C$23*2/4))*PRESIONES!$C$20+(PRESIONES!$J$35-ABERTURAS!$L$62)*MAX(0,MIN($W38,DATOS!$C$23*4/4)-MAX($V38,DATOS!$C$23*3/4))*PRESIONES!$C$21))</f>
        <v>0</v>
      </c>
      <c r="AM38" s="26">
        <f>IF($L38&lt;&gt;"OK",0,PRESIONES!$C$12*((PRESIONES!$M$32-ABERTURAS!$L$63)*MAX(0,MIN($W38,DATOS!$C$23*1/4)-MAX($V38,DATOS!$C$23*0/4))*PRESIONES!$C$18+(PRESIONES!$M$33-ABERTURAS!$L$63)*MAX(0,MIN($W38,DATOS!$C$23*2/4)-MAX($V38,DATOS!$C$23*1/4))*PRESIONES!$C$19+(PRESIONES!$M$34-ABERTURAS!$L$63)*MAX(0,MIN($W38,DATOS!$C$23*3/4)-MAX($V38,DATOS!$C$23*2/4))*PRESIONES!$C$20+(PRESIONES!$M$35-ABERTURAS!$L$63)*MAX(0,MIN($W38,DATOS!$C$23*4/4)-MAX($V38,DATOS!$C$23*3/4))*PRESIONES!$C$21))</f>
        <v>0</v>
      </c>
      <c r="AN38" s="26">
        <f>IF($L38&lt;&gt;"OK",0,PRESIONES!$C$12*((PRESIONES!$D$32-ABERTURAS!$L$64)*MAX(0,MIN($W38,DATOS!$C$23*1/4)-MAX($V38,DATOS!$C$23*0/4))*PRESIONES!$C$18+(PRESIONES!$D$33-ABERTURAS!$L$64)*MAX(0,MIN($W38,DATOS!$C$23*2/4)-MAX($V38,DATOS!$C$23*1/4))*PRESIONES!$C$19+(PRESIONES!$D$34-ABERTURAS!$L$64)*MAX(0,MIN($W38,DATOS!$C$23*3/4)-MAX($V38,DATOS!$C$23*2/4))*PRESIONES!$C$20+(PRESIONES!$D$35-ABERTURAS!$L$64)*MAX(0,MIN($W38,DATOS!$C$23*4/4)-MAX($V38,DATOS!$C$23*3/4))*PRESIONES!$C$21))</f>
        <v>0</v>
      </c>
      <c r="AO38" s="26">
        <f>IF($L38&lt;&gt;"OK",0,PRESIONES!$C$12*((PRESIONES!$G$32-ABERTURAS!$L$65)*MAX(0,MIN($W38,DATOS!$C$23*1/4)-MAX($V38,DATOS!$C$23*0/4))*PRESIONES!$C$18+(PRESIONES!$G$33-ABERTURAS!$L$65)*MAX(0,MIN($W38,DATOS!$C$23*2/4)-MAX($V38,DATOS!$C$23*1/4))*PRESIONES!$C$19+(PRESIONES!$G$34-ABERTURAS!$L$65)*MAX(0,MIN($W38,DATOS!$C$23*3/4)-MAX($V38,DATOS!$C$23*2/4))*PRESIONES!$C$20+(PRESIONES!$G$35-ABERTURAS!$L$65)*MAX(0,MIN($W38,DATOS!$C$23*4/4)-MAX($V38,DATOS!$C$23*3/4))*PRESIONES!$C$21))</f>
        <v>0</v>
      </c>
      <c r="AP38" s="26">
        <f>IF($L38&lt;&gt;"OK",0,PRESIONES!$C$12*((PRESIONES!$J$32-ABERTURAS!$L$66)*MAX(0,MIN($W38,DATOS!$C$23*1/4)-MAX($V38,DATOS!$C$23*0/4))*PRESIONES!$C$18+(PRESIONES!$J$33-ABERTURAS!$L$66)*MAX(0,MIN($W38,DATOS!$C$23*2/4)-MAX($V38,DATOS!$C$23*1/4))*PRESIONES!$C$19+(PRESIONES!$J$34-ABERTURAS!$L$66)*MAX(0,MIN($W38,DATOS!$C$23*3/4)-MAX($V38,DATOS!$C$23*2/4))*PRESIONES!$C$20+(PRESIONES!$J$35-ABERTURAS!$L$66)*MAX(0,MIN($W38,DATOS!$C$23*4/4)-MAX($V38,DATOS!$C$23*3/4))*PRESIONES!$C$21))</f>
        <v>0</v>
      </c>
      <c r="AQ38" s="26">
        <f>IF($L38&lt;&gt;"OK",0,PRESIONES!$C$12*((PRESIONES!$M$32-ABERTURAS!$L$67)*MAX(0,MIN($W38,DATOS!$C$23*1/4)-MAX($V38,DATOS!$C$23*0/4))*PRESIONES!$C$18+(PRESIONES!$M$33-ABERTURAS!$L$67)*MAX(0,MIN($W38,DATOS!$C$23*2/4)-MAX($V38,DATOS!$C$23*1/4))*PRESIONES!$C$19+(PRESIONES!$M$34-ABERTURAS!$L$67)*MAX(0,MIN($W38,DATOS!$C$23*3/4)-MAX($V38,DATOS!$C$23*2/4))*PRESIONES!$C$20+(PRESIONES!$M$35-ABERTURAS!$L$67)*MAX(0,MIN($W38,DATOS!$C$23*4/4)-MAX($V38,DATOS!$C$23*3/4))*PRESIONES!$C$21))</f>
        <v>0</v>
      </c>
      <c r="AR38" s="26">
        <f>IF($L38&lt;&gt;"OK",0,PRESIONES!$C$12*((PRESIONES!$E$32-ABERTURAS!$L$60)*MAX(0,MIN($W38,DATOS!$C$23*1/4)-MAX($V38,DATOS!$C$23*0/4))+(PRESIONES!$E$33-ABERTURAS!$L$60)*MAX(0,MIN($W38,DATOS!$C$23*2/4)-MAX($V38,DATOS!$C$23*1/4))+(PRESIONES!$E$34-ABERTURAS!$L$60)*MAX(0,MIN($W38,DATOS!$C$23*3/4)-MAX($V38,DATOS!$C$23*2/4))+(PRESIONES!$E$35-ABERTURAS!$L$60)*MAX(0,MIN($W38,DATOS!$C$23*4/4)-MAX($V38,DATOS!$C$23*3/4))))</f>
        <v>0</v>
      </c>
      <c r="AS38" s="26">
        <f>IF($L38&lt;&gt;"OK",0,PRESIONES!$C$12*((PRESIONES!$H$32-ABERTURAS!$L$61)*MAX(0,MIN($W38,DATOS!$C$23*1/4)-MAX($V38,DATOS!$C$23*0/4))+(PRESIONES!$H$33-ABERTURAS!$L$61)*MAX(0,MIN($W38,DATOS!$C$23*2/4)-MAX($V38,DATOS!$C$23*1/4))+(PRESIONES!$H$34-ABERTURAS!$L$61)*MAX(0,MIN($W38,DATOS!$C$23*3/4)-MAX($V38,DATOS!$C$23*2/4))+(PRESIONES!$H$35-ABERTURAS!$L$61)*MAX(0,MIN($W38,DATOS!$C$23*4/4)-MAX($V38,DATOS!$C$23*3/4))))</f>
        <v>0</v>
      </c>
      <c r="AT38" s="26">
        <f>IF($L38&lt;&gt;"OK",0,PRESIONES!$C$12*((PRESIONES!$K$32-ABERTURAS!$L$62)*MAX(0,MIN($W38,DATOS!$C$23*1/4)-MAX($V38,DATOS!$C$23*0/4))+(PRESIONES!$K$33-ABERTURAS!$L$62)*MAX(0,MIN($W38,DATOS!$C$23*2/4)-MAX($V38,DATOS!$C$23*1/4))+(PRESIONES!$K$34-ABERTURAS!$L$62)*MAX(0,MIN($W38,DATOS!$C$23*3/4)-MAX($V38,DATOS!$C$23*2/4))+(PRESIONES!$K$35-ABERTURAS!$L$62)*MAX(0,MIN($W38,DATOS!$C$23*4/4)-MAX($V38,DATOS!$C$23*3/4))))</f>
        <v>0</v>
      </c>
      <c r="AU38" s="26">
        <f>IF($L38&lt;&gt;"OK",0,PRESIONES!$C$12*((PRESIONES!$N$32-ABERTURAS!$L$63)*MAX(0,MIN($W38,DATOS!$C$23*1/4)-MAX($V38,DATOS!$C$23*0/4))+(PRESIONES!$N$33-ABERTURAS!$L$63)*MAX(0,MIN($W38,DATOS!$C$23*2/4)-MAX($V38,DATOS!$C$23*1/4))+(PRESIONES!$N$34-ABERTURAS!$L$63)*MAX(0,MIN($W38,DATOS!$C$23*3/4)-MAX($V38,DATOS!$C$23*2/4))+(PRESIONES!$N$35-ABERTURAS!$L$63)*MAX(0,MIN($W38,DATOS!$C$23*4/4)-MAX($V38,DATOS!$C$23*3/4))))</f>
        <v>0</v>
      </c>
      <c r="AV38" s="26">
        <f>IF($L38&lt;&gt;"OK",0,PRESIONES!$C$12*((PRESIONES!$E$32-ABERTURAS!$L$64)*MAX(0,MIN($W38,DATOS!$C$23*1/4)-MAX($V38,DATOS!$C$23*0/4))+(PRESIONES!$E$33-ABERTURAS!$L$64)*MAX(0,MIN($W38,DATOS!$C$23*2/4)-MAX($V38,DATOS!$C$23*1/4))+(PRESIONES!$E$34-ABERTURAS!$L$64)*MAX(0,MIN($W38,DATOS!$C$23*3/4)-MAX($V38,DATOS!$C$23*2/4))+(PRESIONES!$E$35-ABERTURAS!$L$64)*MAX(0,MIN($W38,DATOS!$C$23*4/4)-MAX($V38,DATOS!$C$23*3/4))))</f>
        <v>0</v>
      </c>
      <c r="AW38" s="26">
        <f>IF($L38&lt;&gt;"OK",0,PRESIONES!$C$12*((PRESIONES!$H$32-ABERTURAS!$L$65)*MAX(0,MIN($W38,DATOS!$C$23*1/4)-MAX($V38,DATOS!$C$23*0/4))+(PRESIONES!$H$33-ABERTURAS!$L$65)*MAX(0,MIN($W38,DATOS!$C$23*2/4)-MAX($V38,DATOS!$C$23*1/4))+(PRESIONES!$H$34-ABERTURAS!$L$65)*MAX(0,MIN($W38,DATOS!$C$23*3/4)-MAX($V38,DATOS!$C$23*2/4))+(PRESIONES!$H$35-ABERTURAS!$L$65)*MAX(0,MIN($W38,DATOS!$C$23*4/4)-MAX($V38,DATOS!$C$23*3/4))))</f>
        <v>0</v>
      </c>
      <c r="AX38" s="26">
        <f>IF($L38&lt;&gt;"OK",0,PRESIONES!$C$12*((PRESIONES!$K$32-ABERTURAS!$L$66)*MAX(0,MIN($W38,DATOS!$C$23*1/4)-MAX($V38,DATOS!$C$23*0/4))+(PRESIONES!$K$33-ABERTURAS!$L$66)*MAX(0,MIN($W38,DATOS!$C$23*2/4)-MAX($V38,DATOS!$C$23*1/4))+(PRESIONES!$K$34-ABERTURAS!$L$66)*MAX(0,MIN($W38,DATOS!$C$23*3/4)-MAX($V38,DATOS!$C$23*2/4))+(PRESIONES!$K$35-ABERTURAS!$L$66)*MAX(0,MIN($W38,DATOS!$C$23*4/4)-MAX($V38,DATOS!$C$23*3/4))))</f>
        <v>0</v>
      </c>
      <c r="AY38" s="26">
        <f>IF($L38&lt;&gt;"OK",0,PRESIONES!$C$12*((PRESIONES!$N$32-ABERTURAS!$L$67)*MAX(0,MIN($W38,DATOS!$C$23*1/4)-MAX($V38,DATOS!$C$23*0/4))+(PRESIONES!$N$33-ABERTURAS!$L$67)*MAX(0,MIN($W38,DATOS!$C$23*2/4)-MAX($V38,DATOS!$C$23*1/4))+(PRESIONES!$N$34-ABERTURAS!$L$67)*MAX(0,MIN($W38,DATOS!$C$23*3/4)-MAX($V38,DATOS!$C$23*2/4))+(PRESIONES!$N$35-ABERTURAS!$L$67)*MAX(0,MIN($W38,DATOS!$C$23*4/4)-MAX($V38,DATOS!$C$23*3/4))))</f>
        <v>0</v>
      </c>
      <c r="AZ38" s="26">
        <f>IF($L38&lt;&gt;"OK",0,PRESIONES!$C$12*((PRESIONES!$E$32-ABERTURAS!$L$60)*MAX(0,MIN($W38,DATOS!$C$23*1/4)-MAX($V38,DATOS!$C$23*0/4))*PRESIONES!$C$18+(PRESIONES!$E$33-ABERTURAS!$L$60)*MAX(0,MIN($W38,DATOS!$C$23*2/4)-MAX($V38,DATOS!$C$23*1/4))*PRESIONES!$C$19+(PRESIONES!$E$34-ABERTURAS!$L$60)*MAX(0,MIN($W38,DATOS!$C$23*3/4)-MAX($V38,DATOS!$C$23*2/4))*PRESIONES!$C$20+(PRESIONES!$E$35-ABERTURAS!$L$60)*MAX(0,MIN($W38,DATOS!$C$23*4/4)-MAX($V38,DATOS!$C$23*3/4))*PRESIONES!$C$21))</f>
        <v>0</v>
      </c>
      <c r="BA38" s="26">
        <f>IF($L38&lt;&gt;"OK",0,PRESIONES!$C$12*((PRESIONES!$H$32-ABERTURAS!$L$61)*MAX(0,MIN($W38,DATOS!$C$23*1/4)-MAX($V38,DATOS!$C$23*0/4))*PRESIONES!$C$18+(PRESIONES!$H$33-ABERTURAS!$L$61)*MAX(0,MIN($W38,DATOS!$C$23*2/4)-MAX($V38,DATOS!$C$23*1/4))*PRESIONES!$C$19+(PRESIONES!$H$34-ABERTURAS!$L$61)*MAX(0,MIN($W38,DATOS!$C$23*3/4)-MAX($V38,DATOS!$C$23*2/4))*PRESIONES!$C$20+(PRESIONES!$H$35-ABERTURAS!$L$61)*MAX(0,MIN($W38,DATOS!$C$23*4/4)-MAX($V38,DATOS!$C$23*3/4))*PRESIONES!$C$21))</f>
        <v>0</v>
      </c>
      <c r="BB38" s="26">
        <f>IF($L38&lt;&gt;"OK",0,PRESIONES!$C$12*((PRESIONES!$K$32-ABERTURAS!$L$62)*MAX(0,MIN($W38,DATOS!$C$23*1/4)-MAX($V38,DATOS!$C$23*0/4))*PRESIONES!$C$18+(PRESIONES!$K$33-ABERTURAS!$L$62)*MAX(0,MIN($W38,DATOS!$C$23*2/4)-MAX($V38,DATOS!$C$23*1/4))*PRESIONES!$C$19+(PRESIONES!$K$34-ABERTURAS!$L$62)*MAX(0,MIN($W38,DATOS!$C$23*3/4)-MAX($V38,DATOS!$C$23*2/4))*PRESIONES!$C$20+(PRESIONES!$K$35-ABERTURAS!$L$62)*MAX(0,MIN($W38,DATOS!$C$23*4/4)-MAX($V38,DATOS!$C$23*3/4))*PRESIONES!$C$21))</f>
        <v>0</v>
      </c>
      <c r="BC38" s="26">
        <f>IF($L38&lt;&gt;"OK",0,PRESIONES!$C$12*((PRESIONES!$N$32-ABERTURAS!$L$63)*MAX(0,MIN($W38,DATOS!$C$23*1/4)-MAX($V38,DATOS!$C$23*0/4))*PRESIONES!$C$18+(PRESIONES!$N$33-ABERTURAS!$L$63)*MAX(0,MIN($W38,DATOS!$C$23*2/4)-MAX($V38,DATOS!$C$23*1/4))*PRESIONES!$C$19+(PRESIONES!$N$34-ABERTURAS!$L$63)*MAX(0,MIN($W38,DATOS!$C$23*3/4)-MAX($V38,DATOS!$C$23*2/4))*PRESIONES!$C$20+(PRESIONES!$N$35-ABERTURAS!$L$63)*MAX(0,MIN($W38,DATOS!$C$23*4/4)-MAX($V38,DATOS!$C$23*3/4))*PRESIONES!$C$21))</f>
        <v>0</v>
      </c>
      <c r="BD38" s="26">
        <f>IF($L38&lt;&gt;"OK",0,PRESIONES!$C$12*((PRESIONES!$E$32-ABERTURAS!$L$64)*MAX(0,MIN($W38,DATOS!$C$23*1/4)-MAX($V38,DATOS!$C$23*0/4))*PRESIONES!$C$18+(PRESIONES!$E$33-ABERTURAS!$L$64)*MAX(0,MIN($W38,DATOS!$C$23*2/4)-MAX($V38,DATOS!$C$23*1/4))*PRESIONES!$C$19+(PRESIONES!$E$34-ABERTURAS!$L$64)*MAX(0,MIN($W38,DATOS!$C$23*3/4)-MAX($V38,DATOS!$C$23*2/4))*PRESIONES!$C$20+(PRESIONES!$E$35-ABERTURAS!$L$64)*MAX(0,MIN($W38,DATOS!$C$23*4/4)-MAX($V38,DATOS!$C$23*3/4))*PRESIONES!$C$21))</f>
        <v>0</v>
      </c>
      <c r="BE38" s="26">
        <f>IF($L38&lt;&gt;"OK",0,PRESIONES!$C$12*((PRESIONES!$H$32-ABERTURAS!$L$65)*MAX(0,MIN($W38,DATOS!$C$23*1/4)-MAX($V38,DATOS!$C$23*0/4))*PRESIONES!$C$18+(PRESIONES!$H$33-ABERTURAS!$L$65)*MAX(0,MIN($W38,DATOS!$C$23*2/4)-MAX($V38,DATOS!$C$23*1/4))*PRESIONES!$C$19+(PRESIONES!$H$34-ABERTURAS!$L$65)*MAX(0,MIN($W38,DATOS!$C$23*3/4)-MAX($V38,DATOS!$C$23*2/4))*PRESIONES!$C$20+(PRESIONES!$H$35-ABERTURAS!$L$65)*MAX(0,MIN($W38,DATOS!$C$23*4/4)-MAX($V38,DATOS!$C$23*3/4))*PRESIONES!$C$21))</f>
        <v>0</v>
      </c>
      <c r="BF38" s="26">
        <f>IF($L38&lt;&gt;"OK",0,PRESIONES!$C$12*((PRESIONES!$K$32-ABERTURAS!$L$66)*MAX(0,MIN($W38,DATOS!$C$23*1/4)-MAX($V38,DATOS!$C$23*0/4))*PRESIONES!$C$18+(PRESIONES!$K$33-ABERTURAS!$L$66)*MAX(0,MIN($W38,DATOS!$C$23*2/4)-MAX($V38,DATOS!$C$23*1/4))*PRESIONES!$C$19+(PRESIONES!$K$34-ABERTURAS!$L$66)*MAX(0,MIN($W38,DATOS!$C$23*3/4)-MAX($V38,DATOS!$C$23*2/4))*PRESIONES!$C$20+(PRESIONES!$K$35-ABERTURAS!$L$66)*MAX(0,MIN($W38,DATOS!$C$23*4/4)-MAX($V38,DATOS!$C$23*3/4))*PRESIONES!$C$21))</f>
        <v>0</v>
      </c>
      <c r="BG38" s="26">
        <f>IF($L38&lt;&gt;"OK",0,PRESIONES!$C$12*((PRESIONES!$N$32-ABERTURAS!$L$67)*MAX(0,MIN($W38,DATOS!$C$23*1/4)-MAX($V38,DATOS!$C$23*0/4))*PRESIONES!$C$18+(PRESIONES!$N$33-ABERTURAS!$L$67)*MAX(0,MIN($W38,DATOS!$C$23*2/4)-MAX($V38,DATOS!$C$23*1/4))*PRESIONES!$C$19+(PRESIONES!$N$34-ABERTURAS!$L$67)*MAX(0,MIN($W38,DATOS!$C$23*3/4)-MAX($V38,DATOS!$C$23*2/4))*PRESIONES!$C$20+(PRESIONES!$N$35-ABERTURAS!$L$67)*MAX(0,MIN($W38,DATOS!$C$23*4/4)-MAX($V38,DATOS!$C$23*3/4))*PRESIONES!$C$21))</f>
        <v>0</v>
      </c>
    </row>
    <row r="39" spans="2:59" ht="29.25" customHeight="1" x14ac:dyDescent="0.3">
      <c r="B39" s="3" t="s">
        <v>423</v>
      </c>
      <c r="L39" s="42" t="str">
        <f>"Planta B×L = "&amp;TEXT(DATOS!$C$12*DATOS!$C$13,"0.00")&amp;" m²"</f>
        <v>Planta B×L = 161.28 m²</v>
      </c>
      <c r="O39" s="29">
        <f>SUM(O9:O38)</f>
        <v>161.28000000000003</v>
      </c>
    </row>
    <row r="40" spans="2:59" ht="15" customHeight="1" x14ac:dyDescent="0.3"/>
    <row r="41" spans="2:59" ht="21" customHeight="1" x14ac:dyDescent="0.3">
      <c r="B41" s="49" t="s">
        <v>424</v>
      </c>
      <c r="C41" s="49"/>
      <c r="D41" s="49"/>
      <c r="E41" s="49"/>
      <c r="F41" s="49"/>
      <c r="G41" s="49"/>
      <c r="H41" s="49"/>
      <c r="I41" s="49"/>
      <c r="J41" s="49"/>
      <c r="K41" s="49"/>
      <c r="L41" s="49"/>
    </row>
    <row r="42" spans="2:59" ht="30" customHeight="1" x14ac:dyDescent="0.3">
      <c r="B42" s="50" t="s">
        <v>425</v>
      </c>
      <c r="C42" s="50"/>
      <c r="D42" s="50"/>
      <c r="E42" s="50"/>
      <c r="F42" s="50"/>
      <c r="G42" s="50"/>
      <c r="H42" s="50"/>
      <c r="I42" s="50"/>
      <c r="J42" s="50"/>
      <c r="K42" s="50"/>
      <c r="L42" s="50"/>
    </row>
    <row r="43" spans="2:59" ht="42" customHeight="1" x14ac:dyDescent="0.3">
      <c r="B43" s="2" t="s">
        <v>377</v>
      </c>
      <c r="C43" s="2" t="s">
        <v>309</v>
      </c>
      <c r="D43" s="2" t="s">
        <v>378</v>
      </c>
      <c r="E43" s="2" t="s">
        <v>379</v>
      </c>
      <c r="F43" s="2" t="s">
        <v>380</v>
      </c>
      <c r="G43" s="2" t="s">
        <v>381</v>
      </c>
      <c r="H43" s="2" t="s">
        <v>382</v>
      </c>
      <c r="I43" s="2" t="s">
        <v>383</v>
      </c>
      <c r="J43" s="2" t="s">
        <v>384</v>
      </c>
      <c r="K43" s="2" t="s">
        <v>385</v>
      </c>
      <c r="L43" s="2" t="s">
        <v>357</v>
      </c>
      <c r="M43" s="2" t="s">
        <v>386</v>
      </c>
      <c r="N43" s="2" t="s">
        <v>387</v>
      </c>
      <c r="O43" s="2" t="s">
        <v>388</v>
      </c>
      <c r="P43" s="2" t="s">
        <v>245</v>
      </c>
      <c r="Q43" s="2" t="s">
        <v>247</v>
      </c>
      <c r="R43" s="2" t="s">
        <v>353</v>
      </c>
      <c r="S43" s="2" t="s">
        <v>355</v>
      </c>
      <c r="T43" s="2" t="s">
        <v>389</v>
      </c>
      <c r="U43" s="2" t="s">
        <v>213</v>
      </c>
      <c r="V43" s="2" t="s">
        <v>390</v>
      </c>
      <c r="W43" s="2" t="s">
        <v>391</v>
      </c>
      <c r="X43" s="2" t="s">
        <v>214</v>
      </c>
      <c r="Y43" s="2" t="s">
        <v>215</v>
      </c>
      <c r="Z43" s="2" t="s">
        <v>216</v>
      </c>
      <c r="AA43" s="2" t="s">
        <v>217</v>
      </c>
      <c r="AB43" s="55" t="s">
        <v>426</v>
      </c>
      <c r="AC43" s="55"/>
      <c r="AD43" s="55"/>
      <c r="AE43" s="55"/>
      <c r="AF43" s="55"/>
      <c r="AG43" s="55"/>
      <c r="AH43" s="55"/>
      <c r="AI43" s="55"/>
    </row>
    <row r="44" spans="2:59" ht="30" customHeight="1" x14ac:dyDescent="0.3">
      <c r="B44" s="2"/>
      <c r="C44" s="2"/>
      <c r="D44" s="2"/>
      <c r="E44" s="2"/>
      <c r="F44" s="2"/>
      <c r="G44" s="2"/>
      <c r="H44" s="2"/>
      <c r="I44" s="2"/>
      <c r="J44" s="2"/>
      <c r="K44" s="2"/>
      <c r="L44" s="2"/>
      <c r="M44" s="2"/>
      <c r="N44" s="2"/>
      <c r="O44" s="2"/>
      <c r="P44" s="2"/>
      <c r="Q44" s="2"/>
      <c r="R44" s="2"/>
      <c r="S44" s="2"/>
      <c r="T44" s="2"/>
      <c r="U44" s="2"/>
      <c r="V44" s="2"/>
      <c r="W44" s="2"/>
      <c r="X44" s="2"/>
      <c r="Y44" s="2"/>
      <c r="Z44" s="2"/>
      <c r="AA44" s="2"/>
      <c r="AB44" s="2" t="str">
        <f>DATOS!$B$72&amp;" · "&amp;DATOS!$C$72&amp;IF(1&gt;4," PA","")</f>
        <v>LOAD 8 · +X</v>
      </c>
      <c r="AC44" s="2" t="str">
        <f>DATOS!$B$73&amp;" · "&amp;DATOS!$C$73&amp;IF(2&gt;4," PA","")</f>
        <v>LOAD 9 · −X</v>
      </c>
      <c r="AD44" s="2" t="str">
        <f>DATOS!$B$74&amp;" · "&amp;DATOS!$C$74&amp;IF(3&gt;4," PA","")</f>
        <v>LOAD 10 · +Z</v>
      </c>
      <c r="AE44" s="2" t="str">
        <f>DATOS!$B$75&amp;" · "&amp;DATOS!$C$75&amp;IF(4&gt;4," PA","")</f>
        <v>LOAD 11 · −Z</v>
      </c>
      <c r="AF44" s="2" t="str">
        <f>DATOS!$B$76&amp;" · "&amp;DATOS!$C$76&amp;IF(5&gt;4," PA","")</f>
        <v>LOAD 12 · +X PA</v>
      </c>
      <c r="AG44" s="2" t="str">
        <f>DATOS!$B$77&amp;" · "&amp;DATOS!$C$77&amp;IF(6&gt;4," PA","")</f>
        <v>LOAD 13 · −X PA</v>
      </c>
      <c r="AH44" s="2" t="str">
        <f>DATOS!$B$78&amp;" · "&amp;DATOS!$C$78&amp;IF(7&gt;4," PA","")</f>
        <v>LOAD 14 · +Z PA</v>
      </c>
      <c r="AI44" s="2" t="str">
        <f>DATOS!$B$79&amp;" · "&amp;DATOS!$C$79&amp;IF(8&gt;4," PA","")</f>
        <v>LOAD 15 · −Z PA</v>
      </c>
    </row>
    <row r="45" spans="2:59" ht="16.5" customHeight="1" x14ac:dyDescent="0.3">
      <c r="B45" s="4" t="s">
        <v>427</v>
      </c>
      <c r="C45" s="15" t="s">
        <v>428</v>
      </c>
      <c r="D45" s="4" t="s">
        <v>429</v>
      </c>
      <c r="E45" s="15" t="s">
        <v>430</v>
      </c>
      <c r="F45" s="40">
        <v>0</v>
      </c>
      <c r="G45" s="40">
        <v>6.75</v>
      </c>
      <c r="H45" s="40">
        <v>0.6</v>
      </c>
      <c r="I45" s="40">
        <v>1.8</v>
      </c>
      <c r="J45" s="40"/>
      <c r="K45" s="40"/>
      <c r="L45" s="18" t="str">
        <f t="shared" ref="L45:L76" si="6">IF($D45="","",IF(LEFT($C45,4)&lt;&gt;"MURO","PON EL MURO",IF(AND($E45&lt;&gt;"HORIZONTAL",$E45&lt;&gt;"VERTICAL"),"PON EL SENTIDO",IF(OR($F45="",$G45="",$H45="",$I45=""),"FALTAN a o b",IF($M45&lt;=0,"a₂ DEBE SER &gt; a₁",IF($N45&lt;=0,"b₂ DEBE SER &gt; b₁","OK"))))))</f>
        <v>OK</v>
      </c>
      <c r="M45" s="26">
        <f t="shared" ref="M45:M76" si="7">IF($D45="",0,MAX(0,$G45-$F45))</f>
        <v>6.75</v>
      </c>
      <c r="N45" s="26">
        <f t="shared" ref="N45:N76" si="8">MAX(0,$W45-$V45)</f>
        <v>1.2000000000000002</v>
      </c>
      <c r="O45" s="26">
        <f t="shared" ref="O45:O76" si="9">$M45*$N45</f>
        <v>8.1000000000000014</v>
      </c>
      <c r="P45" s="26">
        <f>IF($U45=0,0,SUMPRODUCT((ABERTURAS!$N$7:$N$26=$U45)*ABERTURAS!$U$7:$U$26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Q45" s="26">
        <f>IF($U45=0,0,SUMPRODUCT((ABERTURAS!$N$7:$N$26=$U45)*ABERTURAS!$V$7:$V$26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R45" s="26">
        <f t="shared" ref="R45:R76" si="10">MAX(0,$O45-$P45)</f>
        <v>8.1000000000000014</v>
      </c>
      <c r="S45" s="26">
        <f t="shared" ref="S45:S76" si="11">MAX(0,$O45-$Q45)</f>
        <v>8.1000000000000014</v>
      </c>
      <c r="T45" s="41">
        <f t="shared" ref="T45:T76" si="12">IF($D45="",0,IF($E45="VERTICAL",N($G45),MAX(N($I45),IF($K45="",N($I45),$K45))))</f>
        <v>1.8</v>
      </c>
      <c r="U45" s="41">
        <f t="shared" ref="U45:U76" si="13">IF($L45&lt;&gt;"OK",0,VALUE(RIGHT($C45,1)))</f>
        <v>3</v>
      </c>
      <c r="V45" s="41">
        <f t="shared" ref="V45:V76" si="14">IF($D45="",0,(N($H45)+IF($J45="",N($H45),$J45))/2)</f>
        <v>0.6</v>
      </c>
      <c r="W45" s="41">
        <f t="shared" ref="W45:W76" si="15">IF($D45="",0,(N($I45)+IF($K45="",N($I45),$K45))/2)</f>
        <v>1.8</v>
      </c>
      <c r="X45" s="41">
        <f t="shared" ref="X45:X76" si="16">IF($E45="VERTICAL",$V45,N($F45))</f>
        <v>0</v>
      </c>
      <c r="Y45" s="41">
        <f t="shared" ref="Y45:Y76" si="17">IF($E45="VERTICAL",$W45,N($G45))</f>
        <v>6.75</v>
      </c>
      <c r="Z45" s="41">
        <f t="shared" ref="Z45:Z76" si="18">IF($E45="VERTICAL",N($F45),$V45)</f>
        <v>0.6</v>
      </c>
      <c r="AA45" s="41">
        <f t="shared" ref="AA45:AA76" si="19">IF($E45="VERTICAL",N($G45),$W45)</f>
        <v>1.8</v>
      </c>
      <c r="AB45" s="26">
        <f>IF($L45&lt;&gt;"OK",0,(INDEX(PRESIONES!$D$28:$D$31,$U45)*IF(INDEX(PRESIONES!$D$28:$D$31,$U45)&gt;0,PRESIONES!$C$9*IF($T45&lt;=10,1,($T45/10)^(2/DATOS!$C$56)),PRESIONES!$C$15)-ABERTURAS!$L$60*PRESIONES!$C$12)*$R45/$M45)</f>
        <v>75.379258901332534</v>
      </c>
      <c r="AC45" s="26">
        <f>IF($L45&lt;&gt;"OK",0,(INDEX(PRESIONES!$G$28:$G$31,$U45)*IF(INDEX(PRESIONES!$G$28:$G$31,$U45)&gt;0,PRESIONES!$C$9*IF($T45&lt;=10,1,($T45/10)^(2/DATOS!$C$56)),PRESIONES!$C$15)-ABERTURAS!$L$61*PRESIONES!$C$12)*$R45/$M45)</f>
        <v>0.49925890133251594</v>
      </c>
      <c r="AD45" s="26">
        <f>IF($L45&lt;&gt;"OK",0,(INDEX(PRESIONES!$J$28:$J$31,$U45)*IF(INDEX(PRESIONES!$J$28:$J$31,$U45)&gt;0,PRESIONES!$C$9*IF($T45&lt;=10,1,($T45/10)^(2/DATOS!$C$56)),PRESIONES!$C$15)-ABERTURAS!$L$62*PRESIONES!$C$12)*$R45/$M45)</f>
        <v>-5.1608893184009768</v>
      </c>
      <c r="AE45" s="26">
        <f>IF($L45&lt;&gt;"OK",0,(INDEX(PRESIONES!$M$28:$M$31,$U45)*IF(INDEX(PRESIONES!$M$28:$M$31,$U45)&gt;0,PRESIONES!$C$9*IF($T45&lt;=10,1,($T45/10)^(2/DATOS!$C$56)),PRESIONES!$C$15)-ABERTURAS!$L$63*PRESIONES!$C$12)*$R45/$M45)</f>
        <v>-84.268888351998783</v>
      </c>
      <c r="AF45" s="26">
        <f>IF($L45&lt;&gt;"OK",0,(INDEX(PRESIONES!$D$28:$D$31,$U45)*IF(INDEX(PRESIONES!$D$28:$D$31,$U45)&gt;0,PRESIONES!$C$9*IF($T45&lt;=10,1,($T45/10)^(2/DATOS!$C$56)),PRESIONES!$C$15)-ABERTURAS!$L$64*PRESIONES!$C$12)*$S45/$M45)</f>
        <v>75.379258901332534</v>
      </c>
      <c r="AG45" s="26">
        <f>IF($L45&lt;&gt;"OK",0,(INDEX(PRESIONES!$G$28:$G$31,$U45)*IF(INDEX(PRESIONES!$G$28:$G$31,$U45)&gt;0,PRESIONES!$C$9*IF($T45&lt;=10,1,($T45/10)^(2/DATOS!$C$56)),PRESIONES!$C$15)-ABERTURAS!$L$65*PRESIONES!$C$12)*$S45/$M45)</f>
        <v>0.49925890133251594</v>
      </c>
      <c r="AH45" s="26">
        <f>IF($L45&lt;&gt;"OK",0,(INDEX(PRESIONES!$J$28:$J$31,$U45)*IF(INDEX(PRESIONES!$J$28:$J$31,$U45)&gt;0,PRESIONES!$C$9*IF($T45&lt;=10,1,($T45/10)^(2/DATOS!$C$56)),PRESIONES!$C$15)-ABERTURAS!$L$66*PRESIONES!$C$12)*$S45/$M45)</f>
        <v>-5.1608893184009768</v>
      </c>
      <c r="AI45" s="26">
        <f>IF($L45&lt;&gt;"OK",0,(INDEX(PRESIONES!$M$28:$M$31,$U45)*IF(INDEX(PRESIONES!$M$28:$M$31,$U45)&gt;0,PRESIONES!$C$9*IF($T45&lt;=10,1,($T45/10)^(2/DATOS!$C$56)),PRESIONES!$C$15)-ABERTURAS!$L$67*PRESIONES!$C$12)*$S45/$M45)</f>
        <v>-84.268888351998783</v>
      </c>
    </row>
    <row r="46" spans="2:59" ht="16.5" customHeight="1" x14ac:dyDescent="0.3">
      <c r="B46" s="4" t="s">
        <v>431</v>
      </c>
      <c r="C46" s="15" t="s">
        <v>428</v>
      </c>
      <c r="D46" s="4" t="s">
        <v>432</v>
      </c>
      <c r="E46" s="15" t="s">
        <v>430</v>
      </c>
      <c r="F46" s="40">
        <v>6.75</v>
      </c>
      <c r="G46" s="40">
        <v>13.5</v>
      </c>
      <c r="H46" s="40">
        <v>0.6</v>
      </c>
      <c r="I46" s="40">
        <v>1.8</v>
      </c>
      <c r="J46" s="40"/>
      <c r="K46" s="40"/>
      <c r="L46" s="18" t="str">
        <f t="shared" si="6"/>
        <v>OK</v>
      </c>
      <c r="M46" s="26">
        <f t="shared" si="7"/>
        <v>6.75</v>
      </c>
      <c r="N46" s="26">
        <f t="shared" si="8"/>
        <v>1.2000000000000002</v>
      </c>
      <c r="O46" s="26">
        <f t="shared" si="9"/>
        <v>8.1000000000000014</v>
      </c>
      <c r="P46" s="26">
        <f>IF($U46=0,0,SUMPRODUCT((ABERTURAS!$N$7:$N$26=$U46)*ABERTURAS!$U$7:$U$26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Q46" s="26">
        <f>IF($U46=0,0,SUMPRODUCT((ABERTURAS!$N$7:$N$26=$U46)*ABERTURAS!$V$7:$V$26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R46" s="26">
        <f t="shared" si="10"/>
        <v>8.1000000000000014</v>
      </c>
      <c r="S46" s="26">
        <f t="shared" si="11"/>
        <v>8.1000000000000014</v>
      </c>
      <c r="T46" s="41">
        <f t="shared" si="12"/>
        <v>1.8</v>
      </c>
      <c r="U46" s="41">
        <f t="shared" si="13"/>
        <v>3</v>
      </c>
      <c r="V46" s="41">
        <f t="shared" si="14"/>
        <v>0.6</v>
      </c>
      <c r="W46" s="41">
        <f t="shared" si="15"/>
        <v>1.8</v>
      </c>
      <c r="X46" s="41">
        <f t="shared" si="16"/>
        <v>6.75</v>
      </c>
      <c r="Y46" s="41">
        <f t="shared" si="17"/>
        <v>13.5</v>
      </c>
      <c r="Z46" s="41">
        <f t="shared" si="18"/>
        <v>0.6</v>
      </c>
      <c r="AA46" s="41">
        <f t="shared" si="19"/>
        <v>1.8</v>
      </c>
      <c r="AB46" s="26">
        <f>IF($L46&lt;&gt;"OK",0,(INDEX(PRESIONES!$D$28:$D$31,$U46)*IF(INDEX(PRESIONES!$D$28:$D$31,$U46)&gt;0,PRESIONES!$C$9*IF($T46&lt;=10,1,($T46/10)^(2/DATOS!$C$56)),PRESIONES!$C$15)-ABERTURAS!$L$60*PRESIONES!$C$12)*$R46/$M46)</f>
        <v>75.379258901332534</v>
      </c>
      <c r="AC46" s="26">
        <f>IF($L46&lt;&gt;"OK",0,(INDEX(PRESIONES!$G$28:$G$31,$U46)*IF(INDEX(PRESIONES!$G$28:$G$31,$U46)&gt;0,PRESIONES!$C$9*IF($T46&lt;=10,1,($T46/10)^(2/DATOS!$C$56)),PRESIONES!$C$15)-ABERTURAS!$L$61*PRESIONES!$C$12)*$R46/$M46)</f>
        <v>0.49925890133251594</v>
      </c>
      <c r="AD46" s="26">
        <f>IF($L46&lt;&gt;"OK",0,(INDEX(PRESIONES!$J$28:$J$31,$U46)*IF(INDEX(PRESIONES!$J$28:$J$31,$U46)&gt;0,PRESIONES!$C$9*IF($T46&lt;=10,1,($T46/10)^(2/DATOS!$C$56)),PRESIONES!$C$15)-ABERTURAS!$L$62*PRESIONES!$C$12)*$R46/$M46)</f>
        <v>-5.1608893184009768</v>
      </c>
      <c r="AE46" s="26">
        <f>IF($L46&lt;&gt;"OK",0,(INDEX(PRESIONES!$M$28:$M$31,$U46)*IF(INDEX(PRESIONES!$M$28:$M$31,$U46)&gt;0,PRESIONES!$C$9*IF($T46&lt;=10,1,($T46/10)^(2/DATOS!$C$56)),PRESIONES!$C$15)-ABERTURAS!$L$63*PRESIONES!$C$12)*$R46/$M46)</f>
        <v>-84.268888351998783</v>
      </c>
      <c r="AF46" s="26">
        <f>IF($L46&lt;&gt;"OK",0,(INDEX(PRESIONES!$D$28:$D$31,$U46)*IF(INDEX(PRESIONES!$D$28:$D$31,$U46)&gt;0,PRESIONES!$C$9*IF($T46&lt;=10,1,($T46/10)^(2/DATOS!$C$56)),PRESIONES!$C$15)-ABERTURAS!$L$64*PRESIONES!$C$12)*$S46/$M46)</f>
        <v>75.379258901332534</v>
      </c>
      <c r="AG46" s="26">
        <f>IF($L46&lt;&gt;"OK",0,(INDEX(PRESIONES!$G$28:$G$31,$U46)*IF(INDEX(PRESIONES!$G$28:$G$31,$U46)&gt;0,PRESIONES!$C$9*IF($T46&lt;=10,1,($T46/10)^(2/DATOS!$C$56)),PRESIONES!$C$15)-ABERTURAS!$L$65*PRESIONES!$C$12)*$S46/$M46)</f>
        <v>0.49925890133251594</v>
      </c>
      <c r="AH46" s="26">
        <f>IF($L46&lt;&gt;"OK",0,(INDEX(PRESIONES!$J$28:$J$31,$U46)*IF(INDEX(PRESIONES!$J$28:$J$31,$U46)&gt;0,PRESIONES!$C$9*IF($T46&lt;=10,1,($T46/10)^(2/DATOS!$C$56)),PRESIONES!$C$15)-ABERTURAS!$L$66*PRESIONES!$C$12)*$S46/$M46)</f>
        <v>-5.1608893184009768</v>
      </c>
      <c r="AI46" s="26">
        <f>IF($L46&lt;&gt;"OK",0,(INDEX(PRESIONES!$M$28:$M$31,$U46)*IF(INDEX(PRESIONES!$M$28:$M$31,$U46)&gt;0,PRESIONES!$C$9*IF($T46&lt;=10,1,($T46/10)^(2/DATOS!$C$56)),PRESIONES!$C$15)-ABERTURAS!$L$67*PRESIONES!$C$12)*$S46/$M46)</f>
        <v>-84.268888351998783</v>
      </c>
    </row>
    <row r="47" spans="2:59" ht="16.5" customHeight="1" x14ac:dyDescent="0.3">
      <c r="B47" s="4" t="s">
        <v>433</v>
      </c>
      <c r="C47" s="15" t="s">
        <v>428</v>
      </c>
      <c r="D47" s="4" t="s">
        <v>434</v>
      </c>
      <c r="E47" s="15" t="s">
        <v>430</v>
      </c>
      <c r="F47" s="40">
        <v>13.5</v>
      </c>
      <c r="G47" s="40">
        <v>16</v>
      </c>
      <c r="H47" s="40">
        <v>0.6</v>
      </c>
      <c r="I47" s="40">
        <v>1.8</v>
      </c>
      <c r="J47" s="40"/>
      <c r="K47" s="40"/>
      <c r="L47" s="18" t="str">
        <f t="shared" si="6"/>
        <v>OK</v>
      </c>
      <c r="M47" s="26">
        <f t="shared" si="7"/>
        <v>2.5</v>
      </c>
      <c r="N47" s="26">
        <f t="shared" si="8"/>
        <v>1.2000000000000002</v>
      </c>
      <c r="O47" s="26">
        <f t="shared" si="9"/>
        <v>3.0000000000000004</v>
      </c>
      <c r="P47" s="26">
        <f>IF($U47=0,0,SUMPRODUCT((ABERTURAS!$N$7:$N$26=$U47)*ABERTURAS!$U$7:$U$26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Q47" s="26">
        <f>IF($U47=0,0,SUMPRODUCT((ABERTURAS!$N$7:$N$26=$U47)*ABERTURAS!$V$7:$V$26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R47" s="26">
        <f t="shared" si="10"/>
        <v>3.0000000000000004</v>
      </c>
      <c r="S47" s="26">
        <f t="shared" si="11"/>
        <v>3.0000000000000004</v>
      </c>
      <c r="T47" s="41">
        <f t="shared" si="12"/>
        <v>1.8</v>
      </c>
      <c r="U47" s="41">
        <f t="shared" si="13"/>
        <v>3</v>
      </c>
      <c r="V47" s="41">
        <f t="shared" si="14"/>
        <v>0.6</v>
      </c>
      <c r="W47" s="41">
        <f t="shared" si="15"/>
        <v>1.8</v>
      </c>
      <c r="X47" s="41">
        <f t="shared" si="16"/>
        <v>13.5</v>
      </c>
      <c r="Y47" s="41">
        <f t="shared" si="17"/>
        <v>16</v>
      </c>
      <c r="Z47" s="41">
        <f t="shared" si="18"/>
        <v>0.6</v>
      </c>
      <c r="AA47" s="41">
        <f t="shared" si="19"/>
        <v>1.8</v>
      </c>
      <c r="AB47" s="26">
        <f>IF($L47&lt;&gt;"OK",0,(INDEX(PRESIONES!$D$28:$D$31,$U47)*IF(INDEX(PRESIONES!$D$28:$D$31,$U47)&gt;0,PRESIONES!$C$9*IF($T47&lt;=10,1,($T47/10)^(2/DATOS!$C$56)),PRESIONES!$C$15)-ABERTURAS!$L$60*PRESIONES!$C$12)*$R47/$M47)</f>
        <v>75.379258901332534</v>
      </c>
      <c r="AC47" s="26">
        <f>IF($L47&lt;&gt;"OK",0,(INDEX(PRESIONES!$G$28:$G$31,$U47)*IF(INDEX(PRESIONES!$G$28:$G$31,$U47)&gt;0,PRESIONES!$C$9*IF($T47&lt;=10,1,($T47/10)^(2/DATOS!$C$56)),PRESIONES!$C$15)-ABERTURAS!$L$61*PRESIONES!$C$12)*$R47/$M47)</f>
        <v>0.49925890133251594</v>
      </c>
      <c r="AD47" s="26">
        <f>IF($L47&lt;&gt;"OK",0,(INDEX(PRESIONES!$J$28:$J$31,$U47)*IF(INDEX(PRESIONES!$J$28:$J$31,$U47)&gt;0,PRESIONES!$C$9*IF($T47&lt;=10,1,($T47/10)^(2/DATOS!$C$56)),PRESIONES!$C$15)-ABERTURAS!$L$62*PRESIONES!$C$12)*$R47/$M47)</f>
        <v>-5.1608893184009768</v>
      </c>
      <c r="AE47" s="26">
        <f>IF($L47&lt;&gt;"OK",0,(INDEX(PRESIONES!$M$28:$M$31,$U47)*IF(INDEX(PRESIONES!$M$28:$M$31,$U47)&gt;0,PRESIONES!$C$9*IF($T47&lt;=10,1,($T47/10)^(2/DATOS!$C$56)),PRESIONES!$C$15)-ABERTURAS!$L$63*PRESIONES!$C$12)*$R47/$M47)</f>
        <v>-84.268888351998783</v>
      </c>
      <c r="AF47" s="26">
        <f>IF($L47&lt;&gt;"OK",0,(INDEX(PRESIONES!$D$28:$D$31,$U47)*IF(INDEX(PRESIONES!$D$28:$D$31,$U47)&gt;0,PRESIONES!$C$9*IF($T47&lt;=10,1,($T47/10)^(2/DATOS!$C$56)),PRESIONES!$C$15)-ABERTURAS!$L$64*PRESIONES!$C$12)*$S47/$M47)</f>
        <v>75.379258901332534</v>
      </c>
      <c r="AG47" s="26">
        <f>IF($L47&lt;&gt;"OK",0,(INDEX(PRESIONES!$G$28:$G$31,$U47)*IF(INDEX(PRESIONES!$G$28:$G$31,$U47)&gt;0,PRESIONES!$C$9*IF($T47&lt;=10,1,($T47/10)^(2/DATOS!$C$56)),PRESIONES!$C$15)-ABERTURAS!$L$65*PRESIONES!$C$12)*$S47/$M47)</f>
        <v>0.49925890133251594</v>
      </c>
      <c r="AH47" s="26">
        <f>IF($L47&lt;&gt;"OK",0,(INDEX(PRESIONES!$J$28:$J$31,$U47)*IF(INDEX(PRESIONES!$J$28:$J$31,$U47)&gt;0,PRESIONES!$C$9*IF($T47&lt;=10,1,($T47/10)^(2/DATOS!$C$56)),PRESIONES!$C$15)-ABERTURAS!$L$66*PRESIONES!$C$12)*$S47/$M47)</f>
        <v>-5.1608893184009768</v>
      </c>
      <c r="AI47" s="26">
        <f>IF($L47&lt;&gt;"OK",0,(INDEX(PRESIONES!$M$28:$M$31,$U47)*IF(INDEX(PRESIONES!$M$28:$M$31,$U47)&gt;0,PRESIONES!$C$9*IF($T47&lt;=10,1,($T47/10)^(2/DATOS!$C$56)),PRESIONES!$C$15)-ABERTURAS!$L$67*PRESIONES!$C$12)*$S47/$M47)</f>
        <v>-84.268888351998783</v>
      </c>
    </row>
    <row r="48" spans="2:59" ht="16.5" customHeight="1" x14ac:dyDescent="0.3">
      <c r="B48" s="4" t="s">
        <v>435</v>
      </c>
      <c r="C48" s="15" t="s">
        <v>428</v>
      </c>
      <c r="D48" s="4" t="s">
        <v>436</v>
      </c>
      <c r="E48" s="15" t="s">
        <v>430</v>
      </c>
      <c r="F48" s="40">
        <v>0</v>
      </c>
      <c r="G48" s="40">
        <v>6.75</v>
      </c>
      <c r="H48" s="40">
        <v>1.8</v>
      </c>
      <c r="I48" s="40">
        <v>3</v>
      </c>
      <c r="J48" s="40"/>
      <c r="K48" s="40"/>
      <c r="L48" s="18" t="str">
        <f t="shared" si="6"/>
        <v>OK</v>
      </c>
      <c r="M48" s="26">
        <f t="shared" si="7"/>
        <v>6.75</v>
      </c>
      <c r="N48" s="26">
        <f t="shared" si="8"/>
        <v>1.2</v>
      </c>
      <c r="O48" s="26">
        <f t="shared" si="9"/>
        <v>8.1</v>
      </c>
      <c r="P48" s="26">
        <f>IF($U48=0,0,SUMPRODUCT((ABERTURAS!$N$7:$N$26=$U48)*ABERTURAS!$U$7:$U$26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Q48" s="26">
        <f>IF($U48=0,0,SUMPRODUCT((ABERTURAS!$N$7:$N$26=$U48)*ABERTURAS!$V$7:$V$26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R48" s="26">
        <f t="shared" si="10"/>
        <v>8.1</v>
      </c>
      <c r="S48" s="26">
        <f t="shared" si="11"/>
        <v>8.1</v>
      </c>
      <c r="T48" s="41">
        <f t="shared" si="12"/>
        <v>3</v>
      </c>
      <c r="U48" s="41">
        <f t="shared" si="13"/>
        <v>3</v>
      </c>
      <c r="V48" s="41">
        <f t="shared" si="14"/>
        <v>1.8</v>
      </c>
      <c r="W48" s="41">
        <f t="shared" si="15"/>
        <v>3</v>
      </c>
      <c r="X48" s="41">
        <f t="shared" si="16"/>
        <v>0</v>
      </c>
      <c r="Y48" s="41">
        <f t="shared" si="17"/>
        <v>6.75</v>
      </c>
      <c r="Z48" s="41">
        <f t="shared" si="18"/>
        <v>1.8</v>
      </c>
      <c r="AA48" s="41">
        <f t="shared" si="19"/>
        <v>3</v>
      </c>
      <c r="AB48" s="26">
        <f>IF($L48&lt;&gt;"OK",0,(INDEX(PRESIONES!$D$28:$D$31,$U48)*IF(INDEX(PRESIONES!$D$28:$D$31,$U48)&gt;0,PRESIONES!$C$9*IF($T48&lt;=10,1,($T48/10)^(2/DATOS!$C$56)),PRESIONES!$C$15)-ABERTURAS!$L$60*PRESIONES!$C$12)*$R48/$M48)</f>
        <v>75.37925890133252</v>
      </c>
      <c r="AC48" s="26">
        <f>IF($L48&lt;&gt;"OK",0,(INDEX(PRESIONES!$G$28:$G$31,$U48)*IF(INDEX(PRESIONES!$G$28:$G$31,$U48)&gt;0,PRESIONES!$C$9*IF($T48&lt;=10,1,($T48/10)^(2/DATOS!$C$56)),PRESIONES!$C$15)-ABERTURAS!$L$61*PRESIONES!$C$12)*$R48/$M48)</f>
        <v>0.49925890133251583</v>
      </c>
      <c r="AD48" s="26">
        <f>IF($L48&lt;&gt;"OK",0,(INDEX(PRESIONES!$J$28:$J$31,$U48)*IF(INDEX(PRESIONES!$J$28:$J$31,$U48)&gt;0,PRESIONES!$C$9*IF($T48&lt;=10,1,($T48/10)^(2/DATOS!$C$56)),PRESIONES!$C$15)-ABERTURAS!$L$62*PRESIONES!$C$12)*$R48/$M48)</f>
        <v>-5.160889318400975</v>
      </c>
      <c r="AE48" s="26">
        <f>IF($L48&lt;&gt;"OK",0,(INDEX(PRESIONES!$M$28:$M$31,$U48)*IF(INDEX(PRESIONES!$M$28:$M$31,$U48)&gt;0,PRESIONES!$C$9*IF($T48&lt;=10,1,($T48/10)^(2/DATOS!$C$56)),PRESIONES!$C$15)-ABERTURAS!$L$63*PRESIONES!$C$12)*$R48/$M48)</f>
        <v>-84.268888351998768</v>
      </c>
      <c r="AF48" s="26">
        <f>IF($L48&lt;&gt;"OK",0,(INDEX(PRESIONES!$D$28:$D$31,$U48)*IF(INDEX(PRESIONES!$D$28:$D$31,$U48)&gt;0,PRESIONES!$C$9*IF($T48&lt;=10,1,($T48/10)^(2/DATOS!$C$56)),PRESIONES!$C$15)-ABERTURAS!$L$64*PRESIONES!$C$12)*$S48/$M48)</f>
        <v>75.37925890133252</v>
      </c>
      <c r="AG48" s="26">
        <f>IF($L48&lt;&gt;"OK",0,(INDEX(PRESIONES!$G$28:$G$31,$U48)*IF(INDEX(PRESIONES!$G$28:$G$31,$U48)&gt;0,PRESIONES!$C$9*IF($T48&lt;=10,1,($T48/10)^(2/DATOS!$C$56)),PRESIONES!$C$15)-ABERTURAS!$L$65*PRESIONES!$C$12)*$S48/$M48)</f>
        <v>0.49925890133251583</v>
      </c>
      <c r="AH48" s="26">
        <f>IF($L48&lt;&gt;"OK",0,(INDEX(PRESIONES!$J$28:$J$31,$U48)*IF(INDEX(PRESIONES!$J$28:$J$31,$U48)&gt;0,PRESIONES!$C$9*IF($T48&lt;=10,1,($T48/10)^(2/DATOS!$C$56)),PRESIONES!$C$15)-ABERTURAS!$L$66*PRESIONES!$C$12)*$S48/$M48)</f>
        <v>-5.160889318400975</v>
      </c>
      <c r="AI48" s="26">
        <f>IF($L48&lt;&gt;"OK",0,(INDEX(PRESIONES!$M$28:$M$31,$U48)*IF(INDEX(PRESIONES!$M$28:$M$31,$U48)&gt;0,PRESIONES!$C$9*IF($T48&lt;=10,1,($T48/10)^(2/DATOS!$C$56)),PRESIONES!$C$15)-ABERTURAS!$L$67*PRESIONES!$C$12)*$S48/$M48)</f>
        <v>-84.268888351998768</v>
      </c>
    </row>
    <row r="49" spans="2:35" ht="16.5" customHeight="1" x14ac:dyDescent="0.3">
      <c r="B49" s="4" t="s">
        <v>437</v>
      </c>
      <c r="C49" s="15" t="s">
        <v>428</v>
      </c>
      <c r="D49" s="4" t="s">
        <v>438</v>
      </c>
      <c r="E49" s="15" t="s">
        <v>430</v>
      </c>
      <c r="F49" s="40">
        <v>6.75</v>
      </c>
      <c r="G49" s="40">
        <v>13.5</v>
      </c>
      <c r="H49" s="40">
        <v>1.8</v>
      </c>
      <c r="I49" s="40">
        <v>3</v>
      </c>
      <c r="J49" s="40"/>
      <c r="K49" s="40"/>
      <c r="L49" s="18" t="str">
        <f t="shared" si="6"/>
        <v>OK</v>
      </c>
      <c r="M49" s="26">
        <f t="shared" si="7"/>
        <v>6.75</v>
      </c>
      <c r="N49" s="26">
        <f t="shared" si="8"/>
        <v>1.2</v>
      </c>
      <c r="O49" s="26">
        <f t="shared" si="9"/>
        <v>8.1</v>
      </c>
      <c r="P49" s="26">
        <f>IF($U49=0,0,SUMPRODUCT((ABERTURAS!$N$7:$N$26=$U49)*ABERTURAS!$U$7:$U$26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Q49" s="26">
        <f>IF($U49=0,0,SUMPRODUCT((ABERTURAS!$N$7:$N$26=$U49)*ABERTURAS!$V$7:$V$26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R49" s="26">
        <f t="shared" si="10"/>
        <v>8.1</v>
      </c>
      <c r="S49" s="26">
        <f t="shared" si="11"/>
        <v>8.1</v>
      </c>
      <c r="T49" s="41">
        <f t="shared" si="12"/>
        <v>3</v>
      </c>
      <c r="U49" s="41">
        <f t="shared" si="13"/>
        <v>3</v>
      </c>
      <c r="V49" s="41">
        <f t="shared" si="14"/>
        <v>1.8</v>
      </c>
      <c r="W49" s="41">
        <f t="shared" si="15"/>
        <v>3</v>
      </c>
      <c r="X49" s="41">
        <f t="shared" si="16"/>
        <v>6.75</v>
      </c>
      <c r="Y49" s="41">
        <f t="shared" si="17"/>
        <v>13.5</v>
      </c>
      <c r="Z49" s="41">
        <f t="shared" si="18"/>
        <v>1.8</v>
      </c>
      <c r="AA49" s="41">
        <f t="shared" si="19"/>
        <v>3</v>
      </c>
      <c r="AB49" s="26">
        <f>IF($L49&lt;&gt;"OK",0,(INDEX(PRESIONES!$D$28:$D$31,$U49)*IF(INDEX(PRESIONES!$D$28:$D$31,$U49)&gt;0,PRESIONES!$C$9*IF($T49&lt;=10,1,($T49/10)^(2/DATOS!$C$56)),PRESIONES!$C$15)-ABERTURAS!$L$60*PRESIONES!$C$12)*$R49/$M49)</f>
        <v>75.37925890133252</v>
      </c>
      <c r="AC49" s="26">
        <f>IF($L49&lt;&gt;"OK",0,(INDEX(PRESIONES!$G$28:$G$31,$U49)*IF(INDEX(PRESIONES!$G$28:$G$31,$U49)&gt;0,PRESIONES!$C$9*IF($T49&lt;=10,1,($T49/10)^(2/DATOS!$C$56)),PRESIONES!$C$15)-ABERTURAS!$L$61*PRESIONES!$C$12)*$R49/$M49)</f>
        <v>0.49925890133251583</v>
      </c>
      <c r="AD49" s="26">
        <f>IF($L49&lt;&gt;"OK",0,(INDEX(PRESIONES!$J$28:$J$31,$U49)*IF(INDEX(PRESIONES!$J$28:$J$31,$U49)&gt;0,PRESIONES!$C$9*IF($T49&lt;=10,1,($T49/10)^(2/DATOS!$C$56)),PRESIONES!$C$15)-ABERTURAS!$L$62*PRESIONES!$C$12)*$R49/$M49)</f>
        <v>-5.160889318400975</v>
      </c>
      <c r="AE49" s="26">
        <f>IF($L49&lt;&gt;"OK",0,(INDEX(PRESIONES!$M$28:$M$31,$U49)*IF(INDEX(PRESIONES!$M$28:$M$31,$U49)&gt;0,PRESIONES!$C$9*IF($T49&lt;=10,1,($T49/10)^(2/DATOS!$C$56)),PRESIONES!$C$15)-ABERTURAS!$L$63*PRESIONES!$C$12)*$R49/$M49)</f>
        <v>-84.268888351998768</v>
      </c>
      <c r="AF49" s="26">
        <f>IF($L49&lt;&gt;"OK",0,(INDEX(PRESIONES!$D$28:$D$31,$U49)*IF(INDEX(PRESIONES!$D$28:$D$31,$U49)&gt;0,PRESIONES!$C$9*IF($T49&lt;=10,1,($T49/10)^(2/DATOS!$C$56)),PRESIONES!$C$15)-ABERTURAS!$L$64*PRESIONES!$C$12)*$S49/$M49)</f>
        <v>75.37925890133252</v>
      </c>
      <c r="AG49" s="26">
        <f>IF($L49&lt;&gt;"OK",0,(INDEX(PRESIONES!$G$28:$G$31,$U49)*IF(INDEX(PRESIONES!$G$28:$G$31,$U49)&gt;0,PRESIONES!$C$9*IF($T49&lt;=10,1,($T49/10)^(2/DATOS!$C$56)),PRESIONES!$C$15)-ABERTURAS!$L$65*PRESIONES!$C$12)*$S49/$M49)</f>
        <v>0.49925890133251583</v>
      </c>
      <c r="AH49" s="26">
        <f>IF($L49&lt;&gt;"OK",0,(INDEX(PRESIONES!$J$28:$J$31,$U49)*IF(INDEX(PRESIONES!$J$28:$J$31,$U49)&gt;0,PRESIONES!$C$9*IF($T49&lt;=10,1,($T49/10)^(2/DATOS!$C$56)),PRESIONES!$C$15)-ABERTURAS!$L$66*PRESIONES!$C$12)*$S49/$M49)</f>
        <v>-5.160889318400975</v>
      </c>
      <c r="AI49" s="26">
        <f>IF($L49&lt;&gt;"OK",0,(INDEX(PRESIONES!$M$28:$M$31,$U49)*IF(INDEX(PRESIONES!$M$28:$M$31,$U49)&gt;0,PRESIONES!$C$9*IF($T49&lt;=10,1,($T49/10)^(2/DATOS!$C$56)),PRESIONES!$C$15)-ABERTURAS!$L$67*PRESIONES!$C$12)*$S49/$M49)</f>
        <v>-84.268888351998768</v>
      </c>
    </row>
    <row r="50" spans="2:35" ht="16.5" customHeight="1" x14ac:dyDescent="0.3">
      <c r="B50" s="4" t="s">
        <v>439</v>
      </c>
      <c r="C50" s="15" t="s">
        <v>428</v>
      </c>
      <c r="D50" s="4" t="s">
        <v>440</v>
      </c>
      <c r="E50" s="15" t="s">
        <v>430</v>
      </c>
      <c r="F50" s="40">
        <v>13.5</v>
      </c>
      <c r="G50" s="40">
        <v>16</v>
      </c>
      <c r="H50" s="40">
        <v>1.8</v>
      </c>
      <c r="I50" s="40">
        <v>3</v>
      </c>
      <c r="J50" s="40"/>
      <c r="K50" s="40"/>
      <c r="L50" s="18" t="str">
        <f t="shared" si="6"/>
        <v>OK</v>
      </c>
      <c r="M50" s="26">
        <f t="shared" si="7"/>
        <v>2.5</v>
      </c>
      <c r="N50" s="26">
        <f t="shared" si="8"/>
        <v>1.2</v>
      </c>
      <c r="O50" s="26">
        <f t="shared" si="9"/>
        <v>3</v>
      </c>
      <c r="P50" s="26">
        <f>IF($U50=0,0,SUMPRODUCT((ABERTURAS!$N$7:$N$26=$U50)*ABERTURAS!$U$7:$U$26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Q50" s="26">
        <f>IF($U50=0,0,SUMPRODUCT((ABERTURAS!$N$7:$N$26=$U50)*ABERTURAS!$V$7:$V$26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R50" s="26">
        <f t="shared" si="10"/>
        <v>3</v>
      </c>
      <c r="S50" s="26">
        <f t="shared" si="11"/>
        <v>3</v>
      </c>
      <c r="T50" s="41">
        <f t="shared" si="12"/>
        <v>3</v>
      </c>
      <c r="U50" s="41">
        <f t="shared" si="13"/>
        <v>3</v>
      </c>
      <c r="V50" s="41">
        <f t="shared" si="14"/>
        <v>1.8</v>
      </c>
      <c r="W50" s="41">
        <f t="shared" si="15"/>
        <v>3</v>
      </c>
      <c r="X50" s="41">
        <f t="shared" si="16"/>
        <v>13.5</v>
      </c>
      <c r="Y50" s="41">
        <f t="shared" si="17"/>
        <v>16</v>
      </c>
      <c r="Z50" s="41">
        <f t="shared" si="18"/>
        <v>1.8</v>
      </c>
      <c r="AA50" s="41">
        <f t="shared" si="19"/>
        <v>3</v>
      </c>
      <c r="AB50" s="26">
        <f>IF($L50&lt;&gt;"OK",0,(INDEX(PRESIONES!$D$28:$D$31,$U50)*IF(INDEX(PRESIONES!$D$28:$D$31,$U50)&gt;0,PRESIONES!$C$9*IF($T50&lt;=10,1,($T50/10)^(2/DATOS!$C$56)),PRESIONES!$C$15)-ABERTURAS!$L$60*PRESIONES!$C$12)*$R50/$M50)</f>
        <v>75.37925890133252</v>
      </c>
      <c r="AC50" s="26">
        <f>IF($L50&lt;&gt;"OK",0,(INDEX(PRESIONES!$G$28:$G$31,$U50)*IF(INDEX(PRESIONES!$G$28:$G$31,$U50)&gt;0,PRESIONES!$C$9*IF($T50&lt;=10,1,($T50/10)^(2/DATOS!$C$56)),PRESIONES!$C$15)-ABERTURAS!$L$61*PRESIONES!$C$12)*$R50/$M50)</f>
        <v>0.49925890133251583</v>
      </c>
      <c r="AD50" s="26">
        <f>IF($L50&lt;&gt;"OK",0,(INDEX(PRESIONES!$J$28:$J$31,$U50)*IF(INDEX(PRESIONES!$J$28:$J$31,$U50)&gt;0,PRESIONES!$C$9*IF($T50&lt;=10,1,($T50/10)^(2/DATOS!$C$56)),PRESIONES!$C$15)-ABERTURAS!$L$62*PRESIONES!$C$12)*$R50/$M50)</f>
        <v>-5.1608893184009759</v>
      </c>
      <c r="AE50" s="26">
        <f>IF($L50&lt;&gt;"OK",0,(INDEX(PRESIONES!$M$28:$M$31,$U50)*IF(INDEX(PRESIONES!$M$28:$M$31,$U50)&gt;0,PRESIONES!$C$9*IF($T50&lt;=10,1,($T50/10)^(2/DATOS!$C$56)),PRESIONES!$C$15)-ABERTURAS!$L$63*PRESIONES!$C$12)*$R50/$M50)</f>
        <v>-84.268888351998768</v>
      </c>
      <c r="AF50" s="26">
        <f>IF($L50&lt;&gt;"OK",0,(INDEX(PRESIONES!$D$28:$D$31,$U50)*IF(INDEX(PRESIONES!$D$28:$D$31,$U50)&gt;0,PRESIONES!$C$9*IF($T50&lt;=10,1,($T50/10)^(2/DATOS!$C$56)),PRESIONES!$C$15)-ABERTURAS!$L$64*PRESIONES!$C$12)*$S50/$M50)</f>
        <v>75.37925890133252</v>
      </c>
      <c r="AG50" s="26">
        <f>IF($L50&lt;&gt;"OK",0,(INDEX(PRESIONES!$G$28:$G$31,$U50)*IF(INDEX(PRESIONES!$G$28:$G$31,$U50)&gt;0,PRESIONES!$C$9*IF($T50&lt;=10,1,($T50/10)^(2/DATOS!$C$56)),PRESIONES!$C$15)-ABERTURAS!$L$65*PRESIONES!$C$12)*$S50/$M50)</f>
        <v>0.49925890133251583</v>
      </c>
      <c r="AH50" s="26">
        <f>IF($L50&lt;&gt;"OK",0,(INDEX(PRESIONES!$J$28:$J$31,$U50)*IF(INDEX(PRESIONES!$J$28:$J$31,$U50)&gt;0,PRESIONES!$C$9*IF($T50&lt;=10,1,($T50/10)^(2/DATOS!$C$56)),PRESIONES!$C$15)-ABERTURAS!$L$66*PRESIONES!$C$12)*$S50/$M50)</f>
        <v>-5.1608893184009759</v>
      </c>
      <c r="AI50" s="26">
        <f>IF($L50&lt;&gt;"OK",0,(INDEX(PRESIONES!$M$28:$M$31,$U50)*IF(INDEX(PRESIONES!$M$28:$M$31,$U50)&gt;0,PRESIONES!$C$9*IF($T50&lt;=10,1,($T50/10)^(2/DATOS!$C$56)),PRESIONES!$C$15)-ABERTURAS!$L$67*PRESIONES!$C$12)*$S50/$M50)</f>
        <v>-84.268888351998768</v>
      </c>
    </row>
    <row r="51" spans="2:35" ht="16.5" customHeight="1" x14ac:dyDescent="0.3">
      <c r="B51" s="4" t="s">
        <v>441</v>
      </c>
      <c r="C51" s="15" t="s">
        <v>428</v>
      </c>
      <c r="D51" s="4" t="s">
        <v>442</v>
      </c>
      <c r="E51" s="15" t="s">
        <v>430</v>
      </c>
      <c r="F51" s="40">
        <v>0</v>
      </c>
      <c r="G51" s="40">
        <v>6.75</v>
      </c>
      <c r="H51" s="40">
        <v>3</v>
      </c>
      <c r="I51" s="40">
        <v>4.2</v>
      </c>
      <c r="J51" s="40"/>
      <c r="K51" s="40"/>
      <c r="L51" s="18" t="str">
        <f t="shared" si="6"/>
        <v>OK</v>
      </c>
      <c r="M51" s="26">
        <f t="shared" si="7"/>
        <v>6.75</v>
      </c>
      <c r="N51" s="26">
        <f t="shared" si="8"/>
        <v>1.2000000000000002</v>
      </c>
      <c r="O51" s="26">
        <f t="shared" si="9"/>
        <v>8.1000000000000014</v>
      </c>
      <c r="P51" s="26">
        <f>IF($U51=0,0,SUMPRODUCT((ABERTURAS!$N$7:$N$26=$U51)*ABERTURAS!$U$7:$U$26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Q51" s="26">
        <f>IF($U51=0,0,SUMPRODUCT((ABERTURAS!$N$7:$N$26=$U51)*ABERTURAS!$V$7:$V$26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R51" s="26">
        <f t="shared" si="10"/>
        <v>8.1000000000000014</v>
      </c>
      <c r="S51" s="26">
        <f t="shared" si="11"/>
        <v>8.1000000000000014</v>
      </c>
      <c r="T51" s="41">
        <f t="shared" si="12"/>
        <v>4.2</v>
      </c>
      <c r="U51" s="41">
        <f t="shared" si="13"/>
        <v>3</v>
      </c>
      <c r="V51" s="41">
        <f t="shared" si="14"/>
        <v>3</v>
      </c>
      <c r="W51" s="41">
        <f t="shared" si="15"/>
        <v>4.2</v>
      </c>
      <c r="X51" s="41">
        <f t="shared" si="16"/>
        <v>0</v>
      </c>
      <c r="Y51" s="41">
        <f t="shared" si="17"/>
        <v>6.75</v>
      </c>
      <c r="Z51" s="41">
        <f t="shared" si="18"/>
        <v>3</v>
      </c>
      <c r="AA51" s="41">
        <f t="shared" si="19"/>
        <v>4.2</v>
      </c>
      <c r="AB51" s="26">
        <f>IF($L51&lt;&gt;"OK",0,(INDEX(PRESIONES!$D$28:$D$31,$U51)*IF(INDEX(PRESIONES!$D$28:$D$31,$U51)&gt;0,PRESIONES!$C$9*IF($T51&lt;=10,1,($T51/10)^(2/DATOS!$C$56)),PRESIONES!$C$15)-ABERTURAS!$L$60*PRESIONES!$C$12)*$R51/$M51)</f>
        <v>75.379258901332534</v>
      </c>
      <c r="AC51" s="26">
        <f>IF($L51&lt;&gt;"OK",0,(INDEX(PRESIONES!$G$28:$G$31,$U51)*IF(INDEX(PRESIONES!$G$28:$G$31,$U51)&gt;0,PRESIONES!$C$9*IF($T51&lt;=10,1,($T51/10)^(2/DATOS!$C$56)),PRESIONES!$C$15)-ABERTURAS!$L$61*PRESIONES!$C$12)*$R51/$M51)</f>
        <v>0.49925890133251594</v>
      </c>
      <c r="AD51" s="26">
        <f>IF($L51&lt;&gt;"OK",0,(INDEX(PRESIONES!$J$28:$J$31,$U51)*IF(INDEX(PRESIONES!$J$28:$J$31,$U51)&gt;0,PRESIONES!$C$9*IF($T51&lt;=10,1,($T51/10)^(2/DATOS!$C$56)),PRESIONES!$C$15)-ABERTURAS!$L$62*PRESIONES!$C$12)*$R51/$M51)</f>
        <v>-5.1608893184009768</v>
      </c>
      <c r="AE51" s="26">
        <f>IF($L51&lt;&gt;"OK",0,(INDEX(PRESIONES!$M$28:$M$31,$U51)*IF(INDEX(PRESIONES!$M$28:$M$31,$U51)&gt;0,PRESIONES!$C$9*IF($T51&lt;=10,1,($T51/10)^(2/DATOS!$C$56)),PRESIONES!$C$15)-ABERTURAS!$L$63*PRESIONES!$C$12)*$R51/$M51)</f>
        <v>-84.268888351998783</v>
      </c>
      <c r="AF51" s="26">
        <f>IF($L51&lt;&gt;"OK",0,(INDEX(PRESIONES!$D$28:$D$31,$U51)*IF(INDEX(PRESIONES!$D$28:$D$31,$U51)&gt;0,PRESIONES!$C$9*IF($T51&lt;=10,1,($T51/10)^(2/DATOS!$C$56)),PRESIONES!$C$15)-ABERTURAS!$L$64*PRESIONES!$C$12)*$S51/$M51)</f>
        <v>75.379258901332534</v>
      </c>
      <c r="AG51" s="26">
        <f>IF($L51&lt;&gt;"OK",0,(INDEX(PRESIONES!$G$28:$G$31,$U51)*IF(INDEX(PRESIONES!$G$28:$G$31,$U51)&gt;0,PRESIONES!$C$9*IF($T51&lt;=10,1,($T51/10)^(2/DATOS!$C$56)),PRESIONES!$C$15)-ABERTURAS!$L$65*PRESIONES!$C$12)*$S51/$M51)</f>
        <v>0.49925890133251594</v>
      </c>
      <c r="AH51" s="26">
        <f>IF($L51&lt;&gt;"OK",0,(INDEX(PRESIONES!$J$28:$J$31,$U51)*IF(INDEX(PRESIONES!$J$28:$J$31,$U51)&gt;0,PRESIONES!$C$9*IF($T51&lt;=10,1,($T51/10)^(2/DATOS!$C$56)),PRESIONES!$C$15)-ABERTURAS!$L$66*PRESIONES!$C$12)*$S51/$M51)</f>
        <v>-5.1608893184009768</v>
      </c>
      <c r="AI51" s="26">
        <f>IF($L51&lt;&gt;"OK",0,(INDEX(PRESIONES!$M$28:$M$31,$U51)*IF(INDEX(PRESIONES!$M$28:$M$31,$U51)&gt;0,PRESIONES!$C$9*IF($T51&lt;=10,1,($T51/10)^(2/DATOS!$C$56)),PRESIONES!$C$15)-ABERTURAS!$L$67*PRESIONES!$C$12)*$S51/$M51)</f>
        <v>-84.268888351998783</v>
      </c>
    </row>
    <row r="52" spans="2:35" ht="16.5" customHeight="1" x14ac:dyDescent="0.3">
      <c r="B52" s="4" t="s">
        <v>443</v>
      </c>
      <c r="C52" s="15" t="s">
        <v>428</v>
      </c>
      <c r="D52" s="4" t="s">
        <v>444</v>
      </c>
      <c r="E52" s="15" t="s">
        <v>430</v>
      </c>
      <c r="F52" s="40">
        <v>6.75</v>
      </c>
      <c r="G52" s="40">
        <v>13.5</v>
      </c>
      <c r="H52" s="40">
        <v>3</v>
      </c>
      <c r="I52" s="40">
        <v>4.2</v>
      </c>
      <c r="J52" s="40"/>
      <c r="K52" s="40"/>
      <c r="L52" s="18" t="str">
        <f t="shared" si="6"/>
        <v>OK</v>
      </c>
      <c r="M52" s="26">
        <f t="shared" si="7"/>
        <v>6.75</v>
      </c>
      <c r="N52" s="26">
        <f t="shared" si="8"/>
        <v>1.2000000000000002</v>
      </c>
      <c r="O52" s="26">
        <f t="shared" si="9"/>
        <v>8.1000000000000014</v>
      </c>
      <c r="P52" s="26">
        <f>IF($U52=0,0,SUMPRODUCT((ABERTURAS!$N$7:$N$26=$U52)*ABERTURAS!$U$7:$U$26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Q52" s="26">
        <f>IF($U52=0,0,SUMPRODUCT((ABERTURAS!$N$7:$N$26=$U52)*ABERTURAS!$V$7:$V$26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R52" s="26">
        <f t="shared" si="10"/>
        <v>8.1000000000000014</v>
      </c>
      <c r="S52" s="26">
        <f t="shared" si="11"/>
        <v>8.1000000000000014</v>
      </c>
      <c r="T52" s="41">
        <f t="shared" si="12"/>
        <v>4.2</v>
      </c>
      <c r="U52" s="41">
        <f t="shared" si="13"/>
        <v>3</v>
      </c>
      <c r="V52" s="41">
        <f t="shared" si="14"/>
        <v>3</v>
      </c>
      <c r="W52" s="41">
        <f t="shared" si="15"/>
        <v>4.2</v>
      </c>
      <c r="X52" s="41">
        <f t="shared" si="16"/>
        <v>6.75</v>
      </c>
      <c r="Y52" s="41">
        <f t="shared" si="17"/>
        <v>13.5</v>
      </c>
      <c r="Z52" s="41">
        <f t="shared" si="18"/>
        <v>3</v>
      </c>
      <c r="AA52" s="41">
        <f t="shared" si="19"/>
        <v>4.2</v>
      </c>
      <c r="AB52" s="26">
        <f>IF($L52&lt;&gt;"OK",0,(INDEX(PRESIONES!$D$28:$D$31,$U52)*IF(INDEX(PRESIONES!$D$28:$D$31,$U52)&gt;0,PRESIONES!$C$9*IF($T52&lt;=10,1,($T52/10)^(2/DATOS!$C$56)),PRESIONES!$C$15)-ABERTURAS!$L$60*PRESIONES!$C$12)*$R52/$M52)</f>
        <v>75.379258901332534</v>
      </c>
      <c r="AC52" s="26">
        <f>IF($L52&lt;&gt;"OK",0,(INDEX(PRESIONES!$G$28:$G$31,$U52)*IF(INDEX(PRESIONES!$G$28:$G$31,$U52)&gt;0,PRESIONES!$C$9*IF($T52&lt;=10,1,($T52/10)^(2/DATOS!$C$56)),PRESIONES!$C$15)-ABERTURAS!$L$61*PRESIONES!$C$12)*$R52/$M52)</f>
        <v>0.49925890133251594</v>
      </c>
      <c r="AD52" s="26">
        <f>IF($L52&lt;&gt;"OK",0,(INDEX(PRESIONES!$J$28:$J$31,$U52)*IF(INDEX(PRESIONES!$J$28:$J$31,$U52)&gt;0,PRESIONES!$C$9*IF($T52&lt;=10,1,($T52/10)^(2/DATOS!$C$56)),PRESIONES!$C$15)-ABERTURAS!$L$62*PRESIONES!$C$12)*$R52/$M52)</f>
        <v>-5.1608893184009768</v>
      </c>
      <c r="AE52" s="26">
        <f>IF($L52&lt;&gt;"OK",0,(INDEX(PRESIONES!$M$28:$M$31,$U52)*IF(INDEX(PRESIONES!$M$28:$M$31,$U52)&gt;0,PRESIONES!$C$9*IF($T52&lt;=10,1,($T52/10)^(2/DATOS!$C$56)),PRESIONES!$C$15)-ABERTURAS!$L$63*PRESIONES!$C$12)*$R52/$M52)</f>
        <v>-84.268888351998783</v>
      </c>
      <c r="AF52" s="26">
        <f>IF($L52&lt;&gt;"OK",0,(INDEX(PRESIONES!$D$28:$D$31,$U52)*IF(INDEX(PRESIONES!$D$28:$D$31,$U52)&gt;0,PRESIONES!$C$9*IF($T52&lt;=10,1,($T52/10)^(2/DATOS!$C$56)),PRESIONES!$C$15)-ABERTURAS!$L$64*PRESIONES!$C$12)*$S52/$M52)</f>
        <v>75.379258901332534</v>
      </c>
      <c r="AG52" s="26">
        <f>IF($L52&lt;&gt;"OK",0,(INDEX(PRESIONES!$G$28:$G$31,$U52)*IF(INDEX(PRESIONES!$G$28:$G$31,$U52)&gt;0,PRESIONES!$C$9*IF($T52&lt;=10,1,($T52/10)^(2/DATOS!$C$56)),PRESIONES!$C$15)-ABERTURAS!$L$65*PRESIONES!$C$12)*$S52/$M52)</f>
        <v>0.49925890133251594</v>
      </c>
      <c r="AH52" s="26">
        <f>IF($L52&lt;&gt;"OK",0,(INDEX(PRESIONES!$J$28:$J$31,$U52)*IF(INDEX(PRESIONES!$J$28:$J$31,$U52)&gt;0,PRESIONES!$C$9*IF($T52&lt;=10,1,($T52/10)^(2/DATOS!$C$56)),PRESIONES!$C$15)-ABERTURAS!$L$66*PRESIONES!$C$12)*$S52/$M52)</f>
        <v>-5.1608893184009768</v>
      </c>
      <c r="AI52" s="26">
        <f>IF($L52&lt;&gt;"OK",0,(INDEX(PRESIONES!$M$28:$M$31,$U52)*IF(INDEX(PRESIONES!$M$28:$M$31,$U52)&gt;0,PRESIONES!$C$9*IF($T52&lt;=10,1,($T52/10)^(2/DATOS!$C$56)),PRESIONES!$C$15)-ABERTURAS!$L$67*PRESIONES!$C$12)*$S52/$M52)</f>
        <v>-84.268888351998783</v>
      </c>
    </row>
    <row r="53" spans="2:35" ht="16.5" customHeight="1" x14ac:dyDescent="0.3">
      <c r="B53" s="4" t="s">
        <v>445</v>
      </c>
      <c r="C53" s="15" t="s">
        <v>428</v>
      </c>
      <c r="D53" s="4" t="s">
        <v>446</v>
      </c>
      <c r="E53" s="15" t="s">
        <v>430</v>
      </c>
      <c r="F53" s="40">
        <v>13.5</v>
      </c>
      <c r="G53" s="40">
        <v>16</v>
      </c>
      <c r="H53" s="40">
        <v>3</v>
      </c>
      <c r="I53" s="40">
        <v>4.2</v>
      </c>
      <c r="J53" s="40"/>
      <c r="K53" s="40"/>
      <c r="L53" s="18" t="str">
        <f t="shared" si="6"/>
        <v>OK</v>
      </c>
      <c r="M53" s="26">
        <f t="shared" si="7"/>
        <v>2.5</v>
      </c>
      <c r="N53" s="26">
        <f t="shared" si="8"/>
        <v>1.2000000000000002</v>
      </c>
      <c r="O53" s="26">
        <f t="shared" si="9"/>
        <v>3.0000000000000004</v>
      </c>
      <c r="P53" s="26">
        <f>IF($U53=0,0,SUMPRODUCT((ABERTURAS!$N$7:$N$26=$U53)*ABERTURAS!$U$7:$U$26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Q53" s="26">
        <f>IF($U53=0,0,SUMPRODUCT((ABERTURAS!$N$7:$N$26=$U53)*ABERTURAS!$V$7:$V$26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R53" s="26">
        <f t="shared" si="10"/>
        <v>3.0000000000000004</v>
      </c>
      <c r="S53" s="26">
        <f t="shared" si="11"/>
        <v>3.0000000000000004</v>
      </c>
      <c r="T53" s="41">
        <f t="shared" si="12"/>
        <v>4.2</v>
      </c>
      <c r="U53" s="41">
        <f t="shared" si="13"/>
        <v>3</v>
      </c>
      <c r="V53" s="41">
        <f t="shared" si="14"/>
        <v>3</v>
      </c>
      <c r="W53" s="41">
        <f t="shared" si="15"/>
        <v>4.2</v>
      </c>
      <c r="X53" s="41">
        <f t="shared" si="16"/>
        <v>13.5</v>
      </c>
      <c r="Y53" s="41">
        <f t="shared" si="17"/>
        <v>16</v>
      </c>
      <c r="Z53" s="41">
        <f t="shared" si="18"/>
        <v>3</v>
      </c>
      <c r="AA53" s="41">
        <f t="shared" si="19"/>
        <v>4.2</v>
      </c>
      <c r="AB53" s="26">
        <f>IF($L53&lt;&gt;"OK",0,(INDEX(PRESIONES!$D$28:$D$31,$U53)*IF(INDEX(PRESIONES!$D$28:$D$31,$U53)&gt;0,PRESIONES!$C$9*IF($T53&lt;=10,1,($T53/10)^(2/DATOS!$C$56)),PRESIONES!$C$15)-ABERTURAS!$L$60*PRESIONES!$C$12)*$R53/$M53)</f>
        <v>75.379258901332534</v>
      </c>
      <c r="AC53" s="26">
        <f>IF($L53&lt;&gt;"OK",0,(INDEX(PRESIONES!$G$28:$G$31,$U53)*IF(INDEX(PRESIONES!$G$28:$G$31,$U53)&gt;0,PRESIONES!$C$9*IF($T53&lt;=10,1,($T53/10)^(2/DATOS!$C$56)),PRESIONES!$C$15)-ABERTURAS!$L$61*PRESIONES!$C$12)*$R53/$M53)</f>
        <v>0.49925890133251594</v>
      </c>
      <c r="AD53" s="26">
        <f>IF($L53&lt;&gt;"OK",0,(INDEX(PRESIONES!$J$28:$J$31,$U53)*IF(INDEX(PRESIONES!$J$28:$J$31,$U53)&gt;0,PRESIONES!$C$9*IF($T53&lt;=10,1,($T53/10)^(2/DATOS!$C$56)),PRESIONES!$C$15)-ABERTURAS!$L$62*PRESIONES!$C$12)*$R53/$M53)</f>
        <v>-5.1608893184009768</v>
      </c>
      <c r="AE53" s="26">
        <f>IF($L53&lt;&gt;"OK",0,(INDEX(PRESIONES!$M$28:$M$31,$U53)*IF(INDEX(PRESIONES!$M$28:$M$31,$U53)&gt;0,PRESIONES!$C$9*IF($T53&lt;=10,1,($T53/10)^(2/DATOS!$C$56)),PRESIONES!$C$15)-ABERTURAS!$L$63*PRESIONES!$C$12)*$R53/$M53)</f>
        <v>-84.268888351998783</v>
      </c>
      <c r="AF53" s="26">
        <f>IF($L53&lt;&gt;"OK",0,(INDEX(PRESIONES!$D$28:$D$31,$U53)*IF(INDEX(PRESIONES!$D$28:$D$31,$U53)&gt;0,PRESIONES!$C$9*IF($T53&lt;=10,1,($T53/10)^(2/DATOS!$C$56)),PRESIONES!$C$15)-ABERTURAS!$L$64*PRESIONES!$C$12)*$S53/$M53)</f>
        <v>75.379258901332534</v>
      </c>
      <c r="AG53" s="26">
        <f>IF($L53&lt;&gt;"OK",0,(INDEX(PRESIONES!$G$28:$G$31,$U53)*IF(INDEX(PRESIONES!$G$28:$G$31,$U53)&gt;0,PRESIONES!$C$9*IF($T53&lt;=10,1,($T53/10)^(2/DATOS!$C$56)),PRESIONES!$C$15)-ABERTURAS!$L$65*PRESIONES!$C$12)*$S53/$M53)</f>
        <v>0.49925890133251594</v>
      </c>
      <c r="AH53" s="26">
        <f>IF($L53&lt;&gt;"OK",0,(INDEX(PRESIONES!$J$28:$J$31,$U53)*IF(INDEX(PRESIONES!$J$28:$J$31,$U53)&gt;0,PRESIONES!$C$9*IF($T53&lt;=10,1,($T53/10)^(2/DATOS!$C$56)),PRESIONES!$C$15)-ABERTURAS!$L$66*PRESIONES!$C$12)*$S53/$M53)</f>
        <v>-5.1608893184009768</v>
      </c>
      <c r="AI53" s="26">
        <f>IF($L53&lt;&gt;"OK",0,(INDEX(PRESIONES!$M$28:$M$31,$U53)*IF(INDEX(PRESIONES!$M$28:$M$31,$U53)&gt;0,PRESIONES!$C$9*IF($T53&lt;=10,1,($T53/10)^(2/DATOS!$C$56)),PRESIONES!$C$15)-ABERTURAS!$L$67*PRESIONES!$C$12)*$S53/$M53)</f>
        <v>-84.268888351998783</v>
      </c>
    </row>
    <row r="54" spans="2:35" ht="16.5" customHeight="1" x14ac:dyDescent="0.3">
      <c r="B54" s="4" t="s">
        <v>447</v>
      </c>
      <c r="C54" s="15" t="s">
        <v>428</v>
      </c>
      <c r="D54" s="4" t="s">
        <v>448</v>
      </c>
      <c r="E54" s="15" t="s">
        <v>430</v>
      </c>
      <c r="F54" s="40">
        <v>0</v>
      </c>
      <c r="G54" s="40">
        <v>6.75</v>
      </c>
      <c r="H54" s="40">
        <v>4.2</v>
      </c>
      <c r="I54" s="40">
        <v>5.4</v>
      </c>
      <c r="J54" s="40"/>
      <c r="K54" s="40"/>
      <c r="L54" s="18" t="str">
        <f t="shared" si="6"/>
        <v>OK</v>
      </c>
      <c r="M54" s="26">
        <f t="shared" si="7"/>
        <v>6.75</v>
      </c>
      <c r="N54" s="26">
        <f t="shared" si="8"/>
        <v>1.2000000000000002</v>
      </c>
      <c r="O54" s="26">
        <f t="shared" si="9"/>
        <v>8.1000000000000014</v>
      </c>
      <c r="P54" s="26">
        <f>IF($U54=0,0,SUMPRODUCT((ABERTURAS!$N$7:$N$26=$U54)*ABERTURAS!$U$7:$U$26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Q54" s="26">
        <f>IF($U54=0,0,SUMPRODUCT((ABERTURAS!$N$7:$N$26=$U54)*ABERTURAS!$V$7:$V$26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R54" s="26">
        <f t="shared" si="10"/>
        <v>8.1000000000000014</v>
      </c>
      <c r="S54" s="26">
        <f t="shared" si="11"/>
        <v>8.1000000000000014</v>
      </c>
      <c r="T54" s="41">
        <f t="shared" si="12"/>
        <v>5.4</v>
      </c>
      <c r="U54" s="41">
        <f t="shared" si="13"/>
        <v>3</v>
      </c>
      <c r="V54" s="41">
        <f t="shared" si="14"/>
        <v>4.2</v>
      </c>
      <c r="W54" s="41">
        <f t="shared" si="15"/>
        <v>5.4</v>
      </c>
      <c r="X54" s="41">
        <f t="shared" si="16"/>
        <v>0</v>
      </c>
      <c r="Y54" s="41">
        <f t="shared" si="17"/>
        <v>6.75</v>
      </c>
      <c r="Z54" s="41">
        <f t="shared" si="18"/>
        <v>4.2</v>
      </c>
      <c r="AA54" s="41">
        <f t="shared" si="19"/>
        <v>5.4</v>
      </c>
      <c r="AB54" s="26">
        <f>IF($L54&lt;&gt;"OK",0,(INDEX(PRESIONES!$D$28:$D$31,$U54)*IF(INDEX(PRESIONES!$D$28:$D$31,$U54)&gt;0,PRESIONES!$C$9*IF($T54&lt;=10,1,($T54/10)^(2/DATOS!$C$56)),PRESIONES!$C$15)-ABERTURAS!$L$60*PRESIONES!$C$12)*$R54/$M54)</f>
        <v>75.379258901332534</v>
      </c>
      <c r="AC54" s="26">
        <f>IF($L54&lt;&gt;"OK",0,(INDEX(PRESIONES!$G$28:$G$31,$U54)*IF(INDEX(PRESIONES!$G$28:$G$31,$U54)&gt;0,PRESIONES!$C$9*IF($T54&lt;=10,1,($T54/10)^(2/DATOS!$C$56)),PRESIONES!$C$15)-ABERTURAS!$L$61*PRESIONES!$C$12)*$R54/$M54)</f>
        <v>0.49925890133251594</v>
      </c>
      <c r="AD54" s="26">
        <f>IF($L54&lt;&gt;"OK",0,(INDEX(PRESIONES!$J$28:$J$31,$U54)*IF(INDEX(PRESIONES!$J$28:$J$31,$U54)&gt;0,PRESIONES!$C$9*IF($T54&lt;=10,1,($T54/10)^(2/DATOS!$C$56)),PRESIONES!$C$15)-ABERTURAS!$L$62*PRESIONES!$C$12)*$R54/$M54)</f>
        <v>-5.1608893184009768</v>
      </c>
      <c r="AE54" s="26">
        <f>IF($L54&lt;&gt;"OK",0,(INDEX(PRESIONES!$M$28:$M$31,$U54)*IF(INDEX(PRESIONES!$M$28:$M$31,$U54)&gt;0,PRESIONES!$C$9*IF($T54&lt;=10,1,($T54/10)^(2/DATOS!$C$56)),PRESIONES!$C$15)-ABERTURAS!$L$63*PRESIONES!$C$12)*$R54/$M54)</f>
        <v>-84.268888351998783</v>
      </c>
      <c r="AF54" s="26">
        <f>IF($L54&lt;&gt;"OK",0,(INDEX(PRESIONES!$D$28:$D$31,$U54)*IF(INDEX(PRESIONES!$D$28:$D$31,$U54)&gt;0,PRESIONES!$C$9*IF($T54&lt;=10,1,($T54/10)^(2/DATOS!$C$56)),PRESIONES!$C$15)-ABERTURAS!$L$64*PRESIONES!$C$12)*$S54/$M54)</f>
        <v>75.379258901332534</v>
      </c>
      <c r="AG54" s="26">
        <f>IF($L54&lt;&gt;"OK",0,(INDEX(PRESIONES!$G$28:$G$31,$U54)*IF(INDEX(PRESIONES!$G$28:$G$31,$U54)&gt;0,PRESIONES!$C$9*IF($T54&lt;=10,1,($T54/10)^(2/DATOS!$C$56)),PRESIONES!$C$15)-ABERTURAS!$L$65*PRESIONES!$C$12)*$S54/$M54)</f>
        <v>0.49925890133251594</v>
      </c>
      <c r="AH54" s="26">
        <f>IF($L54&lt;&gt;"OK",0,(INDEX(PRESIONES!$J$28:$J$31,$U54)*IF(INDEX(PRESIONES!$J$28:$J$31,$U54)&gt;0,PRESIONES!$C$9*IF($T54&lt;=10,1,($T54/10)^(2/DATOS!$C$56)),PRESIONES!$C$15)-ABERTURAS!$L$66*PRESIONES!$C$12)*$S54/$M54)</f>
        <v>-5.1608893184009768</v>
      </c>
      <c r="AI54" s="26">
        <f>IF($L54&lt;&gt;"OK",0,(INDEX(PRESIONES!$M$28:$M$31,$U54)*IF(INDEX(PRESIONES!$M$28:$M$31,$U54)&gt;0,PRESIONES!$C$9*IF($T54&lt;=10,1,($T54/10)^(2/DATOS!$C$56)),PRESIONES!$C$15)-ABERTURAS!$L$67*PRESIONES!$C$12)*$S54/$M54)</f>
        <v>-84.268888351998783</v>
      </c>
    </row>
    <row r="55" spans="2:35" ht="16.5" customHeight="1" x14ac:dyDescent="0.3">
      <c r="B55" s="4" t="s">
        <v>449</v>
      </c>
      <c r="C55" s="15" t="s">
        <v>428</v>
      </c>
      <c r="D55" s="4" t="s">
        <v>450</v>
      </c>
      <c r="E55" s="15" t="s">
        <v>430</v>
      </c>
      <c r="F55" s="40">
        <v>6.75</v>
      </c>
      <c r="G55" s="40">
        <v>13.5</v>
      </c>
      <c r="H55" s="40">
        <v>4.2</v>
      </c>
      <c r="I55" s="40">
        <v>5.4</v>
      </c>
      <c r="J55" s="40"/>
      <c r="K55" s="40"/>
      <c r="L55" s="18" t="str">
        <f t="shared" si="6"/>
        <v>OK</v>
      </c>
      <c r="M55" s="26">
        <f t="shared" si="7"/>
        <v>6.75</v>
      </c>
      <c r="N55" s="26">
        <f t="shared" si="8"/>
        <v>1.2000000000000002</v>
      </c>
      <c r="O55" s="26">
        <f t="shared" si="9"/>
        <v>8.1000000000000014</v>
      </c>
      <c r="P55" s="26">
        <f>IF($U55=0,0,SUMPRODUCT((ABERTURAS!$N$7:$N$26=$U55)*ABERTURAS!$U$7:$U$26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Q55" s="26">
        <f>IF($U55=0,0,SUMPRODUCT((ABERTURAS!$N$7:$N$26=$U55)*ABERTURAS!$V$7:$V$26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R55" s="26">
        <f t="shared" si="10"/>
        <v>8.1000000000000014</v>
      </c>
      <c r="S55" s="26">
        <f t="shared" si="11"/>
        <v>8.1000000000000014</v>
      </c>
      <c r="T55" s="41">
        <f t="shared" si="12"/>
        <v>5.4</v>
      </c>
      <c r="U55" s="41">
        <f t="shared" si="13"/>
        <v>3</v>
      </c>
      <c r="V55" s="41">
        <f t="shared" si="14"/>
        <v>4.2</v>
      </c>
      <c r="W55" s="41">
        <f t="shared" si="15"/>
        <v>5.4</v>
      </c>
      <c r="X55" s="41">
        <f t="shared" si="16"/>
        <v>6.75</v>
      </c>
      <c r="Y55" s="41">
        <f t="shared" si="17"/>
        <v>13.5</v>
      </c>
      <c r="Z55" s="41">
        <f t="shared" si="18"/>
        <v>4.2</v>
      </c>
      <c r="AA55" s="41">
        <f t="shared" si="19"/>
        <v>5.4</v>
      </c>
      <c r="AB55" s="26">
        <f>IF($L55&lt;&gt;"OK",0,(INDEX(PRESIONES!$D$28:$D$31,$U55)*IF(INDEX(PRESIONES!$D$28:$D$31,$U55)&gt;0,PRESIONES!$C$9*IF($T55&lt;=10,1,($T55/10)^(2/DATOS!$C$56)),PRESIONES!$C$15)-ABERTURAS!$L$60*PRESIONES!$C$12)*$R55/$M55)</f>
        <v>75.379258901332534</v>
      </c>
      <c r="AC55" s="26">
        <f>IF($L55&lt;&gt;"OK",0,(INDEX(PRESIONES!$G$28:$G$31,$U55)*IF(INDEX(PRESIONES!$G$28:$G$31,$U55)&gt;0,PRESIONES!$C$9*IF($T55&lt;=10,1,($T55/10)^(2/DATOS!$C$56)),PRESIONES!$C$15)-ABERTURAS!$L$61*PRESIONES!$C$12)*$R55/$M55)</f>
        <v>0.49925890133251594</v>
      </c>
      <c r="AD55" s="26">
        <f>IF($L55&lt;&gt;"OK",0,(INDEX(PRESIONES!$J$28:$J$31,$U55)*IF(INDEX(PRESIONES!$J$28:$J$31,$U55)&gt;0,PRESIONES!$C$9*IF($T55&lt;=10,1,($T55/10)^(2/DATOS!$C$56)),PRESIONES!$C$15)-ABERTURAS!$L$62*PRESIONES!$C$12)*$R55/$M55)</f>
        <v>-5.1608893184009768</v>
      </c>
      <c r="AE55" s="26">
        <f>IF($L55&lt;&gt;"OK",0,(INDEX(PRESIONES!$M$28:$M$31,$U55)*IF(INDEX(PRESIONES!$M$28:$M$31,$U55)&gt;0,PRESIONES!$C$9*IF($T55&lt;=10,1,($T55/10)^(2/DATOS!$C$56)),PRESIONES!$C$15)-ABERTURAS!$L$63*PRESIONES!$C$12)*$R55/$M55)</f>
        <v>-84.268888351998783</v>
      </c>
      <c r="AF55" s="26">
        <f>IF($L55&lt;&gt;"OK",0,(INDEX(PRESIONES!$D$28:$D$31,$U55)*IF(INDEX(PRESIONES!$D$28:$D$31,$U55)&gt;0,PRESIONES!$C$9*IF($T55&lt;=10,1,($T55/10)^(2/DATOS!$C$56)),PRESIONES!$C$15)-ABERTURAS!$L$64*PRESIONES!$C$12)*$S55/$M55)</f>
        <v>75.379258901332534</v>
      </c>
      <c r="AG55" s="26">
        <f>IF($L55&lt;&gt;"OK",0,(INDEX(PRESIONES!$G$28:$G$31,$U55)*IF(INDEX(PRESIONES!$G$28:$G$31,$U55)&gt;0,PRESIONES!$C$9*IF($T55&lt;=10,1,($T55/10)^(2/DATOS!$C$56)),PRESIONES!$C$15)-ABERTURAS!$L$65*PRESIONES!$C$12)*$S55/$M55)</f>
        <v>0.49925890133251594</v>
      </c>
      <c r="AH55" s="26">
        <f>IF($L55&lt;&gt;"OK",0,(INDEX(PRESIONES!$J$28:$J$31,$U55)*IF(INDEX(PRESIONES!$J$28:$J$31,$U55)&gt;0,PRESIONES!$C$9*IF($T55&lt;=10,1,($T55/10)^(2/DATOS!$C$56)),PRESIONES!$C$15)-ABERTURAS!$L$66*PRESIONES!$C$12)*$S55/$M55)</f>
        <v>-5.1608893184009768</v>
      </c>
      <c r="AI55" s="26">
        <f>IF($L55&lt;&gt;"OK",0,(INDEX(PRESIONES!$M$28:$M$31,$U55)*IF(INDEX(PRESIONES!$M$28:$M$31,$U55)&gt;0,PRESIONES!$C$9*IF($T55&lt;=10,1,($T55/10)^(2/DATOS!$C$56)),PRESIONES!$C$15)-ABERTURAS!$L$67*PRESIONES!$C$12)*$S55/$M55)</f>
        <v>-84.268888351998783</v>
      </c>
    </row>
    <row r="56" spans="2:35" ht="16.5" customHeight="1" x14ac:dyDescent="0.3">
      <c r="B56" s="4" t="s">
        <v>451</v>
      </c>
      <c r="C56" s="15" t="s">
        <v>428</v>
      </c>
      <c r="D56" s="4" t="s">
        <v>452</v>
      </c>
      <c r="E56" s="15" t="s">
        <v>430</v>
      </c>
      <c r="F56" s="40">
        <v>13.5</v>
      </c>
      <c r="G56" s="40">
        <v>16</v>
      </c>
      <c r="H56" s="40">
        <v>4.2</v>
      </c>
      <c r="I56" s="40">
        <v>5.4</v>
      </c>
      <c r="J56" s="40"/>
      <c r="K56" s="40"/>
      <c r="L56" s="18" t="str">
        <f t="shared" si="6"/>
        <v>OK</v>
      </c>
      <c r="M56" s="26">
        <f t="shared" si="7"/>
        <v>2.5</v>
      </c>
      <c r="N56" s="26">
        <f t="shared" si="8"/>
        <v>1.2000000000000002</v>
      </c>
      <c r="O56" s="26">
        <f t="shared" si="9"/>
        <v>3.0000000000000004</v>
      </c>
      <c r="P56" s="26">
        <f>IF($U56=0,0,SUMPRODUCT((ABERTURAS!$N$7:$N$26=$U56)*ABERTURAS!$U$7:$U$26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Q56" s="26">
        <f>IF($U56=0,0,SUMPRODUCT((ABERTURAS!$N$7:$N$26=$U56)*ABERTURAS!$V$7:$V$26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R56" s="26">
        <f t="shared" si="10"/>
        <v>3.0000000000000004</v>
      </c>
      <c r="S56" s="26">
        <f t="shared" si="11"/>
        <v>3.0000000000000004</v>
      </c>
      <c r="T56" s="41">
        <f t="shared" si="12"/>
        <v>5.4</v>
      </c>
      <c r="U56" s="41">
        <f t="shared" si="13"/>
        <v>3</v>
      </c>
      <c r="V56" s="41">
        <f t="shared" si="14"/>
        <v>4.2</v>
      </c>
      <c r="W56" s="41">
        <f t="shared" si="15"/>
        <v>5.4</v>
      </c>
      <c r="X56" s="41">
        <f t="shared" si="16"/>
        <v>13.5</v>
      </c>
      <c r="Y56" s="41">
        <f t="shared" si="17"/>
        <v>16</v>
      </c>
      <c r="Z56" s="41">
        <f t="shared" si="18"/>
        <v>4.2</v>
      </c>
      <c r="AA56" s="41">
        <f t="shared" si="19"/>
        <v>5.4</v>
      </c>
      <c r="AB56" s="26">
        <f>IF($L56&lt;&gt;"OK",0,(INDEX(PRESIONES!$D$28:$D$31,$U56)*IF(INDEX(PRESIONES!$D$28:$D$31,$U56)&gt;0,PRESIONES!$C$9*IF($T56&lt;=10,1,($T56/10)^(2/DATOS!$C$56)),PRESIONES!$C$15)-ABERTURAS!$L$60*PRESIONES!$C$12)*$R56/$M56)</f>
        <v>75.379258901332534</v>
      </c>
      <c r="AC56" s="26">
        <f>IF($L56&lt;&gt;"OK",0,(INDEX(PRESIONES!$G$28:$G$31,$U56)*IF(INDEX(PRESIONES!$G$28:$G$31,$U56)&gt;0,PRESIONES!$C$9*IF($T56&lt;=10,1,($T56/10)^(2/DATOS!$C$56)),PRESIONES!$C$15)-ABERTURAS!$L$61*PRESIONES!$C$12)*$R56/$M56)</f>
        <v>0.49925890133251594</v>
      </c>
      <c r="AD56" s="26">
        <f>IF($L56&lt;&gt;"OK",0,(INDEX(PRESIONES!$J$28:$J$31,$U56)*IF(INDEX(PRESIONES!$J$28:$J$31,$U56)&gt;0,PRESIONES!$C$9*IF($T56&lt;=10,1,($T56/10)^(2/DATOS!$C$56)),PRESIONES!$C$15)-ABERTURAS!$L$62*PRESIONES!$C$12)*$R56/$M56)</f>
        <v>-5.1608893184009768</v>
      </c>
      <c r="AE56" s="26">
        <f>IF($L56&lt;&gt;"OK",0,(INDEX(PRESIONES!$M$28:$M$31,$U56)*IF(INDEX(PRESIONES!$M$28:$M$31,$U56)&gt;0,PRESIONES!$C$9*IF($T56&lt;=10,1,($T56/10)^(2/DATOS!$C$56)),PRESIONES!$C$15)-ABERTURAS!$L$63*PRESIONES!$C$12)*$R56/$M56)</f>
        <v>-84.268888351998783</v>
      </c>
      <c r="AF56" s="26">
        <f>IF($L56&lt;&gt;"OK",0,(INDEX(PRESIONES!$D$28:$D$31,$U56)*IF(INDEX(PRESIONES!$D$28:$D$31,$U56)&gt;0,PRESIONES!$C$9*IF($T56&lt;=10,1,($T56/10)^(2/DATOS!$C$56)),PRESIONES!$C$15)-ABERTURAS!$L$64*PRESIONES!$C$12)*$S56/$M56)</f>
        <v>75.379258901332534</v>
      </c>
      <c r="AG56" s="26">
        <f>IF($L56&lt;&gt;"OK",0,(INDEX(PRESIONES!$G$28:$G$31,$U56)*IF(INDEX(PRESIONES!$G$28:$G$31,$U56)&gt;0,PRESIONES!$C$9*IF($T56&lt;=10,1,($T56/10)^(2/DATOS!$C$56)),PRESIONES!$C$15)-ABERTURAS!$L$65*PRESIONES!$C$12)*$S56/$M56)</f>
        <v>0.49925890133251594</v>
      </c>
      <c r="AH56" s="26">
        <f>IF($L56&lt;&gt;"OK",0,(INDEX(PRESIONES!$J$28:$J$31,$U56)*IF(INDEX(PRESIONES!$J$28:$J$31,$U56)&gt;0,PRESIONES!$C$9*IF($T56&lt;=10,1,($T56/10)^(2/DATOS!$C$56)),PRESIONES!$C$15)-ABERTURAS!$L$66*PRESIONES!$C$12)*$S56/$M56)</f>
        <v>-5.1608893184009768</v>
      </c>
      <c r="AI56" s="26">
        <f>IF($L56&lt;&gt;"OK",0,(INDEX(PRESIONES!$M$28:$M$31,$U56)*IF(INDEX(PRESIONES!$M$28:$M$31,$U56)&gt;0,PRESIONES!$C$9*IF($T56&lt;=10,1,($T56/10)^(2/DATOS!$C$56)),PRESIONES!$C$15)-ABERTURAS!$L$67*PRESIONES!$C$12)*$S56/$M56)</f>
        <v>-84.268888351998783</v>
      </c>
    </row>
    <row r="57" spans="2:35" ht="16.5" customHeight="1" x14ac:dyDescent="0.3">
      <c r="B57" s="4" t="s">
        <v>453</v>
      </c>
      <c r="C57" s="15" t="s">
        <v>428</v>
      </c>
      <c r="D57" s="4" t="s">
        <v>454</v>
      </c>
      <c r="E57" s="15" t="s">
        <v>430</v>
      </c>
      <c r="F57" s="40">
        <v>0</v>
      </c>
      <c r="G57" s="40">
        <v>6.75</v>
      </c>
      <c r="H57" s="40">
        <v>5.4</v>
      </c>
      <c r="I57" s="40">
        <v>6.6</v>
      </c>
      <c r="J57" s="40"/>
      <c r="K57" s="40"/>
      <c r="L57" s="18" t="str">
        <f t="shared" si="6"/>
        <v>OK</v>
      </c>
      <c r="M57" s="26">
        <f t="shared" si="7"/>
        <v>6.75</v>
      </c>
      <c r="N57" s="26">
        <f t="shared" si="8"/>
        <v>1.1999999999999993</v>
      </c>
      <c r="O57" s="26">
        <f t="shared" si="9"/>
        <v>8.0999999999999943</v>
      </c>
      <c r="P57" s="26">
        <f>IF($U57=0,0,SUMPRODUCT((ABERTURAS!$N$7:$N$26=$U57)*ABERTURAS!$U$7:$U$26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Q57" s="26">
        <f>IF($U57=0,0,SUMPRODUCT((ABERTURAS!$N$7:$N$26=$U57)*ABERTURAS!$V$7:$V$26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R57" s="26">
        <f t="shared" si="10"/>
        <v>8.0999999999999943</v>
      </c>
      <c r="S57" s="26">
        <f t="shared" si="11"/>
        <v>8.0999999999999943</v>
      </c>
      <c r="T57" s="41">
        <f t="shared" si="12"/>
        <v>6.6</v>
      </c>
      <c r="U57" s="41">
        <f t="shared" si="13"/>
        <v>3</v>
      </c>
      <c r="V57" s="41">
        <f t="shared" si="14"/>
        <v>5.4</v>
      </c>
      <c r="W57" s="41">
        <f t="shared" si="15"/>
        <v>6.6</v>
      </c>
      <c r="X57" s="41">
        <f t="shared" si="16"/>
        <v>0</v>
      </c>
      <c r="Y57" s="41">
        <f t="shared" si="17"/>
        <v>6.75</v>
      </c>
      <c r="Z57" s="41">
        <f t="shared" si="18"/>
        <v>5.4</v>
      </c>
      <c r="AA57" s="41">
        <f t="shared" si="19"/>
        <v>6.6</v>
      </c>
      <c r="AB57" s="26">
        <f>IF($L57&lt;&gt;"OK",0,(INDEX(PRESIONES!$D$28:$D$31,$U57)*IF(INDEX(PRESIONES!$D$28:$D$31,$U57)&gt;0,PRESIONES!$C$9*IF($T57&lt;=10,1,($T57/10)^(2/DATOS!$C$56)),PRESIONES!$C$15)-ABERTURAS!$L$60*PRESIONES!$C$12)*$R57/$M57)</f>
        <v>75.379258901332477</v>
      </c>
      <c r="AC57" s="26">
        <f>IF($L57&lt;&gt;"OK",0,(INDEX(PRESIONES!$G$28:$G$31,$U57)*IF(INDEX(PRESIONES!$G$28:$G$31,$U57)&gt;0,PRESIONES!$C$9*IF($T57&lt;=10,1,($T57/10)^(2/DATOS!$C$56)),PRESIONES!$C$15)-ABERTURAS!$L$61*PRESIONES!$C$12)*$R57/$M57)</f>
        <v>0.49925890133251549</v>
      </c>
      <c r="AD57" s="26">
        <f>IF($L57&lt;&gt;"OK",0,(INDEX(PRESIONES!$J$28:$J$31,$U57)*IF(INDEX(PRESIONES!$J$28:$J$31,$U57)&gt;0,PRESIONES!$C$9*IF($T57&lt;=10,1,($T57/10)^(2/DATOS!$C$56)),PRESIONES!$C$15)-ABERTURAS!$L$62*PRESIONES!$C$12)*$R57/$M57)</f>
        <v>-5.1608893184009723</v>
      </c>
      <c r="AE57" s="26">
        <f>IF($L57&lt;&gt;"OK",0,(INDEX(PRESIONES!$M$28:$M$31,$U57)*IF(INDEX(PRESIONES!$M$28:$M$31,$U57)&gt;0,PRESIONES!$C$9*IF($T57&lt;=10,1,($T57/10)^(2/DATOS!$C$56)),PRESIONES!$C$15)-ABERTURAS!$L$63*PRESIONES!$C$12)*$R57/$M57)</f>
        <v>-84.268888351998712</v>
      </c>
      <c r="AF57" s="26">
        <f>IF($L57&lt;&gt;"OK",0,(INDEX(PRESIONES!$D$28:$D$31,$U57)*IF(INDEX(PRESIONES!$D$28:$D$31,$U57)&gt;0,PRESIONES!$C$9*IF($T57&lt;=10,1,($T57/10)^(2/DATOS!$C$56)),PRESIONES!$C$15)-ABERTURAS!$L$64*PRESIONES!$C$12)*$S57/$M57)</f>
        <v>75.379258901332477</v>
      </c>
      <c r="AG57" s="26">
        <f>IF($L57&lt;&gt;"OK",0,(INDEX(PRESIONES!$G$28:$G$31,$U57)*IF(INDEX(PRESIONES!$G$28:$G$31,$U57)&gt;0,PRESIONES!$C$9*IF($T57&lt;=10,1,($T57/10)^(2/DATOS!$C$56)),PRESIONES!$C$15)-ABERTURAS!$L$65*PRESIONES!$C$12)*$S57/$M57)</f>
        <v>0.49925890133251549</v>
      </c>
      <c r="AH57" s="26">
        <f>IF($L57&lt;&gt;"OK",0,(INDEX(PRESIONES!$J$28:$J$31,$U57)*IF(INDEX(PRESIONES!$J$28:$J$31,$U57)&gt;0,PRESIONES!$C$9*IF($T57&lt;=10,1,($T57/10)^(2/DATOS!$C$56)),PRESIONES!$C$15)-ABERTURAS!$L$66*PRESIONES!$C$12)*$S57/$M57)</f>
        <v>-5.1608893184009723</v>
      </c>
      <c r="AI57" s="26">
        <f>IF($L57&lt;&gt;"OK",0,(INDEX(PRESIONES!$M$28:$M$31,$U57)*IF(INDEX(PRESIONES!$M$28:$M$31,$U57)&gt;0,PRESIONES!$C$9*IF($T57&lt;=10,1,($T57/10)^(2/DATOS!$C$56)),PRESIONES!$C$15)-ABERTURAS!$L$67*PRESIONES!$C$12)*$S57/$M57)</f>
        <v>-84.268888351998712</v>
      </c>
    </row>
    <row r="58" spans="2:35" ht="16.5" customHeight="1" x14ac:dyDescent="0.3">
      <c r="B58" s="4" t="s">
        <v>455</v>
      </c>
      <c r="C58" s="15" t="s">
        <v>428</v>
      </c>
      <c r="D58" s="4" t="s">
        <v>456</v>
      </c>
      <c r="E58" s="15" t="s">
        <v>430</v>
      </c>
      <c r="F58" s="40">
        <v>6.75</v>
      </c>
      <c r="G58" s="40">
        <v>13.5</v>
      </c>
      <c r="H58" s="40">
        <v>5.4</v>
      </c>
      <c r="I58" s="40">
        <v>6.6</v>
      </c>
      <c r="J58" s="40"/>
      <c r="K58" s="40"/>
      <c r="L58" s="18" t="str">
        <f t="shared" si="6"/>
        <v>OK</v>
      </c>
      <c r="M58" s="26">
        <f t="shared" si="7"/>
        <v>6.75</v>
      </c>
      <c r="N58" s="26">
        <f t="shared" si="8"/>
        <v>1.1999999999999993</v>
      </c>
      <c r="O58" s="26">
        <f t="shared" si="9"/>
        <v>8.0999999999999943</v>
      </c>
      <c r="P58" s="26">
        <f>IF($U58=0,0,SUMPRODUCT((ABERTURAS!$N$7:$N$26=$U58)*ABERTURAS!$U$7:$U$26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Q58" s="26">
        <f>IF($U58=0,0,SUMPRODUCT((ABERTURAS!$N$7:$N$26=$U58)*ABERTURAS!$V$7:$V$26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R58" s="26">
        <f t="shared" si="10"/>
        <v>8.0999999999999943</v>
      </c>
      <c r="S58" s="26">
        <f t="shared" si="11"/>
        <v>8.0999999999999943</v>
      </c>
      <c r="T58" s="41">
        <f t="shared" si="12"/>
        <v>6.6</v>
      </c>
      <c r="U58" s="41">
        <f t="shared" si="13"/>
        <v>3</v>
      </c>
      <c r="V58" s="41">
        <f t="shared" si="14"/>
        <v>5.4</v>
      </c>
      <c r="W58" s="41">
        <f t="shared" si="15"/>
        <v>6.6</v>
      </c>
      <c r="X58" s="41">
        <f t="shared" si="16"/>
        <v>6.75</v>
      </c>
      <c r="Y58" s="41">
        <f t="shared" si="17"/>
        <v>13.5</v>
      </c>
      <c r="Z58" s="41">
        <f t="shared" si="18"/>
        <v>5.4</v>
      </c>
      <c r="AA58" s="41">
        <f t="shared" si="19"/>
        <v>6.6</v>
      </c>
      <c r="AB58" s="26">
        <f>IF($L58&lt;&gt;"OK",0,(INDEX(PRESIONES!$D$28:$D$31,$U58)*IF(INDEX(PRESIONES!$D$28:$D$31,$U58)&gt;0,PRESIONES!$C$9*IF($T58&lt;=10,1,($T58/10)^(2/DATOS!$C$56)),PRESIONES!$C$15)-ABERTURAS!$L$60*PRESIONES!$C$12)*$R58/$M58)</f>
        <v>75.379258901332477</v>
      </c>
      <c r="AC58" s="26">
        <f>IF($L58&lt;&gt;"OK",0,(INDEX(PRESIONES!$G$28:$G$31,$U58)*IF(INDEX(PRESIONES!$G$28:$G$31,$U58)&gt;0,PRESIONES!$C$9*IF($T58&lt;=10,1,($T58/10)^(2/DATOS!$C$56)),PRESIONES!$C$15)-ABERTURAS!$L$61*PRESIONES!$C$12)*$R58/$M58)</f>
        <v>0.49925890133251549</v>
      </c>
      <c r="AD58" s="26">
        <f>IF($L58&lt;&gt;"OK",0,(INDEX(PRESIONES!$J$28:$J$31,$U58)*IF(INDEX(PRESIONES!$J$28:$J$31,$U58)&gt;0,PRESIONES!$C$9*IF($T58&lt;=10,1,($T58/10)^(2/DATOS!$C$56)),PRESIONES!$C$15)-ABERTURAS!$L$62*PRESIONES!$C$12)*$R58/$M58)</f>
        <v>-5.1608893184009723</v>
      </c>
      <c r="AE58" s="26">
        <f>IF($L58&lt;&gt;"OK",0,(INDEX(PRESIONES!$M$28:$M$31,$U58)*IF(INDEX(PRESIONES!$M$28:$M$31,$U58)&gt;0,PRESIONES!$C$9*IF($T58&lt;=10,1,($T58/10)^(2/DATOS!$C$56)),PRESIONES!$C$15)-ABERTURAS!$L$63*PRESIONES!$C$12)*$R58/$M58)</f>
        <v>-84.268888351998712</v>
      </c>
      <c r="AF58" s="26">
        <f>IF($L58&lt;&gt;"OK",0,(INDEX(PRESIONES!$D$28:$D$31,$U58)*IF(INDEX(PRESIONES!$D$28:$D$31,$U58)&gt;0,PRESIONES!$C$9*IF($T58&lt;=10,1,($T58/10)^(2/DATOS!$C$56)),PRESIONES!$C$15)-ABERTURAS!$L$64*PRESIONES!$C$12)*$S58/$M58)</f>
        <v>75.379258901332477</v>
      </c>
      <c r="AG58" s="26">
        <f>IF($L58&lt;&gt;"OK",0,(INDEX(PRESIONES!$G$28:$G$31,$U58)*IF(INDEX(PRESIONES!$G$28:$G$31,$U58)&gt;0,PRESIONES!$C$9*IF($T58&lt;=10,1,($T58/10)^(2/DATOS!$C$56)),PRESIONES!$C$15)-ABERTURAS!$L$65*PRESIONES!$C$12)*$S58/$M58)</f>
        <v>0.49925890133251549</v>
      </c>
      <c r="AH58" s="26">
        <f>IF($L58&lt;&gt;"OK",0,(INDEX(PRESIONES!$J$28:$J$31,$U58)*IF(INDEX(PRESIONES!$J$28:$J$31,$U58)&gt;0,PRESIONES!$C$9*IF($T58&lt;=10,1,($T58/10)^(2/DATOS!$C$56)),PRESIONES!$C$15)-ABERTURAS!$L$66*PRESIONES!$C$12)*$S58/$M58)</f>
        <v>-5.1608893184009723</v>
      </c>
      <c r="AI58" s="26">
        <f>IF($L58&lt;&gt;"OK",0,(INDEX(PRESIONES!$M$28:$M$31,$U58)*IF(INDEX(PRESIONES!$M$28:$M$31,$U58)&gt;0,PRESIONES!$C$9*IF($T58&lt;=10,1,($T58/10)^(2/DATOS!$C$56)),PRESIONES!$C$15)-ABERTURAS!$L$67*PRESIONES!$C$12)*$S58/$M58)</f>
        <v>-84.268888351998712</v>
      </c>
    </row>
    <row r="59" spans="2:35" ht="16.5" customHeight="1" x14ac:dyDescent="0.3">
      <c r="B59" s="4" t="s">
        <v>457</v>
      </c>
      <c r="C59" s="15" t="s">
        <v>428</v>
      </c>
      <c r="D59" s="4" t="s">
        <v>458</v>
      </c>
      <c r="E59" s="15" t="s">
        <v>430</v>
      </c>
      <c r="F59" s="40">
        <v>13.5</v>
      </c>
      <c r="G59" s="40">
        <v>16</v>
      </c>
      <c r="H59" s="40">
        <v>5.4</v>
      </c>
      <c r="I59" s="40">
        <v>6.6</v>
      </c>
      <c r="J59" s="40"/>
      <c r="K59" s="40"/>
      <c r="L59" s="18" t="str">
        <f t="shared" si="6"/>
        <v>OK</v>
      </c>
      <c r="M59" s="26">
        <f t="shared" si="7"/>
        <v>2.5</v>
      </c>
      <c r="N59" s="26">
        <f t="shared" si="8"/>
        <v>1.1999999999999993</v>
      </c>
      <c r="O59" s="26">
        <f t="shared" si="9"/>
        <v>2.9999999999999982</v>
      </c>
      <c r="P59" s="26">
        <f>IF($U59=0,0,SUMPRODUCT((ABERTURAS!$N$7:$N$26=$U59)*ABERTURAS!$U$7:$U$26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Q59" s="26">
        <f>IF($U59=0,0,SUMPRODUCT((ABERTURAS!$N$7:$N$26=$U59)*ABERTURAS!$V$7:$V$26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R59" s="26">
        <f t="shared" si="10"/>
        <v>2.9999999999999982</v>
      </c>
      <c r="S59" s="26">
        <f t="shared" si="11"/>
        <v>2.9999999999999982</v>
      </c>
      <c r="T59" s="41">
        <f t="shared" si="12"/>
        <v>6.6</v>
      </c>
      <c r="U59" s="41">
        <f t="shared" si="13"/>
        <v>3</v>
      </c>
      <c r="V59" s="41">
        <f t="shared" si="14"/>
        <v>5.4</v>
      </c>
      <c r="W59" s="41">
        <f t="shared" si="15"/>
        <v>6.6</v>
      </c>
      <c r="X59" s="41">
        <f t="shared" si="16"/>
        <v>13.5</v>
      </c>
      <c r="Y59" s="41">
        <f t="shared" si="17"/>
        <v>16</v>
      </c>
      <c r="Z59" s="41">
        <f t="shared" si="18"/>
        <v>5.4</v>
      </c>
      <c r="AA59" s="41">
        <f t="shared" si="19"/>
        <v>6.6</v>
      </c>
      <c r="AB59" s="26">
        <f>IF($L59&lt;&gt;"OK",0,(INDEX(PRESIONES!$D$28:$D$31,$U59)*IF(INDEX(PRESIONES!$D$28:$D$31,$U59)&gt;0,PRESIONES!$C$9*IF($T59&lt;=10,1,($T59/10)^(2/DATOS!$C$56)),PRESIONES!$C$15)-ABERTURAS!$L$60*PRESIONES!$C$12)*$R59/$M59)</f>
        <v>75.379258901332477</v>
      </c>
      <c r="AC59" s="26">
        <f>IF($L59&lt;&gt;"OK",0,(INDEX(PRESIONES!$G$28:$G$31,$U59)*IF(INDEX(PRESIONES!$G$28:$G$31,$U59)&gt;0,PRESIONES!$C$9*IF($T59&lt;=10,1,($T59/10)^(2/DATOS!$C$56)),PRESIONES!$C$15)-ABERTURAS!$L$61*PRESIONES!$C$12)*$R59/$M59)</f>
        <v>0.4992589013325156</v>
      </c>
      <c r="AD59" s="26">
        <f>IF($L59&lt;&gt;"OK",0,(INDEX(PRESIONES!$J$28:$J$31,$U59)*IF(INDEX(PRESIONES!$J$28:$J$31,$U59)&gt;0,PRESIONES!$C$9*IF($T59&lt;=10,1,($T59/10)^(2/DATOS!$C$56)),PRESIONES!$C$15)-ABERTURAS!$L$62*PRESIONES!$C$12)*$R59/$M59)</f>
        <v>-5.1608893184009732</v>
      </c>
      <c r="AE59" s="26">
        <f>IF($L59&lt;&gt;"OK",0,(INDEX(PRESIONES!$M$28:$M$31,$U59)*IF(INDEX(PRESIONES!$M$28:$M$31,$U59)&gt;0,PRESIONES!$C$9*IF($T59&lt;=10,1,($T59/10)^(2/DATOS!$C$56)),PRESIONES!$C$15)-ABERTURAS!$L$63*PRESIONES!$C$12)*$R59/$M59)</f>
        <v>-84.268888351998726</v>
      </c>
      <c r="AF59" s="26">
        <f>IF($L59&lt;&gt;"OK",0,(INDEX(PRESIONES!$D$28:$D$31,$U59)*IF(INDEX(PRESIONES!$D$28:$D$31,$U59)&gt;0,PRESIONES!$C$9*IF($T59&lt;=10,1,($T59/10)^(2/DATOS!$C$56)),PRESIONES!$C$15)-ABERTURAS!$L$64*PRESIONES!$C$12)*$S59/$M59)</f>
        <v>75.379258901332477</v>
      </c>
      <c r="AG59" s="26">
        <f>IF($L59&lt;&gt;"OK",0,(INDEX(PRESIONES!$G$28:$G$31,$U59)*IF(INDEX(PRESIONES!$G$28:$G$31,$U59)&gt;0,PRESIONES!$C$9*IF($T59&lt;=10,1,($T59/10)^(2/DATOS!$C$56)),PRESIONES!$C$15)-ABERTURAS!$L$65*PRESIONES!$C$12)*$S59/$M59)</f>
        <v>0.4992589013325156</v>
      </c>
      <c r="AH59" s="26">
        <f>IF($L59&lt;&gt;"OK",0,(INDEX(PRESIONES!$J$28:$J$31,$U59)*IF(INDEX(PRESIONES!$J$28:$J$31,$U59)&gt;0,PRESIONES!$C$9*IF($T59&lt;=10,1,($T59/10)^(2/DATOS!$C$56)),PRESIONES!$C$15)-ABERTURAS!$L$66*PRESIONES!$C$12)*$S59/$M59)</f>
        <v>-5.1608893184009732</v>
      </c>
      <c r="AI59" s="26">
        <f>IF($L59&lt;&gt;"OK",0,(INDEX(PRESIONES!$M$28:$M$31,$U59)*IF(INDEX(PRESIONES!$M$28:$M$31,$U59)&gt;0,PRESIONES!$C$9*IF($T59&lt;=10,1,($T59/10)^(2/DATOS!$C$56)),PRESIONES!$C$15)-ABERTURAS!$L$67*PRESIONES!$C$12)*$S59/$M59)</f>
        <v>-84.268888351998726</v>
      </c>
    </row>
    <row r="60" spans="2:35" ht="16.5" customHeight="1" x14ac:dyDescent="0.3">
      <c r="B60" s="4" t="s">
        <v>459</v>
      </c>
      <c r="C60" s="15" t="s">
        <v>428</v>
      </c>
      <c r="D60" s="4" t="s">
        <v>460</v>
      </c>
      <c r="E60" s="15" t="s">
        <v>430</v>
      </c>
      <c r="F60" s="40">
        <v>0</v>
      </c>
      <c r="G60" s="40">
        <v>6.75</v>
      </c>
      <c r="H60" s="40">
        <v>6.6</v>
      </c>
      <c r="I60" s="40">
        <v>7.8</v>
      </c>
      <c r="J60" s="40"/>
      <c r="K60" s="40"/>
      <c r="L60" s="18" t="str">
        <f t="shared" si="6"/>
        <v>OK</v>
      </c>
      <c r="M60" s="26">
        <f t="shared" si="7"/>
        <v>6.75</v>
      </c>
      <c r="N60" s="26">
        <f t="shared" si="8"/>
        <v>1.2000000000000002</v>
      </c>
      <c r="O60" s="26">
        <f t="shared" si="9"/>
        <v>8.1000000000000014</v>
      </c>
      <c r="P60" s="26">
        <f>IF($U60=0,0,SUMPRODUCT((ABERTURAS!$N$7:$N$26=$U60)*ABERTURAS!$U$7:$U$26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Q60" s="26">
        <f>IF($U60=0,0,SUMPRODUCT((ABERTURAS!$N$7:$N$26=$U60)*ABERTURAS!$V$7:$V$26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R60" s="26">
        <f t="shared" si="10"/>
        <v>8.1000000000000014</v>
      </c>
      <c r="S60" s="26">
        <f t="shared" si="11"/>
        <v>8.1000000000000014</v>
      </c>
      <c r="T60" s="41">
        <f t="shared" si="12"/>
        <v>7.8</v>
      </c>
      <c r="U60" s="41">
        <f t="shared" si="13"/>
        <v>3</v>
      </c>
      <c r="V60" s="41">
        <f t="shared" si="14"/>
        <v>6.6</v>
      </c>
      <c r="W60" s="41">
        <f t="shared" si="15"/>
        <v>7.8</v>
      </c>
      <c r="X60" s="41">
        <f t="shared" si="16"/>
        <v>0</v>
      </c>
      <c r="Y60" s="41">
        <f t="shared" si="17"/>
        <v>6.75</v>
      </c>
      <c r="Z60" s="41">
        <f t="shared" si="18"/>
        <v>6.6</v>
      </c>
      <c r="AA60" s="41">
        <f t="shared" si="19"/>
        <v>7.8</v>
      </c>
      <c r="AB60" s="26">
        <f>IF($L60&lt;&gt;"OK",0,(INDEX(PRESIONES!$D$28:$D$31,$U60)*IF(INDEX(PRESIONES!$D$28:$D$31,$U60)&gt;0,PRESIONES!$C$9*IF($T60&lt;=10,1,($T60/10)^(2/DATOS!$C$56)),PRESIONES!$C$15)-ABERTURAS!$L$60*PRESIONES!$C$12)*$R60/$M60)</f>
        <v>75.379258901332534</v>
      </c>
      <c r="AC60" s="26">
        <f>IF($L60&lt;&gt;"OK",0,(INDEX(PRESIONES!$G$28:$G$31,$U60)*IF(INDEX(PRESIONES!$G$28:$G$31,$U60)&gt;0,PRESIONES!$C$9*IF($T60&lt;=10,1,($T60/10)^(2/DATOS!$C$56)),PRESIONES!$C$15)-ABERTURAS!$L$61*PRESIONES!$C$12)*$R60/$M60)</f>
        <v>0.49925890133251594</v>
      </c>
      <c r="AD60" s="26">
        <f>IF($L60&lt;&gt;"OK",0,(INDEX(PRESIONES!$J$28:$J$31,$U60)*IF(INDEX(PRESIONES!$J$28:$J$31,$U60)&gt;0,PRESIONES!$C$9*IF($T60&lt;=10,1,($T60/10)^(2/DATOS!$C$56)),PRESIONES!$C$15)-ABERTURAS!$L$62*PRESIONES!$C$12)*$R60/$M60)</f>
        <v>-5.1608893184009768</v>
      </c>
      <c r="AE60" s="26">
        <f>IF($L60&lt;&gt;"OK",0,(INDEX(PRESIONES!$M$28:$M$31,$U60)*IF(INDEX(PRESIONES!$M$28:$M$31,$U60)&gt;0,PRESIONES!$C$9*IF($T60&lt;=10,1,($T60/10)^(2/DATOS!$C$56)),PRESIONES!$C$15)-ABERTURAS!$L$63*PRESIONES!$C$12)*$R60/$M60)</f>
        <v>-84.268888351998783</v>
      </c>
      <c r="AF60" s="26">
        <f>IF($L60&lt;&gt;"OK",0,(INDEX(PRESIONES!$D$28:$D$31,$U60)*IF(INDEX(PRESIONES!$D$28:$D$31,$U60)&gt;0,PRESIONES!$C$9*IF($T60&lt;=10,1,($T60/10)^(2/DATOS!$C$56)),PRESIONES!$C$15)-ABERTURAS!$L$64*PRESIONES!$C$12)*$S60/$M60)</f>
        <v>75.379258901332534</v>
      </c>
      <c r="AG60" s="26">
        <f>IF($L60&lt;&gt;"OK",0,(INDEX(PRESIONES!$G$28:$G$31,$U60)*IF(INDEX(PRESIONES!$G$28:$G$31,$U60)&gt;0,PRESIONES!$C$9*IF($T60&lt;=10,1,($T60/10)^(2/DATOS!$C$56)),PRESIONES!$C$15)-ABERTURAS!$L$65*PRESIONES!$C$12)*$S60/$M60)</f>
        <v>0.49925890133251594</v>
      </c>
      <c r="AH60" s="26">
        <f>IF($L60&lt;&gt;"OK",0,(INDEX(PRESIONES!$J$28:$J$31,$U60)*IF(INDEX(PRESIONES!$J$28:$J$31,$U60)&gt;0,PRESIONES!$C$9*IF($T60&lt;=10,1,($T60/10)^(2/DATOS!$C$56)),PRESIONES!$C$15)-ABERTURAS!$L$66*PRESIONES!$C$12)*$S60/$M60)</f>
        <v>-5.1608893184009768</v>
      </c>
      <c r="AI60" s="26">
        <f>IF($L60&lt;&gt;"OK",0,(INDEX(PRESIONES!$M$28:$M$31,$U60)*IF(INDEX(PRESIONES!$M$28:$M$31,$U60)&gt;0,PRESIONES!$C$9*IF($T60&lt;=10,1,($T60/10)^(2/DATOS!$C$56)),PRESIONES!$C$15)-ABERTURAS!$L$67*PRESIONES!$C$12)*$S60/$M60)</f>
        <v>-84.268888351998783</v>
      </c>
    </row>
    <row r="61" spans="2:35" ht="16.5" customHeight="1" x14ac:dyDescent="0.3">
      <c r="B61" s="4" t="s">
        <v>461</v>
      </c>
      <c r="C61" s="15" t="s">
        <v>428</v>
      </c>
      <c r="D61" s="4" t="s">
        <v>462</v>
      </c>
      <c r="E61" s="15" t="s">
        <v>430</v>
      </c>
      <c r="F61" s="40">
        <v>6.75</v>
      </c>
      <c r="G61" s="40">
        <v>13.5</v>
      </c>
      <c r="H61" s="40">
        <v>6.6</v>
      </c>
      <c r="I61" s="40">
        <v>7.8</v>
      </c>
      <c r="J61" s="40"/>
      <c r="K61" s="40"/>
      <c r="L61" s="18" t="str">
        <f t="shared" si="6"/>
        <v>OK</v>
      </c>
      <c r="M61" s="26">
        <f t="shared" si="7"/>
        <v>6.75</v>
      </c>
      <c r="N61" s="26">
        <f t="shared" si="8"/>
        <v>1.2000000000000002</v>
      </c>
      <c r="O61" s="26">
        <f t="shared" si="9"/>
        <v>8.1000000000000014</v>
      </c>
      <c r="P61" s="26">
        <f>IF($U61=0,0,SUMPRODUCT((ABERTURAS!$N$7:$N$26=$U61)*ABERTURAS!$U$7:$U$26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Q61" s="26">
        <f>IF($U61=0,0,SUMPRODUCT((ABERTURAS!$N$7:$N$26=$U61)*ABERTURAS!$V$7:$V$26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R61" s="26">
        <f t="shared" si="10"/>
        <v>8.1000000000000014</v>
      </c>
      <c r="S61" s="26">
        <f t="shared" si="11"/>
        <v>8.1000000000000014</v>
      </c>
      <c r="T61" s="41">
        <f t="shared" si="12"/>
        <v>7.8</v>
      </c>
      <c r="U61" s="41">
        <f t="shared" si="13"/>
        <v>3</v>
      </c>
      <c r="V61" s="41">
        <f t="shared" si="14"/>
        <v>6.6</v>
      </c>
      <c r="W61" s="41">
        <f t="shared" si="15"/>
        <v>7.8</v>
      </c>
      <c r="X61" s="41">
        <f t="shared" si="16"/>
        <v>6.75</v>
      </c>
      <c r="Y61" s="41">
        <f t="shared" si="17"/>
        <v>13.5</v>
      </c>
      <c r="Z61" s="41">
        <f t="shared" si="18"/>
        <v>6.6</v>
      </c>
      <c r="AA61" s="41">
        <f t="shared" si="19"/>
        <v>7.8</v>
      </c>
      <c r="AB61" s="26">
        <f>IF($L61&lt;&gt;"OK",0,(INDEX(PRESIONES!$D$28:$D$31,$U61)*IF(INDEX(PRESIONES!$D$28:$D$31,$U61)&gt;0,PRESIONES!$C$9*IF($T61&lt;=10,1,($T61/10)^(2/DATOS!$C$56)),PRESIONES!$C$15)-ABERTURAS!$L$60*PRESIONES!$C$12)*$R61/$M61)</f>
        <v>75.379258901332534</v>
      </c>
      <c r="AC61" s="26">
        <f>IF($L61&lt;&gt;"OK",0,(INDEX(PRESIONES!$G$28:$G$31,$U61)*IF(INDEX(PRESIONES!$G$28:$G$31,$U61)&gt;0,PRESIONES!$C$9*IF($T61&lt;=10,1,($T61/10)^(2/DATOS!$C$56)),PRESIONES!$C$15)-ABERTURAS!$L$61*PRESIONES!$C$12)*$R61/$M61)</f>
        <v>0.49925890133251594</v>
      </c>
      <c r="AD61" s="26">
        <f>IF($L61&lt;&gt;"OK",0,(INDEX(PRESIONES!$J$28:$J$31,$U61)*IF(INDEX(PRESIONES!$J$28:$J$31,$U61)&gt;0,PRESIONES!$C$9*IF($T61&lt;=10,1,($T61/10)^(2/DATOS!$C$56)),PRESIONES!$C$15)-ABERTURAS!$L$62*PRESIONES!$C$12)*$R61/$M61)</f>
        <v>-5.1608893184009768</v>
      </c>
      <c r="AE61" s="26">
        <f>IF($L61&lt;&gt;"OK",0,(INDEX(PRESIONES!$M$28:$M$31,$U61)*IF(INDEX(PRESIONES!$M$28:$M$31,$U61)&gt;0,PRESIONES!$C$9*IF($T61&lt;=10,1,($T61/10)^(2/DATOS!$C$56)),PRESIONES!$C$15)-ABERTURAS!$L$63*PRESIONES!$C$12)*$R61/$M61)</f>
        <v>-84.268888351998783</v>
      </c>
      <c r="AF61" s="26">
        <f>IF($L61&lt;&gt;"OK",0,(INDEX(PRESIONES!$D$28:$D$31,$U61)*IF(INDEX(PRESIONES!$D$28:$D$31,$U61)&gt;0,PRESIONES!$C$9*IF($T61&lt;=10,1,($T61/10)^(2/DATOS!$C$56)),PRESIONES!$C$15)-ABERTURAS!$L$64*PRESIONES!$C$12)*$S61/$M61)</f>
        <v>75.379258901332534</v>
      </c>
      <c r="AG61" s="26">
        <f>IF($L61&lt;&gt;"OK",0,(INDEX(PRESIONES!$G$28:$G$31,$U61)*IF(INDEX(PRESIONES!$G$28:$G$31,$U61)&gt;0,PRESIONES!$C$9*IF($T61&lt;=10,1,($T61/10)^(2/DATOS!$C$56)),PRESIONES!$C$15)-ABERTURAS!$L$65*PRESIONES!$C$12)*$S61/$M61)</f>
        <v>0.49925890133251594</v>
      </c>
      <c r="AH61" s="26">
        <f>IF($L61&lt;&gt;"OK",0,(INDEX(PRESIONES!$J$28:$J$31,$U61)*IF(INDEX(PRESIONES!$J$28:$J$31,$U61)&gt;0,PRESIONES!$C$9*IF($T61&lt;=10,1,($T61/10)^(2/DATOS!$C$56)),PRESIONES!$C$15)-ABERTURAS!$L$66*PRESIONES!$C$12)*$S61/$M61)</f>
        <v>-5.1608893184009768</v>
      </c>
      <c r="AI61" s="26">
        <f>IF($L61&lt;&gt;"OK",0,(INDEX(PRESIONES!$M$28:$M$31,$U61)*IF(INDEX(PRESIONES!$M$28:$M$31,$U61)&gt;0,PRESIONES!$C$9*IF($T61&lt;=10,1,($T61/10)^(2/DATOS!$C$56)),PRESIONES!$C$15)-ABERTURAS!$L$67*PRESIONES!$C$12)*$S61/$M61)</f>
        <v>-84.268888351998783</v>
      </c>
    </row>
    <row r="62" spans="2:35" ht="16.5" customHeight="1" x14ac:dyDescent="0.3">
      <c r="B62" s="4" t="s">
        <v>463</v>
      </c>
      <c r="C62" s="15" t="s">
        <v>428</v>
      </c>
      <c r="D62" s="4" t="s">
        <v>464</v>
      </c>
      <c r="E62" s="15" t="s">
        <v>430</v>
      </c>
      <c r="F62" s="40">
        <v>13.5</v>
      </c>
      <c r="G62" s="40">
        <v>16</v>
      </c>
      <c r="H62" s="40">
        <v>6.6</v>
      </c>
      <c r="I62" s="40">
        <v>7.8</v>
      </c>
      <c r="J62" s="40"/>
      <c r="K62" s="40"/>
      <c r="L62" s="18" t="str">
        <f t="shared" si="6"/>
        <v>OK</v>
      </c>
      <c r="M62" s="26">
        <f t="shared" si="7"/>
        <v>2.5</v>
      </c>
      <c r="N62" s="26">
        <f t="shared" si="8"/>
        <v>1.2000000000000002</v>
      </c>
      <c r="O62" s="26">
        <f t="shared" si="9"/>
        <v>3.0000000000000004</v>
      </c>
      <c r="P62" s="26">
        <f>IF($U62=0,0,SUMPRODUCT((ABERTURAS!$N$7:$N$26=$U62)*ABERTURAS!$U$7:$U$26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Q62" s="26">
        <f>IF($U62=0,0,SUMPRODUCT((ABERTURAS!$N$7:$N$26=$U62)*ABERTURAS!$V$7:$V$26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R62" s="26">
        <f t="shared" si="10"/>
        <v>3.0000000000000004</v>
      </c>
      <c r="S62" s="26">
        <f t="shared" si="11"/>
        <v>3.0000000000000004</v>
      </c>
      <c r="T62" s="41">
        <f t="shared" si="12"/>
        <v>7.8</v>
      </c>
      <c r="U62" s="41">
        <f t="shared" si="13"/>
        <v>3</v>
      </c>
      <c r="V62" s="41">
        <f t="shared" si="14"/>
        <v>6.6</v>
      </c>
      <c r="W62" s="41">
        <f t="shared" si="15"/>
        <v>7.8</v>
      </c>
      <c r="X62" s="41">
        <f t="shared" si="16"/>
        <v>13.5</v>
      </c>
      <c r="Y62" s="41">
        <f t="shared" si="17"/>
        <v>16</v>
      </c>
      <c r="Z62" s="41">
        <f t="shared" si="18"/>
        <v>6.6</v>
      </c>
      <c r="AA62" s="41">
        <f t="shared" si="19"/>
        <v>7.8</v>
      </c>
      <c r="AB62" s="26">
        <f>IF($L62&lt;&gt;"OK",0,(INDEX(PRESIONES!$D$28:$D$31,$U62)*IF(INDEX(PRESIONES!$D$28:$D$31,$U62)&gt;0,PRESIONES!$C$9*IF($T62&lt;=10,1,($T62/10)^(2/DATOS!$C$56)),PRESIONES!$C$15)-ABERTURAS!$L$60*PRESIONES!$C$12)*$R62/$M62)</f>
        <v>75.379258901332534</v>
      </c>
      <c r="AC62" s="26">
        <f>IF($L62&lt;&gt;"OK",0,(INDEX(PRESIONES!$G$28:$G$31,$U62)*IF(INDEX(PRESIONES!$G$28:$G$31,$U62)&gt;0,PRESIONES!$C$9*IF($T62&lt;=10,1,($T62/10)^(2/DATOS!$C$56)),PRESIONES!$C$15)-ABERTURAS!$L$61*PRESIONES!$C$12)*$R62/$M62)</f>
        <v>0.49925890133251594</v>
      </c>
      <c r="AD62" s="26">
        <f>IF($L62&lt;&gt;"OK",0,(INDEX(PRESIONES!$J$28:$J$31,$U62)*IF(INDEX(PRESIONES!$J$28:$J$31,$U62)&gt;0,PRESIONES!$C$9*IF($T62&lt;=10,1,($T62/10)^(2/DATOS!$C$56)),PRESIONES!$C$15)-ABERTURAS!$L$62*PRESIONES!$C$12)*$R62/$M62)</f>
        <v>-5.1608893184009768</v>
      </c>
      <c r="AE62" s="26">
        <f>IF($L62&lt;&gt;"OK",0,(INDEX(PRESIONES!$M$28:$M$31,$U62)*IF(INDEX(PRESIONES!$M$28:$M$31,$U62)&gt;0,PRESIONES!$C$9*IF($T62&lt;=10,1,($T62/10)^(2/DATOS!$C$56)),PRESIONES!$C$15)-ABERTURAS!$L$63*PRESIONES!$C$12)*$R62/$M62)</f>
        <v>-84.268888351998783</v>
      </c>
      <c r="AF62" s="26">
        <f>IF($L62&lt;&gt;"OK",0,(INDEX(PRESIONES!$D$28:$D$31,$U62)*IF(INDEX(PRESIONES!$D$28:$D$31,$U62)&gt;0,PRESIONES!$C$9*IF($T62&lt;=10,1,($T62/10)^(2/DATOS!$C$56)),PRESIONES!$C$15)-ABERTURAS!$L$64*PRESIONES!$C$12)*$S62/$M62)</f>
        <v>75.379258901332534</v>
      </c>
      <c r="AG62" s="26">
        <f>IF($L62&lt;&gt;"OK",0,(INDEX(PRESIONES!$G$28:$G$31,$U62)*IF(INDEX(PRESIONES!$G$28:$G$31,$U62)&gt;0,PRESIONES!$C$9*IF($T62&lt;=10,1,($T62/10)^(2/DATOS!$C$56)),PRESIONES!$C$15)-ABERTURAS!$L$65*PRESIONES!$C$12)*$S62/$M62)</f>
        <v>0.49925890133251594</v>
      </c>
      <c r="AH62" s="26">
        <f>IF($L62&lt;&gt;"OK",0,(INDEX(PRESIONES!$J$28:$J$31,$U62)*IF(INDEX(PRESIONES!$J$28:$J$31,$U62)&gt;0,PRESIONES!$C$9*IF($T62&lt;=10,1,($T62/10)^(2/DATOS!$C$56)),PRESIONES!$C$15)-ABERTURAS!$L$66*PRESIONES!$C$12)*$S62/$M62)</f>
        <v>-5.1608893184009768</v>
      </c>
      <c r="AI62" s="26">
        <f>IF($L62&lt;&gt;"OK",0,(INDEX(PRESIONES!$M$28:$M$31,$U62)*IF(INDEX(PRESIONES!$M$28:$M$31,$U62)&gt;0,PRESIONES!$C$9*IF($T62&lt;=10,1,($T62/10)^(2/DATOS!$C$56)),PRESIONES!$C$15)-ABERTURAS!$L$67*PRESIONES!$C$12)*$S62/$M62)</f>
        <v>-84.268888351998783</v>
      </c>
    </row>
    <row r="63" spans="2:35" ht="16.5" customHeight="1" x14ac:dyDescent="0.3">
      <c r="B63" s="4" t="s">
        <v>465</v>
      </c>
      <c r="C63" s="15" t="s">
        <v>428</v>
      </c>
      <c r="D63" s="4" t="s">
        <v>466</v>
      </c>
      <c r="E63" s="15" t="s">
        <v>430</v>
      </c>
      <c r="F63" s="40">
        <v>0</v>
      </c>
      <c r="G63" s="40">
        <v>6.75</v>
      </c>
      <c r="H63" s="40">
        <v>7.8</v>
      </c>
      <c r="I63" s="40">
        <v>9</v>
      </c>
      <c r="J63" s="40"/>
      <c r="K63" s="40"/>
      <c r="L63" s="18" t="str">
        <f t="shared" si="6"/>
        <v>OK</v>
      </c>
      <c r="M63" s="26">
        <f t="shared" si="7"/>
        <v>6.75</v>
      </c>
      <c r="N63" s="26">
        <f t="shared" si="8"/>
        <v>1.2000000000000002</v>
      </c>
      <c r="O63" s="26">
        <f t="shared" si="9"/>
        <v>8.1000000000000014</v>
      </c>
      <c r="P63" s="26">
        <f>IF($U63=0,0,SUMPRODUCT((ABERTURAS!$N$7:$N$26=$U63)*ABERTURAS!$U$7:$U$26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Q63" s="26">
        <f>IF($U63=0,0,SUMPRODUCT((ABERTURAS!$N$7:$N$26=$U63)*ABERTURAS!$V$7:$V$26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R63" s="26">
        <f t="shared" si="10"/>
        <v>8.1000000000000014</v>
      </c>
      <c r="S63" s="26">
        <f t="shared" si="11"/>
        <v>8.1000000000000014</v>
      </c>
      <c r="T63" s="41">
        <f t="shared" si="12"/>
        <v>9</v>
      </c>
      <c r="U63" s="41">
        <f t="shared" si="13"/>
        <v>3</v>
      </c>
      <c r="V63" s="41">
        <f t="shared" si="14"/>
        <v>7.8</v>
      </c>
      <c r="W63" s="41">
        <f t="shared" si="15"/>
        <v>9</v>
      </c>
      <c r="X63" s="41">
        <f t="shared" si="16"/>
        <v>0</v>
      </c>
      <c r="Y63" s="41">
        <f t="shared" si="17"/>
        <v>6.75</v>
      </c>
      <c r="Z63" s="41">
        <f t="shared" si="18"/>
        <v>7.8</v>
      </c>
      <c r="AA63" s="41">
        <f t="shared" si="19"/>
        <v>9</v>
      </c>
      <c r="AB63" s="26">
        <f>IF($L63&lt;&gt;"OK",0,(INDEX(PRESIONES!$D$28:$D$31,$U63)*IF(INDEX(PRESIONES!$D$28:$D$31,$U63)&gt;0,PRESIONES!$C$9*IF($T63&lt;=10,1,($T63/10)^(2/DATOS!$C$56)),PRESIONES!$C$15)-ABERTURAS!$L$60*PRESIONES!$C$12)*$R63/$M63)</f>
        <v>75.379258901332534</v>
      </c>
      <c r="AC63" s="26">
        <f>IF($L63&lt;&gt;"OK",0,(INDEX(PRESIONES!$G$28:$G$31,$U63)*IF(INDEX(PRESIONES!$G$28:$G$31,$U63)&gt;0,PRESIONES!$C$9*IF($T63&lt;=10,1,($T63/10)^(2/DATOS!$C$56)),PRESIONES!$C$15)-ABERTURAS!$L$61*PRESIONES!$C$12)*$R63/$M63)</f>
        <v>0.49925890133251594</v>
      </c>
      <c r="AD63" s="26">
        <f>IF($L63&lt;&gt;"OK",0,(INDEX(PRESIONES!$J$28:$J$31,$U63)*IF(INDEX(PRESIONES!$J$28:$J$31,$U63)&gt;0,PRESIONES!$C$9*IF($T63&lt;=10,1,($T63/10)^(2/DATOS!$C$56)),PRESIONES!$C$15)-ABERTURAS!$L$62*PRESIONES!$C$12)*$R63/$M63)</f>
        <v>-5.1608893184009768</v>
      </c>
      <c r="AE63" s="26">
        <f>IF($L63&lt;&gt;"OK",0,(INDEX(PRESIONES!$M$28:$M$31,$U63)*IF(INDEX(PRESIONES!$M$28:$M$31,$U63)&gt;0,PRESIONES!$C$9*IF($T63&lt;=10,1,($T63/10)^(2/DATOS!$C$56)),PRESIONES!$C$15)-ABERTURAS!$L$63*PRESIONES!$C$12)*$R63/$M63)</f>
        <v>-84.268888351998783</v>
      </c>
      <c r="AF63" s="26">
        <f>IF($L63&lt;&gt;"OK",0,(INDEX(PRESIONES!$D$28:$D$31,$U63)*IF(INDEX(PRESIONES!$D$28:$D$31,$U63)&gt;0,PRESIONES!$C$9*IF($T63&lt;=10,1,($T63/10)^(2/DATOS!$C$56)),PRESIONES!$C$15)-ABERTURAS!$L$64*PRESIONES!$C$12)*$S63/$M63)</f>
        <v>75.379258901332534</v>
      </c>
      <c r="AG63" s="26">
        <f>IF($L63&lt;&gt;"OK",0,(INDEX(PRESIONES!$G$28:$G$31,$U63)*IF(INDEX(PRESIONES!$G$28:$G$31,$U63)&gt;0,PRESIONES!$C$9*IF($T63&lt;=10,1,($T63/10)^(2/DATOS!$C$56)),PRESIONES!$C$15)-ABERTURAS!$L$65*PRESIONES!$C$12)*$S63/$M63)</f>
        <v>0.49925890133251594</v>
      </c>
      <c r="AH63" s="26">
        <f>IF($L63&lt;&gt;"OK",0,(INDEX(PRESIONES!$J$28:$J$31,$U63)*IF(INDEX(PRESIONES!$J$28:$J$31,$U63)&gt;0,PRESIONES!$C$9*IF($T63&lt;=10,1,($T63/10)^(2/DATOS!$C$56)),PRESIONES!$C$15)-ABERTURAS!$L$66*PRESIONES!$C$12)*$S63/$M63)</f>
        <v>-5.1608893184009768</v>
      </c>
      <c r="AI63" s="26">
        <f>IF($L63&lt;&gt;"OK",0,(INDEX(PRESIONES!$M$28:$M$31,$U63)*IF(INDEX(PRESIONES!$M$28:$M$31,$U63)&gt;0,PRESIONES!$C$9*IF($T63&lt;=10,1,($T63/10)^(2/DATOS!$C$56)),PRESIONES!$C$15)-ABERTURAS!$L$67*PRESIONES!$C$12)*$S63/$M63)</f>
        <v>-84.268888351998783</v>
      </c>
    </row>
    <row r="64" spans="2:35" ht="16.5" customHeight="1" x14ac:dyDescent="0.3">
      <c r="B64" s="4" t="s">
        <v>467</v>
      </c>
      <c r="C64" s="15" t="s">
        <v>428</v>
      </c>
      <c r="D64" s="4" t="s">
        <v>468</v>
      </c>
      <c r="E64" s="15" t="s">
        <v>430</v>
      </c>
      <c r="F64" s="40">
        <v>6.75</v>
      </c>
      <c r="G64" s="40">
        <v>13.5</v>
      </c>
      <c r="H64" s="40">
        <v>7.8</v>
      </c>
      <c r="I64" s="40">
        <v>9</v>
      </c>
      <c r="J64" s="40"/>
      <c r="K64" s="40"/>
      <c r="L64" s="18" t="str">
        <f t="shared" si="6"/>
        <v>OK</v>
      </c>
      <c r="M64" s="26">
        <f t="shared" si="7"/>
        <v>6.75</v>
      </c>
      <c r="N64" s="26">
        <f t="shared" si="8"/>
        <v>1.2000000000000002</v>
      </c>
      <c r="O64" s="26">
        <f t="shared" si="9"/>
        <v>8.1000000000000014</v>
      </c>
      <c r="P64" s="26">
        <f>IF($U64=0,0,SUMPRODUCT((ABERTURAS!$N$7:$N$26=$U64)*ABERTURAS!$U$7:$U$26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Q64" s="26">
        <f>IF($U64=0,0,SUMPRODUCT((ABERTURAS!$N$7:$N$26=$U64)*ABERTURAS!$V$7:$V$26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R64" s="26">
        <f t="shared" si="10"/>
        <v>8.1000000000000014</v>
      </c>
      <c r="S64" s="26">
        <f t="shared" si="11"/>
        <v>8.1000000000000014</v>
      </c>
      <c r="T64" s="41">
        <f t="shared" si="12"/>
        <v>9</v>
      </c>
      <c r="U64" s="41">
        <f t="shared" si="13"/>
        <v>3</v>
      </c>
      <c r="V64" s="41">
        <f t="shared" si="14"/>
        <v>7.8</v>
      </c>
      <c r="W64" s="41">
        <f t="shared" si="15"/>
        <v>9</v>
      </c>
      <c r="X64" s="41">
        <f t="shared" si="16"/>
        <v>6.75</v>
      </c>
      <c r="Y64" s="41">
        <f t="shared" si="17"/>
        <v>13.5</v>
      </c>
      <c r="Z64" s="41">
        <f t="shared" si="18"/>
        <v>7.8</v>
      </c>
      <c r="AA64" s="41">
        <f t="shared" si="19"/>
        <v>9</v>
      </c>
      <c r="AB64" s="26">
        <f>IF($L64&lt;&gt;"OK",0,(INDEX(PRESIONES!$D$28:$D$31,$U64)*IF(INDEX(PRESIONES!$D$28:$D$31,$U64)&gt;0,PRESIONES!$C$9*IF($T64&lt;=10,1,($T64/10)^(2/DATOS!$C$56)),PRESIONES!$C$15)-ABERTURAS!$L$60*PRESIONES!$C$12)*$R64/$M64)</f>
        <v>75.379258901332534</v>
      </c>
      <c r="AC64" s="26">
        <f>IF($L64&lt;&gt;"OK",0,(INDEX(PRESIONES!$G$28:$G$31,$U64)*IF(INDEX(PRESIONES!$G$28:$G$31,$U64)&gt;0,PRESIONES!$C$9*IF($T64&lt;=10,1,($T64/10)^(2/DATOS!$C$56)),PRESIONES!$C$15)-ABERTURAS!$L$61*PRESIONES!$C$12)*$R64/$M64)</f>
        <v>0.49925890133251594</v>
      </c>
      <c r="AD64" s="26">
        <f>IF($L64&lt;&gt;"OK",0,(INDEX(PRESIONES!$J$28:$J$31,$U64)*IF(INDEX(PRESIONES!$J$28:$J$31,$U64)&gt;0,PRESIONES!$C$9*IF($T64&lt;=10,1,($T64/10)^(2/DATOS!$C$56)),PRESIONES!$C$15)-ABERTURAS!$L$62*PRESIONES!$C$12)*$R64/$M64)</f>
        <v>-5.1608893184009768</v>
      </c>
      <c r="AE64" s="26">
        <f>IF($L64&lt;&gt;"OK",0,(INDEX(PRESIONES!$M$28:$M$31,$U64)*IF(INDEX(PRESIONES!$M$28:$M$31,$U64)&gt;0,PRESIONES!$C$9*IF($T64&lt;=10,1,($T64/10)^(2/DATOS!$C$56)),PRESIONES!$C$15)-ABERTURAS!$L$63*PRESIONES!$C$12)*$R64/$M64)</f>
        <v>-84.268888351998783</v>
      </c>
      <c r="AF64" s="26">
        <f>IF($L64&lt;&gt;"OK",0,(INDEX(PRESIONES!$D$28:$D$31,$U64)*IF(INDEX(PRESIONES!$D$28:$D$31,$U64)&gt;0,PRESIONES!$C$9*IF($T64&lt;=10,1,($T64/10)^(2/DATOS!$C$56)),PRESIONES!$C$15)-ABERTURAS!$L$64*PRESIONES!$C$12)*$S64/$M64)</f>
        <v>75.379258901332534</v>
      </c>
      <c r="AG64" s="26">
        <f>IF($L64&lt;&gt;"OK",0,(INDEX(PRESIONES!$G$28:$G$31,$U64)*IF(INDEX(PRESIONES!$G$28:$G$31,$U64)&gt;0,PRESIONES!$C$9*IF($T64&lt;=10,1,($T64/10)^(2/DATOS!$C$56)),PRESIONES!$C$15)-ABERTURAS!$L$65*PRESIONES!$C$12)*$S64/$M64)</f>
        <v>0.49925890133251594</v>
      </c>
      <c r="AH64" s="26">
        <f>IF($L64&lt;&gt;"OK",0,(INDEX(PRESIONES!$J$28:$J$31,$U64)*IF(INDEX(PRESIONES!$J$28:$J$31,$U64)&gt;0,PRESIONES!$C$9*IF($T64&lt;=10,1,($T64/10)^(2/DATOS!$C$56)),PRESIONES!$C$15)-ABERTURAS!$L$66*PRESIONES!$C$12)*$S64/$M64)</f>
        <v>-5.1608893184009768</v>
      </c>
      <c r="AI64" s="26">
        <f>IF($L64&lt;&gt;"OK",0,(INDEX(PRESIONES!$M$28:$M$31,$U64)*IF(INDEX(PRESIONES!$M$28:$M$31,$U64)&gt;0,PRESIONES!$C$9*IF($T64&lt;=10,1,($T64/10)^(2/DATOS!$C$56)),PRESIONES!$C$15)-ABERTURAS!$L$67*PRESIONES!$C$12)*$S64/$M64)</f>
        <v>-84.268888351998783</v>
      </c>
    </row>
    <row r="65" spans="2:35" ht="16.5" customHeight="1" x14ac:dyDescent="0.3">
      <c r="B65" s="4" t="s">
        <v>469</v>
      </c>
      <c r="C65" s="15" t="s">
        <v>428</v>
      </c>
      <c r="D65" s="4" t="s">
        <v>470</v>
      </c>
      <c r="E65" s="15" t="s">
        <v>430</v>
      </c>
      <c r="F65" s="40">
        <v>13.5</v>
      </c>
      <c r="G65" s="40">
        <v>16</v>
      </c>
      <c r="H65" s="40">
        <v>7.8</v>
      </c>
      <c r="I65" s="40">
        <v>9</v>
      </c>
      <c r="J65" s="40"/>
      <c r="K65" s="40"/>
      <c r="L65" s="18" t="str">
        <f t="shared" si="6"/>
        <v>OK</v>
      </c>
      <c r="M65" s="26">
        <f t="shared" si="7"/>
        <v>2.5</v>
      </c>
      <c r="N65" s="26">
        <f t="shared" si="8"/>
        <v>1.2000000000000002</v>
      </c>
      <c r="O65" s="26">
        <f t="shared" si="9"/>
        <v>3.0000000000000004</v>
      </c>
      <c r="P65" s="26">
        <f>IF($U65=0,0,SUMPRODUCT((ABERTURAS!$N$7:$N$26=$U65)*ABERTURAS!$U$7:$U$26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Q65" s="26">
        <f>IF($U65=0,0,SUMPRODUCT((ABERTURAS!$N$7:$N$26=$U65)*ABERTURAS!$V$7:$V$26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R65" s="26">
        <f t="shared" si="10"/>
        <v>3.0000000000000004</v>
      </c>
      <c r="S65" s="26">
        <f t="shared" si="11"/>
        <v>3.0000000000000004</v>
      </c>
      <c r="T65" s="41">
        <f t="shared" si="12"/>
        <v>9</v>
      </c>
      <c r="U65" s="41">
        <f t="shared" si="13"/>
        <v>3</v>
      </c>
      <c r="V65" s="41">
        <f t="shared" si="14"/>
        <v>7.8</v>
      </c>
      <c r="W65" s="41">
        <f t="shared" si="15"/>
        <v>9</v>
      </c>
      <c r="X65" s="41">
        <f t="shared" si="16"/>
        <v>13.5</v>
      </c>
      <c r="Y65" s="41">
        <f t="shared" si="17"/>
        <v>16</v>
      </c>
      <c r="Z65" s="41">
        <f t="shared" si="18"/>
        <v>7.8</v>
      </c>
      <c r="AA65" s="41">
        <f t="shared" si="19"/>
        <v>9</v>
      </c>
      <c r="AB65" s="26">
        <f>IF($L65&lt;&gt;"OK",0,(INDEX(PRESIONES!$D$28:$D$31,$U65)*IF(INDEX(PRESIONES!$D$28:$D$31,$U65)&gt;0,PRESIONES!$C$9*IF($T65&lt;=10,1,($T65/10)^(2/DATOS!$C$56)),PRESIONES!$C$15)-ABERTURAS!$L$60*PRESIONES!$C$12)*$R65/$M65)</f>
        <v>75.379258901332534</v>
      </c>
      <c r="AC65" s="26">
        <f>IF($L65&lt;&gt;"OK",0,(INDEX(PRESIONES!$G$28:$G$31,$U65)*IF(INDEX(PRESIONES!$G$28:$G$31,$U65)&gt;0,PRESIONES!$C$9*IF($T65&lt;=10,1,($T65/10)^(2/DATOS!$C$56)),PRESIONES!$C$15)-ABERTURAS!$L$61*PRESIONES!$C$12)*$R65/$M65)</f>
        <v>0.49925890133251594</v>
      </c>
      <c r="AD65" s="26">
        <f>IF($L65&lt;&gt;"OK",0,(INDEX(PRESIONES!$J$28:$J$31,$U65)*IF(INDEX(PRESIONES!$J$28:$J$31,$U65)&gt;0,PRESIONES!$C$9*IF($T65&lt;=10,1,($T65/10)^(2/DATOS!$C$56)),PRESIONES!$C$15)-ABERTURAS!$L$62*PRESIONES!$C$12)*$R65/$M65)</f>
        <v>-5.1608893184009768</v>
      </c>
      <c r="AE65" s="26">
        <f>IF($L65&lt;&gt;"OK",0,(INDEX(PRESIONES!$M$28:$M$31,$U65)*IF(INDEX(PRESIONES!$M$28:$M$31,$U65)&gt;0,PRESIONES!$C$9*IF($T65&lt;=10,1,($T65/10)^(2/DATOS!$C$56)),PRESIONES!$C$15)-ABERTURAS!$L$63*PRESIONES!$C$12)*$R65/$M65)</f>
        <v>-84.268888351998783</v>
      </c>
      <c r="AF65" s="26">
        <f>IF($L65&lt;&gt;"OK",0,(INDEX(PRESIONES!$D$28:$D$31,$U65)*IF(INDEX(PRESIONES!$D$28:$D$31,$U65)&gt;0,PRESIONES!$C$9*IF($T65&lt;=10,1,($T65/10)^(2/DATOS!$C$56)),PRESIONES!$C$15)-ABERTURAS!$L$64*PRESIONES!$C$12)*$S65/$M65)</f>
        <v>75.379258901332534</v>
      </c>
      <c r="AG65" s="26">
        <f>IF($L65&lt;&gt;"OK",0,(INDEX(PRESIONES!$G$28:$G$31,$U65)*IF(INDEX(PRESIONES!$G$28:$G$31,$U65)&gt;0,PRESIONES!$C$9*IF($T65&lt;=10,1,($T65/10)^(2/DATOS!$C$56)),PRESIONES!$C$15)-ABERTURAS!$L$65*PRESIONES!$C$12)*$S65/$M65)</f>
        <v>0.49925890133251594</v>
      </c>
      <c r="AH65" s="26">
        <f>IF($L65&lt;&gt;"OK",0,(INDEX(PRESIONES!$J$28:$J$31,$U65)*IF(INDEX(PRESIONES!$J$28:$J$31,$U65)&gt;0,PRESIONES!$C$9*IF($T65&lt;=10,1,($T65/10)^(2/DATOS!$C$56)),PRESIONES!$C$15)-ABERTURAS!$L$66*PRESIONES!$C$12)*$S65/$M65)</f>
        <v>-5.1608893184009768</v>
      </c>
      <c r="AI65" s="26">
        <f>IF($L65&lt;&gt;"OK",0,(INDEX(PRESIONES!$M$28:$M$31,$U65)*IF(INDEX(PRESIONES!$M$28:$M$31,$U65)&gt;0,PRESIONES!$C$9*IF($T65&lt;=10,1,($T65/10)^(2/DATOS!$C$56)),PRESIONES!$C$15)-ABERTURAS!$L$67*PRESIONES!$C$12)*$S65/$M65)</f>
        <v>-84.268888351998783</v>
      </c>
    </row>
    <row r="66" spans="2:35" ht="16.5" customHeight="1" x14ac:dyDescent="0.3">
      <c r="B66" s="4" t="s">
        <v>471</v>
      </c>
      <c r="C66" s="15" t="s">
        <v>428</v>
      </c>
      <c r="D66" s="4" t="s">
        <v>472</v>
      </c>
      <c r="E66" s="15" t="s">
        <v>430</v>
      </c>
      <c r="F66" s="40">
        <v>0</v>
      </c>
      <c r="G66" s="40">
        <v>6.75</v>
      </c>
      <c r="H66" s="40">
        <v>9</v>
      </c>
      <c r="I66" s="40">
        <v>10.11</v>
      </c>
      <c r="J66" s="40"/>
      <c r="K66" s="40">
        <v>9.94</v>
      </c>
      <c r="L66" s="18" t="str">
        <f t="shared" si="6"/>
        <v>OK</v>
      </c>
      <c r="M66" s="26">
        <f t="shared" si="7"/>
        <v>6.75</v>
      </c>
      <c r="N66" s="26">
        <f t="shared" si="8"/>
        <v>1.0249999999999986</v>
      </c>
      <c r="O66" s="26">
        <f t="shared" si="9"/>
        <v>6.9187499999999904</v>
      </c>
      <c r="P66" s="26">
        <f>IF($U66=0,0,SUMPRODUCT((ABERTURAS!$N$7:$N$26=$U66)*ABERTURAS!$U$7:$U$26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Q66" s="26">
        <f>IF($U66=0,0,SUMPRODUCT((ABERTURAS!$N$7:$N$26=$U66)*ABERTURAS!$V$7:$V$26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R66" s="26">
        <f t="shared" si="10"/>
        <v>6.9187499999999904</v>
      </c>
      <c r="S66" s="26">
        <f t="shared" si="11"/>
        <v>6.9187499999999904</v>
      </c>
      <c r="T66" s="41">
        <f t="shared" si="12"/>
        <v>10.11</v>
      </c>
      <c r="U66" s="41">
        <f t="shared" si="13"/>
        <v>3</v>
      </c>
      <c r="V66" s="41">
        <f t="shared" si="14"/>
        <v>9</v>
      </c>
      <c r="W66" s="41">
        <f t="shared" si="15"/>
        <v>10.024999999999999</v>
      </c>
      <c r="X66" s="41">
        <f t="shared" si="16"/>
        <v>0</v>
      </c>
      <c r="Y66" s="41">
        <f t="shared" si="17"/>
        <v>6.75</v>
      </c>
      <c r="Z66" s="41">
        <f t="shared" si="18"/>
        <v>9</v>
      </c>
      <c r="AA66" s="41">
        <f t="shared" si="19"/>
        <v>10.024999999999999</v>
      </c>
      <c r="AB66" s="26">
        <f>IF($L66&lt;&gt;"OK",0,(INDEX(PRESIONES!$D$28:$D$31,$U66)*IF(INDEX(PRESIONES!$D$28:$D$31,$U66)&gt;0,PRESIONES!$C$9*IF($T66&lt;=10,1,($T66/10)^(2/DATOS!$C$56)),PRESIONES!$C$15)-ABERTURAS!$L$60*PRESIONES!$C$12)*$R66/$M66)</f>
        <v>64.509670225274178</v>
      </c>
      <c r="AC66" s="26">
        <f>IF($L66&lt;&gt;"OK",0,(INDEX(PRESIONES!$G$28:$G$31,$U66)*IF(INDEX(PRESIONES!$G$28:$G$31,$U66)&gt;0,PRESIONES!$C$9*IF($T66&lt;=10,1,($T66/10)^(2/DATOS!$C$56)),PRESIONES!$C$15)-ABERTURAS!$L$61*PRESIONES!$C$12)*$R66/$M66)</f>
        <v>0.42645031155485669</v>
      </c>
      <c r="AD66" s="26">
        <f>IF($L66&lt;&gt;"OK",0,(INDEX(PRESIONES!$J$28:$J$31,$U66)*IF(INDEX(PRESIONES!$J$28:$J$31,$U66)&gt;0,PRESIONES!$C$9*IF($T66&lt;=10,1,($T66/10)^(2/DATOS!$C$56)),PRESIONES!$C$15)-ABERTURAS!$L$62*PRESIONES!$C$12)*$R66/$M66)</f>
        <v>-4.4082596261341607</v>
      </c>
      <c r="AE66" s="26">
        <f>IF($L66&lt;&gt;"OK",0,(INDEX(PRESIONES!$M$28:$M$31,$U66)*IF(INDEX(PRESIONES!$M$28:$M$31,$U66)&gt;0,PRESIONES!$C$9*IF($T66&lt;=10,1,($T66/10)^(2/DATOS!$C$56)),PRESIONES!$C$15)-ABERTURAS!$L$63*PRESIONES!$C$12)*$R66/$M66)</f>
        <v>-71.979675467332186</v>
      </c>
      <c r="AF66" s="26">
        <f>IF($L66&lt;&gt;"OK",0,(INDEX(PRESIONES!$D$28:$D$31,$U66)*IF(INDEX(PRESIONES!$D$28:$D$31,$U66)&gt;0,PRESIONES!$C$9*IF($T66&lt;=10,1,($T66/10)^(2/DATOS!$C$56)),PRESIONES!$C$15)-ABERTURAS!$L$64*PRESIONES!$C$12)*$S66/$M66)</f>
        <v>64.509670225274178</v>
      </c>
      <c r="AG66" s="26">
        <f>IF($L66&lt;&gt;"OK",0,(INDEX(PRESIONES!$G$28:$G$31,$U66)*IF(INDEX(PRESIONES!$G$28:$G$31,$U66)&gt;0,PRESIONES!$C$9*IF($T66&lt;=10,1,($T66/10)^(2/DATOS!$C$56)),PRESIONES!$C$15)-ABERTURAS!$L$65*PRESIONES!$C$12)*$S66/$M66)</f>
        <v>0.42645031155485669</v>
      </c>
      <c r="AH66" s="26">
        <f>IF($L66&lt;&gt;"OK",0,(INDEX(PRESIONES!$J$28:$J$31,$U66)*IF(INDEX(PRESIONES!$J$28:$J$31,$U66)&gt;0,PRESIONES!$C$9*IF($T66&lt;=10,1,($T66/10)^(2/DATOS!$C$56)),PRESIONES!$C$15)-ABERTURAS!$L$66*PRESIONES!$C$12)*$S66/$M66)</f>
        <v>-4.4082596261341607</v>
      </c>
      <c r="AI66" s="26">
        <f>IF($L66&lt;&gt;"OK",0,(INDEX(PRESIONES!$M$28:$M$31,$U66)*IF(INDEX(PRESIONES!$M$28:$M$31,$U66)&gt;0,PRESIONES!$C$9*IF($T66&lt;=10,1,($T66/10)^(2/DATOS!$C$56)),PRESIONES!$C$15)-ABERTURAS!$L$67*PRESIONES!$C$12)*$S66/$M66)</f>
        <v>-71.979675467332186</v>
      </c>
    </row>
    <row r="67" spans="2:35" ht="16.5" customHeight="1" x14ac:dyDescent="0.3">
      <c r="B67" s="4" t="s">
        <v>473</v>
      </c>
      <c r="C67" s="15" t="s">
        <v>428</v>
      </c>
      <c r="D67" s="4" t="s">
        <v>474</v>
      </c>
      <c r="E67" s="15" t="s">
        <v>430</v>
      </c>
      <c r="F67" s="40">
        <v>6.75</v>
      </c>
      <c r="G67" s="40">
        <v>13.5</v>
      </c>
      <c r="H67" s="40">
        <v>9</v>
      </c>
      <c r="I67" s="40">
        <v>9.94</v>
      </c>
      <c r="J67" s="40"/>
      <c r="K67" s="40">
        <v>9.77</v>
      </c>
      <c r="L67" s="18" t="str">
        <f t="shared" si="6"/>
        <v>OK</v>
      </c>
      <c r="M67" s="26">
        <f t="shared" si="7"/>
        <v>6.75</v>
      </c>
      <c r="N67" s="26">
        <f t="shared" si="8"/>
        <v>0.85500000000000043</v>
      </c>
      <c r="O67" s="26">
        <f t="shared" si="9"/>
        <v>5.7712500000000029</v>
      </c>
      <c r="P67" s="26">
        <f>IF($U67=0,0,SUMPRODUCT((ABERTURAS!$N$7:$N$26=$U67)*ABERTURAS!$U$7:$U$26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Q67" s="26">
        <f>IF($U67=0,0,SUMPRODUCT((ABERTURAS!$N$7:$N$26=$U67)*ABERTURAS!$V$7:$V$26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R67" s="26">
        <f t="shared" si="10"/>
        <v>5.7712500000000029</v>
      </c>
      <c r="S67" s="26">
        <f t="shared" si="11"/>
        <v>5.7712500000000029</v>
      </c>
      <c r="T67" s="41">
        <f t="shared" si="12"/>
        <v>9.94</v>
      </c>
      <c r="U67" s="41">
        <f t="shared" si="13"/>
        <v>3</v>
      </c>
      <c r="V67" s="41">
        <f t="shared" si="14"/>
        <v>9</v>
      </c>
      <c r="W67" s="41">
        <f t="shared" si="15"/>
        <v>9.8550000000000004</v>
      </c>
      <c r="X67" s="41">
        <f t="shared" si="16"/>
        <v>6.75</v>
      </c>
      <c r="Y67" s="41">
        <f t="shared" si="17"/>
        <v>13.5</v>
      </c>
      <c r="Z67" s="41">
        <f t="shared" si="18"/>
        <v>9</v>
      </c>
      <c r="AA67" s="41">
        <f t="shared" si="19"/>
        <v>9.8550000000000004</v>
      </c>
      <c r="AB67" s="26">
        <f>IF($L67&lt;&gt;"OK",0,(INDEX(PRESIONES!$D$28:$D$31,$U67)*IF(INDEX(PRESIONES!$D$28:$D$31,$U67)&gt;0,PRESIONES!$C$9*IF($T67&lt;=10,1,($T67/10)^(2/DATOS!$C$56)),PRESIONES!$C$15)-ABERTURAS!$L$60*PRESIONES!$C$12)*$R67/$M67)</f>
        <v>53.707721967199447</v>
      </c>
      <c r="AC67" s="26">
        <f>IF($L67&lt;&gt;"OK",0,(INDEX(PRESIONES!$G$28:$G$31,$U67)*IF(INDEX(PRESIONES!$G$28:$G$31,$U67)&gt;0,PRESIONES!$C$9*IF($T67&lt;=10,1,($T67/10)^(2/DATOS!$C$56)),PRESIONES!$C$15)-ABERTURAS!$L$61*PRESIONES!$C$12)*$R67/$M67)</f>
        <v>0.35572196719941768</v>
      </c>
      <c r="AD67" s="26">
        <f>IF($L67&lt;&gt;"OK",0,(INDEX(PRESIONES!$J$28:$J$31,$U67)*IF(INDEX(PRESIONES!$J$28:$J$31,$U67)&gt;0,PRESIONES!$C$9*IF($T67&lt;=10,1,($T67/10)^(2/DATOS!$C$56)),PRESIONES!$C$15)-ABERTURAS!$L$62*PRESIONES!$C$12)*$R67/$M67)</f>
        <v>-3.6771336393606968</v>
      </c>
      <c r="AE67" s="26">
        <f>IF($L67&lt;&gt;"OK",0,(INDEX(PRESIONES!$M$28:$M$31,$U67)*IF(INDEX(PRESIONES!$M$28:$M$31,$U67)&gt;0,PRESIONES!$C$9*IF($T67&lt;=10,1,($T67/10)^(2/DATOS!$C$56)),PRESIONES!$C$15)-ABERTURAS!$L$63*PRESIONES!$C$12)*$R67/$M67)</f>
        <v>-60.041582950799153</v>
      </c>
      <c r="AF67" s="26">
        <f>IF($L67&lt;&gt;"OK",0,(INDEX(PRESIONES!$D$28:$D$31,$U67)*IF(INDEX(PRESIONES!$D$28:$D$31,$U67)&gt;0,PRESIONES!$C$9*IF($T67&lt;=10,1,($T67/10)^(2/DATOS!$C$56)),PRESIONES!$C$15)-ABERTURAS!$L$64*PRESIONES!$C$12)*$S67/$M67)</f>
        <v>53.707721967199447</v>
      </c>
      <c r="AG67" s="26">
        <f>IF($L67&lt;&gt;"OK",0,(INDEX(PRESIONES!$G$28:$G$31,$U67)*IF(INDEX(PRESIONES!$G$28:$G$31,$U67)&gt;0,PRESIONES!$C$9*IF($T67&lt;=10,1,($T67/10)^(2/DATOS!$C$56)),PRESIONES!$C$15)-ABERTURAS!$L$65*PRESIONES!$C$12)*$S67/$M67)</f>
        <v>0.35572196719941768</v>
      </c>
      <c r="AH67" s="26">
        <f>IF($L67&lt;&gt;"OK",0,(INDEX(PRESIONES!$J$28:$J$31,$U67)*IF(INDEX(PRESIONES!$J$28:$J$31,$U67)&gt;0,PRESIONES!$C$9*IF($T67&lt;=10,1,($T67/10)^(2/DATOS!$C$56)),PRESIONES!$C$15)-ABERTURAS!$L$66*PRESIONES!$C$12)*$S67/$M67)</f>
        <v>-3.6771336393606968</v>
      </c>
      <c r="AI67" s="26">
        <f>IF($L67&lt;&gt;"OK",0,(INDEX(PRESIONES!$M$28:$M$31,$U67)*IF(INDEX(PRESIONES!$M$28:$M$31,$U67)&gt;0,PRESIONES!$C$9*IF($T67&lt;=10,1,($T67/10)^(2/DATOS!$C$56)),PRESIONES!$C$15)-ABERTURAS!$L$67*PRESIONES!$C$12)*$S67/$M67)</f>
        <v>-60.041582950799153</v>
      </c>
    </row>
    <row r="68" spans="2:35" ht="16.5" customHeight="1" x14ac:dyDescent="0.3">
      <c r="B68" s="4" t="s">
        <v>475</v>
      </c>
      <c r="C68" s="15" t="s">
        <v>428</v>
      </c>
      <c r="D68" s="4" t="s">
        <v>476</v>
      </c>
      <c r="E68" s="15" t="s">
        <v>430</v>
      </c>
      <c r="F68" s="40">
        <v>13.5</v>
      </c>
      <c r="G68" s="40">
        <v>16</v>
      </c>
      <c r="H68" s="40">
        <v>9</v>
      </c>
      <c r="I68" s="40">
        <v>9.77</v>
      </c>
      <c r="J68" s="40"/>
      <c r="K68" s="40">
        <v>9.7100000000000009</v>
      </c>
      <c r="L68" s="18" t="str">
        <f t="shared" si="6"/>
        <v>OK</v>
      </c>
      <c r="M68" s="26">
        <f t="shared" si="7"/>
        <v>2.5</v>
      </c>
      <c r="N68" s="26">
        <f t="shared" si="8"/>
        <v>0.74000000000000021</v>
      </c>
      <c r="O68" s="26">
        <f t="shared" si="9"/>
        <v>1.8500000000000005</v>
      </c>
      <c r="P68" s="26">
        <f>IF($U68=0,0,SUMPRODUCT((ABERTURAS!$N$7:$N$26=$U68)*ABERTURAS!$U$7:$U$26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Q68" s="26">
        <f>IF($U68=0,0,SUMPRODUCT((ABERTURAS!$N$7:$N$26=$U68)*ABERTURAS!$V$7:$V$26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R68" s="26">
        <f t="shared" si="10"/>
        <v>1.8500000000000005</v>
      </c>
      <c r="S68" s="26">
        <f t="shared" si="11"/>
        <v>1.8500000000000005</v>
      </c>
      <c r="T68" s="41">
        <f t="shared" si="12"/>
        <v>9.77</v>
      </c>
      <c r="U68" s="41">
        <f t="shared" si="13"/>
        <v>3</v>
      </c>
      <c r="V68" s="41">
        <f t="shared" si="14"/>
        <v>9</v>
      </c>
      <c r="W68" s="41">
        <f t="shared" si="15"/>
        <v>9.74</v>
      </c>
      <c r="X68" s="41">
        <f t="shared" si="16"/>
        <v>13.5</v>
      </c>
      <c r="Y68" s="41">
        <f t="shared" si="17"/>
        <v>16</v>
      </c>
      <c r="Z68" s="41">
        <f t="shared" si="18"/>
        <v>9</v>
      </c>
      <c r="AA68" s="41">
        <f t="shared" si="19"/>
        <v>9.74</v>
      </c>
      <c r="AB68" s="26">
        <f>IF($L68&lt;&gt;"OK",0,(INDEX(PRESIONES!$D$28:$D$31,$U68)*IF(INDEX(PRESIONES!$D$28:$D$31,$U68)&gt;0,PRESIONES!$C$9*IF($T68&lt;=10,1,($T68/10)^(2/DATOS!$C$56)),PRESIONES!$C$15)-ABERTURAS!$L$60*PRESIONES!$C$12)*$R68/$M68)</f>
        <v>46.483876322488399</v>
      </c>
      <c r="AC68" s="26">
        <f>IF($L68&lt;&gt;"OK",0,(INDEX(PRESIONES!$G$28:$G$31,$U68)*IF(INDEX(PRESIONES!$G$28:$G$31,$U68)&gt;0,PRESIONES!$C$9*IF($T68&lt;=10,1,($T68/10)^(2/DATOS!$C$56)),PRESIONES!$C$15)-ABERTURAS!$L$61*PRESIONES!$C$12)*$R68/$M68)</f>
        <v>0.30787632248838487</v>
      </c>
      <c r="AD68" s="26">
        <f>IF($L68&lt;&gt;"OK",0,(INDEX(PRESIONES!$J$28:$J$31,$U68)*IF(INDEX(PRESIONES!$J$28:$J$31,$U68)&gt;0,PRESIONES!$C$9*IF($T68&lt;=10,1,($T68/10)^(2/DATOS!$C$56)),PRESIONES!$C$15)-ABERTURAS!$L$62*PRESIONES!$C$12)*$R68/$M68)</f>
        <v>-3.1825484130139361</v>
      </c>
      <c r="AE68" s="26">
        <f>IF($L68&lt;&gt;"OK",0,(INDEX(PRESIONES!$M$28:$M$31,$U68)*IF(INDEX(PRESIONES!$M$28:$M$31,$U68)&gt;0,PRESIONES!$C$9*IF($T68&lt;=10,1,($T68/10)^(2/DATOS!$C$56)),PRESIONES!$C$15)-ABERTURAS!$L$63*PRESIONES!$C$12)*$R68/$M68)</f>
        <v>-51.965814483732593</v>
      </c>
      <c r="AF68" s="26">
        <f>IF($L68&lt;&gt;"OK",0,(INDEX(PRESIONES!$D$28:$D$31,$U68)*IF(INDEX(PRESIONES!$D$28:$D$31,$U68)&gt;0,PRESIONES!$C$9*IF($T68&lt;=10,1,($T68/10)^(2/DATOS!$C$56)),PRESIONES!$C$15)-ABERTURAS!$L$64*PRESIONES!$C$12)*$S68/$M68)</f>
        <v>46.483876322488399</v>
      </c>
      <c r="AG68" s="26">
        <f>IF($L68&lt;&gt;"OK",0,(INDEX(PRESIONES!$G$28:$G$31,$U68)*IF(INDEX(PRESIONES!$G$28:$G$31,$U68)&gt;0,PRESIONES!$C$9*IF($T68&lt;=10,1,($T68/10)^(2/DATOS!$C$56)),PRESIONES!$C$15)-ABERTURAS!$L$65*PRESIONES!$C$12)*$S68/$M68)</f>
        <v>0.30787632248838487</v>
      </c>
      <c r="AH68" s="26">
        <f>IF($L68&lt;&gt;"OK",0,(INDEX(PRESIONES!$J$28:$J$31,$U68)*IF(INDEX(PRESIONES!$J$28:$J$31,$U68)&gt;0,PRESIONES!$C$9*IF($T68&lt;=10,1,($T68/10)^(2/DATOS!$C$56)),PRESIONES!$C$15)-ABERTURAS!$L$66*PRESIONES!$C$12)*$S68/$M68)</f>
        <v>-3.1825484130139361</v>
      </c>
      <c r="AI68" s="26">
        <f>IF($L68&lt;&gt;"OK",0,(INDEX(PRESIONES!$M$28:$M$31,$U68)*IF(INDEX(PRESIONES!$M$28:$M$31,$U68)&gt;0,PRESIONES!$C$9*IF($T68&lt;=10,1,($T68/10)^(2/DATOS!$C$56)),PRESIONES!$C$15)-ABERTURAS!$L$67*PRESIONES!$C$12)*$S68/$M68)</f>
        <v>-51.965814483732593</v>
      </c>
    </row>
    <row r="69" spans="2:35" ht="16.5" customHeight="1" x14ac:dyDescent="0.3">
      <c r="B69" s="4" t="s">
        <v>477</v>
      </c>
      <c r="C69" s="15" t="s">
        <v>478</v>
      </c>
      <c r="D69" s="4" t="s">
        <v>479</v>
      </c>
      <c r="E69" s="15" t="s">
        <v>430</v>
      </c>
      <c r="F69" s="40">
        <v>0</v>
      </c>
      <c r="G69" s="40">
        <v>6.75</v>
      </c>
      <c r="H69" s="40">
        <v>0.6</v>
      </c>
      <c r="I69" s="40">
        <v>1.8</v>
      </c>
      <c r="J69" s="40"/>
      <c r="K69" s="40"/>
      <c r="L69" s="18" t="str">
        <f t="shared" si="6"/>
        <v>OK</v>
      </c>
      <c r="M69" s="26">
        <f t="shared" si="7"/>
        <v>6.75</v>
      </c>
      <c r="N69" s="26">
        <f t="shared" si="8"/>
        <v>1.2000000000000002</v>
      </c>
      <c r="O69" s="26">
        <f t="shared" si="9"/>
        <v>8.1000000000000014</v>
      </c>
      <c r="P69" s="26">
        <f>IF($U69=0,0,SUMPRODUCT((ABERTURAS!$N$7:$N$26=$U69)*ABERTURAS!$U$7:$U$26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Q69" s="26">
        <f>IF($U69=0,0,SUMPRODUCT((ABERTURAS!$N$7:$N$26=$U69)*ABERTURAS!$V$7:$V$26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R69" s="26">
        <f t="shared" si="10"/>
        <v>8.1000000000000014</v>
      </c>
      <c r="S69" s="26">
        <f t="shared" si="11"/>
        <v>8.1000000000000014</v>
      </c>
      <c r="T69" s="41">
        <f t="shared" si="12"/>
        <v>1.8</v>
      </c>
      <c r="U69" s="41">
        <f t="shared" si="13"/>
        <v>4</v>
      </c>
      <c r="V69" s="41">
        <f t="shared" si="14"/>
        <v>0.6</v>
      </c>
      <c r="W69" s="41">
        <f t="shared" si="15"/>
        <v>1.8</v>
      </c>
      <c r="X69" s="41">
        <f t="shared" si="16"/>
        <v>0</v>
      </c>
      <c r="Y69" s="41">
        <f t="shared" si="17"/>
        <v>6.75</v>
      </c>
      <c r="Z69" s="41">
        <f t="shared" si="18"/>
        <v>0.6</v>
      </c>
      <c r="AA69" s="41">
        <f t="shared" si="19"/>
        <v>1.8</v>
      </c>
      <c r="AB69" s="26">
        <f>IF($L69&lt;&gt;"OK",0,(INDEX(PRESIONES!$D$28:$D$31,$U69)*IF(INDEX(PRESIONES!$D$28:$D$31,$U69)&gt;0,PRESIONES!$C$9*IF($T69&lt;=10,1,($T69/10)^(2/DATOS!$C$56)),PRESIONES!$C$15)-ABERTURAS!$L$60*PRESIONES!$C$12)*$R69/$M69)</f>
        <v>0.49925890133251594</v>
      </c>
      <c r="AC69" s="26">
        <f>IF($L69&lt;&gt;"OK",0,(INDEX(PRESIONES!$G$28:$G$31,$U69)*IF(INDEX(PRESIONES!$G$28:$G$31,$U69)&gt;0,PRESIONES!$C$9*IF($T69&lt;=10,1,($T69/10)^(2/DATOS!$C$56)),PRESIONES!$C$15)-ABERTURAS!$L$61*PRESIONES!$C$12)*$R69/$M69)</f>
        <v>75.379258901332534</v>
      </c>
      <c r="AD69" s="26">
        <f>IF($L69&lt;&gt;"OK",0,(INDEX(PRESIONES!$J$28:$J$31,$U69)*IF(INDEX(PRESIONES!$J$28:$J$31,$U69)&gt;0,PRESIONES!$C$9*IF($T69&lt;=10,1,($T69/10)^(2/DATOS!$C$56)),PRESIONES!$C$15)-ABERTURAS!$L$62*PRESIONES!$C$12)*$R69/$M69)</f>
        <v>-5.1608893184009768</v>
      </c>
      <c r="AE69" s="26">
        <f>IF($L69&lt;&gt;"OK",0,(INDEX(PRESIONES!$M$28:$M$31,$U69)*IF(INDEX(PRESIONES!$M$28:$M$31,$U69)&gt;0,PRESIONES!$C$9*IF($T69&lt;=10,1,($T69/10)^(2/DATOS!$C$56)),PRESIONES!$C$15)-ABERTURAS!$L$63*PRESIONES!$C$12)*$R69/$M69)</f>
        <v>-84.268888351998783</v>
      </c>
      <c r="AF69" s="26">
        <f>IF($L69&lt;&gt;"OK",0,(INDEX(PRESIONES!$D$28:$D$31,$U69)*IF(INDEX(PRESIONES!$D$28:$D$31,$U69)&gt;0,PRESIONES!$C$9*IF($T69&lt;=10,1,($T69/10)^(2/DATOS!$C$56)),PRESIONES!$C$15)-ABERTURAS!$L$64*PRESIONES!$C$12)*$S69/$M69)</f>
        <v>0.49925890133251594</v>
      </c>
      <c r="AG69" s="26">
        <f>IF($L69&lt;&gt;"OK",0,(INDEX(PRESIONES!$G$28:$G$31,$U69)*IF(INDEX(PRESIONES!$G$28:$G$31,$U69)&gt;0,PRESIONES!$C$9*IF($T69&lt;=10,1,($T69/10)^(2/DATOS!$C$56)),PRESIONES!$C$15)-ABERTURAS!$L$65*PRESIONES!$C$12)*$S69/$M69)</f>
        <v>75.379258901332534</v>
      </c>
      <c r="AH69" s="26">
        <f>IF($L69&lt;&gt;"OK",0,(INDEX(PRESIONES!$J$28:$J$31,$U69)*IF(INDEX(PRESIONES!$J$28:$J$31,$U69)&gt;0,PRESIONES!$C$9*IF($T69&lt;=10,1,($T69/10)^(2/DATOS!$C$56)),PRESIONES!$C$15)-ABERTURAS!$L$66*PRESIONES!$C$12)*$S69/$M69)</f>
        <v>-5.1608893184009768</v>
      </c>
      <c r="AI69" s="26">
        <f>IF($L69&lt;&gt;"OK",0,(INDEX(PRESIONES!$M$28:$M$31,$U69)*IF(INDEX(PRESIONES!$M$28:$M$31,$U69)&gt;0,PRESIONES!$C$9*IF($T69&lt;=10,1,($T69/10)^(2/DATOS!$C$56)),PRESIONES!$C$15)-ABERTURAS!$L$67*PRESIONES!$C$12)*$S69/$M69)</f>
        <v>-84.268888351998783</v>
      </c>
    </row>
    <row r="70" spans="2:35" ht="16.5" customHeight="1" x14ac:dyDescent="0.3">
      <c r="B70" s="4" t="s">
        <v>480</v>
      </c>
      <c r="C70" s="15" t="s">
        <v>478</v>
      </c>
      <c r="D70" s="4" t="s">
        <v>481</v>
      </c>
      <c r="E70" s="15" t="s">
        <v>430</v>
      </c>
      <c r="F70" s="40">
        <v>6.75</v>
      </c>
      <c r="G70" s="40">
        <v>13.5</v>
      </c>
      <c r="H70" s="40">
        <v>0.6</v>
      </c>
      <c r="I70" s="40">
        <v>1.8</v>
      </c>
      <c r="J70" s="40"/>
      <c r="K70" s="40"/>
      <c r="L70" s="18" t="str">
        <f t="shared" si="6"/>
        <v>OK</v>
      </c>
      <c r="M70" s="26">
        <f t="shared" si="7"/>
        <v>6.75</v>
      </c>
      <c r="N70" s="26">
        <f t="shared" si="8"/>
        <v>1.2000000000000002</v>
      </c>
      <c r="O70" s="26">
        <f t="shared" si="9"/>
        <v>8.1000000000000014</v>
      </c>
      <c r="P70" s="26">
        <f>IF($U70=0,0,SUMPRODUCT((ABERTURAS!$N$7:$N$26=$U70)*ABERTURAS!$U$7:$U$26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Q70" s="26">
        <f>IF($U70=0,0,SUMPRODUCT((ABERTURAS!$N$7:$N$26=$U70)*ABERTURAS!$V$7:$V$26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R70" s="26">
        <f t="shared" si="10"/>
        <v>8.1000000000000014</v>
      </c>
      <c r="S70" s="26">
        <f t="shared" si="11"/>
        <v>8.1000000000000014</v>
      </c>
      <c r="T70" s="41">
        <f t="shared" si="12"/>
        <v>1.8</v>
      </c>
      <c r="U70" s="41">
        <f t="shared" si="13"/>
        <v>4</v>
      </c>
      <c r="V70" s="41">
        <f t="shared" si="14"/>
        <v>0.6</v>
      </c>
      <c r="W70" s="41">
        <f t="shared" si="15"/>
        <v>1.8</v>
      </c>
      <c r="X70" s="41">
        <f t="shared" si="16"/>
        <v>6.75</v>
      </c>
      <c r="Y70" s="41">
        <f t="shared" si="17"/>
        <v>13.5</v>
      </c>
      <c r="Z70" s="41">
        <f t="shared" si="18"/>
        <v>0.6</v>
      </c>
      <c r="AA70" s="41">
        <f t="shared" si="19"/>
        <v>1.8</v>
      </c>
      <c r="AB70" s="26">
        <f>IF($L70&lt;&gt;"OK",0,(INDEX(PRESIONES!$D$28:$D$31,$U70)*IF(INDEX(PRESIONES!$D$28:$D$31,$U70)&gt;0,PRESIONES!$C$9*IF($T70&lt;=10,1,($T70/10)^(2/DATOS!$C$56)),PRESIONES!$C$15)-ABERTURAS!$L$60*PRESIONES!$C$12)*$R70/$M70)</f>
        <v>0.49925890133251594</v>
      </c>
      <c r="AC70" s="26">
        <f>IF($L70&lt;&gt;"OK",0,(INDEX(PRESIONES!$G$28:$G$31,$U70)*IF(INDEX(PRESIONES!$G$28:$G$31,$U70)&gt;0,PRESIONES!$C$9*IF($T70&lt;=10,1,($T70/10)^(2/DATOS!$C$56)),PRESIONES!$C$15)-ABERTURAS!$L$61*PRESIONES!$C$12)*$R70/$M70)</f>
        <v>75.379258901332534</v>
      </c>
      <c r="AD70" s="26">
        <f>IF($L70&lt;&gt;"OK",0,(INDEX(PRESIONES!$J$28:$J$31,$U70)*IF(INDEX(PRESIONES!$J$28:$J$31,$U70)&gt;0,PRESIONES!$C$9*IF($T70&lt;=10,1,($T70/10)^(2/DATOS!$C$56)),PRESIONES!$C$15)-ABERTURAS!$L$62*PRESIONES!$C$12)*$R70/$M70)</f>
        <v>-5.1608893184009768</v>
      </c>
      <c r="AE70" s="26">
        <f>IF($L70&lt;&gt;"OK",0,(INDEX(PRESIONES!$M$28:$M$31,$U70)*IF(INDEX(PRESIONES!$M$28:$M$31,$U70)&gt;0,PRESIONES!$C$9*IF($T70&lt;=10,1,($T70/10)^(2/DATOS!$C$56)),PRESIONES!$C$15)-ABERTURAS!$L$63*PRESIONES!$C$12)*$R70/$M70)</f>
        <v>-84.268888351998783</v>
      </c>
      <c r="AF70" s="26">
        <f>IF($L70&lt;&gt;"OK",0,(INDEX(PRESIONES!$D$28:$D$31,$U70)*IF(INDEX(PRESIONES!$D$28:$D$31,$U70)&gt;0,PRESIONES!$C$9*IF($T70&lt;=10,1,($T70/10)^(2/DATOS!$C$56)),PRESIONES!$C$15)-ABERTURAS!$L$64*PRESIONES!$C$12)*$S70/$M70)</f>
        <v>0.49925890133251594</v>
      </c>
      <c r="AG70" s="26">
        <f>IF($L70&lt;&gt;"OK",0,(INDEX(PRESIONES!$G$28:$G$31,$U70)*IF(INDEX(PRESIONES!$G$28:$G$31,$U70)&gt;0,PRESIONES!$C$9*IF($T70&lt;=10,1,($T70/10)^(2/DATOS!$C$56)),PRESIONES!$C$15)-ABERTURAS!$L$65*PRESIONES!$C$12)*$S70/$M70)</f>
        <v>75.379258901332534</v>
      </c>
      <c r="AH70" s="26">
        <f>IF($L70&lt;&gt;"OK",0,(INDEX(PRESIONES!$J$28:$J$31,$U70)*IF(INDEX(PRESIONES!$J$28:$J$31,$U70)&gt;0,PRESIONES!$C$9*IF($T70&lt;=10,1,($T70/10)^(2/DATOS!$C$56)),PRESIONES!$C$15)-ABERTURAS!$L$66*PRESIONES!$C$12)*$S70/$M70)</f>
        <v>-5.1608893184009768</v>
      </c>
      <c r="AI70" s="26">
        <f>IF($L70&lt;&gt;"OK",0,(INDEX(PRESIONES!$M$28:$M$31,$U70)*IF(INDEX(PRESIONES!$M$28:$M$31,$U70)&gt;0,PRESIONES!$C$9*IF($T70&lt;=10,1,($T70/10)^(2/DATOS!$C$56)),PRESIONES!$C$15)-ABERTURAS!$L$67*PRESIONES!$C$12)*$S70/$M70)</f>
        <v>-84.268888351998783</v>
      </c>
    </row>
    <row r="71" spans="2:35" ht="16.5" customHeight="1" x14ac:dyDescent="0.3">
      <c r="B71" s="4" t="s">
        <v>482</v>
      </c>
      <c r="C71" s="15" t="s">
        <v>478</v>
      </c>
      <c r="D71" s="4" t="s">
        <v>483</v>
      </c>
      <c r="E71" s="15" t="s">
        <v>430</v>
      </c>
      <c r="F71" s="40">
        <v>13.5</v>
      </c>
      <c r="G71" s="40">
        <v>16</v>
      </c>
      <c r="H71" s="40">
        <v>0.6</v>
      </c>
      <c r="I71" s="40">
        <v>1.8</v>
      </c>
      <c r="J71" s="40"/>
      <c r="K71" s="40"/>
      <c r="L71" s="18" t="str">
        <f t="shared" si="6"/>
        <v>OK</v>
      </c>
      <c r="M71" s="26">
        <f t="shared" si="7"/>
        <v>2.5</v>
      </c>
      <c r="N71" s="26">
        <f t="shared" si="8"/>
        <v>1.2000000000000002</v>
      </c>
      <c r="O71" s="26">
        <f t="shared" si="9"/>
        <v>3.0000000000000004</v>
      </c>
      <c r="P71" s="26">
        <f>IF($U71=0,0,SUMPRODUCT((ABERTURAS!$N$7:$N$26=$U71)*ABERTURAS!$U$7:$U$26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Q71" s="26">
        <f>IF($U71=0,0,SUMPRODUCT((ABERTURAS!$N$7:$N$26=$U71)*ABERTURAS!$V$7:$V$26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R71" s="26">
        <f t="shared" si="10"/>
        <v>3.0000000000000004</v>
      </c>
      <c r="S71" s="26">
        <f t="shared" si="11"/>
        <v>3.0000000000000004</v>
      </c>
      <c r="T71" s="41">
        <f t="shared" si="12"/>
        <v>1.8</v>
      </c>
      <c r="U71" s="41">
        <f t="shared" si="13"/>
        <v>4</v>
      </c>
      <c r="V71" s="41">
        <f t="shared" si="14"/>
        <v>0.6</v>
      </c>
      <c r="W71" s="41">
        <f t="shared" si="15"/>
        <v>1.8</v>
      </c>
      <c r="X71" s="41">
        <f t="shared" si="16"/>
        <v>13.5</v>
      </c>
      <c r="Y71" s="41">
        <f t="shared" si="17"/>
        <v>16</v>
      </c>
      <c r="Z71" s="41">
        <f t="shared" si="18"/>
        <v>0.6</v>
      </c>
      <c r="AA71" s="41">
        <f t="shared" si="19"/>
        <v>1.8</v>
      </c>
      <c r="AB71" s="26">
        <f>IF($L71&lt;&gt;"OK",0,(INDEX(PRESIONES!$D$28:$D$31,$U71)*IF(INDEX(PRESIONES!$D$28:$D$31,$U71)&gt;0,PRESIONES!$C$9*IF($T71&lt;=10,1,($T71/10)^(2/DATOS!$C$56)),PRESIONES!$C$15)-ABERTURAS!$L$60*PRESIONES!$C$12)*$R71/$M71)</f>
        <v>0.49925890133251594</v>
      </c>
      <c r="AC71" s="26">
        <f>IF($L71&lt;&gt;"OK",0,(INDEX(PRESIONES!$G$28:$G$31,$U71)*IF(INDEX(PRESIONES!$G$28:$G$31,$U71)&gt;0,PRESIONES!$C$9*IF($T71&lt;=10,1,($T71/10)^(2/DATOS!$C$56)),PRESIONES!$C$15)-ABERTURAS!$L$61*PRESIONES!$C$12)*$R71/$M71)</f>
        <v>75.379258901332534</v>
      </c>
      <c r="AD71" s="26">
        <f>IF($L71&lt;&gt;"OK",0,(INDEX(PRESIONES!$J$28:$J$31,$U71)*IF(INDEX(PRESIONES!$J$28:$J$31,$U71)&gt;0,PRESIONES!$C$9*IF($T71&lt;=10,1,($T71/10)^(2/DATOS!$C$56)),PRESIONES!$C$15)-ABERTURAS!$L$62*PRESIONES!$C$12)*$R71/$M71)</f>
        <v>-5.1608893184009768</v>
      </c>
      <c r="AE71" s="26">
        <f>IF($L71&lt;&gt;"OK",0,(INDEX(PRESIONES!$M$28:$M$31,$U71)*IF(INDEX(PRESIONES!$M$28:$M$31,$U71)&gt;0,PRESIONES!$C$9*IF($T71&lt;=10,1,($T71/10)^(2/DATOS!$C$56)),PRESIONES!$C$15)-ABERTURAS!$L$63*PRESIONES!$C$12)*$R71/$M71)</f>
        <v>-84.268888351998783</v>
      </c>
      <c r="AF71" s="26">
        <f>IF($L71&lt;&gt;"OK",0,(INDEX(PRESIONES!$D$28:$D$31,$U71)*IF(INDEX(PRESIONES!$D$28:$D$31,$U71)&gt;0,PRESIONES!$C$9*IF($T71&lt;=10,1,($T71/10)^(2/DATOS!$C$56)),PRESIONES!$C$15)-ABERTURAS!$L$64*PRESIONES!$C$12)*$S71/$M71)</f>
        <v>0.49925890133251594</v>
      </c>
      <c r="AG71" s="26">
        <f>IF($L71&lt;&gt;"OK",0,(INDEX(PRESIONES!$G$28:$G$31,$U71)*IF(INDEX(PRESIONES!$G$28:$G$31,$U71)&gt;0,PRESIONES!$C$9*IF($T71&lt;=10,1,($T71/10)^(2/DATOS!$C$56)),PRESIONES!$C$15)-ABERTURAS!$L$65*PRESIONES!$C$12)*$S71/$M71)</f>
        <v>75.379258901332534</v>
      </c>
      <c r="AH71" s="26">
        <f>IF($L71&lt;&gt;"OK",0,(INDEX(PRESIONES!$J$28:$J$31,$U71)*IF(INDEX(PRESIONES!$J$28:$J$31,$U71)&gt;0,PRESIONES!$C$9*IF($T71&lt;=10,1,($T71/10)^(2/DATOS!$C$56)),PRESIONES!$C$15)-ABERTURAS!$L$66*PRESIONES!$C$12)*$S71/$M71)</f>
        <v>-5.1608893184009768</v>
      </c>
      <c r="AI71" s="26">
        <f>IF($L71&lt;&gt;"OK",0,(INDEX(PRESIONES!$M$28:$M$31,$U71)*IF(INDEX(PRESIONES!$M$28:$M$31,$U71)&gt;0,PRESIONES!$C$9*IF($T71&lt;=10,1,($T71/10)^(2/DATOS!$C$56)),PRESIONES!$C$15)-ABERTURAS!$L$67*PRESIONES!$C$12)*$S71/$M71)</f>
        <v>-84.268888351998783</v>
      </c>
    </row>
    <row r="72" spans="2:35" ht="16.5" customHeight="1" x14ac:dyDescent="0.3">
      <c r="B72" s="4" t="s">
        <v>484</v>
      </c>
      <c r="C72" s="15" t="s">
        <v>478</v>
      </c>
      <c r="D72" s="4" t="s">
        <v>485</v>
      </c>
      <c r="E72" s="15" t="s">
        <v>430</v>
      </c>
      <c r="F72" s="40">
        <v>0</v>
      </c>
      <c r="G72" s="40">
        <v>6.75</v>
      </c>
      <c r="H72" s="40">
        <v>1.8</v>
      </c>
      <c r="I72" s="40">
        <v>3</v>
      </c>
      <c r="J72" s="40"/>
      <c r="K72" s="40"/>
      <c r="L72" s="18" t="str">
        <f t="shared" si="6"/>
        <v>OK</v>
      </c>
      <c r="M72" s="26">
        <f t="shared" si="7"/>
        <v>6.75</v>
      </c>
      <c r="N72" s="26">
        <f t="shared" si="8"/>
        <v>1.2</v>
      </c>
      <c r="O72" s="26">
        <f t="shared" si="9"/>
        <v>8.1</v>
      </c>
      <c r="P72" s="26">
        <f>IF($U72=0,0,SUMPRODUCT((ABERTURAS!$N$7:$N$26=$U72)*ABERTURAS!$U$7:$U$26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Q72" s="26">
        <f>IF($U72=0,0,SUMPRODUCT((ABERTURAS!$N$7:$N$26=$U72)*ABERTURAS!$V$7:$V$26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R72" s="26">
        <f t="shared" si="10"/>
        <v>8.1</v>
      </c>
      <c r="S72" s="26">
        <f t="shared" si="11"/>
        <v>8.1</v>
      </c>
      <c r="T72" s="41">
        <f t="shared" si="12"/>
        <v>3</v>
      </c>
      <c r="U72" s="41">
        <f t="shared" si="13"/>
        <v>4</v>
      </c>
      <c r="V72" s="41">
        <f t="shared" si="14"/>
        <v>1.8</v>
      </c>
      <c r="W72" s="41">
        <f t="shared" si="15"/>
        <v>3</v>
      </c>
      <c r="X72" s="41">
        <f t="shared" si="16"/>
        <v>0</v>
      </c>
      <c r="Y72" s="41">
        <f t="shared" si="17"/>
        <v>6.75</v>
      </c>
      <c r="Z72" s="41">
        <f t="shared" si="18"/>
        <v>1.8</v>
      </c>
      <c r="AA72" s="41">
        <f t="shared" si="19"/>
        <v>3</v>
      </c>
      <c r="AB72" s="26">
        <f>IF($L72&lt;&gt;"OK",0,(INDEX(PRESIONES!$D$28:$D$31,$U72)*IF(INDEX(PRESIONES!$D$28:$D$31,$U72)&gt;0,PRESIONES!$C$9*IF($T72&lt;=10,1,($T72/10)^(2/DATOS!$C$56)),PRESIONES!$C$15)-ABERTURAS!$L$60*PRESIONES!$C$12)*$R72/$M72)</f>
        <v>0.49925890133251583</v>
      </c>
      <c r="AC72" s="26">
        <f>IF($L72&lt;&gt;"OK",0,(INDEX(PRESIONES!$G$28:$G$31,$U72)*IF(INDEX(PRESIONES!$G$28:$G$31,$U72)&gt;0,PRESIONES!$C$9*IF($T72&lt;=10,1,($T72/10)^(2/DATOS!$C$56)),PRESIONES!$C$15)-ABERTURAS!$L$61*PRESIONES!$C$12)*$R72/$M72)</f>
        <v>75.37925890133252</v>
      </c>
      <c r="AD72" s="26">
        <f>IF($L72&lt;&gt;"OK",0,(INDEX(PRESIONES!$J$28:$J$31,$U72)*IF(INDEX(PRESIONES!$J$28:$J$31,$U72)&gt;0,PRESIONES!$C$9*IF($T72&lt;=10,1,($T72/10)^(2/DATOS!$C$56)),PRESIONES!$C$15)-ABERTURAS!$L$62*PRESIONES!$C$12)*$R72/$M72)</f>
        <v>-5.160889318400975</v>
      </c>
      <c r="AE72" s="26">
        <f>IF($L72&lt;&gt;"OK",0,(INDEX(PRESIONES!$M$28:$M$31,$U72)*IF(INDEX(PRESIONES!$M$28:$M$31,$U72)&gt;0,PRESIONES!$C$9*IF($T72&lt;=10,1,($T72/10)^(2/DATOS!$C$56)),PRESIONES!$C$15)-ABERTURAS!$L$63*PRESIONES!$C$12)*$R72/$M72)</f>
        <v>-84.268888351998768</v>
      </c>
      <c r="AF72" s="26">
        <f>IF($L72&lt;&gt;"OK",0,(INDEX(PRESIONES!$D$28:$D$31,$U72)*IF(INDEX(PRESIONES!$D$28:$D$31,$U72)&gt;0,PRESIONES!$C$9*IF($T72&lt;=10,1,($T72/10)^(2/DATOS!$C$56)),PRESIONES!$C$15)-ABERTURAS!$L$64*PRESIONES!$C$12)*$S72/$M72)</f>
        <v>0.49925890133251583</v>
      </c>
      <c r="AG72" s="26">
        <f>IF($L72&lt;&gt;"OK",0,(INDEX(PRESIONES!$G$28:$G$31,$U72)*IF(INDEX(PRESIONES!$G$28:$G$31,$U72)&gt;0,PRESIONES!$C$9*IF($T72&lt;=10,1,($T72/10)^(2/DATOS!$C$56)),PRESIONES!$C$15)-ABERTURAS!$L$65*PRESIONES!$C$12)*$S72/$M72)</f>
        <v>75.37925890133252</v>
      </c>
      <c r="AH72" s="26">
        <f>IF($L72&lt;&gt;"OK",0,(INDEX(PRESIONES!$J$28:$J$31,$U72)*IF(INDEX(PRESIONES!$J$28:$J$31,$U72)&gt;0,PRESIONES!$C$9*IF($T72&lt;=10,1,($T72/10)^(2/DATOS!$C$56)),PRESIONES!$C$15)-ABERTURAS!$L$66*PRESIONES!$C$12)*$S72/$M72)</f>
        <v>-5.160889318400975</v>
      </c>
      <c r="AI72" s="26">
        <f>IF($L72&lt;&gt;"OK",0,(INDEX(PRESIONES!$M$28:$M$31,$U72)*IF(INDEX(PRESIONES!$M$28:$M$31,$U72)&gt;0,PRESIONES!$C$9*IF($T72&lt;=10,1,($T72/10)^(2/DATOS!$C$56)),PRESIONES!$C$15)-ABERTURAS!$L$67*PRESIONES!$C$12)*$S72/$M72)</f>
        <v>-84.268888351998768</v>
      </c>
    </row>
    <row r="73" spans="2:35" ht="16.5" customHeight="1" x14ac:dyDescent="0.3">
      <c r="B73" s="4" t="s">
        <v>486</v>
      </c>
      <c r="C73" s="15" t="s">
        <v>478</v>
      </c>
      <c r="D73" s="4" t="s">
        <v>487</v>
      </c>
      <c r="E73" s="15" t="s">
        <v>430</v>
      </c>
      <c r="F73" s="40">
        <v>6.75</v>
      </c>
      <c r="G73" s="40">
        <v>13.5</v>
      </c>
      <c r="H73" s="40">
        <v>1.8</v>
      </c>
      <c r="I73" s="40">
        <v>3</v>
      </c>
      <c r="J73" s="40"/>
      <c r="K73" s="40"/>
      <c r="L73" s="18" t="str">
        <f t="shared" si="6"/>
        <v>OK</v>
      </c>
      <c r="M73" s="26">
        <f t="shared" si="7"/>
        <v>6.75</v>
      </c>
      <c r="N73" s="26">
        <f t="shared" si="8"/>
        <v>1.2</v>
      </c>
      <c r="O73" s="26">
        <f t="shared" si="9"/>
        <v>8.1</v>
      </c>
      <c r="P73" s="26">
        <f>IF($U73=0,0,SUMPRODUCT((ABERTURAS!$N$7:$N$26=$U73)*ABERTURAS!$U$7:$U$26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Q73" s="26">
        <f>IF($U73=0,0,SUMPRODUCT((ABERTURAS!$N$7:$N$26=$U73)*ABERTURAS!$V$7:$V$26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R73" s="26">
        <f t="shared" si="10"/>
        <v>8.1</v>
      </c>
      <c r="S73" s="26">
        <f t="shared" si="11"/>
        <v>8.1</v>
      </c>
      <c r="T73" s="41">
        <f t="shared" si="12"/>
        <v>3</v>
      </c>
      <c r="U73" s="41">
        <f t="shared" si="13"/>
        <v>4</v>
      </c>
      <c r="V73" s="41">
        <f t="shared" si="14"/>
        <v>1.8</v>
      </c>
      <c r="W73" s="41">
        <f t="shared" si="15"/>
        <v>3</v>
      </c>
      <c r="X73" s="41">
        <f t="shared" si="16"/>
        <v>6.75</v>
      </c>
      <c r="Y73" s="41">
        <f t="shared" si="17"/>
        <v>13.5</v>
      </c>
      <c r="Z73" s="41">
        <f t="shared" si="18"/>
        <v>1.8</v>
      </c>
      <c r="AA73" s="41">
        <f t="shared" si="19"/>
        <v>3</v>
      </c>
      <c r="AB73" s="26">
        <f>IF($L73&lt;&gt;"OK",0,(INDEX(PRESIONES!$D$28:$D$31,$U73)*IF(INDEX(PRESIONES!$D$28:$D$31,$U73)&gt;0,PRESIONES!$C$9*IF($T73&lt;=10,1,($T73/10)^(2/DATOS!$C$56)),PRESIONES!$C$15)-ABERTURAS!$L$60*PRESIONES!$C$12)*$R73/$M73)</f>
        <v>0.49925890133251583</v>
      </c>
      <c r="AC73" s="26">
        <f>IF($L73&lt;&gt;"OK",0,(INDEX(PRESIONES!$G$28:$G$31,$U73)*IF(INDEX(PRESIONES!$G$28:$G$31,$U73)&gt;0,PRESIONES!$C$9*IF($T73&lt;=10,1,($T73/10)^(2/DATOS!$C$56)),PRESIONES!$C$15)-ABERTURAS!$L$61*PRESIONES!$C$12)*$R73/$M73)</f>
        <v>75.37925890133252</v>
      </c>
      <c r="AD73" s="26">
        <f>IF($L73&lt;&gt;"OK",0,(INDEX(PRESIONES!$J$28:$J$31,$U73)*IF(INDEX(PRESIONES!$J$28:$J$31,$U73)&gt;0,PRESIONES!$C$9*IF($T73&lt;=10,1,($T73/10)^(2/DATOS!$C$56)),PRESIONES!$C$15)-ABERTURAS!$L$62*PRESIONES!$C$12)*$R73/$M73)</f>
        <v>-5.160889318400975</v>
      </c>
      <c r="AE73" s="26">
        <f>IF($L73&lt;&gt;"OK",0,(INDEX(PRESIONES!$M$28:$M$31,$U73)*IF(INDEX(PRESIONES!$M$28:$M$31,$U73)&gt;0,PRESIONES!$C$9*IF($T73&lt;=10,1,($T73/10)^(2/DATOS!$C$56)),PRESIONES!$C$15)-ABERTURAS!$L$63*PRESIONES!$C$12)*$R73/$M73)</f>
        <v>-84.268888351998768</v>
      </c>
      <c r="AF73" s="26">
        <f>IF($L73&lt;&gt;"OK",0,(INDEX(PRESIONES!$D$28:$D$31,$U73)*IF(INDEX(PRESIONES!$D$28:$D$31,$U73)&gt;0,PRESIONES!$C$9*IF($T73&lt;=10,1,($T73/10)^(2/DATOS!$C$56)),PRESIONES!$C$15)-ABERTURAS!$L$64*PRESIONES!$C$12)*$S73/$M73)</f>
        <v>0.49925890133251583</v>
      </c>
      <c r="AG73" s="26">
        <f>IF($L73&lt;&gt;"OK",0,(INDEX(PRESIONES!$G$28:$G$31,$U73)*IF(INDEX(PRESIONES!$G$28:$G$31,$U73)&gt;0,PRESIONES!$C$9*IF($T73&lt;=10,1,($T73/10)^(2/DATOS!$C$56)),PRESIONES!$C$15)-ABERTURAS!$L$65*PRESIONES!$C$12)*$S73/$M73)</f>
        <v>75.37925890133252</v>
      </c>
      <c r="AH73" s="26">
        <f>IF($L73&lt;&gt;"OK",0,(INDEX(PRESIONES!$J$28:$J$31,$U73)*IF(INDEX(PRESIONES!$J$28:$J$31,$U73)&gt;0,PRESIONES!$C$9*IF($T73&lt;=10,1,($T73/10)^(2/DATOS!$C$56)),PRESIONES!$C$15)-ABERTURAS!$L$66*PRESIONES!$C$12)*$S73/$M73)</f>
        <v>-5.160889318400975</v>
      </c>
      <c r="AI73" s="26">
        <f>IF($L73&lt;&gt;"OK",0,(INDEX(PRESIONES!$M$28:$M$31,$U73)*IF(INDEX(PRESIONES!$M$28:$M$31,$U73)&gt;0,PRESIONES!$C$9*IF($T73&lt;=10,1,($T73/10)^(2/DATOS!$C$56)),PRESIONES!$C$15)-ABERTURAS!$L$67*PRESIONES!$C$12)*$S73/$M73)</f>
        <v>-84.268888351998768</v>
      </c>
    </row>
    <row r="74" spans="2:35" ht="16.5" customHeight="1" x14ac:dyDescent="0.3">
      <c r="B74" s="4" t="s">
        <v>488</v>
      </c>
      <c r="C74" s="15" t="s">
        <v>478</v>
      </c>
      <c r="D74" s="4" t="s">
        <v>489</v>
      </c>
      <c r="E74" s="15" t="s">
        <v>430</v>
      </c>
      <c r="F74" s="40">
        <v>13.5</v>
      </c>
      <c r="G74" s="40">
        <v>16</v>
      </c>
      <c r="H74" s="40">
        <v>1.8</v>
      </c>
      <c r="I74" s="40">
        <v>3</v>
      </c>
      <c r="J74" s="40"/>
      <c r="K74" s="40"/>
      <c r="L74" s="18" t="str">
        <f t="shared" si="6"/>
        <v>OK</v>
      </c>
      <c r="M74" s="26">
        <f t="shared" si="7"/>
        <v>2.5</v>
      </c>
      <c r="N74" s="26">
        <f t="shared" si="8"/>
        <v>1.2</v>
      </c>
      <c r="O74" s="26">
        <f t="shared" si="9"/>
        <v>3</v>
      </c>
      <c r="P74" s="26">
        <f>IF($U74=0,0,SUMPRODUCT((ABERTURAS!$N$7:$N$26=$U74)*ABERTURAS!$U$7:$U$26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Q74" s="26">
        <f>IF($U74=0,0,SUMPRODUCT((ABERTURAS!$N$7:$N$26=$U74)*ABERTURAS!$V$7:$V$26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R74" s="26">
        <f t="shared" si="10"/>
        <v>3</v>
      </c>
      <c r="S74" s="26">
        <f t="shared" si="11"/>
        <v>3</v>
      </c>
      <c r="T74" s="41">
        <f t="shared" si="12"/>
        <v>3</v>
      </c>
      <c r="U74" s="41">
        <f t="shared" si="13"/>
        <v>4</v>
      </c>
      <c r="V74" s="41">
        <f t="shared" si="14"/>
        <v>1.8</v>
      </c>
      <c r="W74" s="41">
        <f t="shared" si="15"/>
        <v>3</v>
      </c>
      <c r="X74" s="41">
        <f t="shared" si="16"/>
        <v>13.5</v>
      </c>
      <c r="Y74" s="41">
        <f t="shared" si="17"/>
        <v>16</v>
      </c>
      <c r="Z74" s="41">
        <f t="shared" si="18"/>
        <v>1.8</v>
      </c>
      <c r="AA74" s="41">
        <f t="shared" si="19"/>
        <v>3</v>
      </c>
      <c r="AB74" s="26">
        <f>IF($L74&lt;&gt;"OK",0,(INDEX(PRESIONES!$D$28:$D$31,$U74)*IF(INDEX(PRESIONES!$D$28:$D$31,$U74)&gt;0,PRESIONES!$C$9*IF($T74&lt;=10,1,($T74/10)^(2/DATOS!$C$56)),PRESIONES!$C$15)-ABERTURAS!$L$60*PRESIONES!$C$12)*$R74/$M74)</f>
        <v>0.49925890133251583</v>
      </c>
      <c r="AC74" s="26">
        <f>IF($L74&lt;&gt;"OK",0,(INDEX(PRESIONES!$G$28:$G$31,$U74)*IF(INDEX(PRESIONES!$G$28:$G$31,$U74)&gt;0,PRESIONES!$C$9*IF($T74&lt;=10,1,($T74/10)^(2/DATOS!$C$56)),PRESIONES!$C$15)-ABERTURAS!$L$61*PRESIONES!$C$12)*$R74/$M74)</f>
        <v>75.37925890133252</v>
      </c>
      <c r="AD74" s="26">
        <f>IF($L74&lt;&gt;"OK",0,(INDEX(PRESIONES!$J$28:$J$31,$U74)*IF(INDEX(PRESIONES!$J$28:$J$31,$U74)&gt;0,PRESIONES!$C$9*IF($T74&lt;=10,1,($T74/10)^(2/DATOS!$C$56)),PRESIONES!$C$15)-ABERTURAS!$L$62*PRESIONES!$C$12)*$R74/$M74)</f>
        <v>-5.1608893184009759</v>
      </c>
      <c r="AE74" s="26">
        <f>IF($L74&lt;&gt;"OK",0,(INDEX(PRESIONES!$M$28:$M$31,$U74)*IF(INDEX(PRESIONES!$M$28:$M$31,$U74)&gt;0,PRESIONES!$C$9*IF($T74&lt;=10,1,($T74/10)^(2/DATOS!$C$56)),PRESIONES!$C$15)-ABERTURAS!$L$63*PRESIONES!$C$12)*$R74/$M74)</f>
        <v>-84.268888351998768</v>
      </c>
      <c r="AF74" s="26">
        <f>IF($L74&lt;&gt;"OK",0,(INDEX(PRESIONES!$D$28:$D$31,$U74)*IF(INDEX(PRESIONES!$D$28:$D$31,$U74)&gt;0,PRESIONES!$C$9*IF($T74&lt;=10,1,($T74/10)^(2/DATOS!$C$56)),PRESIONES!$C$15)-ABERTURAS!$L$64*PRESIONES!$C$12)*$S74/$M74)</f>
        <v>0.49925890133251583</v>
      </c>
      <c r="AG74" s="26">
        <f>IF($L74&lt;&gt;"OK",0,(INDEX(PRESIONES!$G$28:$G$31,$U74)*IF(INDEX(PRESIONES!$G$28:$G$31,$U74)&gt;0,PRESIONES!$C$9*IF($T74&lt;=10,1,($T74/10)^(2/DATOS!$C$56)),PRESIONES!$C$15)-ABERTURAS!$L$65*PRESIONES!$C$12)*$S74/$M74)</f>
        <v>75.37925890133252</v>
      </c>
      <c r="AH74" s="26">
        <f>IF($L74&lt;&gt;"OK",0,(INDEX(PRESIONES!$J$28:$J$31,$U74)*IF(INDEX(PRESIONES!$J$28:$J$31,$U74)&gt;0,PRESIONES!$C$9*IF($T74&lt;=10,1,($T74/10)^(2/DATOS!$C$56)),PRESIONES!$C$15)-ABERTURAS!$L$66*PRESIONES!$C$12)*$S74/$M74)</f>
        <v>-5.1608893184009759</v>
      </c>
      <c r="AI74" s="26">
        <f>IF($L74&lt;&gt;"OK",0,(INDEX(PRESIONES!$M$28:$M$31,$U74)*IF(INDEX(PRESIONES!$M$28:$M$31,$U74)&gt;0,PRESIONES!$C$9*IF($T74&lt;=10,1,($T74/10)^(2/DATOS!$C$56)),PRESIONES!$C$15)-ABERTURAS!$L$67*PRESIONES!$C$12)*$S74/$M74)</f>
        <v>-84.268888351998768</v>
      </c>
    </row>
    <row r="75" spans="2:35" ht="16.5" customHeight="1" x14ac:dyDescent="0.3">
      <c r="B75" s="4" t="s">
        <v>490</v>
      </c>
      <c r="C75" s="15" t="s">
        <v>478</v>
      </c>
      <c r="D75" s="4" t="s">
        <v>491</v>
      </c>
      <c r="E75" s="15" t="s">
        <v>430</v>
      </c>
      <c r="F75" s="40">
        <v>0</v>
      </c>
      <c r="G75" s="40">
        <v>6.75</v>
      </c>
      <c r="H75" s="40">
        <v>3</v>
      </c>
      <c r="I75" s="40">
        <v>4.2</v>
      </c>
      <c r="J75" s="40"/>
      <c r="K75" s="40"/>
      <c r="L75" s="18" t="str">
        <f t="shared" si="6"/>
        <v>OK</v>
      </c>
      <c r="M75" s="26">
        <f t="shared" si="7"/>
        <v>6.75</v>
      </c>
      <c r="N75" s="26">
        <f t="shared" si="8"/>
        <v>1.2000000000000002</v>
      </c>
      <c r="O75" s="26">
        <f t="shared" si="9"/>
        <v>8.1000000000000014</v>
      </c>
      <c r="P75" s="26">
        <f>IF($U75=0,0,SUMPRODUCT((ABERTURAS!$N$7:$N$26=$U75)*ABERTURAS!$U$7:$U$26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Q75" s="26">
        <f>IF($U75=0,0,SUMPRODUCT((ABERTURAS!$N$7:$N$26=$U75)*ABERTURAS!$V$7:$V$26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R75" s="26">
        <f t="shared" si="10"/>
        <v>8.1000000000000014</v>
      </c>
      <c r="S75" s="26">
        <f t="shared" si="11"/>
        <v>8.1000000000000014</v>
      </c>
      <c r="T75" s="41">
        <f t="shared" si="12"/>
        <v>4.2</v>
      </c>
      <c r="U75" s="41">
        <f t="shared" si="13"/>
        <v>4</v>
      </c>
      <c r="V75" s="41">
        <f t="shared" si="14"/>
        <v>3</v>
      </c>
      <c r="W75" s="41">
        <f t="shared" si="15"/>
        <v>4.2</v>
      </c>
      <c r="X75" s="41">
        <f t="shared" si="16"/>
        <v>0</v>
      </c>
      <c r="Y75" s="41">
        <f t="shared" si="17"/>
        <v>6.75</v>
      </c>
      <c r="Z75" s="41">
        <f t="shared" si="18"/>
        <v>3</v>
      </c>
      <c r="AA75" s="41">
        <f t="shared" si="19"/>
        <v>4.2</v>
      </c>
      <c r="AB75" s="26">
        <f>IF($L75&lt;&gt;"OK",0,(INDEX(PRESIONES!$D$28:$D$31,$U75)*IF(INDEX(PRESIONES!$D$28:$D$31,$U75)&gt;0,PRESIONES!$C$9*IF($T75&lt;=10,1,($T75/10)^(2/DATOS!$C$56)),PRESIONES!$C$15)-ABERTURAS!$L$60*PRESIONES!$C$12)*$R75/$M75)</f>
        <v>0.49925890133251594</v>
      </c>
      <c r="AC75" s="26">
        <f>IF($L75&lt;&gt;"OK",0,(INDEX(PRESIONES!$G$28:$G$31,$U75)*IF(INDEX(PRESIONES!$G$28:$G$31,$U75)&gt;0,PRESIONES!$C$9*IF($T75&lt;=10,1,($T75/10)^(2/DATOS!$C$56)),PRESIONES!$C$15)-ABERTURAS!$L$61*PRESIONES!$C$12)*$R75/$M75)</f>
        <v>75.379258901332534</v>
      </c>
      <c r="AD75" s="26">
        <f>IF($L75&lt;&gt;"OK",0,(INDEX(PRESIONES!$J$28:$J$31,$U75)*IF(INDEX(PRESIONES!$J$28:$J$31,$U75)&gt;0,PRESIONES!$C$9*IF($T75&lt;=10,1,($T75/10)^(2/DATOS!$C$56)),PRESIONES!$C$15)-ABERTURAS!$L$62*PRESIONES!$C$12)*$R75/$M75)</f>
        <v>-5.1608893184009768</v>
      </c>
      <c r="AE75" s="26">
        <f>IF($L75&lt;&gt;"OK",0,(INDEX(PRESIONES!$M$28:$M$31,$U75)*IF(INDEX(PRESIONES!$M$28:$M$31,$U75)&gt;0,PRESIONES!$C$9*IF($T75&lt;=10,1,($T75/10)^(2/DATOS!$C$56)),PRESIONES!$C$15)-ABERTURAS!$L$63*PRESIONES!$C$12)*$R75/$M75)</f>
        <v>-84.268888351998783</v>
      </c>
      <c r="AF75" s="26">
        <f>IF($L75&lt;&gt;"OK",0,(INDEX(PRESIONES!$D$28:$D$31,$U75)*IF(INDEX(PRESIONES!$D$28:$D$31,$U75)&gt;0,PRESIONES!$C$9*IF($T75&lt;=10,1,($T75/10)^(2/DATOS!$C$56)),PRESIONES!$C$15)-ABERTURAS!$L$64*PRESIONES!$C$12)*$S75/$M75)</f>
        <v>0.49925890133251594</v>
      </c>
      <c r="AG75" s="26">
        <f>IF($L75&lt;&gt;"OK",0,(INDEX(PRESIONES!$G$28:$G$31,$U75)*IF(INDEX(PRESIONES!$G$28:$G$31,$U75)&gt;0,PRESIONES!$C$9*IF($T75&lt;=10,1,($T75/10)^(2/DATOS!$C$56)),PRESIONES!$C$15)-ABERTURAS!$L$65*PRESIONES!$C$12)*$S75/$M75)</f>
        <v>75.379258901332534</v>
      </c>
      <c r="AH75" s="26">
        <f>IF($L75&lt;&gt;"OK",0,(INDEX(PRESIONES!$J$28:$J$31,$U75)*IF(INDEX(PRESIONES!$J$28:$J$31,$U75)&gt;0,PRESIONES!$C$9*IF($T75&lt;=10,1,($T75/10)^(2/DATOS!$C$56)),PRESIONES!$C$15)-ABERTURAS!$L$66*PRESIONES!$C$12)*$S75/$M75)</f>
        <v>-5.1608893184009768</v>
      </c>
      <c r="AI75" s="26">
        <f>IF($L75&lt;&gt;"OK",0,(INDEX(PRESIONES!$M$28:$M$31,$U75)*IF(INDEX(PRESIONES!$M$28:$M$31,$U75)&gt;0,PRESIONES!$C$9*IF($T75&lt;=10,1,($T75/10)^(2/DATOS!$C$56)),PRESIONES!$C$15)-ABERTURAS!$L$67*PRESIONES!$C$12)*$S75/$M75)</f>
        <v>-84.268888351998783</v>
      </c>
    </row>
    <row r="76" spans="2:35" ht="16.5" customHeight="1" x14ac:dyDescent="0.3">
      <c r="B76" s="4" t="s">
        <v>492</v>
      </c>
      <c r="C76" s="15" t="s">
        <v>478</v>
      </c>
      <c r="D76" s="4" t="s">
        <v>493</v>
      </c>
      <c r="E76" s="15" t="s">
        <v>430</v>
      </c>
      <c r="F76" s="40">
        <v>6.75</v>
      </c>
      <c r="G76" s="40">
        <v>13.5</v>
      </c>
      <c r="H76" s="40">
        <v>3</v>
      </c>
      <c r="I76" s="40">
        <v>4.2</v>
      </c>
      <c r="J76" s="40"/>
      <c r="K76" s="40"/>
      <c r="L76" s="18" t="str">
        <f t="shared" si="6"/>
        <v>OK</v>
      </c>
      <c r="M76" s="26">
        <f t="shared" si="7"/>
        <v>6.75</v>
      </c>
      <c r="N76" s="26">
        <f t="shared" si="8"/>
        <v>1.2000000000000002</v>
      </c>
      <c r="O76" s="26">
        <f t="shared" si="9"/>
        <v>8.1000000000000014</v>
      </c>
      <c r="P76" s="26">
        <f>IF($U76=0,0,SUMPRODUCT((ABERTURAS!$N$7:$N$26=$U76)*ABERTURAS!$U$7:$U$26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Q76" s="26">
        <f>IF($U76=0,0,SUMPRODUCT((ABERTURAS!$N$7:$N$26=$U76)*ABERTURAS!$V$7:$V$26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R76" s="26">
        <f t="shared" si="10"/>
        <v>8.1000000000000014</v>
      </c>
      <c r="S76" s="26">
        <f t="shared" si="11"/>
        <v>8.1000000000000014</v>
      </c>
      <c r="T76" s="41">
        <f t="shared" si="12"/>
        <v>4.2</v>
      </c>
      <c r="U76" s="41">
        <f t="shared" si="13"/>
        <v>4</v>
      </c>
      <c r="V76" s="41">
        <f t="shared" si="14"/>
        <v>3</v>
      </c>
      <c r="W76" s="41">
        <f t="shared" si="15"/>
        <v>4.2</v>
      </c>
      <c r="X76" s="41">
        <f t="shared" si="16"/>
        <v>6.75</v>
      </c>
      <c r="Y76" s="41">
        <f t="shared" si="17"/>
        <v>13.5</v>
      </c>
      <c r="Z76" s="41">
        <f t="shared" si="18"/>
        <v>3</v>
      </c>
      <c r="AA76" s="41">
        <f t="shared" si="19"/>
        <v>4.2</v>
      </c>
      <c r="AB76" s="26">
        <f>IF($L76&lt;&gt;"OK",0,(INDEX(PRESIONES!$D$28:$D$31,$U76)*IF(INDEX(PRESIONES!$D$28:$D$31,$U76)&gt;0,PRESIONES!$C$9*IF($T76&lt;=10,1,($T76/10)^(2/DATOS!$C$56)),PRESIONES!$C$15)-ABERTURAS!$L$60*PRESIONES!$C$12)*$R76/$M76)</f>
        <v>0.49925890133251594</v>
      </c>
      <c r="AC76" s="26">
        <f>IF($L76&lt;&gt;"OK",0,(INDEX(PRESIONES!$G$28:$G$31,$U76)*IF(INDEX(PRESIONES!$G$28:$G$31,$U76)&gt;0,PRESIONES!$C$9*IF($T76&lt;=10,1,($T76/10)^(2/DATOS!$C$56)),PRESIONES!$C$15)-ABERTURAS!$L$61*PRESIONES!$C$12)*$R76/$M76)</f>
        <v>75.379258901332534</v>
      </c>
      <c r="AD76" s="26">
        <f>IF($L76&lt;&gt;"OK",0,(INDEX(PRESIONES!$J$28:$J$31,$U76)*IF(INDEX(PRESIONES!$J$28:$J$31,$U76)&gt;0,PRESIONES!$C$9*IF($T76&lt;=10,1,($T76/10)^(2/DATOS!$C$56)),PRESIONES!$C$15)-ABERTURAS!$L$62*PRESIONES!$C$12)*$R76/$M76)</f>
        <v>-5.1608893184009768</v>
      </c>
      <c r="AE76" s="26">
        <f>IF($L76&lt;&gt;"OK",0,(INDEX(PRESIONES!$M$28:$M$31,$U76)*IF(INDEX(PRESIONES!$M$28:$M$31,$U76)&gt;0,PRESIONES!$C$9*IF($T76&lt;=10,1,($T76/10)^(2/DATOS!$C$56)),PRESIONES!$C$15)-ABERTURAS!$L$63*PRESIONES!$C$12)*$R76/$M76)</f>
        <v>-84.268888351998783</v>
      </c>
      <c r="AF76" s="26">
        <f>IF($L76&lt;&gt;"OK",0,(INDEX(PRESIONES!$D$28:$D$31,$U76)*IF(INDEX(PRESIONES!$D$28:$D$31,$U76)&gt;0,PRESIONES!$C$9*IF($T76&lt;=10,1,($T76/10)^(2/DATOS!$C$56)),PRESIONES!$C$15)-ABERTURAS!$L$64*PRESIONES!$C$12)*$S76/$M76)</f>
        <v>0.49925890133251594</v>
      </c>
      <c r="AG76" s="26">
        <f>IF($L76&lt;&gt;"OK",0,(INDEX(PRESIONES!$G$28:$G$31,$U76)*IF(INDEX(PRESIONES!$G$28:$G$31,$U76)&gt;0,PRESIONES!$C$9*IF($T76&lt;=10,1,($T76/10)^(2/DATOS!$C$56)),PRESIONES!$C$15)-ABERTURAS!$L$65*PRESIONES!$C$12)*$S76/$M76)</f>
        <v>75.379258901332534</v>
      </c>
      <c r="AH76" s="26">
        <f>IF($L76&lt;&gt;"OK",0,(INDEX(PRESIONES!$J$28:$J$31,$U76)*IF(INDEX(PRESIONES!$J$28:$J$31,$U76)&gt;0,PRESIONES!$C$9*IF($T76&lt;=10,1,($T76/10)^(2/DATOS!$C$56)),PRESIONES!$C$15)-ABERTURAS!$L$66*PRESIONES!$C$12)*$S76/$M76)</f>
        <v>-5.1608893184009768</v>
      </c>
      <c r="AI76" s="26">
        <f>IF($L76&lt;&gt;"OK",0,(INDEX(PRESIONES!$M$28:$M$31,$U76)*IF(INDEX(PRESIONES!$M$28:$M$31,$U76)&gt;0,PRESIONES!$C$9*IF($T76&lt;=10,1,($T76/10)^(2/DATOS!$C$56)),PRESIONES!$C$15)-ABERTURAS!$L$67*PRESIONES!$C$12)*$S76/$M76)</f>
        <v>-84.268888351998783</v>
      </c>
    </row>
    <row r="77" spans="2:35" ht="16.5" customHeight="1" x14ac:dyDescent="0.3">
      <c r="B77" s="4" t="s">
        <v>494</v>
      </c>
      <c r="C77" s="15" t="s">
        <v>478</v>
      </c>
      <c r="D77" s="4" t="s">
        <v>495</v>
      </c>
      <c r="E77" s="15" t="s">
        <v>430</v>
      </c>
      <c r="F77" s="40">
        <v>13.5</v>
      </c>
      <c r="G77" s="40">
        <v>16</v>
      </c>
      <c r="H77" s="40">
        <v>3</v>
      </c>
      <c r="I77" s="40">
        <v>4.2</v>
      </c>
      <c r="J77" s="40"/>
      <c r="K77" s="40"/>
      <c r="L77" s="18" t="str">
        <f t="shared" ref="L77:L108" si="20">IF($D77="","",IF(LEFT($C77,4)&lt;&gt;"MURO","PON EL MURO",IF(AND($E77&lt;&gt;"HORIZONTAL",$E77&lt;&gt;"VERTICAL"),"PON EL SENTIDO",IF(OR($F77="",$G77="",$H77="",$I77=""),"FALTAN a o b",IF($M77&lt;=0,"a₂ DEBE SER &gt; a₁",IF($N77&lt;=0,"b₂ DEBE SER &gt; b₁","OK"))))))</f>
        <v>OK</v>
      </c>
      <c r="M77" s="26">
        <f t="shared" ref="M77:M108" si="21">IF($D77="",0,MAX(0,$G77-$F77))</f>
        <v>2.5</v>
      </c>
      <c r="N77" s="26">
        <f t="shared" ref="N77:N108" si="22">MAX(0,$W77-$V77)</f>
        <v>1.2000000000000002</v>
      </c>
      <c r="O77" s="26">
        <f t="shared" ref="O77:O108" si="23">$M77*$N77</f>
        <v>3.0000000000000004</v>
      </c>
      <c r="P77" s="26">
        <f>IF($U77=0,0,SUMPRODUCT((ABERTURAS!$N$7:$N$26=$U77)*ABERTURAS!$U$7:$U$26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Q77" s="26">
        <f>IF($U77=0,0,SUMPRODUCT((ABERTURAS!$N$7:$N$26=$U77)*ABERTURAS!$V$7:$V$26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R77" s="26">
        <f t="shared" ref="R77:R108" si="24">MAX(0,$O77-$P77)</f>
        <v>3.0000000000000004</v>
      </c>
      <c r="S77" s="26">
        <f t="shared" ref="S77:S108" si="25">MAX(0,$O77-$Q77)</f>
        <v>3.0000000000000004</v>
      </c>
      <c r="T77" s="41">
        <f t="shared" ref="T77:T108" si="26">IF($D77="",0,IF($E77="VERTICAL",N($G77),MAX(N($I77),IF($K77="",N($I77),$K77))))</f>
        <v>4.2</v>
      </c>
      <c r="U77" s="41">
        <f t="shared" ref="U77:U108" si="27">IF($L77&lt;&gt;"OK",0,VALUE(RIGHT($C77,1)))</f>
        <v>4</v>
      </c>
      <c r="V77" s="41">
        <f t="shared" ref="V77:V108" si="28">IF($D77="",0,(N($H77)+IF($J77="",N($H77),$J77))/2)</f>
        <v>3</v>
      </c>
      <c r="W77" s="41">
        <f t="shared" ref="W77:W108" si="29">IF($D77="",0,(N($I77)+IF($K77="",N($I77),$K77))/2)</f>
        <v>4.2</v>
      </c>
      <c r="X77" s="41">
        <f t="shared" ref="X77:X108" si="30">IF($E77="VERTICAL",$V77,N($F77))</f>
        <v>13.5</v>
      </c>
      <c r="Y77" s="41">
        <f t="shared" ref="Y77:Y108" si="31">IF($E77="VERTICAL",$W77,N($G77))</f>
        <v>16</v>
      </c>
      <c r="Z77" s="41">
        <f t="shared" ref="Z77:Z108" si="32">IF($E77="VERTICAL",N($F77),$V77)</f>
        <v>3</v>
      </c>
      <c r="AA77" s="41">
        <f t="shared" ref="AA77:AA108" si="33">IF($E77="VERTICAL",N($G77),$W77)</f>
        <v>4.2</v>
      </c>
      <c r="AB77" s="26">
        <f>IF($L77&lt;&gt;"OK",0,(INDEX(PRESIONES!$D$28:$D$31,$U77)*IF(INDEX(PRESIONES!$D$28:$D$31,$U77)&gt;0,PRESIONES!$C$9*IF($T77&lt;=10,1,($T77/10)^(2/DATOS!$C$56)),PRESIONES!$C$15)-ABERTURAS!$L$60*PRESIONES!$C$12)*$R77/$M77)</f>
        <v>0.49925890133251594</v>
      </c>
      <c r="AC77" s="26">
        <f>IF($L77&lt;&gt;"OK",0,(INDEX(PRESIONES!$G$28:$G$31,$U77)*IF(INDEX(PRESIONES!$G$28:$G$31,$U77)&gt;0,PRESIONES!$C$9*IF($T77&lt;=10,1,($T77/10)^(2/DATOS!$C$56)),PRESIONES!$C$15)-ABERTURAS!$L$61*PRESIONES!$C$12)*$R77/$M77)</f>
        <v>75.379258901332534</v>
      </c>
      <c r="AD77" s="26">
        <f>IF($L77&lt;&gt;"OK",0,(INDEX(PRESIONES!$J$28:$J$31,$U77)*IF(INDEX(PRESIONES!$J$28:$J$31,$U77)&gt;0,PRESIONES!$C$9*IF($T77&lt;=10,1,($T77/10)^(2/DATOS!$C$56)),PRESIONES!$C$15)-ABERTURAS!$L$62*PRESIONES!$C$12)*$R77/$M77)</f>
        <v>-5.1608893184009768</v>
      </c>
      <c r="AE77" s="26">
        <f>IF($L77&lt;&gt;"OK",0,(INDEX(PRESIONES!$M$28:$M$31,$U77)*IF(INDEX(PRESIONES!$M$28:$M$31,$U77)&gt;0,PRESIONES!$C$9*IF($T77&lt;=10,1,($T77/10)^(2/DATOS!$C$56)),PRESIONES!$C$15)-ABERTURAS!$L$63*PRESIONES!$C$12)*$R77/$M77)</f>
        <v>-84.268888351998783</v>
      </c>
      <c r="AF77" s="26">
        <f>IF($L77&lt;&gt;"OK",0,(INDEX(PRESIONES!$D$28:$D$31,$U77)*IF(INDEX(PRESIONES!$D$28:$D$31,$U77)&gt;0,PRESIONES!$C$9*IF($T77&lt;=10,1,($T77/10)^(2/DATOS!$C$56)),PRESIONES!$C$15)-ABERTURAS!$L$64*PRESIONES!$C$12)*$S77/$M77)</f>
        <v>0.49925890133251594</v>
      </c>
      <c r="AG77" s="26">
        <f>IF($L77&lt;&gt;"OK",0,(INDEX(PRESIONES!$G$28:$G$31,$U77)*IF(INDEX(PRESIONES!$G$28:$G$31,$U77)&gt;0,PRESIONES!$C$9*IF($T77&lt;=10,1,($T77/10)^(2/DATOS!$C$56)),PRESIONES!$C$15)-ABERTURAS!$L$65*PRESIONES!$C$12)*$S77/$M77)</f>
        <v>75.379258901332534</v>
      </c>
      <c r="AH77" s="26">
        <f>IF($L77&lt;&gt;"OK",0,(INDEX(PRESIONES!$J$28:$J$31,$U77)*IF(INDEX(PRESIONES!$J$28:$J$31,$U77)&gt;0,PRESIONES!$C$9*IF($T77&lt;=10,1,($T77/10)^(2/DATOS!$C$56)),PRESIONES!$C$15)-ABERTURAS!$L$66*PRESIONES!$C$12)*$S77/$M77)</f>
        <v>-5.1608893184009768</v>
      </c>
      <c r="AI77" s="26">
        <f>IF($L77&lt;&gt;"OK",0,(INDEX(PRESIONES!$M$28:$M$31,$U77)*IF(INDEX(PRESIONES!$M$28:$M$31,$U77)&gt;0,PRESIONES!$C$9*IF($T77&lt;=10,1,($T77/10)^(2/DATOS!$C$56)),PRESIONES!$C$15)-ABERTURAS!$L$67*PRESIONES!$C$12)*$S77/$M77)</f>
        <v>-84.268888351998783</v>
      </c>
    </row>
    <row r="78" spans="2:35" ht="16.5" customHeight="1" x14ac:dyDescent="0.3">
      <c r="B78" s="4" t="s">
        <v>496</v>
      </c>
      <c r="C78" s="15" t="s">
        <v>478</v>
      </c>
      <c r="D78" s="4" t="s">
        <v>497</v>
      </c>
      <c r="E78" s="15" t="s">
        <v>430</v>
      </c>
      <c r="F78" s="40">
        <v>0</v>
      </c>
      <c r="G78" s="40">
        <v>6.75</v>
      </c>
      <c r="H78" s="40">
        <v>4.2</v>
      </c>
      <c r="I78" s="40">
        <v>5.4</v>
      </c>
      <c r="J78" s="40"/>
      <c r="K78" s="40"/>
      <c r="L78" s="18" t="str">
        <f t="shared" si="20"/>
        <v>OK</v>
      </c>
      <c r="M78" s="26">
        <f t="shared" si="21"/>
        <v>6.75</v>
      </c>
      <c r="N78" s="26">
        <f t="shared" si="22"/>
        <v>1.2000000000000002</v>
      </c>
      <c r="O78" s="26">
        <f t="shared" si="23"/>
        <v>8.1000000000000014</v>
      </c>
      <c r="P78" s="26">
        <f>IF($U78=0,0,SUMPRODUCT((ABERTURAS!$N$7:$N$26=$U78)*ABERTURAS!$U$7:$U$26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Q78" s="26">
        <f>IF($U78=0,0,SUMPRODUCT((ABERTURAS!$N$7:$N$26=$U78)*ABERTURAS!$V$7:$V$26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R78" s="26">
        <f t="shared" si="24"/>
        <v>8.1000000000000014</v>
      </c>
      <c r="S78" s="26">
        <f t="shared" si="25"/>
        <v>8.1000000000000014</v>
      </c>
      <c r="T78" s="41">
        <f t="shared" si="26"/>
        <v>5.4</v>
      </c>
      <c r="U78" s="41">
        <f t="shared" si="27"/>
        <v>4</v>
      </c>
      <c r="V78" s="41">
        <f t="shared" si="28"/>
        <v>4.2</v>
      </c>
      <c r="W78" s="41">
        <f t="shared" si="29"/>
        <v>5.4</v>
      </c>
      <c r="X78" s="41">
        <f t="shared" si="30"/>
        <v>0</v>
      </c>
      <c r="Y78" s="41">
        <f t="shared" si="31"/>
        <v>6.75</v>
      </c>
      <c r="Z78" s="41">
        <f t="shared" si="32"/>
        <v>4.2</v>
      </c>
      <c r="AA78" s="41">
        <f t="shared" si="33"/>
        <v>5.4</v>
      </c>
      <c r="AB78" s="26">
        <f>IF($L78&lt;&gt;"OK",0,(INDEX(PRESIONES!$D$28:$D$31,$U78)*IF(INDEX(PRESIONES!$D$28:$D$31,$U78)&gt;0,PRESIONES!$C$9*IF($T78&lt;=10,1,($T78/10)^(2/DATOS!$C$56)),PRESIONES!$C$15)-ABERTURAS!$L$60*PRESIONES!$C$12)*$R78/$M78)</f>
        <v>0.49925890133251594</v>
      </c>
      <c r="AC78" s="26">
        <f>IF($L78&lt;&gt;"OK",0,(INDEX(PRESIONES!$G$28:$G$31,$U78)*IF(INDEX(PRESIONES!$G$28:$G$31,$U78)&gt;0,PRESIONES!$C$9*IF($T78&lt;=10,1,($T78/10)^(2/DATOS!$C$56)),PRESIONES!$C$15)-ABERTURAS!$L$61*PRESIONES!$C$12)*$R78/$M78)</f>
        <v>75.379258901332534</v>
      </c>
      <c r="AD78" s="26">
        <f>IF($L78&lt;&gt;"OK",0,(INDEX(PRESIONES!$J$28:$J$31,$U78)*IF(INDEX(PRESIONES!$J$28:$J$31,$U78)&gt;0,PRESIONES!$C$9*IF($T78&lt;=10,1,($T78/10)^(2/DATOS!$C$56)),PRESIONES!$C$15)-ABERTURAS!$L$62*PRESIONES!$C$12)*$R78/$M78)</f>
        <v>-5.1608893184009768</v>
      </c>
      <c r="AE78" s="26">
        <f>IF($L78&lt;&gt;"OK",0,(INDEX(PRESIONES!$M$28:$M$31,$U78)*IF(INDEX(PRESIONES!$M$28:$M$31,$U78)&gt;0,PRESIONES!$C$9*IF($T78&lt;=10,1,($T78/10)^(2/DATOS!$C$56)),PRESIONES!$C$15)-ABERTURAS!$L$63*PRESIONES!$C$12)*$R78/$M78)</f>
        <v>-84.268888351998783</v>
      </c>
      <c r="AF78" s="26">
        <f>IF($L78&lt;&gt;"OK",0,(INDEX(PRESIONES!$D$28:$D$31,$U78)*IF(INDEX(PRESIONES!$D$28:$D$31,$U78)&gt;0,PRESIONES!$C$9*IF($T78&lt;=10,1,($T78/10)^(2/DATOS!$C$56)),PRESIONES!$C$15)-ABERTURAS!$L$64*PRESIONES!$C$12)*$S78/$M78)</f>
        <v>0.49925890133251594</v>
      </c>
      <c r="AG78" s="26">
        <f>IF($L78&lt;&gt;"OK",0,(INDEX(PRESIONES!$G$28:$G$31,$U78)*IF(INDEX(PRESIONES!$G$28:$G$31,$U78)&gt;0,PRESIONES!$C$9*IF($T78&lt;=10,1,($T78/10)^(2/DATOS!$C$56)),PRESIONES!$C$15)-ABERTURAS!$L$65*PRESIONES!$C$12)*$S78/$M78)</f>
        <v>75.379258901332534</v>
      </c>
      <c r="AH78" s="26">
        <f>IF($L78&lt;&gt;"OK",0,(INDEX(PRESIONES!$J$28:$J$31,$U78)*IF(INDEX(PRESIONES!$J$28:$J$31,$U78)&gt;0,PRESIONES!$C$9*IF($T78&lt;=10,1,($T78/10)^(2/DATOS!$C$56)),PRESIONES!$C$15)-ABERTURAS!$L$66*PRESIONES!$C$12)*$S78/$M78)</f>
        <v>-5.1608893184009768</v>
      </c>
      <c r="AI78" s="26">
        <f>IF($L78&lt;&gt;"OK",0,(INDEX(PRESIONES!$M$28:$M$31,$U78)*IF(INDEX(PRESIONES!$M$28:$M$31,$U78)&gt;0,PRESIONES!$C$9*IF($T78&lt;=10,1,($T78/10)^(2/DATOS!$C$56)),PRESIONES!$C$15)-ABERTURAS!$L$67*PRESIONES!$C$12)*$S78/$M78)</f>
        <v>-84.268888351998783</v>
      </c>
    </row>
    <row r="79" spans="2:35" ht="16.5" customHeight="1" x14ac:dyDescent="0.3">
      <c r="B79" s="4" t="s">
        <v>498</v>
      </c>
      <c r="C79" s="15" t="s">
        <v>478</v>
      </c>
      <c r="D79" s="4" t="s">
        <v>499</v>
      </c>
      <c r="E79" s="15" t="s">
        <v>430</v>
      </c>
      <c r="F79" s="40">
        <v>6.75</v>
      </c>
      <c r="G79" s="40">
        <v>13.5</v>
      </c>
      <c r="H79" s="40">
        <v>4.2</v>
      </c>
      <c r="I79" s="40">
        <v>5.4</v>
      </c>
      <c r="J79" s="40"/>
      <c r="K79" s="40"/>
      <c r="L79" s="18" t="str">
        <f t="shared" si="20"/>
        <v>OK</v>
      </c>
      <c r="M79" s="26">
        <f t="shared" si="21"/>
        <v>6.75</v>
      </c>
      <c r="N79" s="26">
        <f t="shared" si="22"/>
        <v>1.2000000000000002</v>
      </c>
      <c r="O79" s="26">
        <f t="shared" si="23"/>
        <v>8.1000000000000014</v>
      </c>
      <c r="P79" s="26">
        <f>IF($U79=0,0,SUMPRODUCT((ABERTURAS!$N$7:$N$26=$U79)*ABERTURAS!$U$7:$U$26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Q79" s="26">
        <f>IF($U79=0,0,SUMPRODUCT((ABERTURAS!$N$7:$N$26=$U79)*ABERTURAS!$V$7:$V$26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R79" s="26">
        <f t="shared" si="24"/>
        <v>8.1000000000000014</v>
      </c>
      <c r="S79" s="26">
        <f t="shared" si="25"/>
        <v>8.1000000000000014</v>
      </c>
      <c r="T79" s="41">
        <f t="shared" si="26"/>
        <v>5.4</v>
      </c>
      <c r="U79" s="41">
        <f t="shared" si="27"/>
        <v>4</v>
      </c>
      <c r="V79" s="41">
        <f t="shared" si="28"/>
        <v>4.2</v>
      </c>
      <c r="W79" s="41">
        <f t="shared" si="29"/>
        <v>5.4</v>
      </c>
      <c r="X79" s="41">
        <f t="shared" si="30"/>
        <v>6.75</v>
      </c>
      <c r="Y79" s="41">
        <f t="shared" si="31"/>
        <v>13.5</v>
      </c>
      <c r="Z79" s="41">
        <f t="shared" si="32"/>
        <v>4.2</v>
      </c>
      <c r="AA79" s="41">
        <f t="shared" si="33"/>
        <v>5.4</v>
      </c>
      <c r="AB79" s="26">
        <f>IF($L79&lt;&gt;"OK",0,(INDEX(PRESIONES!$D$28:$D$31,$U79)*IF(INDEX(PRESIONES!$D$28:$D$31,$U79)&gt;0,PRESIONES!$C$9*IF($T79&lt;=10,1,($T79/10)^(2/DATOS!$C$56)),PRESIONES!$C$15)-ABERTURAS!$L$60*PRESIONES!$C$12)*$R79/$M79)</f>
        <v>0.49925890133251594</v>
      </c>
      <c r="AC79" s="26">
        <f>IF($L79&lt;&gt;"OK",0,(INDEX(PRESIONES!$G$28:$G$31,$U79)*IF(INDEX(PRESIONES!$G$28:$G$31,$U79)&gt;0,PRESIONES!$C$9*IF($T79&lt;=10,1,($T79/10)^(2/DATOS!$C$56)),PRESIONES!$C$15)-ABERTURAS!$L$61*PRESIONES!$C$12)*$R79/$M79)</f>
        <v>75.379258901332534</v>
      </c>
      <c r="AD79" s="26">
        <f>IF($L79&lt;&gt;"OK",0,(INDEX(PRESIONES!$J$28:$J$31,$U79)*IF(INDEX(PRESIONES!$J$28:$J$31,$U79)&gt;0,PRESIONES!$C$9*IF($T79&lt;=10,1,($T79/10)^(2/DATOS!$C$56)),PRESIONES!$C$15)-ABERTURAS!$L$62*PRESIONES!$C$12)*$R79/$M79)</f>
        <v>-5.1608893184009768</v>
      </c>
      <c r="AE79" s="26">
        <f>IF($L79&lt;&gt;"OK",0,(INDEX(PRESIONES!$M$28:$M$31,$U79)*IF(INDEX(PRESIONES!$M$28:$M$31,$U79)&gt;0,PRESIONES!$C$9*IF($T79&lt;=10,1,($T79/10)^(2/DATOS!$C$56)),PRESIONES!$C$15)-ABERTURAS!$L$63*PRESIONES!$C$12)*$R79/$M79)</f>
        <v>-84.268888351998783</v>
      </c>
      <c r="AF79" s="26">
        <f>IF($L79&lt;&gt;"OK",0,(INDEX(PRESIONES!$D$28:$D$31,$U79)*IF(INDEX(PRESIONES!$D$28:$D$31,$U79)&gt;0,PRESIONES!$C$9*IF($T79&lt;=10,1,($T79/10)^(2/DATOS!$C$56)),PRESIONES!$C$15)-ABERTURAS!$L$64*PRESIONES!$C$12)*$S79/$M79)</f>
        <v>0.49925890133251594</v>
      </c>
      <c r="AG79" s="26">
        <f>IF($L79&lt;&gt;"OK",0,(INDEX(PRESIONES!$G$28:$G$31,$U79)*IF(INDEX(PRESIONES!$G$28:$G$31,$U79)&gt;0,PRESIONES!$C$9*IF($T79&lt;=10,1,($T79/10)^(2/DATOS!$C$56)),PRESIONES!$C$15)-ABERTURAS!$L$65*PRESIONES!$C$12)*$S79/$M79)</f>
        <v>75.379258901332534</v>
      </c>
      <c r="AH79" s="26">
        <f>IF($L79&lt;&gt;"OK",0,(INDEX(PRESIONES!$J$28:$J$31,$U79)*IF(INDEX(PRESIONES!$J$28:$J$31,$U79)&gt;0,PRESIONES!$C$9*IF($T79&lt;=10,1,($T79/10)^(2/DATOS!$C$56)),PRESIONES!$C$15)-ABERTURAS!$L$66*PRESIONES!$C$12)*$S79/$M79)</f>
        <v>-5.1608893184009768</v>
      </c>
      <c r="AI79" s="26">
        <f>IF($L79&lt;&gt;"OK",0,(INDEX(PRESIONES!$M$28:$M$31,$U79)*IF(INDEX(PRESIONES!$M$28:$M$31,$U79)&gt;0,PRESIONES!$C$9*IF($T79&lt;=10,1,($T79/10)^(2/DATOS!$C$56)),PRESIONES!$C$15)-ABERTURAS!$L$67*PRESIONES!$C$12)*$S79/$M79)</f>
        <v>-84.268888351998783</v>
      </c>
    </row>
    <row r="80" spans="2:35" ht="16.5" customHeight="1" x14ac:dyDescent="0.3">
      <c r="B80" s="4" t="s">
        <v>500</v>
      </c>
      <c r="C80" s="15" t="s">
        <v>478</v>
      </c>
      <c r="D80" s="4" t="s">
        <v>501</v>
      </c>
      <c r="E80" s="15" t="s">
        <v>430</v>
      </c>
      <c r="F80" s="40">
        <v>13.5</v>
      </c>
      <c r="G80" s="40">
        <v>16</v>
      </c>
      <c r="H80" s="40">
        <v>4.2</v>
      </c>
      <c r="I80" s="40">
        <v>5.4</v>
      </c>
      <c r="J80" s="40"/>
      <c r="K80" s="40"/>
      <c r="L80" s="18" t="str">
        <f t="shared" si="20"/>
        <v>OK</v>
      </c>
      <c r="M80" s="26">
        <f t="shared" si="21"/>
        <v>2.5</v>
      </c>
      <c r="N80" s="26">
        <f t="shared" si="22"/>
        <v>1.2000000000000002</v>
      </c>
      <c r="O80" s="26">
        <f t="shared" si="23"/>
        <v>3.0000000000000004</v>
      </c>
      <c r="P80" s="26">
        <f>IF($U80=0,0,SUMPRODUCT((ABERTURAS!$N$7:$N$26=$U80)*ABERTURAS!$U$7:$U$26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Q80" s="26">
        <f>IF($U80=0,0,SUMPRODUCT((ABERTURAS!$N$7:$N$26=$U80)*ABERTURAS!$V$7:$V$26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R80" s="26">
        <f t="shared" si="24"/>
        <v>3.0000000000000004</v>
      </c>
      <c r="S80" s="26">
        <f t="shared" si="25"/>
        <v>3.0000000000000004</v>
      </c>
      <c r="T80" s="41">
        <f t="shared" si="26"/>
        <v>5.4</v>
      </c>
      <c r="U80" s="41">
        <f t="shared" si="27"/>
        <v>4</v>
      </c>
      <c r="V80" s="41">
        <f t="shared" si="28"/>
        <v>4.2</v>
      </c>
      <c r="W80" s="41">
        <f t="shared" si="29"/>
        <v>5.4</v>
      </c>
      <c r="X80" s="41">
        <f t="shared" si="30"/>
        <v>13.5</v>
      </c>
      <c r="Y80" s="41">
        <f t="shared" si="31"/>
        <v>16</v>
      </c>
      <c r="Z80" s="41">
        <f t="shared" si="32"/>
        <v>4.2</v>
      </c>
      <c r="AA80" s="41">
        <f t="shared" si="33"/>
        <v>5.4</v>
      </c>
      <c r="AB80" s="26">
        <f>IF($L80&lt;&gt;"OK",0,(INDEX(PRESIONES!$D$28:$D$31,$U80)*IF(INDEX(PRESIONES!$D$28:$D$31,$U80)&gt;0,PRESIONES!$C$9*IF($T80&lt;=10,1,($T80/10)^(2/DATOS!$C$56)),PRESIONES!$C$15)-ABERTURAS!$L$60*PRESIONES!$C$12)*$R80/$M80)</f>
        <v>0.49925890133251594</v>
      </c>
      <c r="AC80" s="26">
        <f>IF($L80&lt;&gt;"OK",0,(INDEX(PRESIONES!$G$28:$G$31,$U80)*IF(INDEX(PRESIONES!$G$28:$G$31,$U80)&gt;0,PRESIONES!$C$9*IF($T80&lt;=10,1,($T80/10)^(2/DATOS!$C$56)),PRESIONES!$C$15)-ABERTURAS!$L$61*PRESIONES!$C$12)*$R80/$M80)</f>
        <v>75.379258901332534</v>
      </c>
      <c r="AD80" s="26">
        <f>IF($L80&lt;&gt;"OK",0,(INDEX(PRESIONES!$J$28:$J$31,$U80)*IF(INDEX(PRESIONES!$J$28:$J$31,$U80)&gt;0,PRESIONES!$C$9*IF($T80&lt;=10,1,($T80/10)^(2/DATOS!$C$56)),PRESIONES!$C$15)-ABERTURAS!$L$62*PRESIONES!$C$12)*$R80/$M80)</f>
        <v>-5.1608893184009768</v>
      </c>
      <c r="AE80" s="26">
        <f>IF($L80&lt;&gt;"OK",0,(INDEX(PRESIONES!$M$28:$M$31,$U80)*IF(INDEX(PRESIONES!$M$28:$M$31,$U80)&gt;0,PRESIONES!$C$9*IF($T80&lt;=10,1,($T80/10)^(2/DATOS!$C$56)),PRESIONES!$C$15)-ABERTURAS!$L$63*PRESIONES!$C$12)*$R80/$M80)</f>
        <v>-84.268888351998783</v>
      </c>
      <c r="AF80" s="26">
        <f>IF($L80&lt;&gt;"OK",0,(INDEX(PRESIONES!$D$28:$D$31,$U80)*IF(INDEX(PRESIONES!$D$28:$D$31,$U80)&gt;0,PRESIONES!$C$9*IF($T80&lt;=10,1,($T80/10)^(2/DATOS!$C$56)),PRESIONES!$C$15)-ABERTURAS!$L$64*PRESIONES!$C$12)*$S80/$M80)</f>
        <v>0.49925890133251594</v>
      </c>
      <c r="AG80" s="26">
        <f>IF($L80&lt;&gt;"OK",0,(INDEX(PRESIONES!$G$28:$G$31,$U80)*IF(INDEX(PRESIONES!$G$28:$G$31,$U80)&gt;0,PRESIONES!$C$9*IF($T80&lt;=10,1,($T80/10)^(2/DATOS!$C$56)),PRESIONES!$C$15)-ABERTURAS!$L$65*PRESIONES!$C$12)*$S80/$M80)</f>
        <v>75.379258901332534</v>
      </c>
      <c r="AH80" s="26">
        <f>IF($L80&lt;&gt;"OK",0,(INDEX(PRESIONES!$J$28:$J$31,$U80)*IF(INDEX(PRESIONES!$J$28:$J$31,$U80)&gt;0,PRESIONES!$C$9*IF($T80&lt;=10,1,($T80/10)^(2/DATOS!$C$56)),PRESIONES!$C$15)-ABERTURAS!$L$66*PRESIONES!$C$12)*$S80/$M80)</f>
        <v>-5.1608893184009768</v>
      </c>
      <c r="AI80" s="26">
        <f>IF($L80&lt;&gt;"OK",0,(INDEX(PRESIONES!$M$28:$M$31,$U80)*IF(INDEX(PRESIONES!$M$28:$M$31,$U80)&gt;0,PRESIONES!$C$9*IF($T80&lt;=10,1,($T80/10)^(2/DATOS!$C$56)),PRESIONES!$C$15)-ABERTURAS!$L$67*PRESIONES!$C$12)*$S80/$M80)</f>
        <v>-84.268888351998783</v>
      </c>
    </row>
    <row r="81" spans="2:35" ht="16.5" customHeight="1" x14ac:dyDescent="0.3">
      <c r="B81" s="4" t="s">
        <v>502</v>
      </c>
      <c r="C81" s="15" t="s">
        <v>478</v>
      </c>
      <c r="D81" s="4" t="s">
        <v>503</v>
      </c>
      <c r="E81" s="15" t="s">
        <v>430</v>
      </c>
      <c r="F81" s="40">
        <v>0</v>
      </c>
      <c r="G81" s="40">
        <v>6.75</v>
      </c>
      <c r="H81" s="40">
        <v>5.4</v>
      </c>
      <c r="I81" s="40">
        <v>6.6</v>
      </c>
      <c r="J81" s="40"/>
      <c r="K81" s="40"/>
      <c r="L81" s="18" t="str">
        <f t="shared" si="20"/>
        <v>OK</v>
      </c>
      <c r="M81" s="26">
        <f t="shared" si="21"/>
        <v>6.75</v>
      </c>
      <c r="N81" s="26">
        <f t="shared" si="22"/>
        <v>1.1999999999999993</v>
      </c>
      <c r="O81" s="26">
        <f t="shared" si="23"/>
        <v>8.0999999999999943</v>
      </c>
      <c r="P81" s="26">
        <f>IF($U81=0,0,SUMPRODUCT((ABERTURAS!$N$7:$N$26=$U81)*ABERTURAS!$U$7:$U$26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Q81" s="26">
        <f>IF($U81=0,0,SUMPRODUCT((ABERTURAS!$N$7:$N$26=$U81)*ABERTURAS!$V$7:$V$26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R81" s="26">
        <f t="shared" si="24"/>
        <v>8.0999999999999943</v>
      </c>
      <c r="S81" s="26">
        <f t="shared" si="25"/>
        <v>8.0999999999999943</v>
      </c>
      <c r="T81" s="41">
        <f t="shared" si="26"/>
        <v>6.6</v>
      </c>
      <c r="U81" s="41">
        <f t="shared" si="27"/>
        <v>4</v>
      </c>
      <c r="V81" s="41">
        <f t="shared" si="28"/>
        <v>5.4</v>
      </c>
      <c r="W81" s="41">
        <f t="shared" si="29"/>
        <v>6.6</v>
      </c>
      <c r="X81" s="41">
        <f t="shared" si="30"/>
        <v>0</v>
      </c>
      <c r="Y81" s="41">
        <f t="shared" si="31"/>
        <v>6.75</v>
      </c>
      <c r="Z81" s="41">
        <f t="shared" si="32"/>
        <v>5.4</v>
      </c>
      <c r="AA81" s="41">
        <f t="shared" si="33"/>
        <v>6.6</v>
      </c>
      <c r="AB81" s="26">
        <f>IF($L81&lt;&gt;"OK",0,(INDEX(PRESIONES!$D$28:$D$31,$U81)*IF(INDEX(PRESIONES!$D$28:$D$31,$U81)&gt;0,PRESIONES!$C$9*IF($T81&lt;=10,1,($T81/10)^(2/DATOS!$C$56)),PRESIONES!$C$15)-ABERTURAS!$L$60*PRESIONES!$C$12)*$R81/$M81)</f>
        <v>0.49925890133251549</v>
      </c>
      <c r="AC81" s="26">
        <f>IF($L81&lt;&gt;"OK",0,(INDEX(PRESIONES!$G$28:$G$31,$U81)*IF(INDEX(PRESIONES!$G$28:$G$31,$U81)&gt;0,PRESIONES!$C$9*IF($T81&lt;=10,1,($T81/10)^(2/DATOS!$C$56)),PRESIONES!$C$15)-ABERTURAS!$L$61*PRESIONES!$C$12)*$R81/$M81)</f>
        <v>75.379258901332477</v>
      </c>
      <c r="AD81" s="26">
        <f>IF($L81&lt;&gt;"OK",0,(INDEX(PRESIONES!$J$28:$J$31,$U81)*IF(INDEX(PRESIONES!$J$28:$J$31,$U81)&gt;0,PRESIONES!$C$9*IF($T81&lt;=10,1,($T81/10)^(2/DATOS!$C$56)),PRESIONES!$C$15)-ABERTURAS!$L$62*PRESIONES!$C$12)*$R81/$M81)</f>
        <v>-5.1608893184009723</v>
      </c>
      <c r="AE81" s="26">
        <f>IF($L81&lt;&gt;"OK",0,(INDEX(PRESIONES!$M$28:$M$31,$U81)*IF(INDEX(PRESIONES!$M$28:$M$31,$U81)&gt;0,PRESIONES!$C$9*IF($T81&lt;=10,1,($T81/10)^(2/DATOS!$C$56)),PRESIONES!$C$15)-ABERTURAS!$L$63*PRESIONES!$C$12)*$R81/$M81)</f>
        <v>-84.268888351998712</v>
      </c>
      <c r="AF81" s="26">
        <f>IF($L81&lt;&gt;"OK",0,(INDEX(PRESIONES!$D$28:$D$31,$U81)*IF(INDEX(PRESIONES!$D$28:$D$31,$U81)&gt;0,PRESIONES!$C$9*IF($T81&lt;=10,1,($T81/10)^(2/DATOS!$C$56)),PRESIONES!$C$15)-ABERTURAS!$L$64*PRESIONES!$C$12)*$S81/$M81)</f>
        <v>0.49925890133251549</v>
      </c>
      <c r="AG81" s="26">
        <f>IF($L81&lt;&gt;"OK",0,(INDEX(PRESIONES!$G$28:$G$31,$U81)*IF(INDEX(PRESIONES!$G$28:$G$31,$U81)&gt;0,PRESIONES!$C$9*IF($T81&lt;=10,1,($T81/10)^(2/DATOS!$C$56)),PRESIONES!$C$15)-ABERTURAS!$L$65*PRESIONES!$C$12)*$S81/$M81)</f>
        <v>75.379258901332477</v>
      </c>
      <c r="AH81" s="26">
        <f>IF($L81&lt;&gt;"OK",0,(INDEX(PRESIONES!$J$28:$J$31,$U81)*IF(INDEX(PRESIONES!$J$28:$J$31,$U81)&gt;0,PRESIONES!$C$9*IF($T81&lt;=10,1,($T81/10)^(2/DATOS!$C$56)),PRESIONES!$C$15)-ABERTURAS!$L$66*PRESIONES!$C$12)*$S81/$M81)</f>
        <v>-5.1608893184009723</v>
      </c>
      <c r="AI81" s="26">
        <f>IF($L81&lt;&gt;"OK",0,(INDEX(PRESIONES!$M$28:$M$31,$U81)*IF(INDEX(PRESIONES!$M$28:$M$31,$U81)&gt;0,PRESIONES!$C$9*IF($T81&lt;=10,1,($T81/10)^(2/DATOS!$C$56)),PRESIONES!$C$15)-ABERTURAS!$L$67*PRESIONES!$C$12)*$S81/$M81)</f>
        <v>-84.268888351998712</v>
      </c>
    </row>
    <row r="82" spans="2:35" ht="16.5" customHeight="1" x14ac:dyDescent="0.3">
      <c r="B82" s="4" t="s">
        <v>504</v>
      </c>
      <c r="C82" s="15" t="s">
        <v>478</v>
      </c>
      <c r="D82" s="4" t="s">
        <v>505</v>
      </c>
      <c r="E82" s="15" t="s">
        <v>430</v>
      </c>
      <c r="F82" s="40">
        <v>6.75</v>
      </c>
      <c r="G82" s="40">
        <v>13.5</v>
      </c>
      <c r="H82" s="40">
        <v>5.4</v>
      </c>
      <c r="I82" s="40">
        <v>6.6</v>
      </c>
      <c r="J82" s="40"/>
      <c r="K82" s="40"/>
      <c r="L82" s="18" t="str">
        <f t="shared" si="20"/>
        <v>OK</v>
      </c>
      <c r="M82" s="26">
        <f t="shared" si="21"/>
        <v>6.75</v>
      </c>
      <c r="N82" s="26">
        <f t="shared" si="22"/>
        <v>1.1999999999999993</v>
      </c>
      <c r="O82" s="26">
        <f t="shared" si="23"/>
        <v>8.0999999999999943</v>
      </c>
      <c r="P82" s="26">
        <f>IF($U82=0,0,SUMPRODUCT((ABERTURAS!$N$7:$N$26=$U82)*ABERTURAS!$U$7:$U$26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Q82" s="26">
        <f>IF($U82=0,0,SUMPRODUCT((ABERTURAS!$N$7:$N$26=$U82)*ABERTURAS!$V$7:$V$26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R82" s="26">
        <f t="shared" si="24"/>
        <v>8.0999999999999943</v>
      </c>
      <c r="S82" s="26">
        <f t="shared" si="25"/>
        <v>8.0999999999999943</v>
      </c>
      <c r="T82" s="41">
        <f t="shared" si="26"/>
        <v>6.6</v>
      </c>
      <c r="U82" s="41">
        <f t="shared" si="27"/>
        <v>4</v>
      </c>
      <c r="V82" s="41">
        <f t="shared" si="28"/>
        <v>5.4</v>
      </c>
      <c r="W82" s="41">
        <f t="shared" si="29"/>
        <v>6.6</v>
      </c>
      <c r="X82" s="41">
        <f t="shared" si="30"/>
        <v>6.75</v>
      </c>
      <c r="Y82" s="41">
        <f t="shared" si="31"/>
        <v>13.5</v>
      </c>
      <c r="Z82" s="41">
        <f t="shared" si="32"/>
        <v>5.4</v>
      </c>
      <c r="AA82" s="41">
        <f t="shared" si="33"/>
        <v>6.6</v>
      </c>
      <c r="AB82" s="26">
        <f>IF($L82&lt;&gt;"OK",0,(INDEX(PRESIONES!$D$28:$D$31,$U82)*IF(INDEX(PRESIONES!$D$28:$D$31,$U82)&gt;0,PRESIONES!$C$9*IF($T82&lt;=10,1,($T82/10)^(2/DATOS!$C$56)),PRESIONES!$C$15)-ABERTURAS!$L$60*PRESIONES!$C$12)*$R82/$M82)</f>
        <v>0.49925890133251549</v>
      </c>
      <c r="AC82" s="26">
        <f>IF($L82&lt;&gt;"OK",0,(INDEX(PRESIONES!$G$28:$G$31,$U82)*IF(INDEX(PRESIONES!$G$28:$G$31,$U82)&gt;0,PRESIONES!$C$9*IF($T82&lt;=10,1,($T82/10)^(2/DATOS!$C$56)),PRESIONES!$C$15)-ABERTURAS!$L$61*PRESIONES!$C$12)*$R82/$M82)</f>
        <v>75.379258901332477</v>
      </c>
      <c r="AD82" s="26">
        <f>IF($L82&lt;&gt;"OK",0,(INDEX(PRESIONES!$J$28:$J$31,$U82)*IF(INDEX(PRESIONES!$J$28:$J$31,$U82)&gt;0,PRESIONES!$C$9*IF($T82&lt;=10,1,($T82/10)^(2/DATOS!$C$56)),PRESIONES!$C$15)-ABERTURAS!$L$62*PRESIONES!$C$12)*$R82/$M82)</f>
        <v>-5.1608893184009723</v>
      </c>
      <c r="AE82" s="26">
        <f>IF($L82&lt;&gt;"OK",0,(INDEX(PRESIONES!$M$28:$M$31,$U82)*IF(INDEX(PRESIONES!$M$28:$M$31,$U82)&gt;0,PRESIONES!$C$9*IF($T82&lt;=10,1,($T82/10)^(2/DATOS!$C$56)),PRESIONES!$C$15)-ABERTURAS!$L$63*PRESIONES!$C$12)*$R82/$M82)</f>
        <v>-84.268888351998712</v>
      </c>
      <c r="AF82" s="26">
        <f>IF($L82&lt;&gt;"OK",0,(INDEX(PRESIONES!$D$28:$D$31,$U82)*IF(INDEX(PRESIONES!$D$28:$D$31,$U82)&gt;0,PRESIONES!$C$9*IF($T82&lt;=10,1,($T82/10)^(2/DATOS!$C$56)),PRESIONES!$C$15)-ABERTURAS!$L$64*PRESIONES!$C$12)*$S82/$M82)</f>
        <v>0.49925890133251549</v>
      </c>
      <c r="AG82" s="26">
        <f>IF($L82&lt;&gt;"OK",0,(INDEX(PRESIONES!$G$28:$G$31,$U82)*IF(INDEX(PRESIONES!$G$28:$G$31,$U82)&gt;0,PRESIONES!$C$9*IF($T82&lt;=10,1,($T82/10)^(2/DATOS!$C$56)),PRESIONES!$C$15)-ABERTURAS!$L$65*PRESIONES!$C$12)*$S82/$M82)</f>
        <v>75.379258901332477</v>
      </c>
      <c r="AH82" s="26">
        <f>IF($L82&lt;&gt;"OK",0,(INDEX(PRESIONES!$J$28:$J$31,$U82)*IF(INDEX(PRESIONES!$J$28:$J$31,$U82)&gt;0,PRESIONES!$C$9*IF($T82&lt;=10,1,($T82/10)^(2/DATOS!$C$56)),PRESIONES!$C$15)-ABERTURAS!$L$66*PRESIONES!$C$12)*$S82/$M82)</f>
        <v>-5.1608893184009723</v>
      </c>
      <c r="AI82" s="26">
        <f>IF($L82&lt;&gt;"OK",0,(INDEX(PRESIONES!$M$28:$M$31,$U82)*IF(INDEX(PRESIONES!$M$28:$M$31,$U82)&gt;0,PRESIONES!$C$9*IF($T82&lt;=10,1,($T82/10)^(2/DATOS!$C$56)),PRESIONES!$C$15)-ABERTURAS!$L$67*PRESIONES!$C$12)*$S82/$M82)</f>
        <v>-84.268888351998712</v>
      </c>
    </row>
    <row r="83" spans="2:35" ht="16.5" customHeight="1" x14ac:dyDescent="0.3">
      <c r="B83" s="4" t="s">
        <v>506</v>
      </c>
      <c r="C83" s="15" t="s">
        <v>478</v>
      </c>
      <c r="D83" s="4" t="s">
        <v>507</v>
      </c>
      <c r="E83" s="15" t="s">
        <v>430</v>
      </c>
      <c r="F83" s="40">
        <v>13.5</v>
      </c>
      <c r="G83" s="40">
        <v>16</v>
      </c>
      <c r="H83" s="40">
        <v>5.4</v>
      </c>
      <c r="I83" s="40">
        <v>6.6</v>
      </c>
      <c r="J83" s="40"/>
      <c r="K83" s="40"/>
      <c r="L83" s="18" t="str">
        <f t="shared" si="20"/>
        <v>OK</v>
      </c>
      <c r="M83" s="26">
        <f t="shared" si="21"/>
        <v>2.5</v>
      </c>
      <c r="N83" s="26">
        <f t="shared" si="22"/>
        <v>1.1999999999999993</v>
      </c>
      <c r="O83" s="26">
        <f t="shared" si="23"/>
        <v>2.9999999999999982</v>
      </c>
      <c r="P83" s="26">
        <f>IF($U83=0,0,SUMPRODUCT((ABERTURAS!$N$7:$N$26=$U83)*ABERTURAS!$U$7:$U$26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Q83" s="26">
        <f>IF($U83=0,0,SUMPRODUCT((ABERTURAS!$N$7:$N$26=$U83)*ABERTURAS!$V$7:$V$26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R83" s="26">
        <f t="shared" si="24"/>
        <v>2.9999999999999982</v>
      </c>
      <c r="S83" s="26">
        <f t="shared" si="25"/>
        <v>2.9999999999999982</v>
      </c>
      <c r="T83" s="41">
        <f t="shared" si="26"/>
        <v>6.6</v>
      </c>
      <c r="U83" s="41">
        <f t="shared" si="27"/>
        <v>4</v>
      </c>
      <c r="V83" s="41">
        <f t="shared" si="28"/>
        <v>5.4</v>
      </c>
      <c r="W83" s="41">
        <f t="shared" si="29"/>
        <v>6.6</v>
      </c>
      <c r="X83" s="41">
        <f t="shared" si="30"/>
        <v>13.5</v>
      </c>
      <c r="Y83" s="41">
        <f t="shared" si="31"/>
        <v>16</v>
      </c>
      <c r="Z83" s="41">
        <f t="shared" si="32"/>
        <v>5.4</v>
      </c>
      <c r="AA83" s="41">
        <f t="shared" si="33"/>
        <v>6.6</v>
      </c>
      <c r="AB83" s="26">
        <f>IF($L83&lt;&gt;"OK",0,(INDEX(PRESIONES!$D$28:$D$31,$U83)*IF(INDEX(PRESIONES!$D$28:$D$31,$U83)&gt;0,PRESIONES!$C$9*IF($T83&lt;=10,1,($T83/10)^(2/DATOS!$C$56)),PRESIONES!$C$15)-ABERTURAS!$L$60*PRESIONES!$C$12)*$R83/$M83)</f>
        <v>0.4992589013325156</v>
      </c>
      <c r="AC83" s="26">
        <f>IF($L83&lt;&gt;"OK",0,(INDEX(PRESIONES!$G$28:$G$31,$U83)*IF(INDEX(PRESIONES!$G$28:$G$31,$U83)&gt;0,PRESIONES!$C$9*IF($T83&lt;=10,1,($T83/10)^(2/DATOS!$C$56)),PRESIONES!$C$15)-ABERTURAS!$L$61*PRESIONES!$C$12)*$R83/$M83)</f>
        <v>75.379258901332477</v>
      </c>
      <c r="AD83" s="26">
        <f>IF($L83&lt;&gt;"OK",0,(INDEX(PRESIONES!$J$28:$J$31,$U83)*IF(INDEX(PRESIONES!$J$28:$J$31,$U83)&gt;0,PRESIONES!$C$9*IF($T83&lt;=10,1,($T83/10)^(2/DATOS!$C$56)),PRESIONES!$C$15)-ABERTURAS!$L$62*PRESIONES!$C$12)*$R83/$M83)</f>
        <v>-5.1608893184009732</v>
      </c>
      <c r="AE83" s="26">
        <f>IF($L83&lt;&gt;"OK",0,(INDEX(PRESIONES!$M$28:$M$31,$U83)*IF(INDEX(PRESIONES!$M$28:$M$31,$U83)&gt;0,PRESIONES!$C$9*IF($T83&lt;=10,1,($T83/10)^(2/DATOS!$C$56)),PRESIONES!$C$15)-ABERTURAS!$L$63*PRESIONES!$C$12)*$R83/$M83)</f>
        <v>-84.268888351998726</v>
      </c>
      <c r="AF83" s="26">
        <f>IF($L83&lt;&gt;"OK",0,(INDEX(PRESIONES!$D$28:$D$31,$U83)*IF(INDEX(PRESIONES!$D$28:$D$31,$U83)&gt;0,PRESIONES!$C$9*IF($T83&lt;=10,1,($T83/10)^(2/DATOS!$C$56)),PRESIONES!$C$15)-ABERTURAS!$L$64*PRESIONES!$C$12)*$S83/$M83)</f>
        <v>0.4992589013325156</v>
      </c>
      <c r="AG83" s="26">
        <f>IF($L83&lt;&gt;"OK",0,(INDEX(PRESIONES!$G$28:$G$31,$U83)*IF(INDEX(PRESIONES!$G$28:$G$31,$U83)&gt;0,PRESIONES!$C$9*IF($T83&lt;=10,1,($T83/10)^(2/DATOS!$C$56)),PRESIONES!$C$15)-ABERTURAS!$L$65*PRESIONES!$C$12)*$S83/$M83)</f>
        <v>75.379258901332477</v>
      </c>
      <c r="AH83" s="26">
        <f>IF($L83&lt;&gt;"OK",0,(INDEX(PRESIONES!$J$28:$J$31,$U83)*IF(INDEX(PRESIONES!$J$28:$J$31,$U83)&gt;0,PRESIONES!$C$9*IF($T83&lt;=10,1,($T83/10)^(2/DATOS!$C$56)),PRESIONES!$C$15)-ABERTURAS!$L$66*PRESIONES!$C$12)*$S83/$M83)</f>
        <v>-5.1608893184009732</v>
      </c>
      <c r="AI83" s="26">
        <f>IF($L83&lt;&gt;"OK",0,(INDEX(PRESIONES!$M$28:$M$31,$U83)*IF(INDEX(PRESIONES!$M$28:$M$31,$U83)&gt;0,PRESIONES!$C$9*IF($T83&lt;=10,1,($T83/10)^(2/DATOS!$C$56)),PRESIONES!$C$15)-ABERTURAS!$L$67*PRESIONES!$C$12)*$S83/$M83)</f>
        <v>-84.268888351998726</v>
      </c>
    </row>
    <row r="84" spans="2:35" ht="16.5" customHeight="1" x14ac:dyDescent="0.3">
      <c r="B84" s="4" t="s">
        <v>508</v>
      </c>
      <c r="C84" s="15" t="s">
        <v>478</v>
      </c>
      <c r="D84" s="4" t="s">
        <v>509</v>
      </c>
      <c r="E84" s="15" t="s">
        <v>430</v>
      </c>
      <c r="F84" s="40">
        <v>0</v>
      </c>
      <c r="G84" s="40">
        <v>6.75</v>
      </c>
      <c r="H84" s="40">
        <v>6.6</v>
      </c>
      <c r="I84" s="40">
        <v>7.8</v>
      </c>
      <c r="J84" s="40"/>
      <c r="K84" s="40"/>
      <c r="L84" s="18" t="str">
        <f t="shared" si="20"/>
        <v>OK</v>
      </c>
      <c r="M84" s="26">
        <f t="shared" si="21"/>
        <v>6.75</v>
      </c>
      <c r="N84" s="26">
        <f t="shared" si="22"/>
        <v>1.2000000000000002</v>
      </c>
      <c r="O84" s="26">
        <f t="shared" si="23"/>
        <v>8.1000000000000014</v>
      </c>
      <c r="P84" s="26">
        <f>IF($U84=0,0,SUMPRODUCT((ABERTURAS!$N$7:$N$26=$U84)*ABERTURAS!$U$7:$U$26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Q84" s="26">
        <f>IF($U84=0,0,SUMPRODUCT((ABERTURAS!$N$7:$N$26=$U84)*ABERTURAS!$V$7:$V$26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R84" s="26">
        <f t="shared" si="24"/>
        <v>8.1000000000000014</v>
      </c>
      <c r="S84" s="26">
        <f t="shared" si="25"/>
        <v>8.1000000000000014</v>
      </c>
      <c r="T84" s="41">
        <f t="shared" si="26"/>
        <v>7.8</v>
      </c>
      <c r="U84" s="41">
        <f t="shared" si="27"/>
        <v>4</v>
      </c>
      <c r="V84" s="41">
        <f t="shared" si="28"/>
        <v>6.6</v>
      </c>
      <c r="W84" s="41">
        <f t="shared" si="29"/>
        <v>7.8</v>
      </c>
      <c r="X84" s="41">
        <f t="shared" si="30"/>
        <v>0</v>
      </c>
      <c r="Y84" s="41">
        <f t="shared" si="31"/>
        <v>6.75</v>
      </c>
      <c r="Z84" s="41">
        <f t="shared" si="32"/>
        <v>6.6</v>
      </c>
      <c r="AA84" s="41">
        <f t="shared" si="33"/>
        <v>7.8</v>
      </c>
      <c r="AB84" s="26">
        <f>IF($L84&lt;&gt;"OK",0,(INDEX(PRESIONES!$D$28:$D$31,$U84)*IF(INDEX(PRESIONES!$D$28:$D$31,$U84)&gt;0,PRESIONES!$C$9*IF($T84&lt;=10,1,($T84/10)^(2/DATOS!$C$56)),PRESIONES!$C$15)-ABERTURAS!$L$60*PRESIONES!$C$12)*$R84/$M84)</f>
        <v>0.49925890133251594</v>
      </c>
      <c r="AC84" s="26">
        <f>IF($L84&lt;&gt;"OK",0,(INDEX(PRESIONES!$G$28:$G$31,$U84)*IF(INDEX(PRESIONES!$G$28:$G$31,$U84)&gt;0,PRESIONES!$C$9*IF($T84&lt;=10,1,($T84/10)^(2/DATOS!$C$56)),PRESIONES!$C$15)-ABERTURAS!$L$61*PRESIONES!$C$12)*$R84/$M84)</f>
        <v>75.379258901332534</v>
      </c>
      <c r="AD84" s="26">
        <f>IF($L84&lt;&gt;"OK",0,(INDEX(PRESIONES!$J$28:$J$31,$U84)*IF(INDEX(PRESIONES!$J$28:$J$31,$U84)&gt;0,PRESIONES!$C$9*IF($T84&lt;=10,1,($T84/10)^(2/DATOS!$C$56)),PRESIONES!$C$15)-ABERTURAS!$L$62*PRESIONES!$C$12)*$R84/$M84)</f>
        <v>-5.1608893184009768</v>
      </c>
      <c r="AE84" s="26">
        <f>IF($L84&lt;&gt;"OK",0,(INDEX(PRESIONES!$M$28:$M$31,$U84)*IF(INDEX(PRESIONES!$M$28:$M$31,$U84)&gt;0,PRESIONES!$C$9*IF($T84&lt;=10,1,($T84/10)^(2/DATOS!$C$56)),PRESIONES!$C$15)-ABERTURAS!$L$63*PRESIONES!$C$12)*$R84/$M84)</f>
        <v>-84.268888351998783</v>
      </c>
      <c r="AF84" s="26">
        <f>IF($L84&lt;&gt;"OK",0,(INDEX(PRESIONES!$D$28:$D$31,$U84)*IF(INDEX(PRESIONES!$D$28:$D$31,$U84)&gt;0,PRESIONES!$C$9*IF($T84&lt;=10,1,($T84/10)^(2/DATOS!$C$56)),PRESIONES!$C$15)-ABERTURAS!$L$64*PRESIONES!$C$12)*$S84/$M84)</f>
        <v>0.49925890133251594</v>
      </c>
      <c r="AG84" s="26">
        <f>IF($L84&lt;&gt;"OK",0,(INDEX(PRESIONES!$G$28:$G$31,$U84)*IF(INDEX(PRESIONES!$G$28:$G$31,$U84)&gt;0,PRESIONES!$C$9*IF($T84&lt;=10,1,($T84/10)^(2/DATOS!$C$56)),PRESIONES!$C$15)-ABERTURAS!$L$65*PRESIONES!$C$12)*$S84/$M84)</f>
        <v>75.379258901332534</v>
      </c>
      <c r="AH84" s="26">
        <f>IF($L84&lt;&gt;"OK",0,(INDEX(PRESIONES!$J$28:$J$31,$U84)*IF(INDEX(PRESIONES!$J$28:$J$31,$U84)&gt;0,PRESIONES!$C$9*IF($T84&lt;=10,1,($T84/10)^(2/DATOS!$C$56)),PRESIONES!$C$15)-ABERTURAS!$L$66*PRESIONES!$C$12)*$S84/$M84)</f>
        <v>-5.1608893184009768</v>
      </c>
      <c r="AI84" s="26">
        <f>IF($L84&lt;&gt;"OK",0,(INDEX(PRESIONES!$M$28:$M$31,$U84)*IF(INDEX(PRESIONES!$M$28:$M$31,$U84)&gt;0,PRESIONES!$C$9*IF($T84&lt;=10,1,($T84/10)^(2/DATOS!$C$56)),PRESIONES!$C$15)-ABERTURAS!$L$67*PRESIONES!$C$12)*$S84/$M84)</f>
        <v>-84.268888351998783</v>
      </c>
    </row>
    <row r="85" spans="2:35" ht="16.5" customHeight="1" x14ac:dyDescent="0.3">
      <c r="B85" s="4" t="s">
        <v>510</v>
      </c>
      <c r="C85" s="15" t="s">
        <v>478</v>
      </c>
      <c r="D85" s="4" t="s">
        <v>511</v>
      </c>
      <c r="E85" s="15" t="s">
        <v>430</v>
      </c>
      <c r="F85" s="40">
        <v>6.75</v>
      </c>
      <c r="G85" s="40">
        <v>13.5</v>
      </c>
      <c r="H85" s="40">
        <v>6.6</v>
      </c>
      <c r="I85" s="40">
        <v>7.8</v>
      </c>
      <c r="J85" s="40"/>
      <c r="K85" s="40"/>
      <c r="L85" s="18" t="str">
        <f t="shared" si="20"/>
        <v>OK</v>
      </c>
      <c r="M85" s="26">
        <f t="shared" si="21"/>
        <v>6.75</v>
      </c>
      <c r="N85" s="26">
        <f t="shared" si="22"/>
        <v>1.2000000000000002</v>
      </c>
      <c r="O85" s="26">
        <f t="shared" si="23"/>
        <v>8.1000000000000014</v>
      </c>
      <c r="P85" s="26">
        <f>IF($U85=0,0,SUMPRODUCT((ABERTURAS!$N$7:$N$26=$U85)*ABERTURAS!$U$7:$U$26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Q85" s="26">
        <f>IF($U85=0,0,SUMPRODUCT((ABERTURAS!$N$7:$N$26=$U85)*ABERTURAS!$V$7:$V$26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R85" s="26">
        <f t="shared" si="24"/>
        <v>8.1000000000000014</v>
      </c>
      <c r="S85" s="26">
        <f t="shared" si="25"/>
        <v>8.1000000000000014</v>
      </c>
      <c r="T85" s="41">
        <f t="shared" si="26"/>
        <v>7.8</v>
      </c>
      <c r="U85" s="41">
        <f t="shared" si="27"/>
        <v>4</v>
      </c>
      <c r="V85" s="41">
        <f t="shared" si="28"/>
        <v>6.6</v>
      </c>
      <c r="W85" s="41">
        <f t="shared" si="29"/>
        <v>7.8</v>
      </c>
      <c r="X85" s="41">
        <f t="shared" si="30"/>
        <v>6.75</v>
      </c>
      <c r="Y85" s="41">
        <f t="shared" si="31"/>
        <v>13.5</v>
      </c>
      <c r="Z85" s="41">
        <f t="shared" si="32"/>
        <v>6.6</v>
      </c>
      <c r="AA85" s="41">
        <f t="shared" si="33"/>
        <v>7.8</v>
      </c>
      <c r="AB85" s="26">
        <f>IF($L85&lt;&gt;"OK",0,(INDEX(PRESIONES!$D$28:$D$31,$U85)*IF(INDEX(PRESIONES!$D$28:$D$31,$U85)&gt;0,PRESIONES!$C$9*IF($T85&lt;=10,1,($T85/10)^(2/DATOS!$C$56)),PRESIONES!$C$15)-ABERTURAS!$L$60*PRESIONES!$C$12)*$R85/$M85)</f>
        <v>0.49925890133251594</v>
      </c>
      <c r="AC85" s="26">
        <f>IF($L85&lt;&gt;"OK",0,(INDEX(PRESIONES!$G$28:$G$31,$U85)*IF(INDEX(PRESIONES!$G$28:$G$31,$U85)&gt;0,PRESIONES!$C$9*IF($T85&lt;=10,1,($T85/10)^(2/DATOS!$C$56)),PRESIONES!$C$15)-ABERTURAS!$L$61*PRESIONES!$C$12)*$R85/$M85)</f>
        <v>75.379258901332534</v>
      </c>
      <c r="AD85" s="26">
        <f>IF($L85&lt;&gt;"OK",0,(INDEX(PRESIONES!$J$28:$J$31,$U85)*IF(INDEX(PRESIONES!$J$28:$J$31,$U85)&gt;0,PRESIONES!$C$9*IF($T85&lt;=10,1,($T85/10)^(2/DATOS!$C$56)),PRESIONES!$C$15)-ABERTURAS!$L$62*PRESIONES!$C$12)*$R85/$M85)</f>
        <v>-5.1608893184009768</v>
      </c>
      <c r="AE85" s="26">
        <f>IF($L85&lt;&gt;"OK",0,(INDEX(PRESIONES!$M$28:$M$31,$U85)*IF(INDEX(PRESIONES!$M$28:$M$31,$U85)&gt;0,PRESIONES!$C$9*IF($T85&lt;=10,1,($T85/10)^(2/DATOS!$C$56)),PRESIONES!$C$15)-ABERTURAS!$L$63*PRESIONES!$C$12)*$R85/$M85)</f>
        <v>-84.268888351998783</v>
      </c>
      <c r="AF85" s="26">
        <f>IF($L85&lt;&gt;"OK",0,(INDEX(PRESIONES!$D$28:$D$31,$U85)*IF(INDEX(PRESIONES!$D$28:$D$31,$U85)&gt;0,PRESIONES!$C$9*IF($T85&lt;=10,1,($T85/10)^(2/DATOS!$C$56)),PRESIONES!$C$15)-ABERTURAS!$L$64*PRESIONES!$C$12)*$S85/$M85)</f>
        <v>0.49925890133251594</v>
      </c>
      <c r="AG85" s="26">
        <f>IF($L85&lt;&gt;"OK",0,(INDEX(PRESIONES!$G$28:$G$31,$U85)*IF(INDEX(PRESIONES!$G$28:$G$31,$U85)&gt;0,PRESIONES!$C$9*IF($T85&lt;=10,1,($T85/10)^(2/DATOS!$C$56)),PRESIONES!$C$15)-ABERTURAS!$L$65*PRESIONES!$C$12)*$S85/$M85)</f>
        <v>75.379258901332534</v>
      </c>
      <c r="AH85" s="26">
        <f>IF($L85&lt;&gt;"OK",0,(INDEX(PRESIONES!$J$28:$J$31,$U85)*IF(INDEX(PRESIONES!$J$28:$J$31,$U85)&gt;0,PRESIONES!$C$9*IF($T85&lt;=10,1,($T85/10)^(2/DATOS!$C$56)),PRESIONES!$C$15)-ABERTURAS!$L$66*PRESIONES!$C$12)*$S85/$M85)</f>
        <v>-5.1608893184009768</v>
      </c>
      <c r="AI85" s="26">
        <f>IF($L85&lt;&gt;"OK",0,(INDEX(PRESIONES!$M$28:$M$31,$U85)*IF(INDEX(PRESIONES!$M$28:$M$31,$U85)&gt;0,PRESIONES!$C$9*IF($T85&lt;=10,1,($T85/10)^(2/DATOS!$C$56)),PRESIONES!$C$15)-ABERTURAS!$L$67*PRESIONES!$C$12)*$S85/$M85)</f>
        <v>-84.268888351998783</v>
      </c>
    </row>
    <row r="86" spans="2:35" ht="16.5" customHeight="1" x14ac:dyDescent="0.3">
      <c r="B86" s="4" t="s">
        <v>512</v>
      </c>
      <c r="C86" s="15" t="s">
        <v>478</v>
      </c>
      <c r="D86" s="4" t="s">
        <v>513</v>
      </c>
      <c r="E86" s="15" t="s">
        <v>430</v>
      </c>
      <c r="F86" s="40">
        <v>13.5</v>
      </c>
      <c r="G86" s="40">
        <v>16</v>
      </c>
      <c r="H86" s="40">
        <v>6.6</v>
      </c>
      <c r="I86" s="40">
        <v>7.8</v>
      </c>
      <c r="J86" s="40"/>
      <c r="K86" s="40"/>
      <c r="L86" s="18" t="str">
        <f t="shared" si="20"/>
        <v>OK</v>
      </c>
      <c r="M86" s="26">
        <f t="shared" si="21"/>
        <v>2.5</v>
      </c>
      <c r="N86" s="26">
        <f t="shared" si="22"/>
        <v>1.2000000000000002</v>
      </c>
      <c r="O86" s="26">
        <f t="shared" si="23"/>
        <v>3.0000000000000004</v>
      </c>
      <c r="P86" s="26">
        <f>IF($U86=0,0,SUMPRODUCT((ABERTURAS!$N$7:$N$26=$U86)*ABERTURAS!$U$7:$U$26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Q86" s="26">
        <f>IF($U86=0,0,SUMPRODUCT((ABERTURAS!$N$7:$N$26=$U86)*ABERTURAS!$V$7:$V$26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R86" s="26">
        <f t="shared" si="24"/>
        <v>3.0000000000000004</v>
      </c>
      <c r="S86" s="26">
        <f t="shared" si="25"/>
        <v>3.0000000000000004</v>
      </c>
      <c r="T86" s="41">
        <f t="shared" si="26"/>
        <v>7.8</v>
      </c>
      <c r="U86" s="41">
        <f t="shared" si="27"/>
        <v>4</v>
      </c>
      <c r="V86" s="41">
        <f t="shared" si="28"/>
        <v>6.6</v>
      </c>
      <c r="W86" s="41">
        <f t="shared" si="29"/>
        <v>7.8</v>
      </c>
      <c r="X86" s="41">
        <f t="shared" si="30"/>
        <v>13.5</v>
      </c>
      <c r="Y86" s="41">
        <f t="shared" si="31"/>
        <v>16</v>
      </c>
      <c r="Z86" s="41">
        <f t="shared" si="32"/>
        <v>6.6</v>
      </c>
      <c r="AA86" s="41">
        <f t="shared" si="33"/>
        <v>7.8</v>
      </c>
      <c r="AB86" s="26">
        <f>IF($L86&lt;&gt;"OK",0,(INDEX(PRESIONES!$D$28:$D$31,$U86)*IF(INDEX(PRESIONES!$D$28:$D$31,$U86)&gt;0,PRESIONES!$C$9*IF($T86&lt;=10,1,($T86/10)^(2/DATOS!$C$56)),PRESIONES!$C$15)-ABERTURAS!$L$60*PRESIONES!$C$12)*$R86/$M86)</f>
        <v>0.49925890133251594</v>
      </c>
      <c r="AC86" s="26">
        <f>IF($L86&lt;&gt;"OK",0,(INDEX(PRESIONES!$G$28:$G$31,$U86)*IF(INDEX(PRESIONES!$G$28:$G$31,$U86)&gt;0,PRESIONES!$C$9*IF($T86&lt;=10,1,($T86/10)^(2/DATOS!$C$56)),PRESIONES!$C$15)-ABERTURAS!$L$61*PRESIONES!$C$12)*$R86/$M86)</f>
        <v>75.379258901332534</v>
      </c>
      <c r="AD86" s="26">
        <f>IF($L86&lt;&gt;"OK",0,(INDEX(PRESIONES!$J$28:$J$31,$U86)*IF(INDEX(PRESIONES!$J$28:$J$31,$U86)&gt;0,PRESIONES!$C$9*IF($T86&lt;=10,1,($T86/10)^(2/DATOS!$C$56)),PRESIONES!$C$15)-ABERTURAS!$L$62*PRESIONES!$C$12)*$R86/$M86)</f>
        <v>-5.1608893184009768</v>
      </c>
      <c r="AE86" s="26">
        <f>IF($L86&lt;&gt;"OK",0,(INDEX(PRESIONES!$M$28:$M$31,$U86)*IF(INDEX(PRESIONES!$M$28:$M$31,$U86)&gt;0,PRESIONES!$C$9*IF($T86&lt;=10,1,($T86/10)^(2/DATOS!$C$56)),PRESIONES!$C$15)-ABERTURAS!$L$63*PRESIONES!$C$12)*$R86/$M86)</f>
        <v>-84.268888351998783</v>
      </c>
      <c r="AF86" s="26">
        <f>IF($L86&lt;&gt;"OK",0,(INDEX(PRESIONES!$D$28:$D$31,$U86)*IF(INDEX(PRESIONES!$D$28:$D$31,$U86)&gt;0,PRESIONES!$C$9*IF($T86&lt;=10,1,($T86/10)^(2/DATOS!$C$56)),PRESIONES!$C$15)-ABERTURAS!$L$64*PRESIONES!$C$12)*$S86/$M86)</f>
        <v>0.49925890133251594</v>
      </c>
      <c r="AG86" s="26">
        <f>IF($L86&lt;&gt;"OK",0,(INDEX(PRESIONES!$G$28:$G$31,$U86)*IF(INDEX(PRESIONES!$G$28:$G$31,$U86)&gt;0,PRESIONES!$C$9*IF($T86&lt;=10,1,($T86/10)^(2/DATOS!$C$56)),PRESIONES!$C$15)-ABERTURAS!$L$65*PRESIONES!$C$12)*$S86/$M86)</f>
        <v>75.379258901332534</v>
      </c>
      <c r="AH86" s="26">
        <f>IF($L86&lt;&gt;"OK",0,(INDEX(PRESIONES!$J$28:$J$31,$U86)*IF(INDEX(PRESIONES!$J$28:$J$31,$U86)&gt;0,PRESIONES!$C$9*IF($T86&lt;=10,1,($T86/10)^(2/DATOS!$C$56)),PRESIONES!$C$15)-ABERTURAS!$L$66*PRESIONES!$C$12)*$S86/$M86)</f>
        <v>-5.1608893184009768</v>
      </c>
      <c r="AI86" s="26">
        <f>IF($L86&lt;&gt;"OK",0,(INDEX(PRESIONES!$M$28:$M$31,$U86)*IF(INDEX(PRESIONES!$M$28:$M$31,$U86)&gt;0,PRESIONES!$C$9*IF($T86&lt;=10,1,($T86/10)^(2/DATOS!$C$56)),PRESIONES!$C$15)-ABERTURAS!$L$67*PRESIONES!$C$12)*$S86/$M86)</f>
        <v>-84.268888351998783</v>
      </c>
    </row>
    <row r="87" spans="2:35" ht="16.5" customHeight="1" x14ac:dyDescent="0.3">
      <c r="B87" s="4" t="s">
        <v>514</v>
      </c>
      <c r="C87" s="15" t="s">
        <v>478</v>
      </c>
      <c r="D87" s="4" t="s">
        <v>515</v>
      </c>
      <c r="E87" s="15" t="s">
        <v>430</v>
      </c>
      <c r="F87" s="40">
        <v>0</v>
      </c>
      <c r="G87" s="40">
        <v>6.75</v>
      </c>
      <c r="H87" s="40">
        <v>7.8</v>
      </c>
      <c r="I87" s="40">
        <v>9</v>
      </c>
      <c r="J87" s="40"/>
      <c r="K87" s="40"/>
      <c r="L87" s="18" t="str">
        <f t="shared" si="20"/>
        <v>OK</v>
      </c>
      <c r="M87" s="26">
        <f t="shared" si="21"/>
        <v>6.75</v>
      </c>
      <c r="N87" s="26">
        <f t="shared" si="22"/>
        <v>1.2000000000000002</v>
      </c>
      <c r="O87" s="26">
        <f t="shared" si="23"/>
        <v>8.1000000000000014</v>
      </c>
      <c r="P87" s="26">
        <f>IF($U87=0,0,SUMPRODUCT((ABERTURAS!$N$7:$N$26=$U87)*ABERTURAS!$U$7:$U$26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Q87" s="26">
        <f>IF($U87=0,0,SUMPRODUCT((ABERTURAS!$N$7:$N$26=$U87)*ABERTURAS!$V$7:$V$26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R87" s="26">
        <f t="shared" si="24"/>
        <v>8.1000000000000014</v>
      </c>
      <c r="S87" s="26">
        <f t="shared" si="25"/>
        <v>8.1000000000000014</v>
      </c>
      <c r="T87" s="41">
        <f t="shared" si="26"/>
        <v>9</v>
      </c>
      <c r="U87" s="41">
        <f t="shared" si="27"/>
        <v>4</v>
      </c>
      <c r="V87" s="41">
        <f t="shared" si="28"/>
        <v>7.8</v>
      </c>
      <c r="W87" s="41">
        <f t="shared" si="29"/>
        <v>9</v>
      </c>
      <c r="X87" s="41">
        <f t="shared" si="30"/>
        <v>0</v>
      </c>
      <c r="Y87" s="41">
        <f t="shared" si="31"/>
        <v>6.75</v>
      </c>
      <c r="Z87" s="41">
        <f t="shared" si="32"/>
        <v>7.8</v>
      </c>
      <c r="AA87" s="41">
        <f t="shared" si="33"/>
        <v>9</v>
      </c>
      <c r="AB87" s="26">
        <f>IF($L87&lt;&gt;"OK",0,(INDEX(PRESIONES!$D$28:$D$31,$U87)*IF(INDEX(PRESIONES!$D$28:$D$31,$U87)&gt;0,PRESIONES!$C$9*IF($T87&lt;=10,1,($T87/10)^(2/DATOS!$C$56)),PRESIONES!$C$15)-ABERTURAS!$L$60*PRESIONES!$C$12)*$R87/$M87)</f>
        <v>0.49925890133251594</v>
      </c>
      <c r="AC87" s="26">
        <f>IF($L87&lt;&gt;"OK",0,(INDEX(PRESIONES!$G$28:$G$31,$U87)*IF(INDEX(PRESIONES!$G$28:$G$31,$U87)&gt;0,PRESIONES!$C$9*IF($T87&lt;=10,1,($T87/10)^(2/DATOS!$C$56)),PRESIONES!$C$15)-ABERTURAS!$L$61*PRESIONES!$C$12)*$R87/$M87)</f>
        <v>75.379258901332534</v>
      </c>
      <c r="AD87" s="26">
        <f>IF($L87&lt;&gt;"OK",0,(INDEX(PRESIONES!$J$28:$J$31,$U87)*IF(INDEX(PRESIONES!$J$28:$J$31,$U87)&gt;0,PRESIONES!$C$9*IF($T87&lt;=10,1,($T87/10)^(2/DATOS!$C$56)),PRESIONES!$C$15)-ABERTURAS!$L$62*PRESIONES!$C$12)*$R87/$M87)</f>
        <v>-5.1608893184009768</v>
      </c>
      <c r="AE87" s="26">
        <f>IF($L87&lt;&gt;"OK",0,(INDEX(PRESIONES!$M$28:$M$31,$U87)*IF(INDEX(PRESIONES!$M$28:$M$31,$U87)&gt;0,PRESIONES!$C$9*IF($T87&lt;=10,1,($T87/10)^(2/DATOS!$C$56)),PRESIONES!$C$15)-ABERTURAS!$L$63*PRESIONES!$C$12)*$R87/$M87)</f>
        <v>-84.268888351998783</v>
      </c>
      <c r="AF87" s="26">
        <f>IF($L87&lt;&gt;"OK",0,(INDEX(PRESIONES!$D$28:$D$31,$U87)*IF(INDEX(PRESIONES!$D$28:$D$31,$U87)&gt;0,PRESIONES!$C$9*IF($T87&lt;=10,1,($T87/10)^(2/DATOS!$C$56)),PRESIONES!$C$15)-ABERTURAS!$L$64*PRESIONES!$C$12)*$S87/$M87)</f>
        <v>0.49925890133251594</v>
      </c>
      <c r="AG87" s="26">
        <f>IF($L87&lt;&gt;"OK",0,(INDEX(PRESIONES!$G$28:$G$31,$U87)*IF(INDEX(PRESIONES!$G$28:$G$31,$U87)&gt;0,PRESIONES!$C$9*IF($T87&lt;=10,1,($T87/10)^(2/DATOS!$C$56)),PRESIONES!$C$15)-ABERTURAS!$L$65*PRESIONES!$C$12)*$S87/$M87)</f>
        <v>75.379258901332534</v>
      </c>
      <c r="AH87" s="26">
        <f>IF($L87&lt;&gt;"OK",0,(INDEX(PRESIONES!$J$28:$J$31,$U87)*IF(INDEX(PRESIONES!$J$28:$J$31,$U87)&gt;0,PRESIONES!$C$9*IF($T87&lt;=10,1,($T87/10)^(2/DATOS!$C$56)),PRESIONES!$C$15)-ABERTURAS!$L$66*PRESIONES!$C$12)*$S87/$M87)</f>
        <v>-5.1608893184009768</v>
      </c>
      <c r="AI87" s="26">
        <f>IF($L87&lt;&gt;"OK",0,(INDEX(PRESIONES!$M$28:$M$31,$U87)*IF(INDEX(PRESIONES!$M$28:$M$31,$U87)&gt;0,PRESIONES!$C$9*IF($T87&lt;=10,1,($T87/10)^(2/DATOS!$C$56)),PRESIONES!$C$15)-ABERTURAS!$L$67*PRESIONES!$C$12)*$S87/$M87)</f>
        <v>-84.268888351998783</v>
      </c>
    </row>
    <row r="88" spans="2:35" ht="16.5" customHeight="1" x14ac:dyDescent="0.3">
      <c r="B88" s="4" t="s">
        <v>516</v>
      </c>
      <c r="C88" s="15" t="s">
        <v>478</v>
      </c>
      <c r="D88" s="4" t="s">
        <v>517</v>
      </c>
      <c r="E88" s="15" t="s">
        <v>430</v>
      </c>
      <c r="F88" s="40">
        <v>6.75</v>
      </c>
      <c r="G88" s="40">
        <v>13.5</v>
      </c>
      <c r="H88" s="40">
        <v>7.8</v>
      </c>
      <c r="I88" s="40">
        <v>9</v>
      </c>
      <c r="J88" s="40"/>
      <c r="K88" s="40"/>
      <c r="L88" s="18" t="str">
        <f t="shared" si="20"/>
        <v>OK</v>
      </c>
      <c r="M88" s="26">
        <f t="shared" si="21"/>
        <v>6.75</v>
      </c>
      <c r="N88" s="26">
        <f t="shared" si="22"/>
        <v>1.2000000000000002</v>
      </c>
      <c r="O88" s="26">
        <f t="shared" si="23"/>
        <v>8.1000000000000014</v>
      </c>
      <c r="P88" s="26">
        <f>IF($U88=0,0,SUMPRODUCT((ABERTURAS!$N$7:$N$26=$U88)*ABERTURAS!$U$7:$U$26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Q88" s="26">
        <f>IF($U88=0,0,SUMPRODUCT((ABERTURAS!$N$7:$N$26=$U88)*ABERTURAS!$V$7:$V$26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R88" s="26">
        <f t="shared" si="24"/>
        <v>8.1000000000000014</v>
      </c>
      <c r="S88" s="26">
        <f t="shared" si="25"/>
        <v>8.1000000000000014</v>
      </c>
      <c r="T88" s="41">
        <f t="shared" si="26"/>
        <v>9</v>
      </c>
      <c r="U88" s="41">
        <f t="shared" si="27"/>
        <v>4</v>
      </c>
      <c r="V88" s="41">
        <f t="shared" si="28"/>
        <v>7.8</v>
      </c>
      <c r="W88" s="41">
        <f t="shared" si="29"/>
        <v>9</v>
      </c>
      <c r="X88" s="41">
        <f t="shared" si="30"/>
        <v>6.75</v>
      </c>
      <c r="Y88" s="41">
        <f t="shared" si="31"/>
        <v>13.5</v>
      </c>
      <c r="Z88" s="41">
        <f t="shared" si="32"/>
        <v>7.8</v>
      </c>
      <c r="AA88" s="41">
        <f t="shared" si="33"/>
        <v>9</v>
      </c>
      <c r="AB88" s="26">
        <f>IF($L88&lt;&gt;"OK",0,(INDEX(PRESIONES!$D$28:$D$31,$U88)*IF(INDEX(PRESIONES!$D$28:$D$31,$U88)&gt;0,PRESIONES!$C$9*IF($T88&lt;=10,1,($T88/10)^(2/DATOS!$C$56)),PRESIONES!$C$15)-ABERTURAS!$L$60*PRESIONES!$C$12)*$R88/$M88)</f>
        <v>0.49925890133251594</v>
      </c>
      <c r="AC88" s="26">
        <f>IF($L88&lt;&gt;"OK",0,(INDEX(PRESIONES!$G$28:$G$31,$U88)*IF(INDEX(PRESIONES!$G$28:$G$31,$U88)&gt;0,PRESIONES!$C$9*IF($T88&lt;=10,1,($T88/10)^(2/DATOS!$C$56)),PRESIONES!$C$15)-ABERTURAS!$L$61*PRESIONES!$C$12)*$R88/$M88)</f>
        <v>75.379258901332534</v>
      </c>
      <c r="AD88" s="26">
        <f>IF($L88&lt;&gt;"OK",0,(INDEX(PRESIONES!$J$28:$J$31,$U88)*IF(INDEX(PRESIONES!$J$28:$J$31,$U88)&gt;0,PRESIONES!$C$9*IF($T88&lt;=10,1,($T88/10)^(2/DATOS!$C$56)),PRESIONES!$C$15)-ABERTURAS!$L$62*PRESIONES!$C$12)*$R88/$M88)</f>
        <v>-5.1608893184009768</v>
      </c>
      <c r="AE88" s="26">
        <f>IF($L88&lt;&gt;"OK",0,(INDEX(PRESIONES!$M$28:$M$31,$U88)*IF(INDEX(PRESIONES!$M$28:$M$31,$U88)&gt;0,PRESIONES!$C$9*IF($T88&lt;=10,1,($T88/10)^(2/DATOS!$C$56)),PRESIONES!$C$15)-ABERTURAS!$L$63*PRESIONES!$C$12)*$R88/$M88)</f>
        <v>-84.268888351998783</v>
      </c>
      <c r="AF88" s="26">
        <f>IF($L88&lt;&gt;"OK",0,(INDEX(PRESIONES!$D$28:$D$31,$U88)*IF(INDEX(PRESIONES!$D$28:$D$31,$U88)&gt;0,PRESIONES!$C$9*IF($T88&lt;=10,1,($T88/10)^(2/DATOS!$C$56)),PRESIONES!$C$15)-ABERTURAS!$L$64*PRESIONES!$C$12)*$S88/$M88)</f>
        <v>0.49925890133251594</v>
      </c>
      <c r="AG88" s="26">
        <f>IF($L88&lt;&gt;"OK",0,(INDEX(PRESIONES!$G$28:$G$31,$U88)*IF(INDEX(PRESIONES!$G$28:$G$31,$U88)&gt;0,PRESIONES!$C$9*IF($T88&lt;=10,1,($T88/10)^(2/DATOS!$C$56)),PRESIONES!$C$15)-ABERTURAS!$L$65*PRESIONES!$C$12)*$S88/$M88)</f>
        <v>75.379258901332534</v>
      </c>
      <c r="AH88" s="26">
        <f>IF($L88&lt;&gt;"OK",0,(INDEX(PRESIONES!$J$28:$J$31,$U88)*IF(INDEX(PRESIONES!$J$28:$J$31,$U88)&gt;0,PRESIONES!$C$9*IF($T88&lt;=10,1,($T88/10)^(2/DATOS!$C$56)),PRESIONES!$C$15)-ABERTURAS!$L$66*PRESIONES!$C$12)*$S88/$M88)</f>
        <v>-5.1608893184009768</v>
      </c>
      <c r="AI88" s="26">
        <f>IF($L88&lt;&gt;"OK",0,(INDEX(PRESIONES!$M$28:$M$31,$U88)*IF(INDEX(PRESIONES!$M$28:$M$31,$U88)&gt;0,PRESIONES!$C$9*IF($T88&lt;=10,1,($T88/10)^(2/DATOS!$C$56)),PRESIONES!$C$15)-ABERTURAS!$L$67*PRESIONES!$C$12)*$S88/$M88)</f>
        <v>-84.268888351998783</v>
      </c>
    </row>
    <row r="89" spans="2:35" ht="16.5" customHeight="1" x14ac:dyDescent="0.3">
      <c r="B89" s="4" t="s">
        <v>518</v>
      </c>
      <c r="C89" s="15" t="s">
        <v>478</v>
      </c>
      <c r="D89" s="4" t="s">
        <v>519</v>
      </c>
      <c r="E89" s="15" t="s">
        <v>430</v>
      </c>
      <c r="F89" s="40">
        <v>13.5</v>
      </c>
      <c r="G89" s="40">
        <v>16</v>
      </c>
      <c r="H89" s="40">
        <v>7.8</v>
      </c>
      <c r="I89" s="40">
        <v>9</v>
      </c>
      <c r="J89" s="40"/>
      <c r="K89" s="40"/>
      <c r="L89" s="18" t="str">
        <f t="shared" si="20"/>
        <v>OK</v>
      </c>
      <c r="M89" s="26">
        <f t="shared" si="21"/>
        <v>2.5</v>
      </c>
      <c r="N89" s="26">
        <f t="shared" si="22"/>
        <v>1.2000000000000002</v>
      </c>
      <c r="O89" s="26">
        <f t="shared" si="23"/>
        <v>3.0000000000000004</v>
      </c>
      <c r="P89" s="26">
        <f>IF($U89=0,0,SUMPRODUCT((ABERTURAS!$N$7:$N$26=$U89)*ABERTURAS!$U$7:$U$26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Q89" s="26">
        <f>IF($U89=0,0,SUMPRODUCT((ABERTURAS!$N$7:$N$26=$U89)*ABERTURAS!$V$7:$V$26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R89" s="26">
        <f t="shared" si="24"/>
        <v>3.0000000000000004</v>
      </c>
      <c r="S89" s="26">
        <f t="shared" si="25"/>
        <v>3.0000000000000004</v>
      </c>
      <c r="T89" s="41">
        <f t="shared" si="26"/>
        <v>9</v>
      </c>
      <c r="U89" s="41">
        <f t="shared" si="27"/>
        <v>4</v>
      </c>
      <c r="V89" s="41">
        <f t="shared" si="28"/>
        <v>7.8</v>
      </c>
      <c r="W89" s="41">
        <f t="shared" si="29"/>
        <v>9</v>
      </c>
      <c r="X89" s="41">
        <f t="shared" si="30"/>
        <v>13.5</v>
      </c>
      <c r="Y89" s="41">
        <f t="shared" si="31"/>
        <v>16</v>
      </c>
      <c r="Z89" s="41">
        <f t="shared" si="32"/>
        <v>7.8</v>
      </c>
      <c r="AA89" s="41">
        <f t="shared" si="33"/>
        <v>9</v>
      </c>
      <c r="AB89" s="26">
        <f>IF($L89&lt;&gt;"OK",0,(INDEX(PRESIONES!$D$28:$D$31,$U89)*IF(INDEX(PRESIONES!$D$28:$D$31,$U89)&gt;0,PRESIONES!$C$9*IF($T89&lt;=10,1,($T89/10)^(2/DATOS!$C$56)),PRESIONES!$C$15)-ABERTURAS!$L$60*PRESIONES!$C$12)*$R89/$M89)</f>
        <v>0.49925890133251594</v>
      </c>
      <c r="AC89" s="26">
        <f>IF($L89&lt;&gt;"OK",0,(INDEX(PRESIONES!$G$28:$G$31,$U89)*IF(INDEX(PRESIONES!$G$28:$G$31,$U89)&gt;0,PRESIONES!$C$9*IF($T89&lt;=10,1,($T89/10)^(2/DATOS!$C$56)),PRESIONES!$C$15)-ABERTURAS!$L$61*PRESIONES!$C$12)*$R89/$M89)</f>
        <v>75.379258901332534</v>
      </c>
      <c r="AD89" s="26">
        <f>IF($L89&lt;&gt;"OK",0,(INDEX(PRESIONES!$J$28:$J$31,$U89)*IF(INDEX(PRESIONES!$J$28:$J$31,$U89)&gt;0,PRESIONES!$C$9*IF($T89&lt;=10,1,($T89/10)^(2/DATOS!$C$56)),PRESIONES!$C$15)-ABERTURAS!$L$62*PRESIONES!$C$12)*$R89/$M89)</f>
        <v>-5.1608893184009768</v>
      </c>
      <c r="AE89" s="26">
        <f>IF($L89&lt;&gt;"OK",0,(INDEX(PRESIONES!$M$28:$M$31,$U89)*IF(INDEX(PRESIONES!$M$28:$M$31,$U89)&gt;0,PRESIONES!$C$9*IF($T89&lt;=10,1,($T89/10)^(2/DATOS!$C$56)),PRESIONES!$C$15)-ABERTURAS!$L$63*PRESIONES!$C$12)*$R89/$M89)</f>
        <v>-84.268888351998783</v>
      </c>
      <c r="AF89" s="26">
        <f>IF($L89&lt;&gt;"OK",0,(INDEX(PRESIONES!$D$28:$D$31,$U89)*IF(INDEX(PRESIONES!$D$28:$D$31,$U89)&gt;0,PRESIONES!$C$9*IF($T89&lt;=10,1,($T89/10)^(2/DATOS!$C$56)),PRESIONES!$C$15)-ABERTURAS!$L$64*PRESIONES!$C$12)*$S89/$M89)</f>
        <v>0.49925890133251594</v>
      </c>
      <c r="AG89" s="26">
        <f>IF($L89&lt;&gt;"OK",0,(INDEX(PRESIONES!$G$28:$G$31,$U89)*IF(INDEX(PRESIONES!$G$28:$G$31,$U89)&gt;0,PRESIONES!$C$9*IF($T89&lt;=10,1,($T89/10)^(2/DATOS!$C$56)),PRESIONES!$C$15)-ABERTURAS!$L$65*PRESIONES!$C$12)*$S89/$M89)</f>
        <v>75.379258901332534</v>
      </c>
      <c r="AH89" s="26">
        <f>IF($L89&lt;&gt;"OK",0,(INDEX(PRESIONES!$J$28:$J$31,$U89)*IF(INDEX(PRESIONES!$J$28:$J$31,$U89)&gt;0,PRESIONES!$C$9*IF($T89&lt;=10,1,($T89/10)^(2/DATOS!$C$56)),PRESIONES!$C$15)-ABERTURAS!$L$66*PRESIONES!$C$12)*$S89/$M89)</f>
        <v>-5.1608893184009768</v>
      </c>
      <c r="AI89" s="26">
        <f>IF($L89&lt;&gt;"OK",0,(INDEX(PRESIONES!$M$28:$M$31,$U89)*IF(INDEX(PRESIONES!$M$28:$M$31,$U89)&gt;0,PRESIONES!$C$9*IF($T89&lt;=10,1,($T89/10)^(2/DATOS!$C$56)),PRESIONES!$C$15)-ABERTURAS!$L$67*PRESIONES!$C$12)*$S89/$M89)</f>
        <v>-84.268888351998783</v>
      </c>
    </row>
    <row r="90" spans="2:35" ht="16.5" customHeight="1" x14ac:dyDescent="0.3">
      <c r="B90" s="4" t="s">
        <v>520</v>
      </c>
      <c r="C90" s="15" t="s">
        <v>478</v>
      </c>
      <c r="D90" s="4" t="s">
        <v>521</v>
      </c>
      <c r="E90" s="15" t="s">
        <v>430</v>
      </c>
      <c r="F90" s="40">
        <v>0</v>
      </c>
      <c r="G90" s="40">
        <v>6.75</v>
      </c>
      <c r="H90" s="40">
        <v>9</v>
      </c>
      <c r="I90" s="40">
        <v>10.11</v>
      </c>
      <c r="J90" s="40"/>
      <c r="K90" s="40">
        <v>9.94</v>
      </c>
      <c r="L90" s="18" t="str">
        <f t="shared" si="20"/>
        <v>OK</v>
      </c>
      <c r="M90" s="26">
        <f t="shared" si="21"/>
        <v>6.75</v>
      </c>
      <c r="N90" s="26">
        <f t="shared" si="22"/>
        <v>1.0249999999999986</v>
      </c>
      <c r="O90" s="26">
        <f t="shared" si="23"/>
        <v>6.9187499999999904</v>
      </c>
      <c r="P90" s="26">
        <f>IF($U90=0,0,SUMPRODUCT((ABERTURAS!$N$7:$N$26=$U90)*ABERTURAS!$U$7:$U$26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Q90" s="26">
        <f>IF($U90=0,0,SUMPRODUCT((ABERTURAS!$N$7:$N$26=$U90)*ABERTURAS!$V$7:$V$26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R90" s="26">
        <f t="shared" si="24"/>
        <v>6.9187499999999904</v>
      </c>
      <c r="S90" s="26">
        <f t="shared" si="25"/>
        <v>6.9187499999999904</v>
      </c>
      <c r="T90" s="41">
        <f t="shared" si="26"/>
        <v>10.11</v>
      </c>
      <c r="U90" s="41">
        <f t="shared" si="27"/>
        <v>4</v>
      </c>
      <c r="V90" s="41">
        <f t="shared" si="28"/>
        <v>9</v>
      </c>
      <c r="W90" s="41">
        <f t="shared" si="29"/>
        <v>10.024999999999999</v>
      </c>
      <c r="X90" s="41">
        <f t="shared" si="30"/>
        <v>0</v>
      </c>
      <c r="Y90" s="41">
        <f t="shared" si="31"/>
        <v>6.75</v>
      </c>
      <c r="Z90" s="41">
        <f t="shared" si="32"/>
        <v>9</v>
      </c>
      <c r="AA90" s="41">
        <f t="shared" si="33"/>
        <v>10.024999999999999</v>
      </c>
      <c r="AB90" s="26">
        <f>IF($L90&lt;&gt;"OK",0,(INDEX(PRESIONES!$D$28:$D$31,$U90)*IF(INDEX(PRESIONES!$D$28:$D$31,$U90)&gt;0,PRESIONES!$C$9*IF($T90&lt;=10,1,($T90/10)^(2/DATOS!$C$56)),PRESIONES!$C$15)-ABERTURAS!$L$60*PRESIONES!$C$12)*$R90/$M90)</f>
        <v>0.42645031155485669</v>
      </c>
      <c r="AC90" s="26">
        <f>IF($L90&lt;&gt;"OK",0,(INDEX(PRESIONES!$G$28:$G$31,$U90)*IF(INDEX(PRESIONES!$G$28:$G$31,$U90)&gt;0,PRESIONES!$C$9*IF($T90&lt;=10,1,($T90/10)^(2/DATOS!$C$56)),PRESIONES!$C$15)-ABERTURAS!$L$61*PRESIONES!$C$12)*$R90/$M90)</f>
        <v>64.509670225274178</v>
      </c>
      <c r="AD90" s="26">
        <f>IF($L90&lt;&gt;"OK",0,(INDEX(PRESIONES!$J$28:$J$31,$U90)*IF(INDEX(PRESIONES!$J$28:$J$31,$U90)&gt;0,PRESIONES!$C$9*IF($T90&lt;=10,1,($T90/10)^(2/DATOS!$C$56)),PRESIONES!$C$15)-ABERTURAS!$L$62*PRESIONES!$C$12)*$R90/$M90)</f>
        <v>-4.4082596261341607</v>
      </c>
      <c r="AE90" s="26">
        <f>IF($L90&lt;&gt;"OK",0,(INDEX(PRESIONES!$M$28:$M$31,$U90)*IF(INDEX(PRESIONES!$M$28:$M$31,$U90)&gt;0,PRESIONES!$C$9*IF($T90&lt;=10,1,($T90/10)^(2/DATOS!$C$56)),PRESIONES!$C$15)-ABERTURAS!$L$63*PRESIONES!$C$12)*$R90/$M90)</f>
        <v>-71.979675467332186</v>
      </c>
      <c r="AF90" s="26">
        <f>IF($L90&lt;&gt;"OK",0,(INDEX(PRESIONES!$D$28:$D$31,$U90)*IF(INDEX(PRESIONES!$D$28:$D$31,$U90)&gt;0,PRESIONES!$C$9*IF($T90&lt;=10,1,($T90/10)^(2/DATOS!$C$56)),PRESIONES!$C$15)-ABERTURAS!$L$64*PRESIONES!$C$12)*$S90/$M90)</f>
        <v>0.42645031155485669</v>
      </c>
      <c r="AG90" s="26">
        <f>IF($L90&lt;&gt;"OK",0,(INDEX(PRESIONES!$G$28:$G$31,$U90)*IF(INDEX(PRESIONES!$G$28:$G$31,$U90)&gt;0,PRESIONES!$C$9*IF($T90&lt;=10,1,($T90/10)^(2/DATOS!$C$56)),PRESIONES!$C$15)-ABERTURAS!$L$65*PRESIONES!$C$12)*$S90/$M90)</f>
        <v>64.509670225274178</v>
      </c>
      <c r="AH90" s="26">
        <f>IF($L90&lt;&gt;"OK",0,(INDEX(PRESIONES!$J$28:$J$31,$U90)*IF(INDEX(PRESIONES!$J$28:$J$31,$U90)&gt;0,PRESIONES!$C$9*IF($T90&lt;=10,1,($T90/10)^(2/DATOS!$C$56)),PRESIONES!$C$15)-ABERTURAS!$L$66*PRESIONES!$C$12)*$S90/$M90)</f>
        <v>-4.4082596261341607</v>
      </c>
      <c r="AI90" s="26">
        <f>IF($L90&lt;&gt;"OK",0,(INDEX(PRESIONES!$M$28:$M$31,$U90)*IF(INDEX(PRESIONES!$M$28:$M$31,$U90)&gt;0,PRESIONES!$C$9*IF($T90&lt;=10,1,($T90/10)^(2/DATOS!$C$56)),PRESIONES!$C$15)-ABERTURAS!$L$67*PRESIONES!$C$12)*$S90/$M90)</f>
        <v>-71.979675467332186</v>
      </c>
    </row>
    <row r="91" spans="2:35" ht="16.5" customHeight="1" x14ac:dyDescent="0.3">
      <c r="B91" s="4" t="s">
        <v>522</v>
      </c>
      <c r="C91" s="15" t="s">
        <v>478</v>
      </c>
      <c r="D91" s="4" t="s">
        <v>523</v>
      </c>
      <c r="E91" s="15" t="s">
        <v>430</v>
      </c>
      <c r="F91" s="40">
        <v>6.75</v>
      </c>
      <c r="G91" s="40">
        <v>13.5</v>
      </c>
      <c r="H91" s="40">
        <v>9</v>
      </c>
      <c r="I91" s="40">
        <v>9.94</v>
      </c>
      <c r="J91" s="40"/>
      <c r="K91" s="40">
        <v>9.77</v>
      </c>
      <c r="L91" s="18" t="str">
        <f t="shared" si="20"/>
        <v>OK</v>
      </c>
      <c r="M91" s="26">
        <f t="shared" si="21"/>
        <v>6.75</v>
      </c>
      <c r="N91" s="26">
        <f t="shared" si="22"/>
        <v>0.85500000000000043</v>
      </c>
      <c r="O91" s="26">
        <f t="shared" si="23"/>
        <v>5.7712500000000029</v>
      </c>
      <c r="P91" s="26">
        <f>IF($U91=0,0,SUMPRODUCT((ABERTURAS!$N$7:$N$26=$U91)*ABERTURAS!$U$7:$U$26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Q91" s="26">
        <f>IF($U91=0,0,SUMPRODUCT((ABERTURAS!$N$7:$N$26=$U91)*ABERTURAS!$V$7:$V$26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R91" s="26">
        <f t="shared" si="24"/>
        <v>5.7712500000000029</v>
      </c>
      <c r="S91" s="26">
        <f t="shared" si="25"/>
        <v>5.7712500000000029</v>
      </c>
      <c r="T91" s="41">
        <f t="shared" si="26"/>
        <v>9.94</v>
      </c>
      <c r="U91" s="41">
        <f t="shared" si="27"/>
        <v>4</v>
      </c>
      <c r="V91" s="41">
        <f t="shared" si="28"/>
        <v>9</v>
      </c>
      <c r="W91" s="41">
        <f t="shared" si="29"/>
        <v>9.8550000000000004</v>
      </c>
      <c r="X91" s="41">
        <f t="shared" si="30"/>
        <v>6.75</v>
      </c>
      <c r="Y91" s="41">
        <f t="shared" si="31"/>
        <v>13.5</v>
      </c>
      <c r="Z91" s="41">
        <f t="shared" si="32"/>
        <v>9</v>
      </c>
      <c r="AA91" s="41">
        <f t="shared" si="33"/>
        <v>9.8550000000000004</v>
      </c>
      <c r="AB91" s="26">
        <f>IF($L91&lt;&gt;"OK",0,(INDEX(PRESIONES!$D$28:$D$31,$U91)*IF(INDEX(PRESIONES!$D$28:$D$31,$U91)&gt;0,PRESIONES!$C$9*IF($T91&lt;=10,1,($T91/10)^(2/DATOS!$C$56)),PRESIONES!$C$15)-ABERTURAS!$L$60*PRESIONES!$C$12)*$R91/$M91)</f>
        <v>0.35572196719941768</v>
      </c>
      <c r="AC91" s="26">
        <f>IF($L91&lt;&gt;"OK",0,(INDEX(PRESIONES!$G$28:$G$31,$U91)*IF(INDEX(PRESIONES!$G$28:$G$31,$U91)&gt;0,PRESIONES!$C$9*IF($T91&lt;=10,1,($T91/10)^(2/DATOS!$C$56)),PRESIONES!$C$15)-ABERTURAS!$L$61*PRESIONES!$C$12)*$R91/$M91)</f>
        <v>53.707721967199447</v>
      </c>
      <c r="AD91" s="26">
        <f>IF($L91&lt;&gt;"OK",0,(INDEX(PRESIONES!$J$28:$J$31,$U91)*IF(INDEX(PRESIONES!$J$28:$J$31,$U91)&gt;0,PRESIONES!$C$9*IF($T91&lt;=10,1,($T91/10)^(2/DATOS!$C$56)),PRESIONES!$C$15)-ABERTURAS!$L$62*PRESIONES!$C$12)*$R91/$M91)</f>
        <v>-3.6771336393606968</v>
      </c>
      <c r="AE91" s="26">
        <f>IF($L91&lt;&gt;"OK",0,(INDEX(PRESIONES!$M$28:$M$31,$U91)*IF(INDEX(PRESIONES!$M$28:$M$31,$U91)&gt;0,PRESIONES!$C$9*IF($T91&lt;=10,1,($T91/10)^(2/DATOS!$C$56)),PRESIONES!$C$15)-ABERTURAS!$L$63*PRESIONES!$C$12)*$R91/$M91)</f>
        <v>-60.041582950799153</v>
      </c>
      <c r="AF91" s="26">
        <f>IF($L91&lt;&gt;"OK",0,(INDEX(PRESIONES!$D$28:$D$31,$U91)*IF(INDEX(PRESIONES!$D$28:$D$31,$U91)&gt;0,PRESIONES!$C$9*IF($T91&lt;=10,1,($T91/10)^(2/DATOS!$C$56)),PRESIONES!$C$15)-ABERTURAS!$L$64*PRESIONES!$C$12)*$S91/$M91)</f>
        <v>0.35572196719941768</v>
      </c>
      <c r="AG91" s="26">
        <f>IF($L91&lt;&gt;"OK",0,(INDEX(PRESIONES!$G$28:$G$31,$U91)*IF(INDEX(PRESIONES!$G$28:$G$31,$U91)&gt;0,PRESIONES!$C$9*IF($T91&lt;=10,1,($T91/10)^(2/DATOS!$C$56)),PRESIONES!$C$15)-ABERTURAS!$L$65*PRESIONES!$C$12)*$S91/$M91)</f>
        <v>53.707721967199447</v>
      </c>
      <c r="AH91" s="26">
        <f>IF($L91&lt;&gt;"OK",0,(INDEX(PRESIONES!$J$28:$J$31,$U91)*IF(INDEX(PRESIONES!$J$28:$J$31,$U91)&gt;0,PRESIONES!$C$9*IF($T91&lt;=10,1,($T91/10)^(2/DATOS!$C$56)),PRESIONES!$C$15)-ABERTURAS!$L$66*PRESIONES!$C$12)*$S91/$M91)</f>
        <v>-3.6771336393606968</v>
      </c>
      <c r="AI91" s="26">
        <f>IF($L91&lt;&gt;"OK",0,(INDEX(PRESIONES!$M$28:$M$31,$U91)*IF(INDEX(PRESIONES!$M$28:$M$31,$U91)&gt;0,PRESIONES!$C$9*IF($T91&lt;=10,1,($T91/10)^(2/DATOS!$C$56)),PRESIONES!$C$15)-ABERTURAS!$L$67*PRESIONES!$C$12)*$S91/$M91)</f>
        <v>-60.041582950799153</v>
      </c>
    </row>
    <row r="92" spans="2:35" ht="16.5" customHeight="1" x14ac:dyDescent="0.3">
      <c r="B92" s="4" t="s">
        <v>524</v>
      </c>
      <c r="C92" s="15" t="s">
        <v>478</v>
      </c>
      <c r="D92" s="4" t="s">
        <v>525</v>
      </c>
      <c r="E92" s="15" t="s">
        <v>430</v>
      </c>
      <c r="F92" s="40">
        <v>13.5</v>
      </c>
      <c r="G92" s="40">
        <v>16</v>
      </c>
      <c r="H92" s="40">
        <v>9</v>
      </c>
      <c r="I92" s="40">
        <v>9.77</v>
      </c>
      <c r="J92" s="40"/>
      <c r="K92" s="40">
        <v>9.7100000000000009</v>
      </c>
      <c r="L92" s="18" t="str">
        <f t="shared" si="20"/>
        <v>OK</v>
      </c>
      <c r="M92" s="26">
        <f t="shared" si="21"/>
        <v>2.5</v>
      </c>
      <c r="N92" s="26">
        <f t="shared" si="22"/>
        <v>0.74000000000000021</v>
      </c>
      <c r="O92" s="26">
        <f t="shared" si="23"/>
        <v>1.8500000000000005</v>
      </c>
      <c r="P92" s="26">
        <f>IF($U92=0,0,SUMPRODUCT((ABERTURAS!$N$7:$N$26=$U92)*ABERTURAS!$U$7:$U$26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Q92" s="26">
        <f>IF($U92=0,0,SUMPRODUCT((ABERTURAS!$N$7:$N$26=$U92)*ABERTURAS!$V$7:$V$26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R92" s="26">
        <f t="shared" si="24"/>
        <v>1.8500000000000005</v>
      </c>
      <c r="S92" s="26">
        <f t="shared" si="25"/>
        <v>1.8500000000000005</v>
      </c>
      <c r="T92" s="41">
        <f t="shared" si="26"/>
        <v>9.77</v>
      </c>
      <c r="U92" s="41">
        <f t="shared" si="27"/>
        <v>4</v>
      </c>
      <c r="V92" s="41">
        <f t="shared" si="28"/>
        <v>9</v>
      </c>
      <c r="W92" s="41">
        <f t="shared" si="29"/>
        <v>9.74</v>
      </c>
      <c r="X92" s="41">
        <f t="shared" si="30"/>
        <v>13.5</v>
      </c>
      <c r="Y92" s="41">
        <f t="shared" si="31"/>
        <v>16</v>
      </c>
      <c r="Z92" s="41">
        <f t="shared" si="32"/>
        <v>9</v>
      </c>
      <c r="AA92" s="41">
        <f t="shared" si="33"/>
        <v>9.74</v>
      </c>
      <c r="AB92" s="26">
        <f>IF($L92&lt;&gt;"OK",0,(INDEX(PRESIONES!$D$28:$D$31,$U92)*IF(INDEX(PRESIONES!$D$28:$D$31,$U92)&gt;0,PRESIONES!$C$9*IF($T92&lt;=10,1,($T92/10)^(2/DATOS!$C$56)),PRESIONES!$C$15)-ABERTURAS!$L$60*PRESIONES!$C$12)*$R92/$M92)</f>
        <v>0.30787632248838487</v>
      </c>
      <c r="AC92" s="26">
        <f>IF($L92&lt;&gt;"OK",0,(INDEX(PRESIONES!$G$28:$G$31,$U92)*IF(INDEX(PRESIONES!$G$28:$G$31,$U92)&gt;0,PRESIONES!$C$9*IF($T92&lt;=10,1,($T92/10)^(2/DATOS!$C$56)),PRESIONES!$C$15)-ABERTURAS!$L$61*PRESIONES!$C$12)*$R92/$M92)</f>
        <v>46.483876322488399</v>
      </c>
      <c r="AD92" s="26">
        <f>IF($L92&lt;&gt;"OK",0,(INDEX(PRESIONES!$J$28:$J$31,$U92)*IF(INDEX(PRESIONES!$J$28:$J$31,$U92)&gt;0,PRESIONES!$C$9*IF($T92&lt;=10,1,($T92/10)^(2/DATOS!$C$56)),PRESIONES!$C$15)-ABERTURAS!$L$62*PRESIONES!$C$12)*$R92/$M92)</f>
        <v>-3.1825484130139361</v>
      </c>
      <c r="AE92" s="26">
        <f>IF($L92&lt;&gt;"OK",0,(INDEX(PRESIONES!$M$28:$M$31,$U92)*IF(INDEX(PRESIONES!$M$28:$M$31,$U92)&gt;0,PRESIONES!$C$9*IF($T92&lt;=10,1,($T92/10)^(2/DATOS!$C$56)),PRESIONES!$C$15)-ABERTURAS!$L$63*PRESIONES!$C$12)*$R92/$M92)</f>
        <v>-51.965814483732593</v>
      </c>
      <c r="AF92" s="26">
        <f>IF($L92&lt;&gt;"OK",0,(INDEX(PRESIONES!$D$28:$D$31,$U92)*IF(INDEX(PRESIONES!$D$28:$D$31,$U92)&gt;0,PRESIONES!$C$9*IF($T92&lt;=10,1,($T92/10)^(2/DATOS!$C$56)),PRESIONES!$C$15)-ABERTURAS!$L$64*PRESIONES!$C$12)*$S92/$M92)</f>
        <v>0.30787632248838487</v>
      </c>
      <c r="AG92" s="26">
        <f>IF($L92&lt;&gt;"OK",0,(INDEX(PRESIONES!$G$28:$G$31,$U92)*IF(INDEX(PRESIONES!$G$28:$G$31,$U92)&gt;0,PRESIONES!$C$9*IF($T92&lt;=10,1,($T92/10)^(2/DATOS!$C$56)),PRESIONES!$C$15)-ABERTURAS!$L$65*PRESIONES!$C$12)*$S92/$M92)</f>
        <v>46.483876322488399</v>
      </c>
      <c r="AH92" s="26">
        <f>IF($L92&lt;&gt;"OK",0,(INDEX(PRESIONES!$J$28:$J$31,$U92)*IF(INDEX(PRESIONES!$J$28:$J$31,$U92)&gt;0,PRESIONES!$C$9*IF($T92&lt;=10,1,($T92/10)^(2/DATOS!$C$56)),PRESIONES!$C$15)-ABERTURAS!$L$66*PRESIONES!$C$12)*$S92/$M92)</f>
        <v>-3.1825484130139361</v>
      </c>
      <c r="AI92" s="26">
        <f>IF($L92&lt;&gt;"OK",0,(INDEX(PRESIONES!$M$28:$M$31,$U92)*IF(INDEX(PRESIONES!$M$28:$M$31,$U92)&gt;0,PRESIONES!$C$9*IF($T92&lt;=10,1,($T92/10)^(2/DATOS!$C$56)),PRESIONES!$C$15)-ABERTURAS!$L$67*PRESIONES!$C$12)*$S92/$M92)</f>
        <v>-51.965814483732593</v>
      </c>
    </row>
    <row r="93" spans="2:35" ht="16.5" customHeight="1" x14ac:dyDescent="0.3">
      <c r="B93" s="4" t="s">
        <v>526</v>
      </c>
      <c r="C93" s="15" t="s">
        <v>428</v>
      </c>
      <c r="D93" s="4" t="s">
        <v>527</v>
      </c>
      <c r="E93" s="15" t="s">
        <v>430</v>
      </c>
      <c r="F93" s="40">
        <v>0</v>
      </c>
      <c r="G93" s="40">
        <v>1.35</v>
      </c>
      <c r="H93" s="40">
        <v>10.11</v>
      </c>
      <c r="I93" s="40">
        <v>10.62</v>
      </c>
      <c r="J93" s="40">
        <v>10.0763</v>
      </c>
      <c r="K93" s="40">
        <v>10.5525</v>
      </c>
      <c r="L93" s="18" t="str">
        <f t="shared" si="20"/>
        <v>OK</v>
      </c>
      <c r="M93" s="26">
        <f t="shared" si="21"/>
        <v>1.35</v>
      </c>
      <c r="N93" s="26">
        <f t="shared" si="22"/>
        <v>0.49310000000000009</v>
      </c>
      <c r="O93" s="26">
        <f t="shared" si="23"/>
        <v>0.66568500000000019</v>
      </c>
      <c r="P93" s="26">
        <f>IF($U93=0,0,SUMPRODUCT((ABERTURAS!$N$7:$N$26=$U93)*ABERTURAS!$U$7:$U$26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Q93" s="26">
        <f>IF($U93=0,0,SUMPRODUCT((ABERTURAS!$N$7:$N$26=$U93)*ABERTURAS!$V$7:$V$26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R93" s="26">
        <f t="shared" si="24"/>
        <v>0.66568500000000019</v>
      </c>
      <c r="S93" s="26">
        <f t="shared" si="25"/>
        <v>0.66568500000000019</v>
      </c>
      <c r="T93" s="41">
        <f t="shared" si="26"/>
        <v>10.62</v>
      </c>
      <c r="U93" s="41">
        <f t="shared" si="27"/>
        <v>3</v>
      </c>
      <c r="V93" s="41">
        <f t="shared" si="28"/>
        <v>10.09315</v>
      </c>
      <c r="W93" s="41">
        <f t="shared" si="29"/>
        <v>10.58625</v>
      </c>
      <c r="X93" s="41">
        <f t="shared" si="30"/>
        <v>0</v>
      </c>
      <c r="Y93" s="41">
        <f t="shared" si="31"/>
        <v>1.35</v>
      </c>
      <c r="Z93" s="41">
        <f t="shared" si="32"/>
        <v>10.09315</v>
      </c>
      <c r="AA93" s="41">
        <f t="shared" si="33"/>
        <v>10.58625</v>
      </c>
      <c r="AB93" s="26">
        <f>IF($L93&lt;&gt;"OK",0,(INDEX(PRESIONES!$D$28:$D$31,$U93)*IF(INDEX(PRESIONES!$D$28:$D$31,$U93)&gt;0,PRESIONES!$C$9*IF($T93&lt;=10,1,($T93/10)^(2/DATOS!$C$56)),PRESIONES!$C$15)-ABERTURAS!$L$60*PRESIONES!$C$12)*$R93/$M93)</f>
        <v>31.30283988920198</v>
      </c>
      <c r="AC93" s="26">
        <f>IF($L93&lt;&gt;"OK",0,(INDEX(PRESIONES!$G$28:$G$31,$U93)*IF(INDEX(PRESIONES!$G$28:$G$31,$U93)&gt;0,PRESIONES!$C$9*IF($T93&lt;=10,1,($T93/10)^(2/DATOS!$C$56)),PRESIONES!$C$15)-ABERTURAS!$L$61*PRESIONES!$C$12)*$R93/$M93)</f>
        <v>0.20515380353921969</v>
      </c>
      <c r="AD93" s="26">
        <f>IF($L93&lt;&gt;"OK",0,(INDEX(PRESIONES!$J$28:$J$31,$U93)*IF(INDEX(PRESIONES!$J$28:$J$31,$U93)&gt;0,PRESIONES!$C$9*IF($T93&lt;=10,1,($T93/10)^(2/DATOS!$C$56)),PRESIONES!$C$15)-ABERTURAS!$L$62*PRESIONES!$C$12)*$R93/$M93)</f>
        <v>-2.1206954357529351</v>
      </c>
      <c r="AE93" s="26">
        <f>IF($L93&lt;&gt;"OK",0,(INDEX(PRESIONES!$M$28:$M$31,$U93)*IF(INDEX(PRESIONES!$M$28:$M$31,$U93)&gt;0,PRESIONES!$C$9*IF($T93&lt;=10,1,($T93/10)^(2/DATOS!$C$56)),PRESIONES!$C$15)-ABERTURAS!$L$63*PRESIONES!$C$12)*$R93/$M93)</f>
        <v>-34.627490705308837</v>
      </c>
      <c r="AF93" s="26">
        <f>IF($L93&lt;&gt;"OK",0,(INDEX(PRESIONES!$D$28:$D$31,$U93)*IF(INDEX(PRESIONES!$D$28:$D$31,$U93)&gt;0,PRESIONES!$C$9*IF($T93&lt;=10,1,($T93/10)^(2/DATOS!$C$56)),PRESIONES!$C$15)-ABERTURAS!$L$64*PRESIONES!$C$12)*$S93/$M93)</f>
        <v>31.30283988920198</v>
      </c>
      <c r="AG93" s="26">
        <f>IF($L93&lt;&gt;"OK",0,(INDEX(PRESIONES!$G$28:$G$31,$U93)*IF(INDEX(PRESIONES!$G$28:$G$31,$U93)&gt;0,PRESIONES!$C$9*IF($T93&lt;=10,1,($T93/10)^(2/DATOS!$C$56)),PRESIONES!$C$15)-ABERTURAS!$L$65*PRESIONES!$C$12)*$S93/$M93)</f>
        <v>0.20515380353921969</v>
      </c>
      <c r="AH93" s="26">
        <f>IF($L93&lt;&gt;"OK",0,(INDEX(PRESIONES!$J$28:$J$31,$U93)*IF(INDEX(PRESIONES!$J$28:$J$31,$U93)&gt;0,PRESIONES!$C$9*IF($T93&lt;=10,1,($T93/10)^(2/DATOS!$C$56)),PRESIONES!$C$15)-ABERTURAS!$L$66*PRESIONES!$C$12)*$S93/$M93)</f>
        <v>-2.1206954357529351</v>
      </c>
      <c r="AI93" s="26">
        <f>IF($L93&lt;&gt;"OK",0,(INDEX(PRESIONES!$M$28:$M$31,$U93)*IF(INDEX(PRESIONES!$M$28:$M$31,$U93)&gt;0,PRESIONES!$C$9*IF($T93&lt;=10,1,($T93/10)^(2/DATOS!$C$56)),PRESIONES!$C$15)-ABERTURAS!$L$67*PRESIONES!$C$12)*$S93/$M93)</f>
        <v>-34.627490705308837</v>
      </c>
    </row>
    <row r="94" spans="2:35" ht="16.5" customHeight="1" x14ac:dyDescent="0.3">
      <c r="B94" s="4" t="s">
        <v>528</v>
      </c>
      <c r="C94" s="15" t="s">
        <v>428</v>
      </c>
      <c r="D94" s="4" t="s">
        <v>529</v>
      </c>
      <c r="E94" s="15" t="s">
        <v>430</v>
      </c>
      <c r="F94" s="40">
        <v>1.35</v>
      </c>
      <c r="G94" s="40">
        <v>2.7</v>
      </c>
      <c r="H94" s="40">
        <v>10.0763</v>
      </c>
      <c r="I94" s="40">
        <v>10.5525</v>
      </c>
      <c r="J94" s="40">
        <v>10.0425</v>
      </c>
      <c r="K94" s="40">
        <v>10.484999999999999</v>
      </c>
      <c r="L94" s="18" t="str">
        <f t="shared" si="20"/>
        <v>OK</v>
      </c>
      <c r="M94" s="26">
        <f t="shared" si="21"/>
        <v>1.35</v>
      </c>
      <c r="N94" s="26">
        <f t="shared" si="22"/>
        <v>0.45935000000000059</v>
      </c>
      <c r="O94" s="26">
        <f t="shared" si="23"/>
        <v>0.6201225000000008</v>
      </c>
      <c r="P94" s="26">
        <f>IF($U94=0,0,SUMPRODUCT((ABERTURAS!$N$7:$N$26=$U94)*ABERTURAS!$U$7:$U$26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Q94" s="26">
        <f>IF($U94=0,0,SUMPRODUCT((ABERTURAS!$N$7:$N$26=$U94)*ABERTURAS!$V$7:$V$26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R94" s="26">
        <f t="shared" si="24"/>
        <v>0.6201225000000008</v>
      </c>
      <c r="S94" s="26">
        <f t="shared" si="25"/>
        <v>0.6201225000000008</v>
      </c>
      <c r="T94" s="41">
        <f t="shared" si="26"/>
        <v>10.5525</v>
      </c>
      <c r="U94" s="41">
        <f t="shared" si="27"/>
        <v>3</v>
      </c>
      <c r="V94" s="41">
        <f t="shared" si="28"/>
        <v>10.0594</v>
      </c>
      <c r="W94" s="41">
        <f t="shared" si="29"/>
        <v>10.518750000000001</v>
      </c>
      <c r="X94" s="41">
        <f t="shared" si="30"/>
        <v>1.35</v>
      </c>
      <c r="Y94" s="41">
        <f t="shared" si="31"/>
        <v>2.7</v>
      </c>
      <c r="Z94" s="41">
        <f t="shared" si="32"/>
        <v>10.0594</v>
      </c>
      <c r="AA94" s="41">
        <f t="shared" si="33"/>
        <v>10.518750000000001</v>
      </c>
      <c r="AB94" s="26">
        <f>IF($L94&lt;&gt;"OK",0,(INDEX(PRESIONES!$D$28:$D$31,$U94)*IF(INDEX(PRESIONES!$D$28:$D$31,$U94)&gt;0,PRESIONES!$C$9*IF($T94&lt;=10,1,($T94/10)^(2/DATOS!$C$56)),PRESIONES!$C$15)-ABERTURAS!$L$60*PRESIONES!$C$12)*$R94/$M94)</f>
        <v>29.127669895007109</v>
      </c>
      <c r="AC94" s="26">
        <f>IF($L94&lt;&gt;"OK",0,(INDEX(PRESIONES!$G$28:$G$31,$U94)*IF(INDEX(PRESIONES!$G$28:$G$31,$U94)&gt;0,PRESIONES!$C$9*IF($T94&lt;=10,1,($T94/10)^(2/DATOS!$C$56)),PRESIONES!$C$15)-ABERTURAS!$L$61*PRESIONES!$C$12)*$R94/$M94)</f>
        <v>0.19111214693924286</v>
      </c>
      <c r="AD94" s="26">
        <f>IF($L94&lt;&gt;"OK",0,(INDEX(PRESIONES!$J$28:$J$31,$U94)*IF(INDEX(PRESIONES!$J$28:$J$31,$U94)&gt;0,PRESIONES!$C$9*IF($T94&lt;=10,1,($T94/10)^(2/DATOS!$C$56)),PRESIONES!$C$15)-ABERTURAS!$L$62*PRESIONES!$C$12)*$R94/$M94)</f>
        <v>-1.9755454236729091</v>
      </c>
      <c r="AE94" s="26">
        <f>IF($L94&lt;&gt;"OK",0,(INDEX(PRESIONES!$M$28:$M$31,$U94)*IF(INDEX(PRESIONES!$M$28:$M$31,$U94)&gt;0,PRESIONES!$C$9*IF($T94&lt;=10,1,($T94/10)^(2/DATOS!$C$56)),PRESIONES!$C$15)-ABERTURAS!$L$63*PRESIONES!$C$12)*$R94/$M94)</f>
        <v>-32.257428220408897</v>
      </c>
      <c r="AF94" s="26">
        <f>IF($L94&lt;&gt;"OK",0,(INDEX(PRESIONES!$D$28:$D$31,$U94)*IF(INDEX(PRESIONES!$D$28:$D$31,$U94)&gt;0,PRESIONES!$C$9*IF($T94&lt;=10,1,($T94/10)^(2/DATOS!$C$56)),PRESIONES!$C$15)-ABERTURAS!$L$64*PRESIONES!$C$12)*$S94/$M94)</f>
        <v>29.127669895007109</v>
      </c>
      <c r="AG94" s="26">
        <f>IF($L94&lt;&gt;"OK",0,(INDEX(PRESIONES!$G$28:$G$31,$U94)*IF(INDEX(PRESIONES!$G$28:$G$31,$U94)&gt;0,PRESIONES!$C$9*IF($T94&lt;=10,1,($T94/10)^(2/DATOS!$C$56)),PRESIONES!$C$15)-ABERTURAS!$L$65*PRESIONES!$C$12)*$S94/$M94)</f>
        <v>0.19111214693924286</v>
      </c>
      <c r="AH94" s="26">
        <f>IF($L94&lt;&gt;"OK",0,(INDEX(PRESIONES!$J$28:$J$31,$U94)*IF(INDEX(PRESIONES!$J$28:$J$31,$U94)&gt;0,PRESIONES!$C$9*IF($T94&lt;=10,1,($T94/10)^(2/DATOS!$C$56)),PRESIONES!$C$15)-ABERTURAS!$L$66*PRESIONES!$C$12)*$S94/$M94)</f>
        <v>-1.9755454236729091</v>
      </c>
      <c r="AI94" s="26">
        <f>IF($L94&lt;&gt;"OK",0,(INDEX(PRESIONES!$M$28:$M$31,$U94)*IF(INDEX(PRESIONES!$M$28:$M$31,$U94)&gt;0,PRESIONES!$C$9*IF($T94&lt;=10,1,($T94/10)^(2/DATOS!$C$56)),PRESIONES!$C$15)-ABERTURAS!$L$67*PRESIONES!$C$12)*$S94/$M94)</f>
        <v>-32.257428220408897</v>
      </c>
    </row>
    <row r="95" spans="2:35" ht="16.5" customHeight="1" x14ac:dyDescent="0.3">
      <c r="B95" s="4" t="s">
        <v>530</v>
      </c>
      <c r="C95" s="15" t="s">
        <v>428</v>
      </c>
      <c r="D95" s="4" t="s">
        <v>531</v>
      </c>
      <c r="E95" s="15" t="s">
        <v>430</v>
      </c>
      <c r="F95" s="40">
        <v>2.7</v>
      </c>
      <c r="G95" s="40">
        <v>4.05</v>
      </c>
      <c r="H95" s="40">
        <v>10.0425</v>
      </c>
      <c r="I95" s="40">
        <v>10.484999999999999</v>
      </c>
      <c r="J95" s="40">
        <v>10.008800000000001</v>
      </c>
      <c r="K95" s="40">
        <v>10.4175</v>
      </c>
      <c r="L95" s="18" t="str">
        <f t="shared" si="20"/>
        <v>OK</v>
      </c>
      <c r="M95" s="26">
        <f t="shared" si="21"/>
        <v>1.3499999999999996</v>
      </c>
      <c r="N95" s="26">
        <f t="shared" si="22"/>
        <v>0.42559999999999931</v>
      </c>
      <c r="O95" s="26">
        <f t="shared" si="23"/>
        <v>0.57455999999999896</v>
      </c>
      <c r="P95" s="26">
        <f>IF($U95=0,0,SUMPRODUCT((ABERTURAS!$N$7:$N$26=$U95)*ABERTURAS!$U$7:$U$26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Q95" s="26">
        <f>IF($U95=0,0,SUMPRODUCT((ABERTURAS!$N$7:$N$26=$U95)*ABERTURAS!$V$7:$V$26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R95" s="26">
        <f t="shared" si="24"/>
        <v>0.57455999999999896</v>
      </c>
      <c r="S95" s="26">
        <f t="shared" si="25"/>
        <v>0.57455999999999896</v>
      </c>
      <c r="T95" s="41">
        <f t="shared" si="26"/>
        <v>10.484999999999999</v>
      </c>
      <c r="U95" s="41">
        <f t="shared" si="27"/>
        <v>3</v>
      </c>
      <c r="V95" s="41">
        <f t="shared" si="28"/>
        <v>10.025650000000001</v>
      </c>
      <c r="W95" s="41">
        <f t="shared" si="29"/>
        <v>10.45125</v>
      </c>
      <c r="X95" s="41">
        <f t="shared" si="30"/>
        <v>2.7</v>
      </c>
      <c r="Y95" s="41">
        <f t="shared" si="31"/>
        <v>4.05</v>
      </c>
      <c r="Z95" s="41">
        <f t="shared" si="32"/>
        <v>10.025650000000001</v>
      </c>
      <c r="AA95" s="41">
        <f t="shared" si="33"/>
        <v>10.45125</v>
      </c>
      <c r="AB95" s="26">
        <f>IF($L95&lt;&gt;"OK",0,(INDEX(PRESIONES!$D$28:$D$31,$U95)*IF(INDEX(PRESIONES!$D$28:$D$31,$U95)&gt;0,PRESIONES!$C$9*IF($T95&lt;=10,1,($T95/10)^(2/DATOS!$C$56)),PRESIONES!$C$15)-ABERTURAS!$L$60*PRESIONES!$C$12)*$R95/$M95)</f>
        <v>26.957160846199653</v>
      </c>
      <c r="AC95" s="26">
        <f>IF($L95&lt;&gt;"OK",0,(INDEX(PRESIONES!$G$28:$G$31,$U95)*IF(INDEX(PRESIONES!$G$28:$G$31,$U95)&gt;0,PRESIONES!$C$9*IF($T95&lt;=10,1,($T95/10)^(2/DATOS!$C$56)),PRESIONES!$C$15)-ABERTURAS!$L$61*PRESIONES!$C$12)*$R95/$M95)</f>
        <v>0.17707049033926534</v>
      </c>
      <c r="AD95" s="26">
        <f>IF($L95&lt;&gt;"OK",0,(INDEX(PRESIONES!$J$28:$J$31,$U95)*IF(INDEX(PRESIONES!$J$28:$J$31,$U95)&gt;0,PRESIONES!$C$9*IF($T95&lt;=10,1,($T95/10)^(2/DATOS!$C$56)),PRESIONES!$C$15)-ABERTURAS!$L$62*PRESIONES!$C$12)*$R95/$M95)</f>
        <v>-1.8303954115928764</v>
      </c>
      <c r="AE95" s="26">
        <f>IF($L95&lt;&gt;"OK",0,(INDEX(PRESIONES!$M$28:$M$31,$U95)*IF(INDEX(PRESIONES!$M$28:$M$31,$U95)&gt;0,PRESIONES!$C$9*IF($T95&lt;=10,1,($T95/10)^(2/DATOS!$C$56)),PRESIONES!$C$15)-ABERTURAS!$L$63*PRESIONES!$C$12)*$R95/$M95)</f>
        <v>-29.887365735508855</v>
      </c>
      <c r="AF95" s="26">
        <f>IF($L95&lt;&gt;"OK",0,(INDEX(PRESIONES!$D$28:$D$31,$U95)*IF(INDEX(PRESIONES!$D$28:$D$31,$U95)&gt;0,PRESIONES!$C$9*IF($T95&lt;=10,1,($T95/10)^(2/DATOS!$C$56)),PRESIONES!$C$15)-ABERTURAS!$L$64*PRESIONES!$C$12)*$S95/$M95)</f>
        <v>26.957160846199653</v>
      </c>
      <c r="AG95" s="26">
        <f>IF($L95&lt;&gt;"OK",0,(INDEX(PRESIONES!$G$28:$G$31,$U95)*IF(INDEX(PRESIONES!$G$28:$G$31,$U95)&gt;0,PRESIONES!$C$9*IF($T95&lt;=10,1,($T95/10)^(2/DATOS!$C$56)),PRESIONES!$C$15)-ABERTURAS!$L$65*PRESIONES!$C$12)*$S95/$M95)</f>
        <v>0.17707049033926534</v>
      </c>
      <c r="AH95" s="26">
        <f>IF($L95&lt;&gt;"OK",0,(INDEX(PRESIONES!$J$28:$J$31,$U95)*IF(INDEX(PRESIONES!$J$28:$J$31,$U95)&gt;0,PRESIONES!$C$9*IF($T95&lt;=10,1,($T95/10)^(2/DATOS!$C$56)),PRESIONES!$C$15)-ABERTURAS!$L$66*PRESIONES!$C$12)*$S95/$M95)</f>
        <v>-1.8303954115928764</v>
      </c>
      <c r="AI95" s="26">
        <f>IF($L95&lt;&gt;"OK",0,(INDEX(PRESIONES!$M$28:$M$31,$U95)*IF(INDEX(PRESIONES!$M$28:$M$31,$U95)&gt;0,PRESIONES!$C$9*IF($T95&lt;=10,1,($T95/10)^(2/DATOS!$C$56)),PRESIONES!$C$15)-ABERTURAS!$L$67*PRESIONES!$C$12)*$S95/$M95)</f>
        <v>-29.887365735508855</v>
      </c>
    </row>
    <row r="96" spans="2:35" ht="16.5" customHeight="1" x14ac:dyDescent="0.3">
      <c r="B96" s="4" t="s">
        <v>532</v>
      </c>
      <c r="C96" s="15" t="s">
        <v>428</v>
      </c>
      <c r="D96" s="4" t="s">
        <v>533</v>
      </c>
      <c r="E96" s="15" t="s">
        <v>430</v>
      </c>
      <c r="F96" s="40">
        <v>4.05</v>
      </c>
      <c r="G96" s="40">
        <v>5.4</v>
      </c>
      <c r="H96" s="40">
        <v>10.008800000000001</v>
      </c>
      <c r="I96" s="40">
        <v>10.4175</v>
      </c>
      <c r="J96" s="40">
        <v>9.9749999999999996</v>
      </c>
      <c r="K96" s="40">
        <v>10.35</v>
      </c>
      <c r="L96" s="18" t="str">
        <f t="shared" si="20"/>
        <v>OK</v>
      </c>
      <c r="M96" s="26">
        <f t="shared" si="21"/>
        <v>1.3500000000000005</v>
      </c>
      <c r="N96" s="26">
        <f t="shared" si="22"/>
        <v>0.39184999999999803</v>
      </c>
      <c r="O96" s="26">
        <f t="shared" si="23"/>
        <v>0.52899749999999757</v>
      </c>
      <c r="P96" s="26">
        <f>IF($U96=0,0,SUMPRODUCT((ABERTURAS!$N$7:$N$26=$U96)*ABERTURAS!$U$7:$U$26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Q96" s="26">
        <f>IF($U96=0,0,SUMPRODUCT((ABERTURAS!$N$7:$N$26=$U96)*ABERTURAS!$V$7:$V$26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R96" s="26">
        <f t="shared" si="24"/>
        <v>0.52899749999999757</v>
      </c>
      <c r="S96" s="26">
        <f t="shared" si="25"/>
        <v>0.52899749999999757</v>
      </c>
      <c r="T96" s="41">
        <f t="shared" si="26"/>
        <v>10.4175</v>
      </c>
      <c r="U96" s="41">
        <f t="shared" si="27"/>
        <v>3</v>
      </c>
      <c r="V96" s="41">
        <f t="shared" si="28"/>
        <v>9.9919000000000011</v>
      </c>
      <c r="W96" s="41">
        <f t="shared" si="29"/>
        <v>10.383749999999999</v>
      </c>
      <c r="X96" s="41">
        <f t="shared" si="30"/>
        <v>4.05</v>
      </c>
      <c r="Y96" s="41">
        <f t="shared" si="31"/>
        <v>5.4</v>
      </c>
      <c r="Z96" s="41">
        <f t="shared" si="32"/>
        <v>9.9919000000000011</v>
      </c>
      <c r="AA96" s="41">
        <f t="shared" si="33"/>
        <v>10.383749999999999</v>
      </c>
      <c r="AB96" s="26">
        <f>IF($L96&lt;&gt;"OK",0,(INDEX(PRESIONES!$D$28:$D$31,$U96)*IF(INDEX(PRESIONES!$D$28:$D$31,$U96)&gt;0,PRESIONES!$C$9*IF($T96&lt;=10,1,($T96/10)^(2/DATOS!$C$56)),PRESIONES!$C$15)-ABERTURAS!$L$60*PRESIONES!$C$12)*$R96/$M96)</f>
        <v>24.791344300445125</v>
      </c>
      <c r="AC96" s="26">
        <f>IF($L96&lt;&gt;"OK",0,(INDEX(PRESIONES!$G$28:$G$31,$U96)*IF(INDEX(PRESIONES!$G$28:$G$31,$U96)&gt;0,PRESIONES!$C$9*IF($T96&lt;=10,1,($T96/10)^(2/DATOS!$C$56)),PRESIONES!$C$15)-ABERTURAS!$L$61*PRESIONES!$C$12)*$R96/$M96)</f>
        <v>0.16302883373928778</v>
      </c>
      <c r="AD96" s="26">
        <f>IF($L96&lt;&gt;"OK",0,(INDEX(PRESIONES!$J$28:$J$31,$U96)*IF(INDEX(PRESIONES!$J$28:$J$31,$U96)&gt;0,PRESIONES!$C$9*IF($T96&lt;=10,1,($T96/10)^(2/DATOS!$C$56)),PRESIONES!$C$15)-ABERTURAS!$L$62*PRESIONES!$C$12)*$R96/$M96)</f>
        <v>-1.6852453995128434</v>
      </c>
      <c r="AE96" s="26">
        <f>IF($L96&lt;&gt;"OK",0,(INDEX(PRESIONES!$M$28:$M$31,$U96)*IF(INDEX(PRESIONES!$M$28:$M$31,$U96)&gt;0,PRESIONES!$C$9*IF($T96&lt;=10,1,($T96/10)^(2/DATOS!$C$56)),PRESIONES!$C$15)-ABERTURAS!$L$63*PRESIONES!$C$12)*$R96/$M96)</f>
        <v>-27.517303250608794</v>
      </c>
      <c r="AF96" s="26">
        <f>IF($L96&lt;&gt;"OK",0,(INDEX(PRESIONES!$D$28:$D$31,$U96)*IF(INDEX(PRESIONES!$D$28:$D$31,$U96)&gt;0,PRESIONES!$C$9*IF($T96&lt;=10,1,($T96/10)^(2/DATOS!$C$56)),PRESIONES!$C$15)-ABERTURAS!$L$64*PRESIONES!$C$12)*$S96/$M96)</f>
        <v>24.791344300445125</v>
      </c>
      <c r="AG96" s="26">
        <f>IF($L96&lt;&gt;"OK",0,(INDEX(PRESIONES!$G$28:$G$31,$U96)*IF(INDEX(PRESIONES!$G$28:$G$31,$U96)&gt;0,PRESIONES!$C$9*IF($T96&lt;=10,1,($T96/10)^(2/DATOS!$C$56)),PRESIONES!$C$15)-ABERTURAS!$L$65*PRESIONES!$C$12)*$S96/$M96)</f>
        <v>0.16302883373928778</v>
      </c>
      <c r="AH96" s="26">
        <f>IF($L96&lt;&gt;"OK",0,(INDEX(PRESIONES!$J$28:$J$31,$U96)*IF(INDEX(PRESIONES!$J$28:$J$31,$U96)&gt;0,PRESIONES!$C$9*IF($T96&lt;=10,1,($T96/10)^(2/DATOS!$C$56)),PRESIONES!$C$15)-ABERTURAS!$L$66*PRESIONES!$C$12)*$S96/$M96)</f>
        <v>-1.6852453995128434</v>
      </c>
      <c r="AI96" s="26">
        <f>IF($L96&lt;&gt;"OK",0,(INDEX(PRESIONES!$M$28:$M$31,$U96)*IF(INDEX(PRESIONES!$M$28:$M$31,$U96)&gt;0,PRESIONES!$C$9*IF($T96&lt;=10,1,($T96/10)^(2/DATOS!$C$56)),PRESIONES!$C$15)-ABERTURAS!$L$67*PRESIONES!$C$12)*$S96/$M96)</f>
        <v>-27.517303250608794</v>
      </c>
    </row>
    <row r="97" spans="2:35" ht="16.5" customHeight="1" x14ac:dyDescent="0.3">
      <c r="B97" s="4" t="s">
        <v>534</v>
      </c>
      <c r="C97" s="15" t="s">
        <v>428</v>
      </c>
      <c r="D97" s="4" t="s">
        <v>535</v>
      </c>
      <c r="E97" s="15" t="s">
        <v>430</v>
      </c>
      <c r="F97" s="40">
        <v>5.4</v>
      </c>
      <c r="G97" s="40">
        <v>6.75</v>
      </c>
      <c r="H97" s="40">
        <v>9.9749999999999996</v>
      </c>
      <c r="I97" s="40">
        <v>10.35</v>
      </c>
      <c r="J97" s="40">
        <v>9.9413</v>
      </c>
      <c r="K97" s="40">
        <v>10.282500000000001</v>
      </c>
      <c r="L97" s="18" t="str">
        <f t="shared" si="20"/>
        <v>OK</v>
      </c>
      <c r="M97" s="26">
        <f t="shared" si="21"/>
        <v>1.3499999999999996</v>
      </c>
      <c r="N97" s="26">
        <f t="shared" si="22"/>
        <v>0.35810000000000031</v>
      </c>
      <c r="O97" s="26">
        <f t="shared" si="23"/>
        <v>0.48343500000000028</v>
      </c>
      <c r="P97" s="26">
        <f>IF($U97=0,0,SUMPRODUCT((ABERTURAS!$N$7:$N$26=$U97)*ABERTURAS!$U$7:$U$26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Q97" s="26">
        <f>IF($U97=0,0,SUMPRODUCT((ABERTURAS!$N$7:$N$26=$U97)*ABERTURAS!$V$7:$V$26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R97" s="26">
        <f t="shared" si="24"/>
        <v>0.48343500000000028</v>
      </c>
      <c r="S97" s="26">
        <f t="shared" si="25"/>
        <v>0.48343500000000028</v>
      </c>
      <c r="T97" s="41">
        <f t="shared" si="26"/>
        <v>10.35</v>
      </c>
      <c r="U97" s="41">
        <f t="shared" si="27"/>
        <v>3</v>
      </c>
      <c r="V97" s="41">
        <f t="shared" si="28"/>
        <v>9.9581499999999998</v>
      </c>
      <c r="W97" s="41">
        <f t="shared" si="29"/>
        <v>10.31625</v>
      </c>
      <c r="X97" s="41">
        <f t="shared" si="30"/>
        <v>5.4</v>
      </c>
      <c r="Y97" s="41">
        <f t="shared" si="31"/>
        <v>6.75</v>
      </c>
      <c r="Z97" s="41">
        <f t="shared" si="32"/>
        <v>9.9581499999999998</v>
      </c>
      <c r="AA97" s="41">
        <f t="shared" si="33"/>
        <v>10.31625</v>
      </c>
      <c r="AB97" s="26">
        <f>IF($L97&lt;&gt;"OK",0,(INDEX(PRESIONES!$D$28:$D$31,$U97)*IF(INDEX(PRESIONES!$D$28:$D$31,$U97)&gt;0,PRESIONES!$C$9*IF($T97&lt;=10,1,($T97/10)^(2/DATOS!$C$56)),PRESIONES!$C$15)-ABERTURAS!$L$60*PRESIONES!$C$12)*$R97/$M97)</f>
        <v>22.630252278931927</v>
      </c>
      <c r="AC97" s="26">
        <f>IF($L97&lt;&gt;"OK",0,(INDEX(PRESIONES!$G$28:$G$31,$U97)*IF(INDEX(PRESIONES!$G$28:$G$31,$U97)&gt;0,PRESIONES!$C$9*IF($T97&lt;=10,1,($T97/10)^(2/DATOS!$C$56)),PRESIONES!$C$15)-ABERTURAS!$L$61*PRESIONES!$C$12)*$R97/$M97)</f>
        <v>0.14898717713931173</v>
      </c>
      <c r="AD97" s="26">
        <f>IF($L97&lt;&gt;"OK",0,(INDEX(PRESIONES!$J$28:$J$31,$U97)*IF(INDEX(PRESIONES!$J$28:$J$31,$U97)&gt;0,PRESIONES!$C$9*IF($T97&lt;=10,1,($T97/10)^(2/DATOS!$C$56)),PRESIONES!$C$15)-ABERTURAS!$L$62*PRESIONES!$C$12)*$R97/$M97)</f>
        <v>-1.5400953874328258</v>
      </c>
      <c r="AE97" s="26">
        <f>IF($L97&lt;&gt;"OK",0,(INDEX(PRESIONES!$M$28:$M$31,$U97)*IF(INDEX(PRESIONES!$M$28:$M$31,$U97)&gt;0,PRESIONES!$C$9*IF($T97&lt;=10,1,($T97/10)^(2/DATOS!$C$56)),PRESIONES!$C$15)-ABERTURAS!$L$63*PRESIONES!$C$12)*$R97/$M97)</f>
        <v>-25.147240765708986</v>
      </c>
      <c r="AF97" s="26">
        <f>IF($L97&lt;&gt;"OK",0,(INDEX(PRESIONES!$D$28:$D$31,$U97)*IF(INDEX(PRESIONES!$D$28:$D$31,$U97)&gt;0,PRESIONES!$C$9*IF($T97&lt;=10,1,($T97/10)^(2/DATOS!$C$56)),PRESIONES!$C$15)-ABERTURAS!$L$64*PRESIONES!$C$12)*$S97/$M97)</f>
        <v>22.630252278931927</v>
      </c>
      <c r="AG97" s="26">
        <f>IF($L97&lt;&gt;"OK",0,(INDEX(PRESIONES!$G$28:$G$31,$U97)*IF(INDEX(PRESIONES!$G$28:$G$31,$U97)&gt;0,PRESIONES!$C$9*IF($T97&lt;=10,1,($T97/10)^(2/DATOS!$C$56)),PRESIONES!$C$15)-ABERTURAS!$L$65*PRESIONES!$C$12)*$S97/$M97)</f>
        <v>0.14898717713931173</v>
      </c>
      <c r="AH97" s="26">
        <f>IF($L97&lt;&gt;"OK",0,(INDEX(PRESIONES!$J$28:$J$31,$U97)*IF(INDEX(PRESIONES!$J$28:$J$31,$U97)&gt;0,PRESIONES!$C$9*IF($T97&lt;=10,1,($T97/10)^(2/DATOS!$C$56)),PRESIONES!$C$15)-ABERTURAS!$L$66*PRESIONES!$C$12)*$S97/$M97)</f>
        <v>-1.5400953874328258</v>
      </c>
      <c r="AI97" s="26">
        <f>IF($L97&lt;&gt;"OK",0,(INDEX(PRESIONES!$M$28:$M$31,$U97)*IF(INDEX(PRESIONES!$M$28:$M$31,$U97)&gt;0,PRESIONES!$C$9*IF($T97&lt;=10,1,($T97/10)^(2/DATOS!$C$56)),PRESIONES!$C$15)-ABERTURAS!$L$67*PRESIONES!$C$12)*$S97/$M97)</f>
        <v>-25.147240765708986</v>
      </c>
    </row>
    <row r="98" spans="2:35" ht="16.5" customHeight="1" x14ac:dyDescent="0.3">
      <c r="B98" s="4" t="s">
        <v>536</v>
      </c>
      <c r="C98" s="15" t="s">
        <v>428</v>
      </c>
      <c r="D98" s="4" t="s">
        <v>537</v>
      </c>
      <c r="E98" s="15" t="s">
        <v>430</v>
      </c>
      <c r="F98" s="40">
        <v>6.75</v>
      </c>
      <c r="G98" s="40">
        <v>8.1</v>
      </c>
      <c r="H98" s="40">
        <v>9.9413</v>
      </c>
      <c r="I98" s="40">
        <v>10.282500000000001</v>
      </c>
      <c r="J98" s="40">
        <v>9.9075000000000006</v>
      </c>
      <c r="K98" s="40">
        <v>10.215</v>
      </c>
      <c r="L98" s="18" t="str">
        <f t="shared" si="20"/>
        <v>OK</v>
      </c>
      <c r="M98" s="26">
        <f t="shared" si="21"/>
        <v>1.3499999999999996</v>
      </c>
      <c r="N98" s="26">
        <f t="shared" si="22"/>
        <v>0.3243500000000008</v>
      </c>
      <c r="O98" s="26">
        <f t="shared" si="23"/>
        <v>0.437872500000001</v>
      </c>
      <c r="P98" s="26">
        <f>IF($U98=0,0,SUMPRODUCT((ABERTURAS!$N$7:$N$26=$U98)*ABERTURAS!$U$7:$U$26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Q98" s="26">
        <f>IF($U98=0,0,SUMPRODUCT((ABERTURAS!$N$7:$N$26=$U98)*ABERTURAS!$V$7:$V$26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R98" s="26">
        <f t="shared" si="24"/>
        <v>0.437872500000001</v>
      </c>
      <c r="S98" s="26">
        <f t="shared" si="25"/>
        <v>0.437872500000001</v>
      </c>
      <c r="T98" s="41">
        <f t="shared" si="26"/>
        <v>10.282500000000001</v>
      </c>
      <c r="U98" s="41">
        <f t="shared" si="27"/>
        <v>3</v>
      </c>
      <c r="V98" s="41">
        <f t="shared" si="28"/>
        <v>9.9244000000000003</v>
      </c>
      <c r="W98" s="41">
        <f t="shared" si="29"/>
        <v>10.248750000000001</v>
      </c>
      <c r="X98" s="41">
        <f t="shared" si="30"/>
        <v>6.75</v>
      </c>
      <c r="Y98" s="41">
        <f t="shared" si="31"/>
        <v>8.1</v>
      </c>
      <c r="Z98" s="41">
        <f t="shared" si="32"/>
        <v>9.9244000000000003</v>
      </c>
      <c r="AA98" s="41">
        <f t="shared" si="33"/>
        <v>10.248750000000001</v>
      </c>
      <c r="AB98" s="26">
        <f>IF($L98&lt;&gt;"OK",0,(INDEX(PRESIONES!$D$28:$D$31,$U98)*IF(INDEX(PRESIONES!$D$28:$D$31,$U98)&gt;0,PRESIONES!$C$9*IF($T98&lt;=10,1,($T98/10)^(2/DATOS!$C$56)),PRESIONES!$C$15)-ABERTURAS!$L$60*PRESIONES!$C$12)*$R98/$M98)</f>
        <v>20.473917276585464</v>
      </c>
      <c r="AC98" s="26">
        <f>IF($L98&lt;&gt;"OK",0,(INDEX(PRESIONES!$G$28:$G$31,$U98)*IF(INDEX(PRESIONES!$G$28:$G$31,$U98)&gt;0,PRESIONES!$C$9*IF($T98&lt;=10,1,($T98/10)^(2/DATOS!$C$56)),PRESIONES!$C$15)-ABERTURAS!$L$61*PRESIONES!$C$12)*$R98/$M98)</f>
        <v>0.13494552053933495</v>
      </c>
      <c r="AD98" s="26">
        <f>IF($L98&lt;&gt;"OK",0,(INDEX(PRESIONES!$J$28:$J$31,$U98)*IF(INDEX(PRESIONES!$J$28:$J$31,$U98)&gt;0,PRESIONES!$C$9*IF($T98&lt;=10,1,($T98/10)^(2/DATOS!$C$56)),PRESIONES!$C$15)-ABERTURAS!$L$62*PRESIONES!$C$12)*$R98/$M98)</f>
        <v>-1.3949453753528007</v>
      </c>
      <c r="AE98" s="26">
        <f>IF($L98&lt;&gt;"OK",0,(INDEX(PRESIONES!$M$28:$M$31,$U98)*IF(INDEX(PRESIONES!$M$28:$M$31,$U98)&gt;0,PRESIONES!$C$9*IF($T98&lt;=10,1,($T98/10)^(2/DATOS!$C$56)),PRESIONES!$C$15)-ABERTURAS!$L$63*PRESIONES!$C$12)*$R98/$M98)</f>
        <v>-22.777178280809061</v>
      </c>
      <c r="AF98" s="26">
        <f>IF($L98&lt;&gt;"OK",0,(INDEX(PRESIONES!$D$28:$D$31,$U98)*IF(INDEX(PRESIONES!$D$28:$D$31,$U98)&gt;0,PRESIONES!$C$9*IF($T98&lt;=10,1,($T98/10)^(2/DATOS!$C$56)),PRESIONES!$C$15)-ABERTURAS!$L$64*PRESIONES!$C$12)*$S98/$M98)</f>
        <v>20.473917276585464</v>
      </c>
      <c r="AG98" s="26">
        <f>IF($L98&lt;&gt;"OK",0,(INDEX(PRESIONES!$G$28:$G$31,$U98)*IF(INDEX(PRESIONES!$G$28:$G$31,$U98)&gt;0,PRESIONES!$C$9*IF($T98&lt;=10,1,($T98/10)^(2/DATOS!$C$56)),PRESIONES!$C$15)-ABERTURAS!$L$65*PRESIONES!$C$12)*$S98/$M98)</f>
        <v>0.13494552053933495</v>
      </c>
      <c r="AH98" s="26">
        <f>IF($L98&lt;&gt;"OK",0,(INDEX(PRESIONES!$J$28:$J$31,$U98)*IF(INDEX(PRESIONES!$J$28:$J$31,$U98)&gt;0,PRESIONES!$C$9*IF($T98&lt;=10,1,($T98/10)^(2/DATOS!$C$56)),PRESIONES!$C$15)-ABERTURAS!$L$66*PRESIONES!$C$12)*$S98/$M98)</f>
        <v>-1.3949453753528007</v>
      </c>
      <c r="AI98" s="26">
        <f>IF($L98&lt;&gt;"OK",0,(INDEX(PRESIONES!$M$28:$M$31,$U98)*IF(INDEX(PRESIONES!$M$28:$M$31,$U98)&gt;0,PRESIONES!$C$9*IF($T98&lt;=10,1,($T98/10)^(2/DATOS!$C$56)),PRESIONES!$C$15)-ABERTURAS!$L$67*PRESIONES!$C$12)*$S98/$M98)</f>
        <v>-22.777178280809061</v>
      </c>
    </row>
    <row r="99" spans="2:35" ht="16.5" customHeight="1" x14ac:dyDescent="0.3">
      <c r="B99" s="4" t="s">
        <v>538</v>
      </c>
      <c r="C99" s="15" t="s">
        <v>428</v>
      </c>
      <c r="D99" s="4" t="s">
        <v>539</v>
      </c>
      <c r="E99" s="15" t="s">
        <v>430</v>
      </c>
      <c r="F99" s="40">
        <v>8.1</v>
      </c>
      <c r="G99" s="40">
        <v>9.4499999999999993</v>
      </c>
      <c r="H99" s="40">
        <v>9.9075000000000006</v>
      </c>
      <c r="I99" s="40">
        <v>10.215</v>
      </c>
      <c r="J99" s="40">
        <v>9.8737999999999992</v>
      </c>
      <c r="K99" s="40">
        <v>10.147500000000001</v>
      </c>
      <c r="L99" s="18" t="str">
        <f t="shared" si="20"/>
        <v>OK</v>
      </c>
      <c r="M99" s="26">
        <f t="shared" si="21"/>
        <v>1.3499999999999996</v>
      </c>
      <c r="N99" s="26">
        <f t="shared" si="22"/>
        <v>0.29059999999999953</v>
      </c>
      <c r="O99" s="26">
        <f t="shared" si="23"/>
        <v>0.39230999999999927</v>
      </c>
      <c r="P99" s="26">
        <f>IF($U99=0,0,SUMPRODUCT((ABERTURAS!$N$7:$N$26=$U99)*ABERTURAS!$U$7:$U$26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Q99" s="26">
        <f>IF($U99=0,0,SUMPRODUCT((ABERTURAS!$N$7:$N$26=$U99)*ABERTURAS!$V$7:$V$26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R99" s="26">
        <f t="shared" si="24"/>
        <v>0.39230999999999927</v>
      </c>
      <c r="S99" s="26">
        <f t="shared" si="25"/>
        <v>0.39230999999999927</v>
      </c>
      <c r="T99" s="41">
        <f t="shared" si="26"/>
        <v>10.215</v>
      </c>
      <c r="U99" s="41">
        <f t="shared" si="27"/>
        <v>3</v>
      </c>
      <c r="V99" s="41">
        <f t="shared" si="28"/>
        <v>9.8906500000000008</v>
      </c>
      <c r="W99" s="41">
        <f t="shared" si="29"/>
        <v>10.18125</v>
      </c>
      <c r="X99" s="41">
        <f t="shared" si="30"/>
        <v>8.1</v>
      </c>
      <c r="Y99" s="41">
        <f t="shared" si="31"/>
        <v>9.4499999999999993</v>
      </c>
      <c r="Z99" s="41">
        <f t="shared" si="32"/>
        <v>9.8906500000000008</v>
      </c>
      <c r="AA99" s="41">
        <f t="shared" si="33"/>
        <v>10.18125</v>
      </c>
      <c r="AB99" s="26">
        <f>IF($L99&lt;&gt;"OK",0,(INDEX(PRESIONES!$D$28:$D$31,$U99)*IF(INDEX(PRESIONES!$D$28:$D$31,$U99)&gt;0,PRESIONES!$C$9*IF($T99&lt;=10,1,($T99/10)^(2/DATOS!$C$56)),PRESIONES!$C$15)-ABERTURAS!$L$60*PRESIONES!$C$12)*$R99/$M99)</f>
        <v>18.322372272582204</v>
      </c>
      <c r="AC99" s="26">
        <f>IF($L99&lt;&gt;"OK",0,(INDEX(PRESIONES!$G$28:$G$31,$U99)*IF(INDEX(PRESIONES!$G$28:$G$31,$U99)&gt;0,PRESIONES!$C$9*IF($T99&lt;=10,1,($T99/10)^(2/DATOS!$C$56)),PRESIONES!$C$15)-ABERTURAS!$L$61*PRESIONES!$C$12)*$R99/$M99)</f>
        <v>0.1209038639393574</v>
      </c>
      <c r="AD99" s="26">
        <f>IF($L99&lt;&gt;"OK",0,(INDEX(PRESIONES!$J$28:$J$31,$U99)*IF(INDEX(PRESIONES!$J$28:$J$31,$U99)&gt;0,PRESIONES!$C$9*IF($T99&lt;=10,1,($T99/10)^(2/DATOS!$C$56)),PRESIONES!$C$15)-ABERTURAS!$L$62*PRESIONES!$C$12)*$R99/$M99)</f>
        <v>-1.2497953632727676</v>
      </c>
      <c r="AE99" s="26">
        <f>IF($L99&lt;&gt;"OK",0,(INDEX(PRESIONES!$M$28:$M$31,$U99)*IF(INDEX(PRESIONES!$M$28:$M$31,$U99)&gt;0,PRESIONES!$C$9*IF($T99&lt;=10,1,($T99/10)^(2/DATOS!$C$56)),PRESIONES!$C$15)-ABERTURAS!$L$63*PRESIONES!$C$12)*$R99/$M99)</f>
        <v>-20.407115795909004</v>
      </c>
      <c r="AF99" s="26">
        <f>IF($L99&lt;&gt;"OK",0,(INDEX(PRESIONES!$D$28:$D$31,$U99)*IF(INDEX(PRESIONES!$D$28:$D$31,$U99)&gt;0,PRESIONES!$C$9*IF($T99&lt;=10,1,($T99/10)^(2/DATOS!$C$56)),PRESIONES!$C$15)-ABERTURAS!$L$64*PRESIONES!$C$12)*$S99/$M99)</f>
        <v>18.322372272582204</v>
      </c>
      <c r="AG99" s="26">
        <f>IF($L99&lt;&gt;"OK",0,(INDEX(PRESIONES!$G$28:$G$31,$U99)*IF(INDEX(PRESIONES!$G$28:$G$31,$U99)&gt;0,PRESIONES!$C$9*IF($T99&lt;=10,1,($T99/10)^(2/DATOS!$C$56)),PRESIONES!$C$15)-ABERTURAS!$L$65*PRESIONES!$C$12)*$S99/$M99)</f>
        <v>0.1209038639393574</v>
      </c>
      <c r="AH99" s="26">
        <f>IF($L99&lt;&gt;"OK",0,(INDEX(PRESIONES!$J$28:$J$31,$U99)*IF(INDEX(PRESIONES!$J$28:$J$31,$U99)&gt;0,PRESIONES!$C$9*IF($T99&lt;=10,1,($T99/10)^(2/DATOS!$C$56)),PRESIONES!$C$15)-ABERTURAS!$L$66*PRESIONES!$C$12)*$S99/$M99)</f>
        <v>-1.2497953632727676</v>
      </c>
      <c r="AI99" s="26">
        <f>IF($L99&lt;&gt;"OK",0,(INDEX(PRESIONES!$M$28:$M$31,$U99)*IF(INDEX(PRESIONES!$M$28:$M$31,$U99)&gt;0,PRESIONES!$C$9*IF($T99&lt;=10,1,($T99/10)^(2/DATOS!$C$56)),PRESIONES!$C$15)-ABERTURAS!$L$67*PRESIONES!$C$12)*$S99/$M99)</f>
        <v>-20.407115795909004</v>
      </c>
    </row>
    <row r="100" spans="2:35" ht="16.5" customHeight="1" x14ac:dyDescent="0.3">
      <c r="B100" s="4" t="s">
        <v>540</v>
      </c>
      <c r="C100" s="15" t="s">
        <v>428</v>
      </c>
      <c r="D100" s="4" t="s">
        <v>541</v>
      </c>
      <c r="E100" s="15" t="s">
        <v>430</v>
      </c>
      <c r="F100" s="40">
        <v>9.4499999999999993</v>
      </c>
      <c r="G100" s="40">
        <v>10.8</v>
      </c>
      <c r="H100" s="40">
        <v>9.8737999999999992</v>
      </c>
      <c r="I100" s="40">
        <v>10.147500000000001</v>
      </c>
      <c r="J100" s="40">
        <v>9.84</v>
      </c>
      <c r="K100" s="40">
        <v>10.08</v>
      </c>
      <c r="L100" s="18" t="str">
        <f t="shared" si="20"/>
        <v>OK</v>
      </c>
      <c r="M100" s="26">
        <f t="shared" si="21"/>
        <v>1.3500000000000014</v>
      </c>
      <c r="N100" s="26">
        <f t="shared" si="22"/>
        <v>0.25685000000000002</v>
      </c>
      <c r="O100" s="26">
        <f t="shared" si="23"/>
        <v>0.34674750000000037</v>
      </c>
      <c r="P100" s="26">
        <f>IF($U100=0,0,SUMPRODUCT((ABERTURAS!$N$7:$N$26=$U100)*ABERTURAS!$U$7:$U$26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Q100" s="26">
        <f>IF($U100=0,0,SUMPRODUCT((ABERTURAS!$N$7:$N$26=$U100)*ABERTURAS!$V$7:$V$26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R100" s="26">
        <f t="shared" si="24"/>
        <v>0.34674750000000037</v>
      </c>
      <c r="S100" s="26">
        <f t="shared" si="25"/>
        <v>0.34674750000000037</v>
      </c>
      <c r="T100" s="41">
        <f t="shared" si="26"/>
        <v>10.147500000000001</v>
      </c>
      <c r="U100" s="41">
        <f t="shared" si="27"/>
        <v>3</v>
      </c>
      <c r="V100" s="41">
        <f t="shared" si="28"/>
        <v>9.8568999999999996</v>
      </c>
      <c r="W100" s="41">
        <f t="shared" si="29"/>
        <v>10.11375</v>
      </c>
      <c r="X100" s="41">
        <f t="shared" si="30"/>
        <v>9.4499999999999993</v>
      </c>
      <c r="Y100" s="41">
        <f t="shared" si="31"/>
        <v>10.8</v>
      </c>
      <c r="Z100" s="41">
        <f t="shared" si="32"/>
        <v>9.8568999999999996</v>
      </c>
      <c r="AA100" s="41">
        <f t="shared" si="33"/>
        <v>10.11375</v>
      </c>
      <c r="AB100" s="26">
        <f>IF($L100&lt;&gt;"OK",0,(INDEX(PRESIONES!$D$28:$D$31,$U100)*IF(INDEX(PRESIONES!$D$28:$D$31,$U100)&gt;0,PRESIONES!$C$9*IF($T100&lt;=10,1,($T100/10)^(2/DATOS!$C$56)),PRESIONES!$C$15)-ABERTURAS!$L$60*PRESIONES!$C$12)*$R100/$M100)</f>
        <v>16.175650741171854</v>
      </c>
      <c r="AC100" s="26">
        <f>IF($L100&lt;&gt;"OK",0,(INDEX(PRESIONES!$G$28:$G$31,$U100)*IF(INDEX(PRESIONES!$G$28:$G$31,$U100)&gt;0,PRESIONES!$C$9*IF($T100&lt;=10,1,($T100/10)^(2/DATOS!$C$56)),PRESIONES!$C$15)-ABERTURAS!$L$61*PRESIONES!$C$12)*$R100/$M100)</f>
        <v>0.10686220733938059</v>
      </c>
      <c r="AD100" s="26">
        <f>IF($L100&lt;&gt;"OK",0,(INDEX(PRESIONES!$J$28:$J$31,$U100)*IF(INDEX(PRESIONES!$J$28:$J$31,$U100)&gt;0,PRESIONES!$C$9*IF($T100&lt;=10,1,($T100/10)^(2/DATOS!$C$56)),PRESIONES!$C$15)-ABERTURAS!$L$62*PRESIONES!$C$12)*$R100/$M100)</f>
        <v>-1.1046453511927421</v>
      </c>
      <c r="AE100" s="26">
        <f>IF($L100&lt;&gt;"OK",0,(INDEX(PRESIONES!$M$28:$M$31,$U100)*IF(INDEX(PRESIONES!$M$28:$M$31,$U100)&gt;0,PRESIONES!$C$9*IF($T100&lt;=10,1,($T100/10)^(2/DATOS!$C$56)),PRESIONES!$C$15)-ABERTURAS!$L$63*PRESIONES!$C$12)*$R100/$M100)</f>
        <v>-18.037053311009071</v>
      </c>
      <c r="AF100" s="26">
        <f>IF($L100&lt;&gt;"OK",0,(INDEX(PRESIONES!$D$28:$D$31,$U100)*IF(INDEX(PRESIONES!$D$28:$D$31,$U100)&gt;0,PRESIONES!$C$9*IF($T100&lt;=10,1,($T100/10)^(2/DATOS!$C$56)),PRESIONES!$C$15)-ABERTURAS!$L$64*PRESIONES!$C$12)*$S100/$M100)</f>
        <v>16.175650741171854</v>
      </c>
      <c r="AG100" s="26">
        <f>IF($L100&lt;&gt;"OK",0,(INDEX(PRESIONES!$G$28:$G$31,$U100)*IF(INDEX(PRESIONES!$G$28:$G$31,$U100)&gt;0,PRESIONES!$C$9*IF($T100&lt;=10,1,($T100/10)^(2/DATOS!$C$56)),PRESIONES!$C$15)-ABERTURAS!$L$65*PRESIONES!$C$12)*$S100/$M100)</f>
        <v>0.10686220733938059</v>
      </c>
      <c r="AH100" s="26">
        <f>IF($L100&lt;&gt;"OK",0,(INDEX(PRESIONES!$J$28:$J$31,$U100)*IF(INDEX(PRESIONES!$J$28:$J$31,$U100)&gt;0,PRESIONES!$C$9*IF($T100&lt;=10,1,($T100/10)^(2/DATOS!$C$56)),PRESIONES!$C$15)-ABERTURAS!$L$66*PRESIONES!$C$12)*$S100/$M100)</f>
        <v>-1.1046453511927421</v>
      </c>
      <c r="AI100" s="26">
        <f>IF($L100&lt;&gt;"OK",0,(INDEX(PRESIONES!$M$28:$M$31,$U100)*IF(INDEX(PRESIONES!$M$28:$M$31,$U100)&gt;0,PRESIONES!$C$9*IF($T100&lt;=10,1,($T100/10)^(2/DATOS!$C$56)),PRESIONES!$C$15)-ABERTURAS!$L$67*PRESIONES!$C$12)*$S100/$M100)</f>
        <v>-18.037053311009071</v>
      </c>
    </row>
    <row r="101" spans="2:35" ht="16.5" customHeight="1" x14ac:dyDescent="0.3">
      <c r="B101" s="4" t="s">
        <v>542</v>
      </c>
      <c r="C101" s="15" t="s">
        <v>428</v>
      </c>
      <c r="D101" s="4" t="s">
        <v>543</v>
      </c>
      <c r="E101" s="15" t="s">
        <v>430</v>
      </c>
      <c r="F101" s="40">
        <v>10.8</v>
      </c>
      <c r="G101" s="40">
        <v>12.15</v>
      </c>
      <c r="H101" s="40">
        <v>9.84</v>
      </c>
      <c r="I101" s="40">
        <v>10.08</v>
      </c>
      <c r="J101" s="40">
        <v>9.8063000000000002</v>
      </c>
      <c r="K101" s="40">
        <v>10.012499999999999</v>
      </c>
      <c r="L101" s="18" t="str">
        <f t="shared" si="20"/>
        <v>OK</v>
      </c>
      <c r="M101" s="26">
        <f t="shared" si="21"/>
        <v>1.3499999999999996</v>
      </c>
      <c r="N101" s="26">
        <f t="shared" si="22"/>
        <v>0.22310000000000052</v>
      </c>
      <c r="O101" s="26">
        <f t="shared" si="23"/>
        <v>0.30118500000000065</v>
      </c>
      <c r="P101" s="26">
        <f>IF($U101=0,0,SUMPRODUCT((ABERTURAS!$N$7:$N$26=$U101)*ABERTURAS!$U$7:$U$26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Q101" s="26">
        <f>IF($U101=0,0,SUMPRODUCT((ABERTURAS!$N$7:$N$26=$U101)*ABERTURAS!$V$7:$V$26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R101" s="26">
        <f t="shared" si="24"/>
        <v>0.30118500000000065</v>
      </c>
      <c r="S101" s="26">
        <f t="shared" si="25"/>
        <v>0.30118500000000065</v>
      </c>
      <c r="T101" s="41">
        <f t="shared" si="26"/>
        <v>10.08</v>
      </c>
      <c r="U101" s="41">
        <f t="shared" si="27"/>
        <v>3</v>
      </c>
      <c r="V101" s="41">
        <f t="shared" si="28"/>
        <v>9.82315</v>
      </c>
      <c r="W101" s="41">
        <f t="shared" si="29"/>
        <v>10.046250000000001</v>
      </c>
      <c r="X101" s="41">
        <f t="shared" si="30"/>
        <v>10.8</v>
      </c>
      <c r="Y101" s="41">
        <f t="shared" si="31"/>
        <v>12.15</v>
      </c>
      <c r="Z101" s="41">
        <f t="shared" si="32"/>
        <v>9.82315</v>
      </c>
      <c r="AA101" s="41">
        <f t="shared" si="33"/>
        <v>10.046250000000001</v>
      </c>
      <c r="AB101" s="26">
        <f>IF($L101&lt;&gt;"OK",0,(INDEX(PRESIONES!$D$28:$D$31,$U101)*IF(INDEX(PRESIONES!$D$28:$D$31,$U101)&gt;0,PRESIONES!$C$9*IF($T101&lt;=10,1,($T101/10)^(2/DATOS!$C$56)),PRESIONES!$C$15)-ABERTURAS!$L$60*PRESIONES!$C$12)*$R101/$M101)</f>
        <v>14.033786662819532</v>
      </c>
      <c r="AC101" s="26">
        <f>IF($L101&lt;&gt;"OK",0,(INDEX(PRESIONES!$G$28:$G$31,$U101)*IF(INDEX(PRESIONES!$G$28:$G$31,$U101)&gt;0,PRESIONES!$C$9*IF($T101&lt;=10,1,($T101/10)^(2/DATOS!$C$56)),PRESIONES!$C$15)-ABERTURAS!$L$61*PRESIONES!$C$12)*$R101/$M101)</f>
        <v>9.2820550739403804E-2</v>
      </c>
      <c r="AD101" s="26">
        <f>IF($L101&lt;&gt;"OK",0,(INDEX(PRESIONES!$J$28:$J$31,$U101)*IF(INDEX(PRESIONES!$J$28:$J$31,$U101)&gt;0,PRESIONES!$C$9*IF($T101&lt;=10,1,($T101/10)^(2/DATOS!$C$56)),PRESIONES!$C$15)-ABERTURAS!$L$62*PRESIONES!$C$12)*$R101/$M101)</f>
        <v>-0.95949533911271712</v>
      </c>
      <c r="AE101" s="26">
        <f>IF($L101&lt;&gt;"OK",0,(INDEX(PRESIONES!$M$28:$M$31,$U101)*IF(INDEX(PRESIONES!$M$28:$M$31,$U101)&gt;0,PRESIONES!$C$9*IF($T101&lt;=10,1,($T101/10)^(2/DATOS!$C$56)),PRESIONES!$C$15)-ABERTURAS!$L$63*PRESIONES!$C$12)*$R101/$M101)</f>
        <v>-15.666990826109144</v>
      </c>
      <c r="AF101" s="26">
        <f>IF($L101&lt;&gt;"OK",0,(INDEX(PRESIONES!$D$28:$D$31,$U101)*IF(INDEX(PRESIONES!$D$28:$D$31,$U101)&gt;0,PRESIONES!$C$9*IF($T101&lt;=10,1,($T101/10)^(2/DATOS!$C$56)),PRESIONES!$C$15)-ABERTURAS!$L$64*PRESIONES!$C$12)*$S101/$M101)</f>
        <v>14.033786662819532</v>
      </c>
      <c r="AG101" s="26">
        <f>IF($L101&lt;&gt;"OK",0,(INDEX(PRESIONES!$G$28:$G$31,$U101)*IF(INDEX(PRESIONES!$G$28:$G$31,$U101)&gt;0,PRESIONES!$C$9*IF($T101&lt;=10,1,($T101/10)^(2/DATOS!$C$56)),PRESIONES!$C$15)-ABERTURAS!$L$65*PRESIONES!$C$12)*$S101/$M101)</f>
        <v>9.2820550739403804E-2</v>
      </c>
      <c r="AH101" s="26">
        <f>IF($L101&lt;&gt;"OK",0,(INDEX(PRESIONES!$J$28:$J$31,$U101)*IF(INDEX(PRESIONES!$J$28:$J$31,$U101)&gt;0,PRESIONES!$C$9*IF($T101&lt;=10,1,($T101/10)^(2/DATOS!$C$56)),PRESIONES!$C$15)-ABERTURAS!$L$66*PRESIONES!$C$12)*$S101/$M101)</f>
        <v>-0.95949533911271712</v>
      </c>
      <c r="AI101" s="26">
        <f>IF($L101&lt;&gt;"OK",0,(INDEX(PRESIONES!$M$28:$M$31,$U101)*IF(INDEX(PRESIONES!$M$28:$M$31,$U101)&gt;0,PRESIONES!$C$9*IF($T101&lt;=10,1,($T101/10)^(2/DATOS!$C$56)),PRESIONES!$C$15)-ABERTURAS!$L$67*PRESIONES!$C$12)*$S101/$M101)</f>
        <v>-15.666990826109144</v>
      </c>
    </row>
    <row r="102" spans="2:35" ht="16.5" customHeight="1" x14ac:dyDescent="0.3">
      <c r="B102" s="4" t="s">
        <v>544</v>
      </c>
      <c r="C102" s="15" t="s">
        <v>428</v>
      </c>
      <c r="D102" s="4" t="s">
        <v>545</v>
      </c>
      <c r="E102" s="15" t="s">
        <v>430</v>
      </c>
      <c r="F102" s="40">
        <v>12.15</v>
      </c>
      <c r="G102" s="40">
        <v>13.5</v>
      </c>
      <c r="H102" s="40">
        <v>9.8063000000000002</v>
      </c>
      <c r="I102" s="40">
        <v>10.012499999999999</v>
      </c>
      <c r="J102" s="40">
        <v>9.7725000000000009</v>
      </c>
      <c r="K102" s="40">
        <v>9.9450000000000003</v>
      </c>
      <c r="L102" s="18" t="str">
        <f t="shared" si="20"/>
        <v>OK</v>
      </c>
      <c r="M102" s="26">
        <f t="shared" si="21"/>
        <v>1.3499999999999996</v>
      </c>
      <c r="N102" s="26">
        <f t="shared" si="22"/>
        <v>0.18934999999999924</v>
      </c>
      <c r="O102" s="26">
        <f t="shared" si="23"/>
        <v>0.25562249999999892</v>
      </c>
      <c r="P102" s="26">
        <f>IF($U102=0,0,SUMPRODUCT((ABERTURAS!$N$7:$N$26=$U102)*ABERTURAS!$U$7:$U$26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Q102" s="26">
        <f>IF($U102=0,0,SUMPRODUCT((ABERTURAS!$N$7:$N$26=$U102)*ABERTURAS!$V$7:$V$26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R102" s="26">
        <f t="shared" si="24"/>
        <v>0.25562249999999892</v>
      </c>
      <c r="S102" s="26">
        <f t="shared" si="25"/>
        <v>0.25562249999999892</v>
      </c>
      <c r="T102" s="41">
        <f t="shared" si="26"/>
        <v>10.012499999999999</v>
      </c>
      <c r="U102" s="41">
        <f t="shared" si="27"/>
        <v>3</v>
      </c>
      <c r="V102" s="41">
        <f t="shared" si="28"/>
        <v>9.7894000000000005</v>
      </c>
      <c r="W102" s="41">
        <f t="shared" si="29"/>
        <v>9.9787499999999998</v>
      </c>
      <c r="X102" s="41">
        <f t="shared" si="30"/>
        <v>12.15</v>
      </c>
      <c r="Y102" s="41">
        <f t="shared" si="31"/>
        <v>13.5</v>
      </c>
      <c r="Z102" s="41">
        <f t="shared" si="32"/>
        <v>9.7894000000000005</v>
      </c>
      <c r="AA102" s="41">
        <f t="shared" si="33"/>
        <v>9.9787499999999998</v>
      </c>
      <c r="AB102" s="26">
        <f>IF($L102&lt;&gt;"OK",0,(INDEX(PRESIONES!$D$28:$D$31,$U102)*IF(INDEX(PRESIONES!$D$28:$D$31,$U102)&gt;0,PRESIONES!$C$9*IF($T102&lt;=10,1,($T102/10)^(2/DATOS!$C$56)),PRESIONES!$C$15)-ABERTURAS!$L$60*PRESIONES!$C$12)*$R102/$M102)</f>
        <v>11.896814535681026</v>
      </c>
      <c r="AC102" s="26">
        <f>IF($L102&lt;&gt;"OK",0,(INDEX(PRESIONES!$G$28:$G$31,$U102)*IF(INDEX(PRESIONES!$G$28:$G$31,$U102)&gt;0,PRESIONES!$C$9*IF($T102&lt;=10,1,($T102/10)^(2/DATOS!$C$56)),PRESIONES!$C$15)-ABERTURAS!$L$61*PRESIONES!$C$12)*$R102/$M102)</f>
        <v>7.877889413942625E-2</v>
      </c>
      <c r="AD102" s="26">
        <f>IF($L102&lt;&gt;"OK",0,(INDEX(PRESIONES!$J$28:$J$31,$U102)*IF(INDEX(PRESIONES!$J$28:$J$31,$U102)&gt;0,PRESIONES!$C$9*IF($T102&lt;=10,1,($T102/10)^(2/DATOS!$C$56)),PRESIONES!$C$15)-ABERTURAS!$L$62*PRESIONES!$C$12)*$R102/$M102)</f>
        <v>-0.81434532703268414</v>
      </c>
      <c r="AE102" s="26">
        <f>IF($L102&lt;&gt;"OK",0,(INDEX(PRESIONES!$M$28:$M$31,$U102)*IF(INDEX(PRESIONES!$M$28:$M$31,$U102)&gt;0,PRESIONES!$C$9*IF($T102&lt;=10,1,($T102/10)^(2/DATOS!$C$56)),PRESIONES!$C$15)-ABERTURAS!$L$63*PRESIONES!$C$12)*$R102/$M102)</f>
        <v>-13.296928341209085</v>
      </c>
      <c r="AF102" s="26">
        <f>IF($L102&lt;&gt;"OK",0,(INDEX(PRESIONES!$D$28:$D$31,$U102)*IF(INDEX(PRESIONES!$D$28:$D$31,$U102)&gt;0,PRESIONES!$C$9*IF($T102&lt;=10,1,($T102/10)^(2/DATOS!$C$56)),PRESIONES!$C$15)-ABERTURAS!$L$64*PRESIONES!$C$12)*$S102/$M102)</f>
        <v>11.896814535681026</v>
      </c>
      <c r="AG102" s="26">
        <f>IF($L102&lt;&gt;"OK",0,(INDEX(PRESIONES!$G$28:$G$31,$U102)*IF(INDEX(PRESIONES!$G$28:$G$31,$U102)&gt;0,PRESIONES!$C$9*IF($T102&lt;=10,1,($T102/10)^(2/DATOS!$C$56)),PRESIONES!$C$15)-ABERTURAS!$L$65*PRESIONES!$C$12)*$S102/$M102)</f>
        <v>7.877889413942625E-2</v>
      </c>
      <c r="AH102" s="26">
        <f>IF($L102&lt;&gt;"OK",0,(INDEX(PRESIONES!$J$28:$J$31,$U102)*IF(INDEX(PRESIONES!$J$28:$J$31,$U102)&gt;0,PRESIONES!$C$9*IF($T102&lt;=10,1,($T102/10)^(2/DATOS!$C$56)),PRESIONES!$C$15)-ABERTURAS!$L$66*PRESIONES!$C$12)*$S102/$M102)</f>
        <v>-0.81434532703268414</v>
      </c>
      <c r="AI102" s="26">
        <f>IF($L102&lt;&gt;"OK",0,(INDEX(PRESIONES!$M$28:$M$31,$U102)*IF(INDEX(PRESIONES!$M$28:$M$31,$U102)&gt;0,PRESIONES!$C$9*IF($T102&lt;=10,1,($T102/10)^(2/DATOS!$C$56)),PRESIONES!$C$15)-ABERTURAS!$L$67*PRESIONES!$C$12)*$S102/$M102)</f>
        <v>-13.296928341209085</v>
      </c>
    </row>
    <row r="103" spans="2:35" ht="16.5" customHeight="1" x14ac:dyDescent="0.3">
      <c r="B103" s="4" t="s">
        <v>546</v>
      </c>
      <c r="C103" s="15" t="s">
        <v>428</v>
      </c>
      <c r="D103" s="4" t="s">
        <v>547</v>
      </c>
      <c r="E103" s="15" t="s">
        <v>430</v>
      </c>
      <c r="F103" s="40">
        <v>13.5</v>
      </c>
      <c r="G103" s="40">
        <v>14.75</v>
      </c>
      <c r="H103" s="40">
        <v>9.7725000000000009</v>
      </c>
      <c r="I103" s="40">
        <v>9.9450000000000003</v>
      </c>
      <c r="J103" s="40">
        <v>9.7413000000000007</v>
      </c>
      <c r="K103" s="40">
        <v>9.8825000000000003</v>
      </c>
      <c r="L103" s="18" t="str">
        <f t="shared" si="20"/>
        <v>OK</v>
      </c>
      <c r="M103" s="26">
        <f t="shared" si="21"/>
        <v>1.25</v>
      </c>
      <c r="N103" s="26">
        <f t="shared" si="22"/>
        <v>0.1568499999999986</v>
      </c>
      <c r="O103" s="26">
        <f t="shared" si="23"/>
        <v>0.19606249999999825</v>
      </c>
      <c r="P103" s="26">
        <f>IF($U103=0,0,SUMPRODUCT((ABERTURAS!$N$7:$N$26=$U103)*ABERTURAS!$U$7:$U$26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Q103" s="26">
        <f>IF($U103=0,0,SUMPRODUCT((ABERTURAS!$N$7:$N$26=$U103)*ABERTURAS!$V$7:$V$26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R103" s="26">
        <f t="shared" si="24"/>
        <v>0.19606249999999825</v>
      </c>
      <c r="S103" s="26">
        <f t="shared" si="25"/>
        <v>0.19606249999999825</v>
      </c>
      <c r="T103" s="41">
        <f t="shared" si="26"/>
        <v>9.9450000000000003</v>
      </c>
      <c r="U103" s="41">
        <f t="shared" si="27"/>
        <v>3</v>
      </c>
      <c r="V103" s="41">
        <f t="shared" si="28"/>
        <v>9.7569000000000017</v>
      </c>
      <c r="W103" s="41">
        <f t="shared" si="29"/>
        <v>9.9137500000000003</v>
      </c>
      <c r="X103" s="41">
        <f t="shared" si="30"/>
        <v>13.5</v>
      </c>
      <c r="Y103" s="41">
        <f t="shared" si="31"/>
        <v>14.75</v>
      </c>
      <c r="Z103" s="41">
        <f t="shared" si="32"/>
        <v>9.7569000000000017</v>
      </c>
      <c r="AA103" s="41">
        <f t="shared" si="33"/>
        <v>9.9137500000000003</v>
      </c>
      <c r="AB103" s="26">
        <f>IF($L103&lt;&gt;"OK",0,(INDEX(PRESIONES!$D$28:$D$31,$U103)*IF(INDEX(PRESIONES!$D$28:$D$31,$U103)&gt;0,PRESIONES!$C$9*IF($T103&lt;=10,1,($T103/10)^(2/DATOS!$C$56)),PRESIONES!$C$15)-ABERTURAS!$L$60*PRESIONES!$C$12)*$R103/$M103)</f>
        <v>9.8526972988949169</v>
      </c>
      <c r="AC103" s="26">
        <f>IF($L103&lt;&gt;"OK",0,(INDEX(PRESIONES!$G$28:$G$31,$U103)*IF(INDEX(PRESIONES!$G$28:$G$31,$U103)&gt;0,PRESIONES!$C$9*IF($T103&lt;=10,1,($T103/10)^(2/DATOS!$C$56)),PRESIONES!$C$15)-ABERTURAS!$L$61*PRESIONES!$C$12)*$R103/$M103)</f>
        <v>6.5257298895003674E-2</v>
      </c>
      <c r="AD103" s="26">
        <f>IF($L103&lt;&gt;"OK",0,(INDEX(PRESIONES!$J$28:$J$31,$U103)*IF(INDEX(PRESIONES!$J$28:$J$31,$U103)&gt;0,PRESIONES!$C$9*IF($T103&lt;=10,1,($T103/10)^(2/DATOS!$C$56)),PRESIONES!$C$15)-ABERTURAS!$L$62*PRESIONES!$C$12)*$R103/$M103)</f>
        <v>-0.67457124132598822</v>
      </c>
      <c r="AE103" s="26">
        <f>IF($L103&lt;&gt;"OK",0,(INDEX(PRESIONES!$M$28:$M$31,$U103)*IF(INDEX(PRESIONES!$M$28:$M$31,$U103)&gt;0,PRESIONES!$C$9*IF($T103&lt;=10,1,($T103/10)^(2/DATOS!$C$56)),PRESIONES!$C$15)-ABERTURAS!$L$63*PRESIONES!$C$12)*$R103/$M103)</f>
        <v>-11.014645948342409</v>
      </c>
      <c r="AF103" s="26">
        <f>IF($L103&lt;&gt;"OK",0,(INDEX(PRESIONES!$D$28:$D$31,$U103)*IF(INDEX(PRESIONES!$D$28:$D$31,$U103)&gt;0,PRESIONES!$C$9*IF($T103&lt;=10,1,($T103/10)^(2/DATOS!$C$56)),PRESIONES!$C$15)-ABERTURAS!$L$64*PRESIONES!$C$12)*$S103/$M103)</f>
        <v>9.8526972988949169</v>
      </c>
      <c r="AG103" s="26">
        <f>IF($L103&lt;&gt;"OK",0,(INDEX(PRESIONES!$G$28:$G$31,$U103)*IF(INDEX(PRESIONES!$G$28:$G$31,$U103)&gt;0,PRESIONES!$C$9*IF($T103&lt;=10,1,($T103/10)^(2/DATOS!$C$56)),PRESIONES!$C$15)-ABERTURAS!$L$65*PRESIONES!$C$12)*$S103/$M103)</f>
        <v>6.5257298895003674E-2</v>
      </c>
      <c r="AH103" s="26">
        <f>IF($L103&lt;&gt;"OK",0,(INDEX(PRESIONES!$J$28:$J$31,$U103)*IF(INDEX(PRESIONES!$J$28:$J$31,$U103)&gt;0,PRESIONES!$C$9*IF($T103&lt;=10,1,($T103/10)^(2/DATOS!$C$56)),PRESIONES!$C$15)-ABERTURAS!$L$66*PRESIONES!$C$12)*$S103/$M103)</f>
        <v>-0.67457124132598822</v>
      </c>
      <c r="AI103" s="26">
        <f>IF($L103&lt;&gt;"OK",0,(INDEX(PRESIONES!$M$28:$M$31,$U103)*IF(INDEX(PRESIONES!$M$28:$M$31,$U103)&gt;0,PRESIONES!$C$9*IF($T103&lt;=10,1,($T103/10)^(2/DATOS!$C$56)),PRESIONES!$C$15)-ABERTURAS!$L$67*PRESIONES!$C$12)*$S103/$M103)</f>
        <v>-11.014645948342409</v>
      </c>
    </row>
    <row r="104" spans="2:35" ht="16.5" customHeight="1" x14ac:dyDescent="0.3">
      <c r="B104" s="4" t="s">
        <v>548</v>
      </c>
      <c r="C104" s="15" t="s">
        <v>428</v>
      </c>
      <c r="D104" s="4" t="s">
        <v>549</v>
      </c>
      <c r="E104" s="15" t="s">
        <v>430</v>
      </c>
      <c r="F104" s="40">
        <v>14.75</v>
      </c>
      <c r="G104" s="40">
        <v>16</v>
      </c>
      <c r="H104" s="40">
        <v>9.7413000000000007</v>
      </c>
      <c r="I104" s="40">
        <v>9.8825000000000003</v>
      </c>
      <c r="J104" s="40">
        <v>9.7100000000000009</v>
      </c>
      <c r="K104" s="40">
        <v>9.82</v>
      </c>
      <c r="L104" s="18" t="str">
        <f t="shared" si="20"/>
        <v>OK</v>
      </c>
      <c r="M104" s="26">
        <f t="shared" si="21"/>
        <v>1.25</v>
      </c>
      <c r="N104" s="26">
        <f t="shared" si="22"/>
        <v>0.1255999999999986</v>
      </c>
      <c r="O104" s="26">
        <f t="shared" si="23"/>
        <v>0.15699999999999825</v>
      </c>
      <c r="P104" s="26">
        <f>IF($U104=0,0,SUMPRODUCT((ABERTURAS!$N$7:$N$26=$U104)*ABERTURAS!$U$7:$U$26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Q104" s="26">
        <f>IF($U104=0,0,SUMPRODUCT((ABERTURAS!$N$7:$N$26=$U104)*ABERTURAS!$V$7:$V$26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R104" s="26">
        <f t="shared" si="24"/>
        <v>0.15699999999999825</v>
      </c>
      <c r="S104" s="26">
        <f t="shared" si="25"/>
        <v>0.15699999999999825</v>
      </c>
      <c r="T104" s="41">
        <f t="shared" si="26"/>
        <v>9.8825000000000003</v>
      </c>
      <c r="U104" s="41">
        <f t="shared" si="27"/>
        <v>3</v>
      </c>
      <c r="V104" s="41">
        <f t="shared" si="28"/>
        <v>9.7256500000000017</v>
      </c>
      <c r="W104" s="41">
        <f t="shared" si="29"/>
        <v>9.8512500000000003</v>
      </c>
      <c r="X104" s="41">
        <f t="shared" si="30"/>
        <v>14.75</v>
      </c>
      <c r="Y104" s="41">
        <f t="shared" si="31"/>
        <v>16</v>
      </c>
      <c r="Z104" s="41">
        <f t="shared" si="32"/>
        <v>9.7256500000000017</v>
      </c>
      <c r="AA104" s="41">
        <f t="shared" si="33"/>
        <v>9.8512500000000003</v>
      </c>
      <c r="AB104" s="26">
        <f>IF($L104&lt;&gt;"OK",0,(INDEX(PRESIONES!$D$28:$D$31,$U104)*IF(INDEX(PRESIONES!$D$28:$D$31,$U104)&gt;0,PRESIONES!$C$9*IF($T104&lt;=10,1,($T104/10)^(2/DATOS!$C$56)),PRESIONES!$C$15)-ABERTURAS!$L$60*PRESIONES!$C$12)*$R104/$M104)</f>
        <v>7.8896957650060502</v>
      </c>
      <c r="AC104" s="26">
        <f>IF($L104&lt;&gt;"OK",0,(INDEX(PRESIONES!$G$28:$G$31,$U104)*IF(INDEX(PRESIONES!$G$28:$G$31,$U104)&gt;0,PRESIONES!$C$9*IF($T104&lt;=10,1,($T104/10)^(2/DATOS!$C$56)),PRESIONES!$C$15)-ABERTURAS!$L$61*PRESIONES!$C$12)*$R104/$M104)</f>
        <v>5.225576500613608E-2</v>
      </c>
      <c r="AD104" s="26">
        <f>IF($L104&lt;&gt;"OK",0,(INDEX(PRESIONES!$J$28:$J$31,$U104)*IF(INDEX(PRESIONES!$J$28:$J$31,$U104)&gt;0,PRESIONES!$C$9*IF($T104&lt;=10,1,($T104/10)^(2/DATOS!$C$56)),PRESIONES!$C$15)-ABERTURAS!$L$62*PRESIONES!$C$12)*$R104/$M104)</f>
        <v>-0.54017308199262948</v>
      </c>
      <c r="AE104" s="26">
        <f>IF($L104&lt;&gt;"OK",0,(INDEX(PRESIONES!$M$28:$M$31,$U104)*IF(INDEX(PRESIONES!$M$28:$M$31,$U104)&gt;0,PRESIONES!$C$9*IF($T104&lt;=10,1,($T104/10)^(2/DATOS!$C$56)),PRESIONES!$C$15)-ABERTURAS!$L$63*PRESIONES!$C$12)*$R104/$M104)</f>
        <v>-8.8201436475091075</v>
      </c>
      <c r="AF104" s="26">
        <f>IF($L104&lt;&gt;"OK",0,(INDEX(PRESIONES!$D$28:$D$31,$U104)*IF(INDEX(PRESIONES!$D$28:$D$31,$U104)&gt;0,PRESIONES!$C$9*IF($T104&lt;=10,1,($T104/10)^(2/DATOS!$C$56)),PRESIONES!$C$15)-ABERTURAS!$L$64*PRESIONES!$C$12)*$S104/$M104)</f>
        <v>7.8896957650060502</v>
      </c>
      <c r="AG104" s="26">
        <f>IF($L104&lt;&gt;"OK",0,(INDEX(PRESIONES!$G$28:$G$31,$U104)*IF(INDEX(PRESIONES!$G$28:$G$31,$U104)&gt;0,PRESIONES!$C$9*IF($T104&lt;=10,1,($T104/10)^(2/DATOS!$C$56)),PRESIONES!$C$15)-ABERTURAS!$L$65*PRESIONES!$C$12)*$S104/$M104)</f>
        <v>5.225576500613608E-2</v>
      </c>
      <c r="AH104" s="26">
        <f>IF($L104&lt;&gt;"OK",0,(INDEX(PRESIONES!$J$28:$J$31,$U104)*IF(INDEX(PRESIONES!$J$28:$J$31,$U104)&gt;0,PRESIONES!$C$9*IF($T104&lt;=10,1,($T104/10)^(2/DATOS!$C$56)),PRESIONES!$C$15)-ABERTURAS!$L$66*PRESIONES!$C$12)*$S104/$M104)</f>
        <v>-0.54017308199262948</v>
      </c>
      <c r="AI104" s="26">
        <f>IF($L104&lt;&gt;"OK",0,(INDEX(PRESIONES!$M$28:$M$31,$U104)*IF(INDEX(PRESIONES!$M$28:$M$31,$U104)&gt;0,PRESIONES!$C$9*IF($T104&lt;=10,1,($T104/10)^(2/DATOS!$C$56)),PRESIONES!$C$15)-ABERTURAS!$L$67*PRESIONES!$C$12)*$S104/$M104)</f>
        <v>-8.8201436475091075</v>
      </c>
    </row>
    <row r="105" spans="2:35" ht="16.5" customHeight="1" x14ac:dyDescent="0.3">
      <c r="B105" s="4" t="s">
        <v>550</v>
      </c>
      <c r="C105" s="15" t="s">
        <v>478</v>
      </c>
      <c r="D105" s="4" t="s">
        <v>551</v>
      </c>
      <c r="E105" s="15" t="s">
        <v>430</v>
      </c>
      <c r="F105" s="40">
        <v>0</v>
      </c>
      <c r="G105" s="40">
        <v>1.35</v>
      </c>
      <c r="H105" s="40">
        <v>10.11</v>
      </c>
      <c r="I105" s="40">
        <v>10.62</v>
      </c>
      <c r="J105" s="40">
        <v>10.0763</v>
      </c>
      <c r="K105" s="40">
        <v>10.5525</v>
      </c>
      <c r="L105" s="18" t="str">
        <f t="shared" si="20"/>
        <v>OK</v>
      </c>
      <c r="M105" s="26">
        <f t="shared" si="21"/>
        <v>1.35</v>
      </c>
      <c r="N105" s="26">
        <f t="shared" si="22"/>
        <v>0.49310000000000009</v>
      </c>
      <c r="O105" s="26">
        <f t="shared" si="23"/>
        <v>0.66568500000000019</v>
      </c>
      <c r="P105" s="26">
        <f>IF($U105=0,0,SUMPRODUCT((ABERTURAS!$N$7:$N$26=$U105)*ABERTURAS!$U$7:$U$26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Q105" s="26">
        <f>IF($U105=0,0,SUMPRODUCT((ABERTURAS!$N$7:$N$26=$U105)*ABERTURAS!$V$7:$V$26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R105" s="26">
        <f t="shared" si="24"/>
        <v>0.66568500000000019</v>
      </c>
      <c r="S105" s="26">
        <f t="shared" si="25"/>
        <v>0.66568500000000019</v>
      </c>
      <c r="T105" s="41">
        <f t="shared" si="26"/>
        <v>10.62</v>
      </c>
      <c r="U105" s="41">
        <f t="shared" si="27"/>
        <v>4</v>
      </c>
      <c r="V105" s="41">
        <f t="shared" si="28"/>
        <v>10.09315</v>
      </c>
      <c r="W105" s="41">
        <f t="shared" si="29"/>
        <v>10.58625</v>
      </c>
      <c r="X105" s="41">
        <f t="shared" si="30"/>
        <v>0</v>
      </c>
      <c r="Y105" s="41">
        <f t="shared" si="31"/>
        <v>1.35</v>
      </c>
      <c r="Z105" s="41">
        <f t="shared" si="32"/>
        <v>10.09315</v>
      </c>
      <c r="AA105" s="41">
        <f t="shared" si="33"/>
        <v>10.58625</v>
      </c>
      <c r="AB105" s="26">
        <f>IF($L105&lt;&gt;"OK",0,(INDEX(PRESIONES!$D$28:$D$31,$U105)*IF(INDEX(PRESIONES!$D$28:$D$31,$U105)&gt;0,PRESIONES!$C$9*IF($T105&lt;=10,1,($T105/10)^(2/DATOS!$C$56)),PRESIONES!$C$15)-ABERTURAS!$L$60*PRESIONES!$C$12)*$R105/$M105)</f>
        <v>0.20515380353921969</v>
      </c>
      <c r="AC105" s="26">
        <f>IF($L105&lt;&gt;"OK",0,(INDEX(PRESIONES!$G$28:$G$31,$U105)*IF(INDEX(PRESIONES!$G$28:$G$31,$U105)&gt;0,PRESIONES!$C$9*IF($T105&lt;=10,1,($T105/10)^(2/DATOS!$C$56)),PRESIONES!$C$15)-ABERTURAS!$L$61*PRESIONES!$C$12)*$R105/$M105)</f>
        <v>31.30283988920198</v>
      </c>
      <c r="AD105" s="26">
        <f>IF($L105&lt;&gt;"OK",0,(INDEX(PRESIONES!$J$28:$J$31,$U105)*IF(INDEX(PRESIONES!$J$28:$J$31,$U105)&gt;0,PRESIONES!$C$9*IF($T105&lt;=10,1,($T105/10)^(2/DATOS!$C$56)),PRESIONES!$C$15)-ABERTURAS!$L$62*PRESIONES!$C$12)*$R105/$M105)</f>
        <v>-2.1206954357529351</v>
      </c>
      <c r="AE105" s="26">
        <f>IF($L105&lt;&gt;"OK",0,(INDEX(PRESIONES!$M$28:$M$31,$U105)*IF(INDEX(PRESIONES!$M$28:$M$31,$U105)&gt;0,PRESIONES!$C$9*IF($T105&lt;=10,1,($T105/10)^(2/DATOS!$C$56)),PRESIONES!$C$15)-ABERTURAS!$L$63*PRESIONES!$C$12)*$R105/$M105)</f>
        <v>-34.627490705308837</v>
      </c>
      <c r="AF105" s="26">
        <f>IF($L105&lt;&gt;"OK",0,(INDEX(PRESIONES!$D$28:$D$31,$U105)*IF(INDEX(PRESIONES!$D$28:$D$31,$U105)&gt;0,PRESIONES!$C$9*IF($T105&lt;=10,1,($T105/10)^(2/DATOS!$C$56)),PRESIONES!$C$15)-ABERTURAS!$L$64*PRESIONES!$C$12)*$S105/$M105)</f>
        <v>0.20515380353921969</v>
      </c>
      <c r="AG105" s="26">
        <f>IF($L105&lt;&gt;"OK",0,(INDEX(PRESIONES!$G$28:$G$31,$U105)*IF(INDEX(PRESIONES!$G$28:$G$31,$U105)&gt;0,PRESIONES!$C$9*IF($T105&lt;=10,1,($T105/10)^(2/DATOS!$C$56)),PRESIONES!$C$15)-ABERTURAS!$L$65*PRESIONES!$C$12)*$S105/$M105)</f>
        <v>31.30283988920198</v>
      </c>
      <c r="AH105" s="26">
        <f>IF($L105&lt;&gt;"OK",0,(INDEX(PRESIONES!$J$28:$J$31,$U105)*IF(INDEX(PRESIONES!$J$28:$J$31,$U105)&gt;0,PRESIONES!$C$9*IF($T105&lt;=10,1,($T105/10)^(2/DATOS!$C$56)),PRESIONES!$C$15)-ABERTURAS!$L$66*PRESIONES!$C$12)*$S105/$M105)</f>
        <v>-2.1206954357529351</v>
      </c>
      <c r="AI105" s="26">
        <f>IF($L105&lt;&gt;"OK",0,(INDEX(PRESIONES!$M$28:$M$31,$U105)*IF(INDEX(PRESIONES!$M$28:$M$31,$U105)&gt;0,PRESIONES!$C$9*IF($T105&lt;=10,1,($T105/10)^(2/DATOS!$C$56)),PRESIONES!$C$15)-ABERTURAS!$L$67*PRESIONES!$C$12)*$S105/$M105)</f>
        <v>-34.627490705308837</v>
      </c>
    </row>
    <row r="106" spans="2:35" ht="16.5" customHeight="1" x14ac:dyDescent="0.3">
      <c r="B106" s="4" t="s">
        <v>552</v>
      </c>
      <c r="C106" s="15" t="s">
        <v>478</v>
      </c>
      <c r="D106" s="4" t="s">
        <v>553</v>
      </c>
      <c r="E106" s="15" t="s">
        <v>430</v>
      </c>
      <c r="F106" s="40">
        <v>1.35</v>
      </c>
      <c r="G106" s="40">
        <v>2.7</v>
      </c>
      <c r="H106" s="40">
        <v>10.0763</v>
      </c>
      <c r="I106" s="40">
        <v>10.5525</v>
      </c>
      <c r="J106" s="40">
        <v>10.0425</v>
      </c>
      <c r="K106" s="40">
        <v>10.484999999999999</v>
      </c>
      <c r="L106" s="18" t="str">
        <f t="shared" si="20"/>
        <v>OK</v>
      </c>
      <c r="M106" s="26">
        <f t="shared" si="21"/>
        <v>1.35</v>
      </c>
      <c r="N106" s="26">
        <f t="shared" si="22"/>
        <v>0.45935000000000059</v>
      </c>
      <c r="O106" s="26">
        <f t="shared" si="23"/>
        <v>0.6201225000000008</v>
      </c>
      <c r="P106" s="26">
        <f>IF($U106=0,0,SUMPRODUCT((ABERTURAS!$N$7:$N$26=$U106)*ABERTURAS!$U$7:$U$26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Q106" s="26">
        <f>IF($U106=0,0,SUMPRODUCT((ABERTURAS!$N$7:$N$26=$U106)*ABERTURAS!$V$7:$V$26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R106" s="26">
        <f t="shared" si="24"/>
        <v>0.6201225000000008</v>
      </c>
      <c r="S106" s="26">
        <f t="shared" si="25"/>
        <v>0.6201225000000008</v>
      </c>
      <c r="T106" s="41">
        <f t="shared" si="26"/>
        <v>10.5525</v>
      </c>
      <c r="U106" s="41">
        <f t="shared" si="27"/>
        <v>4</v>
      </c>
      <c r="V106" s="41">
        <f t="shared" si="28"/>
        <v>10.0594</v>
      </c>
      <c r="W106" s="41">
        <f t="shared" si="29"/>
        <v>10.518750000000001</v>
      </c>
      <c r="X106" s="41">
        <f t="shared" si="30"/>
        <v>1.35</v>
      </c>
      <c r="Y106" s="41">
        <f t="shared" si="31"/>
        <v>2.7</v>
      </c>
      <c r="Z106" s="41">
        <f t="shared" si="32"/>
        <v>10.0594</v>
      </c>
      <c r="AA106" s="41">
        <f t="shared" si="33"/>
        <v>10.518750000000001</v>
      </c>
      <c r="AB106" s="26">
        <f>IF($L106&lt;&gt;"OK",0,(INDEX(PRESIONES!$D$28:$D$31,$U106)*IF(INDEX(PRESIONES!$D$28:$D$31,$U106)&gt;0,PRESIONES!$C$9*IF($T106&lt;=10,1,($T106/10)^(2/DATOS!$C$56)),PRESIONES!$C$15)-ABERTURAS!$L$60*PRESIONES!$C$12)*$R106/$M106)</f>
        <v>0.19111214693924286</v>
      </c>
      <c r="AC106" s="26">
        <f>IF($L106&lt;&gt;"OK",0,(INDEX(PRESIONES!$G$28:$G$31,$U106)*IF(INDEX(PRESIONES!$G$28:$G$31,$U106)&gt;0,PRESIONES!$C$9*IF($T106&lt;=10,1,($T106/10)^(2/DATOS!$C$56)),PRESIONES!$C$15)-ABERTURAS!$L$61*PRESIONES!$C$12)*$R106/$M106)</f>
        <v>29.127669895007109</v>
      </c>
      <c r="AD106" s="26">
        <f>IF($L106&lt;&gt;"OK",0,(INDEX(PRESIONES!$J$28:$J$31,$U106)*IF(INDEX(PRESIONES!$J$28:$J$31,$U106)&gt;0,PRESIONES!$C$9*IF($T106&lt;=10,1,($T106/10)^(2/DATOS!$C$56)),PRESIONES!$C$15)-ABERTURAS!$L$62*PRESIONES!$C$12)*$R106/$M106)</f>
        <v>-1.9755454236729091</v>
      </c>
      <c r="AE106" s="26">
        <f>IF($L106&lt;&gt;"OK",0,(INDEX(PRESIONES!$M$28:$M$31,$U106)*IF(INDEX(PRESIONES!$M$28:$M$31,$U106)&gt;0,PRESIONES!$C$9*IF($T106&lt;=10,1,($T106/10)^(2/DATOS!$C$56)),PRESIONES!$C$15)-ABERTURAS!$L$63*PRESIONES!$C$12)*$R106/$M106)</f>
        <v>-32.257428220408897</v>
      </c>
      <c r="AF106" s="26">
        <f>IF($L106&lt;&gt;"OK",0,(INDEX(PRESIONES!$D$28:$D$31,$U106)*IF(INDEX(PRESIONES!$D$28:$D$31,$U106)&gt;0,PRESIONES!$C$9*IF($T106&lt;=10,1,($T106/10)^(2/DATOS!$C$56)),PRESIONES!$C$15)-ABERTURAS!$L$64*PRESIONES!$C$12)*$S106/$M106)</f>
        <v>0.19111214693924286</v>
      </c>
      <c r="AG106" s="26">
        <f>IF($L106&lt;&gt;"OK",0,(INDEX(PRESIONES!$G$28:$G$31,$U106)*IF(INDEX(PRESIONES!$G$28:$G$31,$U106)&gt;0,PRESIONES!$C$9*IF($T106&lt;=10,1,($T106/10)^(2/DATOS!$C$56)),PRESIONES!$C$15)-ABERTURAS!$L$65*PRESIONES!$C$12)*$S106/$M106)</f>
        <v>29.127669895007109</v>
      </c>
      <c r="AH106" s="26">
        <f>IF($L106&lt;&gt;"OK",0,(INDEX(PRESIONES!$J$28:$J$31,$U106)*IF(INDEX(PRESIONES!$J$28:$J$31,$U106)&gt;0,PRESIONES!$C$9*IF($T106&lt;=10,1,($T106/10)^(2/DATOS!$C$56)),PRESIONES!$C$15)-ABERTURAS!$L$66*PRESIONES!$C$12)*$S106/$M106)</f>
        <v>-1.9755454236729091</v>
      </c>
      <c r="AI106" s="26">
        <f>IF($L106&lt;&gt;"OK",0,(INDEX(PRESIONES!$M$28:$M$31,$U106)*IF(INDEX(PRESIONES!$M$28:$M$31,$U106)&gt;0,PRESIONES!$C$9*IF($T106&lt;=10,1,($T106/10)^(2/DATOS!$C$56)),PRESIONES!$C$15)-ABERTURAS!$L$67*PRESIONES!$C$12)*$S106/$M106)</f>
        <v>-32.257428220408897</v>
      </c>
    </row>
    <row r="107" spans="2:35" ht="16.5" customHeight="1" x14ac:dyDescent="0.3">
      <c r="B107" s="4" t="s">
        <v>554</v>
      </c>
      <c r="C107" s="15" t="s">
        <v>478</v>
      </c>
      <c r="D107" s="4" t="s">
        <v>555</v>
      </c>
      <c r="E107" s="15" t="s">
        <v>430</v>
      </c>
      <c r="F107" s="40">
        <v>2.7</v>
      </c>
      <c r="G107" s="40">
        <v>4.05</v>
      </c>
      <c r="H107" s="40">
        <v>10.0425</v>
      </c>
      <c r="I107" s="40">
        <v>10.484999999999999</v>
      </c>
      <c r="J107" s="40">
        <v>10.008800000000001</v>
      </c>
      <c r="K107" s="40">
        <v>10.4175</v>
      </c>
      <c r="L107" s="18" t="str">
        <f t="shared" si="20"/>
        <v>OK</v>
      </c>
      <c r="M107" s="26">
        <f t="shared" si="21"/>
        <v>1.3499999999999996</v>
      </c>
      <c r="N107" s="26">
        <f t="shared" si="22"/>
        <v>0.42559999999999931</v>
      </c>
      <c r="O107" s="26">
        <f t="shared" si="23"/>
        <v>0.57455999999999896</v>
      </c>
      <c r="P107" s="26">
        <f>IF($U107=0,0,SUMPRODUCT((ABERTURAS!$N$7:$N$26=$U107)*ABERTURAS!$U$7:$U$26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Q107" s="26">
        <f>IF($U107=0,0,SUMPRODUCT((ABERTURAS!$N$7:$N$26=$U107)*ABERTURAS!$V$7:$V$26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R107" s="26">
        <f t="shared" si="24"/>
        <v>0.57455999999999896</v>
      </c>
      <c r="S107" s="26">
        <f t="shared" si="25"/>
        <v>0.57455999999999896</v>
      </c>
      <c r="T107" s="41">
        <f t="shared" si="26"/>
        <v>10.484999999999999</v>
      </c>
      <c r="U107" s="41">
        <f t="shared" si="27"/>
        <v>4</v>
      </c>
      <c r="V107" s="41">
        <f t="shared" si="28"/>
        <v>10.025650000000001</v>
      </c>
      <c r="W107" s="41">
        <f t="shared" si="29"/>
        <v>10.45125</v>
      </c>
      <c r="X107" s="41">
        <f t="shared" si="30"/>
        <v>2.7</v>
      </c>
      <c r="Y107" s="41">
        <f t="shared" si="31"/>
        <v>4.05</v>
      </c>
      <c r="Z107" s="41">
        <f t="shared" si="32"/>
        <v>10.025650000000001</v>
      </c>
      <c r="AA107" s="41">
        <f t="shared" si="33"/>
        <v>10.45125</v>
      </c>
      <c r="AB107" s="26">
        <f>IF($L107&lt;&gt;"OK",0,(INDEX(PRESIONES!$D$28:$D$31,$U107)*IF(INDEX(PRESIONES!$D$28:$D$31,$U107)&gt;0,PRESIONES!$C$9*IF($T107&lt;=10,1,($T107/10)^(2/DATOS!$C$56)),PRESIONES!$C$15)-ABERTURAS!$L$60*PRESIONES!$C$12)*$R107/$M107)</f>
        <v>0.17707049033926534</v>
      </c>
      <c r="AC107" s="26">
        <f>IF($L107&lt;&gt;"OK",0,(INDEX(PRESIONES!$G$28:$G$31,$U107)*IF(INDEX(PRESIONES!$G$28:$G$31,$U107)&gt;0,PRESIONES!$C$9*IF($T107&lt;=10,1,($T107/10)^(2/DATOS!$C$56)),PRESIONES!$C$15)-ABERTURAS!$L$61*PRESIONES!$C$12)*$R107/$M107)</f>
        <v>26.957160846199653</v>
      </c>
      <c r="AD107" s="26">
        <f>IF($L107&lt;&gt;"OK",0,(INDEX(PRESIONES!$J$28:$J$31,$U107)*IF(INDEX(PRESIONES!$J$28:$J$31,$U107)&gt;0,PRESIONES!$C$9*IF($T107&lt;=10,1,($T107/10)^(2/DATOS!$C$56)),PRESIONES!$C$15)-ABERTURAS!$L$62*PRESIONES!$C$12)*$R107/$M107)</f>
        <v>-1.8303954115928764</v>
      </c>
      <c r="AE107" s="26">
        <f>IF($L107&lt;&gt;"OK",0,(INDEX(PRESIONES!$M$28:$M$31,$U107)*IF(INDEX(PRESIONES!$M$28:$M$31,$U107)&gt;0,PRESIONES!$C$9*IF($T107&lt;=10,1,($T107/10)^(2/DATOS!$C$56)),PRESIONES!$C$15)-ABERTURAS!$L$63*PRESIONES!$C$12)*$R107/$M107)</f>
        <v>-29.887365735508855</v>
      </c>
      <c r="AF107" s="26">
        <f>IF($L107&lt;&gt;"OK",0,(INDEX(PRESIONES!$D$28:$D$31,$U107)*IF(INDEX(PRESIONES!$D$28:$D$31,$U107)&gt;0,PRESIONES!$C$9*IF($T107&lt;=10,1,($T107/10)^(2/DATOS!$C$56)),PRESIONES!$C$15)-ABERTURAS!$L$64*PRESIONES!$C$12)*$S107/$M107)</f>
        <v>0.17707049033926534</v>
      </c>
      <c r="AG107" s="26">
        <f>IF($L107&lt;&gt;"OK",0,(INDEX(PRESIONES!$G$28:$G$31,$U107)*IF(INDEX(PRESIONES!$G$28:$G$31,$U107)&gt;0,PRESIONES!$C$9*IF($T107&lt;=10,1,($T107/10)^(2/DATOS!$C$56)),PRESIONES!$C$15)-ABERTURAS!$L$65*PRESIONES!$C$12)*$S107/$M107)</f>
        <v>26.957160846199653</v>
      </c>
      <c r="AH107" s="26">
        <f>IF($L107&lt;&gt;"OK",0,(INDEX(PRESIONES!$J$28:$J$31,$U107)*IF(INDEX(PRESIONES!$J$28:$J$31,$U107)&gt;0,PRESIONES!$C$9*IF($T107&lt;=10,1,($T107/10)^(2/DATOS!$C$56)),PRESIONES!$C$15)-ABERTURAS!$L$66*PRESIONES!$C$12)*$S107/$M107)</f>
        <v>-1.8303954115928764</v>
      </c>
      <c r="AI107" s="26">
        <f>IF($L107&lt;&gt;"OK",0,(INDEX(PRESIONES!$M$28:$M$31,$U107)*IF(INDEX(PRESIONES!$M$28:$M$31,$U107)&gt;0,PRESIONES!$C$9*IF($T107&lt;=10,1,($T107/10)^(2/DATOS!$C$56)),PRESIONES!$C$15)-ABERTURAS!$L$67*PRESIONES!$C$12)*$S107/$M107)</f>
        <v>-29.887365735508855</v>
      </c>
    </row>
    <row r="108" spans="2:35" ht="16.5" customHeight="1" x14ac:dyDescent="0.3">
      <c r="B108" s="4" t="s">
        <v>556</v>
      </c>
      <c r="C108" s="15" t="s">
        <v>478</v>
      </c>
      <c r="D108" s="4" t="s">
        <v>557</v>
      </c>
      <c r="E108" s="15" t="s">
        <v>430</v>
      </c>
      <c r="F108" s="40">
        <v>4.05</v>
      </c>
      <c r="G108" s="40">
        <v>5.4</v>
      </c>
      <c r="H108" s="40">
        <v>10.008800000000001</v>
      </c>
      <c r="I108" s="40">
        <v>10.4175</v>
      </c>
      <c r="J108" s="40">
        <v>9.9749999999999996</v>
      </c>
      <c r="K108" s="40">
        <v>10.35</v>
      </c>
      <c r="L108" s="18" t="str">
        <f t="shared" si="20"/>
        <v>OK</v>
      </c>
      <c r="M108" s="26">
        <f t="shared" si="21"/>
        <v>1.3500000000000005</v>
      </c>
      <c r="N108" s="26">
        <f t="shared" si="22"/>
        <v>0.39184999999999803</v>
      </c>
      <c r="O108" s="26">
        <f t="shared" si="23"/>
        <v>0.52899749999999757</v>
      </c>
      <c r="P108" s="26">
        <f>IF($U108=0,0,SUMPRODUCT((ABERTURAS!$N$7:$N$26=$U108)*ABERTURAS!$U$7:$U$26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Q108" s="26">
        <f>IF($U108=0,0,SUMPRODUCT((ABERTURAS!$N$7:$N$26=$U108)*ABERTURAS!$V$7:$V$26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R108" s="26">
        <f t="shared" si="24"/>
        <v>0.52899749999999757</v>
      </c>
      <c r="S108" s="26">
        <f t="shared" si="25"/>
        <v>0.52899749999999757</v>
      </c>
      <c r="T108" s="41">
        <f t="shared" si="26"/>
        <v>10.4175</v>
      </c>
      <c r="U108" s="41">
        <f t="shared" si="27"/>
        <v>4</v>
      </c>
      <c r="V108" s="41">
        <f t="shared" si="28"/>
        <v>9.9919000000000011</v>
      </c>
      <c r="W108" s="41">
        <f t="shared" si="29"/>
        <v>10.383749999999999</v>
      </c>
      <c r="X108" s="41">
        <f t="shared" si="30"/>
        <v>4.05</v>
      </c>
      <c r="Y108" s="41">
        <f t="shared" si="31"/>
        <v>5.4</v>
      </c>
      <c r="Z108" s="41">
        <f t="shared" si="32"/>
        <v>9.9919000000000011</v>
      </c>
      <c r="AA108" s="41">
        <f t="shared" si="33"/>
        <v>10.383749999999999</v>
      </c>
      <c r="AB108" s="26">
        <f>IF($L108&lt;&gt;"OK",0,(INDEX(PRESIONES!$D$28:$D$31,$U108)*IF(INDEX(PRESIONES!$D$28:$D$31,$U108)&gt;0,PRESIONES!$C$9*IF($T108&lt;=10,1,($T108/10)^(2/DATOS!$C$56)),PRESIONES!$C$15)-ABERTURAS!$L$60*PRESIONES!$C$12)*$R108/$M108)</f>
        <v>0.16302883373928778</v>
      </c>
      <c r="AC108" s="26">
        <f>IF($L108&lt;&gt;"OK",0,(INDEX(PRESIONES!$G$28:$G$31,$U108)*IF(INDEX(PRESIONES!$G$28:$G$31,$U108)&gt;0,PRESIONES!$C$9*IF($T108&lt;=10,1,($T108/10)^(2/DATOS!$C$56)),PRESIONES!$C$15)-ABERTURAS!$L$61*PRESIONES!$C$12)*$R108/$M108)</f>
        <v>24.791344300445125</v>
      </c>
      <c r="AD108" s="26">
        <f>IF($L108&lt;&gt;"OK",0,(INDEX(PRESIONES!$J$28:$J$31,$U108)*IF(INDEX(PRESIONES!$J$28:$J$31,$U108)&gt;0,PRESIONES!$C$9*IF($T108&lt;=10,1,($T108/10)^(2/DATOS!$C$56)),PRESIONES!$C$15)-ABERTURAS!$L$62*PRESIONES!$C$12)*$R108/$M108)</f>
        <v>-1.6852453995128434</v>
      </c>
      <c r="AE108" s="26">
        <f>IF($L108&lt;&gt;"OK",0,(INDEX(PRESIONES!$M$28:$M$31,$U108)*IF(INDEX(PRESIONES!$M$28:$M$31,$U108)&gt;0,PRESIONES!$C$9*IF($T108&lt;=10,1,($T108/10)^(2/DATOS!$C$56)),PRESIONES!$C$15)-ABERTURAS!$L$63*PRESIONES!$C$12)*$R108/$M108)</f>
        <v>-27.517303250608794</v>
      </c>
      <c r="AF108" s="26">
        <f>IF($L108&lt;&gt;"OK",0,(INDEX(PRESIONES!$D$28:$D$31,$U108)*IF(INDEX(PRESIONES!$D$28:$D$31,$U108)&gt;0,PRESIONES!$C$9*IF($T108&lt;=10,1,($T108/10)^(2/DATOS!$C$56)),PRESIONES!$C$15)-ABERTURAS!$L$64*PRESIONES!$C$12)*$S108/$M108)</f>
        <v>0.16302883373928778</v>
      </c>
      <c r="AG108" s="26">
        <f>IF($L108&lt;&gt;"OK",0,(INDEX(PRESIONES!$G$28:$G$31,$U108)*IF(INDEX(PRESIONES!$G$28:$G$31,$U108)&gt;0,PRESIONES!$C$9*IF($T108&lt;=10,1,($T108/10)^(2/DATOS!$C$56)),PRESIONES!$C$15)-ABERTURAS!$L$65*PRESIONES!$C$12)*$S108/$M108)</f>
        <v>24.791344300445125</v>
      </c>
      <c r="AH108" s="26">
        <f>IF($L108&lt;&gt;"OK",0,(INDEX(PRESIONES!$J$28:$J$31,$U108)*IF(INDEX(PRESIONES!$J$28:$J$31,$U108)&gt;0,PRESIONES!$C$9*IF($T108&lt;=10,1,($T108/10)^(2/DATOS!$C$56)),PRESIONES!$C$15)-ABERTURAS!$L$66*PRESIONES!$C$12)*$S108/$M108)</f>
        <v>-1.6852453995128434</v>
      </c>
      <c r="AI108" s="26">
        <f>IF($L108&lt;&gt;"OK",0,(INDEX(PRESIONES!$M$28:$M$31,$U108)*IF(INDEX(PRESIONES!$M$28:$M$31,$U108)&gt;0,PRESIONES!$C$9*IF($T108&lt;=10,1,($T108/10)^(2/DATOS!$C$56)),PRESIONES!$C$15)-ABERTURAS!$L$67*PRESIONES!$C$12)*$S108/$M108)</f>
        <v>-27.517303250608794</v>
      </c>
    </row>
    <row r="109" spans="2:35" ht="16.5" customHeight="1" x14ac:dyDescent="0.3">
      <c r="B109" s="4" t="s">
        <v>558</v>
      </c>
      <c r="C109" s="15" t="s">
        <v>478</v>
      </c>
      <c r="D109" s="4" t="s">
        <v>559</v>
      </c>
      <c r="E109" s="15" t="s">
        <v>430</v>
      </c>
      <c r="F109" s="40">
        <v>5.4</v>
      </c>
      <c r="G109" s="40">
        <v>6.75</v>
      </c>
      <c r="H109" s="40">
        <v>9.9749999999999996</v>
      </c>
      <c r="I109" s="40">
        <v>10.35</v>
      </c>
      <c r="J109" s="40">
        <v>9.9413</v>
      </c>
      <c r="K109" s="40">
        <v>10.282500000000001</v>
      </c>
      <c r="L109" s="18" t="str">
        <f t="shared" ref="L109:L140" si="34">IF($D109="","",IF(LEFT($C109,4)&lt;&gt;"MURO","PON EL MURO",IF(AND($E109&lt;&gt;"HORIZONTAL",$E109&lt;&gt;"VERTICAL"),"PON EL SENTIDO",IF(OR($F109="",$G109="",$H109="",$I109=""),"FALTAN a o b",IF($M109&lt;=0,"a₂ DEBE SER &gt; a₁",IF($N109&lt;=0,"b₂ DEBE SER &gt; b₁","OK"))))))</f>
        <v>OK</v>
      </c>
      <c r="M109" s="26">
        <f t="shared" ref="M109:M140" si="35">IF($D109="",0,MAX(0,$G109-$F109))</f>
        <v>1.3499999999999996</v>
      </c>
      <c r="N109" s="26">
        <f t="shared" ref="N109:N140" si="36">MAX(0,$W109-$V109)</f>
        <v>0.35810000000000031</v>
      </c>
      <c r="O109" s="26">
        <f t="shared" ref="O109:O140" si="37">$M109*$N109</f>
        <v>0.48343500000000028</v>
      </c>
      <c r="P109" s="26">
        <f>IF($U109=0,0,SUMPRODUCT((ABERTURAS!$N$7:$N$26=$U109)*ABERTURAS!$U$7:$U$26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Q109" s="26">
        <f>IF($U109=0,0,SUMPRODUCT((ABERTURAS!$N$7:$N$26=$U109)*ABERTURAS!$V$7:$V$26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R109" s="26">
        <f t="shared" ref="R109:R140" si="38">MAX(0,$O109-$P109)</f>
        <v>0.48343500000000028</v>
      </c>
      <c r="S109" s="26">
        <f t="shared" ref="S109:S140" si="39">MAX(0,$O109-$Q109)</f>
        <v>0.48343500000000028</v>
      </c>
      <c r="T109" s="41">
        <f t="shared" ref="T109:T140" si="40">IF($D109="",0,IF($E109="VERTICAL",N($G109),MAX(N($I109),IF($K109="",N($I109),$K109))))</f>
        <v>10.35</v>
      </c>
      <c r="U109" s="41">
        <f t="shared" ref="U109:U140" si="41">IF($L109&lt;&gt;"OK",0,VALUE(RIGHT($C109,1)))</f>
        <v>4</v>
      </c>
      <c r="V109" s="41">
        <f t="shared" ref="V109:V140" si="42">IF($D109="",0,(N($H109)+IF($J109="",N($H109),$J109))/2)</f>
        <v>9.9581499999999998</v>
      </c>
      <c r="W109" s="41">
        <f t="shared" ref="W109:W140" si="43">IF($D109="",0,(N($I109)+IF($K109="",N($I109),$K109))/2)</f>
        <v>10.31625</v>
      </c>
      <c r="X109" s="41">
        <f t="shared" ref="X109:X140" si="44">IF($E109="VERTICAL",$V109,N($F109))</f>
        <v>5.4</v>
      </c>
      <c r="Y109" s="41">
        <f t="shared" ref="Y109:Y140" si="45">IF($E109="VERTICAL",$W109,N($G109))</f>
        <v>6.75</v>
      </c>
      <c r="Z109" s="41">
        <f t="shared" ref="Z109:Z140" si="46">IF($E109="VERTICAL",N($F109),$V109)</f>
        <v>9.9581499999999998</v>
      </c>
      <c r="AA109" s="41">
        <f t="shared" ref="AA109:AA140" si="47">IF($E109="VERTICAL",N($G109),$W109)</f>
        <v>10.31625</v>
      </c>
      <c r="AB109" s="26">
        <f>IF($L109&lt;&gt;"OK",0,(INDEX(PRESIONES!$D$28:$D$31,$U109)*IF(INDEX(PRESIONES!$D$28:$D$31,$U109)&gt;0,PRESIONES!$C$9*IF($T109&lt;=10,1,($T109/10)^(2/DATOS!$C$56)),PRESIONES!$C$15)-ABERTURAS!$L$60*PRESIONES!$C$12)*$R109/$M109)</f>
        <v>0.14898717713931173</v>
      </c>
      <c r="AC109" s="26">
        <f>IF($L109&lt;&gt;"OK",0,(INDEX(PRESIONES!$G$28:$G$31,$U109)*IF(INDEX(PRESIONES!$G$28:$G$31,$U109)&gt;0,PRESIONES!$C$9*IF($T109&lt;=10,1,($T109/10)^(2/DATOS!$C$56)),PRESIONES!$C$15)-ABERTURAS!$L$61*PRESIONES!$C$12)*$R109/$M109)</f>
        <v>22.630252278931927</v>
      </c>
      <c r="AD109" s="26">
        <f>IF($L109&lt;&gt;"OK",0,(INDEX(PRESIONES!$J$28:$J$31,$U109)*IF(INDEX(PRESIONES!$J$28:$J$31,$U109)&gt;0,PRESIONES!$C$9*IF($T109&lt;=10,1,($T109/10)^(2/DATOS!$C$56)),PRESIONES!$C$15)-ABERTURAS!$L$62*PRESIONES!$C$12)*$R109/$M109)</f>
        <v>-1.5400953874328258</v>
      </c>
      <c r="AE109" s="26">
        <f>IF($L109&lt;&gt;"OK",0,(INDEX(PRESIONES!$M$28:$M$31,$U109)*IF(INDEX(PRESIONES!$M$28:$M$31,$U109)&gt;0,PRESIONES!$C$9*IF($T109&lt;=10,1,($T109/10)^(2/DATOS!$C$56)),PRESIONES!$C$15)-ABERTURAS!$L$63*PRESIONES!$C$12)*$R109/$M109)</f>
        <v>-25.147240765708986</v>
      </c>
      <c r="AF109" s="26">
        <f>IF($L109&lt;&gt;"OK",0,(INDEX(PRESIONES!$D$28:$D$31,$U109)*IF(INDEX(PRESIONES!$D$28:$D$31,$U109)&gt;0,PRESIONES!$C$9*IF($T109&lt;=10,1,($T109/10)^(2/DATOS!$C$56)),PRESIONES!$C$15)-ABERTURAS!$L$64*PRESIONES!$C$12)*$S109/$M109)</f>
        <v>0.14898717713931173</v>
      </c>
      <c r="AG109" s="26">
        <f>IF($L109&lt;&gt;"OK",0,(INDEX(PRESIONES!$G$28:$G$31,$U109)*IF(INDEX(PRESIONES!$G$28:$G$31,$U109)&gt;0,PRESIONES!$C$9*IF($T109&lt;=10,1,($T109/10)^(2/DATOS!$C$56)),PRESIONES!$C$15)-ABERTURAS!$L$65*PRESIONES!$C$12)*$S109/$M109)</f>
        <v>22.630252278931927</v>
      </c>
      <c r="AH109" s="26">
        <f>IF($L109&lt;&gt;"OK",0,(INDEX(PRESIONES!$J$28:$J$31,$U109)*IF(INDEX(PRESIONES!$J$28:$J$31,$U109)&gt;0,PRESIONES!$C$9*IF($T109&lt;=10,1,($T109/10)^(2/DATOS!$C$56)),PRESIONES!$C$15)-ABERTURAS!$L$66*PRESIONES!$C$12)*$S109/$M109)</f>
        <v>-1.5400953874328258</v>
      </c>
      <c r="AI109" s="26">
        <f>IF($L109&lt;&gt;"OK",0,(INDEX(PRESIONES!$M$28:$M$31,$U109)*IF(INDEX(PRESIONES!$M$28:$M$31,$U109)&gt;0,PRESIONES!$C$9*IF($T109&lt;=10,1,($T109/10)^(2/DATOS!$C$56)),PRESIONES!$C$15)-ABERTURAS!$L$67*PRESIONES!$C$12)*$S109/$M109)</f>
        <v>-25.147240765708986</v>
      </c>
    </row>
    <row r="110" spans="2:35" ht="16.5" customHeight="1" x14ac:dyDescent="0.3">
      <c r="B110" s="4" t="s">
        <v>560</v>
      </c>
      <c r="C110" s="15" t="s">
        <v>478</v>
      </c>
      <c r="D110" s="4" t="s">
        <v>561</v>
      </c>
      <c r="E110" s="15" t="s">
        <v>430</v>
      </c>
      <c r="F110" s="40">
        <v>6.75</v>
      </c>
      <c r="G110" s="40">
        <v>8.1</v>
      </c>
      <c r="H110" s="40">
        <v>9.9413</v>
      </c>
      <c r="I110" s="40">
        <v>10.282500000000001</v>
      </c>
      <c r="J110" s="40">
        <v>9.9075000000000006</v>
      </c>
      <c r="K110" s="40">
        <v>10.215</v>
      </c>
      <c r="L110" s="18" t="str">
        <f t="shared" si="34"/>
        <v>OK</v>
      </c>
      <c r="M110" s="26">
        <f t="shared" si="35"/>
        <v>1.3499999999999996</v>
      </c>
      <c r="N110" s="26">
        <f t="shared" si="36"/>
        <v>0.3243500000000008</v>
      </c>
      <c r="O110" s="26">
        <f t="shared" si="37"/>
        <v>0.437872500000001</v>
      </c>
      <c r="P110" s="26">
        <f>IF($U110=0,0,SUMPRODUCT((ABERTURAS!$N$7:$N$26=$U110)*ABERTURAS!$U$7:$U$26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Q110" s="26">
        <f>IF($U110=0,0,SUMPRODUCT((ABERTURAS!$N$7:$N$26=$U110)*ABERTURAS!$V$7:$V$26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R110" s="26">
        <f t="shared" si="38"/>
        <v>0.437872500000001</v>
      </c>
      <c r="S110" s="26">
        <f t="shared" si="39"/>
        <v>0.437872500000001</v>
      </c>
      <c r="T110" s="41">
        <f t="shared" si="40"/>
        <v>10.282500000000001</v>
      </c>
      <c r="U110" s="41">
        <f t="shared" si="41"/>
        <v>4</v>
      </c>
      <c r="V110" s="41">
        <f t="shared" si="42"/>
        <v>9.9244000000000003</v>
      </c>
      <c r="W110" s="41">
        <f t="shared" si="43"/>
        <v>10.248750000000001</v>
      </c>
      <c r="X110" s="41">
        <f t="shared" si="44"/>
        <v>6.75</v>
      </c>
      <c r="Y110" s="41">
        <f t="shared" si="45"/>
        <v>8.1</v>
      </c>
      <c r="Z110" s="41">
        <f t="shared" si="46"/>
        <v>9.9244000000000003</v>
      </c>
      <c r="AA110" s="41">
        <f t="shared" si="47"/>
        <v>10.248750000000001</v>
      </c>
      <c r="AB110" s="26">
        <f>IF($L110&lt;&gt;"OK",0,(INDEX(PRESIONES!$D$28:$D$31,$U110)*IF(INDEX(PRESIONES!$D$28:$D$31,$U110)&gt;0,PRESIONES!$C$9*IF($T110&lt;=10,1,($T110/10)^(2/DATOS!$C$56)),PRESIONES!$C$15)-ABERTURAS!$L$60*PRESIONES!$C$12)*$R110/$M110)</f>
        <v>0.13494552053933495</v>
      </c>
      <c r="AC110" s="26">
        <f>IF($L110&lt;&gt;"OK",0,(INDEX(PRESIONES!$G$28:$G$31,$U110)*IF(INDEX(PRESIONES!$G$28:$G$31,$U110)&gt;0,PRESIONES!$C$9*IF($T110&lt;=10,1,($T110/10)^(2/DATOS!$C$56)),PRESIONES!$C$15)-ABERTURAS!$L$61*PRESIONES!$C$12)*$R110/$M110)</f>
        <v>20.473917276585464</v>
      </c>
      <c r="AD110" s="26">
        <f>IF($L110&lt;&gt;"OK",0,(INDEX(PRESIONES!$J$28:$J$31,$U110)*IF(INDEX(PRESIONES!$J$28:$J$31,$U110)&gt;0,PRESIONES!$C$9*IF($T110&lt;=10,1,($T110/10)^(2/DATOS!$C$56)),PRESIONES!$C$15)-ABERTURAS!$L$62*PRESIONES!$C$12)*$R110/$M110)</f>
        <v>-1.3949453753528007</v>
      </c>
      <c r="AE110" s="26">
        <f>IF($L110&lt;&gt;"OK",0,(INDEX(PRESIONES!$M$28:$M$31,$U110)*IF(INDEX(PRESIONES!$M$28:$M$31,$U110)&gt;0,PRESIONES!$C$9*IF($T110&lt;=10,1,($T110/10)^(2/DATOS!$C$56)),PRESIONES!$C$15)-ABERTURAS!$L$63*PRESIONES!$C$12)*$R110/$M110)</f>
        <v>-22.777178280809061</v>
      </c>
      <c r="AF110" s="26">
        <f>IF($L110&lt;&gt;"OK",0,(INDEX(PRESIONES!$D$28:$D$31,$U110)*IF(INDEX(PRESIONES!$D$28:$D$31,$U110)&gt;0,PRESIONES!$C$9*IF($T110&lt;=10,1,($T110/10)^(2/DATOS!$C$56)),PRESIONES!$C$15)-ABERTURAS!$L$64*PRESIONES!$C$12)*$S110/$M110)</f>
        <v>0.13494552053933495</v>
      </c>
      <c r="AG110" s="26">
        <f>IF($L110&lt;&gt;"OK",0,(INDEX(PRESIONES!$G$28:$G$31,$U110)*IF(INDEX(PRESIONES!$G$28:$G$31,$U110)&gt;0,PRESIONES!$C$9*IF($T110&lt;=10,1,($T110/10)^(2/DATOS!$C$56)),PRESIONES!$C$15)-ABERTURAS!$L$65*PRESIONES!$C$12)*$S110/$M110)</f>
        <v>20.473917276585464</v>
      </c>
      <c r="AH110" s="26">
        <f>IF($L110&lt;&gt;"OK",0,(INDEX(PRESIONES!$J$28:$J$31,$U110)*IF(INDEX(PRESIONES!$J$28:$J$31,$U110)&gt;0,PRESIONES!$C$9*IF($T110&lt;=10,1,($T110/10)^(2/DATOS!$C$56)),PRESIONES!$C$15)-ABERTURAS!$L$66*PRESIONES!$C$12)*$S110/$M110)</f>
        <v>-1.3949453753528007</v>
      </c>
      <c r="AI110" s="26">
        <f>IF($L110&lt;&gt;"OK",0,(INDEX(PRESIONES!$M$28:$M$31,$U110)*IF(INDEX(PRESIONES!$M$28:$M$31,$U110)&gt;0,PRESIONES!$C$9*IF($T110&lt;=10,1,($T110/10)^(2/DATOS!$C$56)),PRESIONES!$C$15)-ABERTURAS!$L$67*PRESIONES!$C$12)*$S110/$M110)</f>
        <v>-22.777178280809061</v>
      </c>
    </row>
    <row r="111" spans="2:35" ht="16.5" customHeight="1" x14ac:dyDescent="0.3">
      <c r="B111" s="4" t="s">
        <v>562</v>
      </c>
      <c r="C111" s="15" t="s">
        <v>478</v>
      </c>
      <c r="D111" s="4" t="s">
        <v>563</v>
      </c>
      <c r="E111" s="15" t="s">
        <v>430</v>
      </c>
      <c r="F111" s="40">
        <v>8.1</v>
      </c>
      <c r="G111" s="40">
        <v>9.4499999999999993</v>
      </c>
      <c r="H111" s="40">
        <v>9.9075000000000006</v>
      </c>
      <c r="I111" s="40">
        <v>10.215</v>
      </c>
      <c r="J111" s="40">
        <v>9.8737999999999992</v>
      </c>
      <c r="K111" s="40">
        <v>10.147500000000001</v>
      </c>
      <c r="L111" s="18" t="str">
        <f t="shared" si="34"/>
        <v>OK</v>
      </c>
      <c r="M111" s="26">
        <f t="shared" si="35"/>
        <v>1.3499999999999996</v>
      </c>
      <c r="N111" s="26">
        <f t="shared" si="36"/>
        <v>0.29059999999999953</v>
      </c>
      <c r="O111" s="26">
        <f t="shared" si="37"/>
        <v>0.39230999999999927</v>
      </c>
      <c r="P111" s="26">
        <f>IF($U111=0,0,SUMPRODUCT((ABERTURAS!$N$7:$N$26=$U111)*ABERTURAS!$U$7:$U$26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Q111" s="26">
        <f>IF($U111=0,0,SUMPRODUCT((ABERTURAS!$N$7:$N$26=$U111)*ABERTURAS!$V$7:$V$26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R111" s="26">
        <f t="shared" si="38"/>
        <v>0.39230999999999927</v>
      </c>
      <c r="S111" s="26">
        <f t="shared" si="39"/>
        <v>0.39230999999999927</v>
      </c>
      <c r="T111" s="41">
        <f t="shared" si="40"/>
        <v>10.215</v>
      </c>
      <c r="U111" s="41">
        <f t="shared" si="41"/>
        <v>4</v>
      </c>
      <c r="V111" s="41">
        <f t="shared" si="42"/>
        <v>9.8906500000000008</v>
      </c>
      <c r="W111" s="41">
        <f t="shared" si="43"/>
        <v>10.18125</v>
      </c>
      <c r="X111" s="41">
        <f t="shared" si="44"/>
        <v>8.1</v>
      </c>
      <c r="Y111" s="41">
        <f t="shared" si="45"/>
        <v>9.4499999999999993</v>
      </c>
      <c r="Z111" s="41">
        <f t="shared" si="46"/>
        <v>9.8906500000000008</v>
      </c>
      <c r="AA111" s="41">
        <f t="shared" si="47"/>
        <v>10.18125</v>
      </c>
      <c r="AB111" s="26">
        <f>IF($L111&lt;&gt;"OK",0,(INDEX(PRESIONES!$D$28:$D$31,$U111)*IF(INDEX(PRESIONES!$D$28:$D$31,$U111)&gt;0,PRESIONES!$C$9*IF($T111&lt;=10,1,($T111/10)^(2/DATOS!$C$56)),PRESIONES!$C$15)-ABERTURAS!$L$60*PRESIONES!$C$12)*$R111/$M111)</f>
        <v>0.1209038639393574</v>
      </c>
      <c r="AC111" s="26">
        <f>IF($L111&lt;&gt;"OK",0,(INDEX(PRESIONES!$G$28:$G$31,$U111)*IF(INDEX(PRESIONES!$G$28:$G$31,$U111)&gt;0,PRESIONES!$C$9*IF($T111&lt;=10,1,($T111/10)^(2/DATOS!$C$56)),PRESIONES!$C$15)-ABERTURAS!$L$61*PRESIONES!$C$12)*$R111/$M111)</f>
        <v>18.322372272582204</v>
      </c>
      <c r="AD111" s="26">
        <f>IF($L111&lt;&gt;"OK",0,(INDEX(PRESIONES!$J$28:$J$31,$U111)*IF(INDEX(PRESIONES!$J$28:$J$31,$U111)&gt;0,PRESIONES!$C$9*IF($T111&lt;=10,1,($T111/10)^(2/DATOS!$C$56)),PRESIONES!$C$15)-ABERTURAS!$L$62*PRESIONES!$C$12)*$R111/$M111)</f>
        <v>-1.2497953632727676</v>
      </c>
      <c r="AE111" s="26">
        <f>IF($L111&lt;&gt;"OK",0,(INDEX(PRESIONES!$M$28:$M$31,$U111)*IF(INDEX(PRESIONES!$M$28:$M$31,$U111)&gt;0,PRESIONES!$C$9*IF($T111&lt;=10,1,($T111/10)^(2/DATOS!$C$56)),PRESIONES!$C$15)-ABERTURAS!$L$63*PRESIONES!$C$12)*$R111/$M111)</f>
        <v>-20.407115795909004</v>
      </c>
      <c r="AF111" s="26">
        <f>IF($L111&lt;&gt;"OK",0,(INDEX(PRESIONES!$D$28:$D$31,$U111)*IF(INDEX(PRESIONES!$D$28:$D$31,$U111)&gt;0,PRESIONES!$C$9*IF($T111&lt;=10,1,($T111/10)^(2/DATOS!$C$56)),PRESIONES!$C$15)-ABERTURAS!$L$64*PRESIONES!$C$12)*$S111/$M111)</f>
        <v>0.1209038639393574</v>
      </c>
      <c r="AG111" s="26">
        <f>IF($L111&lt;&gt;"OK",0,(INDEX(PRESIONES!$G$28:$G$31,$U111)*IF(INDEX(PRESIONES!$G$28:$G$31,$U111)&gt;0,PRESIONES!$C$9*IF($T111&lt;=10,1,($T111/10)^(2/DATOS!$C$56)),PRESIONES!$C$15)-ABERTURAS!$L$65*PRESIONES!$C$12)*$S111/$M111)</f>
        <v>18.322372272582204</v>
      </c>
      <c r="AH111" s="26">
        <f>IF($L111&lt;&gt;"OK",0,(INDEX(PRESIONES!$J$28:$J$31,$U111)*IF(INDEX(PRESIONES!$J$28:$J$31,$U111)&gt;0,PRESIONES!$C$9*IF($T111&lt;=10,1,($T111/10)^(2/DATOS!$C$56)),PRESIONES!$C$15)-ABERTURAS!$L$66*PRESIONES!$C$12)*$S111/$M111)</f>
        <v>-1.2497953632727676</v>
      </c>
      <c r="AI111" s="26">
        <f>IF($L111&lt;&gt;"OK",0,(INDEX(PRESIONES!$M$28:$M$31,$U111)*IF(INDEX(PRESIONES!$M$28:$M$31,$U111)&gt;0,PRESIONES!$C$9*IF($T111&lt;=10,1,($T111/10)^(2/DATOS!$C$56)),PRESIONES!$C$15)-ABERTURAS!$L$67*PRESIONES!$C$12)*$S111/$M111)</f>
        <v>-20.407115795909004</v>
      </c>
    </row>
    <row r="112" spans="2:35" ht="16.5" customHeight="1" x14ac:dyDescent="0.3">
      <c r="B112" s="4" t="s">
        <v>564</v>
      </c>
      <c r="C112" s="15" t="s">
        <v>478</v>
      </c>
      <c r="D112" s="4" t="s">
        <v>565</v>
      </c>
      <c r="E112" s="15" t="s">
        <v>430</v>
      </c>
      <c r="F112" s="40">
        <v>9.4499999999999993</v>
      </c>
      <c r="G112" s="40">
        <v>10.8</v>
      </c>
      <c r="H112" s="40">
        <v>9.8737999999999992</v>
      </c>
      <c r="I112" s="40">
        <v>10.147500000000001</v>
      </c>
      <c r="J112" s="40">
        <v>9.84</v>
      </c>
      <c r="K112" s="40">
        <v>10.08</v>
      </c>
      <c r="L112" s="18" t="str">
        <f t="shared" si="34"/>
        <v>OK</v>
      </c>
      <c r="M112" s="26">
        <f t="shared" si="35"/>
        <v>1.3500000000000014</v>
      </c>
      <c r="N112" s="26">
        <f t="shared" si="36"/>
        <v>0.25685000000000002</v>
      </c>
      <c r="O112" s="26">
        <f t="shared" si="37"/>
        <v>0.34674750000000037</v>
      </c>
      <c r="P112" s="26">
        <f>IF($U112=0,0,SUMPRODUCT((ABERTURAS!$N$7:$N$26=$U112)*ABERTURAS!$U$7:$U$26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Q112" s="26">
        <f>IF($U112=0,0,SUMPRODUCT((ABERTURAS!$N$7:$N$26=$U112)*ABERTURAS!$V$7:$V$26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R112" s="26">
        <f t="shared" si="38"/>
        <v>0.34674750000000037</v>
      </c>
      <c r="S112" s="26">
        <f t="shared" si="39"/>
        <v>0.34674750000000037</v>
      </c>
      <c r="T112" s="41">
        <f t="shared" si="40"/>
        <v>10.147500000000001</v>
      </c>
      <c r="U112" s="41">
        <f t="shared" si="41"/>
        <v>4</v>
      </c>
      <c r="V112" s="41">
        <f t="shared" si="42"/>
        <v>9.8568999999999996</v>
      </c>
      <c r="W112" s="41">
        <f t="shared" si="43"/>
        <v>10.11375</v>
      </c>
      <c r="X112" s="41">
        <f t="shared" si="44"/>
        <v>9.4499999999999993</v>
      </c>
      <c r="Y112" s="41">
        <f t="shared" si="45"/>
        <v>10.8</v>
      </c>
      <c r="Z112" s="41">
        <f t="shared" si="46"/>
        <v>9.8568999999999996</v>
      </c>
      <c r="AA112" s="41">
        <f t="shared" si="47"/>
        <v>10.11375</v>
      </c>
      <c r="AB112" s="26">
        <f>IF($L112&lt;&gt;"OK",0,(INDEX(PRESIONES!$D$28:$D$31,$U112)*IF(INDEX(PRESIONES!$D$28:$D$31,$U112)&gt;0,PRESIONES!$C$9*IF($T112&lt;=10,1,($T112/10)^(2/DATOS!$C$56)),PRESIONES!$C$15)-ABERTURAS!$L$60*PRESIONES!$C$12)*$R112/$M112)</f>
        <v>0.10686220733938059</v>
      </c>
      <c r="AC112" s="26">
        <f>IF($L112&lt;&gt;"OK",0,(INDEX(PRESIONES!$G$28:$G$31,$U112)*IF(INDEX(PRESIONES!$G$28:$G$31,$U112)&gt;0,PRESIONES!$C$9*IF($T112&lt;=10,1,($T112/10)^(2/DATOS!$C$56)),PRESIONES!$C$15)-ABERTURAS!$L$61*PRESIONES!$C$12)*$R112/$M112)</f>
        <v>16.175650741171854</v>
      </c>
      <c r="AD112" s="26">
        <f>IF($L112&lt;&gt;"OK",0,(INDEX(PRESIONES!$J$28:$J$31,$U112)*IF(INDEX(PRESIONES!$J$28:$J$31,$U112)&gt;0,PRESIONES!$C$9*IF($T112&lt;=10,1,($T112/10)^(2/DATOS!$C$56)),PRESIONES!$C$15)-ABERTURAS!$L$62*PRESIONES!$C$12)*$R112/$M112)</f>
        <v>-1.1046453511927421</v>
      </c>
      <c r="AE112" s="26">
        <f>IF($L112&lt;&gt;"OK",0,(INDEX(PRESIONES!$M$28:$M$31,$U112)*IF(INDEX(PRESIONES!$M$28:$M$31,$U112)&gt;0,PRESIONES!$C$9*IF($T112&lt;=10,1,($T112/10)^(2/DATOS!$C$56)),PRESIONES!$C$15)-ABERTURAS!$L$63*PRESIONES!$C$12)*$R112/$M112)</f>
        <v>-18.037053311009071</v>
      </c>
      <c r="AF112" s="26">
        <f>IF($L112&lt;&gt;"OK",0,(INDEX(PRESIONES!$D$28:$D$31,$U112)*IF(INDEX(PRESIONES!$D$28:$D$31,$U112)&gt;0,PRESIONES!$C$9*IF($T112&lt;=10,1,($T112/10)^(2/DATOS!$C$56)),PRESIONES!$C$15)-ABERTURAS!$L$64*PRESIONES!$C$12)*$S112/$M112)</f>
        <v>0.10686220733938059</v>
      </c>
      <c r="AG112" s="26">
        <f>IF($L112&lt;&gt;"OK",0,(INDEX(PRESIONES!$G$28:$G$31,$U112)*IF(INDEX(PRESIONES!$G$28:$G$31,$U112)&gt;0,PRESIONES!$C$9*IF($T112&lt;=10,1,($T112/10)^(2/DATOS!$C$56)),PRESIONES!$C$15)-ABERTURAS!$L$65*PRESIONES!$C$12)*$S112/$M112)</f>
        <v>16.175650741171854</v>
      </c>
      <c r="AH112" s="26">
        <f>IF($L112&lt;&gt;"OK",0,(INDEX(PRESIONES!$J$28:$J$31,$U112)*IF(INDEX(PRESIONES!$J$28:$J$31,$U112)&gt;0,PRESIONES!$C$9*IF($T112&lt;=10,1,($T112/10)^(2/DATOS!$C$56)),PRESIONES!$C$15)-ABERTURAS!$L$66*PRESIONES!$C$12)*$S112/$M112)</f>
        <v>-1.1046453511927421</v>
      </c>
      <c r="AI112" s="26">
        <f>IF($L112&lt;&gt;"OK",0,(INDEX(PRESIONES!$M$28:$M$31,$U112)*IF(INDEX(PRESIONES!$M$28:$M$31,$U112)&gt;0,PRESIONES!$C$9*IF($T112&lt;=10,1,($T112/10)^(2/DATOS!$C$56)),PRESIONES!$C$15)-ABERTURAS!$L$67*PRESIONES!$C$12)*$S112/$M112)</f>
        <v>-18.037053311009071</v>
      </c>
    </row>
    <row r="113" spans="2:35" ht="16.5" customHeight="1" x14ac:dyDescent="0.3">
      <c r="B113" s="4" t="s">
        <v>566</v>
      </c>
      <c r="C113" s="15" t="s">
        <v>478</v>
      </c>
      <c r="D113" s="4" t="s">
        <v>567</v>
      </c>
      <c r="E113" s="15" t="s">
        <v>430</v>
      </c>
      <c r="F113" s="40">
        <v>10.8</v>
      </c>
      <c r="G113" s="40">
        <v>12.15</v>
      </c>
      <c r="H113" s="40">
        <v>9.84</v>
      </c>
      <c r="I113" s="40">
        <v>10.08</v>
      </c>
      <c r="J113" s="40">
        <v>9.8063000000000002</v>
      </c>
      <c r="K113" s="40">
        <v>10.012499999999999</v>
      </c>
      <c r="L113" s="18" t="str">
        <f t="shared" si="34"/>
        <v>OK</v>
      </c>
      <c r="M113" s="26">
        <f t="shared" si="35"/>
        <v>1.3499999999999996</v>
      </c>
      <c r="N113" s="26">
        <f t="shared" si="36"/>
        <v>0.22310000000000052</v>
      </c>
      <c r="O113" s="26">
        <f t="shared" si="37"/>
        <v>0.30118500000000065</v>
      </c>
      <c r="P113" s="26">
        <f>IF($U113=0,0,SUMPRODUCT((ABERTURAS!$N$7:$N$26=$U113)*ABERTURAS!$U$7:$U$26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Q113" s="26">
        <f>IF($U113=0,0,SUMPRODUCT((ABERTURAS!$N$7:$N$26=$U113)*ABERTURAS!$V$7:$V$26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R113" s="26">
        <f t="shared" si="38"/>
        <v>0.30118500000000065</v>
      </c>
      <c r="S113" s="26">
        <f t="shared" si="39"/>
        <v>0.30118500000000065</v>
      </c>
      <c r="T113" s="41">
        <f t="shared" si="40"/>
        <v>10.08</v>
      </c>
      <c r="U113" s="41">
        <f t="shared" si="41"/>
        <v>4</v>
      </c>
      <c r="V113" s="41">
        <f t="shared" si="42"/>
        <v>9.82315</v>
      </c>
      <c r="W113" s="41">
        <f t="shared" si="43"/>
        <v>10.046250000000001</v>
      </c>
      <c r="X113" s="41">
        <f t="shared" si="44"/>
        <v>10.8</v>
      </c>
      <c r="Y113" s="41">
        <f t="shared" si="45"/>
        <v>12.15</v>
      </c>
      <c r="Z113" s="41">
        <f t="shared" si="46"/>
        <v>9.82315</v>
      </c>
      <c r="AA113" s="41">
        <f t="shared" si="47"/>
        <v>10.046250000000001</v>
      </c>
      <c r="AB113" s="26">
        <f>IF($L113&lt;&gt;"OK",0,(INDEX(PRESIONES!$D$28:$D$31,$U113)*IF(INDEX(PRESIONES!$D$28:$D$31,$U113)&gt;0,PRESIONES!$C$9*IF($T113&lt;=10,1,($T113/10)^(2/DATOS!$C$56)),PRESIONES!$C$15)-ABERTURAS!$L$60*PRESIONES!$C$12)*$R113/$M113)</f>
        <v>9.2820550739403804E-2</v>
      </c>
      <c r="AC113" s="26">
        <f>IF($L113&lt;&gt;"OK",0,(INDEX(PRESIONES!$G$28:$G$31,$U113)*IF(INDEX(PRESIONES!$G$28:$G$31,$U113)&gt;0,PRESIONES!$C$9*IF($T113&lt;=10,1,($T113/10)^(2/DATOS!$C$56)),PRESIONES!$C$15)-ABERTURAS!$L$61*PRESIONES!$C$12)*$R113/$M113)</f>
        <v>14.033786662819532</v>
      </c>
      <c r="AD113" s="26">
        <f>IF($L113&lt;&gt;"OK",0,(INDEX(PRESIONES!$J$28:$J$31,$U113)*IF(INDEX(PRESIONES!$J$28:$J$31,$U113)&gt;0,PRESIONES!$C$9*IF($T113&lt;=10,1,($T113/10)^(2/DATOS!$C$56)),PRESIONES!$C$15)-ABERTURAS!$L$62*PRESIONES!$C$12)*$R113/$M113)</f>
        <v>-0.95949533911271712</v>
      </c>
      <c r="AE113" s="26">
        <f>IF($L113&lt;&gt;"OK",0,(INDEX(PRESIONES!$M$28:$M$31,$U113)*IF(INDEX(PRESIONES!$M$28:$M$31,$U113)&gt;0,PRESIONES!$C$9*IF($T113&lt;=10,1,($T113/10)^(2/DATOS!$C$56)),PRESIONES!$C$15)-ABERTURAS!$L$63*PRESIONES!$C$12)*$R113/$M113)</f>
        <v>-15.666990826109144</v>
      </c>
      <c r="AF113" s="26">
        <f>IF($L113&lt;&gt;"OK",0,(INDEX(PRESIONES!$D$28:$D$31,$U113)*IF(INDEX(PRESIONES!$D$28:$D$31,$U113)&gt;0,PRESIONES!$C$9*IF($T113&lt;=10,1,($T113/10)^(2/DATOS!$C$56)),PRESIONES!$C$15)-ABERTURAS!$L$64*PRESIONES!$C$12)*$S113/$M113)</f>
        <v>9.2820550739403804E-2</v>
      </c>
      <c r="AG113" s="26">
        <f>IF($L113&lt;&gt;"OK",0,(INDEX(PRESIONES!$G$28:$G$31,$U113)*IF(INDEX(PRESIONES!$G$28:$G$31,$U113)&gt;0,PRESIONES!$C$9*IF($T113&lt;=10,1,($T113/10)^(2/DATOS!$C$56)),PRESIONES!$C$15)-ABERTURAS!$L$65*PRESIONES!$C$12)*$S113/$M113)</f>
        <v>14.033786662819532</v>
      </c>
      <c r="AH113" s="26">
        <f>IF($L113&lt;&gt;"OK",0,(INDEX(PRESIONES!$J$28:$J$31,$U113)*IF(INDEX(PRESIONES!$J$28:$J$31,$U113)&gt;0,PRESIONES!$C$9*IF($T113&lt;=10,1,($T113/10)^(2/DATOS!$C$56)),PRESIONES!$C$15)-ABERTURAS!$L$66*PRESIONES!$C$12)*$S113/$M113)</f>
        <v>-0.95949533911271712</v>
      </c>
      <c r="AI113" s="26">
        <f>IF($L113&lt;&gt;"OK",0,(INDEX(PRESIONES!$M$28:$M$31,$U113)*IF(INDEX(PRESIONES!$M$28:$M$31,$U113)&gt;0,PRESIONES!$C$9*IF($T113&lt;=10,1,($T113/10)^(2/DATOS!$C$56)),PRESIONES!$C$15)-ABERTURAS!$L$67*PRESIONES!$C$12)*$S113/$M113)</f>
        <v>-15.666990826109144</v>
      </c>
    </row>
    <row r="114" spans="2:35" ht="16.5" customHeight="1" x14ac:dyDescent="0.3">
      <c r="B114" s="4" t="s">
        <v>568</v>
      </c>
      <c r="C114" s="15" t="s">
        <v>478</v>
      </c>
      <c r="D114" s="4" t="s">
        <v>569</v>
      </c>
      <c r="E114" s="15" t="s">
        <v>430</v>
      </c>
      <c r="F114" s="40">
        <v>12.15</v>
      </c>
      <c r="G114" s="40">
        <v>13.5</v>
      </c>
      <c r="H114" s="40">
        <v>9.8063000000000002</v>
      </c>
      <c r="I114" s="40">
        <v>10.012499999999999</v>
      </c>
      <c r="J114" s="40">
        <v>9.7725000000000009</v>
      </c>
      <c r="K114" s="40">
        <v>9.9450000000000003</v>
      </c>
      <c r="L114" s="18" t="str">
        <f t="shared" si="34"/>
        <v>OK</v>
      </c>
      <c r="M114" s="26">
        <f t="shared" si="35"/>
        <v>1.3499999999999996</v>
      </c>
      <c r="N114" s="26">
        <f t="shared" si="36"/>
        <v>0.18934999999999924</v>
      </c>
      <c r="O114" s="26">
        <f t="shared" si="37"/>
        <v>0.25562249999999892</v>
      </c>
      <c r="P114" s="26">
        <f>IF($U114=0,0,SUMPRODUCT((ABERTURAS!$N$7:$N$26=$U114)*ABERTURAS!$U$7:$U$26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Q114" s="26">
        <f>IF($U114=0,0,SUMPRODUCT((ABERTURAS!$N$7:$N$26=$U114)*ABERTURAS!$V$7:$V$26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R114" s="26">
        <f t="shared" si="38"/>
        <v>0.25562249999999892</v>
      </c>
      <c r="S114" s="26">
        <f t="shared" si="39"/>
        <v>0.25562249999999892</v>
      </c>
      <c r="T114" s="41">
        <f t="shared" si="40"/>
        <v>10.012499999999999</v>
      </c>
      <c r="U114" s="41">
        <f t="shared" si="41"/>
        <v>4</v>
      </c>
      <c r="V114" s="41">
        <f t="shared" si="42"/>
        <v>9.7894000000000005</v>
      </c>
      <c r="W114" s="41">
        <f t="shared" si="43"/>
        <v>9.9787499999999998</v>
      </c>
      <c r="X114" s="41">
        <f t="shared" si="44"/>
        <v>12.15</v>
      </c>
      <c r="Y114" s="41">
        <f t="shared" si="45"/>
        <v>13.5</v>
      </c>
      <c r="Z114" s="41">
        <f t="shared" si="46"/>
        <v>9.7894000000000005</v>
      </c>
      <c r="AA114" s="41">
        <f t="shared" si="47"/>
        <v>9.9787499999999998</v>
      </c>
      <c r="AB114" s="26">
        <f>IF($L114&lt;&gt;"OK",0,(INDEX(PRESIONES!$D$28:$D$31,$U114)*IF(INDEX(PRESIONES!$D$28:$D$31,$U114)&gt;0,PRESIONES!$C$9*IF($T114&lt;=10,1,($T114/10)^(2/DATOS!$C$56)),PRESIONES!$C$15)-ABERTURAS!$L$60*PRESIONES!$C$12)*$R114/$M114)</f>
        <v>7.877889413942625E-2</v>
      </c>
      <c r="AC114" s="26">
        <f>IF($L114&lt;&gt;"OK",0,(INDEX(PRESIONES!$G$28:$G$31,$U114)*IF(INDEX(PRESIONES!$G$28:$G$31,$U114)&gt;0,PRESIONES!$C$9*IF($T114&lt;=10,1,($T114/10)^(2/DATOS!$C$56)),PRESIONES!$C$15)-ABERTURAS!$L$61*PRESIONES!$C$12)*$R114/$M114)</f>
        <v>11.896814535681026</v>
      </c>
      <c r="AD114" s="26">
        <f>IF($L114&lt;&gt;"OK",0,(INDEX(PRESIONES!$J$28:$J$31,$U114)*IF(INDEX(PRESIONES!$J$28:$J$31,$U114)&gt;0,PRESIONES!$C$9*IF($T114&lt;=10,1,($T114/10)^(2/DATOS!$C$56)),PRESIONES!$C$15)-ABERTURAS!$L$62*PRESIONES!$C$12)*$R114/$M114)</f>
        <v>-0.81434532703268414</v>
      </c>
      <c r="AE114" s="26">
        <f>IF($L114&lt;&gt;"OK",0,(INDEX(PRESIONES!$M$28:$M$31,$U114)*IF(INDEX(PRESIONES!$M$28:$M$31,$U114)&gt;0,PRESIONES!$C$9*IF($T114&lt;=10,1,($T114/10)^(2/DATOS!$C$56)),PRESIONES!$C$15)-ABERTURAS!$L$63*PRESIONES!$C$12)*$R114/$M114)</f>
        <v>-13.296928341209085</v>
      </c>
      <c r="AF114" s="26">
        <f>IF($L114&lt;&gt;"OK",0,(INDEX(PRESIONES!$D$28:$D$31,$U114)*IF(INDEX(PRESIONES!$D$28:$D$31,$U114)&gt;0,PRESIONES!$C$9*IF($T114&lt;=10,1,($T114/10)^(2/DATOS!$C$56)),PRESIONES!$C$15)-ABERTURAS!$L$64*PRESIONES!$C$12)*$S114/$M114)</f>
        <v>7.877889413942625E-2</v>
      </c>
      <c r="AG114" s="26">
        <f>IF($L114&lt;&gt;"OK",0,(INDEX(PRESIONES!$G$28:$G$31,$U114)*IF(INDEX(PRESIONES!$G$28:$G$31,$U114)&gt;0,PRESIONES!$C$9*IF($T114&lt;=10,1,($T114/10)^(2/DATOS!$C$56)),PRESIONES!$C$15)-ABERTURAS!$L$65*PRESIONES!$C$12)*$S114/$M114)</f>
        <v>11.896814535681026</v>
      </c>
      <c r="AH114" s="26">
        <f>IF($L114&lt;&gt;"OK",0,(INDEX(PRESIONES!$J$28:$J$31,$U114)*IF(INDEX(PRESIONES!$J$28:$J$31,$U114)&gt;0,PRESIONES!$C$9*IF($T114&lt;=10,1,($T114/10)^(2/DATOS!$C$56)),PRESIONES!$C$15)-ABERTURAS!$L$66*PRESIONES!$C$12)*$S114/$M114)</f>
        <v>-0.81434532703268414</v>
      </c>
      <c r="AI114" s="26">
        <f>IF($L114&lt;&gt;"OK",0,(INDEX(PRESIONES!$M$28:$M$31,$U114)*IF(INDEX(PRESIONES!$M$28:$M$31,$U114)&gt;0,PRESIONES!$C$9*IF($T114&lt;=10,1,($T114/10)^(2/DATOS!$C$56)),PRESIONES!$C$15)-ABERTURAS!$L$67*PRESIONES!$C$12)*$S114/$M114)</f>
        <v>-13.296928341209085</v>
      </c>
    </row>
    <row r="115" spans="2:35" ht="16.5" customHeight="1" x14ac:dyDescent="0.3">
      <c r="B115" s="4" t="s">
        <v>570</v>
      </c>
      <c r="C115" s="15" t="s">
        <v>478</v>
      </c>
      <c r="D115" s="4" t="s">
        <v>571</v>
      </c>
      <c r="E115" s="15" t="s">
        <v>430</v>
      </c>
      <c r="F115" s="40">
        <v>13.5</v>
      </c>
      <c r="G115" s="40">
        <v>14.75</v>
      </c>
      <c r="H115" s="40">
        <v>9.7725000000000009</v>
      </c>
      <c r="I115" s="40">
        <v>9.9450000000000003</v>
      </c>
      <c r="J115" s="40">
        <v>9.7413000000000007</v>
      </c>
      <c r="K115" s="40">
        <v>9.8825000000000003</v>
      </c>
      <c r="L115" s="18" t="str">
        <f t="shared" si="34"/>
        <v>OK</v>
      </c>
      <c r="M115" s="26">
        <f t="shared" si="35"/>
        <v>1.25</v>
      </c>
      <c r="N115" s="26">
        <f t="shared" si="36"/>
        <v>0.1568499999999986</v>
      </c>
      <c r="O115" s="26">
        <f t="shared" si="37"/>
        <v>0.19606249999999825</v>
      </c>
      <c r="P115" s="26">
        <f>IF($U115=0,0,SUMPRODUCT((ABERTURAS!$N$7:$N$26=$U115)*ABERTURAS!$U$7:$U$26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Q115" s="26">
        <f>IF($U115=0,0,SUMPRODUCT((ABERTURAS!$N$7:$N$26=$U115)*ABERTURAS!$V$7:$V$26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R115" s="26">
        <f t="shared" si="38"/>
        <v>0.19606249999999825</v>
      </c>
      <c r="S115" s="26">
        <f t="shared" si="39"/>
        <v>0.19606249999999825</v>
      </c>
      <c r="T115" s="41">
        <f t="shared" si="40"/>
        <v>9.9450000000000003</v>
      </c>
      <c r="U115" s="41">
        <f t="shared" si="41"/>
        <v>4</v>
      </c>
      <c r="V115" s="41">
        <f t="shared" si="42"/>
        <v>9.7569000000000017</v>
      </c>
      <c r="W115" s="41">
        <f t="shared" si="43"/>
        <v>9.9137500000000003</v>
      </c>
      <c r="X115" s="41">
        <f t="shared" si="44"/>
        <v>13.5</v>
      </c>
      <c r="Y115" s="41">
        <f t="shared" si="45"/>
        <v>14.75</v>
      </c>
      <c r="Z115" s="41">
        <f t="shared" si="46"/>
        <v>9.7569000000000017</v>
      </c>
      <c r="AA115" s="41">
        <f t="shared" si="47"/>
        <v>9.9137500000000003</v>
      </c>
      <c r="AB115" s="26">
        <f>IF($L115&lt;&gt;"OK",0,(INDEX(PRESIONES!$D$28:$D$31,$U115)*IF(INDEX(PRESIONES!$D$28:$D$31,$U115)&gt;0,PRESIONES!$C$9*IF($T115&lt;=10,1,($T115/10)^(2/DATOS!$C$56)),PRESIONES!$C$15)-ABERTURAS!$L$60*PRESIONES!$C$12)*$R115/$M115)</f>
        <v>6.5257298895003674E-2</v>
      </c>
      <c r="AC115" s="26">
        <f>IF($L115&lt;&gt;"OK",0,(INDEX(PRESIONES!$G$28:$G$31,$U115)*IF(INDEX(PRESIONES!$G$28:$G$31,$U115)&gt;0,PRESIONES!$C$9*IF($T115&lt;=10,1,($T115/10)^(2/DATOS!$C$56)),PRESIONES!$C$15)-ABERTURAS!$L$61*PRESIONES!$C$12)*$R115/$M115)</f>
        <v>9.8526972988949169</v>
      </c>
      <c r="AD115" s="26">
        <f>IF($L115&lt;&gt;"OK",0,(INDEX(PRESIONES!$J$28:$J$31,$U115)*IF(INDEX(PRESIONES!$J$28:$J$31,$U115)&gt;0,PRESIONES!$C$9*IF($T115&lt;=10,1,($T115/10)^(2/DATOS!$C$56)),PRESIONES!$C$15)-ABERTURAS!$L$62*PRESIONES!$C$12)*$R115/$M115)</f>
        <v>-0.67457124132598822</v>
      </c>
      <c r="AE115" s="26">
        <f>IF($L115&lt;&gt;"OK",0,(INDEX(PRESIONES!$M$28:$M$31,$U115)*IF(INDEX(PRESIONES!$M$28:$M$31,$U115)&gt;0,PRESIONES!$C$9*IF($T115&lt;=10,1,($T115/10)^(2/DATOS!$C$56)),PRESIONES!$C$15)-ABERTURAS!$L$63*PRESIONES!$C$12)*$R115/$M115)</f>
        <v>-11.014645948342409</v>
      </c>
      <c r="AF115" s="26">
        <f>IF($L115&lt;&gt;"OK",0,(INDEX(PRESIONES!$D$28:$D$31,$U115)*IF(INDEX(PRESIONES!$D$28:$D$31,$U115)&gt;0,PRESIONES!$C$9*IF($T115&lt;=10,1,($T115/10)^(2/DATOS!$C$56)),PRESIONES!$C$15)-ABERTURAS!$L$64*PRESIONES!$C$12)*$S115/$M115)</f>
        <v>6.5257298895003674E-2</v>
      </c>
      <c r="AG115" s="26">
        <f>IF($L115&lt;&gt;"OK",0,(INDEX(PRESIONES!$G$28:$G$31,$U115)*IF(INDEX(PRESIONES!$G$28:$G$31,$U115)&gt;0,PRESIONES!$C$9*IF($T115&lt;=10,1,($T115/10)^(2/DATOS!$C$56)),PRESIONES!$C$15)-ABERTURAS!$L$65*PRESIONES!$C$12)*$S115/$M115)</f>
        <v>9.8526972988949169</v>
      </c>
      <c r="AH115" s="26">
        <f>IF($L115&lt;&gt;"OK",0,(INDEX(PRESIONES!$J$28:$J$31,$U115)*IF(INDEX(PRESIONES!$J$28:$J$31,$U115)&gt;0,PRESIONES!$C$9*IF($T115&lt;=10,1,($T115/10)^(2/DATOS!$C$56)),PRESIONES!$C$15)-ABERTURAS!$L$66*PRESIONES!$C$12)*$S115/$M115)</f>
        <v>-0.67457124132598822</v>
      </c>
      <c r="AI115" s="26">
        <f>IF($L115&lt;&gt;"OK",0,(INDEX(PRESIONES!$M$28:$M$31,$U115)*IF(INDEX(PRESIONES!$M$28:$M$31,$U115)&gt;0,PRESIONES!$C$9*IF($T115&lt;=10,1,($T115/10)^(2/DATOS!$C$56)),PRESIONES!$C$15)-ABERTURAS!$L$67*PRESIONES!$C$12)*$S115/$M115)</f>
        <v>-11.014645948342409</v>
      </c>
    </row>
    <row r="116" spans="2:35" ht="16.5" customHeight="1" x14ac:dyDescent="0.3">
      <c r="B116" s="4" t="s">
        <v>572</v>
      </c>
      <c r="C116" s="15" t="s">
        <v>478</v>
      </c>
      <c r="D116" s="4" t="s">
        <v>573</v>
      </c>
      <c r="E116" s="15" t="s">
        <v>430</v>
      </c>
      <c r="F116" s="40">
        <v>14.75</v>
      </c>
      <c r="G116" s="40">
        <v>16</v>
      </c>
      <c r="H116" s="40">
        <v>9.7413000000000007</v>
      </c>
      <c r="I116" s="40">
        <v>9.8825000000000003</v>
      </c>
      <c r="J116" s="40">
        <v>9.7100000000000009</v>
      </c>
      <c r="K116" s="40">
        <v>9.82</v>
      </c>
      <c r="L116" s="18" t="str">
        <f t="shared" si="34"/>
        <v>OK</v>
      </c>
      <c r="M116" s="26">
        <f t="shared" si="35"/>
        <v>1.25</v>
      </c>
      <c r="N116" s="26">
        <f t="shared" si="36"/>
        <v>0.1255999999999986</v>
      </c>
      <c r="O116" s="26">
        <f t="shared" si="37"/>
        <v>0.15699999999999825</v>
      </c>
      <c r="P116" s="26">
        <f>IF($U116=0,0,SUMPRODUCT((ABERTURAS!$N$7:$N$26=$U116)*ABERTURAS!$U$7:$U$26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Q116" s="26">
        <f>IF($U116=0,0,SUMPRODUCT((ABERTURAS!$N$7:$N$26=$U116)*ABERTURAS!$V$7:$V$26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R116" s="26">
        <f t="shared" si="38"/>
        <v>0.15699999999999825</v>
      </c>
      <c r="S116" s="26">
        <f t="shared" si="39"/>
        <v>0.15699999999999825</v>
      </c>
      <c r="T116" s="41">
        <f t="shared" si="40"/>
        <v>9.8825000000000003</v>
      </c>
      <c r="U116" s="41">
        <f t="shared" si="41"/>
        <v>4</v>
      </c>
      <c r="V116" s="41">
        <f t="shared" si="42"/>
        <v>9.7256500000000017</v>
      </c>
      <c r="W116" s="41">
        <f t="shared" si="43"/>
        <v>9.8512500000000003</v>
      </c>
      <c r="X116" s="41">
        <f t="shared" si="44"/>
        <v>14.75</v>
      </c>
      <c r="Y116" s="41">
        <f t="shared" si="45"/>
        <v>16</v>
      </c>
      <c r="Z116" s="41">
        <f t="shared" si="46"/>
        <v>9.7256500000000017</v>
      </c>
      <c r="AA116" s="41">
        <f t="shared" si="47"/>
        <v>9.8512500000000003</v>
      </c>
      <c r="AB116" s="26">
        <f>IF($L116&lt;&gt;"OK",0,(INDEX(PRESIONES!$D$28:$D$31,$U116)*IF(INDEX(PRESIONES!$D$28:$D$31,$U116)&gt;0,PRESIONES!$C$9*IF($T116&lt;=10,1,($T116/10)^(2/DATOS!$C$56)),PRESIONES!$C$15)-ABERTURAS!$L$60*PRESIONES!$C$12)*$R116/$M116)</f>
        <v>5.225576500613608E-2</v>
      </c>
      <c r="AC116" s="26">
        <f>IF($L116&lt;&gt;"OK",0,(INDEX(PRESIONES!$G$28:$G$31,$U116)*IF(INDEX(PRESIONES!$G$28:$G$31,$U116)&gt;0,PRESIONES!$C$9*IF($T116&lt;=10,1,($T116/10)^(2/DATOS!$C$56)),PRESIONES!$C$15)-ABERTURAS!$L$61*PRESIONES!$C$12)*$R116/$M116)</f>
        <v>7.8896957650060502</v>
      </c>
      <c r="AD116" s="26">
        <f>IF($L116&lt;&gt;"OK",0,(INDEX(PRESIONES!$J$28:$J$31,$U116)*IF(INDEX(PRESIONES!$J$28:$J$31,$U116)&gt;0,PRESIONES!$C$9*IF($T116&lt;=10,1,($T116/10)^(2/DATOS!$C$56)),PRESIONES!$C$15)-ABERTURAS!$L$62*PRESIONES!$C$12)*$R116/$M116)</f>
        <v>-0.54017308199262948</v>
      </c>
      <c r="AE116" s="26">
        <f>IF($L116&lt;&gt;"OK",0,(INDEX(PRESIONES!$M$28:$M$31,$U116)*IF(INDEX(PRESIONES!$M$28:$M$31,$U116)&gt;0,PRESIONES!$C$9*IF($T116&lt;=10,1,($T116/10)^(2/DATOS!$C$56)),PRESIONES!$C$15)-ABERTURAS!$L$63*PRESIONES!$C$12)*$R116/$M116)</f>
        <v>-8.8201436475091075</v>
      </c>
      <c r="AF116" s="26">
        <f>IF($L116&lt;&gt;"OK",0,(INDEX(PRESIONES!$D$28:$D$31,$U116)*IF(INDEX(PRESIONES!$D$28:$D$31,$U116)&gt;0,PRESIONES!$C$9*IF($T116&lt;=10,1,($T116/10)^(2/DATOS!$C$56)),PRESIONES!$C$15)-ABERTURAS!$L$64*PRESIONES!$C$12)*$S116/$M116)</f>
        <v>5.225576500613608E-2</v>
      </c>
      <c r="AG116" s="26">
        <f>IF($L116&lt;&gt;"OK",0,(INDEX(PRESIONES!$G$28:$G$31,$U116)*IF(INDEX(PRESIONES!$G$28:$G$31,$U116)&gt;0,PRESIONES!$C$9*IF($T116&lt;=10,1,($T116/10)^(2/DATOS!$C$56)),PRESIONES!$C$15)-ABERTURAS!$L$65*PRESIONES!$C$12)*$S116/$M116)</f>
        <v>7.8896957650060502</v>
      </c>
      <c r="AH116" s="26">
        <f>IF($L116&lt;&gt;"OK",0,(INDEX(PRESIONES!$J$28:$J$31,$U116)*IF(INDEX(PRESIONES!$J$28:$J$31,$U116)&gt;0,PRESIONES!$C$9*IF($T116&lt;=10,1,($T116/10)^(2/DATOS!$C$56)),PRESIONES!$C$15)-ABERTURAS!$L$66*PRESIONES!$C$12)*$S116/$M116)</f>
        <v>-0.54017308199262948</v>
      </c>
      <c r="AI116" s="26">
        <f>IF($L116&lt;&gt;"OK",0,(INDEX(PRESIONES!$M$28:$M$31,$U116)*IF(INDEX(PRESIONES!$M$28:$M$31,$U116)&gt;0,PRESIONES!$C$9*IF($T116&lt;=10,1,($T116/10)^(2/DATOS!$C$56)),PRESIONES!$C$15)-ABERTURAS!$L$67*PRESIONES!$C$12)*$S116/$M116)</f>
        <v>-8.8201436475091075</v>
      </c>
    </row>
    <row r="117" spans="2:35" ht="16.5" customHeight="1" x14ac:dyDescent="0.3">
      <c r="B117" s="4" t="s">
        <v>574</v>
      </c>
      <c r="C117" s="15" t="s">
        <v>226</v>
      </c>
      <c r="D117" s="4" t="s">
        <v>575</v>
      </c>
      <c r="E117" s="15" t="s">
        <v>430</v>
      </c>
      <c r="F117" s="40">
        <v>0</v>
      </c>
      <c r="G117" s="40">
        <v>0.64249999999999996</v>
      </c>
      <c r="H117" s="40">
        <v>0.6</v>
      </c>
      <c r="I117" s="40">
        <v>1.8</v>
      </c>
      <c r="J117" s="40"/>
      <c r="K117" s="40"/>
      <c r="L117" s="18" t="str">
        <f t="shared" si="34"/>
        <v>OK</v>
      </c>
      <c r="M117" s="26">
        <f t="shared" si="35"/>
        <v>0.64249999999999996</v>
      </c>
      <c r="N117" s="26">
        <f t="shared" si="36"/>
        <v>1.2000000000000002</v>
      </c>
      <c r="O117" s="26">
        <f t="shared" si="37"/>
        <v>0.77100000000000002</v>
      </c>
      <c r="P117" s="26">
        <f>IF($U117=0,0,SUMPRODUCT((ABERTURAS!$N$7:$N$26=$U117)*ABERTURAS!$U$7:$U$26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0</v>
      </c>
      <c r="Q117" s="26">
        <f>IF($U117=0,0,SUMPRODUCT((ABERTURAS!$N$7:$N$26=$U117)*ABERTURAS!$V$7:$V$26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1.332267629550188E-16</v>
      </c>
      <c r="R117" s="26">
        <f t="shared" si="38"/>
        <v>0.77100000000000002</v>
      </c>
      <c r="S117" s="26">
        <f t="shared" si="39"/>
        <v>0.77099999999999991</v>
      </c>
      <c r="T117" s="41">
        <f t="shared" si="40"/>
        <v>1.8</v>
      </c>
      <c r="U117" s="41">
        <f t="shared" si="41"/>
        <v>1</v>
      </c>
      <c r="V117" s="41">
        <f t="shared" si="42"/>
        <v>0.6</v>
      </c>
      <c r="W117" s="41">
        <f t="shared" si="43"/>
        <v>1.8</v>
      </c>
      <c r="X117" s="41">
        <f t="shared" si="44"/>
        <v>0</v>
      </c>
      <c r="Y117" s="41">
        <f t="shared" si="45"/>
        <v>0.64249999999999996</v>
      </c>
      <c r="Z117" s="41">
        <f t="shared" si="46"/>
        <v>0.6</v>
      </c>
      <c r="AA117" s="41">
        <f t="shared" si="47"/>
        <v>1.8</v>
      </c>
      <c r="AB117" s="26">
        <f>IF($L117&lt;&gt;"OK",0,(INDEX(PRESIONES!$D$28:$D$31,$U117)*IF(INDEX(PRESIONES!$D$28:$D$31,$U117)&gt;0,PRESIONES!$C$9*IF($T117&lt;=10,1,($T117/10)^(2/DATOS!$C$56)),PRESIONES!$C$15)-ABERTURAS!$L$60*PRESIONES!$C$12)*$R117/$M117)</f>
        <v>-11.020741098667479</v>
      </c>
      <c r="AC117" s="26">
        <f>IF($L117&lt;&gt;"OK",0,(INDEX(PRESIONES!$G$28:$G$31,$U117)*IF(INDEX(PRESIONES!$G$28:$G$31,$U117)&gt;0,PRESIONES!$C$9*IF($T117&lt;=10,1,($T117/10)^(2/DATOS!$C$56)),PRESIONES!$C$15)-ABERTURAS!$L$61*PRESIONES!$C$12)*$R117/$M117)</f>
        <v>-11.020741098667479</v>
      </c>
      <c r="AD117" s="26">
        <f>IF($L117&lt;&gt;"OK",0,(INDEX(PRESIONES!$J$28:$J$31,$U117)*IF(INDEX(PRESIONES!$J$28:$J$31,$U117)&gt;0,PRESIONES!$C$9*IF($T117&lt;=10,1,($T117/10)^(2/DATOS!$C$56)),PRESIONES!$C$15)-ABERTURAS!$L$62*PRESIONES!$C$12)*$R117/$M117)</f>
        <v>81.239110681599016</v>
      </c>
      <c r="AE117" s="26">
        <f>IF($L117&lt;&gt;"OK",0,(INDEX(PRESIONES!$M$28:$M$31,$U117)*IF(INDEX(PRESIONES!$M$28:$M$31,$U117)&gt;0,PRESIONES!$C$9*IF($T117&lt;=10,1,($T117/10)^(2/DATOS!$C$56)),PRESIONES!$C$15)-ABERTURAS!$L$63*PRESIONES!$C$12)*$R117/$M117)</f>
        <v>-72.748888351998787</v>
      </c>
      <c r="AF117" s="26">
        <f>IF($L117&lt;&gt;"OK",0,(INDEX(PRESIONES!$D$28:$D$31,$U117)*IF(INDEX(PRESIONES!$D$28:$D$31,$U117)&gt;0,PRESIONES!$C$9*IF($T117&lt;=10,1,($T117/10)^(2/DATOS!$C$56)),PRESIONES!$C$15)-ABERTURAS!$L$64*PRESIONES!$C$12)*$S117/$M117)</f>
        <v>-11.020741098667477</v>
      </c>
      <c r="AG117" s="26">
        <f>IF($L117&lt;&gt;"OK",0,(INDEX(PRESIONES!$G$28:$G$31,$U117)*IF(INDEX(PRESIONES!$G$28:$G$31,$U117)&gt;0,PRESIONES!$C$9*IF($T117&lt;=10,1,($T117/10)^(2/DATOS!$C$56)),PRESIONES!$C$15)-ABERTURAS!$L$65*PRESIONES!$C$12)*$S117/$M117)</f>
        <v>-11.020741098667477</v>
      </c>
      <c r="AH117" s="26">
        <f>IF($L117&lt;&gt;"OK",0,(INDEX(PRESIONES!$J$28:$J$31,$U117)*IF(INDEX(PRESIONES!$J$28:$J$31,$U117)&gt;0,PRESIONES!$C$9*IF($T117&lt;=10,1,($T117/10)^(2/DATOS!$C$56)),PRESIONES!$C$15)-ABERTURAS!$L$66*PRESIONES!$C$12)*$S117/$M117)</f>
        <v>81.239110681599016</v>
      </c>
      <c r="AI117" s="26">
        <f>IF($L117&lt;&gt;"OK",0,(INDEX(PRESIONES!$M$28:$M$31,$U117)*IF(INDEX(PRESIONES!$M$28:$M$31,$U117)&gt;0,PRESIONES!$C$9*IF($T117&lt;=10,1,($T117/10)^(2/DATOS!$C$56)),PRESIONES!$C$15)-ABERTURAS!$L$67*PRESIONES!$C$12)*$S117/$M117)</f>
        <v>-72.748888351998772</v>
      </c>
    </row>
    <row r="118" spans="2:35" ht="16.5" customHeight="1" x14ac:dyDescent="0.3">
      <c r="B118" s="4" t="s">
        <v>576</v>
      </c>
      <c r="C118" s="15" t="s">
        <v>226</v>
      </c>
      <c r="D118" s="4" t="s">
        <v>577</v>
      </c>
      <c r="E118" s="15" t="s">
        <v>430</v>
      </c>
      <c r="F118" s="40">
        <v>1.9439</v>
      </c>
      <c r="G118" s="40">
        <v>2.4868999999999999</v>
      </c>
      <c r="H118" s="40">
        <v>0.6</v>
      </c>
      <c r="I118" s="40">
        <v>1.8</v>
      </c>
      <c r="J118" s="40"/>
      <c r="K118" s="40"/>
      <c r="L118" s="18" t="str">
        <f t="shared" si="34"/>
        <v>OK</v>
      </c>
      <c r="M118" s="26">
        <f t="shared" si="35"/>
        <v>0.54299999999999993</v>
      </c>
      <c r="N118" s="26">
        <f t="shared" si="36"/>
        <v>1.2000000000000002</v>
      </c>
      <c r="O118" s="26">
        <f t="shared" si="37"/>
        <v>0.65159999999999996</v>
      </c>
      <c r="P118" s="26">
        <f>IF($U118=0,0,SUMPRODUCT((ABERTURAS!$N$7:$N$26=$U118)*ABERTURAS!$U$7:$U$26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0</v>
      </c>
      <c r="Q118" s="26">
        <f>IF($U118=0,0,SUMPRODUCT((ABERTURAS!$N$7:$N$26=$U118)*ABERTURAS!$V$7:$V$26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5.3290705182007522E-16</v>
      </c>
      <c r="R118" s="26">
        <f t="shared" si="38"/>
        <v>0.65159999999999996</v>
      </c>
      <c r="S118" s="26">
        <f t="shared" si="39"/>
        <v>0.6515999999999994</v>
      </c>
      <c r="T118" s="41">
        <f t="shared" si="40"/>
        <v>1.8</v>
      </c>
      <c r="U118" s="41">
        <f t="shared" si="41"/>
        <v>1</v>
      </c>
      <c r="V118" s="41">
        <f t="shared" si="42"/>
        <v>0.6</v>
      </c>
      <c r="W118" s="41">
        <f t="shared" si="43"/>
        <v>1.8</v>
      </c>
      <c r="X118" s="41">
        <f t="shared" si="44"/>
        <v>1.9439</v>
      </c>
      <c r="Y118" s="41">
        <f t="shared" si="45"/>
        <v>2.4868999999999999</v>
      </c>
      <c r="Z118" s="41">
        <f t="shared" si="46"/>
        <v>0.6</v>
      </c>
      <c r="AA118" s="41">
        <f t="shared" si="47"/>
        <v>1.8</v>
      </c>
      <c r="AB118" s="26">
        <f>IF($L118&lt;&gt;"OK",0,(INDEX(PRESIONES!$D$28:$D$31,$U118)*IF(INDEX(PRESIONES!$D$28:$D$31,$U118)&gt;0,PRESIONES!$C$9*IF($T118&lt;=10,1,($T118/10)^(2/DATOS!$C$56)),PRESIONES!$C$15)-ABERTURAS!$L$60*PRESIONES!$C$12)*$R118/$M118)</f>
        <v>-11.020741098667479</v>
      </c>
      <c r="AC118" s="26">
        <f>IF($L118&lt;&gt;"OK",0,(INDEX(PRESIONES!$G$28:$G$31,$U118)*IF(INDEX(PRESIONES!$G$28:$G$31,$U118)&gt;0,PRESIONES!$C$9*IF($T118&lt;=10,1,($T118/10)^(2/DATOS!$C$56)),PRESIONES!$C$15)-ABERTURAS!$L$61*PRESIONES!$C$12)*$R118/$M118)</f>
        <v>-11.020741098667479</v>
      </c>
      <c r="AD118" s="26">
        <f>IF($L118&lt;&gt;"OK",0,(INDEX(PRESIONES!$J$28:$J$31,$U118)*IF(INDEX(PRESIONES!$J$28:$J$31,$U118)&gt;0,PRESIONES!$C$9*IF($T118&lt;=10,1,($T118/10)^(2/DATOS!$C$56)),PRESIONES!$C$15)-ABERTURAS!$L$62*PRESIONES!$C$12)*$R118/$M118)</f>
        <v>81.23911068159903</v>
      </c>
      <c r="AE118" s="26">
        <f>IF($L118&lt;&gt;"OK",0,(INDEX(PRESIONES!$M$28:$M$31,$U118)*IF(INDEX(PRESIONES!$M$28:$M$31,$U118)&gt;0,PRESIONES!$C$9*IF($T118&lt;=10,1,($T118/10)^(2/DATOS!$C$56)),PRESIONES!$C$15)-ABERTURAS!$L$63*PRESIONES!$C$12)*$R118/$M118)</f>
        <v>-72.748888351998787</v>
      </c>
      <c r="AF118" s="26">
        <f>IF($L118&lt;&gt;"OK",0,(INDEX(PRESIONES!$D$28:$D$31,$U118)*IF(INDEX(PRESIONES!$D$28:$D$31,$U118)&gt;0,PRESIONES!$C$9*IF($T118&lt;=10,1,($T118/10)^(2/DATOS!$C$56)),PRESIONES!$C$15)-ABERTURAS!$L$64*PRESIONES!$C$12)*$S118/$M118)</f>
        <v>-11.02074109866747</v>
      </c>
      <c r="AG118" s="26">
        <f>IF($L118&lt;&gt;"OK",0,(INDEX(PRESIONES!$G$28:$G$31,$U118)*IF(INDEX(PRESIONES!$G$28:$G$31,$U118)&gt;0,PRESIONES!$C$9*IF($T118&lt;=10,1,($T118/10)^(2/DATOS!$C$56)),PRESIONES!$C$15)-ABERTURAS!$L$65*PRESIONES!$C$12)*$S118/$M118)</f>
        <v>-11.02074109866747</v>
      </c>
      <c r="AH118" s="26">
        <f>IF($L118&lt;&gt;"OK",0,(INDEX(PRESIONES!$J$28:$J$31,$U118)*IF(INDEX(PRESIONES!$J$28:$J$31,$U118)&gt;0,PRESIONES!$C$9*IF($T118&lt;=10,1,($T118/10)^(2/DATOS!$C$56)),PRESIONES!$C$15)-ABERTURAS!$L$66*PRESIONES!$C$12)*$S118/$M118)</f>
        <v>81.239110681598945</v>
      </c>
      <c r="AI118" s="26">
        <f>IF($L118&lt;&gt;"OK",0,(INDEX(PRESIONES!$M$28:$M$31,$U118)*IF(INDEX(PRESIONES!$M$28:$M$31,$U118)&gt;0,PRESIONES!$C$9*IF($T118&lt;=10,1,($T118/10)^(2/DATOS!$C$56)),PRESIONES!$C$15)-ABERTURAS!$L$67*PRESIONES!$C$12)*$S118/$M118)</f>
        <v>-72.748888351998716</v>
      </c>
    </row>
    <row r="119" spans="2:35" ht="16.5" customHeight="1" x14ac:dyDescent="0.3">
      <c r="B119" s="4" t="s">
        <v>578</v>
      </c>
      <c r="C119" s="15" t="s">
        <v>226</v>
      </c>
      <c r="D119" s="4" t="s">
        <v>579</v>
      </c>
      <c r="E119" s="15" t="s">
        <v>430</v>
      </c>
      <c r="F119" s="40">
        <v>7.5884999999999998</v>
      </c>
      <c r="G119" s="40">
        <v>10.08</v>
      </c>
      <c r="H119" s="40">
        <v>0.6</v>
      </c>
      <c r="I119" s="40">
        <v>1.8</v>
      </c>
      <c r="J119" s="40"/>
      <c r="K119" s="40"/>
      <c r="L119" s="18" t="str">
        <f t="shared" si="34"/>
        <v>OK</v>
      </c>
      <c r="M119" s="26">
        <f t="shared" si="35"/>
        <v>2.4915000000000003</v>
      </c>
      <c r="N119" s="26">
        <f t="shared" si="36"/>
        <v>1.2000000000000002</v>
      </c>
      <c r="O119" s="26">
        <f t="shared" si="37"/>
        <v>2.9898000000000007</v>
      </c>
      <c r="P119" s="26">
        <f>IF($U119=0,0,SUMPRODUCT((ABERTURAS!$N$7:$N$26=$U119)*ABERTURAS!$U$7:$U$26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0</v>
      </c>
      <c r="Q119" s="26">
        <f>IF($U119=0,0,SUMPRODUCT((ABERTURAS!$N$7:$N$26=$U119)*ABERTURAS!$V$7:$V$26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1.0658141036401504E-15</v>
      </c>
      <c r="R119" s="26">
        <f t="shared" si="38"/>
        <v>2.9898000000000007</v>
      </c>
      <c r="S119" s="26">
        <f t="shared" si="39"/>
        <v>2.9897999999999998</v>
      </c>
      <c r="T119" s="41">
        <f t="shared" si="40"/>
        <v>1.8</v>
      </c>
      <c r="U119" s="41">
        <f t="shared" si="41"/>
        <v>1</v>
      </c>
      <c r="V119" s="41">
        <f t="shared" si="42"/>
        <v>0.6</v>
      </c>
      <c r="W119" s="41">
        <f t="shared" si="43"/>
        <v>1.8</v>
      </c>
      <c r="X119" s="41">
        <f t="shared" si="44"/>
        <v>7.5884999999999998</v>
      </c>
      <c r="Y119" s="41">
        <f t="shared" si="45"/>
        <v>10.08</v>
      </c>
      <c r="Z119" s="41">
        <f t="shared" si="46"/>
        <v>0.6</v>
      </c>
      <c r="AA119" s="41">
        <f t="shared" si="47"/>
        <v>1.8</v>
      </c>
      <c r="AB119" s="26">
        <f>IF($L119&lt;&gt;"OK",0,(INDEX(PRESIONES!$D$28:$D$31,$U119)*IF(INDEX(PRESIONES!$D$28:$D$31,$U119)&gt;0,PRESIONES!$C$9*IF($T119&lt;=10,1,($T119/10)^(2/DATOS!$C$56)),PRESIONES!$C$15)-ABERTURAS!$L$60*PRESIONES!$C$12)*$R119/$M119)</f>
        <v>-11.020741098667479</v>
      </c>
      <c r="AC119" s="26">
        <f>IF($L119&lt;&gt;"OK",0,(INDEX(PRESIONES!$G$28:$G$31,$U119)*IF(INDEX(PRESIONES!$G$28:$G$31,$U119)&gt;0,PRESIONES!$C$9*IF($T119&lt;=10,1,($T119/10)^(2/DATOS!$C$56)),PRESIONES!$C$15)-ABERTURAS!$L$61*PRESIONES!$C$12)*$R119/$M119)</f>
        <v>-11.020741098667479</v>
      </c>
      <c r="AD119" s="26">
        <f>IF($L119&lt;&gt;"OK",0,(INDEX(PRESIONES!$J$28:$J$31,$U119)*IF(INDEX(PRESIONES!$J$28:$J$31,$U119)&gt;0,PRESIONES!$C$9*IF($T119&lt;=10,1,($T119/10)^(2/DATOS!$C$56)),PRESIONES!$C$15)-ABERTURAS!$L$62*PRESIONES!$C$12)*$R119/$M119)</f>
        <v>81.23911068159903</v>
      </c>
      <c r="AE119" s="26">
        <f>IF($L119&lt;&gt;"OK",0,(INDEX(PRESIONES!$M$28:$M$31,$U119)*IF(INDEX(PRESIONES!$M$28:$M$31,$U119)&gt;0,PRESIONES!$C$9*IF($T119&lt;=10,1,($T119/10)^(2/DATOS!$C$56)),PRESIONES!$C$15)-ABERTURAS!$L$63*PRESIONES!$C$12)*$R119/$M119)</f>
        <v>-72.748888351998787</v>
      </c>
      <c r="AF119" s="26">
        <f>IF($L119&lt;&gt;"OK",0,(INDEX(PRESIONES!$D$28:$D$31,$U119)*IF(INDEX(PRESIONES!$D$28:$D$31,$U119)&gt;0,PRESIONES!$C$9*IF($T119&lt;=10,1,($T119/10)^(2/DATOS!$C$56)),PRESIONES!$C$15)-ABERTURAS!$L$64*PRESIONES!$C$12)*$S119/$M119)</f>
        <v>-11.020741098667475</v>
      </c>
      <c r="AG119" s="26">
        <f>IF($L119&lt;&gt;"OK",0,(INDEX(PRESIONES!$G$28:$G$31,$U119)*IF(INDEX(PRESIONES!$G$28:$G$31,$U119)&gt;0,PRESIONES!$C$9*IF($T119&lt;=10,1,($T119/10)^(2/DATOS!$C$56)),PRESIONES!$C$15)-ABERTURAS!$L$65*PRESIONES!$C$12)*$S119/$M119)</f>
        <v>-11.020741098667475</v>
      </c>
      <c r="AH119" s="26">
        <f>IF($L119&lt;&gt;"OK",0,(INDEX(PRESIONES!$J$28:$J$31,$U119)*IF(INDEX(PRESIONES!$J$28:$J$31,$U119)&gt;0,PRESIONES!$C$9*IF($T119&lt;=10,1,($T119/10)^(2/DATOS!$C$56)),PRESIONES!$C$15)-ABERTURAS!$L$66*PRESIONES!$C$12)*$S119/$M119)</f>
        <v>81.239110681599001</v>
      </c>
      <c r="AI119" s="26">
        <f>IF($L119&lt;&gt;"OK",0,(INDEX(PRESIONES!$M$28:$M$31,$U119)*IF(INDEX(PRESIONES!$M$28:$M$31,$U119)&gt;0,PRESIONES!$C$9*IF($T119&lt;=10,1,($T119/10)^(2/DATOS!$C$56)),PRESIONES!$C$15)-ABERTURAS!$L$67*PRESIONES!$C$12)*$S119/$M119)</f>
        <v>-72.748888351998772</v>
      </c>
    </row>
    <row r="120" spans="2:35" ht="16.5" customHeight="1" x14ac:dyDescent="0.3">
      <c r="B120" s="4" t="s">
        <v>580</v>
      </c>
      <c r="C120" s="15" t="s">
        <v>226</v>
      </c>
      <c r="D120" s="4" t="s">
        <v>581</v>
      </c>
      <c r="E120" s="15" t="s">
        <v>430</v>
      </c>
      <c r="F120" s="40">
        <v>0</v>
      </c>
      <c r="G120" s="40">
        <v>0.64249999999999996</v>
      </c>
      <c r="H120" s="40">
        <v>1.8</v>
      </c>
      <c r="I120" s="40">
        <v>3</v>
      </c>
      <c r="J120" s="40"/>
      <c r="K120" s="40"/>
      <c r="L120" s="18" t="str">
        <f t="shared" si="34"/>
        <v>OK</v>
      </c>
      <c r="M120" s="26">
        <f t="shared" si="35"/>
        <v>0.64249999999999996</v>
      </c>
      <c r="N120" s="26">
        <f t="shared" si="36"/>
        <v>1.2</v>
      </c>
      <c r="O120" s="26">
        <f t="shared" si="37"/>
        <v>0.77099999999999991</v>
      </c>
      <c r="P120" s="26">
        <f>IF($U120=0,0,SUMPRODUCT((ABERTURAS!$N$7:$N$26=$U120)*ABERTURAS!$U$7:$U$26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0</v>
      </c>
      <c r="Q120" s="26">
        <f>IF($U120=0,0,SUMPRODUCT((ABERTURAS!$N$7:$N$26=$U120)*ABERTURAS!$V$7:$V$26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6.6613381477509427E-17</v>
      </c>
      <c r="R120" s="26">
        <f t="shared" si="38"/>
        <v>0.77099999999999991</v>
      </c>
      <c r="S120" s="26">
        <f t="shared" si="39"/>
        <v>0.7709999999999998</v>
      </c>
      <c r="T120" s="41">
        <f t="shared" si="40"/>
        <v>3</v>
      </c>
      <c r="U120" s="41">
        <f t="shared" si="41"/>
        <v>1</v>
      </c>
      <c r="V120" s="41">
        <f t="shared" si="42"/>
        <v>1.8</v>
      </c>
      <c r="W120" s="41">
        <f t="shared" si="43"/>
        <v>3</v>
      </c>
      <c r="X120" s="41">
        <f t="shared" si="44"/>
        <v>0</v>
      </c>
      <c r="Y120" s="41">
        <f t="shared" si="45"/>
        <v>0.64249999999999996</v>
      </c>
      <c r="Z120" s="41">
        <f t="shared" si="46"/>
        <v>1.8</v>
      </c>
      <c r="AA120" s="41">
        <f t="shared" si="47"/>
        <v>3</v>
      </c>
      <c r="AB120" s="26">
        <f>IF($L120&lt;&gt;"OK",0,(INDEX(PRESIONES!$D$28:$D$31,$U120)*IF(INDEX(PRESIONES!$D$28:$D$31,$U120)&gt;0,PRESIONES!$C$9*IF($T120&lt;=10,1,($T120/10)^(2/DATOS!$C$56)),PRESIONES!$C$15)-ABERTURAS!$L$60*PRESIONES!$C$12)*$R120/$M120)</f>
        <v>-11.020741098667477</v>
      </c>
      <c r="AC120" s="26">
        <f>IF($L120&lt;&gt;"OK",0,(INDEX(PRESIONES!$G$28:$G$31,$U120)*IF(INDEX(PRESIONES!$G$28:$G$31,$U120)&gt;0,PRESIONES!$C$9*IF($T120&lt;=10,1,($T120/10)^(2/DATOS!$C$56)),PRESIONES!$C$15)-ABERTURAS!$L$61*PRESIONES!$C$12)*$R120/$M120)</f>
        <v>-11.020741098667477</v>
      </c>
      <c r="AD120" s="26">
        <f>IF($L120&lt;&gt;"OK",0,(INDEX(PRESIONES!$J$28:$J$31,$U120)*IF(INDEX(PRESIONES!$J$28:$J$31,$U120)&gt;0,PRESIONES!$C$9*IF($T120&lt;=10,1,($T120/10)^(2/DATOS!$C$56)),PRESIONES!$C$15)-ABERTURAS!$L$62*PRESIONES!$C$12)*$R120/$M120)</f>
        <v>81.239110681599016</v>
      </c>
      <c r="AE120" s="26">
        <f>IF($L120&lt;&gt;"OK",0,(INDEX(PRESIONES!$M$28:$M$31,$U120)*IF(INDEX(PRESIONES!$M$28:$M$31,$U120)&gt;0,PRESIONES!$C$9*IF($T120&lt;=10,1,($T120/10)^(2/DATOS!$C$56)),PRESIONES!$C$15)-ABERTURAS!$L$63*PRESIONES!$C$12)*$R120/$M120)</f>
        <v>-72.748888351998772</v>
      </c>
      <c r="AF120" s="26">
        <f>IF($L120&lt;&gt;"OK",0,(INDEX(PRESIONES!$D$28:$D$31,$U120)*IF(INDEX(PRESIONES!$D$28:$D$31,$U120)&gt;0,PRESIONES!$C$9*IF($T120&lt;=10,1,($T120/10)^(2/DATOS!$C$56)),PRESIONES!$C$15)-ABERTURAS!$L$64*PRESIONES!$C$12)*$S120/$M120)</f>
        <v>-11.020741098667475</v>
      </c>
      <c r="AG120" s="26">
        <f>IF($L120&lt;&gt;"OK",0,(INDEX(PRESIONES!$G$28:$G$31,$U120)*IF(INDEX(PRESIONES!$G$28:$G$31,$U120)&gt;0,PRESIONES!$C$9*IF($T120&lt;=10,1,($T120/10)^(2/DATOS!$C$56)),PRESIONES!$C$15)-ABERTURAS!$L$65*PRESIONES!$C$12)*$S120/$M120)</f>
        <v>-11.020741098667475</v>
      </c>
      <c r="AH120" s="26">
        <f>IF($L120&lt;&gt;"OK",0,(INDEX(PRESIONES!$J$28:$J$31,$U120)*IF(INDEX(PRESIONES!$J$28:$J$31,$U120)&gt;0,PRESIONES!$C$9*IF($T120&lt;=10,1,($T120/10)^(2/DATOS!$C$56)),PRESIONES!$C$15)-ABERTURAS!$L$66*PRESIONES!$C$12)*$S120/$M120)</f>
        <v>81.239110681599001</v>
      </c>
      <c r="AI120" s="26">
        <f>IF($L120&lt;&gt;"OK",0,(INDEX(PRESIONES!$M$28:$M$31,$U120)*IF(INDEX(PRESIONES!$M$28:$M$31,$U120)&gt;0,PRESIONES!$C$9*IF($T120&lt;=10,1,($T120/10)^(2/DATOS!$C$56)),PRESIONES!$C$15)-ABERTURAS!$L$67*PRESIONES!$C$12)*$S120/$M120)</f>
        <v>-72.748888351998772</v>
      </c>
    </row>
    <row r="121" spans="2:35" ht="16.5" customHeight="1" x14ac:dyDescent="0.3">
      <c r="B121" s="4" t="s">
        <v>582</v>
      </c>
      <c r="C121" s="15" t="s">
        <v>226</v>
      </c>
      <c r="D121" s="4" t="s">
        <v>583</v>
      </c>
      <c r="E121" s="15" t="s">
        <v>430</v>
      </c>
      <c r="F121" s="40">
        <v>0.64249999999999996</v>
      </c>
      <c r="G121" s="40">
        <v>1.9439</v>
      </c>
      <c r="H121" s="40">
        <v>1.2</v>
      </c>
      <c r="I121" s="40">
        <v>3</v>
      </c>
      <c r="J121" s="40"/>
      <c r="K121" s="40"/>
      <c r="L121" s="18" t="str">
        <f t="shared" si="34"/>
        <v>OK</v>
      </c>
      <c r="M121" s="26">
        <f t="shared" si="35"/>
        <v>1.3014000000000001</v>
      </c>
      <c r="N121" s="26">
        <f t="shared" si="36"/>
        <v>1.8</v>
      </c>
      <c r="O121" s="26">
        <f t="shared" si="37"/>
        <v>2.3425200000000004</v>
      </c>
      <c r="P121" s="26">
        <f>IF($U121=0,0,SUMPRODUCT((ABERTURAS!$N$7:$N$26=$U121)*ABERTURAS!$U$7:$U$26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0</v>
      </c>
      <c r="Q121" s="26">
        <f>IF($U121=0,0,SUMPRODUCT((ABERTURAS!$N$7:$N$26=$U121)*ABERTURAS!$V$7:$V$26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1.5616800000000002</v>
      </c>
      <c r="R121" s="26">
        <f t="shared" si="38"/>
        <v>2.3425200000000004</v>
      </c>
      <c r="S121" s="26">
        <f t="shared" si="39"/>
        <v>0.7808400000000002</v>
      </c>
      <c r="T121" s="41">
        <f t="shared" si="40"/>
        <v>3</v>
      </c>
      <c r="U121" s="41">
        <f t="shared" si="41"/>
        <v>1</v>
      </c>
      <c r="V121" s="41">
        <f t="shared" si="42"/>
        <v>1.2</v>
      </c>
      <c r="W121" s="41">
        <f t="shared" si="43"/>
        <v>3</v>
      </c>
      <c r="X121" s="41">
        <f t="shared" si="44"/>
        <v>0.64249999999999996</v>
      </c>
      <c r="Y121" s="41">
        <f t="shared" si="45"/>
        <v>1.9439</v>
      </c>
      <c r="Z121" s="41">
        <f t="shared" si="46"/>
        <v>1.2</v>
      </c>
      <c r="AA121" s="41">
        <f t="shared" si="47"/>
        <v>3</v>
      </c>
      <c r="AB121" s="26">
        <f>IF($L121&lt;&gt;"OK",0,(INDEX(PRESIONES!$D$28:$D$31,$U121)*IF(INDEX(PRESIONES!$D$28:$D$31,$U121)&gt;0,PRESIONES!$C$9*IF($T121&lt;=10,1,($T121/10)^(2/DATOS!$C$56)),PRESIONES!$C$15)-ABERTURAS!$L$60*PRESIONES!$C$12)*$R121/$M121)</f>
        <v>-16.531111648001218</v>
      </c>
      <c r="AC121" s="26">
        <f>IF($L121&lt;&gt;"OK",0,(INDEX(PRESIONES!$G$28:$G$31,$U121)*IF(INDEX(PRESIONES!$G$28:$G$31,$U121)&gt;0,PRESIONES!$C$9*IF($T121&lt;=10,1,($T121/10)^(2/DATOS!$C$56)),PRESIONES!$C$15)-ABERTURAS!$L$61*PRESIONES!$C$12)*$R121/$M121)</f>
        <v>-16.531111648001218</v>
      </c>
      <c r="AD121" s="26">
        <f>IF($L121&lt;&gt;"OK",0,(INDEX(PRESIONES!$J$28:$J$31,$U121)*IF(INDEX(PRESIONES!$J$28:$J$31,$U121)&gt;0,PRESIONES!$C$9*IF($T121&lt;=10,1,($T121/10)^(2/DATOS!$C$56)),PRESIONES!$C$15)-ABERTURAS!$L$62*PRESIONES!$C$12)*$R121/$M121)</f>
        <v>121.85866602239854</v>
      </c>
      <c r="AE121" s="26">
        <f>IF($L121&lt;&gt;"OK",0,(INDEX(PRESIONES!$M$28:$M$31,$U121)*IF(INDEX(PRESIONES!$M$28:$M$31,$U121)&gt;0,PRESIONES!$C$9*IF($T121&lt;=10,1,($T121/10)^(2/DATOS!$C$56)),PRESIONES!$C$15)-ABERTURAS!$L$63*PRESIONES!$C$12)*$R121/$M121)</f>
        <v>-109.12333252799817</v>
      </c>
      <c r="AF121" s="26">
        <f>IF($L121&lt;&gt;"OK",0,(INDEX(PRESIONES!$D$28:$D$31,$U121)*IF(INDEX(PRESIONES!$D$28:$D$31,$U121)&gt;0,PRESIONES!$C$9*IF($T121&lt;=10,1,($T121/10)^(2/DATOS!$C$56)),PRESIONES!$C$15)-ABERTURAS!$L$64*PRESIONES!$C$12)*$S121/$M121)</f>
        <v>-5.5103705493337394</v>
      </c>
      <c r="AG121" s="26">
        <f>IF($L121&lt;&gt;"OK",0,(INDEX(PRESIONES!$G$28:$G$31,$U121)*IF(INDEX(PRESIONES!$G$28:$G$31,$U121)&gt;0,PRESIONES!$C$9*IF($T121&lt;=10,1,($T121/10)^(2/DATOS!$C$56)),PRESIONES!$C$15)-ABERTURAS!$L$65*PRESIONES!$C$12)*$S121/$M121)</f>
        <v>-5.5103705493337394</v>
      </c>
      <c r="AH121" s="26">
        <f>IF($L121&lt;&gt;"OK",0,(INDEX(PRESIONES!$J$28:$J$31,$U121)*IF(INDEX(PRESIONES!$J$28:$J$31,$U121)&gt;0,PRESIONES!$C$9*IF($T121&lt;=10,1,($T121/10)^(2/DATOS!$C$56)),PRESIONES!$C$15)-ABERTURAS!$L$66*PRESIONES!$C$12)*$S121/$M121)</f>
        <v>40.619555340799515</v>
      </c>
      <c r="AI121" s="26">
        <f>IF($L121&lt;&gt;"OK",0,(INDEX(PRESIONES!$M$28:$M$31,$U121)*IF(INDEX(PRESIONES!$M$28:$M$31,$U121)&gt;0,PRESIONES!$C$9*IF($T121&lt;=10,1,($T121/10)^(2/DATOS!$C$56)),PRESIONES!$C$15)-ABERTURAS!$L$67*PRESIONES!$C$12)*$S121/$M121)</f>
        <v>-36.3744441759994</v>
      </c>
    </row>
    <row r="122" spans="2:35" ht="16.5" customHeight="1" x14ac:dyDescent="0.3">
      <c r="B122" s="4" t="s">
        <v>584</v>
      </c>
      <c r="C122" s="15" t="s">
        <v>226</v>
      </c>
      <c r="D122" s="4" t="s">
        <v>585</v>
      </c>
      <c r="E122" s="15" t="s">
        <v>430</v>
      </c>
      <c r="F122" s="40">
        <v>1.9439</v>
      </c>
      <c r="G122" s="40">
        <v>2.4868999999999999</v>
      </c>
      <c r="H122" s="40">
        <v>1.8</v>
      </c>
      <c r="I122" s="40">
        <v>3</v>
      </c>
      <c r="J122" s="40"/>
      <c r="K122" s="40"/>
      <c r="L122" s="18" t="str">
        <f t="shared" si="34"/>
        <v>OK</v>
      </c>
      <c r="M122" s="26">
        <f t="shared" si="35"/>
        <v>0.54299999999999993</v>
      </c>
      <c r="N122" s="26">
        <f t="shared" si="36"/>
        <v>1.2</v>
      </c>
      <c r="O122" s="26">
        <f t="shared" si="37"/>
        <v>0.65159999999999985</v>
      </c>
      <c r="P122" s="26">
        <f>IF($U122=0,0,SUMPRODUCT((ABERTURAS!$N$7:$N$26=$U122)*ABERTURAS!$U$7:$U$26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0</v>
      </c>
      <c r="Q122" s="26">
        <f>IF($U122=0,0,SUMPRODUCT((ABERTURAS!$N$7:$N$26=$U122)*ABERTURAS!$V$7:$V$26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5.3290705182007512E-16</v>
      </c>
      <c r="R122" s="26">
        <f t="shared" si="38"/>
        <v>0.65159999999999985</v>
      </c>
      <c r="S122" s="26">
        <f t="shared" si="39"/>
        <v>0.65159999999999929</v>
      </c>
      <c r="T122" s="41">
        <f t="shared" si="40"/>
        <v>3</v>
      </c>
      <c r="U122" s="41">
        <f t="shared" si="41"/>
        <v>1</v>
      </c>
      <c r="V122" s="41">
        <f t="shared" si="42"/>
        <v>1.8</v>
      </c>
      <c r="W122" s="41">
        <f t="shared" si="43"/>
        <v>3</v>
      </c>
      <c r="X122" s="41">
        <f t="shared" si="44"/>
        <v>1.9439</v>
      </c>
      <c r="Y122" s="41">
        <f t="shared" si="45"/>
        <v>2.4868999999999999</v>
      </c>
      <c r="Z122" s="41">
        <f t="shared" si="46"/>
        <v>1.8</v>
      </c>
      <c r="AA122" s="41">
        <f t="shared" si="47"/>
        <v>3</v>
      </c>
      <c r="AB122" s="26">
        <f>IF($L122&lt;&gt;"OK",0,(INDEX(PRESIONES!$D$28:$D$31,$U122)*IF(INDEX(PRESIONES!$D$28:$D$31,$U122)&gt;0,PRESIONES!$C$9*IF($T122&lt;=10,1,($T122/10)^(2/DATOS!$C$56)),PRESIONES!$C$15)-ABERTURAS!$L$60*PRESIONES!$C$12)*$R122/$M122)</f>
        <v>-11.020741098667475</v>
      </c>
      <c r="AC122" s="26">
        <f>IF($L122&lt;&gt;"OK",0,(INDEX(PRESIONES!$G$28:$G$31,$U122)*IF(INDEX(PRESIONES!$G$28:$G$31,$U122)&gt;0,PRESIONES!$C$9*IF($T122&lt;=10,1,($T122/10)^(2/DATOS!$C$56)),PRESIONES!$C$15)-ABERTURAS!$L$61*PRESIONES!$C$12)*$R122/$M122)</f>
        <v>-11.020741098667475</v>
      </c>
      <c r="AD122" s="26">
        <f>IF($L122&lt;&gt;"OK",0,(INDEX(PRESIONES!$J$28:$J$31,$U122)*IF(INDEX(PRESIONES!$J$28:$J$31,$U122)&gt;0,PRESIONES!$C$9*IF($T122&lt;=10,1,($T122/10)^(2/DATOS!$C$56)),PRESIONES!$C$15)-ABERTURAS!$L$62*PRESIONES!$C$12)*$R122/$M122)</f>
        <v>81.239110681599016</v>
      </c>
      <c r="AE122" s="26">
        <f>IF($L122&lt;&gt;"OK",0,(INDEX(PRESIONES!$M$28:$M$31,$U122)*IF(INDEX(PRESIONES!$M$28:$M$31,$U122)&gt;0,PRESIONES!$C$9*IF($T122&lt;=10,1,($T122/10)^(2/DATOS!$C$56)),PRESIONES!$C$15)-ABERTURAS!$L$63*PRESIONES!$C$12)*$R122/$M122)</f>
        <v>-72.748888351998772</v>
      </c>
      <c r="AF122" s="26">
        <f>IF($L122&lt;&gt;"OK",0,(INDEX(PRESIONES!$D$28:$D$31,$U122)*IF(INDEX(PRESIONES!$D$28:$D$31,$U122)&gt;0,PRESIONES!$C$9*IF($T122&lt;=10,1,($T122/10)^(2/DATOS!$C$56)),PRESIONES!$C$15)-ABERTURAS!$L$64*PRESIONES!$C$12)*$S122/$M122)</f>
        <v>-11.020741098667468</v>
      </c>
      <c r="AG122" s="26">
        <f>IF($L122&lt;&gt;"OK",0,(INDEX(PRESIONES!$G$28:$G$31,$U122)*IF(INDEX(PRESIONES!$G$28:$G$31,$U122)&gt;0,PRESIONES!$C$9*IF($T122&lt;=10,1,($T122/10)^(2/DATOS!$C$56)),PRESIONES!$C$15)-ABERTURAS!$L$65*PRESIONES!$C$12)*$S122/$M122)</f>
        <v>-11.020741098667468</v>
      </c>
      <c r="AH122" s="26">
        <f>IF($L122&lt;&gt;"OK",0,(INDEX(PRESIONES!$J$28:$J$31,$U122)*IF(INDEX(PRESIONES!$J$28:$J$31,$U122)&gt;0,PRESIONES!$C$9*IF($T122&lt;=10,1,($T122/10)^(2/DATOS!$C$56)),PRESIONES!$C$15)-ABERTURAS!$L$66*PRESIONES!$C$12)*$S122/$M122)</f>
        <v>81.23911068159893</v>
      </c>
      <c r="AI122" s="26">
        <f>IF($L122&lt;&gt;"OK",0,(INDEX(PRESIONES!$M$28:$M$31,$U122)*IF(INDEX(PRESIONES!$M$28:$M$31,$U122)&gt;0,PRESIONES!$C$9*IF($T122&lt;=10,1,($T122/10)^(2/DATOS!$C$56)),PRESIONES!$C$15)-ABERTURAS!$L$67*PRESIONES!$C$12)*$S122/$M122)</f>
        <v>-72.748888351998701</v>
      </c>
    </row>
    <row r="123" spans="2:35" ht="16.5" customHeight="1" x14ac:dyDescent="0.3">
      <c r="B123" s="4" t="s">
        <v>586</v>
      </c>
      <c r="C123" s="15" t="s">
        <v>226</v>
      </c>
      <c r="D123" s="4" t="s">
        <v>587</v>
      </c>
      <c r="E123" s="15" t="s">
        <v>430</v>
      </c>
      <c r="F123" s="40">
        <v>7.5884999999999998</v>
      </c>
      <c r="G123" s="40">
        <v>10.08</v>
      </c>
      <c r="H123" s="40">
        <v>1.8</v>
      </c>
      <c r="I123" s="40">
        <v>3</v>
      </c>
      <c r="J123" s="40"/>
      <c r="K123" s="40"/>
      <c r="L123" s="18" t="str">
        <f t="shared" si="34"/>
        <v>OK</v>
      </c>
      <c r="M123" s="26">
        <f t="shared" si="35"/>
        <v>2.4915000000000003</v>
      </c>
      <c r="N123" s="26">
        <f t="shared" si="36"/>
        <v>1.2</v>
      </c>
      <c r="O123" s="26">
        <f t="shared" si="37"/>
        <v>2.9898000000000002</v>
      </c>
      <c r="P123" s="26">
        <f>IF($U123=0,0,SUMPRODUCT((ABERTURAS!$N$7:$N$26=$U123)*ABERTURAS!$U$7:$U$26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0</v>
      </c>
      <c r="Q123" s="26">
        <f>IF($U123=0,0,SUMPRODUCT((ABERTURAS!$N$7:$N$26=$U123)*ABERTURAS!$V$7:$V$26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1.0658141036401502E-15</v>
      </c>
      <c r="R123" s="26">
        <f t="shared" si="38"/>
        <v>2.9898000000000002</v>
      </c>
      <c r="S123" s="26">
        <f t="shared" si="39"/>
        <v>2.9897999999999993</v>
      </c>
      <c r="T123" s="41">
        <f t="shared" si="40"/>
        <v>3</v>
      </c>
      <c r="U123" s="41">
        <f t="shared" si="41"/>
        <v>1</v>
      </c>
      <c r="V123" s="41">
        <f t="shared" si="42"/>
        <v>1.8</v>
      </c>
      <c r="W123" s="41">
        <f t="shared" si="43"/>
        <v>3</v>
      </c>
      <c r="X123" s="41">
        <f t="shared" si="44"/>
        <v>7.5884999999999998</v>
      </c>
      <c r="Y123" s="41">
        <f t="shared" si="45"/>
        <v>10.08</v>
      </c>
      <c r="Z123" s="41">
        <f t="shared" si="46"/>
        <v>1.8</v>
      </c>
      <c r="AA123" s="41">
        <f t="shared" si="47"/>
        <v>3</v>
      </c>
      <c r="AB123" s="26">
        <f>IF($L123&lt;&gt;"OK",0,(INDEX(PRESIONES!$D$28:$D$31,$U123)*IF(INDEX(PRESIONES!$D$28:$D$31,$U123)&gt;0,PRESIONES!$C$9*IF($T123&lt;=10,1,($T123/10)^(2/DATOS!$C$56)),PRESIONES!$C$15)-ABERTURAS!$L$60*PRESIONES!$C$12)*$R123/$M123)</f>
        <v>-11.020741098667477</v>
      </c>
      <c r="AC123" s="26">
        <f>IF($L123&lt;&gt;"OK",0,(INDEX(PRESIONES!$G$28:$G$31,$U123)*IF(INDEX(PRESIONES!$G$28:$G$31,$U123)&gt;0,PRESIONES!$C$9*IF($T123&lt;=10,1,($T123/10)^(2/DATOS!$C$56)),PRESIONES!$C$15)-ABERTURAS!$L$61*PRESIONES!$C$12)*$R123/$M123)</f>
        <v>-11.020741098667477</v>
      </c>
      <c r="AD123" s="26">
        <f>IF($L123&lt;&gt;"OK",0,(INDEX(PRESIONES!$J$28:$J$31,$U123)*IF(INDEX(PRESIONES!$J$28:$J$31,$U123)&gt;0,PRESIONES!$C$9*IF($T123&lt;=10,1,($T123/10)^(2/DATOS!$C$56)),PRESIONES!$C$15)-ABERTURAS!$L$62*PRESIONES!$C$12)*$R123/$M123)</f>
        <v>81.239110681599001</v>
      </c>
      <c r="AE123" s="26">
        <f>IF($L123&lt;&gt;"OK",0,(INDEX(PRESIONES!$M$28:$M$31,$U123)*IF(INDEX(PRESIONES!$M$28:$M$31,$U123)&gt;0,PRESIONES!$C$9*IF($T123&lt;=10,1,($T123/10)^(2/DATOS!$C$56)),PRESIONES!$C$15)-ABERTURAS!$L$63*PRESIONES!$C$12)*$R123/$M123)</f>
        <v>-72.748888351998772</v>
      </c>
      <c r="AF123" s="26">
        <f>IF($L123&lt;&gt;"OK",0,(INDEX(PRESIONES!$D$28:$D$31,$U123)*IF(INDEX(PRESIONES!$D$28:$D$31,$U123)&gt;0,PRESIONES!$C$9*IF($T123&lt;=10,1,($T123/10)^(2/DATOS!$C$56)),PRESIONES!$C$15)-ABERTURAS!$L$64*PRESIONES!$C$12)*$S123/$M123)</f>
        <v>-11.020741098667473</v>
      </c>
      <c r="AG123" s="26">
        <f>IF($L123&lt;&gt;"OK",0,(INDEX(PRESIONES!$G$28:$G$31,$U123)*IF(INDEX(PRESIONES!$G$28:$G$31,$U123)&gt;0,PRESIONES!$C$9*IF($T123&lt;=10,1,($T123/10)^(2/DATOS!$C$56)),PRESIONES!$C$15)-ABERTURAS!$L$65*PRESIONES!$C$12)*$S123/$M123)</f>
        <v>-11.020741098667473</v>
      </c>
      <c r="AH123" s="26">
        <f>IF($L123&lt;&gt;"OK",0,(INDEX(PRESIONES!$J$28:$J$31,$U123)*IF(INDEX(PRESIONES!$J$28:$J$31,$U123)&gt;0,PRESIONES!$C$9*IF($T123&lt;=10,1,($T123/10)^(2/DATOS!$C$56)),PRESIONES!$C$15)-ABERTURAS!$L$66*PRESIONES!$C$12)*$S123/$M123)</f>
        <v>81.239110681598987</v>
      </c>
      <c r="AI123" s="26">
        <f>IF($L123&lt;&gt;"OK",0,(INDEX(PRESIONES!$M$28:$M$31,$U123)*IF(INDEX(PRESIONES!$M$28:$M$31,$U123)&gt;0,PRESIONES!$C$9*IF($T123&lt;=10,1,($T123/10)^(2/DATOS!$C$56)),PRESIONES!$C$15)-ABERTURAS!$L$67*PRESIONES!$C$12)*$S123/$M123)</f>
        <v>-72.748888351998758</v>
      </c>
    </row>
    <row r="124" spans="2:35" ht="16.5" customHeight="1" x14ac:dyDescent="0.3">
      <c r="B124" s="4" t="s">
        <v>588</v>
      </c>
      <c r="C124" s="15" t="s">
        <v>226</v>
      </c>
      <c r="D124" s="4" t="s">
        <v>589</v>
      </c>
      <c r="E124" s="15" t="s">
        <v>430</v>
      </c>
      <c r="F124" s="40">
        <v>0</v>
      </c>
      <c r="G124" s="40">
        <v>2.4868999999999999</v>
      </c>
      <c r="H124" s="40">
        <v>3</v>
      </c>
      <c r="I124" s="40">
        <v>4.2</v>
      </c>
      <c r="J124" s="40"/>
      <c r="K124" s="40"/>
      <c r="L124" s="18" t="str">
        <f t="shared" si="34"/>
        <v>OK</v>
      </c>
      <c r="M124" s="26">
        <f t="shared" si="35"/>
        <v>2.4868999999999999</v>
      </c>
      <c r="N124" s="26">
        <f t="shared" si="36"/>
        <v>1.2000000000000002</v>
      </c>
      <c r="O124" s="26">
        <f t="shared" si="37"/>
        <v>2.9842800000000005</v>
      </c>
      <c r="P124" s="26">
        <f>IF($U124=0,0,SUMPRODUCT((ABERTURAS!$N$7:$N$26=$U124)*ABERTURAS!$U$7:$U$26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0</v>
      </c>
      <c r="Q124" s="26">
        <f>IF($U124=0,0,SUMPRODUCT((ABERTURAS!$N$7:$N$26=$U124)*ABERTURAS!$V$7:$V$26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5.3290705182007561E-16</v>
      </c>
      <c r="R124" s="26">
        <f t="shared" si="38"/>
        <v>2.9842800000000005</v>
      </c>
      <c r="S124" s="26">
        <f t="shared" si="39"/>
        <v>2.98428</v>
      </c>
      <c r="T124" s="41">
        <f t="shared" si="40"/>
        <v>4.2</v>
      </c>
      <c r="U124" s="41">
        <f t="shared" si="41"/>
        <v>1</v>
      </c>
      <c r="V124" s="41">
        <f t="shared" si="42"/>
        <v>3</v>
      </c>
      <c r="W124" s="41">
        <f t="shared" si="43"/>
        <v>4.2</v>
      </c>
      <c r="X124" s="41">
        <f t="shared" si="44"/>
        <v>0</v>
      </c>
      <c r="Y124" s="41">
        <f t="shared" si="45"/>
        <v>2.4868999999999999</v>
      </c>
      <c r="Z124" s="41">
        <f t="shared" si="46"/>
        <v>3</v>
      </c>
      <c r="AA124" s="41">
        <f t="shared" si="47"/>
        <v>4.2</v>
      </c>
      <c r="AB124" s="26">
        <f>IF($L124&lt;&gt;"OK",0,(INDEX(PRESIONES!$D$28:$D$31,$U124)*IF(INDEX(PRESIONES!$D$28:$D$31,$U124)&gt;0,PRESIONES!$C$9*IF($T124&lt;=10,1,($T124/10)^(2/DATOS!$C$56)),PRESIONES!$C$15)-ABERTURAS!$L$60*PRESIONES!$C$12)*$R124/$M124)</f>
        <v>-11.020741098667479</v>
      </c>
      <c r="AC124" s="26">
        <f>IF($L124&lt;&gt;"OK",0,(INDEX(PRESIONES!$G$28:$G$31,$U124)*IF(INDEX(PRESIONES!$G$28:$G$31,$U124)&gt;0,PRESIONES!$C$9*IF($T124&lt;=10,1,($T124/10)^(2/DATOS!$C$56)),PRESIONES!$C$15)-ABERTURAS!$L$61*PRESIONES!$C$12)*$R124/$M124)</f>
        <v>-11.020741098667479</v>
      </c>
      <c r="AD124" s="26">
        <f>IF($L124&lt;&gt;"OK",0,(INDEX(PRESIONES!$J$28:$J$31,$U124)*IF(INDEX(PRESIONES!$J$28:$J$31,$U124)&gt;0,PRESIONES!$C$9*IF($T124&lt;=10,1,($T124/10)^(2/DATOS!$C$56)),PRESIONES!$C$15)-ABERTURAS!$L$62*PRESIONES!$C$12)*$R124/$M124)</f>
        <v>81.23911068159903</v>
      </c>
      <c r="AE124" s="26">
        <f>IF($L124&lt;&gt;"OK",0,(INDEX(PRESIONES!$M$28:$M$31,$U124)*IF(INDEX(PRESIONES!$M$28:$M$31,$U124)&gt;0,PRESIONES!$C$9*IF($T124&lt;=10,1,($T124/10)^(2/DATOS!$C$56)),PRESIONES!$C$15)-ABERTURAS!$L$63*PRESIONES!$C$12)*$R124/$M124)</f>
        <v>-72.748888351998787</v>
      </c>
      <c r="AF124" s="26">
        <f>IF($L124&lt;&gt;"OK",0,(INDEX(PRESIONES!$D$28:$D$31,$U124)*IF(INDEX(PRESIONES!$D$28:$D$31,$U124)&gt;0,PRESIONES!$C$9*IF($T124&lt;=10,1,($T124/10)^(2/DATOS!$C$56)),PRESIONES!$C$15)-ABERTURAS!$L$64*PRESIONES!$C$12)*$S124/$M124)</f>
        <v>-11.020741098667477</v>
      </c>
      <c r="AG124" s="26">
        <f>IF($L124&lt;&gt;"OK",0,(INDEX(PRESIONES!$G$28:$G$31,$U124)*IF(INDEX(PRESIONES!$G$28:$G$31,$U124)&gt;0,PRESIONES!$C$9*IF($T124&lt;=10,1,($T124/10)^(2/DATOS!$C$56)),PRESIONES!$C$15)-ABERTURAS!$L$65*PRESIONES!$C$12)*$S124/$M124)</f>
        <v>-11.020741098667477</v>
      </c>
      <c r="AH124" s="26">
        <f>IF($L124&lt;&gt;"OK",0,(INDEX(PRESIONES!$J$28:$J$31,$U124)*IF(INDEX(PRESIONES!$J$28:$J$31,$U124)&gt;0,PRESIONES!$C$9*IF($T124&lt;=10,1,($T124/10)^(2/DATOS!$C$56)),PRESIONES!$C$15)-ABERTURAS!$L$66*PRESIONES!$C$12)*$S124/$M124)</f>
        <v>81.239110681599016</v>
      </c>
      <c r="AI124" s="26">
        <f>IF($L124&lt;&gt;"OK",0,(INDEX(PRESIONES!$M$28:$M$31,$U124)*IF(INDEX(PRESIONES!$M$28:$M$31,$U124)&gt;0,PRESIONES!$C$9*IF($T124&lt;=10,1,($T124/10)^(2/DATOS!$C$56)),PRESIONES!$C$15)-ABERTURAS!$L$67*PRESIONES!$C$12)*$S124/$M124)</f>
        <v>-72.748888351998772</v>
      </c>
    </row>
    <row r="125" spans="2:35" ht="16.5" customHeight="1" x14ac:dyDescent="0.3">
      <c r="B125" s="4" t="s">
        <v>590</v>
      </c>
      <c r="C125" s="15" t="s">
        <v>226</v>
      </c>
      <c r="D125" s="4" t="s">
        <v>591</v>
      </c>
      <c r="E125" s="15" t="s">
        <v>430</v>
      </c>
      <c r="F125" s="40">
        <v>7.5884999999999998</v>
      </c>
      <c r="G125" s="40">
        <v>10.08</v>
      </c>
      <c r="H125" s="40">
        <v>3</v>
      </c>
      <c r="I125" s="40">
        <v>4.2</v>
      </c>
      <c r="J125" s="40"/>
      <c r="K125" s="40"/>
      <c r="L125" s="18" t="str">
        <f t="shared" si="34"/>
        <v>OK</v>
      </c>
      <c r="M125" s="26">
        <f t="shared" si="35"/>
        <v>2.4915000000000003</v>
      </c>
      <c r="N125" s="26">
        <f t="shared" si="36"/>
        <v>1.2000000000000002</v>
      </c>
      <c r="O125" s="26">
        <f t="shared" si="37"/>
        <v>2.9898000000000007</v>
      </c>
      <c r="P125" s="26">
        <f>IF($U125=0,0,SUMPRODUCT((ABERTURAS!$N$7:$N$26=$U125)*ABERTURAS!$U$7:$U$26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0</v>
      </c>
      <c r="Q125" s="26">
        <f>IF($U125=0,0,SUMPRODUCT((ABERTURAS!$N$7:$N$26=$U125)*ABERTURAS!$V$7:$V$26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1.0658141036401512E-15</v>
      </c>
      <c r="R125" s="26">
        <f t="shared" si="38"/>
        <v>2.9898000000000007</v>
      </c>
      <c r="S125" s="26">
        <f t="shared" si="39"/>
        <v>2.9897999999999998</v>
      </c>
      <c r="T125" s="41">
        <f t="shared" si="40"/>
        <v>4.2</v>
      </c>
      <c r="U125" s="41">
        <f t="shared" si="41"/>
        <v>1</v>
      </c>
      <c r="V125" s="41">
        <f t="shared" si="42"/>
        <v>3</v>
      </c>
      <c r="W125" s="41">
        <f t="shared" si="43"/>
        <v>4.2</v>
      </c>
      <c r="X125" s="41">
        <f t="shared" si="44"/>
        <v>7.5884999999999998</v>
      </c>
      <c r="Y125" s="41">
        <f t="shared" si="45"/>
        <v>10.08</v>
      </c>
      <c r="Z125" s="41">
        <f t="shared" si="46"/>
        <v>3</v>
      </c>
      <c r="AA125" s="41">
        <f t="shared" si="47"/>
        <v>4.2</v>
      </c>
      <c r="AB125" s="26">
        <f>IF($L125&lt;&gt;"OK",0,(INDEX(PRESIONES!$D$28:$D$31,$U125)*IF(INDEX(PRESIONES!$D$28:$D$31,$U125)&gt;0,PRESIONES!$C$9*IF($T125&lt;=10,1,($T125/10)^(2/DATOS!$C$56)),PRESIONES!$C$15)-ABERTURAS!$L$60*PRESIONES!$C$12)*$R125/$M125)</f>
        <v>-11.020741098667479</v>
      </c>
      <c r="AC125" s="26">
        <f>IF($L125&lt;&gt;"OK",0,(INDEX(PRESIONES!$G$28:$G$31,$U125)*IF(INDEX(PRESIONES!$G$28:$G$31,$U125)&gt;0,PRESIONES!$C$9*IF($T125&lt;=10,1,($T125/10)^(2/DATOS!$C$56)),PRESIONES!$C$15)-ABERTURAS!$L$61*PRESIONES!$C$12)*$R125/$M125)</f>
        <v>-11.020741098667479</v>
      </c>
      <c r="AD125" s="26">
        <f>IF($L125&lt;&gt;"OK",0,(INDEX(PRESIONES!$J$28:$J$31,$U125)*IF(INDEX(PRESIONES!$J$28:$J$31,$U125)&gt;0,PRESIONES!$C$9*IF($T125&lt;=10,1,($T125/10)^(2/DATOS!$C$56)),PRESIONES!$C$15)-ABERTURAS!$L$62*PRESIONES!$C$12)*$R125/$M125)</f>
        <v>81.23911068159903</v>
      </c>
      <c r="AE125" s="26">
        <f>IF($L125&lt;&gt;"OK",0,(INDEX(PRESIONES!$M$28:$M$31,$U125)*IF(INDEX(PRESIONES!$M$28:$M$31,$U125)&gt;0,PRESIONES!$C$9*IF($T125&lt;=10,1,($T125/10)^(2/DATOS!$C$56)),PRESIONES!$C$15)-ABERTURAS!$L$63*PRESIONES!$C$12)*$R125/$M125)</f>
        <v>-72.748888351998787</v>
      </c>
      <c r="AF125" s="26">
        <f>IF($L125&lt;&gt;"OK",0,(INDEX(PRESIONES!$D$28:$D$31,$U125)*IF(INDEX(PRESIONES!$D$28:$D$31,$U125)&gt;0,PRESIONES!$C$9*IF($T125&lt;=10,1,($T125/10)^(2/DATOS!$C$56)),PRESIONES!$C$15)-ABERTURAS!$L$64*PRESIONES!$C$12)*$S125/$M125)</f>
        <v>-11.020741098667475</v>
      </c>
      <c r="AG125" s="26">
        <f>IF($L125&lt;&gt;"OK",0,(INDEX(PRESIONES!$G$28:$G$31,$U125)*IF(INDEX(PRESIONES!$G$28:$G$31,$U125)&gt;0,PRESIONES!$C$9*IF($T125&lt;=10,1,($T125/10)^(2/DATOS!$C$56)),PRESIONES!$C$15)-ABERTURAS!$L$65*PRESIONES!$C$12)*$S125/$M125)</f>
        <v>-11.020741098667475</v>
      </c>
      <c r="AH125" s="26">
        <f>IF($L125&lt;&gt;"OK",0,(INDEX(PRESIONES!$J$28:$J$31,$U125)*IF(INDEX(PRESIONES!$J$28:$J$31,$U125)&gt;0,PRESIONES!$C$9*IF($T125&lt;=10,1,($T125/10)^(2/DATOS!$C$56)),PRESIONES!$C$15)-ABERTURAS!$L$66*PRESIONES!$C$12)*$S125/$M125)</f>
        <v>81.239110681599001</v>
      </c>
      <c r="AI125" s="26">
        <f>IF($L125&lt;&gt;"OK",0,(INDEX(PRESIONES!$M$28:$M$31,$U125)*IF(INDEX(PRESIONES!$M$28:$M$31,$U125)&gt;0,PRESIONES!$C$9*IF($T125&lt;=10,1,($T125/10)^(2/DATOS!$C$56)),PRESIONES!$C$15)-ABERTURAS!$L$67*PRESIONES!$C$12)*$S125/$M125)</f>
        <v>-72.748888351998772</v>
      </c>
    </row>
    <row r="126" spans="2:35" ht="16.5" customHeight="1" x14ac:dyDescent="0.3">
      <c r="B126" s="4" t="s">
        <v>592</v>
      </c>
      <c r="C126" s="15" t="s">
        <v>226</v>
      </c>
      <c r="D126" s="4" t="s">
        <v>593</v>
      </c>
      <c r="E126" s="15" t="s">
        <v>430</v>
      </c>
      <c r="F126" s="40">
        <v>0</v>
      </c>
      <c r="G126" s="40">
        <v>2.4868999999999999</v>
      </c>
      <c r="H126" s="40">
        <v>4.2</v>
      </c>
      <c r="I126" s="40">
        <v>5.4</v>
      </c>
      <c r="J126" s="40"/>
      <c r="K126" s="40"/>
      <c r="L126" s="18" t="str">
        <f t="shared" si="34"/>
        <v>OK</v>
      </c>
      <c r="M126" s="26">
        <f t="shared" si="35"/>
        <v>2.4868999999999999</v>
      </c>
      <c r="N126" s="26">
        <f t="shared" si="36"/>
        <v>1.2000000000000002</v>
      </c>
      <c r="O126" s="26">
        <f t="shared" si="37"/>
        <v>2.9842800000000005</v>
      </c>
      <c r="P126" s="26">
        <f>IF($U126=0,0,SUMPRODUCT((ABERTURAS!$N$7:$N$26=$U126)*ABERTURAS!$U$7:$U$26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0</v>
      </c>
      <c r="Q126" s="26">
        <f>IF($U126=0,0,SUMPRODUCT((ABERTURAS!$N$7:$N$26=$U126)*ABERTURAS!$V$7:$V$26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5.3290705182007522E-16</v>
      </c>
      <c r="R126" s="26">
        <f t="shared" si="38"/>
        <v>2.9842800000000005</v>
      </c>
      <c r="S126" s="26">
        <f t="shared" si="39"/>
        <v>2.98428</v>
      </c>
      <c r="T126" s="41">
        <f t="shared" si="40"/>
        <v>5.4</v>
      </c>
      <c r="U126" s="41">
        <f t="shared" si="41"/>
        <v>1</v>
      </c>
      <c r="V126" s="41">
        <f t="shared" si="42"/>
        <v>4.2</v>
      </c>
      <c r="W126" s="41">
        <f t="shared" si="43"/>
        <v>5.4</v>
      </c>
      <c r="X126" s="41">
        <f t="shared" si="44"/>
        <v>0</v>
      </c>
      <c r="Y126" s="41">
        <f t="shared" si="45"/>
        <v>2.4868999999999999</v>
      </c>
      <c r="Z126" s="41">
        <f t="shared" si="46"/>
        <v>4.2</v>
      </c>
      <c r="AA126" s="41">
        <f t="shared" si="47"/>
        <v>5.4</v>
      </c>
      <c r="AB126" s="26">
        <f>IF($L126&lt;&gt;"OK",0,(INDEX(PRESIONES!$D$28:$D$31,$U126)*IF(INDEX(PRESIONES!$D$28:$D$31,$U126)&gt;0,PRESIONES!$C$9*IF($T126&lt;=10,1,($T126/10)^(2/DATOS!$C$56)),PRESIONES!$C$15)-ABERTURAS!$L$60*PRESIONES!$C$12)*$R126/$M126)</f>
        <v>-11.020741098667479</v>
      </c>
      <c r="AC126" s="26">
        <f>IF($L126&lt;&gt;"OK",0,(INDEX(PRESIONES!$G$28:$G$31,$U126)*IF(INDEX(PRESIONES!$G$28:$G$31,$U126)&gt;0,PRESIONES!$C$9*IF($T126&lt;=10,1,($T126/10)^(2/DATOS!$C$56)),PRESIONES!$C$15)-ABERTURAS!$L$61*PRESIONES!$C$12)*$R126/$M126)</f>
        <v>-11.020741098667479</v>
      </c>
      <c r="AD126" s="26">
        <f>IF($L126&lt;&gt;"OK",0,(INDEX(PRESIONES!$J$28:$J$31,$U126)*IF(INDEX(PRESIONES!$J$28:$J$31,$U126)&gt;0,PRESIONES!$C$9*IF($T126&lt;=10,1,($T126/10)^(2/DATOS!$C$56)),PRESIONES!$C$15)-ABERTURAS!$L$62*PRESIONES!$C$12)*$R126/$M126)</f>
        <v>81.23911068159903</v>
      </c>
      <c r="AE126" s="26">
        <f>IF($L126&lt;&gt;"OK",0,(INDEX(PRESIONES!$M$28:$M$31,$U126)*IF(INDEX(PRESIONES!$M$28:$M$31,$U126)&gt;0,PRESIONES!$C$9*IF($T126&lt;=10,1,($T126/10)^(2/DATOS!$C$56)),PRESIONES!$C$15)-ABERTURAS!$L$63*PRESIONES!$C$12)*$R126/$M126)</f>
        <v>-72.748888351998787</v>
      </c>
      <c r="AF126" s="26">
        <f>IF($L126&lt;&gt;"OK",0,(INDEX(PRESIONES!$D$28:$D$31,$U126)*IF(INDEX(PRESIONES!$D$28:$D$31,$U126)&gt;0,PRESIONES!$C$9*IF($T126&lt;=10,1,($T126/10)^(2/DATOS!$C$56)),PRESIONES!$C$15)-ABERTURAS!$L$64*PRESIONES!$C$12)*$S126/$M126)</f>
        <v>-11.020741098667477</v>
      </c>
      <c r="AG126" s="26">
        <f>IF($L126&lt;&gt;"OK",0,(INDEX(PRESIONES!$G$28:$G$31,$U126)*IF(INDEX(PRESIONES!$G$28:$G$31,$U126)&gt;0,PRESIONES!$C$9*IF($T126&lt;=10,1,($T126/10)^(2/DATOS!$C$56)),PRESIONES!$C$15)-ABERTURAS!$L$65*PRESIONES!$C$12)*$S126/$M126)</f>
        <v>-11.020741098667477</v>
      </c>
      <c r="AH126" s="26">
        <f>IF($L126&lt;&gt;"OK",0,(INDEX(PRESIONES!$J$28:$J$31,$U126)*IF(INDEX(PRESIONES!$J$28:$J$31,$U126)&gt;0,PRESIONES!$C$9*IF($T126&lt;=10,1,($T126/10)^(2/DATOS!$C$56)),PRESIONES!$C$15)-ABERTURAS!$L$66*PRESIONES!$C$12)*$S126/$M126)</f>
        <v>81.239110681599016</v>
      </c>
      <c r="AI126" s="26">
        <f>IF($L126&lt;&gt;"OK",0,(INDEX(PRESIONES!$M$28:$M$31,$U126)*IF(INDEX(PRESIONES!$M$28:$M$31,$U126)&gt;0,PRESIONES!$C$9*IF($T126&lt;=10,1,($T126/10)^(2/DATOS!$C$56)),PRESIONES!$C$15)-ABERTURAS!$L$67*PRESIONES!$C$12)*$S126/$M126)</f>
        <v>-72.748888351998772</v>
      </c>
    </row>
    <row r="127" spans="2:35" ht="16.5" customHeight="1" x14ac:dyDescent="0.3">
      <c r="B127" s="4" t="s">
        <v>594</v>
      </c>
      <c r="C127" s="15" t="s">
        <v>226</v>
      </c>
      <c r="D127" s="4" t="s">
        <v>595</v>
      </c>
      <c r="E127" s="15" t="s">
        <v>430</v>
      </c>
      <c r="F127" s="40">
        <v>7.5884999999999998</v>
      </c>
      <c r="G127" s="40">
        <v>10.08</v>
      </c>
      <c r="H127" s="40">
        <v>4.2</v>
      </c>
      <c r="I127" s="40">
        <v>5.4</v>
      </c>
      <c r="J127" s="40"/>
      <c r="K127" s="40"/>
      <c r="L127" s="18" t="str">
        <f t="shared" si="34"/>
        <v>OK</v>
      </c>
      <c r="M127" s="26">
        <f t="shared" si="35"/>
        <v>2.4915000000000003</v>
      </c>
      <c r="N127" s="26">
        <f t="shared" si="36"/>
        <v>1.2000000000000002</v>
      </c>
      <c r="O127" s="26">
        <f t="shared" si="37"/>
        <v>2.9898000000000007</v>
      </c>
      <c r="P127" s="26">
        <f>IF($U127=0,0,SUMPRODUCT((ABERTURAS!$N$7:$N$26=$U127)*ABERTURAS!$U$7:$U$26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0</v>
      </c>
      <c r="Q127" s="26">
        <f>IF($U127=0,0,SUMPRODUCT((ABERTURAS!$N$7:$N$26=$U127)*ABERTURAS!$V$7:$V$26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1.0658141036401504E-15</v>
      </c>
      <c r="R127" s="26">
        <f t="shared" si="38"/>
        <v>2.9898000000000007</v>
      </c>
      <c r="S127" s="26">
        <f t="shared" si="39"/>
        <v>2.9897999999999998</v>
      </c>
      <c r="T127" s="41">
        <f t="shared" si="40"/>
        <v>5.4</v>
      </c>
      <c r="U127" s="41">
        <f t="shared" si="41"/>
        <v>1</v>
      </c>
      <c r="V127" s="41">
        <f t="shared" si="42"/>
        <v>4.2</v>
      </c>
      <c r="W127" s="41">
        <f t="shared" si="43"/>
        <v>5.4</v>
      </c>
      <c r="X127" s="41">
        <f t="shared" si="44"/>
        <v>7.5884999999999998</v>
      </c>
      <c r="Y127" s="41">
        <f t="shared" si="45"/>
        <v>10.08</v>
      </c>
      <c r="Z127" s="41">
        <f t="shared" si="46"/>
        <v>4.2</v>
      </c>
      <c r="AA127" s="41">
        <f t="shared" si="47"/>
        <v>5.4</v>
      </c>
      <c r="AB127" s="26">
        <f>IF($L127&lt;&gt;"OK",0,(INDEX(PRESIONES!$D$28:$D$31,$U127)*IF(INDEX(PRESIONES!$D$28:$D$31,$U127)&gt;0,PRESIONES!$C$9*IF($T127&lt;=10,1,($T127/10)^(2/DATOS!$C$56)),PRESIONES!$C$15)-ABERTURAS!$L$60*PRESIONES!$C$12)*$R127/$M127)</f>
        <v>-11.020741098667479</v>
      </c>
      <c r="AC127" s="26">
        <f>IF($L127&lt;&gt;"OK",0,(INDEX(PRESIONES!$G$28:$G$31,$U127)*IF(INDEX(PRESIONES!$G$28:$G$31,$U127)&gt;0,PRESIONES!$C$9*IF($T127&lt;=10,1,($T127/10)^(2/DATOS!$C$56)),PRESIONES!$C$15)-ABERTURAS!$L$61*PRESIONES!$C$12)*$R127/$M127)</f>
        <v>-11.020741098667479</v>
      </c>
      <c r="AD127" s="26">
        <f>IF($L127&lt;&gt;"OK",0,(INDEX(PRESIONES!$J$28:$J$31,$U127)*IF(INDEX(PRESIONES!$J$28:$J$31,$U127)&gt;0,PRESIONES!$C$9*IF($T127&lt;=10,1,($T127/10)^(2/DATOS!$C$56)),PRESIONES!$C$15)-ABERTURAS!$L$62*PRESIONES!$C$12)*$R127/$M127)</f>
        <v>81.23911068159903</v>
      </c>
      <c r="AE127" s="26">
        <f>IF($L127&lt;&gt;"OK",0,(INDEX(PRESIONES!$M$28:$M$31,$U127)*IF(INDEX(PRESIONES!$M$28:$M$31,$U127)&gt;0,PRESIONES!$C$9*IF($T127&lt;=10,1,($T127/10)^(2/DATOS!$C$56)),PRESIONES!$C$15)-ABERTURAS!$L$63*PRESIONES!$C$12)*$R127/$M127)</f>
        <v>-72.748888351998787</v>
      </c>
      <c r="AF127" s="26">
        <f>IF($L127&lt;&gt;"OK",0,(INDEX(PRESIONES!$D$28:$D$31,$U127)*IF(INDEX(PRESIONES!$D$28:$D$31,$U127)&gt;0,PRESIONES!$C$9*IF($T127&lt;=10,1,($T127/10)^(2/DATOS!$C$56)),PRESIONES!$C$15)-ABERTURAS!$L$64*PRESIONES!$C$12)*$S127/$M127)</f>
        <v>-11.020741098667475</v>
      </c>
      <c r="AG127" s="26">
        <f>IF($L127&lt;&gt;"OK",0,(INDEX(PRESIONES!$G$28:$G$31,$U127)*IF(INDEX(PRESIONES!$G$28:$G$31,$U127)&gt;0,PRESIONES!$C$9*IF($T127&lt;=10,1,($T127/10)^(2/DATOS!$C$56)),PRESIONES!$C$15)-ABERTURAS!$L$65*PRESIONES!$C$12)*$S127/$M127)</f>
        <v>-11.020741098667475</v>
      </c>
      <c r="AH127" s="26">
        <f>IF($L127&lt;&gt;"OK",0,(INDEX(PRESIONES!$J$28:$J$31,$U127)*IF(INDEX(PRESIONES!$J$28:$J$31,$U127)&gt;0,PRESIONES!$C$9*IF($T127&lt;=10,1,($T127/10)^(2/DATOS!$C$56)),PRESIONES!$C$15)-ABERTURAS!$L$66*PRESIONES!$C$12)*$S127/$M127)</f>
        <v>81.239110681599001</v>
      </c>
      <c r="AI127" s="26">
        <f>IF($L127&lt;&gt;"OK",0,(INDEX(PRESIONES!$M$28:$M$31,$U127)*IF(INDEX(PRESIONES!$M$28:$M$31,$U127)&gt;0,PRESIONES!$C$9*IF($T127&lt;=10,1,($T127/10)^(2/DATOS!$C$56)),PRESIONES!$C$15)-ABERTURAS!$L$67*PRESIONES!$C$12)*$S127/$M127)</f>
        <v>-72.748888351998772</v>
      </c>
    </row>
    <row r="128" spans="2:35" ht="16.5" customHeight="1" x14ac:dyDescent="0.3">
      <c r="B128" s="4" t="s">
        <v>596</v>
      </c>
      <c r="C128" s="15" t="s">
        <v>226</v>
      </c>
      <c r="D128" s="4" t="s">
        <v>597</v>
      </c>
      <c r="E128" s="15" t="s">
        <v>430</v>
      </c>
      <c r="F128" s="40">
        <v>0</v>
      </c>
      <c r="G128" s="40">
        <v>2.4868999999999999</v>
      </c>
      <c r="H128" s="40">
        <v>5.4</v>
      </c>
      <c r="I128" s="40">
        <v>6.165</v>
      </c>
      <c r="J128" s="40"/>
      <c r="K128" s="40"/>
      <c r="L128" s="18" t="str">
        <f t="shared" si="34"/>
        <v>OK</v>
      </c>
      <c r="M128" s="26">
        <f t="shared" si="35"/>
        <v>2.4868999999999999</v>
      </c>
      <c r="N128" s="26">
        <f t="shared" si="36"/>
        <v>0.76499999999999968</v>
      </c>
      <c r="O128" s="26">
        <f t="shared" si="37"/>
        <v>1.9024784999999991</v>
      </c>
      <c r="P128" s="26">
        <f>IF($U128=0,0,SUMPRODUCT((ABERTURAS!$N$7:$N$26=$U128)*ABERTURAS!$U$7:$U$26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0</v>
      </c>
      <c r="Q128" s="26">
        <f>IF($U128=0,0,SUMPRODUCT((ABERTURAS!$N$7:$N$26=$U128)*ABERTURAS!$V$7:$V$26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3.3972824553529815E-16</v>
      </c>
      <c r="R128" s="26">
        <f t="shared" si="38"/>
        <v>1.9024784999999991</v>
      </c>
      <c r="S128" s="26">
        <f t="shared" si="39"/>
        <v>1.9024784999999986</v>
      </c>
      <c r="T128" s="41">
        <f t="shared" si="40"/>
        <v>6.165</v>
      </c>
      <c r="U128" s="41">
        <f t="shared" si="41"/>
        <v>1</v>
      </c>
      <c r="V128" s="41">
        <f t="shared" si="42"/>
        <v>5.4</v>
      </c>
      <c r="W128" s="41">
        <f t="shared" si="43"/>
        <v>6.165</v>
      </c>
      <c r="X128" s="41">
        <f t="shared" si="44"/>
        <v>0</v>
      </c>
      <c r="Y128" s="41">
        <f t="shared" si="45"/>
        <v>2.4868999999999999</v>
      </c>
      <c r="Z128" s="41">
        <f t="shared" si="46"/>
        <v>5.4</v>
      </c>
      <c r="AA128" s="41">
        <f t="shared" si="47"/>
        <v>6.165</v>
      </c>
      <c r="AB128" s="26">
        <f>IF($L128&lt;&gt;"OK",0,(INDEX(PRESIONES!$D$28:$D$31,$U128)*IF(INDEX(PRESIONES!$D$28:$D$31,$U128)&gt;0,PRESIONES!$C$9*IF($T128&lt;=10,1,($T128/10)^(2/DATOS!$C$56)),PRESIONES!$C$15)-ABERTURAS!$L$60*PRESIONES!$C$12)*$R128/$M128)</f>
        <v>-7.0257224504005134</v>
      </c>
      <c r="AC128" s="26">
        <f>IF($L128&lt;&gt;"OK",0,(INDEX(PRESIONES!$G$28:$G$31,$U128)*IF(INDEX(PRESIONES!$G$28:$G$31,$U128)&gt;0,PRESIONES!$C$9*IF($T128&lt;=10,1,($T128/10)^(2/DATOS!$C$56)),PRESIONES!$C$15)-ABERTURAS!$L$61*PRESIONES!$C$12)*$R128/$M128)</f>
        <v>-7.0257224504005134</v>
      </c>
      <c r="AD128" s="26">
        <f>IF($L128&lt;&gt;"OK",0,(INDEX(PRESIONES!$J$28:$J$31,$U128)*IF(INDEX(PRESIONES!$J$28:$J$31,$U128)&gt;0,PRESIONES!$C$9*IF($T128&lt;=10,1,($T128/10)^(2/DATOS!$C$56)),PRESIONES!$C$15)-ABERTURAS!$L$62*PRESIONES!$C$12)*$R128/$M128)</f>
        <v>51.789933059519342</v>
      </c>
      <c r="AE128" s="26">
        <f>IF($L128&lt;&gt;"OK",0,(INDEX(PRESIONES!$M$28:$M$31,$U128)*IF(INDEX(PRESIONES!$M$28:$M$31,$U128)&gt;0,PRESIONES!$C$9*IF($T128&lt;=10,1,($T128/10)^(2/DATOS!$C$56)),PRESIONES!$C$15)-ABERTURAS!$L$63*PRESIONES!$C$12)*$R128/$M128)</f>
        <v>-46.377416324399199</v>
      </c>
      <c r="AF128" s="26">
        <f>IF($L128&lt;&gt;"OK",0,(INDEX(PRESIONES!$D$28:$D$31,$U128)*IF(INDEX(PRESIONES!$D$28:$D$31,$U128)&gt;0,PRESIONES!$C$9*IF($T128&lt;=10,1,($T128/10)^(2/DATOS!$C$56)),PRESIONES!$C$15)-ABERTURAS!$L$64*PRESIONES!$C$12)*$S128/$M128)</f>
        <v>-7.0257224504005116</v>
      </c>
      <c r="AG128" s="26">
        <f>IF($L128&lt;&gt;"OK",0,(INDEX(PRESIONES!$G$28:$G$31,$U128)*IF(INDEX(PRESIONES!$G$28:$G$31,$U128)&gt;0,PRESIONES!$C$9*IF($T128&lt;=10,1,($T128/10)^(2/DATOS!$C$56)),PRESIONES!$C$15)-ABERTURAS!$L$65*PRESIONES!$C$12)*$S128/$M128)</f>
        <v>-7.0257224504005116</v>
      </c>
      <c r="AH128" s="26">
        <f>IF($L128&lt;&gt;"OK",0,(INDEX(PRESIONES!$J$28:$J$31,$U128)*IF(INDEX(PRESIONES!$J$28:$J$31,$U128)&gt;0,PRESIONES!$C$9*IF($T128&lt;=10,1,($T128/10)^(2/DATOS!$C$56)),PRESIONES!$C$15)-ABERTURAS!$L$66*PRESIONES!$C$12)*$S128/$M128)</f>
        <v>51.789933059519335</v>
      </c>
      <c r="AI128" s="26">
        <f>IF($L128&lt;&gt;"OK",0,(INDEX(PRESIONES!$M$28:$M$31,$U128)*IF(INDEX(PRESIONES!$M$28:$M$31,$U128)&gt;0,PRESIONES!$C$9*IF($T128&lt;=10,1,($T128/10)^(2/DATOS!$C$56)),PRESIONES!$C$15)-ABERTURAS!$L$67*PRESIONES!$C$12)*$S128/$M128)</f>
        <v>-46.377416324399192</v>
      </c>
    </row>
    <row r="129" spans="2:35" ht="16.5" customHeight="1" x14ac:dyDescent="0.3">
      <c r="B129" s="4" t="s">
        <v>598</v>
      </c>
      <c r="C129" s="15" t="s">
        <v>226</v>
      </c>
      <c r="D129" s="4" t="s">
        <v>599</v>
      </c>
      <c r="E129" s="15" t="s">
        <v>430</v>
      </c>
      <c r="F129" s="40">
        <v>7.5884999999999998</v>
      </c>
      <c r="G129" s="40">
        <v>10.08</v>
      </c>
      <c r="H129" s="40">
        <v>5.4</v>
      </c>
      <c r="I129" s="40">
        <v>6.165</v>
      </c>
      <c r="J129" s="40"/>
      <c r="K129" s="40"/>
      <c r="L129" s="18" t="str">
        <f t="shared" si="34"/>
        <v>OK</v>
      </c>
      <c r="M129" s="26">
        <f t="shared" si="35"/>
        <v>2.4915000000000003</v>
      </c>
      <c r="N129" s="26">
        <f t="shared" si="36"/>
        <v>0.76499999999999968</v>
      </c>
      <c r="O129" s="26">
        <f t="shared" si="37"/>
        <v>1.9059974999999993</v>
      </c>
      <c r="P129" s="26">
        <f>IF($U129=0,0,SUMPRODUCT((ABERTURAS!$N$7:$N$26=$U129)*ABERTURAS!$U$7:$U$26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0</v>
      </c>
      <c r="Q129" s="26">
        <f>IF($U129=0,0,SUMPRODUCT((ABERTURAS!$N$7:$N$26=$U129)*ABERTURAS!$V$7:$V$26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6.7945649107059631E-16</v>
      </c>
      <c r="R129" s="26">
        <f t="shared" si="38"/>
        <v>1.9059974999999993</v>
      </c>
      <c r="S129" s="26">
        <f t="shared" si="39"/>
        <v>1.9059974999999987</v>
      </c>
      <c r="T129" s="41">
        <f t="shared" si="40"/>
        <v>6.165</v>
      </c>
      <c r="U129" s="41">
        <f t="shared" si="41"/>
        <v>1</v>
      </c>
      <c r="V129" s="41">
        <f t="shared" si="42"/>
        <v>5.4</v>
      </c>
      <c r="W129" s="41">
        <f t="shared" si="43"/>
        <v>6.165</v>
      </c>
      <c r="X129" s="41">
        <f t="shared" si="44"/>
        <v>7.5884999999999998</v>
      </c>
      <c r="Y129" s="41">
        <f t="shared" si="45"/>
        <v>10.08</v>
      </c>
      <c r="Z129" s="41">
        <f t="shared" si="46"/>
        <v>5.4</v>
      </c>
      <c r="AA129" s="41">
        <f t="shared" si="47"/>
        <v>6.165</v>
      </c>
      <c r="AB129" s="26">
        <f>IF($L129&lt;&gt;"OK",0,(INDEX(PRESIONES!$D$28:$D$31,$U129)*IF(INDEX(PRESIONES!$D$28:$D$31,$U129)&gt;0,PRESIONES!$C$9*IF($T129&lt;=10,1,($T129/10)^(2/DATOS!$C$56)),PRESIONES!$C$15)-ABERTURAS!$L$60*PRESIONES!$C$12)*$R129/$M129)</f>
        <v>-7.0257224504005134</v>
      </c>
      <c r="AC129" s="26">
        <f>IF($L129&lt;&gt;"OK",0,(INDEX(PRESIONES!$G$28:$G$31,$U129)*IF(INDEX(PRESIONES!$G$28:$G$31,$U129)&gt;0,PRESIONES!$C$9*IF($T129&lt;=10,1,($T129/10)^(2/DATOS!$C$56)),PRESIONES!$C$15)-ABERTURAS!$L$61*PRESIONES!$C$12)*$R129/$M129)</f>
        <v>-7.0257224504005134</v>
      </c>
      <c r="AD129" s="26">
        <f>IF($L129&lt;&gt;"OK",0,(INDEX(PRESIONES!$J$28:$J$31,$U129)*IF(INDEX(PRESIONES!$J$28:$J$31,$U129)&gt;0,PRESIONES!$C$9*IF($T129&lt;=10,1,($T129/10)^(2/DATOS!$C$56)),PRESIONES!$C$15)-ABERTURAS!$L$62*PRESIONES!$C$12)*$R129/$M129)</f>
        <v>51.789933059519356</v>
      </c>
      <c r="AE129" s="26">
        <f>IF($L129&lt;&gt;"OK",0,(INDEX(PRESIONES!$M$28:$M$31,$U129)*IF(INDEX(PRESIONES!$M$28:$M$31,$U129)&gt;0,PRESIONES!$C$9*IF($T129&lt;=10,1,($T129/10)^(2/DATOS!$C$56)),PRESIONES!$C$15)-ABERTURAS!$L$63*PRESIONES!$C$12)*$R129/$M129)</f>
        <v>-46.377416324399199</v>
      </c>
      <c r="AF129" s="26">
        <f>IF($L129&lt;&gt;"OK",0,(INDEX(PRESIONES!$D$28:$D$31,$U129)*IF(INDEX(PRESIONES!$D$28:$D$31,$U129)&gt;0,PRESIONES!$C$9*IF($T129&lt;=10,1,($T129/10)^(2/DATOS!$C$56)),PRESIONES!$C$15)-ABERTURAS!$L$64*PRESIONES!$C$12)*$S129/$M129)</f>
        <v>-7.0257224504005116</v>
      </c>
      <c r="AG129" s="26">
        <f>IF($L129&lt;&gt;"OK",0,(INDEX(PRESIONES!$G$28:$G$31,$U129)*IF(INDEX(PRESIONES!$G$28:$G$31,$U129)&gt;0,PRESIONES!$C$9*IF($T129&lt;=10,1,($T129/10)^(2/DATOS!$C$56)),PRESIONES!$C$15)-ABERTURAS!$L$65*PRESIONES!$C$12)*$S129/$M129)</f>
        <v>-7.0257224504005116</v>
      </c>
      <c r="AH129" s="26">
        <f>IF($L129&lt;&gt;"OK",0,(INDEX(PRESIONES!$J$28:$J$31,$U129)*IF(INDEX(PRESIONES!$J$28:$J$31,$U129)&gt;0,PRESIONES!$C$9*IF($T129&lt;=10,1,($T129/10)^(2/DATOS!$C$56)),PRESIONES!$C$15)-ABERTURAS!$L$66*PRESIONES!$C$12)*$S129/$M129)</f>
        <v>51.789933059519328</v>
      </c>
      <c r="AI129" s="26">
        <f>IF($L129&lt;&gt;"OK",0,(INDEX(PRESIONES!$M$28:$M$31,$U129)*IF(INDEX(PRESIONES!$M$28:$M$31,$U129)&gt;0,PRESIONES!$C$9*IF($T129&lt;=10,1,($T129/10)^(2/DATOS!$C$56)),PRESIONES!$C$15)-ABERTURAS!$L$67*PRESIONES!$C$12)*$S129/$M129)</f>
        <v>-46.377416324399185</v>
      </c>
    </row>
    <row r="130" spans="2:35" ht="16.5" customHeight="1" x14ac:dyDescent="0.3">
      <c r="B130" s="4" t="s">
        <v>600</v>
      </c>
      <c r="C130" s="15" t="s">
        <v>226</v>
      </c>
      <c r="D130" s="4" t="s">
        <v>601</v>
      </c>
      <c r="E130" s="15" t="s">
        <v>430</v>
      </c>
      <c r="F130" s="40">
        <v>0</v>
      </c>
      <c r="G130" s="40">
        <v>2.4868999999999999</v>
      </c>
      <c r="H130" s="40">
        <v>6.165</v>
      </c>
      <c r="I130" s="40">
        <v>6.7649999999999997</v>
      </c>
      <c r="J130" s="40"/>
      <c r="K130" s="40"/>
      <c r="L130" s="18" t="str">
        <f t="shared" si="34"/>
        <v>OK</v>
      </c>
      <c r="M130" s="26">
        <f t="shared" si="35"/>
        <v>2.4868999999999999</v>
      </c>
      <c r="N130" s="26">
        <f t="shared" si="36"/>
        <v>0.59999999999999964</v>
      </c>
      <c r="O130" s="26">
        <f t="shared" si="37"/>
        <v>1.4921399999999991</v>
      </c>
      <c r="P130" s="26">
        <f>IF($U130=0,0,SUMPRODUCT((ABERTURAS!$N$7:$N$26=$U130)*ABERTURAS!$U$7:$U$26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0</v>
      </c>
      <c r="Q130" s="26">
        <f>IF($U130=0,0,SUMPRODUCT((ABERTURAS!$N$7:$N$26=$U130)*ABERTURAS!$V$7:$V$26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7.3274719625260347E-17</v>
      </c>
      <c r="R130" s="26">
        <f t="shared" si="38"/>
        <v>1.4921399999999991</v>
      </c>
      <c r="S130" s="26">
        <f t="shared" si="39"/>
        <v>1.4921399999999991</v>
      </c>
      <c r="T130" s="41">
        <f t="shared" si="40"/>
        <v>6.7649999999999997</v>
      </c>
      <c r="U130" s="41">
        <f t="shared" si="41"/>
        <v>1</v>
      </c>
      <c r="V130" s="41">
        <f t="shared" si="42"/>
        <v>6.165</v>
      </c>
      <c r="W130" s="41">
        <f t="shared" si="43"/>
        <v>6.7649999999999997</v>
      </c>
      <c r="X130" s="41">
        <f t="shared" si="44"/>
        <v>0</v>
      </c>
      <c r="Y130" s="41">
        <f t="shared" si="45"/>
        <v>2.4868999999999999</v>
      </c>
      <c r="Z130" s="41">
        <f t="shared" si="46"/>
        <v>6.165</v>
      </c>
      <c r="AA130" s="41">
        <f t="shared" si="47"/>
        <v>6.7649999999999997</v>
      </c>
      <c r="AB130" s="26">
        <f>IF($L130&lt;&gt;"OK",0,(INDEX(PRESIONES!$D$28:$D$31,$U130)*IF(INDEX(PRESIONES!$D$28:$D$31,$U130)&gt;0,PRESIONES!$C$9*IF($T130&lt;=10,1,($T130/10)^(2/DATOS!$C$56)),PRESIONES!$C$15)-ABERTURAS!$L$60*PRESIONES!$C$12)*$R130/$M130)</f>
        <v>-5.5103705493337358</v>
      </c>
      <c r="AC130" s="26">
        <f>IF($L130&lt;&gt;"OK",0,(INDEX(PRESIONES!$G$28:$G$31,$U130)*IF(INDEX(PRESIONES!$G$28:$G$31,$U130)&gt;0,PRESIONES!$C$9*IF($T130&lt;=10,1,($T130/10)^(2/DATOS!$C$56)),PRESIONES!$C$15)-ABERTURAS!$L$61*PRESIONES!$C$12)*$R130/$M130)</f>
        <v>-5.5103705493337358</v>
      </c>
      <c r="AD130" s="26">
        <f>IF($L130&lt;&gt;"OK",0,(INDEX(PRESIONES!$J$28:$J$31,$U130)*IF(INDEX(PRESIONES!$J$28:$J$31,$U130)&gt;0,PRESIONES!$C$9*IF($T130&lt;=10,1,($T130/10)^(2/DATOS!$C$56)),PRESIONES!$C$15)-ABERTURAS!$L$62*PRESIONES!$C$12)*$R130/$M130)</f>
        <v>40.619555340799486</v>
      </c>
      <c r="AE130" s="26">
        <f>IF($L130&lt;&gt;"OK",0,(INDEX(PRESIONES!$M$28:$M$31,$U130)*IF(INDEX(PRESIONES!$M$28:$M$31,$U130)&gt;0,PRESIONES!$C$9*IF($T130&lt;=10,1,($T130/10)^(2/DATOS!$C$56)),PRESIONES!$C$15)-ABERTURAS!$L$63*PRESIONES!$C$12)*$R130/$M130)</f>
        <v>-36.374444175999372</v>
      </c>
      <c r="AF130" s="26">
        <f>IF($L130&lt;&gt;"OK",0,(INDEX(PRESIONES!$D$28:$D$31,$U130)*IF(INDEX(PRESIONES!$D$28:$D$31,$U130)&gt;0,PRESIONES!$C$9*IF($T130&lt;=10,1,($T130/10)^(2/DATOS!$C$56)),PRESIONES!$C$15)-ABERTURAS!$L$64*PRESIONES!$C$12)*$S130/$M130)</f>
        <v>-5.5103705493337358</v>
      </c>
      <c r="AG130" s="26">
        <f>IF($L130&lt;&gt;"OK",0,(INDEX(PRESIONES!$G$28:$G$31,$U130)*IF(INDEX(PRESIONES!$G$28:$G$31,$U130)&gt;0,PRESIONES!$C$9*IF($T130&lt;=10,1,($T130/10)^(2/DATOS!$C$56)),PRESIONES!$C$15)-ABERTURAS!$L$65*PRESIONES!$C$12)*$S130/$M130)</f>
        <v>-5.5103705493337358</v>
      </c>
      <c r="AH130" s="26">
        <f>IF($L130&lt;&gt;"OK",0,(INDEX(PRESIONES!$J$28:$J$31,$U130)*IF(INDEX(PRESIONES!$J$28:$J$31,$U130)&gt;0,PRESIONES!$C$9*IF($T130&lt;=10,1,($T130/10)^(2/DATOS!$C$56)),PRESIONES!$C$15)-ABERTURAS!$L$66*PRESIONES!$C$12)*$S130/$M130)</f>
        <v>40.619555340799486</v>
      </c>
      <c r="AI130" s="26">
        <f>IF($L130&lt;&gt;"OK",0,(INDEX(PRESIONES!$M$28:$M$31,$U130)*IF(INDEX(PRESIONES!$M$28:$M$31,$U130)&gt;0,PRESIONES!$C$9*IF($T130&lt;=10,1,($T130/10)^(2/DATOS!$C$56)),PRESIONES!$C$15)-ABERTURAS!$L$67*PRESIONES!$C$12)*$S130/$M130)</f>
        <v>-36.374444175999372</v>
      </c>
    </row>
    <row r="131" spans="2:35" ht="16.5" customHeight="1" x14ac:dyDescent="0.3">
      <c r="B131" s="4" t="s">
        <v>602</v>
      </c>
      <c r="C131" s="15" t="s">
        <v>226</v>
      </c>
      <c r="D131" s="4" t="s">
        <v>603</v>
      </c>
      <c r="E131" s="15" t="s">
        <v>430</v>
      </c>
      <c r="F131" s="40">
        <v>2.4868999999999999</v>
      </c>
      <c r="G131" s="40">
        <v>7.5884999999999998</v>
      </c>
      <c r="H131" s="40">
        <v>6.33</v>
      </c>
      <c r="I131" s="40">
        <v>6.7649999999999997</v>
      </c>
      <c r="J131" s="40"/>
      <c r="K131" s="40"/>
      <c r="L131" s="18" t="str">
        <f t="shared" si="34"/>
        <v>OK</v>
      </c>
      <c r="M131" s="26">
        <f t="shared" si="35"/>
        <v>5.1015999999999995</v>
      </c>
      <c r="N131" s="26">
        <f t="shared" si="36"/>
        <v>0.43499999999999961</v>
      </c>
      <c r="O131" s="26">
        <f t="shared" si="37"/>
        <v>2.2191959999999979</v>
      </c>
      <c r="P131" s="26">
        <f>IF($U131=0,0,SUMPRODUCT((ABERTURAS!$N$7:$N$26=$U131)*ABERTURAS!$U$7:$U$26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Q131" s="26">
        <f>IF($U131=0,0,SUMPRODUCT((ABERTURAS!$N$7:$N$26=$U131)*ABERTURAS!$V$7:$V$26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R131" s="26">
        <f t="shared" si="38"/>
        <v>2.2191959999999979</v>
      </c>
      <c r="S131" s="26">
        <f t="shared" si="39"/>
        <v>2.2191959999999979</v>
      </c>
      <c r="T131" s="41">
        <f t="shared" si="40"/>
        <v>6.7649999999999997</v>
      </c>
      <c r="U131" s="41">
        <f t="shared" si="41"/>
        <v>1</v>
      </c>
      <c r="V131" s="41">
        <f t="shared" si="42"/>
        <v>6.33</v>
      </c>
      <c r="W131" s="41">
        <f t="shared" si="43"/>
        <v>6.7649999999999997</v>
      </c>
      <c r="X131" s="41">
        <f t="shared" si="44"/>
        <v>2.4868999999999999</v>
      </c>
      <c r="Y131" s="41">
        <f t="shared" si="45"/>
        <v>7.5884999999999998</v>
      </c>
      <c r="Z131" s="41">
        <f t="shared" si="46"/>
        <v>6.33</v>
      </c>
      <c r="AA131" s="41">
        <f t="shared" si="47"/>
        <v>6.7649999999999997</v>
      </c>
      <c r="AB131" s="26">
        <f>IF($L131&lt;&gt;"OK",0,(INDEX(PRESIONES!$D$28:$D$31,$U131)*IF(INDEX(PRESIONES!$D$28:$D$31,$U131)&gt;0,PRESIONES!$C$9*IF($T131&lt;=10,1,($T131/10)^(2/DATOS!$C$56)),PRESIONES!$C$15)-ABERTURAS!$L$60*PRESIONES!$C$12)*$R131/$M131)</f>
        <v>-3.9950186482669574</v>
      </c>
      <c r="AC131" s="26">
        <f>IF($L131&lt;&gt;"OK",0,(INDEX(PRESIONES!$G$28:$G$31,$U131)*IF(INDEX(PRESIONES!$G$28:$G$31,$U131)&gt;0,PRESIONES!$C$9*IF($T131&lt;=10,1,($T131/10)^(2/DATOS!$C$56)),PRESIONES!$C$15)-ABERTURAS!$L$61*PRESIONES!$C$12)*$R131/$M131)</f>
        <v>-3.9950186482669574</v>
      </c>
      <c r="AD131" s="26">
        <f>IF($L131&lt;&gt;"OK",0,(INDEX(PRESIONES!$J$28:$J$31,$U131)*IF(INDEX(PRESIONES!$J$28:$J$31,$U131)&gt;0,PRESIONES!$C$9*IF($T131&lt;=10,1,($T131/10)^(2/DATOS!$C$56)),PRESIONES!$C$15)-ABERTURAS!$L$62*PRESIONES!$C$12)*$R131/$M131)</f>
        <v>29.44917762207962</v>
      </c>
      <c r="AE131" s="26">
        <f>IF($L131&lt;&gt;"OK",0,(INDEX(PRESIONES!$M$28:$M$31,$U131)*IF(INDEX(PRESIONES!$M$28:$M$31,$U131)&gt;0,PRESIONES!$C$9*IF($T131&lt;=10,1,($T131/10)^(2/DATOS!$C$56)),PRESIONES!$C$15)-ABERTURAS!$L$63*PRESIONES!$C$12)*$R131/$M131)</f>
        <v>-26.371472027599538</v>
      </c>
      <c r="AF131" s="26">
        <f>IF($L131&lt;&gt;"OK",0,(INDEX(PRESIONES!$D$28:$D$31,$U131)*IF(INDEX(PRESIONES!$D$28:$D$31,$U131)&gt;0,PRESIONES!$C$9*IF($T131&lt;=10,1,($T131/10)^(2/DATOS!$C$56)),PRESIONES!$C$15)-ABERTURAS!$L$64*PRESIONES!$C$12)*$S131/$M131)</f>
        <v>-3.9950186482669574</v>
      </c>
      <c r="AG131" s="26">
        <f>IF($L131&lt;&gt;"OK",0,(INDEX(PRESIONES!$G$28:$G$31,$U131)*IF(INDEX(PRESIONES!$G$28:$G$31,$U131)&gt;0,PRESIONES!$C$9*IF($T131&lt;=10,1,($T131/10)^(2/DATOS!$C$56)),PRESIONES!$C$15)-ABERTURAS!$L$65*PRESIONES!$C$12)*$S131/$M131)</f>
        <v>-3.9950186482669574</v>
      </c>
      <c r="AH131" s="26">
        <f>IF($L131&lt;&gt;"OK",0,(INDEX(PRESIONES!$J$28:$J$31,$U131)*IF(INDEX(PRESIONES!$J$28:$J$31,$U131)&gt;0,PRESIONES!$C$9*IF($T131&lt;=10,1,($T131/10)^(2/DATOS!$C$56)),PRESIONES!$C$15)-ABERTURAS!$L$66*PRESIONES!$C$12)*$S131/$M131)</f>
        <v>29.44917762207962</v>
      </c>
      <c r="AI131" s="26">
        <f>IF($L131&lt;&gt;"OK",0,(INDEX(PRESIONES!$M$28:$M$31,$U131)*IF(INDEX(PRESIONES!$M$28:$M$31,$U131)&gt;0,PRESIONES!$C$9*IF($T131&lt;=10,1,($T131/10)^(2/DATOS!$C$56)),PRESIONES!$C$15)-ABERTURAS!$L$67*PRESIONES!$C$12)*$S131/$M131)</f>
        <v>-26.371472027599538</v>
      </c>
    </row>
    <row r="132" spans="2:35" ht="16.5" customHeight="1" x14ac:dyDescent="0.3">
      <c r="B132" s="4" t="s">
        <v>604</v>
      </c>
      <c r="C132" s="15" t="s">
        <v>226</v>
      </c>
      <c r="D132" s="4" t="s">
        <v>605</v>
      </c>
      <c r="E132" s="15" t="s">
        <v>430</v>
      </c>
      <c r="F132" s="40">
        <v>7.5884999999999998</v>
      </c>
      <c r="G132" s="40">
        <v>10.08</v>
      </c>
      <c r="H132" s="40">
        <v>6.165</v>
      </c>
      <c r="I132" s="40">
        <v>6.7649999999999997</v>
      </c>
      <c r="J132" s="40"/>
      <c r="K132" s="40"/>
      <c r="L132" s="18" t="str">
        <f t="shared" si="34"/>
        <v>OK</v>
      </c>
      <c r="M132" s="26">
        <f t="shared" si="35"/>
        <v>2.4915000000000003</v>
      </c>
      <c r="N132" s="26">
        <f t="shared" si="36"/>
        <v>0.59999999999999964</v>
      </c>
      <c r="O132" s="26">
        <f t="shared" si="37"/>
        <v>1.4948999999999992</v>
      </c>
      <c r="P132" s="26">
        <f>IF($U132=0,0,SUMPRODUCT((ABERTURAS!$N$7:$N$26=$U132)*ABERTURAS!$U$7:$U$26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0</v>
      </c>
      <c r="Q132" s="26">
        <f>IF($U132=0,0,SUMPRODUCT((ABERTURAS!$N$7:$N$26=$U132)*ABERTURAS!$V$7:$V$26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1.4654943925052069E-16</v>
      </c>
      <c r="R132" s="26">
        <f t="shared" si="38"/>
        <v>1.4948999999999992</v>
      </c>
      <c r="S132" s="26">
        <f t="shared" si="39"/>
        <v>1.494899999999999</v>
      </c>
      <c r="T132" s="41">
        <f t="shared" si="40"/>
        <v>6.7649999999999997</v>
      </c>
      <c r="U132" s="41">
        <f t="shared" si="41"/>
        <v>1</v>
      </c>
      <c r="V132" s="41">
        <f t="shared" si="42"/>
        <v>6.165</v>
      </c>
      <c r="W132" s="41">
        <f t="shared" si="43"/>
        <v>6.7649999999999997</v>
      </c>
      <c r="X132" s="41">
        <f t="shared" si="44"/>
        <v>7.5884999999999998</v>
      </c>
      <c r="Y132" s="41">
        <f t="shared" si="45"/>
        <v>10.08</v>
      </c>
      <c r="Z132" s="41">
        <f t="shared" si="46"/>
        <v>6.165</v>
      </c>
      <c r="AA132" s="41">
        <f t="shared" si="47"/>
        <v>6.7649999999999997</v>
      </c>
      <c r="AB132" s="26">
        <f>IF($L132&lt;&gt;"OK",0,(INDEX(PRESIONES!$D$28:$D$31,$U132)*IF(INDEX(PRESIONES!$D$28:$D$31,$U132)&gt;0,PRESIONES!$C$9*IF($T132&lt;=10,1,($T132/10)^(2/DATOS!$C$56)),PRESIONES!$C$15)-ABERTURAS!$L$60*PRESIONES!$C$12)*$R132/$M132)</f>
        <v>-5.5103705493337349</v>
      </c>
      <c r="AC132" s="26">
        <f>IF($L132&lt;&gt;"OK",0,(INDEX(PRESIONES!$G$28:$G$31,$U132)*IF(INDEX(PRESIONES!$G$28:$G$31,$U132)&gt;0,PRESIONES!$C$9*IF($T132&lt;=10,1,($T132/10)^(2/DATOS!$C$56)),PRESIONES!$C$15)-ABERTURAS!$L$61*PRESIONES!$C$12)*$R132/$M132)</f>
        <v>-5.5103705493337349</v>
      </c>
      <c r="AD132" s="26">
        <f>IF($L132&lt;&gt;"OK",0,(INDEX(PRESIONES!$J$28:$J$31,$U132)*IF(INDEX(PRESIONES!$J$28:$J$31,$U132)&gt;0,PRESIONES!$C$9*IF($T132&lt;=10,1,($T132/10)^(2/DATOS!$C$56)),PRESIONES!$C$15)-ABERTURAS!$L$62*PRESIONES!$C$12)*$R132/$M132)</f>
        <v>40.619555340799479</v>
      </c>
      <c r="AE132" s="26">
        <f>IF($L132&lt;&gt;"OK",0,(INDEX(PRESIONES!$M$28:$M$31,$U132)*IF(INDEX(PRESIONES!$M$28:$M$31,$U132)&gt;0,PRESIONES!$C$9*IF($T132&lt;=10,1,($T132/10)^(2/DATOS!$C$56)),PRESIONES!$C$15)-ABERTURAS!$L$63*PRESIONES!$C$12)*$R132/$M132)</f>
        <v>-36.374444175999365</v>
      </c>
      <c r="AF132" s="26">
        <f>IF($L132&lt;&gt;"OK",0,(INDEX(PRESIONES!$D$28:$D$31,$U132)*IF(INDEX(PRESIONES!$D$28:$D$31,$U132)&gt;0,PRESIONES!$C$9*IF($T132&lt;=10,1,($T132/10)^(2/DATOS!$C$56)),PRESIONES!$C$15)-ABERTURAS!$L$64*PRESIONES!$C$12)*$S132/$M132)</f>
        <v>-5.510370549333734</v>
      </c>
      <c r="AG132" s="26">
        <f>IF($L132&lt;&gt;"OK",0,(INDEX(PRESIONES!$G$28:$G$31,$U132)*IF(INDEX(PRESIONES!$G$28:$G$31,$U132)&gt;0,PRESIONES!$C$9*IF($T132&lt;=10,1,($T132/10)^(2/DATOS!$C$56)),PRESIONES!$C$15)-ABERTURAS!$L$65*PRESIONES!$C$12)*$S132/$M132)</f>
        <v>-5.510370549333734</v>
      </c>
      <c r="AH132" s="26">
        <f>IF($L132&lt;&gt;"OK",0,(INDEX(PRESIONES!$J$28:$J$31,$U132)*IF(INDEX(PRESIONES!$J$28:$J$31,$U132)&gt;0,PRESIONES!$C$9*IF($T132&lt;=10,1,($T132/10)^(2/DATOS!$C$56)),PRESIONES!$C$15)-ABERTURAS!$L$66*PRESIONES!$C$12)*$S132/$M132)</f>
        <v>40.619555340799472</v>
      </c>
      <c r="AI132" s="26">
        <f>IF($L132&lt;&gt;"OK",0,(INDEX(PRESIONES!$M$28:$M$31,$U132)*IF(INDEX(PRESIONES!$M$28:$M$31,$U132)&gt;0,PRESIONES!$C$9*IF($T132&lt;=10,1,($T132/10)^(2/DATOS!$C$56)),PRESIONES!$C$15)-ABERTURAS!$L$67*PRESIONES!$C$12)*$S132/$M132)</f>
        <v>-36.374444175999358</v>
      </c>
    </row>
    <row r="133" spans="2:35" ht="16.5" customHeight="1" x14ac:dyDescent="0.3">
      <c r="B133" s="4" t="s">
        <v>606</v>
      </c>
      <c r="C133" s="15" t="s">
        <v>226</v>
      </c>
      <c r="D133" s="4" t="s">
        <v>607</v>
      </c>
      <c r="E133" s="15" t="s">
        <v>430</v>
      </c>
      <c r="F133" s="40">
        <v>0</v>
      </c>
      <c r="G133" s="40">
        <v>10.08</v>
      </c>
      <c r="H133" s="40">
        <v>6.7649999999999997</v>
      </c>
      <c r="I133" s="40">
        <v>7.8</v>
      </c>
      <c r="J133" s="40"/>
      <c r="K133" s="40"/>
      <c r="L133" s="18" t="str">
        <f t="shared" si="34"/>
        <v>OK</v>
      </c>
      <c r="M133" s="26">
        <f t="shared" si="35"/>
        <v>10.08</v>
      </c>
      <c r="N133" s="26">
        <f t="shared" si="36"/>
        <v>1.0350000000000001</v>
      </c>
      <c r="O133" s="26">
        <f t="shared" si="37"/>
        <v>10.432800000000002</v>
      </c>
      <c r="P133" s="26">
        <f>IF($U133=0,0,SUMPRODUCT((ABERTURAS!$N$7:$N$26=$U133)*ABERTURAS!$U$7:$U$26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Q133" s="26">
        <f>IF($U133=0,0,SUMPRODUCT((ABERTURAS!$N$7:$N$26=$U133)*ABERTURAS!$V$7:$V$26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R133" s="26">
        <f t="shared" si="38"/>
        <v>10.432800000000002</v>
      </c>
      <c r="S133" s="26">
        <f t="shared" si="39"/>
        <v>10.432800000000002</v>
      </c>
      <c r="T133" s="41">
        <f t="shared" si="40"/>
        <v>7.8</v>
      </c>
      <c r="U133" s="41">
        <f t="shared" si="41"/>
        <v>1</v>
      </c>
      <c r="V133" s="41">
        <f t="shared" si="42"/>
        <v>6.7649999999999997</v>
      </c>
      <c r="W133" s="41">
        <f t="shared" si="43"/>
        <v>7.8</v>
      </c>
      <c r="X133" s="41">
        <f t="shared" si="44"/>
        <v>0</v>
      </c>
      <c r="Y133" s="41">
        <f t="shared" si="45"/>
        <v>10.08</v>
      </c>
      <c r="Z133" s="41">
        <f t="shared" si="46"/>
        <v>6.7649999999999997</v>
      </c>
      <c r="AA133" s="41">
        <f t="shared" si="47"/>
        <v>7.8</v>
      </c>
      <c r="AB133" s="26">
        <f>IF($L133&lt;&gt;"OK",0,(INDEX(PRESIONES!$D$28:$D$31,$U133)*IF(INDEX(PRESIONES!$D$28:$D$31,$U133)&gt;0,PRESIONES!$C$9*IF($T133&lt;=10,1,($T133/10)^(2/DATOS!$C$56)),PRESIONES!$C$15)-ABERTURAS!$L$60*PRESIONES!$C$12)*$R133/$M133)</f>
        <v>-9.5053891976007012</v>
      </c>
      <c r="AC133" s="26">
        <f>IF($L133&lt;&gt;"OK",0,(INDEX(PRESIONES!$G$28:$G$31,$U133)*IF(INDEX(PRESIONES!$G$28:$G$31,$U133)&gt;0,PRESIONES!$C$9*IF($T133&lt;=10,1,($T133/10)^(2/DATOS!$C$56)),PRESIONES!$C$15)-ABERTURAS!$L$61*PRESIONES!$C$12)*$R133/$M133)</f>
        <v>-9.5053891976007012</v>
      </c>
      <c r="AD133" s="26">
        <f>IF($L133&lt;&gt;"OK",0,(INDEX(PRESIONES!$J$28:$J$31,$U133)*IF(INDEX(PRESIONES!$J$28:$J$31,$U133)&gt;0,PRESIONES!$C$9*IF($T133&lt;=10,1,($T133/10)^(2/DATOS!$C$56)),PRESIONES!$C$15)-ABERTURAS!$L$62*PRESIONES!$C$12)*$R133/$M133)</f>
        <v>70.068732962879167</v>
      </c>
      <c r="AE133" s="26">
        <f>IF($L133&lt;&gt;"OK",0,(INDEX(PRESIONES!$M$28:$M$31,$U133)*IF(INDEX(PRESIONES!$M$28:$M$31,$U133)&gt;0,PRESIONES!$C$9*IF($T133&lt;=10,1,($T133/10)^(2/DATOS!$C$56)),PRESIONES!$C$15)-ABERTURAS!$L$63*PRESIONES!$C$12)*$R133/$M133)</f>
        <v>-62.745916203598959</v>
      </c>
      <c r="AF133" s="26">
        <f>IF($L133&lt;&gt;"OK",0,(INDEX(PRESIONES!$D$28:$D$31,$U133)*IF(INDEX(PRESIONES!$D$28:$D$31,$U133)&gt;0,PRESIONES!$C$9*IF($T133&lt;=10,1,($T133/10)^(2/DATOS!$C$56)),PRESIONES!$C$15)-ABERTURAS!$L$64*PRESIONES!$C$12)*$S133/$M133)</f>
        <v>-9.5053891976007012</v>
      </c>
      <c r="AG133" s="26">
        <f>IF($L133&lt;&gt;"OK",0,(INDEX(PRESIONES!$G$28:$G$31,$U133)*IF(INDEX(PRESIONES!$G$28:$G$31,$U133)&gt;0,PRESIONES!$C$9*IF($T133&lt;=10,1,($T133/10)^(2/DATOS!$C$56)),PRESIONES!$C$15)-ABERTURAS!$L$65*PRESIONES!$C$12)*$S133/$M133)</f>
        <v>-9.5053891976007012</v>
      </c>
      <c r="AH133" s="26">
        <f>IF($L133&lt;&gt;"OK",0,(INDEX(PRESIONES!$J$28:$J$31,$U133)*IF(INDEX(PRESIONES!$J$28:$J$31,$U133)&gt;0,PRESIONES!$C$9*IF($T133&lt;=10,1,($T133/10)^(2/DATOS!$C$56)),PRESIONES!$C$15)-ABERTURAS!$L$66*PRESIONES!$C$12)*$S133/$M133)</f>
        <v>70.068732962879167</v>
      </c>
      <c r="AI133" s="26">
        <f>IF($L133&lt;&gt;"OK",0,(INDEX(PRESIONES!$M$28:$M$31,$U133)*IF(INDEX(PRESIONES!$M$28:$M$31,$U133)&gt;0,PRESIONES!$C$9*IF($T133&lt;=10,1,($T133/10)^(2/DATOS!$C$56)),PRESIONES!$C$15)-ABERTURAS!$L$67*PRESIONES!$C$12)*$S133/$M133)</f>
        <v>-62.745916203598959</v>
      </c>
    </row>
    <row r="134" spans="2:35" ht="16.5" customHeight="1" x14ac:dyDescent="0.3">
      <c r="B134" s="4" t="s">
        <v>608</v>
      </c>
      <c r="C134" s="15" t="s">
        <v>226</v>
      </c>
      <c r="D134" s="4" t="s">
        <v>609</v>
      </c>
      <c r="E134" s="15" t="s">
        <v>430</v>
      </c>
      <c r="F134" s="40">
        <v>0</v>
      </c>
      <c r="G134" s="40">
        <v>10.08</v>
      </c>
      <c r="H134" s="40">
        <v>7.8</v>
      </c>
      <c r="I134" s="40">
        <v>9</v>
      </c>
      <c r="J134" s="40"/>
      <c r="K134" s="40"/>
      <c r="L134" s="18" t="str">
        <f t="shared" si="34"/>
        <v>OK</v>
      </c>
      <c r="M134" s="26">
        <f t="shared" si="35"/>
        <v>10.08</v>
      </c>
      <c r="N134" s="26">
        <f t="shared" si="36"/>
        <v>1.2000000000000002</v>
      </c>
      <c r="O134" s="26">
        <f t="shared" si="37"/>
        <v>12.096000000000002</v>
      </c>
      <c r="P134" s="26">
        <f>IF($U134=0,0,SUMPRODUCT((ABERTURAS!$N$7:$N$26=$U134)*ABERTURAS!$U$7:$U$26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Q134" s="26">
        <f>IF($U134=0,0,SUMPRODUCT((ABERTURAS!$N$7:$N$26=$U134)*ABERTURAS!$V$7:$V$26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R134" s="26">
        <f t="shared" si="38"/>
        <v>12.096000000000002</v>
      </c>
      <c r="S134" s="26">
        <f t="shared" si="39"/>
        <v>12.096000000000002</v>
      </c>
      <c r="T134" s="41">
        <f t="shared" si="40"/>
        <v>9</v>
      </c>
      <c r="U134" s="41">
        <f t="shared" si="41"/>
        <v>1</v>
      </c>
      <c r="V134" s="41">
        <f t="shared" si="42"/>
        <v>7.8</v>
      </c>
      <c r="W134" s="41">
        <f t="shared" si="43"/>
        <v>9</v>
      </c>
      <c r="X134" s="41">
        <f t="shared" si="44"/>
        <v>0</v>
      </c>
      <c r="Y134" s="41">
        <f t="shared" si="45"/>
        <v>10.08</v>
      </c>
      <c r="Z134" s="41">
        <f t="shared" si="46"/>
        <v>7.8</v>
      </c>
      <c r="AA134" s="41">
        <f t="shared" si="47"/>
        <v>9</v>
      </c>
      <c r="AB134" s="26">
        <f>IF($L134&lt;&gt;"OK",0,(INDEX(PRESIONES!$D$28:$D$31,$U134)*IF(INDEX(PRESIONES!$D$28:$D$31,$U134)&gt;0,PRESIONES!$C$9*IF($T134&lt;=10,1,($T134/10)^(2/DATOS!$C$56)),PRESIONES!$C$15)-ABERTURAS!$L$60*PRESIONES!$C$12)*$R134/$M134)</f>
        <v>-11.020741098667479</v>
      </c>
      <c r="AC134" s="26">
        <f>IF($L134&lt;&gt;"OK",0,(INDEX(PRESIONES!$G$28:$G$31,$U134)*IF(INDEX(PRESIONES!$G$28:$G$31,$U134)&gt;0,PRESIONES!$C$9*IF($T134&lt;=10,1,($T134/10)^(2/DATOS!$C$56)),PRESIONES!$C$15)-ABERTURAS!$L$61*PRESIONES!$C$12)*$R134/$M134)</f>
        <v>-11.020741098667479</v>
      </c>
      <c r="AD134" s="26">
        <f>IF($L134&lt;&gt;"OK",0,(INDEX(PRESIONES!$J$28:$J$31,$U134)*IF(INDEX(PRESIONES!$J$28:$J$31,$U134)&gt;0,PRESIONES!$C$9*IF($T134&lt;=10,1,($T134/10)^(2/DATOS!$C$56)),PRESIONES!$C$15)-ABERTURAS!$L$62*PRESIONES!$C$12)*$R134/$M134)</f>
        <v>81.23911068159903</v>
      </c>
      <c r="AE134" s="26">
        <f>IF($L134&lt;&gt;"OK",0,(INDEX(PRESIONES!$M$28:$M$31,$U134)*IF(INDEX(PRESIONES!$M$28:$M$31,$U134)&gt;0,PRESIONES!$C$9*IF($T134&lt;=10,1,($T134/10)^(2/DATOS!$C$56)),PRESIONES!$C$15)-ABERTURAS!$L$63*PRESIONES!$C$12)*$R134/$M134)</f>
        <v>-72.748888351998787</v>
      </c>
      <c r="AF134" s="26">
        <f>IF($L134&lt;&gt;"OK",0,(INDEX(PRESIONES!$D$28:$D$31,$U134)*IF(INDEX(PRESIONES!$D$28:$D$31,$U134)&gt;0,PRESIONES!$C$9*IF($T134&lt;=10,1,($T134/10)^(2/DATOS!$C$56)),PRESIONES!$C$15)-ABERTURAS!$L$64*PRESIONES!$C$12)*$S134/$M134)</f>
        <v>-11.020741098667479</v>
      </c>
      <c r="AG134" s="26">
        <f>IF($L134&lt;&gt;"OK",0,(INDEX(PRESIONES!$G$28:$G$31,$U134)*IF(INDEX(PRESIONES!$G$28:$G$31,$U134)&gt;0,PRESIONES!$C$9*IF($T134&lt;=10,1,($T134/10)^(2/DATOS!$C$56)),PRESIONES!$C$15)-ABERTURAS!$L$65*PRESIONES!$C$12)*$S134/$M134)</f>
        <v>-11.020741098667479</v>
      </c>
      <c r="AH134" s="26">
        <f>IF($L134&lt;&gt;"OK",0,(INDEX(PRESIONES!$J$28:$J$31,$U134)*IF(INDEX(PRESIONES!$J$28:$J$31,$U134)&gt;0,PRESIONES!$C$9*IF($T134&lt;=10,1,($T134/10)^(2/DATOS!$C$56)),PRESIONES!$C$15)-ABERTURAS!$L$66*PRESIONES!$C$12)*$S134/$M134)</f>
        <v>81.23911068159903</v>
      </c>
      <c r="AI134" s="26">
        <f>IF($L134&lt;&gt;"OK",0,(INDEX(PRESIONES!$M$28:$M$31,$U134)*IF(INDEX(PRESIONES!$M$28:$M$31,$U134)&gt;0,PRESIONES!$C$9*IF($T134&lt;=10,1,($T134/10)^(2/DATOS!$C$56)),PRESIONES!$C$15)-ABERTURAS!$L$67*PRESIONES!$C$12)*$S134/$M134)</f>
        <v>-72.748888351998787</v>
      </c>
    </row>
    <row r="135" spans="2:35" ht="16.5" customHeight="1" x14ac:dyDescent="0.3">
      <c r="B135" s="4" t="s">
        <v>610</v>
      </c>
      <c r="C135" s="15" t="s">
        <v>226</v>
      </c>
      <c r="D135" s="4" t="s">
        <v>611</v>
      </c>
      <c r="E135" s="15" t="s">
        <v>430</v>
      </c>
      <c r="F135" s="40">
        <v>0</v>
      </c>
      <c r="G135" s="40">
        <v>10.08</v>
      </c>
      <c r="H135" s="40">
        <v>9</v>
      </c>
      <c r="I135" s="40">
        <v>10.11</v>
      </c>
      <c r="J135" s="40"/>
      <c r="K135" s="40"/>
      <c r="L135" s="18" t="str">
        <f t="shared" si="34"/>
        <v>OK</v>
      </c>
      <c r="M135" s="26">
        <f t="shared" si="35"/>
        <v>10.08</v>
      </c>
      <c r="N135" s="26">
        <f t="shared" si="36"/>
        <v>1.1099999999999994</v>
      </c>
      <c r="O135" s="26">
        <f t="shared" si="37"/>
        <v>11.188799999999995</v>
      </c>
      <c r="P135" s="26">
        <f>IF($U135=0,0,SUMPRODUCT((ABERTURAS!$N$7:$N$26=$U135)*ABERTURAS!$U$7:$U$26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Q135" s="26">
        <f>IF($U135=0,0,SUMPRODUCT((ABERTURAS!$N$7:$N$26=$U135)*ABERTURAS!$V$7:$V$26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R135" s="26">
        <f t="shared" si="38"/>
        <v>11.188799999999995</v>
      </c>
      <c r="S135" s="26">
        <f t="shared" si="39"/>
        <v>11.188799999999995</v>
      </c>
      <c r="T135" s="41">
        <f t="shared" si="40"/>
        <v>10.11</v>
      </c>
      <c r="U135" s="41">
        <f t="shared" si="41"/>
        <v>1</v>
      </c>
      <c r="V135" s="41">
        <f t="shared" si="42"/>
        <v>9</v>
      </c>
      <c r="W135" s="41">
        <f t="shared" si="43"/>
        <v>10.11</v>
      </c>
      <c r="X135" s="41">
        <f t="shared" si="44"/>
        <v>0</v>
      </c>
      <c r="Y135" s="41">
        <f t="shared" si="45"/>
        <v>10.08</v>
      </c>
      <c r="Z135" s="41">
        <f t="shared" si="46"/>
        <v>9</v>
      </c>
      <c r="AA135" s="41">
        <f t="shared" si="47"/>
        <v>10.11</v>
      </c>
      <c r="AB135" s="26">
        <f>IF($L135&lt;&gt;"OK",0,(INDEX(PRESIONES!$D$28:$D$31,$U135)*IF(INDEX(PRESIONES!$D$28:$D$31,$U135)&gt;0,PRESIONES!$C$9*IF($T135&lt;=10,1,($T135/10)^(2/DATOS!$C$56)),PRESIONES!$C$15)-ABERTURAS!$L$60*PRESIONES!$C$12)*$R135/$M135)</f>
        <v>-10.194185516267412</v>
      </c>
      <c r="AC135" s="26">
        <f>IF($L135&lt;&gt;"OK",0,(INDEX(PRESIONES!$G$28:$G$31,$U135)*IF(INDEX(PRESIONES!$G$28:$G$31,$U135)&gt;0,PRESIONES!$C$9*IF($T135&lt;=10,1,($T135/10)^(2/DATOS!$C$56)),PRESIONES!$C$15)-ABERTURAS!$L$61*PRESIONES!$C$12)*$R135/$M135)</f>
        <v>-10.194185516267412</v>
      </c>
      <c r="AD135" s="26">
        <f>IF($L135&lt;&gt;"OK",0,(INDEX(PRESIONES!$J$28:$J$31,$U135)*IF(INDEX(PRESIONES!$J$28:$J$31,$U135)&gt;0,PRESIONES!$C$9*IF($T135&lt;=10,1,($T135/10)^(2/DATOS!$C$56)),PRESIONES!$C$15)-ABERTURAS!$L$62*PRESIONES!$C$12)*$R135/$M135)</f>
        <v>75.279615530945918</v>
      </c>
      <c r="AE135" s="26">
        <f>IF($L135&lt;&gt;"OK",0,(INDEX(PRESIONES!$M$28:$M$31,$U135)*IF(INDEX(PRESIONES!$M$28:$M$31,$U135)&gt;0,PRESIONES!$C$9*IF($T135&lt;=10,1,($T135/10)^(2/DATOS!$C$56)),PRESIONES!$C$15)-ABERTURAS!$L$63*PRESIONES!$C$12)*$R135/$M135)</f>
        <v>-67.292721725598838</v>
      </c>
      <c r="AF135" s="26">
        <f>IF($L135&lt;&gt;"OK",0,(INDEX(PRESIONES!$D$28:$D$31,$U135)*IF(INDEX(PRESIONES!$D$28:$D$31,$U135)&gt;0,PRESIONES!$C$9*IF($T135&lt;=10,1,($T135/10)^(2/DATOS!$C$56)),PRESIONES!$C$15)-ABERTURAS!$L$64*PRESIONES!$C$12)*$S135/$M135)</f>
        <v>-10.194185516267412</v>
      </c>
      <c r="AG135" s="26">
        <f>IF($L135&lt;&gt;"OK",0,(INDEX(PRESIONES!$G$28:$G$31,$U135)*IF(INDEX(PRESIONES!$G$28:$G$31,$U135)&gt;0,PRESIONES!$C$9*IF($T135&lt;=10,1,($T135/10)^(2/DATOS!$C$56)),PRESIONES!$C$15)-ABERTURAS!$L$65*PRESIONES!$C$12)*$S135/$M135)</f>
        <v>-10.194185516267412</v>
      </c>
      <c r="AH135" s="26">
        <f>IF($L135&lt;&gt;"OK",0,(INDEX(PRESIONES!$J$28:$J$31,$U135)*IF(INDEX(PRESIONES!$J$28:$J$31,$U135)&gt;0,PRESIONES!$C$9*IF($T135&lt;=10,1,($T135/10)^(2/DATOS!$C$56)),PRESIONES!$C$15)-ABERTURAS!$L$66*PRESIONES!$C$12)*$S135/$M135)</f>
        <v>75.279615530945918</v>
      </c>
      <c r="AI135" s="26">
        <f>IF($L135&lt;&gt;"OK",0,(INDEX(PRESIONES!$M$28:$M$31,$U135)*IF(INDEX(PRESIONES!$M$28:$M$31,$U135)&gt;0,PRESIONES!$C$9*IF($T135&lt;=10,1,($T135/10)^(2/DATOS!$C$56)),PRESIONES!$C$15)-ABERTURAS!$L$67*PRESIONES!$C$12)*$S135/$M135)</f>
        <v>-67.292721725598838</v>
      </c>
    </row>
    <row r="136" spans="2:35" ht="29.25" customHeight="1" x14ac:dyDescent="0.3">
      <c r="B136" s="4" t="s">
        <v>612</v>
      </c>
      <c r="C136" s="15" t="s">
        <v>226</v>
      </c>
      <c r="D136" s="4" t="s">
        <v>398</v>
      </c>
      <c r="E136" s="15" t="s">
        <v>430</v>
      </c>
      <c r="F136" s="40">
        <v>0</v>
      </c>
      <c r="G136" s="40">
        <v>10.08</v>
      </c>
      <c r="H136" s="40">
        <v>10.11</v>
      </c>
      <c r="I136" s="40">
        <v>10.62</v>
      </c>
      <c r="J136" s="40"/>
      <c r="K136" s="40"/>
      <c r="L136" s="18" t="str">
        <f t="shared" si="34"/>
        <v>OK</v>
      </c>
      <c r="M136" s="26">
        <f t="shared" si="35"/>
        <v>10.08</v>
      </c>
      <c r="N136" s="26">
        <f t="shared" si="36"/>
        <v>0.50999999999999979</v>
      </c>
      <c r="O136" s="26">
        <f t="shared" si="37"/>
        <v>5.1407999999999978</v>
      </c>
      <c r="P136" s="26">
        <f>IF($U136=0,0,SUMPRODUCT((ABERTURAS!$N$7:$N$26=$U136)*ABERTURAS!$U$7:$U$26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Q136" s="26">
        <f>IF($U136=0,0,SUMPRODUCT((ABERTURAS!$N$7:$N$26=$U136)*ABERTURAS!$V$7:$V$26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R136" s="26">
        <f t="shared" si="38"/>
        <v>5.1407999999999978</v>
      </c>
      <c r="S136" s="26">
        <f t="shared" si="39"/>
        <v>5.1407999999999978</v>
      </c>
      <c r="T136" s="41">
        <f t="shared" si="40"/>
        <v>10.62</v>
      </c>
      <c r="U136" s="41">
        <f t="shared" si="41"/>
        <v>1</v>
      </c>
      <c r="V136" s="41">
        <f t="shared" si="42"/>
        <v>10.11</v>
      </c>
      <c r="W136" s="41">
        <f t="shared" si="43"/>
        <v>10.62</v>
      </c>
      <c r="X136" s="41">
        <f t="shared" si="44"/>
        <v>0</v>
      </c>
      <c r="Y136" s="41">
        <f t="shared" si="45"/>
        <v>10.08</v>
      </c>
      <c r="Z136" s="41">
        <f t="shared" si="46"/>
        <v>10.11</v>
      </c>
      <c r="AA136" s="41">
        <f t="shared" si="47"/>
        <v>10.62</v>
      </c>
      <c r="AB136" s="26">
        <f>IF($L136&lt;&gt;"OK",0,(INDEX(PRESIONES!$D$28:$D$31,$U136)*IF(INDEX(PRESIONES!$D$28:$D$31,$U136)&gt;0,PRESIONES!$C$9*IF($T136&lt;=10,1,($T136/10)^(2/DATOS!$C$56)),PRESIONES!$C$15)-ABERTURAS!$L$60*PRESIONES!$C$12)*$R136/$M136)</f>
        <v>-4.6838149669336753</v>
      </c>
      <c r="AC136" s="26">
        <f>IF($L136&lt;&gt;"OK",0,(INDEX(PRESIONES!$G$28:$G$31,$U136)*IF(INDEX(PRESIONES!$G$28:$G$31,$U136)&gt;0,PRESIONES!$C$9*IF($T136&lt;=10,1,($T136/10)^(2/DATOS!$C$56)),PRESIONES!$C$15)-ABERTURAS!$L$61*PRESIONES!$C$12)*$R136/$M136)</f>
        <v>-4.6838149669336753</v>
      </c>
      <c r="AD136" s="26">
        <f>IF($L136&lt;&gt;"OK",0,(INDEX(PRESIONES!$J$28:$J$31,$U136)*IF(INDEX(PRESIONES!$J$28:$J$31,$U136)&gt;0,PRESIONES!$C$9*IF($T136&lt;=10,1,($T136/10)^(2/DATOS!$C$56)),PRESIONES!$C$15)-ABERTURAS!$L$62*PRESIONES!$C$12)*$R136/$M136)</f>
        <v>34.86611809258568</v>
      </c>
      <c r="AE136" s="26">
        <f>IF($L136&lt;&gt;"OK",0,(INDEX(PRESIONES!$M$28:$M$31,$U136)*IF(INDEX(PRESIONES!$M$28:$M$31,$U136)&gt;0,PRESIONES!$C$9*IF($T136&lt;=10,1,($T136/10)^(2/DATOS!$C$56)),PRESIONES!$C$15)-ABERTURAS!$L$63*PRESIONES!$C$12)*$R136/$M136)</f>
        <v>-30.918277549599466</v>
      </c>
      <c r="AF136" s="26">
        <f>IF($L136&lt;&gt;"OK",0,(INDEX(PRESIONES!$D$28:$D$31,$U136)*IF(INDEX(PRESIONES!$D$28:$D$31,$U136)&gt;0,PRESIONES!$C$9*IF($T136&lt;=10,1,($T136/10)^(2/DATOS!$C$56)),PRESIONES!$C$15)-ABERTURAS!$L$64*PRESIONES!$C$12)*$S136/$M136)</f>
        <v>-4.6838149669336753</v>
      </c>
      <c r="AG136" s="26">
        <f>IF($L136&lt;&gt;"OK",0,(INDEX(PRESIONES!$G$28:$G$31,$U136)*IF(INDEX(PRESIONES!$G$28:$G$31,$U136)&gt;0,PRESIONES!$C$9*IF($T136&lt;=10,1,($T136/10)^(2/DATOS!$C$56)),PRESIONES!$C$15)-ABERTURAS!$L$65*PRESIONES!$C$12)*$S136/$M136)</f>
        <v>-4.6838149669336753</v>
      </c>
      <c r="AH136" s="26">
        <f>IF($L136&lt;&gt;"OK",0,(INDEX(PRESIONES!$J$28:$J$31,$U136)*IF(INDEX(PRESIONES!$J$28:$J$31,$U136)&gt;0,PRESIONES!$C$9*IF($T136&lt;=10,1,($T136/10)^(2/DATOS!$C$56)),PRESIONES!$C$15)-ABERTURAS!$L$66*PRESIONES!$C$12)*$S136/$M136)</f>
        <v>34.86611809258568</v>
      </c>
      <c r="AI136" s="26">
        <f>IF($L136&lt;&gt;"OK",0,(INDEX(PRESIONES!$M$28:$M$31,$U136)*IF(INDEX(PRESIONES!$M$28:$M$31,$U136)&gt;0,PRESIONES!$C$9*IF($T136&lt;=10,1,($T136/10)^(2/DATOS!$C$56)),PRESIONES!$C$15)-ABERTURAS!$L$67*PRESIONES!$C$12)*$S136/$M136)</f>
        <v>-30.918277549599466</v>
      </c>
    </row>
    <row r="137" spans="2:35" ht="29.25" customHeight="1" x14ac:dyDescent="0.3">
      <c r="B137" s="4" t="s">
        <v>613</v>
      </c>
      <c r="C137" s="15" t="s">
        <v>226</v>
      </c>
      <c r="D137" s="4" t="s">
        <v>614</v>
      </c>
      <c r="E137" s="15" t="s">
        <v>615</v>
      </c>
      <c r="F137" s="40">
        <v>0</v>
      </c>
      <c r="G137" s="40">
        <v>6.33</v>
      </c>
      <c r="H137" s="40">
        <v>2.4868999999999999</v>
      </c>
      <c r="I137" s="40">
        <v>5.0377000000000001</v>
      </c>
      <c r="J137" s="40"/>
      <c r="K137" s="40"/>
      <c r="L137" s="18" t="str">
        <f t="shared" si="34"/>
        <v>OK</v>
      </c>
      <c r="M137" s="26">
        <f t="shared" si="35"/>
        <v>6.33</v>
      </c>
      <c r="N137" s="26">
        <f t="shared" si="36"/>
        <v>2.5508000000000002</v>
      </c>
      <c r="O137" s="26">
        <f t="shared" si="37"/>
        <v>16.146564000000001</v>
      </c>
      <c r="P137" s="26">
        <f>IF($U137=0,0,SUMPRODUCT((ABERTURAS!$N$7:$N$26=$U137)*ABERTURAS!$U$7:$U$26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0</v>
      </c>
      <c r="Q137" s="26">
        <f>IF($U137=0,0,SUMPRODUCT((ABERTURAS!$N$7:$N$26=$U137)*ABERTURAS!$V$7:$V$26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16.146564000000009</v>
      </c>
      <c r="R137" s="26">
        <f t="shared" si="38"/>
        <v>16.146564000000001</v>
      </c>
      <c r="S137" s="26">
        <f t="shared" si="39"/>
        <v>0</v>
      </c>
      <c r="T137" s="41">
        <f t="shared" si="40"/>
        <v>6.33</v>
      </c>
      <c r="U137" s="41">
        <f t="shared" si="41"/>
        <v>1</v>
      </c>
      <c r="V137" s="41">
        <f t="shared" si="42"/>
        <v>2.4868999999999999</v>
      </c>
      <c r="W137" s="41">
        <f t="shared" si="43"/>
        <v>5.0377000000000001</v>
      </c>
      <c r="X137" s="41">
        <f t="shared" si="44"/>
        <v>2.4868999999999999</v>
      </c>
      <c r="Y137" s="41">
        <f t="shared" si="45"/>
        <v>5.0377000000000001</v>
      </c>
      <c r="Z137" s="41">
        <f t="shared" si="46"/>
        <v>0</v>
      </c>
      <c r="AA137" s="41">
        <f t="shared" si="47"/>
        <v>6.33</v>
      </c>
      <c r="AB137" s="26">
        <f>IF($L137&lt;&gt;"OK",0,(INDEX(PRESIONES!$D$28:$D$31,$U137)*IF(INDEX(PRESIONES!$D$28:$D$31,$U137)&gt;0,PRESIONES!$C$9*IF($T137&lt;=10,1,($T137/10)^(2/DATOS!$C$56)),PRESIONES!$C$15)-ABERTURAS!$L$60*PRESIONES!$C$12)*$R137/$M137)</f>
        <v>-23.426421995400837</v>
      </c>
      <c r="AC137" s="26">
        <f>IF($L137&lt;&gt;"OK",0,(INDEX(PRESIONES!$G$28:$G$31,$U137)*IF(INDEX(PRESIONES!$G$28:$G$31,$U137)&gt;0,PRESIONES!$C$9*IF($T137&lt;=10,1,($T137/10)^(2/DATOS!$C$56)),PRESIONES!$C$15)-ABERTURAS!$L$61*PRESIONES!$C$12)*$R137/$M137)</f>
        <v>-23.426421995400837</v>
      </c>
      <c r="AD137" s="26">
        <f>IF($L137&lt;&gt;"OK",0,(INDEX(PRESIONES!$J$28:$J$31,$U137)*IF(INDEX(PRESIONES!$J$28:$J$31,$U137)&gt;0,PRESIONES!$C$9*IF($T137&lt;=10,1,($T137/10)^(2/DATOS!$C$56)),PRESIONES!$C$15)-ABERTURAS!$L$62*PRESIONES!$C$12)*$R137/$M137)</f>
        <v>172.68726960551899</v>
      </c>
      <c r="AE137" s="26">
        <f>IF($L137&lt;&gt;"OK",0,(INDEX(PRESIONES!$M$28:$M$31,$U137)*IF(INDEX(PRESIONES!$M$28:$M$31,$U137)&gt;0,PRESIONES!$C$9*IF($T137&lt;=10,1,($T137/10)^(2/DATOS!$C$56)),PRESIONES!$C$15)-ABERTURAS!$L$63*PRESIONES!$C$12)*$R137/$M137)</f>
        <v>-154.63988700689873</v>
      </c>
      <c r="AF137" s="26">
        <f>IF($L137&lt;&gt;"OK",0,(INDEX(PRESIONES!$D$28:$D$31,$U137)*IF(INDEX(PRESIONES!$D$28:$D$31,$U137)&gt;0,PRESIONES!$C$9*IF($T137&lt;=10,1,($T137/10)^(2/DATOS!$C$56)),PRESIONES!$C$15)-ABERTURAS!$L$64*PRESIONES!$C$12)*$S137/$M137)</f>
        <v>0</v>
      </c>
      <c r="AG137" s="26">
        <f>IF($L137&lt;&gt;"OK",0,(INDEX(PRESIONES!$G$28:$G$31,$U137)*IF(INDEX(PRESIONES!$G$28:$G$31,$U137)&gt;0,PRESIONES!$C$9*IF($T137&lt;=10,1,($T137/10)^(2/DATOS!$C$56)),PRESIONES!$C$15)-ABERTURAS!$L$65*PRESIONES!$C$12)*$S137/$M137)</f>
        <v>0</v>
      </c>
      <c r="AH137" s="26">
        <f>IF($L137&lt;&gt;"OK",0,(INDEX(PRESIONES!$J$28:$J$31,$U137)*IF(INDEX(PRESIONES!$J$28:$J$31,$U137)&gt;0,PRESIONES!$C$9*IF($T137&lt;=10,1,($T137/10)^(2/DATOS!$C$56)),PRESIONES!$C$15)-ABERTURAS!$L$66*PRESIONES!$C$12)*$S137/$M137)</f>
        <v>0</v>
      </c>
      <c r="AI137" s="26">
        <f>IF($L137&lt;&gt;"OK",0,(INDEX(PRESIONES!$M$28:$M$31,$U137)*IF(INDEX(PRESIONES!$M$28:$M$31,$U137)&gt;0,PRESIONES!$C$9*IF($T137&lt;=10,1,($T137/10)^(2/DATOS!$C$56)),PRESIONES!$C$15)-ABERTURAS!$L$67*PRESIONES!$C$12)*$S137/$M137)</f>
        <v>0</v>
      </c>
    </row>
    <row r="138" spans="2:35" ht="29.25" customHeight="1" x14ac:dyDescent="0.3">
      <c r="B138" s="4" t="s">
        <v>616</v>
      </c>
      <c r="C138" s="15" t="s">
        <v>226</v>
      </c>
      <c r="D138" s="4" t="s">
        <v>617</v>
      </c>
      <c r="E138" s="15" t="s">
        <v>615</v>
      </c>
      <c r="F138" s="40">
        <v>0</v>
      </c>
      <c r="G138" s="40">
        <v>6.33</v>
      </c>
      <c r="H138" s="40">
        <v>5.0377000000000001</v>
      </c>
      <c r="I138" s="40">
        <v>7.5884999999999998</v>
      </c>
      <c r="J138" s="40"/>
      <c r="K138" s="40"/>
      <c r="L138" s="18" t="str">
        <f t="shared" si="34"/>
        <v>OK</v>
      </c>
      <c r="M138" s="26">
        <f t="shared" si="35"/>
        <v>6.33</v>
      </c>
      <c r="N138" s="26">
        <f t="shared" si="36"/>
        <v>2.5507999999999997</v>
      </c>
      <c r="O138" s="26">
        <f t="shared" si="37"/>
        <v>16.146563999999998</v>
      </c>
      <c r="P138" s="26">
        <f>IF($U138=0,0,SUMPRODUCT((ABERTURAS!$N$7:$N$26=$U138)*ABERTURAS!$U$7:$U$26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0</v>
      </c>
      <c r="Q138" s="26">
        <f>IF($U138=0,0,SUMPRODUCT((ABERTURAS!$N$7:$N$26=$U138)*ABERTURAS!$V$7:$V$26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16.146563999999998</v>
      </c>
      <c r="R138" s="26">
        <f t="shared" si="38"/>
        <v>16.146563999999998</v>
      </c>
      <c r="S138" s="26">
        <f t="shared" si="39"/>
        <v>0</v>
      </c>
      <c r="T138" s="41">
        <f t="shared" si="40"/>
        <v>6.33</v>
      </c>
      <c r="U138" s="41">
        <f t="shared" si="41"/>
        <v>1</v>
      </c>
      <c r="V138" s="41">
        <f t="shared" si="42"/>
        <v>5.0377000000000001</v>
      </c>
      <c r="W138" s="41">
        <f t="shared" si="43"/>
        <v>7.5884999999999998</v>
      </c>
      <c r="X138" s="41">
        <f t="shared" si="44"/>
        <v>5.0377000000000001</v>
      </c>
      <c r="Y138" s="41">
        <f t="shared" si="45"/>
        <v>7.5884999999999998</v>
      </c>
      <c r="Z138" s="41">
        <f t="shared" si="46"/>
        <v>0</v>
      </c>
      <c r="AA138" s="41">
        <f t="shared" si="47"/>
        <v>6.33</v>
      </c>
      <c r="AB138" s="26">
        <f>IF($L138&lt;&gt;"OK",0,(INDEX(PRESIONES!$D$28:$D$31,$U138)*IF(INDEX(PRESIONES!$D$28:$D$31,$U138)&gt;0,PRESIONES!$C$9*IF($T138&lt;=10,1,($T138/10)^(2/DATOS!$C$56)),PRESIONES!$C$15)-ABERTURAS!$L$60*PRESIONES!$C$12)*$R138/$M138)</f>
        <v>-23.42642199540083</v>
      </c>
      <c r="AC138" s="26">
        <f>IF($L138&lt;&gt;"OK",0,(INDEX(PRESIONES!$G$28:$G$31,$U138)*IF(INDEX(PRESIONES!$G$28:$G$31,$U138)&gt;0,PRESIONES!$C$9*IF($T138&lt;=10,1,($T138/10)^(2/DATOS!$C$56)),PRESIONES!$C$15)-ABERTURAS!$L$61*PRESIONES!$C$12)*$R138/$M138)</f>
        <v>-23.42642199540083</v>
      </c>
      <c r="AD138" s="26">
        <f>IF($L138&lt;&gt;"OK",0,(INDEX(PRESIONES!$J$28:$J$31,$U138)*IF(INDEX(PRESIONES!$J$28:$J$31,$U138)&gt;0,PRESIONES!$C$9*IF($T138&lt;=10,1,($T138/10)^(2/DATOS!$C$56)),PRESIONES!$C$15)-ABERTURAS!$L$62*PRESIONES!$C$12)*$R138/$M138)</f>
        <v>172.68726960551894</v>
      </c>
      <c r="AE138" s="26">
        <f>IF($L138&lt;&gt;"OK",0,(INDEX(PRESIONES!$M$28:$M$31,$U138)*IF(INDEX(PRESIONES!$M$28:$M$31,$U138)&gt;0,PRESIONES!$C$9*IF($T138&lt;=10,1,($T138/10)^(2/DATOS!$C$56)),PRESIONES!$C$15)-ABERTURAS!$L$63*PRESIONES!$C$12)*$R138/$M138)</f>
        <v>-154.6398870068987</v>
      </c>
      <c r="AF138" s="26">
        <f>IF($L138&lt;&gt;"OK",0,(INDEX(PRESIONES!$D$28:$D$31,$U138)*IF(INDEX(PRESIONES!$D$28:$D$31,$U138)&gt;0,PRESIONES!$C$9*IF($T138&lt;=10,1,($T138/10)^(2/DATOS!$C$56)),PRESIONES!$C$15)-ABERTURAS!$L$64*PRESIONES!$C$12)*$S138/$M138)</f>
        <v>0</v>
      </c>
      <c r="AG138" s="26">
        <f>IF($L138&lt;&gt;"OK",0,(INDEX(PRESIONES!$G$28:$G$31,$U138)*IF(INDEX(PRESIONES!$G$28:$G$31,$U138)&gt;0,PRESIONES!$C$9*IF($T138&lt;=10,1,($T138/10)^(2/DATOS!$C$56)),PRESIONES!$C$15)-ABERTURAS!$L$65*PRESIONES!$C$12)*$S138/$M138)</f>
        <v>0</v>
      </c>
      <c r="AH138" s="26">
        <f>IF($L138&lt;&gt;"OK",0,(INDEX(PRESIONES!$J$28:$J$31,$U138)*IF(INDEX(PRESIONES!$J$28:$J$31,$U138)&gt;0,PRESIONES!$C$9*IF($T138&lt;=10,1,($T138/10)^(2/DATOS!$C$56)),PRESIONES!$C$15)-ABERTURAS!$L$66*PRESIONES!$C$12)*$S138/$M138)</f>
        <v>0</v>
      </c>
      <c r="AI138" s="26">
        <f>IF($L138&lt;&gt;"OK",0,(INDEX(PRESIONES!$M$28:$M$31,$U138)*IF(INDEX(PRESIONES!$M$28:$M$31,$U138)&gt;0,PRESIONES!$C$9*IF($T138&lt;=10,1,($T138/10)^(2/DATOS!$C$56)),PRESIONES!$C$15)-ABERTURAS!$L$67*PRESIONES!$C$12)*$S138/$M138)</f>
        <v>0</v>
      </c>
    </row>
    <row r="139" spans="2:35" ht="15" customHeight="1" x14ac:dyDescent="0.3">
      <c r="B139" s="4"/>
      <c r="C139" s="15"/>
      <c r="D139" s="4"/>
      <c r="E139" s="15"/>
      <c r="F139" s="40"/>
      <c r="G139" s="40"/>
      <c r="H139" s="40"/>
      <c r="I139" s="40"/>
      <c r="J139" s="40"/>
      <c r="K139" s="40"/>
      <c r="L139" s="18" t="str">
        <f t="shared" si="34"/>
        <v/>
      </c>
      <c r="M139" s="26">
        <f t="shared" si="35"/>
        <v>0</v>
      </c>
      <c r="N139" s="26">
        <f t="shared" si="36"/>
        <v>0</v>
      </c>
      <c r="O139" s="26">
        <f t="shared" si="37"/>
        <v>0</v>
      </c>
      <c r="P139" s="26">
        <f>IF($U139=0,0,SUMPRODUCT((ABERTURAS!$N$7:$N$26=$U139)*ABERTURAS!$U$7:$U$26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Q139" s="26">
        <f>IF($U139=0,0,SUMPRODUCT((ABERTURAS!$N$7:$N$26=$U139)*ABERTURAS!$V$7:$V$26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R139" s="26">
        <f t="shared" si="38"/>
        <v>0</v>
      </c>
      <c r="S139" s="26">
        <f t="shared" si="39"/>
        <v>0</v>
      </c>
      <c r="T139" s="41">
        <f t="shared" si="40"/>
        <v>0</v>
      </c>
      <c r="U139" s="41">
        <f t="shared" si="41"/>
        <v>0</v>
      </c>
      <c r="V139" s="41">
        <f t="shared" si="42"/>
        <v>0</v>
      </c>
      <c r="W139" s="41">
        <f t="shared" si="43"/>
        <v>0</v>
      </c>
      <c r="X139" s="41">
        <f t="shared" si="44"/>
        <v>0</v>
      </c>
      <c r="Y139" s="41">
        <f t="shared" si="45"/>
        <v>0</v>
      </c>
      <c r="Z139" s="41">
        <f t="shared" si="46"/>
        <v>0</v>
      </c>
      <c r="AA139" s="41">
        <f t="shared" si="47"/>
        <v>0</v>
      </c>
      <c r="AB139" s="26">
        <f>IF($L139&lt;&gt;"OK",0,(INDEX(PRESIONES!$D$28:$D$31,$U139)*IF(INDEX(PRESIONES!$D$28:$D$31,$U139)&gt;0,PRESIONES!$C$9*IF($T139&lt;=10,1,($T139/10)^(2/DATOS!$C$56)),PRESIONES!$C$15)-ABERTURAS!$L$60*PRESIONES!$C$12)*$R139/$M139)</f>
        <v>0</v>
      </c>
      <c r="AC139" s="26">
        <f>IF($L139&lt;&gt;"OK",0,(INDEX(PRESIONES!$G$28:$G$31,$U139)*IF(INDEX(PRESIONES!$G$28:$G$31,$U139)&gt;0,PRESIONES!$C$9*IF($T139&lt;=10,1,($T139/10)^(2/DATOS!$C$56)),PRESIONES!$C$15)-ABERTURAS!$L$61*PRESIONES!$C$12)*$R139/$M139)</f>
        <v>0</v>
      </c>
      <c r="AD139" s="26">
        <f>IF($L139&lt;&gt;"OK",0,(INDEX(PRESIONES!$J$28:$J$31,$U139)*IF(INDEX(PRESIONES!$J$28:$J$31,$U139)&gt;0,PRESIONES!$C$9*IF($T139&lt;=10,1,($T139/10)^(2/DATOS!$C$56)),PRESIONES!$C$15)-ABERTURAS!$L$62*PRESIONES!$C$12)*$R139/$M139)</f>
        <v>0</v>
      </c>
      <c r="AE139" s="26">
        <f>IF($L139&lt;&gt;"OK",0,(INDEX(PRESIONES!$M$28:$M$31,$U139)*IF(INDEX(PRESIONES!$M$28:$M$31,$U139)&gt;0,PRESIONES!$C$9*IF($T139&lt;=10,1,($T139/10)^(2/DATOS!$C$56)),PRESIONES!$C$15)-ABERTURAS!$L$63*PRESIONES!$C$12)*$R139/$M139)</f>
        <v>0</v>
      </c>
      <c r="AF139" s="26">
        <f>IF($L139&lt;&gt;"OK",0,(INDEX(PRESIONES!$D$28:$D$31,$U139)*IF(INDEX(PRESIONES!$D$28:$D$31,$U139)&gt;0,PRESIONES!$C$9*IF($T139&lt;=10,1,($T139/10)^(2/DATOS!$C$56)),PRESIONES!$C$15)-ABERTURAS!$L$64*PRESIONES!$C$12)*$S139/$M139)</f>
        <v>0</v>
      </c>
      <c r="AG139" s="26">
        <f>IF($L139&lt;&gt;"OK",0,(INDEX(PRESIONES!$G$28:$G$31,$U139)*IF(INDEX(PRESIONES!$G$28:$G$31,$U139)&gt;0,PRESIONES!$C$9*IF($T139&lt;=10,1,($T139/10)^(2/DATOS!$C$56)),PRESIONES!$C$15)-ABERTURAS!$L$65*PRESIONES!$C$12)*$S139/$M139)</f>
        <v>0</v>
      </c>
      <c r="AH139" s="26">
        <f>IF($L139&lt;&gt;"OK",0,(INDEX(PRESIONES!$J$28:$J$31,$U139)*IF(INDEX(PRESIONES!$J$28:$J$31,$U139)&gt;0,PRESIONES!$C$9*IF($T139&lt;=10,1,($T139/10)^(2/DATOS!$C$56)),PRESIONES!$C$15)-ABERTURAS!$L$66*PRESIONES!$C$12)*$S139/$M139)</f>
        <v>0</v>
      </c>
      <c r="AI139" s="26">
        <f>IF($L139&lt;&gt;"OK",0,(INDEX(PRESIONES!$M$28:$M$31,$U139)*IF(INDEX(PRESIONES!$M$28:$M$31,$U139)&gt;0,PRESIONES!$C$9*IF($T139&lt;=10,1,($T139/10)^(2/DATOS!$C$56)),PRESIONES!$C$15)-ABERTURAS!$L$67*PRESIONES!$C$12)*$S139/$M139)</f>
        <v>0</v>
      </c>
    </row>
    <row r="140" spans="2:35" ht="15" customHeight="1" x14ac:dyDescent="0.3">
      <c r="B140" s="4"/>
      <c r="C140" s="15"/>
      <c r="D140" s="4"/>
      <c r="E140" s="15"/>
      <c r="F140" s="40"/>
      <c r="G140" s="40"/>
      <c r="H140" s="40"/>
      <c r="I140" s="40"/>
      <c r="J140" s="40"/>
      <c r="K140" s="40"/>
      <c r="L140" s="18" t="str">
        <f t="shared" si="34"/>
        <v/>
      </c>
      <c r="M140" s="26">
        <f t="shared" si="35"/>
        <v>0</v>
      </c>
      <c r="N140" s="26">
        <f t="shared" si="36"/>
        <v>0</v>
      </c>
      <c r="O140" s="26">
        <f t="shared" si="37"/>
        <v>0</v>
      </c>
      <c r="P140" s="26">
        <f>IF($U140=0,0,SUMPRODUCT((ABERTURAS!$N$7:$N$26=$U140)*ABERTURAS!$U$7:$U$26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Q140" s="26">
        <f>IF($U140=0,0,SUMPRODUCT((ABERTURAS!$N$7:$N$26=$U140)*ABERTURAS!$V$7:$V$26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R140" s="26">
        <f t="shared" si="38"/>
        <v>0</v>
      </c>
      <c r="S140" s="26">
        <f t="shared" si="39"/>
        <v>0</v>
      </c>
      <c r="T140" s="41">
        <f t="shared" si="40"/>
        <v>0</v>
      </c>
      <c r="U140" s="41">
        <f t="shared" si="41"/>
        <v>0</v>
      </c>
      <c r="V140" s="41">
        <f t="shared" si="42"/>
        <v>0</v>
      </c>
      <c r="W140" s="41">
        <f t="shared" si="43"/>
        <v>0</v>
      </c>
      <c r="X140" s="41">
        <f t="shared" si="44"/>
        <v>0</v>
      </c>
      <c r="Y140" s="41">
        <f t="shared" si="45"/>
        <v>0</v>
      </c>
      <c r="Z140" s="41">
        <f t="shared" si="46"/>
        <v>0</v>
      </c>
      <c r="AA140" s="41">
        <f t="shared" si="47"/>
        <v>0</v>
      </c>
      <c r="AB140" s="26">
        <f>IF($L140&lt;&gt;"OK",0,(INDEX(PRESIONES!$D$28:$D$31,$U140)*IF(INDEX(PRESIONES!$D$28:$D$31,$U140)&gt;0,PRESIONES!$C$9*IF($T140&lt;=10,1,($T140/10)^(2/DATOS!$C$56)),PRESIONES!$C$15)-ABERTURAS!$L$60*PRESIONES!$C$12)*$R140/$M140)</f>
        <v>0</v>
      </c>
      <c r="AC140" s="26">
        <f>IF($L140&lt;&gt;"OK",0,(INDEX(PRESIONES!$G$28:$G$31,$U140)*IF(INDEX(PRESIONES!$G$28:$G$31,$U140)&gt;0,PRESIONES!$C$9*IF($T140&lt;=10,1,($T140/10)^(2/DATOS!$C$56)),PRESIONES!$C$15)-ABERTURAS!$L$61*PRESIONES!$C$12)*$R140/$M140)</f>
        <v>0</v>
      </c>
      <c r="AD140" s="26">
        <f>IF($L140&lt;&gt;"OK",0,(INDEX(PRESIONES!$J$28:$J$31,$U140)*IF(INDEX(PRESIONES!$J$28:$J$31,$U140)&gt;0,PRESIONES!$C$9*IF($T140&lt;=10,1,($T140/10)^(2/DATOS!$C$56)),PRESIONES!$C$15)-ABERTURAS!$L$62*PRESIONES!$C$12)*$R140/$M140)</f>
        <v>0</v>
      </c>
      <c r="AE140" s="26">
        <f>IF($L140&lt;&gt;"OK",0,(INDEX(PRESIONES!$M$28:$M$31,$U140)*IF(INDEX(PRESIONES!$M$28:$M$31,$U140)&gt;0,PRESIONES!$C$9*IF($T140&lt;=10,1,($T140/10)^(2/DATOS!$C$56)),PRESIONES!$C$15)-ABERTURAS!$L$63*PRESIONES!$C$12)*$R140/$M140)</f>
        <v>0</v>
      </c>
      <c r="AF140" s="26">
        <f>IF($L140&lt;&gt;"OK",0,(INDEX(PRESIONES!$D$28:$D$31,$U140)*IF(INDEX(PRESIONES!$D$28:$D$31,$U140)&gt;0,PRESIONES!$C$9*IF($T140&lt;=10,1,($T140/10)^(2/DATOS!$C$56)),PRESIONES!$C$15)-ABERTURAS!$L$64*PRESIONES!$C$12)*$S140/$M140)</f>
        <v>0</v>
      </c>
      <c r="AG140" s="26">
        <f>IF($L140&lt;&gt;"OK",0,(INDEX(PRESIONES!$G$28:$G$31,$U140)*IF(INDEX(PRESIONES!$G$28:$G$31,$U140)&gt;0,PRESIONES!$C$9*IF($T140&lt;=10,1,($T140/10)^(2/DATOS!$C$56)),PRESIONES!$C$15)-ABERTURAS!$L$65*PRESIONES!$C$12)*$S140/$M140)</f>
        <v>0</v>
      </c>
      <c r="AH140" s="26">
        <f>IF($L140&lt;&gt;"OK",0,(INDEX(PRESIONES!$J$28:$J$31,$U140)*IF(INDEX(PRESIONES!$J$28:$J$31,$U140)&gt;0,PRESIONES!$C$9*IF($T140&lt;=10,1,($T140/10)^(2/DATOS!$C$56)),PRESIONES!$C$15)-ABERTURAS!$L$66*PRESIONES!$C$12)*$S140/$M140)</f>
        <v>0</v>
      </c>
      <c r="AI140" s="26">
        <f>IF($L140&lt;&gt;"OK",0,(INDEX(PRESIONES!$M$28:$M$31,$U140)*IF(INDEX(PRESIONES!$M$28:$M$31,$U140)&gt;0,PRESIONES!$C$9*IF($T140&lt;=10,1,($T140/10)^(2/DATOS!$C$56)),PRESIONES!$C$15)-ABERTURAS!$L$67*PRESIONES!$C$12)*$S140/$M140)</f>
        <v>0</v>
      </c>
    </row>
    <row r="141" spans="2:35" ht="15" customHeight="1" x14ac:dyDescent="0.3">
      <c r="B141" s="4"/>
      <c r="C141" s="15"/>
      <c r="D141" s="4"/>
      <c r="E141" s="15"/>
      <c r="F141" s="40"/>
      <c r="G141" s="40"/>
      <c r="H141" s="40"/>
      <c r="I141" s="40"/>
      <c r="J141" s="40"/>
      <c r="K141" s="40"/>
      <c r="L141" s="18" t="str">
        <f t="shared" ref="L141:L172" si="48">IF($D141="","",IF(LEFT($C141,4)&lt;&gt;"MURO","PON EL MURO",IF(AND($E141&lt;&gt;"HORIZONTAL",$E141&lt;&gt;"VERTICAL"),"PON EL SENTIDO",IF(OR($F141="",$G141="",$H141="",$I141=""),"FALTAN a o b",IF($M141&lt;=0,"a₂ DEBE SER &gt; a₁",IF($N141&lt;=0,"b₂ DEBE SER &gt; b₁","OK"))))))</f>
        <v/>
      </c>
      <c r="M141" s="26">
        <f t="shared" ref="M141:M172" si="49">IF($D141="",0,MAX(0,$G141-$F141))</f>
        <v>0</v>
      </c>
      <c r="N141" s="26">
        <f t="shared" ref="N141:N172" si="50">MAX(0,$W141-$V141)</f>
        <v>0</v>
      </c>
      <c r="O141" s="26">
        <f t="shared" ref="O141:O172" si="51">$M141*$N141</f>
        <v>0</v>
      </c>
      <c r="P141" s="26">
        <f>IF($U141=0,0,SUMPRODUCT((ABERTURAS!$N$7:$N$26=$U141)*ABERTURAS!$U$7:$U$26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Q141" s="26">
        <f>IF($U141=0,0,SUMPRODUCT((ABERTURAS!$N$7:$N$26=$U141)*ABERTURAS!$V$7:$V$26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R141" s="26">
        <f t="shared" ref="R141:R172" si="52">MAX(0,$O141-$P141)</f>
        <v>0</v>
      </c>
      <c r="S141" s="26">
        <f t="shared" ref="S141:S172" si="53">MAX(0,$O141-$Q141)</f>
        <v>0</v>
      </c>
      <c r="T141" s="41">
        <f t="shared" ref="T141:T172" si="54">IF($D141="",0,IF($E141="VERTICAL",N($G141),MAX(N($I141),IF($K141="",N($I141),$K141))))</f>
        <v>0</v>
      </c>
      <c r="U141" s="41">
        <f t="shared" ref="U141:U172" si="55">IF($L141&lt;&gt;"OK",0,VALUE(RIGHT($C141,1)))</f>
        <v>0</v>
      </c>
      <c r="V141" s="41">
        <f t="shared" ref="V141:V172" si="56">IF($D141="",0,(N($H141)+IF($J141="",N($H141),$J141))/2)</f>
        <v>0</v>
      </c>
      <c r="W141" s="41">
        <f t="shared" ref="W141:W172" si="57">IF($D141="",0,(N($I141)+IF($K141="",N($I141),$K141))/2)</f>
        <v>0</v>
      </c>
      <c r="X141" s="41">
        <f t="shared" ref="X141:X172" si="58">IF($E141="VERTICAL",$V141,N($F141))</f>
        <v>0</v>
      </c>
      <c r="Y141" s="41">
        <f t="shared" ref="Y141:Y172" si="59">IF($E141="VERTICAL",$W141,N($G141))</f>
        <v>0</v>
      </c>
      <c r="Z141" s="41">
        <f t="shared" ref="Z141:Z172" si="60">IF($E141="VERTICAL",N($F141),$V141)</f>
        <v>0</v>
      </c>
      <c r="AA141" s="41">
        <f t="shared" ref="AA141:AA172" si="61">IF($E141="VERTICAL",N($G141),$W141)</f>
        <v>0</v>
      </c>
      <c r="AB141" s="26">
        <f>IF($L141&lt;&gt;"OK",0,(INDEX(PRESIONES!$D$28:$D$31,$U141)*IF(INDEX(PRESIONES!$D$28:$D$31,$U141)&gt;0,PRESIONES!$C$9*IF($T141&lt;=10,1,($T141/10)^(2/DATOS!$C$56)),PRESIONES!$C$15)-ABERTURAS!$L$60*PRESIONES!$C$12)*$R141/$M141)</f>
        <v>0</v>
      </c>
      <c r="AC141" s="26">
        <f>IF($L141&lt;&gt;"OK",0,(INDEX(PRESIONES!$G$28:$G$31,$U141)*IF(INDEX(PRESIONES!$G$28:$G$31,$U141)&gt;0,PRESIONES!$C$9*IF($T141&lt;=10,1,($T141/10)^(2/DATOS!$C$56)),PRESIONES!$C$15)-ABERTURAS!$L$61*PRESIONES!$C$12)*$R141/$M141)</f>
        <v>0</v>
      </c>
      <c r="AD141" s="26">
        <f>IF($L141&lt;&gt;"OK",0,(INDEX(PRESIONES!$J$28:$J$31,$U141)*IF(INDEX(PRESIONES!$J$28:$J$31,$U141)&gt;0,PRESIONES!$C$9*IF($T141&lt;=10,1,($T141/10)^(2/DATOS!$C$56)),PRESIONES!$C$15)-ABERTURAS!$L$62*PRESIONES!$C$12)*$R141/$M141)</f>
        <v>0</v>
      </c>
      <c r="AE141" s="26">
        <f>IF($L141&lt;&gt;"OK",0,(INDEX(PRESIONES!$M$28:$M$31,$U141)*IF(INDEX(PRESIONES!$M$28:$M$31,$U141)&gt;0,PRESIONES!$C$9*IF($T141&lt;=10,1,($T141/10)^(2/DATOS!$C$56)),PRESIONES!$C$15)-ABERTURAS!$L$63*PRESIONES!$C$12)*$R141/$M141)</f>
        <v>0</v>
      </c>
      <c r="AF141" s="26">
        <f>IF($L141&lt;&gt;"OK",0,(INDEX(PRESIONES!$D$28:$D$31,$U141)*IF(INDEX(PRESIONES!$D$28:$D$31,$U141)&gt;0,PRESIONES!$C$9*IF($T141&lt;=10,1,($T141/10)^(2/DATOS!$C$56)),PRESIONES!$C$15)-ABERTURAS!$L$64*PRESIONES!$C$12)*$S141/$M141)</f>
        <v>0</v>
      </c>
      <c r="AG141" s="26">
        <f>IF($L141&lt;&gt;"OK",0,(INDEX(PRESIONES!$G$28:$G$31,$U141)*IF(INDEX(PRESIONES!$G$28:$G$31,$U141)&gt;0,PRESIONES!$C$9*IF($T141&lt;=10,1,($T141/10)^(2/DATOS!$C$56)),PRESIONES!$C$15)-ABERTURAS!$L$65*PRESIONES!$C$12)*$S141/$M141)</f>
        <v>0</v>
      </c>
      <c r="AH141" s="26">
        <f>IF($L141&lt;&gt;"OK",0,(INDEX(PRESIONES!$J$28:$J$31,$U141)*IF(INDEX(PRESIONES!$J$28:$J$31,$U141)&gt;0,PRESIONES!$C$9*IF($T141&lt;=10,1,($T141/10)^(2/DATOS!$C$56)),PRESIONES!$C$15)-ABERTURAS!$L$66*PRESIONES!$C$12)*$S141/$M141)</f>
        <v>0</v>
      </c>
      <c r="AI141" s="26">
        <f>IF($L141&lt;&gt;"OK",0,(INDEX(PRESIONES!$M$28:$M$31,$U141)*IF(INDEX(PRESIONES!$M$28:$M$31,$U141)&gt;0,PRESIONES!$C$9*IF($T141&lt;=10,1,($T141/10)^(2/DATOS!$C$56)),PRESIONES!$C$15)-ABERTURAS!$L$67*PRESIONES!$C$12)*$S141/$M141)</f>
        <v>0</v>
      </c>
    </row>
    <row r="142" spans="2:35" ht="15" customHeight="1" x14ac:dyDescent="0.3">
      <c r="B142" s="4"/>
      <c r="C142" s="15"/>
      <c r="D142" s="4"/>
      <c r="E142" s="15"/>
      <c r="F142" s="40"/>
      <c r="G142" s="40"/>
      <c r="H142" s="40"/>
      <c r="I142" s="40"/>
      <c r="J142" s="40"/>
      <c r="K142" s="40"/>
      <c r="L142" s="18" t="str">
        <f t="shared" si="48"/>
        <v/>
      </c>
      <c r="M142" s="26">
        <f t="shared" si="49"/>
        <v>0</v>
      </c>
      <c r="N142" s="26">
        <f t="shared" si="50"/>
        <v>0</v>
      </c>
      <c r="O142" s="26">
        <f t="shared" si="51"/>
        <v>0</v>
      </c>
      <c r="P142" s="26">
        <f>IF($U142=0,0,SUMPRODUCT((ABERTURAS!$N$7:$N$26=$U142)*ABERTURAS!$U$7:$U$26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Q142" s="26">
        <f>IF($U142=0,0,SUMPRODUCT((ABERTURAS!$N$7:$N$26=$U142)*ABERTURAS!$V$7:$V$26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R142" s="26">
        <f t="shared" si="52"/>
        <v>0</v>
      </c>
      <c r="S142" s="26">
        <f t="shared" si="53"/>
        <v>0</v>
      </c>
      <c r="T142" s="41">
        <f t="shared" si="54"/>
        <v>0</v>
      </c>
      <c r="U142" s="41">
        <f t="shared" si="55"/>
        <v>0</v>
      </c>
      <c r="V142" s="41">
        <f t="shared" si="56"/>
        <v>0</v>
      </c>
      <c r="W142" s="41">
        <f t="shared" si="57"/>
        <v>0</v>
      </c>
      <c r="X142" s="41">
        <f t="shared" si="58"/>
        <v>0</v>
      </c>
      <c r="Y142" s="41">
        <f t="shared" si="59"/>
        <v>0</v>
      </c>
      <c r="Z142" s="41">
        <f t="shared" si="60"/>
        <v>0</v>
      </c>
      <c r="AA142" s="41">
        <f t="shared" si="61"/>
        <v>0</v>
      </c>
      <c r="AB142" s="26">
        <f>IF($L142&lt;&gt;"OK",0,(INDEX(PRESIONES!$D$28:$D$31,$U142)*IF(INDEX(PRESIONES!$D$28:$D$31,$U142)&gt;0,PRESIONES!$C$9*IF($T142&lt;=10,1,($T142/10)^(2/DATOS!$C$56)),PRESIONES!$C$15)-ABERTURAS!$L$60*PRESIONES!$C$12)*$R142/$M142)</f>
        <v>0</v>
      </c>
      <c r="AC142" s="26">
        <f>IF($L142&lt;&gt;"OK",0,(INDEX(PRESIONES!$G$28:$G$31,$U142)*IF(INDEX(PRESIONES!$G$28:$G$31,$U142)&gt;0,PRESIONES!$C$9*IF($T142&lt;=10,1,($T142/10)^(2/DATOS!$C$56)),PRESIONES!$C$15)-ABERTURAS!$L$61*PRESIONES!$C$12)*$R142/$M142)</f>
        <v>0</v>
      </c>
      <c r="AD142" s="26">
        <f>IF($L142&lt;&gt;"OK",0,(INDEX(PRESIONES!$J$28:$J$31,$U142)*IF(INDEX(PRESIONES!$J$28:$J$31,$U142)&gt;0,PRESIONES!$C$9*IF($T142&lt;=10,1,($T142/10)^(2/DATOS!$C$56)),PRESIONES!$C$15)-ABERTURAS!$L$62*PRESIONES!$C$12)*$R142/$M142)</f>
        <v>0</v>
      </c>
      <c r="AE142" s="26">
        <f>IF($L142&lt;&gt;"OK",0,(INDEX(PRESIONES!$M$28:$M$31,$U142)*IF(INDEX(PRESIONES!$M$28:$M$31,$U142)&gt;0,PRESIONES!$C$9*IF($T142&lt;=10,1,($T142/10)^(2/DATOS!$C$56)),PRESIONES!$C$15)-ABERTURAS!$L$63*PRESIONES!$C$12)*$R142/$M142)</f>
        <v>0</v>
      </c>
      <c r="AF142" s="26">
        <f>IF($L142&lt;&gt;"OK",0,(INDEX(PRESIONES!$D$28:$D$31,$U142)*IF(INDEX(PRESIONES!$D$28:$D$31,$U142)&gt;0,PRESIONES!$C$9*IF($T142&lt;=10,1,($T142/10)^(2/DATOS!$C$56)),PRESIONES!$C$15)-ABERTURAS!$L$64*PRESIONES!$C$12)*$S142/$M142)</f>
        <v>0</v>
      </c>
      <c r="AG142" s="26">
        <f>IF($L142&lt;&gt;"OK",0,(INDEX(PRESIONES!$G$28:$G$31,$U142)*IF(INDEX(PRESIONES!$G$28:$G$31,$U142)&gt;0,PRESIONES!$C$9*IF($T142&lt;=10,1,($T142/10)^(2/DATOS!$C$56)),PRESIONES!$C$15)-ABERTURAS!$L$65*PRESIONES!$C$12)*$S142/$M142)</f>
        <v>0</v>
      </c>
      <c r="AH142" s="26">
        <f>IF($L142&lt;&gt;"OK",0,(INDEX(PRESIONES!$J$28:$J$31,$U142)*IF(INDEX(PRESIONES!$J$28:$J$31,$U142)&gt;0,PRESIONES!$C$9*IF($T142&lt;=10,1,($T142/10)^(2/DATOS!$C$56)),PRESIONES!$C$15)-ABERTURAS!$L$66*PRESIONES!$C$12)*$S142/$M142)</f>
        <v>0</v>
      </c>
      <c r="AI142" s="26">
        <f>IF($L142&lt;&gt;"OK",0,(INDEX(PRESIONES!$M$28:$M$31,$U142)*IF(INDEX(PRESIONES!$M$28:$M$31,$U142)&gt;0,PRESIONES!$C$9*IF($T142&lt;=10,1,($T142/10)^(2/DATOS!$C$56)),PRESIONES!$C$15)-ABERTURAS!$L$67*PRESIONES!$C$12)*$S142/$M142)</f>
        <v>0</v>
      </c>
    </row>
    <row r="143" spans="2:35" ht="15" customHeight="1" x14ac:dyDescent="0.3">
      <c r="B143" s="4"/>
      <c r="C143" s="15"/>
      <c r="D143" s="4"/>
      <c r="E143" s="15"/>
      <c r="F143" s="40"/>
      <c r="G143" s="40"/>
      <c r="H143" s="40"/>
      <c r="I143" s="40"/>
      <c r="J143" s="40"/>
      <c r="K143" s="40"/>
      <c r="L143" s="18" t="str">
        <f t="shared" si="48"/>
        <v/>
      </c>
      <c r="M143" s="26">
        <f t="shared" si="49"/>
        <v>0</v>
      </c>
      <c r="N143" s="26">
        <f t="shared" si="50"/>
        <v>0</v>
      </c>
      <c r="O143" s="26">
        <f t="shared" si="51"/>
        <v>0</v>
      </c>
      <c r="P143" s="26">
        <f>IF($U143=0,0,SUMPRODUCT((ABERTURAS!$N$7:$N$26=$U143)*ABERTURAS!$U$7:$U$26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Q143" s="26">
        <f>IF($U143=0,0,SUMPRODUCT((ABERTURAS!$N$7:$N$26=$U143)*ABERTURAS!$V$7:$V$26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R143" s="26">
        <f t="shared" si="52"/>
        <v>0</v>
      </c>
      <c r="S143" s="26">
        <f t="shared" si="53"/>
        <v>0</v>
      </c>
      <c r="T143" s="41">
        <f t="shared" si="54"/>
        <v>0</v>
      </c>
      <c r="U143" s="41">
        <f t="shared" si="55"/>
        <v>0</v>
      </c>
      <c r="V143" s="41">
        <f t="shared" si="56"/>
        <v>0</v>
      </c>
      <c r="W143" s="41">
        <f t="shared" si="57"/>
        <v>0</v>
      </c>
      <c r="X143" s="41">
        <f t="shared" si="58"/>
        <v>0</v>
      </c>
      <c r="Y143" s="41">
        <f t="shared" si="59"/>
        <v>0</v>
      </c>
      <c r="Z143" s="41">
        <f t="shared" si="60"/>
        <v>0</v>
      </c>
      <c r="AA143" s="41">
        <f t="shared" si="61"/>
        <v>0</v>
      </c>
      <c r="AB143" s="26">
        <f>IF($L143&lt;&gt;"OK",0,(INDEX(PRESIONES!$D$28:$D$31,$U143)*IF(INDEX(PRESIONES!$D$28:$D$31,$U143)&gt;0,PRESIONES!$C$9*IF($T143&lt;=10,1,($T143/10)^(2/DATOS!$C$56)),PRESIONES!$C$15)-ABERTURAS!$L$60*PRESIONES!$C$12)*$R143/$M143)</f>
        <v>0</v>
      </c>
      <c r="AC143" s="26">
        <f>IF($L143&lt;&gt;"OK",0,(INDEX(PRESIONES!$G$28:$G$31,$U143)*IF(INDEX(PRESIONES!$G$28:$G$31,$U143)&gt;0,PRESIONES!$C$9*IF($T143&lt;=10,1,($T143/10)^(2/DATOS!$C$56)),PRESIONES!$C$15)-ABERTURAS!$L$61*PRESIONES!$C$12)*$R143/$M143)</f>
        <v>0</v>
      </c>
      <c r="AD143" s="26">
        <f>IF($L143&lt;&gt;"OK",0,(INDEX(PRESIONES!$J$28:$J$31,$U143)*IF(INDEX(PRESIONES!$J$28:$J$31,$U143)&gt;0,PRESIONES!$C$9*IF($T143&lt;=10,1,($T143/10)^(2/DATOS!$C$56)),PRESIONES!$C$15)-ABERTURAS!$L$62*PRESIONES!$C$12)*$R143/$M143)</f>
        <v>0</v>
      </c>
      <c r="AE143" s="26">
        <f>IF($L143&lt;&gt;"OK",0,(INDEX(PRESIONES!$M$28:$M$31,$U143)*IF(INDEX(PRESIONES!$M$28:$M$31,$U143)&gt;0,PRESIONES!$C$9*IF($T143&lt;=10,1,($T143/10)^(2/DATOS!$C$56)),PRESIONES!$C$15)-ABERTURAS!$L$63*PRESIONES!$C$12)*$R143/$M143)</f>
        <v>0</v>
      </c>
      <c r="AF143" s="26">
        <f>IF($L143&lt;&gt;"OK",0,(INDEX(PRESIONES!$D$28:$D$31,$U143)*IF(INDEX(PRESIONES!$D$28:$D$31,$U143)&gt;0,PRESIONES!$C$9*IF($T143&lt;=10,1,($T143/10)^(2/DATOS!$C$56)),PRESIONES!$C$15)-ABERTURAS!$L$64*PRESIONES!$C$12)*$S143/$M143)</f>
        <v>0</v>
      </c>
      <c r="AG143" s="26">
        <f>IF($L143&lt;&gt;"OK",0,(INDEX(PRESIONES!$G$28:$G$31,$U143)*IF(INDEX(PRESIONES!$G$28:$G$31,$U143)&gt;0,PRESIONES!$C$9*IF($T143&lt;=10,1,($T143/10)^(2/DATOS!$C$56)),PRESIONES!$C$15)-ABERTURAS!$L$65*PRESIONES!$C$12)*$S143/$M143)</f>
        <v>0</v>
      </c>
      <c r="AH143" s="26">
        <f>IF($L143&lt;&gt;"OK",0,(INDEX(PRESIONES!$J$28:$J$31,$U143)*IF(INDEX(PRESIONES!$J$28:$J$31,$U143)&gt;0,PRESIONES!$C$9*IF($T143&lt;=10,1,($T143/10)^(2/DATOS!$C$56)),PRESIONES!$C$15)-ABERTURAS!$L$66*PRESIONES!$C$12)*$S143/$M143)</f>
        <v>0</v>
      </c>
      <c r="AI143" s="26">
        <f>IF($L143&lt;&gt;"OK",0,(INDEX(PRESIONES!$M$28:$M$31,$U143)*IF(INDEX(PRESIONES!$M$28:$M$31,$U143)&gt;0,PRESIONES!$C$9*IF($T143&lt;=10,1,($T143/10)^(2/DATOS!$C$56)),PRESIONES!$C$15)-ABERTURAS!$L$67*PRESIONES!$C$12)*$S143/$M143)</f>
        <v>0</v>
      </c>
    </row>
    <row r="144" spans="2:35" ht="15" customHeight="1" x14ac:dyDescent="0.3">
      <c r="B144" s="4"/>
      <c r="C144" s="15"/>
      <c r="D144" s="4"/>
      <c r="E144" s="15"/>
      <c r="F144" s="40"/>
      <c r="G144" s="40"/>
      <c r="H144" s="40"/>
      <c r="I144" s="40"/>
      <c r="J144" s="40"/>
      <c r="K144" s="40"/>
      <c r="L144" s="18" t="str">
        <f t="shared" si="48"/>
        <v/>
      </c>
      <c r="M144" s="26">
        <f t="shared" si="49"/>
        <v>0</v>
      </c>
      <c r="N144" s="26">
        <f t="shared" si="50"/>
        <v>0</v>
      </c>
      <c r="O144" s="26">
        <f t="shared" si="51"/>
        <v>0</v>
      </c>
      <c r="P144" s="26">
        <f>IF($U144=0,0,SUMPRODUCT((ABERTURAS!$N$7:$N$26=$U144)*ABERTURAS!$U$7:$U$26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Q144" s="26">
        <f>IF($U144=0,0,SUMPRODUCT((ABERTURAS!$N$7:$N$26=$U144)*ABERTURAS!$V$7:$V$26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R144" s="26">
        <f t="shared" si="52"/>
        <v>0</v>
      </c>
      <c r="S144" s="26">
        <f t="shared" si="53"/>
        <v>0</v>
      </c>
      <c r="T144" s="41">
        <f t="shared" si="54"/>
        <v>0</v>
      </c>
      <c r="U144" s="41">
        <f t="shared" si="55"/>
        <v>0</v>
      </c>
      <c r="V144" s="41">
        <f t="shared" si="56"/>
        <v>0</v>
      </c>
      <c r="W144" s="41">
        <f t="shared" si="57"/>
        <v>0</v>
      </c>
      <c r="X144" s="41">
        <f t="shared" si="58"/>
        <v>0</v>
      </c>
      <c r="Y144" s="41">
        <f t="shared" si="59"/>
        <v>0</v>
      </c>
      <c r="Z144" s="41">
        <f t="shared" si="60"/>
        <v>0</v>
      </c>
      <c r="AA144" s="41">
        <f t="shared" si="61"/>
        <v>0</v>
      </c>
      <c r="AB144" s="26">
        <f>IF($L144&lt;&gt;"OK",0,(INDEX(PRESIONES!$D$28:$D$31,$U144)*IF(INDEX(PRESIONES!$D$28:$D$31,$U144)&gt;0,PRESIONES!$C$9*IF($T144&lt;=10,1,($T144/10)^(2/DATOS!$C$56)),PRESIONES!$C$15)-ABERTURAS!$L$60*PRESIONES!$C$12)*$R144/$M144)</f>
        <v>0</v>
      </c>
      <c r="AC144" s="26">
        <f>IF($L144&lt;&gt;"OK",0,(INDEX(PRESIONES!$G$28:$G$31,$U144)*IF(INDEX(PRESIONES!$G$28:$G$31,$U144)&gt;0,PRESIONES!$C$9*IF($T144&lt;=10,1,($T144/10)^(2/DATOS!$C$56)),PRESIONES!$C$15)-ABERTURAS!$L$61*PRESIONES!$C$12)*$R144/$M144)</f>
        <v>0</v>
      </c>
      <c r="AD144" s="26">
        <f>IF($L144&lt;&gt;"OK",0,(INDEX(PRESIONES!$J$28:$J$31,$U144)*IF(INDEX(PRESIONES!$J$28:$J$31,$U144)&gt;0,PRESIONES!$C$9*IF($T144&lt;=10,1,($T144/10)^(2/DATOS!$C$56)),PRESIONES!$C$15)-ABERTURAS!$L$62*PRESIONES!$C$12)*$R144/$M144)</f>
        <v>0</v>
      </c>
      <c r="AE144" s="26">
        <f>IF($L144&lt;&gt;"OK",0,(INDEX(PRESIONES!$M$28:$M$31,$U144)*IF(INDEX(PRESIONES!$M$28:$M$31,$U144)&gt;0,PRESIONES!$C$9*IF($T144&lt;=10,1,($T144/10)^(2/DATOS!$C$56)),PRESIONES!$C$15)-ABERTURAS!$L$63*PRESIONES!$C$12)*$R144/$M144)</f>
        <v>0</v>
      </c>
      <c r="AF144" s="26">
        <f>IF($L144&lt;&gt;"OK",0,(INDEX(PRESIONES!$D$28:$D$31,$U144)*IF(INDEX(PRESIONES!$D$28:$D$31,$U144)&gt;0,PRESIONES!$C$9*IF($T144&lt;=10,1,($T144/10)^(2/DATOS!$C$56)),PRESIONES!$C$15)-ABERTURAS!$L$64*PRESIONES!$C$12)*$S144/$M144)</f>
        <v>0</v>
      </c>
      <c r="AG144" s="26">
        <f>IF($L144&lt;&gt;"OK",0,(INDEX(PRESIONES!$G$28:$G$31,$U144)*IF(INDEX(PRESIONES!$G$28:$G$31,$U144)&gt;0,PRESIONES!$C$9*IF($T144&lt;=10,1,($T144/10)^(2/DATOS!$C$56)),PRESIONES!$C$15)-ABERTURAS!$L$65*PRESIONES!$C$12)*$S144/$M144)</f>
        <v>0</v>
      </c>
      <c r="AH144" s="26">
        <f>IF($L144&lt;&gt;"OK",0,(INDEX(PRESIONES!$J$28:$J$31,$U144)*IF(INDEX(PRESIONES!$J$28:$J$31,$U144)&gt;0,PRESIONES!$C$9*IF($T144&lt;=10,1,($T144/10)^(2/DATOS!$C$56)),PRESIONES!$C$15)-ABERTURAS!$L$66*PRESIONES!$C$12)*$S144/$M144)</f>
        <v>0</v>
      </c>
      <c r="AI144" s="26">
        <f>IF($L144&lt;&gt;"OK",0,(INDEX(PRESIONES!$M$28:$M$31,$U144)*IF(INDEX(PRESIONES!$M$28:$M$31,$U144)&gt;0,PRESIONES!$C$9*IF($T144&lt;=10,1,($T144/10)^(2/DATOS!$C$56)),PRESIONES!$C$15)-ABERTURAS!$L$67*PRESIONES!$C$12)*$S144/$M144)</f>
        <v>0</v>
      </c>
    </row>
    <row r="145" spans="2:35" ht="15" customHeight="1" x14ac:dyDescent="0.3">
      <c r="B145" s="4"/>
      <c r="C145" s="15"/>
      <c r="D145" s="4"/>
      <c r="E145" s="15"/>
      <c r="F145" s="40"/>
      <c r="G145" s="40"/>
      <c r="H145" s="40"/>
      <c r="I145" s="40"/>
      <c r="J145" s="40"/>
      <c r="K145" s="40"/>
      <c r="L145" s="18" t="str">
        <f t="shared" si="48"/>
        <v/>
      </c>
      <c r="M145" s="26">
        <f t="shared" si="49"/>
        <v>0</v>
      </c>
      <c r="N145" s="26">
        <f t="shared" si="50"/>
        <v>0</v>
      </c>
      <c r="O145" s="26">
        <f t="shared" si="51"/>
        <v>0</v>
      </c>
      <c r="P145" s="26">
        <f>IF($U145=0,0,SUMPRODUCT((ABERTURAS!$N$7:$N$26=$U145)*ABERTURAS!$U$7:$U$26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Q145" s="26">
        <f>IF($U145=0,0,SUMPRODUCT((ABERTURAS!$N$7:$N$26=$U145)*ABERTURAS!$V$7:$V$26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R145" s="26">
        <f t="shared" si="52"/>
        <v>0</v>
      </c>
      <c r="S145" s="26">
        <f t="shared" si="53"/>
        <v>0</v>
      </c>
      <c r="T145" s="41">
        <f t="shared" si="54"/>
        <v>0</v>
      </c>
      <c r="U145" s="41">
        <f t="shared" si="55"/>
        <v>0</v>
      </c>
      <c r="V145" s="41">
        <f t="shared" si="56"/>
        <v>0</v>
      </c>
      <c r="W145" s="41">
        <f t="shared" si="57"/>
        <v>0</v>
      </c>
      <c r="X145" s="41">
        <f t="shared" si="58"/>
        <v>0</v>
      </c>
      <c r="Y145" s="41">
        <f t="shared" si="59"/>
        <v>0</v>
      </c>
      <c r="Z145" s="41">
        <f t="shared" si="60"/>
        <v>0</v>
      </c>
      <c r="AA145" s="41">
        <f t="shared" si="61"/>
        <v>0</v>
      </c>
      <c r="AB145" s="26">
        <f>IF($L145&lt;&gt;"OK",0,(INDEX(PRESIONES!$D$28:$D$31,$U145)*IF(INDEX(PRESIONES!$D$28:$D$31,$U145)&gt;0,PRESIONES!$C$9*IF($T145&lt;=10,1,($T145/10)^(2/DATOS!$C$56)),PRESIONES!$C$15)-ABERTURAS!$L$60*PRESIONES!$C$12)*$R145/$M145)</f>
        <v>0</v>
      </c>
      <c r="AC145" s="26">
        <f>IF($L145&lt;&gt;"OK",0,(INDEX(PRESIONES!$G$28:$G$31,$U145)*IF(INDEX(PRESIONES!$G$28:$G$31,$U145)&gt;0,PRESIONES!$C$9*IF($T145&lt;=10,1,($T145/10)^(2/DATOS!$C$56)),PRESIONES!$C$15)-ABERTURAS!$L$61*PRESIONES!$C$12)*$R145/$M145)</f>
        <v>0</v>
      </c>
      <c r="AD145" s="26">
        <f>IF($L145&lt;&gt;"OK",0,(INDEX(PRESIONES!$J$28:$J$31,$U145)*IF(INDEX(PRESIONES!$J$28:$J$31,$U145)&gt;0,PRESIONES!$C$9*IF($T145&lt;=10,1,($T145/10)^(2/DATOS!$C$56)),PRESIONES!$C$15)-ABERTURAS!$L$62*PRESIONES!$C$12)*$R145/$M145)</f>
        <v>0</v>
      </c>
      <c r="AE145" s="26">
        <f>IF($L145&lt;&gt;"OK",0,(INDEX(PRESIONES!$M$28:$M$31,$U145)*IF(INDEX(PRESIONES!$M$28:$M$31,$U145)&gt;0,PRESIONES!$C$9*IF($T145&lt;=10,1,($T145/10)^(2/DATOS!$C$56)),PRESIONES!$C$15)-ABERTURAS!$L$63*PRESIONES!$C$12)*$R145/$M145)</f>
        <v>0</v>
      </c>
      <c r="AF145" s="26">
        <f>IF($L145&lt;&gt;"OK",0,(INDEX(PRESIONES!$D$28:$D$31,$U145)*IF(INDEX(PRESIONES!$D$28:$D$31,$U145)&gt;0,PRESIONES!$C$9*IF($T145&lt;=10,1,($T145/10)^(2/DATOS!$C$56)),PRESIONES!$C$15)-ABERTURAS!$L$64*PRESIONES!$C$12)*$S145/$M145)</f>
        <v>0</v>
      </c>
      <c r="AG145" s="26">
        <f>IF($L145&lt;&gt;"OK",0,(INDEX(PRESIONES!$G$28:$G$31,$U145)*IF(INDEX(PRESIONES!$G$28:$G$31,$U145)&gt;0,PRESIONES!$C$9*IF($T145&lt;=10,1,($T145/10)^(2/DATOS!$C$56)),PRESIONES!$C$15)-ABERTURAS!$L$65*PRESIONES!$C$12)*$S145/$M145)</f>
        <v>0</v>
      </c>
      <c r="AH145" s="26">
        <f>IF($L145&lt;&gt;"OK",0,(INDEX(PRESIONES!$J$28:$J$31,$U145)*IF(INDEX(PRESIONES!$J$28:$J$31,$U145)&gt;0,PRESIONES!$C$9*IF($T145&lt;=10,1,($T145/10)^(2/DATOS!$C$56)),PRESIONES!$C$15)-ABERTURAS!$L$66*PRESIONES!$C$12)*$S145/$M145)</f>
        <v>0</v>
      </c>
      <c r="AI145" s="26">
        <f>IF($L145&lt;&gt;"OK",0,(INDEX(PRESIONES!$M$28:$M$31,$U145)*IF(INDEX(PRESIONES!$M$28:$M$31,$U145)&gt;0,PRESIONES!$C$9*IF($T145&lt;=10,1,($T145/10)^(2/DATOS!$C$56)),PRESIONES!$C$15)-ABERTURAS!$L$67*PRESIONES!$C$12)*$S145/$M145)</f>
        <v>0</v>
      </c>
    </row>
    <row r="146" spans="2:35" ht="15" customHeight="1" x14ac:dyDescent="0.3">
      <c r="B146" s="4"/>
      <c r="C146" s="15"/>
      <c r="D146" s="4"/>
      <c r="E146" s="15"/>
      <c r="F146" s="40"/>
      <c r="G146" s="40"/>
      <c r="H146" s="40"/>
      <c r="I146" s="40"/>
      <c r="J146" s="40"/>
      <c r="K146" s="40"/>
      <c r="L146" s="18" t="str">
        <f t="shared" si="48"/>
        <v/>
      </c>
      <c r="M146" s="26">
        <f t="shared" si="49"/>
        <v>0</v>
      </c>
      <c r="N146" s="26">
        <f t="shared" si="50"/>
        <v>0</v>
      </c>
      <c r="O146" s="26">
        <f t="shared" si="51"/>
        <v>0</v>
      </c>
      <c r="P146" s="26">
        <f>IF($U146=0,0,SUMPRODUCT((ABERTURAS!$N$7:$N$26=$U146)*ABERTURAS!$U$7:$U$26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Q146" s="26">
        <f>IF($U146=0,0,SUMPRODUCT((ABERTURAS!$N$7:$N$26=$U146)*ABERTURAS!$V$7:$V$26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R146" s="26">
        <f t="shared" si="52"/>
        <v>0</v>
      </c>
      <c r="S146" s="26">
        <f t="shared" si="53"/>
        <v>0</v>
      </c>
      <c r="T146" s="41">
        <f t="shared" si="54"/>
        <v>0</v>
      </c>
      <c r="U146" s="41">
        <f t="shared" si="55"/>
        <v>0</v>
      </c>
      <c r="V146" s="41">
        <f t="shared" si="56"/>
        <v>0</v>
      </c>
      <c r="W146" s="41">
        <f t="shared" si="57"/>
        <v>0</v>
      </c>
      <c r="X146" s="41">
        <f t="shared" si="58"/>
        <v>0</v>
      </c>
      <c r="Y146" s="41">
        <f t="shared" si="59"/>
        <v>0</v>
      </c>
      <c r="Z146" s="41">
        <f t="shared" si="60"/>
        <v>0</v>
      </c>
      <c r="AA146" s="41">
        <f t="shared" si="61"/>
        <v>0</v>
      </c>
      <c r="AB146" s="26">
        <f>IF($L146&lt;&gt;"OK",0,(INDEX(PRESIONES!$D$28:$D$31,$U146)*IF(INDEX(PRESIONES!$D$28:$D$31,$U146)&gt;0,PRESIONES!$C$9*IF($T146&lt;=10,1,($T146/10)^(2/DATOS!$C$56)),PRESIONES!$C$15)-ABERTURAS!$L$60*PRESIONES!$C$12)*$R146/$M146)</f>
        <v>0</v>
      </c>
      <c r="AC146" s="26">
        <f>IF($L146&lt;&gt;"OK",0,(INDEX(PRESIONES!$G$28:$G$31,$U146)*IF(INDEX(PRESIONES!$G$28:$G$31,$U146)&gt;0,PRESIONES!$C$9*IF($T146&lt;=10,1,($T146/10)^(2/DATOS!$C$56)),PRESIONES!$C$15)-ABERTURAS!$L$61*PRESIONES!$C$12)*$R146/$M146)</f>
        <v>0</v>
      </c>
      <c r="AD146" s="26">
        <f>IF($L146&lt;&gt;"OK",0,(INDEX(PRESIONES!$J$28:$J$31,$U146)*IF(INDEX(PRESIONES!$J$28:$J$31,$U146)&gt;0,PRESIONES!$C$9*IF($T146&lt;=10,1,($T146/10)^(2/DATOS!$C$56)),PRESIONES!$C$15)-ABERTURAS!$L$62*PRESIONES!$C$12)*$R146/$M146)</f>
        <v>0</v>
      </c>
      <c r="AE146" s="26">
        <f>IF($L146&lt;&gt;"OK",0,(INDEX(PRESIONES!$M$28:$M$31,$U146)*IF(INDEX(PRESIONES!$M$28:$M$31,$U146)&gt;0,PRESIONES!$C$9*IF($T146&lt;=10,1,($T146/10)^(2/DATOS!$C$56)),PRESIONES!$C$15)-ABERTURAS!$L$63*PRESIONES!$C$12)*$R146/$M146)</f>
        <v>0</v>
      </c>
      <c r="AF146" s="26">
        <f>IF($L146&lt;&gt;"OK",0,(INDEX(PRESIONES!$D$28:$D$31,$U146)*IF(INDEX(PRESIONES!$D$28:$D$31,$U146)&gt;0,PRESIONES!$C$9*IF($T146&lt;=10,1,($T146/10)^(2/DATOS!$C$56)),PRESIONES!$C$15)-ABERTURAS!$L$64*PRESIONES!$C$12)*$S146/$M146)</f>
        <v>0</v>
      </c>
      <c r="AG146" s="26">
        <f>IF($L146&lt;&gt;"OK",0,(INDEX(PRESIONES!$G$28:$G$31,$U146)*IF(INDEX(PRESIONES!$G$28:$G$31,$U146)&gt;0,PRESIONES!$C$9*IF($T146&lt;=10,1,($T146/10)^(2/DATOS!$C$56)),PRESIONES!$C$15)-ABERTURAS!$L$65*PRESIONES!$C$12)*$S146/$M146)</f>
        <v>0</v>
      </c>
      <c r="AH146" s="26">
        <f>IF($L146&lt;&gt;"OK",0,(INDEX(PRESIONES!$J$28:$J$31,$U146)*IF(INDEX(PRESIONES!$J$28:$J$31,$U146)&gt;0,PRESIONES!$C$9*IF($T146&lt;=10,1,($T146/10)^(2/DATOS!$C$56)),PRESIONES!$C$15)-ABERTURAS!$L$66*PRESIONES!$C$12)*$S146/$M146)</f>
        <v>0</v>
      </c>
      <c r="AI146" s="26">
        <f>IF($L146&lt;&gt;"OK",0,(INDEX(PRESIONES!$M$28:$M$31,$U146)*IF(INDEX(PRESIONES!$M$28:$M$31,$U146)&gt;0,PRESIONES!$C$9*IF($T146&lt;=10,1,($T146/10)^(2/DATOS!$C$56)),PRESIONES!$C$15)-ABERTURAS!$L$67*PRESIONES!$C$12)*$S146/$M146)</f>
        <v>0</v>
      </c>
    </row>
    <row r="147" spans="2:35" ht="15" customHeight="1" x14ac:dyDescent="0.3">
      <c r="B147" s="4"/>
      <c r="C147" s="15"/>
      <c r="D147" s="4"/>
      <c r="E147" s="15"/>
      <c r="F147" s="40"/>
      <c r="G147" s="40"/>
      <c r="H147" s="40"/>
      <c r="I147" s="40"/>
      <c r="J147" s="40"/>
      <c r="K147" s="40"/>
      <c r="L147" s="18" t="str">
        <f t="shared" si="48"/>
        <v/>
      </c>
      <c r="M147" s="26">
        <f t="shared" si="49"/>
        <v>0</v>
      </c>
      <c r="N147" s="26">
        <f t="shared" si="50"/>
        <v>0</v>
      </c>
      <c r="O147" s="26">
        <f t="shared" si="51"/>
        <v>0</v>
      </c>
      <c r="P147" s="26">
        <f>IF($U147=0,0,SUMPRODUCT((ABERTURAS!$N$7:$N$26=$U147)*ABERTURAS!$U$7:$U$26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Q147" s="26">
        <f>IF($U147=0,0,SUMPRODUCT((ABERTURAS!$N$7:$N$26=$U147)*ABERTURAS!$V$7:$V$26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R147" s="26">
        <f t="shared" si="52"/>
        <v>0</v>
      </c>
      <c r="S147" s="26">
        <f t="shared" si="53"/>
        <v>0</v>
      </c>
      <c r="T147" s="41">
        <f t="shared" si="54"/>
        <v>0</v>
      </c>
      <c r="U147" s="41">
        <f t="shared" si="55"/>
        <v>0</v>
      </c>
      <c r="V147" s="41">
        <f t="shared" si="56"/>
        <v>0</v>
      </c>
      <c r="W147" s="41">
        <f t="shared" si="57"/>
        <v>0</v>
      </c>
      <c r="X147" s="41">
        <f t="shared" si="58"/>
        <v>0</v>
      </c>
      <c r="Y147" s="41">
        <f t="shared" si="59"/>
        <v>0</v>
      </c>
      <c r="Z147" s="41">
        <f t="shared" si="60"/>
        <v>0</v>
      </c>
      <c r="AA147" s="41">
        <f t="shared" si="61"/>
        <v>0</v>
      </c>
      <c r="AB147" s="26">
        <f>IF($L147&lt;&gt;"OK",0,(INDEX(PRESIONES!$D$28:$D$31,$U147)*IF(INDEX(PRESIONES!$D$28:$D$31,$U147)&gt;0,PRESIONES!$C$9*IF($T147&lt;=10,1,($T147/10)^(2/DATOS!$C$56)),PRESIONES!$C$15)-ABERTURAS!$L$60*PRESIONES!$C$12)*$R147/$M147)</f>
        <v>0</v>
      </c>
      <c r="AC147" s="26">
        <f>IF($L147&lt;&gt;"OK",0,(INDEX(PRESIONES!$G$28:$G$31,$U147)*IF(INDEX(PRESIONES!$G$28:$G$31,$U147)&gt;0,PRESIONES!$C$9*IF($T147&lt;=10,1,($T147/10)^(2/DATOS!$C$56)),PRESIONES!$C$15)-ABERTURAS!$L$61*PRESIONES!$C$12)*$R147/$M147)</f>
        <v>0</v>
      </c>
      <c r="AD147" s="26">
        <f>IF($L147&lt;&gt;"OK",0,(INDEX(PRESIONES!$J$28:$J$31,$U147)*IF(INDEX(PRESIONES!$J$28:$J$31,$U147)&gt;0,PRESIONES!$C$9*IF($T147&lt;=10,1,($T147/10)^(2/DATOS!$C$56)),PRESIONES!$C$15)-ABERTURAS!$L$62*PRESIONES!$C$12)*$R147/$M147)</f>
        <v>0</v>
      </c>
      <c r="AE147" s="26">
        <f>IF($L147&lt;&gt;"OK",0,(INDEX(PRESIONES!$M$28:$M$31,$U147)*IF(INDEX(PRESIONES!$M$28:$M$31,$U147)&gt;0,PRESIONES!$C$9*IF($T147&lt;=10,1,($T147/10)^(2/DATOS!$C$56)),PRESIONES!$C$15)-ABERTURAS!$L$63*PRESIONES!$C$12)*$R147/$M147)</f>
        <v>0</v>
      </c>
      <c r="AF147" s="26">
        <f>IF($L147&lt;&gt;"OK",0,(INDEX(PRESIONES!$D$28:$D$31,$U147)*IF(INDEX(PRESIONES!$D$28:$D$31,$U147)&gt;0,PRESIONES!$C$9*IF($T147&lt;=10,1,($T147/10)^(2/DATOS!$C$56)),PRESIONES!$C$15)-ABERTURAS!$L$64*PRESIONES!$C$12)*$S147/$M147)</f>
        <v>0</v>
      </c>
      <c r="AG147" s="26">
        <f>IF($L147&lt;&gt;"OK",0,(INDEX(PRESIONES!$G$28:$G$31,$U147)*IF(INDEX(PRESIONES!$G$28:$G$31,$U147)&gt;0,PRESIONES!$C$9*IF($T147&lt;=10,1,($T147/10)^(2/DATOS!$C$56)),PRESIONES!$C$15)-ABERTURAS!$L$65*PRESIONES!$C$12)*$S147/$M147)</f>
        <v>0</v>
      </c>
      <c r="AH147" s="26">
        <f>IF($L147&lt;&gt;"OK",0,(INDEX(PRESIONES!$J$28:$J$31,$U147)*IF(INDEX(PRESIONES!$J$28:$J$31,$U147)&gt;0,PRESIONES!$C$9*IF($T147&lt;=10,1,($T147/10)^(2/DATOS!$C$56)),PRESIONES!$C$15)-ABERTURAS!$L$66*PRESIONES!$C$12)*$S147/$M147)</f>
        <v>0</v>
      </c>
      <c r="AI147" s="26">
        <f>IF($L147&lt;&gt;"OK",0,(INDEX(PRESIONES!$M$28:$M$31,$U147)*IF(INDEX(PRESIONES!$M$28:$M$31,$U147)&gt;0,PRESIONES!$C$9*IF($T147&lt;=10,1,($T147/10)^(2/DATOS!$C$56)),PRESIONES!$C$15)-ABERTURAS!$L$67*PRESIONES!$C$12)*$S147/$M147)</f>
        <v>0</v>
      </c>
    </row>
    <row r="148" spans="2:35" ht="15" customHeight="1" x14ac:dyDescent="0.3">
      <c r="B148" s="4"/>
      <c r="C148" s="15"/>
      <c r="D148" s="4"/>
      <c r="E148" s="15"/>
      <c r="F148" s="40"/>
      <c r="G148" s="40"/>
      <c r="H148" s="40"/>
      <c r="I148" s="40"/>
      <c r="J148" s="40"/>
      <c r="K148" s="40"/>
      <c r="L148" s="18" t="str">
        <f t="shared" si="48"/>
        <v/>
      </c>
      <c r="M148" s="26">
        <f t="shared" si="49"/>
        <v>0</v>
      </c>
      <c r="N148" s="26">
        <f t="shared" si="50"/>
        <v>0</v>
      </c>
      <c r="O148" s="26">
        <f t="shared" si="51"/>
        <v>0</v>
      </c>
      <c r="P148" s="26">
        <f>IF($U148=0,0,SUMPRODUCT((ABERTURAS!$N$7:$N$26=$U148)*ABERTURAS!$U$7:$U$26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Q148" s="26">
        <f>IF($U148=0,0,SUMPRODUCT((ABERTURAS!$N$7:$N$26=$U148)*ABERTURAS!$V$7:$V$26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R148" s="26">
        <f t="shared" si="52"/>
        <v>0</v>
      </c>
      <c r="S148" s="26">
        <f t="shared" si="53"/>
        <v>0</v>
      </c>
      <c r="T148" s="41">
        <f t="shared" si="54"/>
        <v>0</v>
      </c>
      <c r="U148" s="41">
        <f t="shared" si="55"/>
        <v>0</v>
      </c>
      <c r="V148" s="41">
        <f t="shared" si="56"/>
        <v>0</v>
      </c>
      <c r="W148" s="41">
        <f t="shared" si="57"/>
        <v>0</v>
      </c>
      <c r="X148" s="41">
        <f t="shared" si="58"/>
        <v>0</v>
      </c>
      <c r="Y148" s="41">
        <f t="shared" si="59"/>
        <v>0</v>
      </c>
      <c r="Z148" s="41">
        <f t="shared" si="60"/>
        <v>0</v>
      </c>
      <c r="AA148" s="41">
        <f t="shared" si="61"/>
        <v>0</v>
      </c>
      <c r="AB148" s="26">
        <f>IF($L148&lt;&gt;"OK",0,(INDEX(PRESIONES!$D$28:$D$31,$U148)*IF(INDEX(PRESIONES!$D$28:$D$31,$U148)&gt;0,PRESIONES!$C$9*IF($T148&lt;=10,1,($T148/10)^(2/DATOS!$C$56)),PRESIONES!$C$15)-ABERTURAS!$L$60*PRESIONES!$C$12)*$R148/$M148)</f>
        <v>0</v>
      </c>
      <c r="AC148" s="26">
        <f>IF($L148&lt;&gt;"OK",0,(INDEX(PRESIONES!$G$28:$G$31,$U148)*IF(INDEX(PRESIONES!$G$28:$G$31,$U148)&gt;0,PRESIONES!$C$9*IF($T148&lt;=10,1,($T148/10)^(2/DATOS!$C$56)),PRESIONES!$C$15)-ABERTURAS!$L$61*PRESIONES!$C$12)*$R148/$M148)</f>
        <v>0</v>
      </c>
      <c r="AD148" s="26">
        <f>IF($L148&lt;&gt;"OK",0,(INDEX(PRESIONES!$J$28:$J$31,$U148)*IF(INDEX(PRESIONES!$J$28:$J$31,$U148)&gt;0,PRESIONES!$C$9*IF($T148&lt;=10,1,($T148/10)^(2/DATOS!$C$56)),PRESIONES!$C$15)-ABERTURAS!$L$62*PRESIONES!$C$12)*$R148/$M148)</f>
        <v>0</v>
      </c>
      <c r="AE148" s="26">
        <f>IF($L148&lt;&gt;"OK",0,(INDEX(PRESIONES!$M$28:$M$31,$U148)*IF(INDEX(PRESIONES!$M$28:$M$31,$U148)&gt;0,PRESIONES!$C$9*IF($T148&lt;=10,1,($T148/10)^(2/DATOS!$C$56)),PRESIONES!$C$15)-ABERTURAS!$L$63*PRESIONES!$C$12)*$R148/$M148)</f>
        <v>0</v>
      </c>
      <c r="AF148" s="26">
        <f>IF($L148&lt;&gt;"OK",0,(INDEX(PRESIONES!$D$28:$D$31,$U148)*IF(INDEX(PRESIONES!$D$28:$D$31,$U148)&gt;0,PRESIONES!$C$9*IF($T148&lt;=10,1,($T148/10)^(2/DATOS!$C$56)),PRESIONES!$C$15)-ABERTURAS!$L$64*PRESIONES!$C$12)*$S148/$M148)</f>
        <v>0</v>
      </c>
      <c r="AG148" s="26">
        <f>IF($L148&lt;&gt;"OK",0,(INDEX(PRESIONES!$G$28:$G$31,$U148)*IF(INDEX(PRESIONES!$G$28:$G$31,$U148)&gt;0,PRESIONES!$C$9*IF($T148&lt;=10,1,($T148/10)^(2/DATOS!$C$56)),PRESIONES!$C$15)-ABERTURAS!$L$65*PRESIONES!$C$12)*$S148/$M148)</f>
        <v>0</v>
      </c>
      <c r="AH148" s="26">
        <f>IF($L148&lt;&gt;"OK",0,(INDEX(PRESIONES!$J$28:$J$31,$U148)*IF(INDEX(PRESIONES!$J$28:$J$31,$U148)&gt;0,PRESIONES!$C$9*IF($T148&lt;=10,1,($T148/10)^(2/DATOS!$C$56)),PRESIONES!$C$15)-ABERTURAS!$L$66*PRESIONES!$C$12)*$S148/$M148)</f>
        <v>0</v>
      </c>
      <c r="AI148" s="26">
        <f>IF($L148&lt;&gt;"OK",0,(INDEX(PRESIONES!$M$28:$M$31,$U148)*IF(INDEX(PRESIONES!$M$28:$M$31,$U148)&gt;0,PRESIONES!$C$9*IF($T148&lt;=10,1,($T148/10)^(2/DATOS!$C$56)),PRESIONES!$C$15)-ABERTURAS!$L$67*PRESIONES!$C$12)*$S148/$M148)</f>
        <v>0</v>
      </c>
    </row>
    <row r="149" spans="2:35" ht="15" customHeight="1" x14ac:dyDescent="0.3">
      <c r="B149" s="4"/>
      <c r="C149" s="15"/>
      <c r="D149" s="4"/>
      <c r="E149" s="15"/>
      <c r="F149" s="40"/>
      <c r="G149" s="40"/>
      <c r="H149" s="40"/>
      <c r="I149" s="40"/>
      <c r="J149" s="40"/>
      <c r="K149" s="40"/>
      <c r="L149" s="18" t="str">
        <f t="shared" si="48"/>
        <v/>
      </c>
      <c r="M149" s="26">
        <f t="shared" si="49"/>
        <v>0</v>
      </c>
      <c r="N149" s="26">
        <f t="shared" si="50"/>
        <v>0</v>
      </c>
      <c r="O149" s="26">
        <f t="shared" si="51"/>
        <v>0</v>
      </c>
      <c r="P149" s="26">
        <f>IF($U149=0,0,SUMPRODUCT((ABERTURAS!$N$7:$N$26=$U149)*ABERTURAS!$U$7:$U$26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Q149" s="26">
        <f>IF($U149=0,0,SUMPRODUCT((ABERTURAS!$N$7:$N$26=$U149)*ABERTURAS!$V$7:$V$26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R149" s="26">
        <f t="shared" si="52"/>
        <v>0</v>
      </c>
      <c r="S149" s="26">
        <f t="shared" si="53"/>
        <v>0</v>
      </c>
      <c r="T149" s="41">
        <f t="shared" si="54"/>
        <v>0</v>
      </c>
      <c r="U149" s="41">
        <f t="shared" si="55"/>
        <v>0</v>
      </c>
      <c r="V149" s="41">
        <f t="shared" si="56"/>
        <v>0</v>
      </c>
      <c r="W149" s="41">
        <f t="shared" si="57"/>
        <v>0</v>
      </c>
      <c r="X149" s="41">
        <f t="shared" si="58"/>
        <v>0</v>
      </c>
      <c r="Y149" s="41">
        <f t="shared" si="59"/>
        <v>0</v>
      </c>
      <c r="Z149" s="41">
        <f t="shared" si="60"/>
        <v>0</v>
      </c>
      <c r="AA149" s="41">
        <f t="shared" si="61"/>
        <v>0</v>
      </c>
      <c r="AB149" s="26">
        <f>IF($L149&lt;&gt;"OK",0,(INDEX(PRESIONES!$D$28:$D$31,$U149)*IF(INDEX(PRESIONES!$D$28:$D$31,$U149)&gt;0,PRESIONES!$C$9*IF($T149&lt;=10,1,($T149/10)^(2/DATOS!$C$56)),PRESIONES!$C$15)-ABERTURAS!$L$60*PRESIONES!$C$12)*$R149/$M149)</f>
        <v>0</v>
      </c>
      <c r="AC149" s="26">
        <f>IF($L149&lt;&gt;"OK",0,(INDEX(PRESIONES!$G$28:$G$31,$U149)*IF(INDEX(PRESIONES!$G$28:$G$31,$U149)&gt;0,PRESIONES!$C$9*IF($T149&lt;=10,1,($T149/10)^(2/DATOS!$C$56)),PRESIONES!$C$15)-ABERTURAS!$L$61*PRESIONES!$C$12)*$R149/$M149)</f>
        <v>0</v>
      </c>
      <c r="AD149" s="26">
        <f>IF($L149&lt;&gt;"OK",0,(INDEX(PRESIONES!$J$28:$J$31,$U149)*IF(INDEX(PRESIONES!$J$28:$J$31,$U149)&gt;0,PRESIONES!$C$9*IF($T149&lt;=10,1,($T149/10)^(2/DATOS!$C$56)),PRESIONES!$C$15)-ABERTURAS!$L$62*PRESIONES!$C$12)*$R149/$M149)</f>
        <v>0</v>
      </c>
      <c r="AE149" s="26">
        <f>IF($L149&lt;&gt;"OK",0,(INDEX(PRESIONES!$M$28:$M$31,$U149)*IF(INDEX(PRESIONES!$M$28:$M$31,$U149)&gt;0,PRESIONES!$C$9*IF($T149&lt;=10,1,($T149/10)^(2/DATOS!$C$56)),PRESIONES!$C$15)-ABERTURAS!$L$63*PRESIONES!$C$12)*$R149/$M149)</f>
        <v>0</v>
      </c>
      <c r="AF149" s="26">
        <f>IF($L149&lt;&gt;"OK",0,(INDEX(PRESIONES!$D$28:$D$31,$U149)*IF(INDEX(PRESIONES!$D$28:$D$31,$U149)&gt;0,PRESIONES!$C$9*IF($T149&lt;=10,1,($T149/10)^(2/DATOS!$C$56)),PRESIONES!$C$15)-ABERTURAS!$L$64*PRESIONES!$C$12)*$S149/$M149)</f>
        <v>0</v>
      </c>
      <c r="AG149" s="26">
        <f>IF($L149&lt;&gt;"OK",0,(INDEX(PRESIONES!$G$28:$G$31,$U149)*IF(INDEX(PRESIONES!$G$28:$G$31,$U149)&gt;0,PRESIONES!$C$9*IF($T149&lt;=10,1,($T149/10)^(2/DATOS!$C$56)),PRESIONES!$C$15)-ABERTURAS!$L$65*PRESIONES!$C$12)*$S149/$M149)</f>
        <v>0</v>
      </c>
      <c r="AH149" s="26">
        <f>IF($L149&lt;&gt;"OK",0,(INDEX(PRESIONES!$J$28:$J$31,$U149)*IF(INDEX(PRESIONES!$J$28:$J$31,$U149)&gt;0,PRESIONES!$C$9*IF($T149&lt;=10,1,($T149/10)^(2/DATOS!$C$56)),PRESIONES!$C$15)-ABERTURAS!$L$66*PRESIONES!$C$12)*$S149/$M149)</f>
        <v>0</v>
      </c>
      <c r="AI149" s="26">
        <f>IF($L149&lt;&gt;"OK",0,(INDEX(PRESIONES!$M$28:$M$31,$U149)*IF(INDEX(PRESIONES!$M$28:$M$31,$U149)&gt;0,PRESIONES!$C$9*IF($T149&lt;=10,1,($T149/10)^(2/DATOS!$C$56)),PRESIONES!$C$15)-ABERTURAS!$L$67*PRESIONES!$C$12)*$S149/$M149)</f>
        <v>0</v>
      </c>
    </row>
    <row r="150" spans="2:35" ht="15" customHeight="1" x14ac:dyDescent="0.3">
      <c r="B150" s="4"/>
      <c r="C150" s="15"/>
      <c r="D150" s="4"/>
      <c r="E150" s="15"/>
      <c r="F150" s="40"/>
      <c r="G150" s="40"/>
      <c r="H150" s="40"/>
      <c r="I150" s="40"/>
      <c r="J150" s="40"/>
      <c r="K150" s="40"/>
      <c r="L150" s="18" t="str">
        <f t="shared" si="48"/>
        <v/>
      </c>
      <c r="M150" s="26">
        <f t="shared" si="49"/>
        <v>0</v>
      </c>
      <c r="N150" s="26">
        <f t="shared" si="50"/>
        <v>0</v>
      </c>
      <c r="O150" s="26">
        <f t="shared" si="51"/>
        <v>0</v>
      </c>
      <c r="P150" s="26">
        <f>IF($U150=0,0,SUMPRODUCT((ABERTURAS!$N$7:$N$26=$U150)*ABERTURAS!$U$7:$U$26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Q150" s="26">
        <f>IF($U150=0,0,SUMPRODUCT((ABERTURAS!$N$7:$N$26=$U150)*ABERTURAS!$V$7:$V$26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R150" s="26">
        <f t="shared" si="52"/>
        <v>0</v>
      </c>
      <c r="S150" s="26">
        <f t="shared" si="53"/>
        <v>0</v>
      </c>
      <c r="T150" s="41">
        <f t="shared" si="54"/>
        <v>0</v>
      </c>
      <c r="U150" s="41">
        <f t="shared" si="55"/>
        <v>0</v>
      </c>
      <c r="V150" s="41">
        <f t="shared" si="56"/>
        <v>0</v>
      </c>
      <c r="W150" s="41">
        <f t="shared" si="57"/>
        <v>0</v>
      </c>
      <c r="X150" s="41">
        <f t="shared" si="58"/>
        <v>0</v>
      </c>
      <c r="Y150" s="41">
        <f t="shared" si="59"/>
        <v>0</v>
      </c>
      <c r="Z150" s="41">
        <f t="shared" si="60"/>
        <v>0</v>
      </c>
      <c r="AA150" s="41">
        <f t="shared" si="61"/>
        <v>0</v>
      </c>
      <c r="AB150" s="26">
        <f>IF($L150&lt;&gt;"OK",0,(INDEX(PRESIONES!$D$28:$D$31,$U150)*IF(INDEX(PRESIONES!$D$28:$D$31,$U150)&gt;0,PRESIONES!$C$9*IF($T150&lt;=10,1,($T150/10)^(2/DATOS!$C$56)),PRESIONES!$C$15)-ABERTURAS!$L$60*PRESIONES!$C$12)*$R150/$M150)</f>
        <v>0</v>
      </c>
      <c r="AC150" s="26">
        <f>IF($L150&lt;&gt;"OK",0,(INDEX(PRESIONES!$G$28:$G$31,$U150)*IF(INDEX(PRESIONES!$G$28:$G$31,$U150)&gt;0,PRESIONES!$C$9*IF($T150&lt;=10,1,($T150/10)^(2/DATOS!$C$56)),PRESIONES!$C$15)-ABERTURAS!$L$61*PRESIONES!$C$12)*$R150/$M150)</f>
        <v>0</v>
      </c>
      <c r="AD150" s="26">
        <f>IF($L150&lt;&gt;"OK",0,(INDEX(PRESIONES!$J$28:$J$31,$U150)*IF(INDEX(PRESIONES!$J$28:$J$31,$U150)&gt;0,PRESIONES!$C$9*IF($T150&lt;=10,1,($T150/10)^(2/DATOS!$C$56)),PRESIONES!$C$15)-ABERTURAS!$L$62*PRESIONES!$C$12)*$R150/$M150)</f>
        <v>0</v>
      </c>
      <c r="AE150" s="26">
        <f>IF($L150&lt;&gt;"OK",0,(INDEX(PRESIONES!$M$28:$M$31,$U150)*IF(INDEX(PRESIONES!$M$28:$M$31,$U150)&gt;0,PRESIONES!$C$9*IF($T150&lt;=10,1,($T150/10)^(2/DATOS!$C$56)),PRESIONES!$C$15)-ABERTURAS!$L$63*PRESIONES!$C$12)*$R150/$M150)</f>
        <v>0</v>
      </c>
      <c r="AF150" s="26">
        <f>IF($L150&lt;&gt;"OK",0,(INDEX(PRESIONES!$D$28:$D$31,$U150)*IF(INDEX(PRESIONES!$D$28:$D$31,$U150)&gt;0,PRESIONES!$C$9*IF($T150&lt;=10,1,($T150/10)^(2/DATOS!$C$56)),PRESIONES!$C$15)-ABERTURAS!$L$64*PRESIONES!$C$12)*$S150/$M150)</f>
        <v>0</v>
      </c>
      <c r="AG150" s="26">
        <f>IF($L150&lt;&gt;"OK",0,(INDEX(PRESIONES!$G$28:$G$31,$U150)*IF(INDEX(PRESIONES!$G$28:$G$31,$U150)&gt;0,PRESIONES!$C$9*IF($T150&lt;=10,1,($T150/10)^(2/DATOS!$C$56)),PRESIONES!$C$15)-ABERTURAS!$L$65*PRESIONES!$C$12)*$S150/$M150)</f>
        <v>0</v>
      </c>
      <c r="AH150" s="26">
        <f>IF($L150&lt;&gt;"OK",0,(INDEX(PRESIONES!$J$28:$J$31,$U150)*IF(INDEX(PRESIONES!$J$28:$J$31,$U150)&gt;0,PRESIONES!$C$9*IF($T150&lt;=10,1,($T150/10)^(2/DATOS!$C$56)),PRESIONES!$C$15)-ABERTURAS!$L$66*PRESIONES!$C$12)*$S150/$M150)</f>
        <v>0</v>
      </c>
      <c r="AI150" s="26">
        <f>IF($L150&lt;&gt;"OK",0,(INDEX(PRESIONES!$M$28:$M$31,$U150)*IF(INDEX(PRESIONES!$M$28:$M$31,$U150)&gt;0,PRESIONES!$C$9*IF($T150&lt;=10,1,($T150/10)^(2/DATOS!$C$56)),PRESIONES!$C$15)-ABERTURAS!$L$67*PRESIONES!$C$12)*$S150/$M150)</f>
        <v>0</v>
      </c>
    </row>
    <row r="151" spans="2:35" ht="15" customHeight="1" x14ac:dyDescent="0.3">
      <c r="B151" s="4"/>
      <c r="C151" s="15"/>
      <c r="D151" s="4"/>
      <c r="E151" s="15"/>
      <c r="F151" s="40"/>
      <c r="G151" s="40"/>
      <c r="H151" s="40"/>
      <c r="I151" s="40"/>
      <c r="J151" s="40"/>
      <c r="K151" s="40"/>
      <c r="L151" s="18" t="str">
        <f t="shared" si="48"/>
        <v/>
      </c>
      <c r="M151" s="26">
        <f t="shared" si="49"/>
        <v>0</v>
      </c>
      <c r="N151" s="26">
        <f t="shared" si="50"/>
        <v>0</v>
      </c>
      <c r="O151" s="26">
        <f t="shared" si="51"/>
        <v>0</v>
      </c>
      <c r="P151" s="26">
        <f>IF($U151=0,0,SUMPRODUCT((ABERTURAS!$N$7:$N$26=$U151)*ABERTURAS!$U$7:$U$26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Q151" s="26">
        <f>IF($U151=0,0,SUMPRODUCT((ABERTURAS!$N$7:$N$26=$U151)*ABERTURAS!$V$7:$V$26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R151" s="26">
        <f t="shared" si="52"/>
        <v>0</v>
      </c>
      <c r="S151" s="26">
        <f t="shared" si="53"/>
        <v>0</v>
      </c>
      <c r="T151" s="41">
        <f t="shared" si="54"/>
        <v>0</v>
      </c>
      <c r="U151" s="41">
        <f t="shared" si="55"/>
        <v>0</v>
      </c>
      <c r="V151" s="41">
        <f t="shared" si="56"/>
        <v>0</v>
      </c>
      <c r="W151" s="41">
        <f t="shared" si="57"/>
        <v>0</v>
      </c>
      <c r="X151" s="41">
        <f t="shared" si="58"/>
        <v>0</v>
      </c>
      <c r="Y151" s="41">
        <f t="shared" si="59"/>
        <v>0</v>
      </c>
      <c r="Z151" s="41">
        <f t="shared" si="60"/>
        <v>0</v>
      </c>
      <c r="AA151" s="41">
        <f t="shared" si="61"/>
        <v>0</v>
      </c>
      <c r="AB151" s="26">
        <f>IF($L151&lt;&gt;"OK",0,(INDEX(PRESIONES!$D$28:$D$31,$U151)*IF(INDEX(PRESIONES!$D$28:$D$31,$U151)&gt;0,PRESIONES!$C$9*IF($T151&lt;=10,1,($T151/10)^(2/DATOS!$C$56)),PRESIONES!$C$15)-ABERTURAS!$L$60*PRESIONES!$C$12)*$R151/$M151)</f>
        <v>0</v>
      </c>
      <c r="AC151" s="26">
        <f>IF($L151&lt;&gt;"OK",0,(INDEX(PRESIONES!$G$28:$G$31,$U151)*IF(INDEX(PRESIONES!$G$28:$G$31,$U151)&gt;0,PRESIONES!$C$9*IF($T151&lt;=10,1,($T151/10)^(2/DATOS!$C$56)),PRESIONES!$C$15)-ABERTURAS!$L$61*PRESIONES!$C$12)*$R151/$M151)</f>
        <v>0</v>
      </c>
      <c r="AD151" s="26">
        <f>IF($L151&lt;&gt;"OK",0,(INDEX(PRESIONES!$J$28:$J$31,$U151)*IF(INDEX(PRESIONES!$J$28:$J$31,$U151)&gt;0,PRESIONES!$C$9*IF($T151&lt;=10,1,($T151/10)^(2/DATOS!$C$56)),PRESIONES!$C$15)-ABERTURAS!$L$62*PRESIONES!$C$12)*$R151/$M151)</f>
        <v>0</v>
      </c>
      <c r="AE151" s="26">
        <f>IF($L151&lt;&gt;"OK",0,(INDEX(PRESIONES!$M$28:$M$31,$U151)*IF(INDEX(PRESIONES!$M$28:$M$31,$U151)&gt;0,PRESIONES!$C$9*IF($T151&lt;=10,1,($T151/10)^(2/DATOS!$C$56)),PRESIONES!$C$15)-ABERTURAS!$L$63*PRESIONES!$C$12)*$R151/$M151)</f>
        <v>0</v>
      </c>
      <c r="AF151" s="26">
        <f>IF($L151&lt;&gt;"OK",0,(INDEX(PRESIONES!$D$28:$D$31,$U151)*IF(INDEX(PRESIONES!$D$28:$D$31,$U151)&gt;0,PRESIONES!$C$9*IF($T151&lt;=10,1,($T151/10)^(2/DATOS!$C$56)),PRESIONES!$C$15)-ABERTURAS!$L$64*PRESIONES!$C$12)*$S151/$M151)</f>
        <v>0</v>
      </c>
      <c r="AG151" s="26">
        <f>IF($L151&lt;&gt;"OK",0,(INDEX(PRESIONES!$G$28:$G$31,$U151)*IF(INDEX(PRESIONES!$G$28:$G$31,$U151)&gt;0,PRESIONES!$C$9*IF($T151&lt;=10,1,($T151/10)^(2/DATOS!$C$56)),PRESIONES!$C$15)-ABERTURAS!$L$65*PRESIONES!$C$12)*$S151/$M151)</f>
        <v>0</v>
      </c>
      <c r="AH151" s="26">
        <f>IF($L151&lt;&gt;"OK",0,(INDEX(PRESIONES!$J$28:$J$31,$U151)*IF(INDEX(PRESIONES!$J$28:$J$31,$U151)&gt;0,PRESIONES!$C$9*IF($T151&lt;=10,1,($T151/10)^(2/DATOS!$C$56)),PRESIONES!$C$15)-ABERTURAS!$L$66*PRESIONES!$C$12)*$S151/$M151)</f>
        <v>0</v>
      </c>
      <c r="AI151" s="26">
        <f>IF($L151&lt;&gt;"OK",0,(INDEX(PRESIONES!$M$28:$M$31,$U151)*IF(INDEX(PRESIONES!$M$28:$M$31,$U151)&gt;0,PRESIONES!$C$9*IF($T151&lt;=10,1,($T151/10)^(2/DATOS!$C$56)),PRESIONES!$C$15)-ABERTURAS!$L$67*PRESIONES!$C$12)*$S151/$M151)</f>
        <v>0</v>
      </c>
    </row>
    <row r="152" spans="2:35" ht="15" customHeight="1" x14ac:dyDescent="0.3">
      <c r="B152" s="4"/>
      <c r="C152" s="15"/>
      <c r="D152" s="4"/>
      <c r="E152" s="15"/>
      <c r="F152" s="40"/>
      <c r="G152" s="40"/>
      <c r="H152" s="40"/>
      <c r="I152" s="40"/>
      <c r="J152" s="40"/>
      <c r="K152" s="40"/>
      <c r="L152" s="18" t="str">
        <f t="shared" si="48"/>
        <v/>
      </c>
      <c r="M152" s="26">
        <f t="shared" si="49"/>
        <v>0</v>
      </c>
      <c r="N152" s="26">
        <f t="shared" si="50"/>
        <v>0</v>
      </c>
      <c r="O152" s="26">
        <f t="shared" si="51"/>
        <v>0</v>
      </c>
      <c r="P152" s="26">
        <f>IF($U152=0,0,SUMPRODUCT((ABERTURAS!$N$7:$N$26=$U152)*ABERTURAS!$U$7:$U$26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Q152" s="26">
        <f>IF($U152=0,0,SUMPRODUCT((ABERTURAS!$N$7:$N$26=$U152)*ABERTURAS!$V$7:$V$26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R152" s="26">
        <f t="shared" si="52"/>
        <v>0</v>
      </c>
      <c r="S152" s="26">
        <f t="shared" si="53"/>
        <v>0</v>
      </c>
      <c r="T152" s="41">
        <f t="shared" si="54"/>
        <v>0</v>
      </c>
      <c r="U152" s="41">
        <f t="shared" si="55"/>
        <v>0</v>
      </c>
      <c r="V152" s="41">
        <f t="shared" si="56"/>
        <v>0</v>
      </c>
      <c r="W152" s="41">
        <f t="shared" si="57"/>
        <v>0</v>
      </c>
      <c r="X152" s="41">
        <f t="shared" si="58"/>
        <v>0</v>
      </c>
      <c r="Y152" s="41">
        <f t="shared" si="59"/>
        <v>0</v>
      </c>
      <c r="Z152" s="41">
        <f t="shared" si="60"/>
        <v>0</v>
      </c>
      <c r="AA152" s="41">
        <f t="shared" si="61"/>
        <v>0</v>
      </c>
      <c r="AB152" s="26">
        <f>IF($L152&lt;&gt;"OK",0,(INDEX(PRESIONES!$D$28:$D$31,$U152)*IF(INDEX(PRESIONES!$D$28:$D$31,$U152)&gt;0,PRESIONES!$C$9*IF($T152&lt;=10,1,($T152/10)^(2/DATOS!$C$56)),PRESIONES!$C$15)-ABERTURAS!$L$60*PRESIONES!$C$12)*$R152/$M152)</f>
        <v>0</v>
      </c>
      <c r="AC152" s="26">
        <f>IF($L152&lt;&gt;"OK",0,(INDEX(PRESIONES!$G$28:$G$31,$U152)*IF(INDEX(PRESIONES!$G$28:$G$31,$U152)&gt;0,PRESIONES!$C$9*IF($T152&lt;=10,1,($T152/10)^(2/DATOS!$C$56)),PRESIONES!$C$15)-ABERTURAS!$L$61*PRESIONES!$C$12)*$R152/$M152)</f>
        <v>0</v>
      </c>
      <c r="AD152" s="26">
        <f>IF($L152&lt;&gt;"OK",0,(INDEX(PRESIONES!$J$28:$J$31,$U152)*IF(INDEX(PRESIONES!$J$28:$J$31,$U152)&gt;0,PRESIONES!$C$9*IF($T152&lt;=10,1,($T152/10)^(2/DATOS!$C$56)),PRESIONES!$C$15)-ABERTURAS!$L$62*PRESIONES!$C$12)*$R152/$M152)</f>
        <v>0</v>
      </c>
      <c r="AE152" s="26">
        <f>IF($L152&lt;&gt;"OK",0,(INDEX(PRESIONES!$M$28:$M$31,$U152)*IF(INDEX(PRESIONES!$M$28:$M$31,$U152)&gt;0,PRESIONES!$C$9*IF($T152&lt;=10,1,($T152/10)^(2/DATOS!$C$56)),PRESIONES!$C$15)-ABERTURAS!$L$63*PRESIONES!$C$12)*$R152/$M152)</f>
        <v>0</v>
      </c>
      <c r="AF152" s="26">
        <f>IF($L152&lt;&gt;"OK",0,(INDEX(PRESIONES!$D$28:$D$31,$U152)*IF(INDEX(PRESIONES!$D$28:$D$31,$U152)&gt;0,PRESIONES!$C$9*IF($T152&lt;=10,1,($T152/10)^(2/DATOS!$C$56)),PRESIONES!$C$15)-ABERTURAS!$L$64*PRESIONES!$C$12)*$S152/$M152)</f>
        <v>0</v>
      </c>
      <c r="AG152" s="26">
        <f>IF($L152&lt;&gt;"OK",0,(INDEX(PRESIONES!$G$28:$G$31,$U152)*IF(INDEX(PRESIONES!$G$28:$G$31,$U152)&gt;0,PRESIONES!$C$9*IF($T152&lt;=10,1,($T152/10)^(2/DATOS!$C$56)),PRESIONES!$C$15)-ABERTURAS!$L$65*PRESIONES!$C$12)*$S152/$M152)</f>
        <v>0</v>
      </c>
      <c r="AH152" s="26">
        <f>IF($L152&lt;&gt;"OK",0,(INDEX(PRESIONES!$J$28:$J$31,$U152)*IF(INDEX(PRESIONES!$J$28:$J$31,$U152)&gt;0,PRESIONES!$C$9*IF($T152&lt;=10,1,($T152/10)^(2/DATOS!$C$56)),PRESIONES!$C$15)-ABERTURAS!$L$66*PRESIONES!$C$12)*$S152/$M152)</f>
        <v>0</v>
      </c>
      <c r="AI152" s="26">
        <f>IF($L152&lt;&gt;"OK",0,(INDEX(PRESIONES!$M$28:$M$31,$U152)*IF(INDEX(PRESIONES!$M$28:$M$31,$U152)&gt;0,PRESIONES!$C$9*IF($T152&lt;=10,1,($T152/10)^(2/DATOS!$C$56)),PRESIONES!$C$15)-ABERTURAS!$L$67*PRESIONES!$C$12)*$S152/$M152)</f>
        <v>0</v>
      </c>
    </row>
    <row r="153" spans="2:35" ht="15" customHeight="1" x14ac:dyDescent="0.3">
      <c r="B153" s="4"/>
      <c r="C153" s="15"/>
      <c r="D153" s="4"/>
      <c r="E153" s="15"/>
      <c r="F153" s="40"/>
      <c r="G153" s="40"/>
      <c r="H153" s="40"/>
      <c r="I153" s="40"/>
      <c r="J153" s="40"/>
      <c r="K153" s="40"/>
      <c r="L153" s="18" t="str">
        <f t="shared" si="48"/>
        <v/>
      </c>
      <c r="M153" s="26">
        <f t="shared" si="49"/>
        <v>0</v>
      </c>
      <c r="N153" s="26">
        <f t="shared" si="50"/>
        <v>0</v>
      </c>
      <c r="O153" s="26">
        <f t="shared" si="51"/>
        <v>0</v>
      </c>
      <c r="P153" s="26">
        <f>IF($U153=0,0,SUMPRODUCT((ABERTURAS!$N$7:$N$26=$U153)*ABERTURAS!$U$7:$U$26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Q153" s="26">
        <f>IF($U153=0,0,SUMPRODUCT((ABERTURAS!$N$7:$N$26=$U153)*ABERTURAS!$V$7:$V$26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R153" s="26">
        <f t="shared" si="52"/>
        <v>0</v>
      </c>
      <c r="S153" s="26">
        <f t="shared" si="53"/>
        <v>0</v>
      </c>
      <c r="T153" s="41">
        <f t="shared" si="54"/>
        <v>0</v>
      </c>
      <c r="U153" s="41">
        <f t="shared" si="55"/>
        <v>0</v>
      </c>
      <c r="V153" s="41">
        <f t="shared" si="56"/>
        <v>0</v>
      </c>
      <c r="W153" s="41">
        <f t="shared" si="57"/>
        <v>0</v>
      </c>
      <c r="X153" s="41">
        <f t="shared" si="58"/>
        <v>0</v>
      </c>
      <c r="Y153" s="41">
        <f t="shared" si="59"/>
        <v>0</v>
      </c>
      <c r="Z153" s="41">
        <f t="shared" si="60"/>
        <v>0</v>
      </c>
      <c r="AA153" s="41">
        <f t="shared" si="61"/>
        <v>0</v>
      </c>
      <c r="AB153" s="26">
        <f>IF($L153&lt;&gt;"OK",0,(INDEX(PRESIONES!$D$28:$D$31,$U153)*IF(INDEX(PRESIONES!$D$28:$D$31,$U153)&gt;0,PRESIONES!$C$9*IF($T153&lt;=10,1,($T153/10)^(2/DATOS!$C$56)),PRESIONES!$C$15)-ABERTURAS!$L$60*PRESIONES!$C$12)*$R153/$M153)</f>
        <v>0</v>
      </c>
      <c r="AC153" s="26">
        <f>IF($L153&lt;&gt;"OK",0,(INDEX(PRESIONES!$G$28:$G$31,$U153)*IF(INDEX(PRESIONES!$G$28:$G$31,$U153)&gt;0,PRESIONES!$C$9*IF($T153&lt;=10,1,($T153/10)^(2/DATOS!$C$56)),PRESIONES!$C$15)-ABERTURAS!$L$61*PRESIONES!$C$12)*$R153/$M153)</f>
        <v>0</v>
      </c>
      <c r="AD153" s="26">
        <f>IF($L153&lt;&gt;"OK",0,(INDEX(PRESIONES!$J$28:$J$31,$U153)*IF(INDEX(PRESIONES!$J$28:$J$31,$U153)&gt;0,PRESIONES!$C$9*IF($T153&lt;=10,1,($T153/10)^(2/DATOS!$C$56)),PRESIONES!$C$15)-ABERTURAS!$L$62*PRESIONES!$C$12)*$R153/$M153)</f>
        <v>0</v>
      </c>
      <c r="AE153" s="26">
        <f>IF($L153&lt;&gt;"OK",0,(INDEX(PRESIONES!$M$28:$M$31,$U153)*IF(INDEX(PRESIONES!$M$28:$M$31,$U153)&gt;0,PRESIONES!$C$9*IF($T153&lt;=10,1,($T153/10)^(2/DATOS!$C$56)),PRESIONES!$C$15)-ABERTURAS!$L$63*PRESIONES!$C$12)*$R153/$M153)</f>
        <v>0</v>
      </c>
      <c r="AF153" s="26">
        <f>IF($L153&lt;&gt;"OK",0,(INDEX(PRESIONES!$D$28:$D$31,$U153)*IF(INDEX(PRESIONES!$D$28:$D$31,$U153)&gt;0,PRESIONES!$C$9*IF($T153&lt;=10,1,($T153/10)^(2/DATOS!$C$56)),PRESIONES!$C$15)-ABERTURAS!$L$64*PRESIONES!$C$12)*$S153/$M153)</f>
        <v>0</v>
      </c>
      <c r="AG153" s="26">
        <f>IF($L153&lt;&gt;"OK",0,(INDEX(PRESIONES!$G$28:$G$31,$U153)*IF(INDEX(PRESIONES!$G$28:$G$31,$U153)&gt;0,PRESIONES!$C$9*IF($T153&lt;=10,1,($T153/10)^(2/DATOS!$C$56)),PRESIONES!$C$15)-ABERTURAS!$L$65*PRESIONES!$C$12)*$S153/$M153)</f>
        <v>0</v>
      </c>
      <c r="AH153" s="26">
        <f>IF($L153&lt;&gt;"OK",0,(INDEX(PRESIONES!$J$28:$J$31,$U153)*IF(INDEX(PRESIONES!$J$28:$J$31,$U153)&gt;0,PRESIONES!$C$9*IF($T153&lt;=10,1,($T153/10)^(2/DATOS!$C$56)),PRESIONES!$C$15)-ABERTURAS!$L$66*PRESIONES!$C$12)*$S153/$M153)</f>
        <v>0</v>
      </c>
      <c r="AI153" s="26">
        <f>IF($L153&lt;&gt;"OK",0,(INDEX(PRESIONES!$M$28:$M$31,$U153)*IF(INDEX(PRESIONES!$M$28:$M$31,$U153)&gt;0,PRESIONES!$C$9*IF($T153&lt;=10,1,($T153/10)^(2/DATOS!$C$56)),PRESIONES!$C$15)-ABERTURAS!$L$67*PRESIONES!$C$12)*$S153/$M153)</f>
        <v>0</v>
      </c>
    </row>
    <row r="154" spans="2:35" ht="15" customHeight="1" x14ac:dyDescent="0.3">
      <c r="B154" s="4"/>
      <c r="C154" s="15"/>
      <c r="D154" s="4"/>
      <c r="E154" s="15"/>
      <c r="F154" s="40"/>
      <c r="G154" s="40"/>
      <c r="H154" s="40"/>
      <c r="I154" s="40"/>
      <c r="J154" s="40"/>
      <c r="K154" s="40"/>
      <c r="L154" s="18" t="str">
        <f t="shared" si="48"/>
        <v/>
      </c>
      <c r="M154" s="26">
        <f t="shared" si="49"/>
        <v>0</v>
      </c>
      <c r="N154" s="26">
        <f t="shared" si="50"/>
        <v>0</v>
      </c>
      <c r="O154" s="26">
        <f t="shared" si="51"/>
        <v>0</v>
      </c>
      <c r="P154" s="26">
        <f>IF($U154=0,0,SUMPRODUCT((ABERTURAS!$N$7:$N$26=$U154)*ABERTURAS!$U$7:$U$26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Q154" s="26">
        <f>IF($U154=0,0,SUMPRODUCT((ABERTURAS!$N$7:$N$26=$U154)*ABERTURAS!$V$7:$V$26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R154" s="26">
        <f t="shared" si="52"/>
        <v>0</v>
      </c>
      <c r="S154" s="26">
        <f t="shared" si="53"/>
        <v>0</v>
      </c>
      <c r="T154" s="41">
        <f t="shared" si="54"/>
        <v>0</v>
      </c>
      <c r="U154" s="41">
        <f t="shared" si="55"/>
        <v>0</v>
      </c>
      <c r="V154" s="41">
        <f t="shared" si="56"/>
        <v>0</v>
      </c>
      <c r="W154" s="41">
        <f t="shared" si="57"/>
        <v>0</v>
      </c>
      <c r="X154" s="41">
        <f t="shared" si="58"/>
        <v>0</v>
      </c>
      <c r="Y154" s="41">
        <f t="shared" si="59"/>
        <v>0</v>
      </c>
      <c r="Z154" s="41">
        <f t="shared" si="60"/>
        <v>0</v>
      </c>
      <c r="AA154" s="41">
        <f t="shared" si="61"/>
        <v>0</v>
      </c>
      <c r="AB154" s="26">
        <f>IF($L154&lt;&gt;"OK",0,(INDEX(PRESIONES!$D$28:$D$31,$U154)*IF(INDEX(PRESIONES!$D$28:$D$31,$U154)&gt;0,PRESIONES!$C$9*IF($T154&lt;=10,1,($T154/10)^(2/DATOS!$C$56)),PRESIONES!$C$15)-ABERTURAS!$L$60*PRESIONES!$C$12)*$R154/$M154)</f>
        <v>0</v>
      </c>
      <c r="AC154" s="26">
        <f>IF($L154&lt;&gt;"OK",0,(INDEX(PRESIONES!$G$28:$G$31,$U154)*IF(INDEX(PRESIONES!$G$28:$G$31,$U154)&gt;0,PRESIONES!$C$9*IF($T154&lt;=10,1,($T154/10)^(2/DATOS!$C$56)),PRESIONES!$C$15)-ABERTURAS!$L$61*PRESIONES!$C$12)*$R154/$M154)</f>
        <v>0</v>
      </c>
      <c r="AD154" s="26">
        <f>IF($L154&lt;&gt;"OK",0,(INDEX(PRESIONES!$J$28:$J$31,$U154)*IF(INDEX(PRESIONES!$J$28:$J$31,$U154)&gt;0,PRESIONES!$C$9*IF($T154&lt;=10,1,($T154/10)^(2/DATOS!$C$56)),PRESIONES!$C$15)-ABERTURAS!$L$62*PRESIONES!$C$12)*$R154/$M154)</f>
        <v>0</v>
      </c>
      <c r="AE154" s="26">
        <f>IF($L154&lt;&gt;"OK",0,(INDEX(PRESIONES!$M$28:$M$31,$U154)*IF(INDEX(PRESIONES!$M$28:$M$31,$U154)&gt;0,PRESIONES!$C$9*IF($T154&lt;=10,1,($T154/10)^(2/DATOS!$C$56)),PRESIONES!$C$15)-ABERTURAS!$L$63*PRESIONES!$C$12)*$R154/$M154)</f>
        <v>0</v>
      </c>
      <c r="AF154" s="26">
        <f>IF($L154&lt;&gt;"OK",0,(INDEX(PRESIONES!$D$28:$D$31,$U154)*IF(INDEX(PRESIONES!$D$28:$D$31,$U154)&gt;0,PRESIONES!$C$9*IF($T154&lt;=10,1,($T154/10)^(2/DATOS!$C$56)),PRESIONES!$C$15)-ABERTURAS!$L$64*PRESIONES!$C$12)*$S154/$M154)</f>
        <v>0</v>
      </c>
      <c r="AG154" s="26">
        <f>IF($L154&lt;&gt;"OK",0,(INDEX(PRESIONES!$G$28:$G$31,$U154)*IF(INDEX(PRESIONES!$G$28:$G$31,$U154)&gt;0,PRESIONES!$C$9*IF($T154&lt;=10,1,($T154/10)^(2/DATOS!$C$56)),PRESIONES!$C$15)-ABERTURAS!$L$65*PRESIONES!$C$12)*$S154/$M154)</f>
        <v>0</v>
      </c>
      <c r="AH154" s="26">
        <f>IF($L154&lt;&gt;"OK",0,(INDEX(PRESIONES!$J$28:$J$31,$U154)*IF(INDEX(PRESIONES!$J$28:$J$31,$U154)&gt;0,PRESIONES!$C$9*IF($T154&lt;=10,1,($T154/10)^(2/DATOS!$C$56)),PRESIONES!$C$15)-ABERTURAS!$L$66*PRESIONES!$C$12)*$S154/$M154)</f>
        <v>0</v>
      </c>
      <c r="AI154" s="26">
        <f>IF($L154&lt;&gt;"OK",0,(INDEX(PRESIONES!$M$28:$M$31,$U154)*IF(INDEX(PRESIONES!$M$28:$M$31,$U154)&gt;0,PRESIONES!$C$9*IF($T154&lt;=10,1,($T154/10)^(2/DATOS!$C$56)),PRESIONES!$C$15)-ABERTURAS!$L$67*PRESIONES!$C$12)*$S154/$M154)</f>
        <v>0</v>
      </c>
    </row>
    <row r="155" spans="2:35" ht="15" customHeight="1" x14ac:dyDescent="0.3">
      <c r="B155" s="4"/>
      <c r="C155" s="15"/>
      <c r="D155" s="4"/>
      <c r="E155" s="15"/>
      <c r="F155" s="40"/>
      <c r="G155" s="40"/>
      <c r="H155" s="40"/>
      <c r="I155" s="40"/>
      <c r="J155" s="40"/>
      <c r="K155" s="40"/>
      <c r="L155" s="18" t="str">
        <f t="shared" si="48"/>
        <v/>
      </c>
      <c r="M155" s="26">
        <f t="shared" si="49"/>
        <v>0</v>
      </c>
      <c r="N155" s="26">
        <f t="shared" si="50"/>
        <v>0</v>
      </c>
      <c r="O155" s="26">
        <f t="shared" si="51"/>
        <v>0</v>
      </c>
      <c r="P155" s="26">
        <f>IF($U155=0,0,SUMPRODUCT((ABERTURAS!$N$7:$N$26=$U155)*ABERTURAS!$U$7:$U$26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Q155" s="26">
        <f>IF($U155=0,0,SUMPRODUCT((ABERTURAS!$N$7:$N$26=$U155)*ABERTURAS!$V$7:$V$26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R155" s="26">
        <f t="shared" si="52"/>
        <v>0</v>
      </c>
      <c r="S155" s="26">
        <f t="shared" si="53"/>
        <v>0</v>
      </c>
      <c r="T155" s="41">
        <f t="shared" si="54"/>
        <v>0</v>
      </c>
      <c r="U155" s="41">
        <f t="shared" si="55"/>
        <v>0</v>
      </c>
      <c r="V155" s="41">
        <f t="shared" si="56"/>
        <v>0</v>
      </c>
      <c r="W155" s="41">
        <f t="shared" si="57"/>
        <v>0</v>
      </c>
      <c r="X155" s="41">
        <f t="shared" si="58"/>
        <v>0</v>
      </c>
      <c r="Y155" s="41">
        <f t="shared" si="59"/>
        <v>0</v>
      </c>
      <c r="Z155" s="41">
        <f t="shared" si="60"/>
        <v>0</v>
      </c>
      <c r="AA155" s="41">
        <f t="shared" si="61"/>
        <v>0</v>
      </c>
      <c r="AB155" s="26">
        <f>IF($L155&lt;&gt;"OK",0,(INDEX(PRESIONES!$D$28:$D$31,$U155)*IF(INDEX(PRESIONES!$D$28:$D$31,$U155)&gt;0,PRESIONES!$C$9*IF($T155&lt;=10,1,($T155/10)^(2/DATOS!$C$56)),PRESIONES!$C$15)-ABERTURAS!$L$60*PRESIONES!$C$12)*$R155/$M155)</f>
        <v>0</v>
      </c>
      <c r="AC155" s="26">
        <f>IF($L155&lt;&gt;"OK",0,(INDEX(PRESIONES!$G$28:$G$31,$U155)*IF(INDEX(PRESIONES!$G$28:$G$31,$U155)&gt;0,PRESIONES!$C$9*IF($T155&lt;=10,1,($T155/10)^(2/DATOS!$C$56)),PRESIONES!$C$15)-ABERTURAS!$L$61*PRESIONES!$C$12)*$R155/$M155)</f>
        <v>0</v>
      </c>
      <c r="AD155" s="26">
        <f>IF($L155&lt;&gt;"OK",0,(INDEX(PRESIONES!$J$28:$J$31,$U155)*IF(INDEX(PRESIONES!$J$28:$J$31,$U155)&gt;0,PRESIONES!$C$9*IF($T155&lt;=10,1,($T155/10)^(2/DATOS!$C$56)),PRESIONES!$C$15)-ABERTURAS!$L$62*PRESIONES!$C$12)*$R155/$M155)</f>
        <v>0</v>
      </c>
      <c r="AE155" s="26">
        <f>IF($L155&lt;&gt;"OK",0,(INDEX(PRESIONES!$M$28:$M$31,$U155)*IF(INDEX(PRESIONES!$M$28:$M$31,$U155)&gt;0,PRESIONES!$C$9*IF($T155&lt;=10,1,($T155/10)^(2/DATOS!$C$56)),PRESIONES!$C$15)-ABERTURAS!$L$63*PRESIONES!$C$12)*$R155/$M155)</f>
        <v>0</v>
      </c>
      <c r="AF155" s="26">
        <f>IF($L155&lt;&gt;"OK",0,(INDEX(PRESIONES!$D$28:$D$31,$U155)*IF(INDEX(PRESIONES!$D$28:$D$31,$U155)&gt;0,PRESIONES!$C$9*IF($T155&lt;=10,1,($T155/10)^(2/DATOS!$C$56)),PRESIONES!$C$15)-ABERTURAS!$L$64*PRESIONES!$C$12)*$S155/$M155)</f>
        <v>0</v>
      </c>
      <c r="AG155" s="26">
        <f>IF($L155&lt;&gt;"OK",0,(INDEX(PRESIONES!$G$28:$G$31,$U155)*IF(INDEX(PRESIONES!$G$28:$G$31,$U155)&gt;0,PRESIONES!$C$9*IF($T155&lt;=10,1,($T155/10)^(2/DATOS!$C$56)),PRESIONES!$C$15)-ABERTURAS!$L$65*PRESIONES!$C$12)*$S155/$M155)</f>
        <v>0</v>
      </c>
      <c r="AH155" s="26">
        <f>IF($L155&lt;&gt;"OK",0,(INDEX(PRESIONES!$J$28:$J$31,$U155)*IF(INDEX(PRESIONES!$J$28:$J$31,$U155)&gt;0,PRESIONES!$C$9*IF($T155&lt;=10,1,($T155/10)^(2/DATOS!$C$56)),PRESIONES!$C$15)-ABERTURAS!$L$66*PRESIONES!$C$12)*$S155/$M155)</f>
        <v>0</v>
      </c>
      <c r="AI155" s="26">
        <f>IF($L155&lt;&gt;"OK",0,(INDEX(PRESIONES!$M$28:$M$31,$U155)*IF(INDEX(PRESIONES!$M$28:$M$31,$U155)&gt;0,PRESIONES!$C$9*IF($T155&lt;=10,1,($T155/10)^(2/DATOS!$C$56)),PRESIONES!$C$15)-ABERTURAS!$L$67*PRESIONES!$C$12)*$S155/$M155)</f>
        <v>0</v>
      </c>
    </row>
    <row r="156" spans="2:35" ht="15" customHeight="1" x14ac:dyDescent="0.3">
      <c r="B156" s="4"/>
      <c r="C156" s="15"/>
      <c r="D156" s="4"/>
      <c r="E156" s="15"/>
      <c r="F156" s="40"/>
      <c r="G156" s="40"/>
      <c r="H156" s="40"/>
      <c r="I156" s="40"/>
      <c r="J156" s="40"/>
      <c r="K156" s="40"/>
      <c r="L156" s="18" t="str">
        <f t="shared" si="48"/>
        <v/>
      </c>
      <c r="M156" s="26">
        <f t="shared" si="49"/>
        <v>0</v>
      </c>
      <c r="N156" s="26">
        <f t="shared" si="50"/>
        <v>0</v>
      </c>
      <c r="O156" s="26">
        <f t="shared" si="51"/>
        <v>0</v>
      </c>
      <c r="P156" s="26">
        <f>IF($U156=0,0,SUMPRODUCT((ABERTURAS!$N$7:$N$26=$U156)*ABERTURAS!$U$7:$U$26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Q156" s="26">
        <f>IF($U156=0,0,SUMPRODUCT((ABERTURAS!$N$7:$N$26=$U156)*ABERTURAS!$V$7:$V$26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R156" s="26">
        <f t="shared" si="52"/>
        <v>0</v>
      </c>
      <c r="S156" s="26">
        <f t="shared" si="53"/>
        <v>0</v>
      </c>
      <c r="T156" s="41">
        <f t="shared" si="54"/>
        <v>0</v>
      </c>
      <c r="U156" s="41">
        <f t="shared" si="55"/>
        <v>0</v>
      </c>
      <c r="V156" s="41">
        <f t="shared" si="56"/>
        <v>0</v>
      </c>
      <c r="W156" s="41">
        <f t="shared" si="57"/>
        <v>0</v>
      </c>
      <c r="X156" s="41">
        <f t="shared" si="58"/>
        <v>0</v>
      </c>
      <c r="Y156" s="41">
        <f t="shared" si="59"/>
        <v>0</v>
      </c>
      <c r="Z156" s="41">
        <f t="shared" si="60"/>
        <v>0</v>
      </c>
      <c r="AA156" s="41">
        <f t="shared" si="61"/>
        <v>0</v>
      </c>
      <c r="AB156" s="26">
        <f>IF($L156&lt;&gt;"OK",0,(INDEX(PRESIONES!$D$28:$D$31,$U156)*IF(INDEX(PRESIONES!$D$28:$D$31,$U156)&gt;0,PRESIONES!$C$9*IF($T156&lt;=10,1,($T156/10)^(2/DATOS!$C$56)),PRESIONES!$C$15)-ABERTURAS!$L$60*PRESIONES!$C$12)*$R156/$M156)</f>
        <v>0</v>
      </c>
      <c r="AC156" s="26">
        <f>IF($L156&lt;&gt;"OK",0,(INDEX(PRESIONES!$G$28:$G$31,$U156)*IF(INDEX(PRESIONES!$G$28:$G$31,$U156)&gt;0,PRESIONES!$C$9*IF($T156&lt;=10,1,($T156/10)^(2/DATOS!$C$56)),PRESIONES!$C$15)-ABERTURAS!$L$61*PRESIONES!$C$12)*$R156/$M156)</f>
        <v>0</v>
      </c>
      <c r="AD156" s="26">
        <f>IF($L156&lt;&gt;"OK",0,(INDEX(PRESIONES!$J$28:$J$31,$U156)*IF(INDEX(PRESIONES!$J$28:$J$31,$U156)&gt;0,PRESIONES!$C$9*IF($T156&lt;=10,1,($T156/10)^(2/DATOS!$C$56)),PRESIONES!$C$15)-ABERTURAS!$L$62*PRESIONES!$C$12)*$R156/$M156)</f>
        <v>0</v>
      </c>
      <c r="AE156" s="26">
        <f>IF($L156&lt;&gt;"OK",0,(INDEX(PRESIONES!$M$28:$M$31,$U156)*IF(INDEX(PRESIONES!$M$28:$M$31,$U156)&gt;0,PRESIONES!$C$9*IF($T156&lt;=10,1,($T156/10)^(2/DATOS!$C$56)),PRESIONES!$C$15)-ABERTURAS!$L$63*PRESIONES!$C$12)*$R156/$M156)</f>
        <v>0</v>
      </c>
      <c r="AF156" s="26">
        <f>IF($L156&lt;&gt;"OK",0,(INDEX(PRESIONES!$D$28:$D$31,$U156)*IF(INDEX(PRESIONES!$D$28:$D$31,$U156)&gt;0,PRESIONES!$C$9*IF($T156&lt;=10,1,($T156/10)^(2/DATOS!$C$56)),PRESIONES!$C$15)-ABERTURAS!$L$64*PRESIONES!$C$12)*$S156/$M156)</f>
        <v>0</v>
      </c>
      <c r="AG156" s="26">
        <f>IF($L156&lt;&gt;"OK",0,(INDEX(PRESIONES!$G$28:$G$31,$U156)*IF(INDEX(PRESIONES!$G$28:$G$31,$U156)&gt;0,PRESIONES!$C$9*IF($T156&lt;=10,1,($T156/10)^(2/DATOS!$C$56)),PRESIONES!$C$15)-ABERTURAS!$L$65*PRESIONES!$C$12)*$S156/$M156)</f>
        <v>0</v>
      </c>
      <c r="AH156" s="26">
        <f>IF($L156&lt;&gt;"OK",0,(INDEX(PRESIONES!$J$28:$J$31,$U156)*IF(INDEX(PRESIONES!$J$28:$J$31,$U156)&gt;0,PRESIONES!$C$9*IF($T156&lt;=10,1,($T156/10)^(2/DATOS!$C$56)),PRESIONES!$C$15)-ABERTURAS!$L$66*PRESIONES!$C$12)*$S156/$M156)</f>
        <v>0</v>
      </c>
      <c r="AI156" s="26">
        <f>IF($L156&lt;&gt;"OK",0,(INDEX(PRESIONES!$M$28:$M$31,$U156)*IF(INDEX(PRESIONES!$M$28:$M$31,$U156)&gt;0,PRESIONES!$C$9*IF($T156&lt;=10,1,($T156/10)^(2/DATOS!$C$56)),PRESIONES!$C$15)-ABERTURAS!$L$67*PRESIONES!$C$12)*$S156/$M156)</f>
        <v>0</v>
      </c>
    </row>
    <row r="157" spans="2:35" ht="15" customHeight="1" x14ac:dyDescent="0.3">
      <c r="B157" s="4"/>
      <c r="C157" s="15"/>
      <c r="D157" s="4"/>
      <c r="E157" s="15"/>
      <c r="F157" s="40"/>
      <c r="G157" s="40"/>
      <c r="H157" s="40"/>
      <c r="I157" s="40"/>
      <c r="J157" s="40"/>
      <c r="K157" s="40"/>
      <c r="L157" s="18" t="str">
        <f t="shared" si="48"/>
        <v/>
      </c>
      <c r="M157" s="26">
        <f t="shared" si="49"/>
        <v>0</v>
      </c>
      <c r="N157" s="26">
        <f t="shared" si="50"/>
        <v>0</v>
      </c>
      <c r="O157" s="26">
        <f t="shared" si="51"/>
        <v>0</v>
      </c>
      <c r="P157" s="26">
        <f>IF($U157=0,0,SUMPRODUCT((ABERTURAS!$N$7:$N$26=$U157)*ABERTURAS!$U$7:$U$26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Q157" s="26">
        <f>IF($U157=0,0,SUMPRODUCT((ABERTURAS!$N$7:$N$26=$U157)*ABERTURAS!$V$7:$V$26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R157" s="26">
        <f t="shared" si="52"/>
        <v>0</v>
      </c>
      <c r="S157" s="26">
        <f t="shared" si="53"/>
        <v>0</v>
      </c>
      <c r="T157" s="41">
        <f t="shared" si="54"/>
        <v>0</v>
      </c>
      <c r="U157" s="41">
        <f t="shared" si="55"/>
        <v>0</v>
      </c>
      <c r="V157" s="41">
        <f t="shared" si="56"/>
        <v>0</v>
      </c>
      <c r="W157" s="41">
        <f t="shared" si="57"/>
        <v>0</v>
      </c>
      <c r="X157" s="41">
        <f t="shared" si="58"/>
        <v>0</v>
      </c>
      <c r="Y157" s="41">
        <f t="shared" si="59"/>
        <v>0</v>
      </c>
      <c r="Z157" s="41">
        <f t="shared" si="60"/>
        <v>0</v>
      </c>
      <c r="AA157" s="41">
        <f t="shared" si="61"/>
        <v>0</v>
      </c>
      <c r="AB157" s="26">
        <f>IF($L157&lt;&gt;"OK",0,(INDEX(PRESIONES!$D$28:$D$31,$U157)*IF(INDEX(PRESIONES!$D$28:$D$31,$U157)&gt;0,PRESIONES!$C$9*IF($T157&lt;=10,1,($T157/10)^(2/DATOS!$C$56)),PRESIONES!$C$15)-ABERTURAS!$L$60*PRESIONES!$C$12)*$R157/$M157)</f>
        <v>0</v>
      </c>
      <c r="AC157" s="26">
        <f>IF($L157&lt;&gt;"OK",0,(INDEX(PRESIONES!$G$28:$G$31,$U157)*IF(INDEX(PRESIONES!$G$28:$G$31,$U157)&gt;0,PRESIONES!$C$9*IF($T157&lt;=10,1,($T157/10)^(2/DATOS!$C$56)),PRESIONES!$C$15)-ABERTURAS!$L$61*PRESIONES!$C$12)*$R157/$M157)</f>
        <v>0</v>
      </c>
      <c r="AD157" s="26">
        <f>IF($L157&lt;&gt;"OK",0,(INDEX(PRESIONES!$J$28:$J$31,$U157)*IF(INDEX(PRESIONES!$J$28:$J$31,$U157)&gt;0,PRESIONES!$C$9*IF($T157&lt;=10,1,($T157/10)^(2/DATOS!$C$56)),PRESIONES!$C$15)-ABERTURAS!$L$62*PRESIONES!$C$12)*$R157/$M157)</f>
        <v>0</v>
      </c>
      <c r="AE157" s="26">
        <f>IF($L157&lt;&gt;"OK",0,(INDEX(PRESIONES!$M$28:$M$31,$U157)*IF(INDEX(PRESIONES!$M$28:$M$31,$U157)&gt;0,PRESIONES!$C$9*IF($T157&lt;=10,1,($T157/10)^(2/DATOS!$C$56)),PRESIONES!$C$15)-ABERTURAS!$L$63*PRESIONES!$C$12)*$R157/$M157)</f>
        <v>0</v>
      </c>
      <c r="AF157" s="26">
        <f>IF($L157&lt;&gt;"OK",0,(INDEX(PRESIONES!$D$28:$D$31,$U157)*IF(INDEX(PRESIONES!$D$28:$D$31,$U157)&gt;0,PRESIONES!$C$9*IF($T157&lt;=10,1,($T157/10)^(2/DATOS!$C$56)),PRESIONES!$C$15)-ABERTURAS!$L$64*PRESIONES!$C$12)*$S157/$M157)</f>
        <v>0</v>
      </c>
      <c r="AG157" s="26">
        <f>IF($L157&lt;&gt;"OK",0,(INDEX(PRESIONES!$G$28:$G$31,$U157)*IF(INDEX(PRESIONES!$G$28:$G$31,$U157)&gt;0,PRESIONES!$C$9*IF($T157&lt;=10,1,($T157/10)^(2/DATOS!$C$56)),PRESIONES!$C$15)-ABERTURAS!$L$65*PRESIONES!$C$12)*$S157/$M157)</f>
        <v>0</v>
      </c>
      <c r="AH157" s="26">
        <f>IF($L157&lt;&gt;"OK",0,(INDEX(PRESIONES!$J$28:$J$31,$U157)*IF(INDEX(PRESIONES!$J$28:$J$31,$U157)&gt;0,PRESIONES!$C$9*IF($T157&lt;=10,1,($T157/10)^(2/DATOS!$C$56)),PRESIONES!$C$15)-ABERTURAS!$L$66*PRESIONES!$C$12)*$S157/$M157)</f>
        <v>0</v>
      </c>
      <c r="AI157" s="26">
        <f>IF($L157&lt;&gt;"OK",0,(INDEX(PRESIONES!$M$28:$M$31,$U157)*IF(INDEX(PRESIONES!$M$28:$M$31,$U157)&gt;0,PRESIONES!$C$9*IF($T157&lt;=10,1,($T157/10)^(2/DATOS!$C$56)),PRESIONES!$C$15)-ABERTURAS!$L$67*PRESIONES!$C$12)*$S157/$M157)</f>
        <v>0</v>
      </c>
    </row>
    <row r="158" spans="2:35" ht="15" customHeight="1" x14ac:dyDescent="0.3">
      <c r="B158" s="4"/>
      <c r="C158" s="15"/>
      <c r="D158" s="4"/>
      <c r="E158" s="15"/>
      <c r="F158" s="40"/>
      <c r="G158" s="40"/>
      <c r="H158" s="40"/>
      <c r="I158" s="40"/>
      <c r="J158" s="40"/>
      <c r="K158" s="40"/>
      <c r="L158" s="18" t="str">
        <f t="shared" si="48"/>
        <v/>
      </c>
      <c r="M158" s="26">
        <f t="shared" si="49"/>
        <v>0</v>
      </c>
      <c r="N158" s="26">
        <f t="shared" si="50"/>
        <v>0</v>
      </c>
      <c r="O158" s="26">
        <f t="shared" si="51"/>
        <v>0</v>
      </c>
      <c r="P158" s="26">
        <f>IF($U158=0,0,SUMPRODUCT((ABERTURAS!$N$7:$N$26=$U158)*ABERTURAS!$U$7:$U$26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Q158" s="26">
        <f>IF($U158=0,0,SUMPRODUCT((ABERTURAS!$N$7:$N$26=$U158)*ABERTURAS!$V$7:$V$26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R158" s="26">
        <f t="shared" si="52"/>
        <v>0</v>
      </c>
      <c r="S158" s="26">
        <f t="shared" si="53"/>
        <v>0</v>
      </c>
      <c r="T158" s="41">
        <f t="shared" si="54"/>
        <v>0</v>
      </c>
      <c r="U158" s="41">
        <f t="shared" si="55"/>
        <v>0</v>
      </c>
      <c r="V158" s="41">
        <f t="shared" si="56"/>
        <v>0</v>
      </c>
      <c r="W158" s="41">
        <f t="shared" si="57"/>
        <v>0</v>
      </c>
      <c r="X158" s="41">
        <f t="shared" si="58"/>
        <v>0</v>
      </c>
      <c r="Y158" s="41">
        <f t="shared" si="59"/>
        <v>0</v>
      </c>
      <c r="Z158" s="41">
        <f t="shared" si="60"/>
        <v>0</v>
      </c>
      <c r="AA158" s="41">
        <f t="shared" si="61"/>
        <v>0</v>
      </c>
      <c r="AB158" s="26">
        <f>IF($L158&lt;&gt;"OK",0,(INDEX(PRESIONES!$D$28:$D$31,$U158)*IF(INDEX(PRESIONES!$D$28:$D$31,$U158)&gt;0,PRESIONES!$C$9*IF($T158&lt;=10,1,($T158/10)^(2/DATOS!$C$56)),PRESIONES!$C$15)-ABERTURAS!$L$60*PRESIONES!$C$12)*$R158/$M158)</f>
        <v>0</v>
      </c>
      <c r="AC158" s="26">
        <f>IF($L158&lt;&gt;"OK",0,(INDEX(PRESIONES!$G$28:$G$31,$U158)*IF(INDEX(PRESIONES!$G$28:$G$31,$U158)&gt;0,PRESIONES!$C$9*IF($T158&lt;=10,1,($T158/10)^(2/DATOS!$C$56)),PRESIONES!$C$15)-ABERTURAS!$L$61*PRESIONES!$C$12)*$R158/$M158)</f>
        <v>0</v>
      </c>
      <c r="AD158" s="26">
        <f>IF($L158&lt;&gt;"OK",0,(INDEX(PRESIONES!$J$28:$J$31,$U158)*IF(INDEX(PRESIONES!$J$28:$J$31,$U158)&gt;0,PRESIONES!$C$9*IF($T158&lt;=10,1,($T158/10)^(2/DATOS!$C$56)),PRESIONES!$C$15)-ABERTURAS!$L$62*PRESIONES!$C$12)*$R158/$M158)</f>
        <v>0</v>
      </c>
      <c r="AE158" s="26">
        <f>IF($L158&lt;&gt;"OK",0,(INDEX(PRESIONES!$M$28:$M$31,$U158)*IF(INDEX(PRESIONES!$M$28:$M$31,$U158)&gt;0,PRESIONES!$C$9*IF($T158&lt;=10,1,($T158/10)^(2/DATOS!$C$56)),PRESIONES!$C$15)-ABERTURAS!$L$63*PRESIONES!$C$12)*$R158/$M158)</f>
        <v>0</v>
      </c>
      <c r="AF158" s="26">
        <f>IF($L158&lt;&gt;"OK",0,(INDEX(PRESIONES!$D$28:$D$31,$U158)*IF(INDEX(PRESIONES!$D$28:$D$31,$U158)&gt;0,PRESIONES!$C$9*IF($T158&lt;=10,1,($T158/10)^(2/DATOS!$C$56)),PRESIONES!$C$15)-ABERTURAS!$L$64*PRESIONES!$C$12)*$S158/$M158)</f>
        <v>0</v>
      </c>
      <c r="AG158" s="26">
        <f>IF($L158&lt;&gt;"OK",0,(INDEX(PRESIONES!$G$28:$G$31,$U158)*IF(INDEX(PRESIONES!$G$28:$G$31,$U158)&gt;0,PRESIONES!$C$9*IF($T158&lt;=10,1,($T158/10)^(2/DATOS!$C$56)),PRESIONES!$C$15)-ABERTURAS!$L$65*PRESIONES!$C$12)*$S158/$M158)</f>
        <v>0</v>
      </c>
      <c r="AH158" s="26">
        <f>IF($L158&lt;&gt;"OK",0,(INDEX(PRESIONES!$J$28:$J$31,$U158)*IF(INDEX(PRESIONES!$J$28:$J$31,$U158)&gt;0,PRESIONES!$C$9*IF($T158&lt;=10,1,($T158/10)^(2/DATOS!$C$56)),PRESIONES!$C$15)-ABERTURAS!$L$66*PRESIONES!$C$12)*$S158/$M158)</f>
        <v>0</v>
      </c>
      <c r="AI158" s="26">
        <f>IF($L158&lt;&gt;"OK",0,(INDEX(PRESIONES!$M$28:$M$31,$U158)*IF(INDEX(PRESIONES!$M$28:$M$31,$U158)&gt;0,PRESIONES!$C$9*IF($T158&lt;=10,1,($T158/10)^(2/DATOS!$C$56)),PRESIONES!$C$15)-ABERTURAS!$L$67*PRESIONES!$C$12)*$S158/$M158)</f>
        <v>0</v>
      </c>
    </row>
    <row r="159" spans="2:35" ht="15" customHeight="1" x14ac:dyDescent="0.3">
      <c r="B159" s="4"/>
      <c r="C159" s="15"/>
      <c r="D159" s="4"/>
      <c r="E159" s="15"/>
      <c r="F159" s="40"/>
      <c r="G159" s="40"/>
      <c r="H159" s="40"/>
      <c r="I159" s="40"/>
      <c r="J159" s="40"/>
      <c r="K159" s="40"/>
      <c r="L159" s="18" t="str">
        <f t="shared" si="48"/>
        <v/>
      </c>
      <c r="M159" s="26">
        <f t="shared" si="49"/>
        <v>0</v>
      </c>
      <c r="N159" s="26">
        <f t="shared" si="50"/>
        <v>0</v>
      </c>
      <c r="O159" s="26">
        <f t="shared" si="51"/>
        <v>0</v>
      </c>
      <c r="P159" s="26">
        <f>IF($U159=0,0,SUMPRODUCT((ABERTURAS!$N$7:$N$26=$U159)*ABERTURAS!$U$7:$U$26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Q159" s="26">
        <f>IF($U159=0,0,SUMPRODUCT((ABERTURAS!$N$7:$N$26=$U159)*ABERTURAS!$V$7:$V$26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R159" s="26">
        <f t="shared" si="52"/>
        <v>0</v>
      </c>
      <c r="S159" s="26">
        <f t="shared" si="53"/>
        <v>0</v>
      </c>
      <c r="T159" s="41">
        <f t="shared" si="54"/>
        <v>0</v>
      </c>
      <c r="U159" s="41">
        <f t="shared" si="55"/>
        <v>0</v>
      </c>
      <c r="V159" s="41">
        <f t="shared" si="56"/>
        <v>0</v>
      </c>
      <c r="W159" s="41">
        <f t="shared" si="57"/>
        <v>0</v>
      </c>
      <c r="X159" s="41">
        <f t="shared" si="58"/>
        <v>0</v>
      </c>
      <c r="Y159" s="41">
        <f t="shared" si="59"/>
        <v>0</v>
      </c>
      <c r="Z159" s="41">
        <f t="shared" si="60"/>
        <v>0</v>
      </c>
      <c r="AA159" s="41">
        <f t="shared" si="61"/>
        <v>0</v>
      </c>
      <c r="AB159" s="26">
        <f>IF($L159&lt;&gt;"OK",0,(INDEX(PRESIONES!$D$28:$D$31,$U159)*IF(INDEX(PRESIONES!$D$28:$D$31,$U159)&gt;0,PRESIONES!$C$9*IF($T159&lt;=10,1,($T159/10)^(2/DATOS!$C$56)),PRESIONES!$C$15)-ABERTURAS!$L$60*PRESIONES!$C$12)*$R159/$M159)</f>
        <v>0</v>
      </c>
      <c r="AC159" s="26">
        <f>IF($L159&lt;&gt;"OK",0,(INDEX(PRESIONES!$G$28:$G$31,$U159)*IF(INDEX(PRESIONES!$G$28:$G$31,$U159)&gt;0,PRESIONES!$C$9*IF($T159&lt;=10,1,($T159/10)^(2/DATOS!$C$56)),PRESIONES!$C$15)-ABERTURAS!$L$61*PRESIONES!$C$12)*$R159/$M159)</f>
        <v>0</v>
      </c>
      <c r="AD159" s="26">
        <f>IF($L159&lt;&gt;"OK",0,(INDEX(PRESIONES!$J$28:$J$31,$U159)*IF(INDEX(PRESIONES!$J$28:$J$31,$U159)&gt;0,PRESIONES!$C$9*IF($T159&lt;=10,1,($T159/10)^(2/DATOS!$C$56)),PRESIONES!$C$15)-ABERTURAS!$L$62*PRESIONES!$C$12)*$R159/$M159)</f>
        <v>0</v>
      </c>
      <c r="AE159" s="26">
        <f>IF($L159&lt;&gt;"OK",0,(INDEX(PRESIONES!$M$28:$M$31,$U159)*IF(INDEX(PRESIONES!$M$28:$M$31,$U159)&gt;0,PRESIONES!$C$9*IF($T159&lt;=10,1,($T159/10)^(2/DATOS!$C$56)),PRESIONES!$C$15)-ABERTURAS!$L$63*PRESIONES!$C$12)*$R159/$M159)</f>
        <v>0</v>
      </c>
      <c r="AF159" s="26">
        <f>IF($L159&lt;&gt;"OK",0,(INDEX(PRESIONES!$D$28:$D$31,$U159)*IF(INDEX(PRESIONES!$D$28:$D$31,$U159)&gt;0,PRESIONES!$C$9*IF($T159&lt;=10,1,($T159/10)^(2/DATOS!$C$56)),PRESIONES!$C$15)-ABERTURAS!$L$64*PRESIONES!$C$12)*$S159/$M159)</f>
        <v>0</v>
      </c>
      <c r="AG159" s="26">
        <f>IF($L159&lt;&gt;"OK",0,(INDEX(PRESIONES!$G$28:$G$31,$U159)*IF(INDEX(PRESIONES!$G$28:$G$31,$U159)&gt;0,PRESIONES!$C$9*IF($T159&lt;=10,1,($T159/10)^(2/DATOS!$C$56)),PRESIONES!$C$15)-ABERTURAS!$L$65*PRESIONES!$C$12)*$S159/$M159)</f>
        <v>0</v>
      </c>
      <c r="AH159" s="26">
        <f>IF($L159&lt;&gt;"OK",0,(INDEX(PRESIONES!$J$28:$J$31,$U159)*IF(INDEX(PRESIONES!$J$28:$J$31,$U159)&gt;0,PRESIONES!$C$9*IF($T159&lt;=10,1,($T159/10)^(2/DATOS!$C$56)),PRESIONES!$C$15)-ABERTURAS!$L$66*PRESIONES!$C$12)*$S159/$M159)</f>
        <v>0</v>
      </c>
      <c r="AI159" s="26">
        <f>IF($L159&lt;&gt;"OK",0,(INDEX(PRESIONES!$M$28:$M$31,$U159)*IF(INDEX(PRESIONES!$M$28:$M$31,$U159)&gt;0,PRESIONES!$C$9*IF($T159&lt;=10,1,($T159/10)^(2/DATOS!$C$56)),PRESIONES!$C$15)-ABERTURAS!$L$67*PRESIONES!$C$12)*$S159/$M159)</f>
        <v>0</v>
      </c>
    </row>
    <row r="160" spans="2:35" ht="15" customHeight="1" x14ac:dyDescent="0.3">
      <c r="B160" s="4"/>
      <c r="C160" s="15"/>
      <c r="D160" s="4"/>
      <c r="E160" s="15"/>
      <c r="F160" s="40"/>
      <c r="G160" s="40"/>
      <c r="H160" s="40"/>
      <c r="I160" s="40"/>
      <c r="J160" s="40"/>
      <c r="K160" s="40"/>
      <c r="L160" s="18" t="str">
        <f t="shared" si="48"/>
        <v/>
      </c>
      <c r="M160" s="26">
        <f t="shared" si="49"/>
        <v>0</v>
      </c>
      <c r="N160" s="26">
        <f t="shared" si="50"/>
        <v>0</v>
      </c>
      <c r="O160" s="26">
        <f t="shared" si="51"/>
        <v>0</v>
      </c>
      <c r="P160" s="26">
        <f>IF($U160=0,0,SUMPRODUCT((ABERTURAS!$N$7:$N$26=$U160)*ABERTURAS!$U$7:$U$26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Q160" s="26">
        <f>IF($U160=0,0,SUMPRODUCT((ABERTURAS!$N$7:$N$26=$U160)*ABERTURAS!$V$7:$V$26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R160" s="26">
        <f t="shared" si="52"/>
        <v>0</v>
      </c>
      <c r="S160" s="26">
        <f t="shared" si="53"/>
        <v>0</v>
      </c>
      <c r="T160" s="41">
        <f t="shared" si="54"/>
        <v>0</v>
      </c>
      <c r="U160" s="41">
        <f t="shared" si="55"/>
        <v>0</v>
      </c>
      <c r="V160" s="41">
        <f t="shared" si="56"/>
        <v>0</v>
      </c>
      <c r="W160" s="41">
        <f t="shared" si="57"/>
        <v>0</v>
      </c>
      <c r="X160" s="41">
        <f t="shared" si="58"/>
        <v>0</v>
      </c>
      <c r="Y160" s="41">
        <f t="shared" si="59"/>
        <v>0</v>
      </c>
      <c r="Z160" s="41">
        <f t="shared" si="60"/>
        <v>0</v>
      </c>
      <c r="AA160" s="41">
        <f t="shared" si="61"/>
        <v>0</v>
      </c>
      <c r="AB160" s="26">
        <f>IF($L160&lt;&gt;"OK",0,(INDEX(PRESIONES!$D$28:$D$31,$U160)*IF(INDEX(PRESIONES!$D$28:$D$31,$U160)&gt;0,PRESIONES!$C$9*IF($T160&lt;=10,1,($T160/10)^(2/DATOS!$C$56)),PRESIONES!$C$15)-ABERTURAS!$L$60*PRESIONES!$C$12)*$R160/$M160)</f>
        <v>0</v>
      </c>
      <c r="AC160" s="26">
        <f>IF($L160&lt;&gt;"OK",0,(INDEX(PRESIONES!$G$28:$G$31,$U160)*IF(INDEX(PRESIONES!$G$28:$G$31,$U160)&gt;0,PRESIONES!$C$9*IF($T160&lt;=10,1,($T160/10)^(2/DATOS!$C$56)),PRESIONES!$C$15)-ABERTURAS!$L$61*PRESIONES!$C$12)*$R160/$M160)</f>
        <v>0</v>
      </c>
      <c r="AD160" s="26">
        <f>IF($L160&lt;&gt;"OK",0,(INDEX(PRESIONES!$J$28:$J$31,$U160)*IF(INDEX(PRESIONES!$J$28:$J$31,$U160)&gt;0,PRESIONES!$C$9*IF($T160&lt;=10,1,($T160/10)^(2/DATOS!$C$56)),PRESIONES!$C$15)-ABERTURAS!$L$62*PRESIONES!$C$12)*$R160/$M160)</f>
        <v>0</v>
      </c>
      <c r="AE160" s="26">
        <f>IF($L160&lt;&gt;"OK",0,(INDEX(PRESIONES!$M$28:$M$31,$U160)*IF(INDEX(PRESIONES!$M$28:$M$31,$U160)&gt;0,PRESIONES!$C$9*IF($T160&lt;=10,1,($T160/10)^(2/DATOS!$C$56)),PRESIONES!$C$15)-ABERTURAS!$L$63*PRESIONES!$C$12)*$R160/$M160)</f>
        <v>0</v>
      </c>
      <c r="AF160" s="26">
        <f>IF($L160&lt;&gt;"OK",0,(INDEX(PRESIONES!$D$28:$D$31,$U160)*IF(INDEX(PRESIONES!$D$28:$D$31,$U160)&gt;0,PRESIONES!$C$9*IF($T160&lt;=10,1,($T160/10)^(2/DATOS!$C$56)),PRESIONES!$C$15)-ABERTURAS!$L$64*PRESIONES!$C$12)*$S160/$M160)</f>
        <v>0</v>
      </c>
      <c r="AG160" s="26">
        <f>IF($L160&lt;&gt;"OK",0,(INDEX(PRESIONES!$G$28:$G$31,$U160)*IF(INDEX(PRESIONES!$G$28:$G$31,$U160)&gt;0,PRESIONES!$C$9*IF($T160&lt;=10,1,($T160/10)^(2/DATOS!$C$56)),PRESIONES!$C$15)-ABERTURAS!$L$65*PRESIONES!$C$12)*$S160/$M160)</f>
        <v>0</v>
      </c>
      <c r="AH160" s="26">
        <f>IF($L160&lt;&gt;"OK",0,(INDEX(PRESIONES!$J$28:$J$31,$U160)*IF(INDEX(PRESIONES!$J$28:$J$31,$U160)&gt;0,PRESIONES!$C$9*IF($T160&lt;=10,1,($T160/10)^(2/DATOS!$C$56)),PRESIONES!$C$15)-ABERTURAS!$L$66*PRESIONES!$C$12)*$S160/$M160)</f>
        <v>0</v>
      </c>
      <c r="AI160" s="26">
        <f>IF($L160&lt;&gt;"OK",0,(INDEX(PRESIONES!$M$28:$M$31,$U160)*IF(INDEX(PRESIONES!$M$28:$M$31,$U160)&gt;0,PRESIONES!$C$9*IF($T160&lt;=10,1,($T160/10)^(2/DATOS!$C$56)),PRESIONES!$C$15)-ABERTURAS!$L$67*PRESIONES!$C$12)*$S160/$M160)</f>
        <v>0</v>
      </c>
    </row>
    <row r="161" spans="2:35" ht="15" customHeight="1" x14ac:dyDescent="0.3">
      <c r="B161" s="4"/>
      <c r="C161" s="15"/>
      <c r="D161" s="4"/>
      <c r="E161" s="15"/>
      <c r="F161" s="40"/>
      <c r="G161" s="40"/>
      <c r="H161" s="40"/>
      <c r="I161" s="40"/>
      <c r="J161" s="40"/>
      <c r="K161" s="40"/>
      <c r="L161" s="18" t="str">
        <f t="shared" si="48"/>
        <v/>
      </c>
      <c r="M161" s="26">
        <f t="shared" si="49"/>
        <v>0</v>
      </c>
      <c r="N161" s="26">
        <f t="shared" si="50"/>
        <v>0</v>
      </c>
      <c r="O161" s="26">
        <f t="shared" si="51"/>
        <v>0</v>
      </c>
      <c r="P161" s="26">
        <f>IF($U161=0,0,SUMPRODUCT((ABERTURAS!$N$7:$N$26=$U161)*ABERTURAS!$U$7:$U$26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Q161" s="26">
        <f>IF($U161=0,0,SUMPRODUCT((ABERTURAS!$N$7:$N$26=$U161)*ABERTURAS!$V$7:$V$26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R161" s="26">
        <f t="shared" si="52"/>
        <v>0</v>
      </c>
      <c r="S161" s="26">
        <f t="shared" si="53"/>
        <v>0</v>
      </c>
      <c r="T161" s="41">
        <f t="shared" si="54"/>
        <v>0</v>
      </c>
      <c r="U161" s="41">
        <f t="shared" si="55"/>
        <v>0</v>
      </c>
      <c r="V161" s="41">
        <f t="shared" si="56"/>
        <v>0</v>
      </c>
      <c r="W161" s="41">
        <f t="shared" si="57"/>
        <v>0</v>
      </c>
      <c r="X161" s="41">
        <f t="shared" si="58"/>
        <v>0</v>
      </c>
      <c r="Y161" s="41">
        <f t="shared" si="59"/>
        <v>0</v>
      </c>
      <c r="Z161" s="41">
        <f t="shared" si="60"/>
        <v>0</v>
      </c>
      <c r="AA161" s="41">
        <f t="shared" si="61"/>
        <v>0</v>
      </c>
      <c r="AB161" s="26">
        <f>IF($L161&lt;&gt;"OK",0,(INDEX(PRESIONES!$D$28:$D$31,$U161)*IF(INDEX(PRESIONES!$D$28:$D$31,$U161)&gt;0,PRESIONES!$C$9*IF($T161&lt;=10,1,($T161/10)^(2/DATOS!$C$56)),PRESIONES!$C$15)-ABERTURAS!$L$60*PRESIONES!$C$12)*$R161/$M161)</f>
        <v>0</v>
      </c>
      <c r="AC161" s="26">
        <f>IF($L161&lt;&gt;"OK",0,(INDEX(PRESIONES!$G$28:$G$31,$U161)*IF(INDEX(PRESIONES!$G$28:$G$31,$U161)&gt;0,PRESIONES!$C$9*IF($T161&lt;=10,1,($T161/10)^(2/DATOS!$C$56)),PRESIONES!$C$15)-ABERTURAS!$L$61*PRESIONES!$C$12)*$R161/$M161)</f>
        <v>0</v>
      </c>
      <c r="AD161" s="26">
        <f>IF($L161&lt;&gt;"OK",0,(INDEX(PRESIONES!$J$28:$J$31,$U161)*IF(INDEX(PRESIONES!$J$28:$J$31,$U161)&gt;0,PRESIONES!$C$9*IF($T161&lt;=10,1,($T161/10)^(2/DATOS!$C$56)),PRESIONES!$C$15)-ABERTURAS!$L$62*PRESIONES!$C$12)*$R161/$M161)</f>
        <v>0</v>
      </c>
      <c r="AE161" s="26">
        <f>IF($L161&lt;&gt;"OK",0,(INDEX(PRESIONES!$M$28:$M$31,$U161)*IF(INDEX(PRESIONES!$M$28:$M$31,$U161)&gt;0,PRESIONES!$C$9*IF($T161&lt;=10,1,($T161/10)^(2/DATOS!$C$56)),PRESIONES!$C$15)-ABERTURAS!$L$63*PRESIONES!$C$12)*$R161/$M161)</f>
        <v>0</v>
      </c>
      <c r="AF161" s="26">
        <f>IF($L161&lt;&gt;"OK",0,(INDEX(PRESIONES!$D$28:$D$31,$U161)*IF(INDEX(PRESIONES!$D$28:$D$31,$U161)&gt;0,PRESIONES!$C$9*IF($T161&lt;=10,1,($T161/10)^(2/DATOS!$C$56)),PRESIONES!$C$15)-ABERTURAS!$L$64*PRESIONES!$C$12)*$S161/$M161)</f>
        <v>0</v>
      </c>
      <c r="AG161" s="26">
        <f>IF($L161&lt;&gt;"OK",0,(INDEX(PRESIONES!$G$28:$G$31,$U161)*IF(INDEX(PRESIONES!$G$28:$G$31,$U161)&gt;0,PRESIONES!$C$9*IF($T161&lt;=10,1,($T161/10)^(2/DATOS!$C$56)),PRESIONES!$C$15)-ABERTURAS!$L$65*PRESIONES!$C$12)*$S161/$M161)</f>
        <v>0</v>
      </c>
      <c r="AH161" s="26">
        <f>IF($L161&lt;&gt;"OK",0,(INDEX(PRESIONES!$J$28:$J$31,$U161)*IF(INDEX(PRESIONES!$J$28:$J$31,$U161)&gt;0,PRESIONES!$C$9*IF($T161&lt;=10,1,($T161/10)^(2/DATOS!$C$56)),PRESIONES!$C$15)-ABERTURAS!$L$66*PRESIONES!$C$12)*$S161/$M161)</f>
        <v>0</v>
      </c>
      <c r="AI161" s="26">
        <f>IF($L161&lt;&gt;"OK",0,(INDEX(PRESIONES!$M$28:$M$31,$U161)*IF(INDEX(PRESIONES!$M$28:$M$31,$U161)&gt;0,PRESIONES!$C$9*IF($T161&lt;=10,1,($T161/10)^(2/DATOS!$C$56)),PRESIONES!$C$15)-ABERTURAS!$L$67*PRESIONES!$C$12)*$S161/$M161)</f>
        <v>0</v>
      </c>
    </row>
    <row r="162" spans="2:35" ht="15" customHeight="1" x14ac:dyDescent="0.3">
      <c r="B162" s="4"/>
      <c r="C162" s="15"/>
      <c r="D162" s="4"/>
      <c r="E162" s="15"/>
      <c r="F162" s="40"/>
      <c r="G162" s="40"/>
      <c r="H162" s="40"/>
      <c r="I162" s="40"/>
      <c r="J162" s="40"/>
      <c r="K162" s="40"/>
      <c r="L162" s="18" t="str">
        <f t="shared" si="48"/>
        <v/>
      </c>
      <c r="M162" s="26">
        <f t="shared" si="49"/>
        <v>0</v>
      </c>
      <c r="N162" s="26">
        <f t="shared" si="50"/>
        <v>0</v>
      </c>
      <c r="O162" s="26">
        <f t="shared" si="51"/>
        <v>0</v>
      </c>
      <c r="P162" s="26">
        <f>IF($U162=0,0,SUMPRODUCT((ABERTURAS!$N$7:$N$26=$U162)*ABERTURAS!$U$7:$U$26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Q162" s="26">
        <f>IF($U162=0,0,SUMPRODUCT((ABERTURAS!$N$7:$N$26=$U162)*ABERTURAS!$V$7:$V$26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R162" s="26">
        <f t="shared" si="52"/>
        <v>0</v>
      </c>
      <c r="S162" s="26">
        <f t="shared" si="53"/>
        <v>0</v>
      </c>
      <c r="T162" s="41">
        <f t="shared" si="54"/>
        <v>0</v>
      </c>
      <c r="U162" s="41">
        <f t="shared" si="55"/>
        <v>0</v>
      </c>
      <c r="V162" s="41">
        <f t="shared" si="56"/>
        <v>0</v>
      </c>
      <c r="W162" s="41">
        <f t="shared" si="57"/>
        <v>0</v>
      </c>
      <c r="X162" s="41">
        <f t="shared" si="58"/>
        <v>0</v>
      </c>
      <c r="Y162" s="41">
        <f t="shared" si="59"/>
        <v>0</v>
      </c>
      <c r="Z162" s="41">
        <f t="shared" si="60"/>
        <v>0</v>
      </c>
      <c r="AA162" s="41">
        <f t="shared" si="61"/>
        <v>0</v>
      </c>
      <c r="AB162" s="26">
        <f>IF($L162&lt;&gt;"OK",0,(INDEX(PRESIONES!$D$28:$D$31,$U162)*IF(INDEX(PRESIONES!$D$28:$D$31,$U162)&gt;0,PRESIONES!$C$9*IF($T162&lt;=10,1,($T162/10)^(2/DATOS!$C$56)),PRESIONES!$C$15)-ABERTURAS!$L$60*PRESIONES!$C$12)*$R162/$M162)</f>
        <v>0</v>
      </c>
      <c r="AC162" s="26">
        <f>IF($L162&lt;&gt;"OK",0,(INDEX(PRESIONES!$G$28:$G$31,$U162)*IF(INDEX(PRESIONES!$G$28:$G$31,$U162)&gt;0,PRESIONES!$C$9*IF($T162&lt;=10,1,($T162/10)^(2/DATOS!$C$56)),PRESIONES!$C$15)-ABERTURAS!$L$61*PRESIONES!$C$12)*$R162/$M162)</f>
        <v>0</v>
      </c>
      <c r="AD162" s="26">
        <f>IF($L162&lt;&gt;"OK",0,(INDEX(PRESIONES!$J$28:$J$31,$U162)*IF(INDEX(PRESIONES!$J$28:$J$31,$U162)&gt;0,PRESIONES!$C$9*IF($T162&lt;=10,1,($T162/10)^(2/DATOS!$C$56)),PRESIONES!$C$15)-ABERTURAS!$L$62*PRESIONES!$C$12)*$R162/$M162)</f>
        <v>0</v>
      </c>
      <c r="AE162" s="26">
        <f>IF($L162&lt;&gt;"OK",0,(INDEX(PRESIONES!$M$28:$M$31,$U162)*IF(INDEX(PRESIONES!$M$28:$M$31,$U162)&gt;0,PRESIONES!$C$9*IF($T162&lt;=10,1,($T162/10)^(2/DATOS!$C$56)),PRESIONES!$C$15)-ABERTURAS!$L$63*PRESIONES!$C$12)*$R162/$M162)</f>
        <v>0</v>
      </c>
      <c r="AF162" s="26">
        <f>IF($L162&lt;&gt;"OK",0,(INDEX(PRESIONES!$D$28:$D$31,$U162)*IF(INDEX(PRESIONES!$D$28:$D$31,$U162)&gt;0,PRESIONES!$C$9*IF($T162&lt;=10,1,($T162/10)^(2/DATOS!$C$56)),PRESIONES!$C$15)-ABERTURAS!$L$64*PRESIONES!$C$12)*$S162/$M162)</f>
        <v>0</v>
      </c>
      <c r="AG162" s="26">
        <f>IF($L162&lt;&gt;"OK",0,(INDEX(PRESIONES!$G$28:$G$31,$U162)*IF(INDEX(PRESIONES!$G$28:$G$31,$U162)&gt;0,PRESIONES!$C$9*IF($T162&lt;=10,1,($T162/10)^(2/DATOS!$C$56)),PRESIONES!$C$15)-ABERTURAS!$L$65*PRESIONES!$C$12)*$S162/$M162)</f>
        <v>0</v>
      </c>
      <c r="AH162" s="26">
        <f>IF($L162&lt;&gt;"OK",0,(INDEX(PRESIONES!$J$28:$J$31,$U162)*IF(INDEX(PRESIONES!$J$28:$J$31,$U162)&gt;0,PRESIONES!$C$9*IF($T162&lt;=10,1,($T162/10)^(2/DATOS!$C$56)),PRESIONES!$C$15)-ABERTURAS!$L$66*PRESIONES!$C$12)*$S162/$M162)</f>
        <v>0</v>
      </c>
      <c r="AI162" s="26">
        <f>IF($L162&lt;&gt;"OK",0,(INDEX(PRESIONES!$M$28:$M$31,$U162)*IF(INDEX(PRESIONES!$M$28:$M$31,$U162)&gt;0,PRESIONES!$C$9*IF($T162&lt;=10,1,($T162/10)^(2/DATOS!$C$56)),PRESIONES!$C$15)-ABERTURAS!$L$67*PRESIONES!$C$12)*$S162/$M162)</f>
        <v>0</v>
      </c>
    </row>
    <row r="163" spans="2:35" ht="15" customHeight="1" x14ac:dyDescent="0.3">
      <c r="B163" s="4"/>
      <c r="C163" s="15"/>
      <c r="D163" s="4"/>
      <c r="E163" s="15"/>
      <c r="F163" s="40"/>
      <c r="G163" s="40"/>
      <c r="H163" s="40"/>
      <c r="I163" s="40"/>
      <c r="J163" s="40"/>
      <c r="K163" s="40"/>
      <c r="L163" s="18" t="str">
        <f t="shared" si="48"/>
        <v/>
      </c>
      <c r="M163" s="26">
        <f t="shared" si="49"/>
        <v>0</v>
      </c>
      <c r="N163" s="26">
        <f t="shared" si="50"/>
        <v>0</v>
      </c>
      <c r="O163" s="26">
        <f t="shared" si="51"/>
        <v>0</v>
      </c>
      <c r="P163" s="26">
        <f>IF($U163=0,0,SUMPRODUCT((ABERTURAS!$N$7:$N$26=$U163)*ABERTURAS!$U$7:$U$26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Q163" s="26">
        <f>IF($U163=0,0,SUMPRODUCT((ABERTURAS!$N$7:$N$26=$U163)*ABERTURAS!$V$7:$V$26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R163" s="26">
        <f t="shared" si="52"/>
        <v>0</v>
      </c>
      <c r="S163" s="26">
        <f t="shared" si="53"/>
        <v>0</v>
      </c>
      <c r="T163" s="41">
        <f t="shared" si="54"/>
        <v>0</v>
      </c>
      <c r="U163" s="41">
        <f t="shared" si="55"/>
        <v>0</v>
      </c>
      <c r="V163" s="41">
        <f t="shared" si="56"/>
        <v>0</v>
      </c>
      <c r="W163" s="41">
        <f t="shared" si="57"/>
        <v>0</v>
      </c>
      <c r="X163" s="41">
        <f t="shared" si="58"/>
        <v>0</v>
      </c>
      <c r="Y163" s="41">
        <f t="shared" si="59"/>
        <v>0</v>
      </c>
      <c r="Z163" s="41">
        <f t="shared" si="60"/>
        <v>0</v>
      </c>
      <c r="AA163" s="41">
        <f t="shared" si="61"/>
        <v>0</v>
      </c>
      <c r="AB163" s="26">
        <f>IF($L163&lt;&gt;"OK",0,(INDEX(PRESIONES!$D$28:$D$31,$U163)*IF(INDEX(PRESIONES!$D$28:$D$31,$U163)&gt;0,PRESIONES!$C$9*IF($T163&lt;=10,1,($T163/10)^(2/DATOS!$C$56)),PRESIONES!$C$15)-ABERTURAS!$L$60*PRESIONES!$C$12)*$R163/$M163)</f>
        <v>0</v>
      </c>
      <c r="AC163" s="26">
        <f>IF($L163&lt;&gt;"OK",0,(INDEX(PRESIONES!$G$28:$G$31,$U163)*IF(INDEX(PRESIONES!$G$28:$G$31,$U163)&gt;0,PRESIONES!$C$9*IF($T163&lt;=10,1,($T163/10)^(2/DATOS!$C$56)),PRESIONES!$C$15)-ABERTURAS!$L$61*PRESIONES!$C$12)*$R163/$M163)</f>
        <v>0</v>
      </c>
      <c r="AD163" s="26">
        <f>IF($L163&lt;&gt;"OK",0,(INDEX(PRESIONES!$J$28:$J$31,$U163)*IF(INDEX(PRESIONES!$J$28:$J$31,$U163)&gt;0,PRESIONES!$C$9*IF($T163&lt;=10,1,($T163/10)^(2/DATOS!$C$56)),PRESIONES!$C$15)-ABERTURAS!$L$62*PRESIONES!$C$12)*$R163/$M163)</f>
        <v>0</v>
      </c>
      <c r="AE163" s="26">
        <f>IF($L163&lt;&gt;"OK",0,(INDEX(PRESIONES!$M$28:$M$31,$U163)*IF(INDEX(PRESIONES!$M$28:$M$31,$U163)&gt;0,PRESIONES!$C$9*IF($T163&lt;=10,1,($T163/10)^(2/DATOS!$C$56)),PRESIONES!$C$15)-ABERTURAS!$L$63*PRESIONES!$C$12)*$R163/$M163)</f>
        <v>0</v>
      </c>
      <c r="AF163" s="26">
        <f>IF($L163&lt;&gt;"OK",0,(INDEX(PRESIONES!$D$28:$D$31,$U163)*IF(INDEX(PRESIONES!$D$28:$D$31,$U163)&gt;0,PRESIONES!$C$9*IF($T163&lt;=10,1,($T163/10)^(2/DATOS!$C$56)),PRESIONES!$C$15)-ABERTURAS!$L$64*PRESIONES!$C$12)*$S163/$M163)</f>
        <v>0</v>
      </c>
      <c r="AG163" s="26">
        <f>IF($L163&lt;&gt;"OK",0,(INDEX(PRESIONES!$G$28:$G$31,$U163)*IF(INDEX(PRESIONES!$G$28:$G$31,$U163)&gt;0,PRESIONES!$C$9*IF($T163&lt;=10,1,($T163/10)^(2/DATOS!$C$56)),PRESIONES!$C$15)-ABERTURAS!$L$65*PRESIONES!$C$12)*$S163/$M163)</f>
        <v>0</v>
      </c>
      <c r="AH163" s="26">
        <f>IF($L163&lt;&gt;"OK",0,(INDEX(PRESIONES!$J$28:$J$31,$U163)*IF(INDEX(PRESIONES!$J$28:$J$31,$U163)&gt;0,PRESIONES!$C$9*IF($T163&lt;=10,1,($T163/10)^(2/DATOS!$C$56)),PRESIONES!$C$15)-ABERTURAS!$L$66*PRESIONES!$C$12)*$S163/$M163)</f>
        <v>0</v>
      </c>
      <c r="AI163" s="26">
        <f>IF($L163&lt;&gt;"OK",0,(INDEX(PRESIONES!$M$28:$M$31,$U163)*IF(INDEX(PRESIONES!$M$28:$M$31,$U163)&gt;0,PRESIONES!$C$9*IF($T163&lt;=10,1,($T163/10)^(2/DATOS!$C$56)),PRESIONES!$C$15)-ABERTURAS!$L$67*PRESIONES!$C$12)*$S163/$M163)</f>
        <v>0</v>
      </c>
    </row>
    <row r="164" spans="2:35" ht="15" customHeight="1" x14ac:dyDescent="0.3">
      <c r="B164" s="4"/>
      <c r="C164" s="15"/>
      <c r="D164" s="4"/>
      <c r="E164" s="15"/>
      <c r="F164" s="40"/>
      <c r="G164" s="40"/>
      <c r="H164" s="40"/>
      <c r="I164" s="40"/>
      <c r="J164" s="40"/>
      <c r="K164" s="40"/>
      <c r="L164" s="18" t="str">
        <f t="shared" si="48"/>
        <v/>
      </c>
      <c r="M164" s="26">
        <f t="shared" si="49"/>
        <v>0</v>
      </c>
      <c r="N164" s="26">
        <f t="shared" si="50"/>
        <v>0</v>
      </c>
      <c r="O164" s="26">
        <f t="shared" si="51"/>
        <v>0</v>
      </c>
      <c r="P164" s="26">
        <f>IF($U164=0,0,SUMPRODUCT((ABERTURAS!$N$7:$N$26=$U164)*ABERTURAS!$U$7:$U$26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Q164" s="26">
        <f>IF($U164=0,0,SUMPRODUCT((ABERTURAS!$N$7:$N$26=$U164)*ABERTURAS!$V$7:$V$26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R164" s="26">
        <f t="shared" si="52"/>
        <v>0</v>
      </c>
      <c r="S164" s="26">
        <f t="shared" si="53"/>
        <v>0</v>
      </c>
      <c r="T164" s="41">
        <f t="shared" si="54"/>
        <v>0</v>
      </c>
      <c r="U164" s="41">
        <f t="shared" si="55"/>
        <v>0</v>
      </c>
      <c r="V164" s="41">
        <f t="shared" si="56"/>
        <v>0</v>
      </c>
      <c r="W164" s="41">
        <f t="shared" si="57"/>
        <v>0</v>
      </c>
      <c r="X164" s="41">
        <f t="shared" si="58"/>
        <v>0</v>
      </c>
      <c r="Y164" s="41">
        <f t="shared" si="59"/>
        <v>0</v>
      </c>
      <c r="Z164" s="41">
        <f t="shared" si="60"/>
        <v>0</v>
      </c>
      <c r="AA164" s="41">
        <f t="shared" si="61"/>
        <v>0</v>
      </c>
      <c r="AB164" s="26">
        <f>IF($L164&lt;&gt;"OK",0,(INDEX(PRESIONES!$D$28:$D$31,$U164)*IF(INDEX(PRESIONES!$D$28:$D$31,$U164)&gt;0,PRESIONES!$C$9*IF($T164&lt;=10,1,($T164/10)^(2/DATOS!$C$56)),PRESIONES!$C$15)-ABERTURAS!$L$60*PRESIONES!$C$12)*$R164/$M164)</f>
        <v>0</v>
      </c>
      <c r="AC164" s="26">
        <f>IF($L164&lt;&gt;"OK",0,(INDEX(PRESIONES!$G$28:$G$31,$U164)*IF(INDEX(PRESIONES!$G$28:$G$31,$U164)&gt;0,PRESIONES!$C$9*IF($T164&lt;=10,1,($T164/10)^(2/DATOS!$C$56)),PRESIONES!$C$15)-ABERTURAS!$L$61*PRESIONES!$C$12)*$R164/$M164)</f>
        <v>0</v>
      </c>
      <c r="AD164" s="26">
        <f>IF($L164&lt;&gt;"OK",0,(INDEX(PRESIONES!$J$28:$J$31,$U164)*IF(INDEX(PRESIONES!$J$28:$J$31,$U164)&gt;0,PRESIONES!$C$9*IF($T164&lt;=10,1,($T164/10)^(2/DATOS!$C$56)),PRESIONES!$C$15)-ABERTURAS!$L$62*PRESIONES!$C$12)*$R164/$M164)</f>
        <v>0</v>
      </c>
      <c r="AE164" s="26">
        <f>IF($L164&lt;&gt;"OK",0,(INDEX(PRESIONES!$M$28:$M$31,$U164)*IF(INDEX(PRESIONES!$M$28:$M$31,$U164)&gt;0,PRESIONES!$C$9*IF($T164&lt;=10,1,($T164/10)^(2/DATOS!$C$56)),PRESIONES!$C$15)-ABERTURAS!$L$63*PRESIONES!$C$12)*$R164/$M164)</f>
        <v>0</v>
      </c>
      <c r="AF164" s="26">
        <f>IF($L164&lt;&gt;"OK",0,(INDEX(PRESIONES!$D$28:$D$31,$U164)*IF(INDEX(PRESIONES!$D$28:$D$31,$U164)&gt;0,PRESIONES!$C$9*IF($T164&lt;=10,1,($T164/10)^(2/DATOS!$C$56)),PRESIONES!$C$15)-ABERTURAS!$L$64*PRESIONES!$C$12)*$S164/$M164)</f>
        <v>0</v>
      </c>
      <c r="AG164" s="26">
        <f>IF($L164&lt;&gt;"OK",0,(INDEX(PRESIONES!$G$28:$G$31,$U164)*IF(INDEX(PRESIONES!$G$28:$G$31,$U164)&gt;0,PRESIONES!$C$9*IF($T164&lt;=10,1,($T164/10)^(2/DATOS!$C$56)),PRESIONES!$C$15)-ABERTURAS!$L$65*PRESIONES!$C$12)*$S164/$M164)</f>
        <v>0</v>
      </c>
      <c r="AH164" s="26">
        <f>IF($L164&lt;&gt;"OK",0,(INDEX(PRESIONES!$J$28:$J$31,$U164)*IF(INDEX(PRESIONES!$J$28:$J$31,$U164)&gt;0,PRESIONES!$C$9*IF($T164&lt;=10,1,($T164/10)^(2/DATOS!$C$56)),PRESIONES!$C$15)-ABERTURAS!$L$66*PRESIONES!$C$12)*$S164/$M164)</f>
        <v>0</v>
      </c>
      <c r="AI164" s="26">
        <f>IF($L164&lt;&gt;"OK",0,(INDEX(PRESIONES!$M$28:$M$31,$U164)*IF(INDEX(PRESIONES!$M$28:$M$31,$U164)&gt;0,PRESIONES!$C$9*IF($T164&lt;=10,1,($T164/10)^(2/DATOS!$C$56)),PRESIONES!$C$15)-ABERTURAS!$L$67*PRESIONES!$C$12)*$S164/$M164)</f>
        <v>0</v>
      </c>
    </row>
    <row r="165" spans="2:35" ht="15" customHeight="1" x14ac:dyDescent="0.3">
      <c r="B165" s="4"/>
      <c r="C165" s="15"/>
      <c r="D165" s="4"/>
      <c r="E165" s="15"/>
      <c r="F165" s="40"/>
      <c r="G165" s="40"/>
      <c r="H165" s="40"/>
      <c r="I165" s="40"/>
      <c r="J165" s="40"/>
      <c r="K165" s="40"/>
      <c r="L165" s="18" t="str">
        <f t="shared" si="48"/>
        <v/>
      </c>
      <c r="M165" s="26">
        <f t="shared" si="49"/>
        <v>0</v>
      </c>
      <c r="N165" s="26">
        <f t="shared" si="50"/>
        <v>0</v>
      </c>
      <c r="O165" s="26">
        <f t="shared" si="51"/>
        <v>0</v>
      </c>
      <c r="P165" s="26">
        <f>IF($U165=0,0,SUMPRODUCT((ABERTURAS!$N$7:$N$26=$U165)*ABERTURAS!$U$7:$U$26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Q165" s="26">
        <f>IF($U165=0,0,SUMPRODUCT((ABERTURAS!$N$7:$N$26=$U165)*ABERTURAS!$V$7:$V$26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R165" s="26">
        <f t="shared" si="52"/>
        <v>0</v>
      </c>
      <c r="S165" s="26">
        <f t="shared" si="53"/>
        <v>0</v>
      </c>
      <c r="T165" s="41">
        <f t="shared" si="54"/>
        <v>0</v>
      </c>
      <c r="U165" s="41">
        <f t="shared" si="55"/>
        <v>0</v>
      </c>
      <c r="V165" s="41">
        <f t="shared" si="56"/>
        <v>0</v>
      </c>
      <c r="W165" s="41">
        <f t="shared" si="57"/>
        <v>0</v>
      </c>
      <c r="X165" s="41">
        <f t="shared" si="58"/>
        <v>0</v>
      </c>
      <c r="Y165" s="41">
        <f t="shared" si="59"/>
        <v>0</v>
      </c>
      <c r="Z165" s="41">
        <f t="shared" si="60"/>
        <v>0</v>
      </c>
      <c r="AA165" s="41">
        <f t="shared" si="61"/>
        <v>0</v>
      </c>
      <c r="AB165" s="26">
        <f>IF($L165&lt;&gt;"OK",0,(INDEX(PRESIONES!$D$28:$D$31,$U165)*IF(INDEX(PRESIONES!$D$28:$D$31,$U165)&gt;0,PRESIONES!$C$9*IF($T165&lt;=10,1,($T165/10)^(2/DATOS!$C$56)),PRESIONES!$C$15)-ABERTURAS!$L$60*PRESIONES!$C$12)*$R165/$M165)</f>
        <v>0</v>
      </c>
      <c r="AC165" s="26">
        <f>IF($L165&lt;&gt;"OK",0,(INDEX(PRESIONES!$G$28:$G$31,$U165)*IF(INDEX(PRESIONES!$G$28:$G$31,$U165)&gt;0,PRESIONES!$C$9*IF($T165&lt;=10,1,($T165/10)^(2/DATOS!$C$56)),PRESIONES!$C$15)-ABERTURAS!$L$61*PRESIONES!$C$12)*$R165/$M165)</f>
        <v>0</v>
      </c>
      <c r="AD165" s="26">
        <f>IF($L165&lt;&gt;"OK",0,(INDEX(PRESIONES!$J$28:$J$31,$U165)*IF(INDEX(PRESIONES!$J$28:$J$31,$U165)&gt;0,PRESIONES!$C$9*IF($T165&lt;=10,1,($T165/10)^(2/DATOS!$C$56)),PRESIONES!$C$15)-ABERTURAS!$L$62*PRESIONES!$C$12)*$R165/$M165)</f>
        <v>0</v>
      </c>
      <c r="AE165" s="26">
        <f>IF($L165&lt;&gt;"OK",0,(INDEX(PRESIONES!$M$28:$M$31,$U165)*IF(INDEX(PRESIONES!$M$28:$M$31,$U165)&gt;0,PRESIONES!$C$9*IF($T165&lt;=10,1,($T165/10)^(2/DATOS!$C$56)),PRESIONES!$C$15)-ABERTURAS!$L$63*PRESIONES!$C$12)*$R165/$M165)</f>
        <v>0</v>
      </c>
      <c r="AF165" s="26">
        <f>IF($L165&lt;&gt;"OK",0,(INDEX(PRESIONES!$D$28:$D$31,$U165)*IF(INDEX(PRESIONES!$D$28:$D$31,$U165)&gt;0,PRESIONES!$C$9*IF($T165&lt;=10,1,($T165/10)^(2/DATOS!$C$56)),PRESIONES!$C$15)-ABERTURAS!$L$64*PRESIONES!$C$12)*$S165/$M165)</f>
        <v>0</v>
      </c>
      <c r="AG165" s="26">
        <f>IF($L165&lt;&gt;"OK",0,(INDEX(PRESIONES!$G$28:$G$31,$U165)*IF(INDEX(PRESIONES!$G$28:$G$31,$U165)&gt;0,PRESIONES!$C$9*IF($T165&lt;=10,1,($T165/10)^(2/DATOS!$C$56)),PRESIONES!$C$15)-ABERTURAS!$L$65*PRESIONES!$C$12)*$S165/$M165)</f>
        <v>0</v>
      </c>
      <c r="AH165" s="26">
        <f>IF($L165&lt;&gt;"OK",0,(INDEX(PRESIONES!$J$28:$J$31,$U165)*IF(INDEX(PRESIONES!$J$28:$J$31,$U165)&gt;0,PRESIONES!$C$9*IF($T165&lt;=10,1,($T165/10)^(2/DATOS!$C$56)),PRESIONES!$C$15)-ABERTURAS!$L$66*PRESIONES!$C$12)*$S165/$M165)</f>
        <v>0</v>
      </c>
      <c r="AI165" s="26">
        <f>IF($L165&lt;&gt;"OK",0,(INDEX(PRESIONES!$M$28:$M$31,$U165)*IF(INDEX(PRESIONES!$M$28:$M$31,$U165)&gt;0,PRESIONES!$C$9*IF($T165&lt;=10,1,($T165/10)^(2/DATOS!$C$56)),PRESIONES!$C$15)-ABERTURAS!$L$67*PRESIONES!$C$12)*$S165/$M165)</f>
        <v>0</v>
      </c>
    </row>
    <row r="166" spans="2:35" ht="15" customHeight="1" x14ac:dyDescent="0.3">
      <c r="B166" s="4"/>
      <c r="C166" s="15"/>
      <c r="D166" s="4"/>
      <c r="E166" s="15"/>
      <c r="F166" s="40"/>
      <c r="G166" s="40"/>
      <c r="H166" s="40"/>
      <c r="I166" s="40"/>
      <c r="J166" s="40"/>
      <c r="K166" s="40"/>
      <c r="L166" s="18" t="str">
        <f t="shared" si="48"/>
        <v/>
      </c>
      <c r="M166" s="26">
        <f t="shared" si="49"/>
        <v>0</v>
      </c>
      <c r="N166" s="26">
        <f t="shared" si="50"/>
        <v>0</v>
      </c>
      <c r="O166" s="26">
        <f t="shared" si="51"/>
        <v>0</v>
      </c>
      <c r="P166" s="26">
        <f>IF($U166=0,0,SUMPRODUCT((ABERTURAS!$N$7:$N$26=$U166)*ABERTURAS!$U$7:$U$26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Q166" s="26">
        <f>IF($U166=0,0,SUMPRODUCT((ABERTURAS!$N$7:$N$26=$U166)*ABERTURAS!$V$7:$V$26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R166" s="26">
        <f t="shared" si="52"/>
        <v>0</v>
      </c>
      <c r="S166" s="26">
        <f t="shared" si="53"/>
        <v>0</v>
      </c>
      <c r="T166" s="41">
        <f t="shared" si="54"/>
        <v>0</v>
      </c>
      <c r="U166" s="41">
        <f t="shared" si="55"/>
        <v>0</v>
      </c>
      <c r="V166" s="41">
        <f t="shared" si="56"/>
        <v>0</v>
      </c>
      <c r="W166" s="41">
        <f t="shared" si="57"/>
        <v>0</v>
      </c>
      <c r="X166" s="41">
        <f t="shared" si="58"/>
        <v>0</v>
      </c>
      <c r="Y166" s="41">
        <f t="shared" si="59"/>
        <v>0</v>
      </c>
      <c r="Z166" s="41">
        <f t="shared" si="60"/>
        <v>0</v>
      </c>
      <c r="AA166" s="41">
        <f t="shared" si="61"/>
        <v>0</v>
      </c>
      <c r="AB166" s="26">
        <f>IF($L166&lt;&gt;"OK",0,(INDEX(PRESIONES!$D$28:$D$31,$U166)*IF(INDEX(PRESIONES!$D$28:$D$31,$U166)&gt;0,PRESIONES!$C$9*IF($T166&lt;=10,1,($T166/10)^(2/DATOS!$C$56)),PRESIONES!$C$15)-ABERTURAS!$L$60*PRESIONES!$C$12)*$R166/$M166)</f>
        <v>0</v>
      </c>
      <c r="AC166" s="26">
        <f>IF($L166&lt;&gt;"OK",0,(INDEX(PRESIONES!$G$28:$G$31,$U166)*IF(INDEX(PRESIONES!$G$28:$G$31,$U166)&gt;0,PRESIONES!$C$9*IF($T166&lt;=10,1,($T166/10)^(2/DATOS!$C$56)),PRESIONES!$C$15)-ABERTURAS!$L$61*PRESIONES!$C$12)*$R166/$M166)</f>
        <v>0</v>
      </c>
      <c r="AD166" s="26">
        <f>IF($L166&lt;&gt;"OK",0,(INDEX(PRESIONES!$J$28:$J$31,$U166)*IF(INDEX(PRESIONES!$J$28:$J$31,$U166)&gt;0,PRESIONES!$C$9*IF($T166&lt;=10,1,($T166/10)^(2/DATOS!$C$56)),PRESIONES!$C$15)-ABERTURAS!$L$62*PRESIONES!$C$12)*$R166/$M166)</f>
        <v>0</v>
      </c>
      <c r="AE166" s="26">
        <f>IF($L166&lt;&gt;"OK",0,(INDEX(PRESIONES!$M$28:$M$31,$U166)*IF(INDEX(PRESIONES!$M$28:$M$31,$U166)&gt;0,PRESIONES!$C$9*IF($T166&lt;=10,1,($T166/10)^(2/DATOS!$C$56)),PRESIONES!$C$15)-ABERTURAS!$L$63*PRESIONES!$C$12)*$R166/$M166)</f>
        <v>0</v>
      </c>
      <c r="AF166" s="26">
        <f>IF($L166&lt;&gt;"OK",0,(INDEX(PRESIONES!$D$28:$D$31,$U166)*IF(INDEX(PRESIONES!$D$28:$D$31,$U166)&gt;0,PRESIONES!$C$9*IF($T166&lt;=10,1,($T166/10)^(2/DATOS!$C$56)),PRESIONES!$C$15)-ABERTURAS!$L$64*PRESIONES!$C$12)*$S166/$M166)</f>
        <v>0</v>
      </c>
      <c r="AG166" s="26">
        <f>IF($L166&lt;&gt;"OK",0,(INDEX(PRESIONES!$G$28:$G$31,$U166)*IF(INDEX(PRESIONES!$G$28:$G$31,$U166)&gt;0,PRESIONES!$C$9*IF($T166&lt;=10,1,($T166/10)^(2/DATOS!$C$56)),PRESIONES!$C$15)-ABERTURAS!$L$65*PRESIONES!$C$12)*$S166/$M166)</f>
        <v>0</v>
      </c>
      <c r="AH166" s="26">
        <f>IF($L166&lt;&gt;"OK",0,(INDEX(PRESIONES!$J$28:$J$31,$U166)*IF(INDEX(PRESIONES!$J$28:$J$31,$U166)&gt;0,PRESIONES!$C$9*IF($T166&lt;=10,1,($T166/10)^(2/DATOS!$C$56)),PRESIONES!$C$15)-ABERTURAS!$L$66*PRESIONES!$C$12)*$S166/$M166)</f>
        <v>0</v>
      </c>
      <c r="AI166" s="26">
        <f>IF($L166&lt;&gt;"OK",0,(INDEX(PRESIONES!$M$28:$M$31,$U166)*IF(INDEX(PRESIONES!$M$28:$M$31,$U166)&gt;0,PRESIONES!$C$9*IF($T166&lt;=10,1,($T166/10)^(2/DATOS!$C$56)),PRESIONES!$C$15)-ABERTURAS!$L$67*PRESIONES!$C$12)*$S166/$M166)</f>
        <v>0</v>
      </c>
    </row>
    <row r="167" spans="2:35" ht="15" customHeight="1" x14ac:dyDescent="0.3">
      <c r="B167" s="4"/>
      <c r="C167" s="15"/>
      <c r="D167" s="4"/>
      <c r="E167" s="15"/>
      <c r="F167" s="40"/>
      <c r="G167" s="40"/>
      <c r="H167" s="40"/>
      <c r="I167" s="40"/>
      <c r="J167" s="40"/>
      <c r="K167" s="40"/>
      <c r="L167" s="18" t="str">
        <f t="shared" si="48"/>
        <v/>
      </c>
      <c r="M167" s="26">
        <f t="shared" si="49"/>
        <v>0</v>
      </c>
      <c r="N167" s="26">
        <f t="shared" si="50"/>
        <v>0</v>
      </c>
      <c r="O167" s="26">
        <f t="shared" si="51"/>
        <v>0</v>
      </c>
      <c r="P167" s="26">
        <f>IF($U167=0,0,SUMPRODUCT((ABERTURAS!$N$7:$N$26=$U167)*ABERTURAS!$U$7:$U$26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Q167" s="26">
        <f>IF($U167=0,0,SUMPRODUCT((ABERTURAS!$N$7:$N$26=$U167)*ABERTURAS!$V$7:$V$26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R167" s="26">
        <f t="shared" si="52"/>
        <v>0</v>
      </c>
      <c r="S167" s="26">
        <f t="shared" si="53"/>
        <v>0</v>
      </c>
      <c r="T167" s="41">
        <f t="shared" si="54"/>
        <v>0</v>
      </c>
      <c r="U167" s="41">
        <f t="shared" si="55"/>
        <v>0</v>
      </c>
      <c r="V167" s="41">
        <f t="shared" si="56"/>
        <v>0</v>
      </c>
      <c r="W167" s="41">
        <f t="shared" si="57"/>
        <v>0</v>
      </c>
      <c r="X167" s="41">
        <f t="shared" si="58"/>
        <v>0</v>
      </c>
      <c r="Y167" s="41">
        <f t="shared" si="59"/>
        <v>0</v>
      </c>
      <c r="Z167" s="41">
        <f t="shared" si="60"/>
        <v>0</v>
      </c>
      <c r="AA167" s="41">
        <f t="shared" si="61"/>
        <v>0</v>
      </c>
      <c r="AB167" s="26">
        <f>IF($L167&lt;&gt;"OK",0,(INDEX(PRESIONES!$D$28:$D$31,$U167)*IF(INDEX(PRESIONES!$D$28:$D$31,$U167)&gt;0,PRESIONES!$C$9*IF($T167&lt;=10,1,($T167/10)^(2/DATOS!$C$56)),PRESIONES!$C$15)-ABERTURAS!$L$60*PRESIONES!$C$12)*$R167/$M167)</f>
        <v>0</v>
      </c>
      <c r="AC167" s="26">
        <f>IF($L167&lt;&gt;"OK",0,(INDEX(PRESIONES!$G$28:$G$31,$U167)*IF(INDEX(PRESIONES!$G$28:$G$31,$U167)&gt;0,PRESIONES!$C$9*IF($T167&lt;=10,1,($T167/10)^(2/DATOS!$C$56)),PRESIONES!$C$15)-ABERTURAS!$L$61*PRESIONES!$C$12)*$R167/$M167)</f>
        <v>0</v>
      </c>
      <c r="AD167" s="26">
        <f>IF($L167&lt;&gt;"OK",0,(INDEX(PRESIONES!$J$28:$J$31,$U167)*IF(INDEX(PRESIONES!$J$28:$J$31,$U167)&gt;0,PRESIONES!$C$9*IF($T167&lt;=10,1,($T167/10)^(2/DATOS!$C$56)),PRESIONES!$C$15)-ABERTURAS!$L$62*PRESIONES!$C$12)*$R167/$M167)</f>
        <v>0</v>
      </c>
      <c r="AE167" s="26">
        <f>IF($L167&lt;&gt;"OK",0,(INDEX(PRESIONES!$M$28:$M$31,$U167)*IF(INDEX(PRESIONES!$M$28:$M$31,$U167)&gt;0,PRESIONES!$C$9*IF($T167&lt;=10,1,($T167/10)^(2/DATOS!$C$56)),PRESIONES!$C$15)-ABERTURAS!$L$63*PRESIONES!$C$12)*$R167/$M167)</f>
        <v>0</v>
      </c>
      <c r="AF167" s="26">
        <f>IF($L167&lt;&gt;"OK",0,(INDEX(PRESIONES!$D$28:$D$31,$U167)*IF(INDEX(PRESIONES!$D$28:$D$31,$U167)&gt;0,PRESIONES!$C$9*IF($T167&lt;=10,1,($T167/10)^(2/DATOS!$C$56)),PRESIONES!$C$15)-ABERTURAS!$L$64*PRESIONES!$C$12)*$S167/$M167)</f>
        <v>0</v>
      </c>
      <c r="AG167" s="26">
        <f>IF($L167&lt;&gt;"OK",0,(INDEX(PRESIONES!$G$28:$G$31,$U167)*IF(INDEX(PRESIONES!$G$28:$G$31,$U167)&gt;0,PRESIONES!$C$9*IF($T167&lt;=10,1,($T167/10)^(2/DATOS!$C$56)),PRESIONES!$C$15)-ABERTURAS!$L$65*PRESIONES!$C$12)*$S167/$M167)</f>
        <v>0</v>
      </c>
      <c r="AH167" s="26">
        <f>IF($L167&lt;&gt;"OK",0,(INDEX(PRESIONES!$J$28:$J$31,$U167)*IF(INDEX(PRESIONES!$J$28:$J$31,$U167)&gt;0,PRESIONES!$C$9*IF($T167&lt;=10,1,($T167/10)^(2/DATOS!$C$56)),PRESIONES!$C$15)-ABERTURAS!$L$66*PRESIONES!$C$12)*$S167/$M167)</f>
        <v>0</v>
      </c>
      <c r="AI167" s="26">
        <f>IF($L167&lt;&gt;"OK",0,(INDEX(PRESIONES!$M$28:$M$31,$U167)*IF(INDEX(PRESIONES!$M$28:$M$31,$U167)&gt;0,PRESIONES!$C$9*IF($T167&lt;=10,1,($T167/10)^(2/DATOS!$C$56)),PRESIONES!$C$15)-ABERTURAS!$L$67*PRESIONES!$C$12)*$S167/$M167)</f>
        <v>0</v>
      </c>
    </row>
    <row r="168" spans="2:35" ht="15" customHeight="1" x14ac:dyDescent="0.3">
      <c r="B168" s="4"/>
      <c r="C168" s="15"/>
      <c r="D168" s="4"/>
      <c r="E168" s="15"/>
      <c r="F168" s="40"/>
      <c r="G168" s="40"/>
      <c r="H168" s="40"/>
      <c r="I168" s="40"/>
      <c r="J168" s="40"/>
      <c r="K168" s="40"/>
      <c r="L168" s="18" t="str">
        <f t="shared" si="48"/>
        <v/>
      </c>
      <c r="M168" s="26">
        <f t="shared" si="49"/>
        <v>0</v>
      </c>
      <c r="N168" s="26">
        <f t="shared" si="50"/>
        <v>0</v>
      </c>
      <c r="O168" s="26">
        <f t="shared" si="51"/>
        <v>0</v>
      </c>
      <c r="P168" s="26">
        <f>IF($U168=0,0,SUMPRODUCT((ABERTURAS!$N$7:$N$26=$U168)*ABERTURAS!$U$7:$U$26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Q168" s="26">
        <f>IF($U168=0,0,SUMPRODUCT((ABERTURAS!$N$7:$N$26=$U168)*ABERTURAS!$V$7:$V$26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R168" s="26">
        <f t="shared" si="52"/>
        <v>0</v>
      </c>
      <c r="S168" s="26">
        <f t="shared" si="53"/>
        <v>0</v>
      </c>
      <c r="T168" s="41">
        <f t="shared" si="54"/>
        <v>0</v>
      </c>
      <c r="U168" s="41">
        <f t="shared" si="55"/>
        <v>0</v>
      </c>
      <c r="V168" s="41">
        <f t="shared" si="56"/>
        <v>0</v>
      </c>
      <c r="W168" s="41">
        <f t="shared" si="57"/>
        <v>0</v>
      </c>
      <c r="X168" s="41">
        <f t="shared" si="58"/>
        <v>0</v>
      </c>
      <c r="Y168" s="41">
        <f t="shared" si="59"/>
        <v>0</v>
      </c>
      <c r="Z168" s="41">
        <f t="shared" si="60"/>
        <v>0</v>
      </c>
      <c r="AA168" s="41">
        <f t="shared" si="61"/>
        <v>0</v>
      </c>
      <c r="AB168" s="26">
        <f>IF($L168&lt;&gt;"OK",0,(INDEX(PRESIONES!$D$28:$D$31,$U168)*IF(INDEX(PRESIONES!$D$28:$D$31,$U168)&gt;0,PRESIONES!$C$9*IF($T168&lt;=10,1,($T168/10)^(2/DATOS!$C$56)),PRESIONES!$C$15)-ABERTURAS!$L$60*PRESIONES!$C$12)*$R168/$M168)</f>
        <v>0</v>
      </c>
      <c r="AC168" s="26">
        <f>IF($L168&lt;&gt;"OK",0,(INDEX(PRESIONES!$G$28:$G$31,$U168)*IF(INDEX(PRESIONES!$G$28:$G$31,$U168)&gt;0,PRESIONES!$C$9*IF($T168&lt;=10,1,($T168/10)^(2/DATOS!$C$56)),PRESIONES!$C$15)-ABERTURAS!$L$61*PRESIONES!$C$12)*$R168/$M168)</f>
        <v>0</v>
      </c>
      <c r="AD168" s="26">
        <f>IF($L168&lt;&gt;"OK",0,(INDEX(PRESIONES!$J$28:$J$31,$U168)*IF(INDEX(PRESIONES!$J$28:$J$31,$U168)&gt;0,PRESIONES!$C$9*IF($T168&lt;=10,1,($T168/10)^(2/DATOS!$C$56)),PRESIONES!$C$15)-ABERTURAS!$L$62*PRESIONES!$C$12)*$R168/$M168)</f>
        <v>0</v>
      </c>
      <c r="AE168" s="26">
        <f>IF($L168&lt;&gt;"OK",0,(INDEX(PRESIONES!$M$28:$M$31,$U168)*IF(INDEX(PRESIONES!$M$28:$M$31,$U168)&gt;0,PRESIONES!$C$9*IF($T168&lt;=10,1,($T168/10)^(2/DATOS!$C$56)),PRESIONES!$C$15)-ABERTURAS!$L$63*PRESIONES!$C$12)*$R168/$M168)</f>
        <v>0</v>
      </c>
      <c r="AF168" s="26">
        <f>IF($L168&lt;&gt;"OK",0,(INDEX(PRESIONES!$D$28:$D$31,$U168)*IF(INDEX(PRESIONES!$D$28:$D$31,$U168)&gt;0,PRESIONES!$C$9*IF($T168&lt;=10,1,($T168/10)^(2/DATOS!$C$56)),PRESIONES!$C$15)-ABERTURAS!$L$64*PRESIONES!$C$12)*$S168/$M168)</f>
        <v>0</v>
      </c>
      <c r="AG168" s="26">
        <f>IF($L168&lt;&gt;"OK",0,(INDEX(PRESIONES!$G$28:$G$31,$U168)*IF(INDEX(PRESIONES!$G$28:$G$31,$U168)&gt;0,PRESIONES!$C$9*IF($T168&lt;=10,1,($T168/10)^(2/DATOS!$C$56)),PRESIONES!$C$15)-ABERTURAS!$L$65*PRESIONES!$C$12)*$S168/$M168)</f>
        <v>0</v>
      </c>
      <c r="AH168" s="26">
        <f>IF($L168&lt;&gt;"OK",0,(INDEX(PRESIONES!$J$28:$J$31,$U168)*IF(INDEX(PRESIONES!$J$28:$J$31,$U168)&gt;0,PRESIONES!$C$9*IF($T168&lt;=10,1,($T168/10)^(2/DATOS!$C$56)),PRESIONES!$C$15)-ABERTURAS!$L$66*PRESIONES!$C$12)*$S168/$M168)</f>
        <v>0</v>
      </c>
      <c r="AI168" s="26">
        <f>IF($L168&lt;&gt;"OK",0,(INDEX(PRESIONES!$M$28:$M$31,$U168)*IF(INDEX(PRESIONES!$M$28:$M$31,$U168)&gt;0,PRESIONES!$C$9*IF($T168&lt;=10,1,($T168/10)^(2/DATOS!$C$56)),PRESIONES!$C$15)-ABERTURAS!$L$67*PRESIONES!$C$12)*$S168/$M168)</f>
        <v>0</v>
      </c>
    </row>
    <row r="169" spans="2:35" ht="15" customHeight="1" x14ac:dyDescent="0.3">
      <c r="B169" s="4"/>
      <c r="C169" s="15"/>
      <c r="D169" s="4"/>
      <c r="E169" s="15"/>
      <c r="F169" s="40"/>
      <c r="G169" s="40"/>
      <c r="H169" s="40"/>
      <c r="I169" s="40"/>
      <c r="J169" s="40"/>
      <c r="K169" s="40"/>
      <c r="L169" s="18" t="str">
        <f t="shared" si="48"/>
        <v/>
      </c>
      <c r="M169" s="26">
        <f t="shared" si="49"/>
        <v>0</v>
      </c>
      <c r="N169" s="26">
        <f t="shared" si="50"/>
        <v>0</v>
      </c>
      <c r="O169" s="26">
        <f t="shared" si="51"/>
        <v>0</v>
      </c>
      <c r="P169" s="26">
        <f>IF($U169=0,0,SUMPRODUCT((ABERTURAS!$N$7:$N$26=$U169)*ABERTURAS!$U$7:$U$26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Q169" s="26">
        <f>IF($U169=0,0,SUMPRODUCT((ABERTURAS!$N$7:$N$26=$U169)*ABERTURAS!$V$7:$V$26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R169" s="26">
        <f t="shared" si="52"/>
        <v>0</v>
      </c>
      <c r="S169" s="26">
        <f t="shared" si="53"/>
        <v>0</v>
      </c>
      <c r="T169" s="41">
        <f t="shared" si="54"/>
        <v>0</v>
      </c>
      <c r="U169" s="41">
        <f t="shared" si="55"/>
        <v>0</v>
      </c>
      <c r="V169" s="41">
        <f t="shared" si="56"/>
        <v>0</v>
      </c>
      <c r="W169" s="41">
        <f t="shared" si="57"/>
        <v>0</v>
      </c>
      <c r="X169" s="41">
        <f t="shared" si="58"/>
        <v>0</v>
      </c>
      <c r="Y169" s="41">
        <f t="shared" si="59"/>
        <v>0</v>
      </c>
      <c r="Z169" s="41">
        <f t="shared" si="60"/>
        <v>0</v>
      </c>
      <c r="AA169" s="41">
        <f t="shared" si="61"/>
        <v>0</v>
      </c>
      <c r="AB169" s="26">
        <f>IF($L169&lt;&gt;"OK",0,(INDEX(PRESIONES!$D$28:$D$31,$U169)*IF(INDEX(PRESIONES!$D$28:$D$31,$U169)&gt;0,PRESIONES!$C$9*IF($T169&lt;=10,1,($T169/10)^(2/DATOS!$C$56)),PRESIONES!$C$15)-ABERTURAS!$L$60*PRESIONES!$C$12)*$R169/$M169)</f>
        <v>0</v>
      </c>
      <c r="AC169" s="26">
        <f>IF($L169&lt;&gt;"OK",0,(INDEX(PRESIONES!$G$28:$G$31,$U169)*IF(INDEX(PRESIONES!$G$28:$G$31,$U169)&gt;0,PRESIONES!$C$9*IF($T169&lt;=10,1,($T169/10)^(2/DATOS!$C$56)),PRESIONES!$C$15)-ABERTURAS!$L$61*PRESIONES!$C$12)*$R169/$M169)</f>
        <v>0</v>
      </c>
      <c r="AD169" s="26">
        <f>IF($L169&lt;&gt;"OK",0,(INDEX(PRESIONES!$J$28:$J$31,$U169)*IF(INDEX(PRESIONES!$J$28:$J$31,$U169)&gt;0,PRESIONES!$C$9*IF($T169&lt;=10,1,($T169/10)^(2/DATOS!$C$56)),PRESIONES!$C$15)-ABERTURAS!$L$62*PRESIONES!$C$12)*$R169/$M169)</f>
        <v>0</v>
      </c>
      <c r="AE169" s="26">
        <f>IF($L169&lt;&gt;"OK",0,(INDEX(PRESIONES!$M$28:$M$31,$U169)*IF(INDEX(PRESIONES!$M$28:$M$31,$U169)&gt;0,PRESIONES!$C$9*IF($T169&lt;=10,1,($T169/10)^(2/DATOS!$C$56)),PRESIONES!$C$15)-ABERTURAS!$L$63*PRESIONES!$C$12)*$R169/$M169)</f>
        <v>0</v>
      </c>
      <c r="AF169" s="26">
        <f>IF($L169&lt;&gt;"OK",0,(INDEX(PRESIONES!$D$28:$D$31,$U169)*IF(INDEX(PRESIONES!$D$28:$D$31,$U169)&gt;0,PRESIONES!$C$9*IF($T169&lt;=10,1,($T169/10)^(2/DATOS!$C$56)),PRESIONES!$C$15)-ABERTURAS!$L$64*PRESIONES!$C$12)*$S169/$M169)</f>
        <v>0</v>
      </c>
      <c r="AG169" s="26">
        <f>IF($L169&lt;&gt;"OK",0,(INDEX(PRESIONES!$G$28:$G$31,$U169)*IF(INDEX(PRESIONES!$G$28:$G$31,$U169)&gt;0,PRESIONES!$C$9*IF($T169&lt;=10,1,($T169/10)^(2/DATOS!$C$56)),PRESIONES!$C$15)-ABERTURAS!$L$65*PRESIONES!$C$12)*$S169/$M169)</f>
        <v>0</v>
      </c>
      <c r="AH169" s="26">
        <f>IF($L169&lt;&gt;"OK",0,(INDEX(PRESIONES!$J$28:$J$31,$U169)*IF(INDEX(PRESIONES!$J$28:$J$31,$U169)&gt;0,PRESIONES!$C$9*IF($T169&lt;=10,1,($T169/10)^(2/DATOS!$C$56)),PRESIONES!$C$15)-ABERTURAS!$L$66*PRESIONES!$C$12)*$S169/$M169)</f>
        <v>0</v>
      </c>
      <c r="AI169" s="26">
        <f>IF($L169&lt;&gt;"OK",0,(INDEX(PRESIONES!$M$28:$M$31,$U169)*IF(INDEX(PRESIONES!$M$28:$M$31,$U169)&gt;0,PRESIONES!$C$9*IF($T169&lt;=10,1,($T169/10)^(2/DATOS!$C$56)),PRESIONES!$C$15)-ABERTURAS!$L$67*PRESIONES!$C$12)*$S169/$M169)</f>
        <v>0</v>
      </c>
    </row>
    <row r="170" spans="2:35" ht="15" customHeight="1" x14ac:dyDescent="0.3">
      <c r="B170" s="4"/>
      <c r="C170" s="15"/>
      <c r="D170" s="4"/>
      <c r="E170" s="15"/>
      <c r="F170" s="40"/>
      <c r="G170" s="40"/>
      <c r="H170" s="40"/>
      <c r="I170" s="40"/>
      <c r="J170" s="40"/>
      <c r="K170" s="40"/>
      <c r="L170" s="18" t="str">
        <f t="shared" si="48"/>
        <v/>
      </c>
      <c r="M170" s="26">
        <f t="shared" si="49"/>
        <v>0</v>
      </c>
      <c r="N170" s="26">
        <f t="shared" si="50"/>
        <v>0</v>
      </c>
      <c r="O170" s="26">
        <f t="shared" si="51"/>
        <v>0</v>
      </c>
      <c r="P170" s="26">
        <f>IF($U170=0,0,SUMPRODUCT((ABERTURAS!$N$7:$N$26=$U170)*ABERTURAS!$U$7:$U$26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Q170" s="26">
        <f>IF($U170=0,0,SUMPRODUCT((ABERTURAS!$N$7:$N$26=$U170)*ABERTURAS!$V$7:$V$26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R170" s="26">
        <f t="shared" si="52"/>
        <v>0</v>
      </c>
      <c r="S170" s="26">
        <f t="shared" si="53"/>
        <v>0</v>
      </c>
      <c r="T170" s="41">
        <f t="shared" si="54"/>
        <v>0</v>
      </c>
      <c r="U170" s="41">
        <f t="shared" si="55"/>
        <v>0</v>
      </c>
      <c r="V170" s="41">
        <f t="shared" si="56"/>
        <v>0</v>
      </c>
      <c r="W170" s="41">
        <f t="shared" si="57"/>
        <v>0</v>
      </c>
      <c r="X170" s="41">
        <f t="shared" si="58"/>
        <v>0</v>
      </c>
      <c r="Y170" s="41">
        <f t="shared" si="59"/>
        <v>0</v>
      </c>
      <c r="Z170" s="41">
        <f t="shared" si="60"/>
        <v>0</v>
      </c>
      <c r="AA170" s="41">
        <f t="shared" si="61"/>
        <v>0</v>
      </c>
      <c r="AB170" s="26">
        <f>IF($L170&lt;&gt;"OK",0,(INDEX(PRESIONES!$D$28:$D$31,$U170)*IF(INDEX(PRESIONES!$D$28:$D$31,$U170)&gt;0,PRESIONES!$C$9*IF($T170&lt;=10,1,($T170/10)^(2/DATOS!$C$56)),PRESIONES!$C$15)-ABERTURAS!$L$60*PRESIONES!$C$12)*$R170/$M170)</f>
        <v>0</v>
      </c>
      <c r="AC170" s="26">
        <f>IF($L170&lt;&gt;"OK",0,(INDEX(PRESIONES!$G$28:$G$31,$U170)*IF(INDEX(PRESIONES!$G$28:$G$31,$U170)&gt;0,PRESIONES!$C$9*IF($T170&lt;=10,1,($T170/10)^(2/DATOS!$C$56)),PRESIONES!$C$15)-ABERTURAS!$L$61*PRESIONES!$C$12)*$R170/$M170)</f>
        <v>0</v>
      </c>
      <c r="AD170" s="26">
        <f>IF($L170&lt;&gt;"OK",0,(INDEX(PRESIONES!$J$28:$J$31,$U170)*IF(INDEX(PRESIONES!$J$28:$J$31,$U170)&gt;0,PRESIONES!$C$9*IF($T170&lt;=10,1,($T170/10)^(2/DATOS!$C$56)),PRESIONES!$C$15)-ABERTURAS!$L$62*PRESIONES!$C$12)*$R170/$M170)</f>
        <v>0</v>
      </c>
      <c r="AE170" s="26">
        <f>IF($L170&lt;&gt;"OK",0,(INDEX(PRESIONES!$M$28:$M$31,$U170)*IF(INDEX(PRESIONES!$M$28:$M$31,$U170)&gt;0,PRESIONES!$C$9*IF($T170&lt;=10,1,($T170/10)^(2/DATOS!$C$56)),PRESIONES!$C$15)-ABERTURAS!$L$63*PRESIONES!$C$12)*$R170/$M170)</f>
        <v>0</v>
      </c>
      <c r="AF170" s="26">
        <f>IF($L170&lt;&gt;"OK",0,(INDEX(PRESIONES!$D$28:$D$31,$U170)*IF(INDEX(PRESIONES!$D$28:$D$31,$U170)&gt;0,PRESIONES!$C$9*IF($T170&lt;=10,1,($T170/10)^(2/DATOS!$C$56)),PRESIONES!$C$15)-ABERTURAS!$L$64*PRESIONES!$C$12)*$S170/$M170)</f>
        <v>0</v>
      </c>
      <c r="AG170" s="26">
        <f>IF($L170&lt;&gt;"OK",0,(INDEX(PRESIONES!$G$28:$G$31,$U170)*IF(INDEX(PRESIONES!$G$28:$G$31,$U170)&gt;0,PRESIONES!$C$9*IF($T170&lt;=10,1,($T170/10)^(2/DATOS!$C$56)),PRESIONES!$C$15)-ABERTURAS!$L$65*PRESIONES!$C$12)*$S170/$M170)</f>
        <v>0</v>
      </c>
      <c r="AH170" s="26">
        <f>IF($L170&lt;&gt;"OK",0,(INDEX(PRESIONES!$J$28:$J$31,$U170)*IF(INDEX(PRESIONES!$J$28:$J$31,$U170)&gt;0,PRESIONES!$C$9*IF($T170&lt;=10,1,($T170/10)^(2/DATOS!$C$56)),PRESIONES!$C$15)-ABERTURAS!$L$66*PRESIONES!$C$12)*$S170/$M170)</f>
        <v>0</v>
      </c>
      <c r="AI170" s="26">
        <f>IF($L170&lt;&gt;"OK",0,(INDEX(PRESIONES!$M$28:$M$31,$U170)*IF(INDEX(PRESIONES!$M$28:$M$31,$U170)&gt;0,PRESIONES!$C$9*IF($T170&lt;=10,1,($T170/10)^(2/DATOS!$C$56)),PRESIONES!$C$15)-ABERTURAS!$L$67*PRESIONES!$C$12)*$S170/$M170)</f>
        <v>0</v>
      </c>
    </row>
    <row r="171" spans="2:35" ht="15" customHeight="1" x14ac:dyDescent="0.3">
      <c r="B171" s="4"/>
      <c r="C171" s="15"/>
      <c r="D171" s="4"/>
      <c r="E171" s="15"/>
      <c r="F171" s="40"/>
      <c r="G171" s="40"/>
      <c r="H171" s="40"/>
      <c r="I171" s="40"/>
      <c r="J171" s="40"/>
      <c r="K171" s="40"/>
      <c r="L171" s="18" t="str">
        <f t="shared" si="48"/>
        <v/>
      </c>
      <c r="M171" s="26">
        <f t="shared" si="49"/>
        <v>0</v>
      </c>
      <c r="N171" s="26">
        <f t="shared" si="50"/>
        <v>0</v>
      </c>
      <c r="O171" s="26">
        <f t="shared" si="51"/>
        <v>0</v>
      </c>
      <c r="P171" s="26">
        <f>IF($U171=0,0,SUMPRODUCT((ABERTURAS!$N$7:$N$26=$U171)*ABERTURAS!$U$7:$U$26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Q171" s="26">
        <f>IF($U171=0,0,SUMPRODUCT((ABERTURAS!$N$7:$N$26=$U171)*ABERTURAS!$V$7:$V$26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R171" s="26">
        <f t="shared" si="52"/>
        <v>0</v>
      </c>
      <c r="S171" s="26">
        <f t="shared" si="53"/>
        <v>0</v>
      </c>
      <c r="T171" s="41">
        <f t="shared" si="54"/>
        <v>0</v>
      </c>
      <c r="U171" s="41">
        <f t="shared" si="55"/>
        <v>0</v>
      </c>
      <c r="V171" s="41">
        <f t="shared" si="56"/>
        <v>0</v>
      </c>
      <c r="W171" s="41">
        <f t="shared" si="57"/>
        <v>0</v>
      </c>
      <c r="X171" s="41">
        <f t="shared" si="58"/>
        <v>0</v>
      </c>
      <c r="Y171" s="41">
        <f t="shared" si="59"/>
        <v>0</v>
      </c>
      <c r="Z171" s="41">
        <f t="shared" si="60"/>
        <v>0</v>
      </c>
      <c r="AA171" s="41">
        <f t="shared" si="61"/>
        <v>0</v>
      </c>
      <c r="AB171" s="26">
        <f>IF($L171&lt;&gt;"OK",0,(INDEX(PRESIONES!$D$28:$D$31,$U171)*IF(INDEX(PRESIONES!$D$28:$D$31,$U171)&gt;0,PRESIONES!$C$9*IF($T171&lt;=10,1,($T171/10)^(2/DATOS!$C$56)),PRESIONES!$C$15)-ABERTURAS!$L$60*PRESIONES!$C$12)*$R171/$M171)</f>
        <v>0</v>
      </c>
      <c r="AC171" s="26">
        <f>IF($L171&lt;&gt;"OK",0,(INDEX(PRESIONES!$G$28:$G$31,$U171)*IF(INDEX(PRESIONES!$G$28:$G$31,$U171)&gt;0,PRESIONES!$C$9*IF($T171&lt;=10,1,($T171/10)^(2/DATOS!$C$56)),PRESIONES!$C$15)-ABERTURAS!$L$61*PRESIONES!$C$12)*$R171/$M171)</f>
        <v>0</v>
      </c>
      <c r="AD171" s="26">
        <f>IF($L171&lt;&gt;"OK",0,(INDEX(PRESIONES!$J$28:$J$31,$U171)*IF(INDEX(PRESIONES!$J$28:$J$31,$U171)&gt;0,PRESIONES!$C$9*IF($T171&lt;=10,1,($T171/10)^(2/DATOS!$C$56)),PRESIONES!$C$15)-ABERTURAS!$L$62*PRESIONES!$C$12)*$R171/$M171)</f>
        <v>0</v>
      </c>
      <c r="AE171" s="26">
        <f>IF($L171&lt;&gt;"OK",0,(INDEX(PRESIONES!$M$28:$M$31,$U171)*IF(INDEX(PRESIONES!$M$28:$M$31,$U171)&gt;0,PRESIONES!$C$9*IF($T171&lt;=10,1,($T171/10)^(2/DATOS!$C$56)),PRESIONES!$C$15)-ABERTURAS!$L$63*PRESIONES!$C$12)*$R171/$M171)</f>
        <v>0</v>
      </c>
      <c r="AF171" s="26">
        <f>IF($L171&lt;&gt;"OK",0,(INDEX(PRESIONES!$D$28:$D$31,$U171)*IF(INDEX(PRESIONES!$D$28:$D$31,$U171)&gt;0,PRESIONES!$C$9*IF($T171&lt;=10,1,($T171/10)^(2/DATOS!$C$56)),PRESIONES!$C$15)-ABERTURAS!$L$64*PRESIONES!$C$12)*$S171/$M171)</f>
        <v>0</v>
      </c>
      <c r="AG171" s="26">
        <f>IF($L171&lt;&gt;"OK",0,(INDEX(PRESIONES!$G$28:$G$31,$U171)*IF(INDEX(PRESIONES!$G$28:$G$31,$U171)&gt;0,PRESIONES!$C$9*IF($T171&lt;=10,1,($T171/10)^(2/DATOS!$C$56)),PRESIONES!$C$15)-ABERTURAS!$L$65*PRESIONES!$C$12)*$S171/$M171)</f>
        <v>0</v>
      </c>
      <c r="AH171" s="26">
        <f>IF($L171&lt;&gt;"OK",0,(INDEX(PRESIONES!$J$28:$J$31,$U171)*IF(INDEX(PRESIONES!$J$28:$J$31,$U171)&gt;0,PRESIONES!$C$9*IF($T171&lt;=10,1,($T171/10)^(2/DATOS!$C$56)),PRESIONES!$C$15)-ABERTURAS!$L$66*PRESIONES!$C$12)*$S171/$M171)</f>
        <v>0</v>
      </c>
      <c r="AI171" s="26">
        <f>IF($L171&lt;&gt;"OK",0,(INDEX(PRESIONES!$M$28:$M$31,$U171)*IF(INDEX(PRESIONES!$M$28:$M$31,$U171)&gt;0,PRESIONES!$C$9*IF($T171&lt;=10,1,($T171/10)^(2/DATOS!$C$56)),PRESIONES!$C$15)-ABERTURAS!$L$67*PRESIONES!$C$12)*$S171/$M171)</f>
        <v>0</v>
      </c>
    </row>
    <row r="172" spans="2:35" ht="15" customHeight="1" x14ac:dyDescent="0.3">
      <c r="B172" s="4"/>
      <c r="C172" s="15"/>
      <c r="D172" s="4"/>
      <c r="E172" s="15"/>
      <c r="F172" s="40"/>
      <c r="G172" s="40"/>
      <c r="H172" s="40"/>
      <c r="I172" s="40"/>
      <c r="J172" s="40"/>
      <c r="K172" s="40"/>
      <c r="L172" s="18" t="str">
        <f t="shared" si="48"/>
        <v/>
      </c>
      <c r="M172" s="26">
        <f t="shared" si="49"/>
        <v>0</v>
      </c>
      <c r="N172" s="26">
        <f t="shared" si="50"/>
        <v>0</v>
      </c>
      <c r="O172" s="26">
        <f t="shared" si="51"/>
        <v>0</v>
      </c>
      <c r="P172" s="26">
        <f>IF($U172=0,0,SUMPRODUCT((ABERTURAS!$N$7:$N$26=$U172)*ABERTURAS!$U$7:$U$26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Q172" s="26">
        <f>IF($U172=0,0,SUMPRODUCT((ABERTURAS!$N$7:$N$26=$U172)*ABERTURAS!$V$7:$V$26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R172" s="26">
        <f t="shared" si="52"/>
        <v>0</v>
      </c>
      <c r="S172" s="26">
        <f t="shared" si="53"/>
        <v>0</v>
      </c>
      <c r="T172" s="41">
        <f t="shared" si="54"/>
        <v>0</v>
      </c>
      <c r="U172" s="41">
        <f t="shared" si="55"/>
        <v>0</v>
      </c>
      <c r="V172" s="41">
        <f t="shared" si="56"/>
        <v>0</v>
      </c>
      <c r="W172" s="41">
        <f t="shared" si="57"/>
        <v>0</v>
      </c>
      <c r="X172" s="41">
        <f t="shared" si="58"/>
        <v>0</v>
      </c>
      <c r="Y172" s="41">
        <f t="shared" si="59"/>
        <v>0</v>
      </c>
      <c r="Z172" s="41">
        <f t="shared" si="60"/>
        <v>0</v>
      </c>
      <c r="AA172" s="41">
        <f t="shared" si="61"/>
        <v>0</v>
      </c>
      <c r="AB172" s="26">
        <f>IF($L172&lt;&gt;"OK",0,(INDEX(PRESIONES!$D$28:$D$31,$U172)*IF(INDEX(PRESIONES!$D$28:$D$31,$U172)&gt;0,PRESIONES!$C$9*IF($T172&lt;=10,1,($T172/10)^(2/DATOS!$C$56)),PRESIONES!$C$15)-ABERTURAS!$L$60*PRESIONES!$C$12)*$R172/$M172)</f>
        <v>0</v>
      </c>
      <c r="AC172" s="26">
        <f>IF($L172&lt;&gt;"OK",0,(INDEX(PRESIONES!$G$28:$G$31,$U172)*IF(INDEX(PRESIONES!$G$28:$G$31,$U172)&gt;0,PRESIONES!$C$9*IF($T172&lt;=10,1,($T172/10)^(2/DATOS!$C$56)),PRESIONES!$C$15)-ABERTURAS!$L$61*PRESIONES!$C$12)*$R172/$M172)</f>
        <v>0</v>
      </c>
      <c r="AD172" s="26">
        <f>IF($L172&lt;&gt;"OK",0,(INDEX(PRESIONES!$J$28:$J$31,$U172)*IF(INDEX(PRESIONES!$J$28:$J$31,$U172)&gt;0,PRESIONES!$C$9*IF($T172&lt;=10,1,($T172/10)^(2/DATOS!$C$56)),PRESIONES!$C$15)-ABERTURAS!$L$62*PRESIONES!$C$12)*$R172/$M172)</f>
        <v>0</v>
      </c>
      <c r="AE172" s="26">
        <f>IF($L172&lt;&gt;"OK",0,(INDEX(PRESIONES!$M$28:$M$31,$U172)*IF(INDEX(PRESIONES!$M$28:$M$31,$U172)&gt;0,PRESIONES!$C$9*IF($T172&lt;=10,1,($T172/10)^(2/DATOS!$C$56)),PRESIONES!$C$15)-ABERTURAS!$L$63*PRESIONES!$C$12)*$R172/$M172)</f>
        <v>0</v>
      </c>
      <c r="AF172" s="26">
        <f>IF($L172&lt;&gt;"OK",0,(INDEX(PRESIONES!$D$28:$D$31,$U172)*IF(INDEX(PRESIONES!$D$28:$D$31,$U172)&gt;0,PRESIONES!$C$9*IF($T172&lt;=10,1,($T172/10)^(2/DATOS!$C$56)),PRESIONES!$C$15)-ABERTURAS!$L$64*PRESIONES!$C$12)*$S172/$M172)</f>
        <v>0</v>
      </c>
      <c r="AG172" s="26">
        <f>IF($L172&lt;&gt;"OK",0,(INDEX(PRESIONES!$G$28:$G$31,$U172)*IF(INDEX(PRESIONES!$G$28:$G$31,$U172)&gt;0,PRESIONES!$C$9*IF($T172&lt;=10,1,($T172/10)^(2/DATOS!$C$56)),PRESIONES!$C$15)-ABERTURAS!$L$65*PRESIONES!$C$12)*$S172/$M172)</f>
        <v>0</v>
      </c>
      <c r="AH172" s="26">
        <f>IF($L172&lt;&gt;"OK",0,(INDEX(PRESIONES!$J$28:$J$31,$U172)*IF(INDEX(PRESIONES!$J$28:$J$31,$U172)&gt;0,PRESIONES!$C$9*IF($T172&lt;=10,1,($T172/10)^(2/DATOS!$C$56)),PRESIONES!$C$15)-ABERTURAS!$L$66*PRESIONES!$C$12)*$S172/$M172)</f>
        <v>0</v>
      </c>
      <c r="AI172" s="26">
        <f>IF($L172&lt;&gt;"OK",0,(INDEX(PRESIONES!$M$28:$M$31,$U172)*IF(INDEX(PRESIONES!$M$28:$M$31,$U172)&gt;0,PRESIONES!$C$9*IF($T172&lt;=10,1,($T172/10)^(2/DATOS!$C$56)),PRESIONES!$C$15)-ABERTURAS!$L$67*PRESIONES!$C$12)*$S172/$M172)</f>
        <v>0</v>
      </c>
    </row>
    <row r="173" spans="2:35" ht="15" customHeight="1" x14ac:dyDescent="0.3">
      <c r="B173" s="4"/>
      <c r="C173" s="15"/>
      <c r="D173" s="4"/>
      <c r="E173" s="15"/>
      <c r="F173" s="40"/>
      <c r="G173" s="40"/>
      <c r="H173" s="40"/>
      <c r="I173" s="40"/>
      <c r="J173" s="40"/>
      <c r="K173" s="40"/>
      <c r="L173" s="18" t="str">
        <f t="shared" ref="L173:L194" si="62">IF($D173="","",IF(LEFT($C173,4)&lt;&gt;"MURO","PON EL MURO",IF(AND($E173&lt;&gt;"HORIZONTAL",$E173&lt;&gt;"VERTICAL"),"PON EL SENTIDO",IF(OR($F173="",$G173="",$H173="",$I173=""),"FALTAN a o b",IF($M173&lt;=0,"a₂ DEBE SER &gt; a₁",IF($N173&lt;=0,"b₂ DEBE SER &gt; b₁","OK"))))))</f>
        <v/>
      </c>
      <c r="M173" s="26">
        <f t="shared" ref="M173:M194" si="63">IF($D173="",0,MAX(0,$G173-$F173))</f>
        <v>0</v>
      </c>
      <c r="N173" s="26">
        <f t="shared" ref="N173:N194" si="64">MAX(0,$W173-$V173)</f>
        <v>0</v>
      </c>
      <c r="O173" s="26">
        <f t="shared" ref="O173:O194" si="65">$M173*$N173</f>
        <v>0</v>
      </c>
      <c r="P173" s="26">
        <f>IF($U173=0,0,SUMPRODUCT((ABERTURAS!$N$7:$N$26=$U173)*ABERTURAS!$U$7:$U$26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Q173" s="26">
        <f>IF($U173=0,0,SUMPRODUCT((ABERTURAS!$N$7:$N$26=$U173)*ABERTURAS!$V$7:$V$26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R173" s="26">
        <f t="shared" ref="R173:R194" si="66">MAX(0,$O173-$P173)</f>
        <v>0</v>
      </c>
      <c r="S173" s="26">
        <f t="shared" ref="S173:S194" si="67">MAX(0,$O173-$Q173)</f>
        <v>0</v>
      </c>
      <c r="T173" s="41">
        <f t="shared" ref="T173:T194" si="68">IF($D173="",0,IF($E173="VERTICAL",N($G173),MAX(N($I173),IF($K173="",N($I173),$K173))))</f>
        <v>0</v>
      </c>
      <c r="U173" s="41">
        <f t="shared" ref="U173:U194" si="69">IF($L173&lt;&gt;"OK",0,VALUE(RIGHT($C173,1)))</f>
        <v>0</v>
      </c>
      <c r="V173" s="41">
        <f t="shared" ref="V173:V194" si="70">IF($D173="",0,(N($H173)+IF($J173="",N($H173),$J173))/2)</f>
        <v>0</v>
      </c>
      <c r="W173" s="41">
        <f t="shared" ref="W173:W194" si="71">IF($D173="",0,(N($I173)+IF($K173="",N($I173),$K173))/2)</f>
        <v>0</v>
      </c>
      <c r="X173" s="41">
        <f t="shared" ref="X173:X194" si="72">IF($E173="VERTICAL",$V173,N($F173))</f>
        <v>0</v>
      </c>
      <c r="Y173" s="41">
        <f t="shared" ref="Y173:Y194" si="73">IF($E173="VERTICAL",$W173,N($G173))</f>
        <v>0</v>
      </c>
      <c r="Z173" s="41">
        <f t="shared" ref="Z173:Z194" si="74">IF($E173="VERTICAL",N($F173),$V173)</f>
        <v>0</v>
      </c>
      <c r="AA173" s="41">
        <f t="shared" ref="AA173:AA194" si="75">IF($E173="VERTICAL",N($G173),$W173)</f>
        <v>0</v>
      </c>
      <c r="AB173" s="26">
        <f>IF($L173&lt;&gt;"OK",0,(INDEX(PRESIONES!$D$28:$D$31,$U173)*IF(INDEX(PRESIONES!$D$28:$D$31,$U173)&gt;0,PRESIONES!$C$9*IF($T173&lt;=10,1,($T173/10)^(2/DATOS!$C$56)),PRESIONES!$C$15)-ABERTURAS!$L$60*PRESIONES!$C$12)*$R173/$M173)</f>
        <v>0</v>
      </c>
      <c r="AC173" s="26">
        <f>IF($L173&lt;&gt;"OK",0,(INDEX(PRESIONES!$G$28:$G$31,$U173)*IF(INDEX(PRESIONES!$G$28:$G$31,$U173)&gt;0,PRESIONES!$C$9*IF($T173&lt;=10,1,($T173/10)^(2/DATOS!$C$56)),PRESIONES!$C$15)-ABERTURAS!$L$61*PRESIONES!$C$12)*$R173/$M173)</f>
        <v>0</v>
      </c>
      <c r="AD173" s="26">
        <f>IF($L173&lt;&gt;"OK",0,(INDEX(PRESIONES!$J$28:$J$31,$U173)*IF(INDEX(PRESIONES!$J$28:$J$31,$U173)&gt;0,PRESIONES!$C$9*IF($T173&lt;=10,1,($T173/10)^(2/DATOS!$C$56)),PRESIONES!$C$15)-ABERTURAS!$L$62*PRESIONES!$C$12)*$R173/$M173)</f>
        <v>0</v>
      </c>
      <c r="AE173" s="26">
        <f>IF($L173&lt;&gt;"OK",0,(INDEX(PRESIONES!$M$28:$M$31,$U173)*IF(INDEX(PRESIONES!$M$28:$M$31,$U173)&gt;0,PRESIONES!$C$9*IF($T173&lt;=10,1,($T173/10)^(2/DATOS!$C$56)),PRESIONES!$C$15)-ABERTURAS!$L$63*PRESIONES!$C$12)*$R173/$M173)</f>
        <v>0</v>
      </c>
      <c r="AF173" s="26">
        <f>IF($L173&lt;&gt;"OK",0,(INDEX(PRESIONES!$D$28:$D$31,$U173)*IF(INDEX(PRESIONES!$D$28:$D$31,$U173)&gt;0,PRESIONES!$C$9*IF($T173&lt;=10,1,($T173/10)^(2/DATOS!$C$56)),PRESIONES!$C$15)-ABERTURAS!$L$64*PRESIONES!$C$12)*$S173/$M173)</f>
        <v>0</v>
      </c>
      <c r="AG173" s="26">
        <f>IF($L173&lt;&gt;"OK",0,(INDEX(PRESIONES!$G$28:$G$31,$U173)*IF(INDEX(PRESIONES!$G$28:$G$31,$U173)&gt;0,PRESIONES!$C$9*IF($T173&lt;=10,1,($T173/10)^(2/DATOS!$C$56)),PRESIONES!$C$15)-ABERTURAS!$L$65*PRESIONES!$C$12)*$S173/$M173)</f>
        <v>0</v>
      </c>
      <c r="AH173" s="26">
        <f>IF($L173&lt;&gt;"OK",0,(INDEX(PRESIONES!$J$28:$J$31,$U173)*IF(INDEX(PRESIONES!$J$28:$J$31,$U173)&gt;0,PRESIONES!$C$9*IF($T173&lt;=10,1,($T173/10)^(2/DATOS!$C$56)),PRESIONES!$C$15)-ABERTURAS!$L$66*PRESIONES!$C$12)*$S173/$M173)</f>
        <v>0</v>
      </c>
      <c r="AI173" s="26">
        <f>IF($L173&lt;&gt;"OK",0,(INDEX(PRESIONES!$M$28:$M$31,$U173)*IF(INDEX(PRESIONES!$M$28:$M$31,$U173)&gt;0,PRESIONES!$C$9*IF($T173&lt;=10,1,($T173/10)^(2/DATOS!$C$56)),PRESIONES!$C$15)-ABERTURAS!$L$67*PRESIONES!$C$12)*$S173/$M173)</f>
        <v>0</v>
      </c>
    </row>
    <row r="174" spans="2:35" ht="15" customHeight="1" x14ac:dyDescent="0.3">
      <c r="B174" s="4"/>
      <c r="C174" s="15"/>
      <c r="D174" s="4"/>
      <c r="E174" s="15"/>
      <c r="F174" s="40"/>
      <c r="G174" s="40"/>
      <c r="H174" s="40"/>
      <c r="I174" s="40"/>
      <c r="J174" s="40"/>
      <c r="K174" s="40"/>
      <c r="L174" s="18" t="str">
        <f t="shared" si="62"/>
        <v/>
      </c>
      <c r="M174" s="26">
        <f t="shared" si="63"/>
        <v>0</v>
      </c>
      <c r="N174" s="26">
        <f t="shared" si="64"/>
        <v>0</v>
      </c>
      <c r="O174" s="26">
        <f t="shared" si="65"/>
        <v>0</v>
      </c>
      <c r="P174" s="26">
        <f>IF($U174=0,0,SUMPRODUCT((ABERTURAS!$N$7:$N$26=$U174)*ABERTURAS!$U$7:$U$26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Q174" s="26">
        <f>IF($U174=0,0,SUMPRODUCT((ABERTURAS!$N$7:$N$26=$U174)*ABERTURAS!$V$7:$V$26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R174" s="26">
        <f t="shared" si="66"/>
        <v>0</v>
      </c>
      <c r="S174" s="26">
        <f t="shared" si="67"/>
        <v>0</v>
      </c>
      <c r="T174" s="41">
        <f t="shared" si="68"/>
        <v>0</v>
      </c>
      <c r="U174" s="41">
        <f t="shared" si="69"/>
        <v>0</v>
      </c>
      <c r="V174" s="41">
        <f t="shared" si="70"/>
        <v>0</v>
      </c>
      <c r="W174" s="41">
        <f t="shared" si="71"/>
        <v>0</v>
      </c>
      <c r="X174" s="41">
        <f t="shared" si="72"/>
        <v>0</v>
      </c>
      <c r="Y174" s="41">
        <f t="shared" si="73"/>
        <v>0</v>
      </c>
      <c r="Z174" s="41">
        <f t="shared" si="74"/>
        <v>0</v>
      </c>
      <c r="AA174" s="41">
        <f t="shared" si="75"/>
        <v>0</v>
      </c>
      <c r="AB174" s="26">
        <f>IF($L174&lt;&gt;"OK",0,(INDEX(PRESIONES!$D$28:$D$31,$U174)*IF(INDEX(PRESIONES!$D$28:$D$31,$U174)&gt;0,PRESIONES!$C$9*IF($T174&lt;=10,1,($T174/10)^(2/DATOS!$C$56)),PRESIONES!$C$15)-ABERTURAS!$L$60*PRESIONES!$C$12)*$R174/$M174)</f>
        <v>0</v>
      </c>
      <c r="AC174" s="26">
        <f>IF($L174&lt;&gt;"OK",0,(INDEX(PRESIONES!$G$28:$G$31,$U174)*IF(INDEX(PRESIONES!$G$28:$G$31,$U174)&gt;0,PRESIONES!$C$9*IF($T174&lt;=10,1,($T174/10)^(2/DATOS!$C$56)),PRESIONES!$C$15)-ABERTURAS!$L$61*PRESIONES!$C$12)*$R174/$M174)</f>
        <v>0</v>
      </c>
      <c r="AD174" s="26">
        <f>IF($L174&lt;&gt;"OK",0,(INDEX(PRESIONES!$J$28:$J$31,$U174)*IF(INDEX(PRESIONES!$J$28:$J$31,$U174)&gt;0,PRESIONES!$C$9*IF($T174&lt;=10,1,($T174/10)^(2/DATOS!$C$56)),PRESIONES!$C$15)-ABERTURAS!$L$62*PRESIONES!$C$12)*$R174/$M174)</f>
        <v>0</v>
      </c>
      <c r="AE174" s="26">
        <f>IF($L174&lt;&gt;"OK",0,(INDEX(PRESIONES!$M$28:$M$31,$U174)*IF(INDEX(PRESIONES!$M$28:$M$31,$U174)&gt;0,PRESIONES!$C$9*IF($T174&lt;=10,1,($T174/10)^(2/DATOS!$C$56)),PRESIONES!$C$15)-ABERTURAS!$L$63*PRESIONES!$C$12)*$R174/$M174)</f>
        <v>0</v>
      </c>
      <c r="AF174" s="26">
        <f>IF($L174&lt;&gt;"OK",0,(INDEX(PRESIONES!$D$28:$D$31,$U174)*IF(INDEX(PRESIONES!$D$28:$D$31,$U174)&gt;0,PRESIONES!$C$9*IF($T174&lt;=10,1,($T174/10)^(2/DATOS!$C$56)),PRESIONES!$C$15)-ABERTURAS!$L$64*PRESIONES!$C$12)*$S174/$M174)</f>
        <v>0</v>
      </c>
      <c r="AG174" s="26">
        <f>IF($L174&lt;&gt;"OK",0,(INDEX(PRESIONES!$G$28:$G$31,$U174)*IF(INDEX(PRESIONES!$G$28:$G$31,$U174)&gt;0,PRESIONES!$C$9*IF($T174&lt;=10,1,($T174/10)^(2/DATOS!$C$56)),PRESIONES!$C$15)-ABERTURAS!$L$65*PRESIONES!$C$12)*$S174/$M174)</f>
        <v>0</v>
      </c>
      <c r="AH174" s="26">
        <f>IF($L174&lt;&gt;"OK",0,(INDEX(PRESIONES!$J$28:$J$31,$U174)*IF(INDEX(PRESIONES!$J$28:$J$31,$U174)&gt;0,PRESIONES!$C$9*IF($T174&lt;=10,1,($T174/10)^(2/DATOS!$C$56)),PRESIONES!$C$15)-ABERTURAS!$L$66*PRESIONES!$C$12)*$S174/$M174)</f>
        <v>0</v>
      </c>
      <c r="AI174" s="26">
        <f>IF($L174&lt;&gt;"OK",0,(INDEX(PRESIONES!$M$28:$M$31,$U174)*IF(INDEX(PRESIONES!$M$28:$M$31,$U174)&gt;0,PRESIONES!$C$9*IF($T174&lt;=10,1,($T174/10)^(2/DATOS!$C$56)),PRESIONES!$C$15)-ABERTURAS!$L$67*PRESIONES!$C$12)*$S174/$M174)</f>
        <v>0</v>
      </c>
    </row>
    <row r="175" spans="2:35" ht="15" customHeight="1" x14ac:dyDescent="0.3">
      <c r="B175" s="4"/>
      <c r="C175" s="15"/>
      <c r="D175" s="4"/>
      <c r="E175" s="15"/>
      <c r="F175" s="40"/>
      <c r="G175" s="40"/>
      <c r="H175" s="40"/>
      <c r="I175" s="40"/>
      <c r="J175" s="40"/>
      <c r="K175" s="40"/>
      <c r="L175" s="18" t="str">
        <f t="shared" si="62"/>
        <v/>
      </c>
      <c r="M175" s="26">
        <f t="shared" si="63"/>
        <v>0</v>
      </c>
      <c r="N175" s="26">
        <f t="shared" si="64"/>
        <v>0</v>
      </c>
      <c r="O175" s="26">
        <f t="shared" si="65"/>
        <v>0</v>
      </c>
      <c r="P175" s="26">
        <f>IF($U175=0,0,SUMPRODUCT((ABERTURAS!$N$7:$N$26=$U175)*ABERTURAS!$U$7:$U$26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Q175" s="26">
        <f>IF($U175=0,0,SUMPRODUCT((ABERTURAS!$N$7:$N$26=$U175)*ABERTURAS!$V$7:$V$26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R175" s="26">
        <f t="shared" si="66"/>
        <v>0</v>
      </c>
      <c r="S175" s="26">
        <f t="shared" si="67"/>
        <v>0</v>
      </c>
      <c r="T175" s="41">
        <f t="shared" si="68"/>
        <v>0</v>
      </c>
      <c r="U175" s="41">
        <f t="shared" si="69"/>
        <v>0</v>
      </c>
      <c r="V175" s="41">
        <f t="shared" si="70"/>
        <v>0</v>
      </c>
      <c r="W175" s="41">
        <f t="shared" si="71"/>
        <v>0</v>
      </c>
      <c r="X175" s="41">
        <f t="shared" si="72"/>
        <v>0</v>
      </c>
      <c r="Y175" s="41">
        <f t="shared" si="73"/>
        <v>0</v>
      </c>
      <c r="Z175" s="41">
        <f t="shared" si="74"/>
        <v>0</v>
      </c>
      <c r="AA175" s="41">
        <f t="shared" si="75"/>
        <v>0</v>
      </c>
      <c r="AB175" s="26">
        <f>IF($L175&lt;&gt;"OK",0,(INDEX(PRESIONES!$D$28:$D$31,$U175)*IF(INDEX(PRESIONES!$D$28:$D$31,$U175)&gt;0,PRESIONES!$C$9*IF($T175&lt;=10,1,($T175/10)^(2/DATOS!$C$56)),PRESIONES!$C$15)-ABERTURAS!$L$60*PRESIONES!$C$12)*$R175/$M175)</f>
        <v>0</v>
      </c>
      <c r="AC175" s="26">
        <f>IF($L175&lt;&gt;"OK",0,(INDEX(PRESIONES!$G$28:$G$31,$U175)*IF(INDEX(PRESIONES!$G$28:$G$31,$U175)&gt;0,PRESIONES!$C$9*IF($T175&lt;=10,1,($T175/10)^(2/DATOS!$C$56)),PRESIONES!$C$15)-ABERTURAS!$L$61*PRESIONES!$C$12)*$R175/$M175)</f>
        <v>0</v>
      </c>
      <c r="AD175" s="26">
        <f>IF($L175&lt;&gt;"OK",0,(INDEX(PRESIONES!$J$28:$J$31,$U175)*IF(INDEX(PRESIONES!$J$28:$J$31,$U175)&gt;0,PRESIONES!$C$9*IF($T175&lt;=10,1,($T175/10)^(2/DATOS!$C$56)),PRESIONES!$C$15)-ABERTURAS!$L$62*PRESIONES!$C$12)*$R175/$M175)</f>
        <v>0</v>
      </c>
      <c r="AE175" s="26">
        <f>IF($L175&lt;&gt;"OK",0,(INDEX(PRESIONES!$M$28:$M$31,$U175)*IF(INDEX(PRESIONES!$M$28:$M$31,$U175)&gt;0,PRESIONES!$C$9*IF($T175&lt;=10,1,($T175/10)^(2/DATOS!$C$56)),PRESIONES!$C$15)-ABERTURAS!$L$63*PRESIONES!$C$12)*$R175/$M175)</f>
        <v>0</v>
      </c>
      <c r="AF175" s="26">
        <f>IF($L175&lt;&gt;"OK",0,(INDEX(PRESIONES!$D$28:$D$31,$U175)*IF(INDEX(PRESIONES!$D$28:$D$31,$U175)&gt;0,PRESIONES!$C$9*IF($T175&lt;=10,1,($T175/10)^(2/DATOS!$C$56)),PRESIONES!$C$15)-ABERTURAS!$L$64*PRESIONES!$C$12)*$S175/$M175)</f>
        <v>0</v>
      </c>
      <c r="AG175" s="26">
        <f>IF($L175&lt;&gt;"OK",0,(INDEX(PRESIONES!$G$28:$G$31,$U175)*IF(INDEX(PRESIONES!$G$28:$G$31,$U175)&gt;0,PRESIONES!$C$9*IF($T175&lt;=10,1,($T175/10)^(2/DATOS!$C$56)),PRESIONES!$C$15)-ABERTURAS!$L$65*PRESIONES!$C$12)*$S175/$M175)</f>
        <v>0</v>
      </c>
      <c r="AH175" s="26">
        <f>IF($L175&lt;&gt;"OK",0,(INDEX(PRESIONES!$J$28:$J$31,$U175)*IF(INDEX(PRESIONES!$J$28:$J$31,$U175)&gt;0,PRESIONES!$C$9*IF($T175&lt;=10,1,($T175/10)^(2/DATOS!$C$56)),PRESIONES!$C$15)-ABERTURAS!$L$66*PRESIONES!$C$12)*$S175/$M175)</f>
        <v>0</v>
      </c>
      <c r="AI175" s="26">
        <f>IF($L175&lt;&gt;"OK",0,(INDEX(PRESIONES!$M$28:$M$31,$U175)*IF(INDEX(PRESIONES!$M$28:$M$31,$U175)&gt;0,PRESIONES!$C$9*IF($T175&lt;=10,1,($T175/10)^(2/DATOS!$C$56)),PRESIONES!$C$15)-ABERTURAS!$L$67*PRESIONES!$C$12)*$S175/$M175)</f>
        <v>0</v>
      </c>
    </row>
    <row r="176" spans="2:35" ht="15" customHeight="1" x14ac:dyDescent="0.3">
      <c r="B176" s="4"/>
      <c r="C176" s="15"/>
      <c r="D176" s="4"/>
      <c r="E176" s="15"/>
      <c r="F176" s="40"/>
      <c r="G176" s="40"/>
      <c r="H176" s="40"/>
      <c r="I176" s="40"/>
      <c r="J176" s="40"/>
      <c r="K176" s="40"/>
      <c r="L176" s="18" t="str">
        <f t="shared" si="62"/>
        <v/>
      </c>
      <c r="M176" s="26">
        <f t="shared" si="63"/>
        <v>0</v>
      </c>
      <c r="N176" s="26">
        <f t="shared" si="64"/>
        <v>0</v>
      </c>
      <c r="O176" s="26">
        <f t="shared" si="65"/>
        <v>0</v>
      </c>
      <c r="P176" s="26">
        <f>IF($U176=0,0,SUMPRODUCT((ABERTURAS!$N$7:$N$26=$U176)*ABERTURAS!$U$7:$U$26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Q176" s="26">
        <f>IF($U176=0,0,SUMPRODUCT((ABERTURAS!$N$7:$N$26=$U176)*ABERTURAS!$V$7:$V$26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R176" s="26">
        <f t="shared" si="66"/>
        <v>0</v>
      </c>
      <c r="S176" s="26">
        <f t="shared" si="67"/>
        <v>0</v>
      </c>
      <c r="T176" s="41">
        <f t="shared" si="68"/>
        <v>0</v>
      </c>
      <c r="U176" s="41">
        <f t="shared" si="69"/>
        <v>0</v>
      </c>
      <c r="V176" s="41">
        <f t="shared" si="70"/>
        <v>0</v>
      </c>
      <c r="W176" s="41">
        <f t="shared" si="71"/>
        <v>0</v>
      </c>
      <c r="X176" s="41">
        <f t="shared" si="72"/>
        <v>0</v>
      </c>
      <c r="Y176" s="41">
        <f t="shared" si="73"/>
        <v>0</v>
      </c>
      <c r="Z176" s="41">
        <f t="shared" si="74"/>
        <v>0</v>
      </c>
      <c r="AA176" s="41">
        <f t="shared" si="75"/>
        <v>0</v>
      </c>
      <c r="AB176" s="26">
        <f>IF($L176&lt;&gt;"OK",0,(INDEX(PRESIONES!$D$28:$D$31,$U176)*IF(INDEX(PRESIONES!$D$28:$D$31,$U176)&gt;0,PRESIONES!$C$9*IF($T176&lt;=10,1,($T176/10)^(2/DATOS!$C$56)),PRESIONES!$C$15)-ABERTURAS!$L$60*PRESIONES!$C$12)*$R176/$M176)</f>
        <v>0</v>
      </c>
      <c r="AC176" s="26">
        <f>IF($L176&lt;&gt;"OK",0,(INDEX(PRESIONES!$G$28:$G$31,$U176)*IF(INDEX(PRESIONES!$G$28:$G$31,$U176)&gt;0,PRESIONES!$C$9*IF($T176&lt;=10,1,($T176/10)^(2/DATOS!$C$56)),PRESIONES!$C$15)-ABERTURAS!$L$61*PRESIONES!$C$12)*$R176/$M176)</f>
        <v>0</v>
      </c>
      <c r="AD176" s="26">
        <f>IF($L176&lt;&gt;"OK",0,(INDEX(PRESIONES!$J$28:$J$31,$U176)*IF(INDEX(PRESIONES!$J$28:$J$31,$U176)&gt;0,PRESIONES!$C$9*IF($T176&lt;=10,1,($T176/10)^(2/DATOS!$C$56)),PRESIONES!$C$15)-ABERTURAS!$L$62*PRESIONES!$C$12)*$R176/$M176)</f>
        <v>0</v>
      </c>
      <c r="AE176" s="26">
        <f>IF($L176&lt;&gt;"OK",0,(INDEX(PRESIONES!$M$28:$M$31,$U176)*IF(INDEX(PRESIONES!$M$28:$M$31,$U176)&gt;0,PRESIONES!$C$9*IF($T176&lt;=10,1,($T176/10)^(2/DATOS!$C$56)),PRESIONES!$C$15)-ABERTURAS!$L$63*PRESIONES!$C$12)*$R176/$M176)</f>
        <v>0</v>
      </c>
      <c r="AF176" s="26">
        <f>IF($L176&lt;&gt;"OK",0,(INDEX(PRESIONES!$D$28:$D$31,$U176)*IF(INDEX(PRESIONES!$D$28:$D$31,$U176)&gt;0,PRESIONES!$C$9*IF($T176&lt;=10,1,($T176/10)^(2/DATOS!$C$56)),PRESIONES!$C$15)-ABERTURAS!$L$64*PRESIONES!$C$12)*$S176/$M176)</f>
        <v>0</v>
      </c>
      <c r="AG176" s="26">
        <f>IF($L176&lt;&gt;"OK",0,(INDEX(PRESIONES!$G$28:$G$31,$U176)*IF(INDEX(PRESIONES!$G$28:$G$31,$U176)&gt;0,PRESIONES!$C$9*IF($T176&lt;=10,1,($T176/10)^(2/DATOS!$C$56)),PRESIONES!$C$15)-ABERTURAS!$L$65*PRESIONES!$C$12)*$S176/$M176)</f>
        <v>0</v>
      </c>
      <c r="AH176" s="26">
        <f>IF($L176&lt;&gt;"OK",0,(INDEX(PRESIONES!$J$28:$J$31,$U176)*IF(INDEX(PRESIONES!$J$28:$J$31,$U176)&gt;0,PRESIONES!$C$9*IF($T176&lt;=10,1,($T176/10)^(2/DATOS!$C$56)),PRESIONES!$C$15)-ABERTURAS!$L$66*PRESIONES!$C$12)*$S176/$M176)</f>
        <v>0</v>
      </c>
      <c r="AI176" s="26">
        <f>IF($L176&lt;&gt;"OK",0,(INDEX(PRESIONES!$M$28:$M$31,$U176)*IF(INDEX(PRESIONES!$M$28:$M$31,$U176)&gt;0,PRESIONES!$C$9*IF($T176&lt;=10,1,($T176/10)^(2/DATOS!$C$56)),PRESIONES!$C$15)-ABERTURAS!$L$67*PRESIONES!$C$12)*$S176/$M176)</f>
        <v>0</v>
      </c>
    </row>
    <row r="177" spans="2:35" ht="15" customHeight="1" x14ac:dyDescent="0.3">
      <c r="B177" s="4"/>
      <c r="C177" s="15"/>
      <c r="D177" s="4"/>
      <c r="E177" s="15"/>
      <c r="F177" s="40"/>
      <c r="G177" s="40"/>
      <c r="H177" s="40"/>
      <c r="I177" s="40"/>
      <c r="J177" s="40"/>
      <c r="K177" s="40"/>
      <c r="L177" s="18" t="str">
        <f t="shared" si="62"/>
        <v/>
      </c>
      <c r="M177" s="26">
        <f t="shared" si="63"/>
        <v>0</v>
      </c>
      <c r="N177" s="26">
        <f t="shared" si="64"/>
        <v>0</v>
      </c>
      <c r="O177" s="26">
        <f t="shared" si="65"/>
        <v>0</v>
      </c>
      <c r="P177" s="26">
        <f>IF($U177=0,0,SUMPRODUCT((ABERTURAS!$N$7:$N$26=$U177)*ABERTURAS!$U$7:$U$26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Q177" s="26">
        <f>IF($U177=0,0,SUMPRODUCT((ABERTURAS!$N$7:$N$26=$U177)*ABERTURAS!$V$7:$V$26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R177" s="26">
        <f t="shared" si="66"/>
        <v>0</v>
      </c>
      <c r="S177" s="26">
        <f t="shared" si="67"/>
        <v>0</v>
      </c>
      <c r="T177" s="41">
        <f t="shared" si="68"/>
        <v>0</v>
      </c>
      <c r="U177" s="41">
        <f t="shared" si="69"/>
        <v>0</v>
      </c>
      <c r="V177" s="41">
        <f t="shared" si="70"/>
        <v>0</v>
      </c>
      <c r="W177" s="41">
        <f t="shared" si="71"/>
        <v>0</v>
      </c>
      <c r="X177" s="41">
        <f t="shared" si="72"/>
        <v>0</v>
      </c>
      <c r="Y177" s="41">
        <f t="shared" si="73"/>
        <v>0</v>
      </c>
      <c r="Z177" s="41">
        <f t="shared" si="74"/>
        <v>0</v>
      </c>
      <c r="AA177" s="41">
        <f t="shared" si="75"/>
        <v>0</v>
      </c>
      <c r="AB177" s="26">
        <f>IF($L177&lt;&gt;"OK",0,(INDEX(PRESIONES!$D$28:$D$31,$U177)*IF(INDEX(PRESIONES!$D$28:$D$31,$U177)&gt;0,PRESIONES!$C$9*IF($T177&lt;=10,1,($T177/10)^(2/DATOS!$C$56)),PRESIONES!$C$15)-ABERTURAS!$L$60*PRESIONES!$C$12)*$R177/$M177)</f>
        <v>0</v>
      </c>
      <c r="AC177" s="26">
        <f>IF($L177&lt;&gt;"OK",0,(INDEX(PRESIONES!$G$28:$G$31,$U177)*IF(INDEX(PRESIONES!$G$28:$G$31,$U177)&gt;0,PRESIONES!$C$9*IF($T177&lt;=10,1,($T177/10)^(2/DATOS!$C$56)),PRESIONES!$C$15)-ABERTURAS!$L$61*PRESIONES!$C$12)*$R177/$M177)</f>
        <v>0</v>
      </c>
      <c r="AD177" s="26">
        <f>IF($L177&lt;&gt;"OK",0,(INDEX(PRESIONES!$J$28:$J$31,$U177)*IF(INDEX(PRESIONES!$J$28:$J$31,$U177)&gt;0,PRESIONES!$C$9*IF($T177&lt;=10,1,($T177/10)^(2/DATOS!$C$56)),PRESIONES!$C$15)-ABERTURAS!$L$62*PRESIONES!$C$12)*$R177/$M177)</f>
        <v>0</v>
      </c>
      <c r="AE177" s="26">
        <f>IF($L177&lt;&gt;"OK",0,(INDEX(PRESIONES!$M$28:$M$31,$U177)*IF(INDEX(PRESIONES!$M$28:$M$31,$U177)&gt;0,PRESIONES!$C$9*IF($T177&lt;=10,1,($T177/10)^(2/DATOS!$C$56)),PRESIONES!$C$15)-ABERTURAS!$L$63*PRESIONES!$C$12)*$R177/$M177)</f>
        <v>0</v>
      </c>
      <c r="AF177" s="26">
        <f>IF($L177&lt;&gt;"OK",0,(INDEX(PRESIONES!$D$28:$D$31,$U177)*IF(INDEX(PRESIONES!$D$28:$D$31,$U177)&gt;0,PRESIONES!$C$9*IF($T177&lt;=10,1,($T177/10)^(2/DATOS!$C$56)),PRESIONES!$C$15)-ABERTURAS!$L$64*PRESIONES!$C$12)*$S177/$M177)</f>
        <v>0</v>
      </c>
      <c r="AG177" s="26">
        <f>IF($L177&lt;&gt;"OK",0,(INDEX(PRESIONES!$G$28:$G$31,$U177)*IF(INDEX(PRESIONES!$G$28:$G$31,$U177)&gt;0,PRESIONES!$C$9*IF($T177&lt;=10,1,($T177/10)^(2/DATOS!$C$56)),PRESIONES!$C$15)-ABERTURAS!$L$65*PRESIONES!$C$12)*$S177/$M177)</f>
        <v>0</v>
      </c>
      <c r="AH177" s="26">
        <f>IF($L177&lt;&gt;"OK",0,(INDEX(PRESIONES!$J$28:$J$31,$U177)*IF(INDEX(PRESIONES!$J$28:$J$31,$U177)&gt;0,PRESIONES!$C$9*IF($T177&lt;=10,1,($T177/10)^(2/DATOS!$C$56)),PRESIONES!$C$15)-ABERTURAS!$L$66*PRESIONES!$C$12)*$S177/$M177)</f>
        <v>0</v>
      </c>
      <c r="AI177" s="26">
        <f>IF($L177&lt;&gt;"OK",0,(INDEX(PRESIONES!$M$28:$M$31,$U177)*IF(INDEX(PRESIONES!$M$28:$M$31,$U177)&gt;0,PRESIONES!$C$9*IF($T177&lt;=10,1,($T177/10)^(2/DATOS!$C$56)),PRESIONES!$C$15)-ABERTURAS!$L$67*PRESIONES!$C$12)*$S177/$M177)</f>
        <v>0</v>
      </c>
    </row>
    <row r="178" spans="2:35" ht="15" customHeight="1" x14ac:dyDescent="0.3">
      <c r="B178" s="4"/>
      <c r="C178" s="15"/>
      <c r="D178" s="4"/>
      <c r="E178" s="15"/>
      <c r="F178" s="40"/>
      <c r="G178" s="40"/>
      <c r="H178" s="40"/>
      <c r="I178" s="40"/>
      <c r="J178" s="40"/>
      <c r="K178" s="40"/>
      <c r="L178" s="18" t="str">
        <f t="shared" si="62"/>
        <v/>
      </c>
      <c r="M178" s="26">
        <f t="shared" si="63"/>
        <v>0</v>
      </c>
      <c r="N178" s="26">
        <f t="shared" si="64"/>
        <v>0</v>
      </c>
      <c r="O178" s="26">
        <f t="shared" si="65"/>
        <v>0</v>
      </c>
      <c r="P178" s="26">
        <f>IF($U178=0,0,SUMPRODUCT((ABERTURAS!$N$7:$N$26=$U178)*ABERTURAS!$U$7:$U$26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Q178" s="26">
        <f>IF($U178=0,0,SUMPRODUCT((ABERTURAS!$N$7:$N$26=$U178)*ABERTURAS!$V$7:$V$26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R178" s="26">
        <f t="shared" si="66"/>
        <v>0</v>
      </c>
      <c r="S178" s="26">
        <f t="shared" si="67"/>
        <v>0</v>
      </c>
      <c r="T178" s="41">
        <f t="shared" si="68"/>
        <v>0</v>
      </c>
      <c r="U178" s="41">
        <f t="shared" si="69"/>
        <v>0</v>
      </c>
      <c r="V178" s="41">
        <f t="shared" si="70"/>
        <v>0</v>
      </c>
      <c r="W178" s="41">
        <f t="shared" si="71"/>
        <v>0</v>
      </c>
      <c r="X178" s="41">
        <f t="shared" si="72"/>
        <v>0</v>
      </c>
      <c r="Y178" s="41">
        <f t="shared" si="73"/>
        <v>0</v>
      </c>
      <c r="Z178" s="41">
        <f t="shared" si="74"/>
        <v>0</v>
      </c>
      <c r="AA178" s="41">
        <f t="shared" si="75"/>
        <v>0</v>
      </c>
      <c r="AB178" s="26">
        <f>IF($L178&lt;&gt;"OK",0,(INDEX(PRESIONES!$D$28:$D$31,$U178)*IF(INDEX(PRESIONES!$D$28:$D$31,$U178)&gt;0,PRESIONES!$C$9*IF($T178&lt;=10,1,($T178/10)^(2/DATOS!$C$56)),PRESIONES!$C$15)-ABERTURAS!$L$60*PRESIONES!$C$12)*$R178/$M178)</f>
        <v>0</v>
      </c>
      <c r="AC178" s="26">
        <f>IF($L178&lt;&gt;"OK",0,(INDEX(PRESIONES!$G$28:$G$31,$U178)*IF(INDEX(PRESIONES!$G$28:$G$31,$U178)&gt;0,PRESIONES!$C$9*IF($T178&lt;=10,1,($T178/10)^(2/DATOS!$C$56)),PRESIONES!$C$15)-ABERTURAS!$L$61*PRESIONES!$C$12)*$R178/$M178)</f>
        <v>0</v>
      </c>
      <c r="AD178" s="26">
        <f>IF($L178&lt;&gt;"OK",0,(INDEX(PRESIONES!$J$28:$J$31,$U178)*IF(INDEX(PRESIONES!$J$28:$J$31,$U178)&gt;0,PRESIONES!$C$9*IF($T178&lt;=10,1,($T178/10)^(2/DATOS!$C$56)),PRESIONES!$C$15)-ABERTURAS!$L$62*PRESIONES!$C$12)*$R178/$M178)</f>
        <v>0</v>
      </c>
      <c r="AE178" s="26">
        <f>IF($L178&lt;&gt;"OK",0,(INDEX(PRESIONES!$M$28:$M$31,$U178)*IF(INDEX(PRESIONES!$M$28:$M$31,$U178)&gt;0,PRESIONES!$C$9*IF($T178&lt;=10,1,($T178/10)^(2/DATOS!$C$56)),PRESIONES!$C$15)-ABERTURAS!$L$63*PRESIONES!$C$12)*$R178/$M178)</f>
        <v>0</v>
      </c>
      <c r="AF178" s="26">
        <f>IF($L178&lt;&gt;"OK",0,(INDEX(PRESIONES!$D$28:$D$31,$U178)*IF(INDEX(PRESIONES!$D$28:$D$31,$U178)&gt;0,PRESIONES!$C$9*IF($T178&lt;=10,1,($T178/10)^(2/DATOS!$C$56)),PRESIONES!$C$15)-ABERTURAS!$L$64*PRESIONES!$C$12)*$S178/$M178)</f>
        <v>0</v>
      </c>
      <c r="AG178" s="26">
        <f>IF($L178&lt;&gt;"OK",0,(INDEX(PRESIONES!$G$28:$G$31,$U178)*IF(INDEX(PRESIONES!$G$28:$G$31,$U178)&gt;0,PRESIONES!$C$9*IF($T178&lt;=10,1,($T178/10)^(2/DATOS!$C$56)),PRESIONES!$C$15)-ABERTURAS!$L$65*PRESIONES!$C$12)*$S178/$M178)</f>
        <v>0</v>
      </c>
      <c r="AH178" s="26">
        <f>IF($L178&lt;&gt;"OK",0,(INDEX(PRESIONES!$J$28:$J$31,$U178)*IF(INDEX(PRESIONES!$J$28:$J$31,$U178)&gt;0,PRESIONES!$C$9*IF($T178&lt;=10,1,($T178/10)^(2/DATOS!$C$56)),PRESIONES!$C$15)-ABERTURAS!$L$66*PRESIONES!$C$12)*$S178/$M178)</f>
        <v>0</v>
      </c>
      <c r="AI178" s="26">
        <f>IF($L178&lt;&gt;"OK",0,(INDEX(PRESIONES!$M$28:$M$31,$U178)*IF(INDEX(PRESIONES!$M$28:$M$31,$U178)&gt;0,PRESIONES!$C$9*IF($T178&lt;=10,1,($T178/10)^(2/DATOS!$C$56)),PRESIONES!$C$15)-ABERTURAS!$L$67*PRESIONES!$C$12)*$S178/$M178)</f>
        <v>0</v>
      </c>
    </row>
    <row r="179" spans="2:35" ht="15" customHeight="1" x14ac:dyDescent="0.3">
      <c r="B179" s="4"/>
      <c r="C179" s="15"/>
      <c r="D179" s="4"/>
      <c r="E179" s="15"/>
      <c r="F179" s="40"/>
      <c r="G179" s="40"/>
      <c r="H179" s="40"/>
      <c r="I179" s="40"/>
      <c r="J179" s="40"/>
      <c r="K179" s="40"/>
      <c r="L179" s="18" t="str">
        <f t="shared" si="62"/>
        <v/>
      </c>
      <c r="M179" s="26">
        <f t="shared" si="63"/>
        <v>0</v>
      </c>
      <c r="N179" s="26">
        <f t="shared" si="64"/>
        <v>0</v>
      </c>
      <c r="O179" s="26">
        <f t="shared" si="65"/>
        <v>0</v>
      </c>
      <c r="P179" s="26">
        <f>IF($U179=0,0,SUMPRODUCT((ABERTURAS!$N$7:$N$26=$U179)*ABERTURAS!$U$7:$U$26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Q179" s="26">
        <f>IF($U179=0,0,SUMPRODUCT((ABERTURAS!$N$7:$N$26=$U179)*ABERTURAS!$V$7:$V$26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R179" s="26">
        <f t="shared" si="66"/>
        <v>0</v>
      </c>
      <c r="S179" s="26">
        <f t="shared" si="67"/>
        <v>0</v>
      </c>
      <c r="T179" s="41">
        <f t="shared" si="68"/>
        <v>0</v>
      </c>
      <c r="U179" s="41">
        <f t="shared" si="69"/>
        <v>0</v>
      </c>
      <c r="V179" s="41">
        <f t="shared" si="70"/>
        <v>0</v>
      </c>
      <c r="W179" s="41">
        <f t="shared" si="71"/>
        <v>0</v>
      </c>
      <c r="X179" s="41">
        <f t="shared" si="72"/>
        <v>0</v>
      </c>
      <c r="Y179" s="41">
        <f t="shared" si="73"/>
        <v>0</v>
      </c>
      <c r="Z179" s="41">
        <f t="shared" si="74"/>
        <v>0</v>
      </c>
      <c r="AA179" s="41">
        <f t="shared" si="75"/>
        <v>0</v>
      </c>
      <c r="AB179" s="26">
        <f>IF($L179&lt;&gt;"OK",0,(INDEX(PRESIONES!$D$28:$D$31,$U179)*IF(INDEX(PRESIONES!$D$28:$D$31,$U179)&gt;0,PRESIONES!$C$9*IF($T179&lt;=10,1,($T179/10)^(2/DATOS!$C$56)),PRESIONES!$C$15)-ABERTURAS!$L$60*PRESIONES!$C$12)*$R179/$M179)</f>
        <v>0</v>
      </c>
      <c r="AC179" s="26">
        <f>IF($L179&lt;&gt;"OK",0,(INDEX(PRESIONES!$G$28:$G$31,$U179)*IF(INDEX(PRESIONES!$G$28:$G$31,$U179)&gt;0,PRESIONES!$C$9*IF($T179&lt;=10,1,($T179/10)^(2/DATOS!$C$56)),PRESIONES!$C$15)-ABERTURAS!$L$61*PRESIONES!$C$12)*$R179/$M179)</f>
        <v>0</v>
      </c>
      <c r="AD179" s="26">
        <f>IF($L179&lt;&gt;"OK",0,(INDEX(PRESIONES!$J$28:$J$31,$U179)*IF(INDEX(PRESIONES!$J$28:$J$31,$U179)&gt;0,PRESIONES!$C$9*IF($T179&lt;=10,1,($T179/10)^(2/DATOS!$C$56)),PRESIONES!$C$15)-ABERTURAS!$L$62*PRESIONES!$C$12)*$R179/$M179)</f>
        <v>0</v>
      </c>
      <c r="AE179" s="26">
        <f>IF($L179&lt;&gt;"OK",0,(INDEX(PRESIONES!$M$28:$M$31,$U179)*IF(INDEX(PRESIONES!$M$28:$M$31,$U179)&gt;0,PRESIONES!$C$9*IF($T179&lt;=10,1,($T179/10)^(2/DATOS!$C$56)),PRESIONES!$C$15)-ABERTURAS!$L$63*PRESIONES!$C$12)*$R179/$M179)</f>
        <v>0</v>
      </c>
      <c r="AF179" s="26">
        <f>IF($L179&lt;&gt;"OK",0,(INDEX(PRESIONES!$D$28:$D$31,$U179)*IF(INDEX(PRESIONES!$D$28:$D$31,$U179)&gt;0,PRESIONES!$C$9*IF($T179&lt;=10,1,($T179/10)^(2/DATOS!$C$56)),PRESIONES!$C$15)-ABERTURAS!$L$64*PRESIONES!$C$12)*$S179/$M179)</f>
        <v>0</v>
      </c>
      <c r="AG179" s="26">
        <f>IF($L179&lt;&gt;"OK",0,(INDEX(PRESIONES!$G$28:$G$31,$U179)*IF(INDEX(PRESIONES!$G$28:$G$31,$U179)&gt;0,PRESIONES!$C$9*IF($T179&lt;=10,1,($T179/10)^(2/DATOS!$C$56)),PRESIONES!$C$15)-ABERTURAS!$L$65*PRESIONES!$C$12)*$S179/$M179)</f>
        <v>0</v>
      </c>
      <c r="AH179" s="26">
        <f>IF($L179&lt;&gt;"OK",0,(INDEX(PRESIONES!$J$28:$J$31,$U179)*IF(INDEX(PRESIONES!$J$28:$J$31,$U179)&gt;0,PRESIONES!$C$9*IF($T179&lt;=10,1,($T179/10)^(2/DATOS!$C$56)),PRESIONES!$C$15)-ABERTURAS!$L$66*PRESIONES!$C$12)*$S179/$M179)</f>
        <v>0</v>
      </c>
      <c r="AI179" s="26">
        <f>IF($L179&lt;&gt;"OK",0,(INDEX(PRESIONES!$M$28:$M$31,$U179)*IF(INDEX(PRESIONES!$M$28:$M$31,$U179)&gt;0,PRESIONES!$C$9*IF($T179&lt;=10,1,($T179/10)^(2/DATOS!$C$56)),PRESIONES!$C$15)-ABERTURAS!$L$67*PRESIONES!$C$12)*$S179/$M179)</f>
        <v>0</v>
      </c>
    </row>
    <row r="180" spans="2:35" ht="15" customHeight="1" x14ac:dyDescent="0.3">
      <c r="B180" s="4"/>
      <c r="C180" s="15"/>
      <c r="D180" s="4"/>
      <c r="E180" s="15"/>
      <c r="F180" s="40"/>
      <c r="G180" s="40"/>
      <c r="H180" s="40"/>
      <c r="I180" s="40"/>
      <c r="J180" s="40"/>
      <c r="K180" s="40"/>
      <c r="L180" s="18" t="str">
        <f t="shared" si="62"/>
        <v/>
      </c>
      <c r="M180" s="26">
        <f t="shared" si="63"/>
        <v>0</v>
      </c>
      <c r="N180" s="26">
        <f t="shared" si="64"/>
        <v>0</v>
      </c>
      <c r="O180" s="26">
        <f t="shared" si="65"/>
        <v>0</v>
      </c>
      <c r="P180" s="26">
        <f>IF($U180=0,0,SUMPRODUCT((ABERTURAS!$N$7:$N$26=$U180)*ABERTURAS!$U$7:$U$26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Q180" s="26">
        <f>IF($U180=0,0,SUMPRODUCT((ABERTURAS!$N$7:$N$26=$U180)*ABERTURAS!$V$7:$V$26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R180" s="26">
        <f t="shared" si="66"/>
        <v>0</v>
      </c>
      <c r="S180" s="26">
        <f t="shared" si="67"/>
        <v>0</v>
      </c>
      <c r="T180" s="41">
        <f t="shared" si="68"/>
        <v>0</v>
      </c>
      <c r="U180" s="41">
        <f t="shared" si="69"/>
        <v>0</v>
      </c>
      <c r="V180" s="41">
        <f t="shared" si="70"/>
        <v>0</v>
      </c>
      <c r="W180" s="41">
        <f t="shared" si="71"/>
        <v>0</v>
      </c>
      <c r="X180" s="41">
        <f t="shared" si="72"/>
        <v>0</v>
      </c>
      <c r="Y180" s="41">
        <f t="shared" si="73"/>
        <v>0</v>
      </c>
      <c r="Z180" s="41">
        <f t="shared" si="74"/>
        <v>0</v>
      </c>
      <c r="AA180" s="41">
        <f t="shared" si="75"/>
        <v>0</v>
      </c>
      <c r="AB180" s="26">
        <f>IF($L180&lt;&gt;"OK",0,(INDEX(PRESIONES!$D$28:$D$31,$U180)*IF(INDEX(PRESIONES!$D$28:$D$31,$U180)&gt;0,PRESIONES!$C$9*IF($T180&lt;=10,1,($T180/10)^(2/DATOS!$C$56)),PRESIONES!$C$15)-ABERTURAS!$L$60*PRESIONES!$C$12)*$R180/$M180)</f>
        <v>0</v>
      </c>
      <c r="AC180" s="26">
        <f>IF($L180&lt;&gt;"OK",0,(INDEX(PRESIONES!$G$28:$G$31,$U180)*IF(INDEX(PRESIONES!$G$28:$G$31,$U180)&gt;0,PRESIONES!$C$9*IF($T180&lt;=10,1,($T180/10)^(2/DATOS!$C$56)),PRESIONES!$C$15)-ABERTURAS!$L$61*PRESIONES!$C$12)*$R180/$M180)</f>
        <v>0</v>
      </c>
      <c r="AD180" s="26">
        <f>IF($L180&lt;&gt;"OK",0,(INDEX(PRESIONES!$J$28:$J$31,$U180)*IF(INDEX(PRESIONES!$J$28:$J$31,$U180)&gt;0,PRESIONES!$C$9*IF($T180&lt;=10,1,($T180/10)^(2/DATOS!$C$56)),PRESIONES!$C$15)-ABERTURAS!$L$62*PRESIONES!$C$12)*$R180/$M180)</f>
        <v>0</v>
      </c>
      <c r="AE180" s="26">
        <f>IF($L180&lt;&gt;"OK",0,(INDEX(PRESIONES!$M$28:$M$31,$U180)*IF(INDEX(PRESIONES!$M$28:$M$31,$U180)&gt;0,PRESIONES!$C$9*IF($T180&lt;=10,1,($T180/10)^(2/DATOS!$C$56)),PRESIONES!$C$15)-ABERTURAS!$L$63*PRESIONES!$C$12)*$R180/$M180)</f>
        <v>0</v>
      </c>
      <c r="AF180" s="26">
        <f>IF($L180&lt;&gt;"OK",0,(INDEX(PRESIONES!$D$28:$D$31,$U180)*IF(INDEX(PRESIONES!$D$28:$D$31,$U180)&gt;0,PRESIONES!$C$9*IF($T180&lt;=10,1,($T180/10)^(2/DATOS!$C$56)),PRESIONES!$C$15)-ABERTURAS!$L$64*PRESIONES!$C$12)*$S180/$M180)</f>
        <v>0</v>
      </c>
      <c r="AG180" s="26">
        <f>IF($L180&lt;&gt;"OK",0,(INDEX(PRESIONES!$G$28:$G$31,$U180)*IF(INDEX(PRESIONES!$G$28:$G$31,$U180)&gt;0,PRESIONES!$C$9*IF($T180&lt;=10,1,($T180/10)^(2/DATOS!$C$56)),PRESIONES!$C$15)-ABERTURAS!$L$65*PRESIONES!$C$12)*$S180/$M180)</f>
        <v>0</v>
      </c>
      <c r="AH180" s="26">
        <f>IF($L180&lt;&gt;"OK",0,(INDEX(PRESIONES!$J$28:$J$31,$U180)*IF(INDEX(PRESIONES!$J$28:$J$31,$U180)&gt;0,PRESIONES!$C$9*IF($T180&lt;=10,1,($T180/10)^(2/DATOS!$C$56)),PRESIONES!$C$15)-ABERTURAS!$L$66*PRESIONES!$C$12)*$S180/$M180)</f>
        <v>0</v>
      </c>
      <c r="AI180" s="26">
        <f>IF($L180&lt;&gt;"OK",0,(INDEX(PRESIONES!$M$28:$M$31,$U180)*IF(INDEX(PRESIONES!$M$28:$M$31,$U180)&gt;0,PRESIONES!$C$9*IF($T180&lt;=10,1,($T180/10)^(2/DATOS!$C$56)),PRESIONES!$C$15)-ABERTURAS!$L$67*PRESIONES!$C$12)*$S180/$M180)</f>
        <v>0</v>
      </c>
    </row>
    <row r="181" spans="2:35" ht="15" customHeight="1" x14ac:dyDescent="0.3">
      <c r="B181" s="4"/>
      <c r="C181" s="15"/>
      <c r="D181" s="4"/>
      <c r="E181" s="15"/>
      <c r="F181" s="40"/>
      <c r="G181" s="40"/>
      <c r="H181" s="40"/>
      <c r="I181" s="40"/>
      <c r="J181" s="40"/>
      <c r="K181" s="40"/>
      <c r="L181" s="18" t="str">
        <f t="shared" si="62"/>
        <v/>
      </c>
      <c r="M181" s="26">
        <f t="shared" si="63"/>
        <v>0</v>
      </c>
      <c r="N181" s="26">
        <f t="shared" si="64"/>
        <v>0</v>
      </c>
      <c r="O181" s="26">
        <f t="shared" si="65"/>
        <v>0</v>
      </c>
      <c r="P181" s="26">
        <f>IF($U181=0,0,SUMPRODUCT((ABERTURAS!$N$7:$N$26=$U181)*ABERTURAS!$U$7:$U$26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Q181" s="26">
        <f>IF($U181=0,0,SUMPRODUCT((ABERTURAS!$N$7:$N$26=$U181)*ABERTURAS!$V$7:$V$26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R181" s="26">
        <f t="shared" si="66"/>
        <v>0</v>
      </c>
      <c r="S181" s="26">
        <f t="shared" si="67"/>
        <v>0</v>
      </c>
      <c r="T181" s="41">
        <f t="shared" si="68"/>
        <v>0</v>
      </c>
      <c r="U181" s="41">
        <f t="shared" si="69"/>
        <v>0</v>
      </c>
      <c r="V181" s="41">
        <f t="shared" si="70"/>
        <v>0</v>
      </c>
      <c r="W181" s="41">
        <f t="shared" si="71"/>
        <v>0</v>
      </c>
      <c r="X181" s="41">
        <f t="shared" si="72"/>
        <v>0</v>
      </c>
      <c r="Y181" s="41">
        <f t="shared" si="73"/>
        <v>0</v>
      </c>
      <c r="Z181" s="41">
        <f t="shared" si="74"/>
        <v>0</v>
      </c>
      <c r="AA181" s="41">
        <f t="shared" si="75"/>
        <v>0</v>
      </c>
      <c r="AB181" s="26">
        <f>IF($L181&lt;&gt;"OK",0,(INDEX(PRESIONES!$D$28:$D$31,$U181)*IF(INDEX(PRESIONES!$D$28:$D$31,$U181)&gt;0,PRESIONES!$C$9*IF($T181&lt;=10,1,($T181/10)^(2/DATOS!$C$56)),PRESIONES!$C$15)-ABERTURAS!$L$60*PRESIONES!$C$12)*$R181/$M181)</f>
        <v>0</v>
      </c>
      <c r="AC181" s="26">
        <f>IF($L181&lt;&gt;"OK",0,(INDEX(PRESIONES!$G$28:$G$31,$U181)*IF(INDEX(PRESIONES!$G$28:$G$31,$U181)&gt;0,PRESIONES!$C$9*IF($T181&lt;=10,1,($T181/10)^(2/DATOS!$C$56)),PRESIONES!$C$15)-ABERTURAS!$L$61*PRESIONES!$C$12)*$R181/$M181)</f>
        <v>0</v>
      </c>
      <c r="AD181" s="26">
        <f>IF($L181&lt;&gt;"OK",0,(INDEX(PRESIONES!$J$28:$J$31,$U181)*IF(INDEX(PRESIONES!$J$28:$J$31,$U181)&gt;0,PRESIONES!$C$9*IF($T181&lt;=10,1,($T181/10)^(2/DATOS!$C$56)),PRESIONES!$C$15)-ABERTURAS!$L$62*PRESIONES!$C$12)*$R181/$M181)</f>
        <v>0</v>
      </c>
      <c r="AE181" s="26">
        <f>IF($L181&lt;&gt;"OK",0,(INDEX(PRESIONES!$M$28:$M$31,$U181)*IF(INDEX(PRESIONES!$M$28:$M$31,$U181)&gt;0,PRESIONES!$C$9*IF($T181&lt;=10,1,($T181/10)^(2/DATOS!$C$56)),PRESIONES!$C$15)-ABERTURAS!$L$63*PRESIONES!$C$12)*$R181/$M181)</f>
        <v>0</v>
      </c>
      <c r="AF181" s="26">
        <f>IF($L181&lt;&gt;"OK",0,(INDEX(PRESIONES!$D$28:$D$31,$U181)*IF(INDEX(PRESIONES!$D$28:$D$31,$U181)&gt;0,PRESIONES!$C$9*IF($T181&lt;=10,1,($T181/10)^(2/DATOS!$C$56)),PRESIONES!$C$15)-ABERTURAS!$L$64*PRESIONES!$C$12)*$S181/$M181)</f>
        <v>0</v>
      </c>
      <c r="AG181" s="26">
        <f>IF($L181&lt;&gt;"OK",0,(INDEX(PRESIONES!$G$28:$G$31,$U181)*IF(INDEX(PRESIONES!$G$28:$G$31,$U181)&gt;0,PRESIONES!$C$9*IF($T181&lt;=10,1,($T181/10)^(2/DATOS!$C$56)),PRESIONES!$C$15)-ABERTURAS!$L$65*PRESIONES!$C$12)*$S181/$M181)</f>
        <v>0</v>
      </c>
      <c r="AH181" s="26">
        <f>IF($L181&lt;&gt;"OK",0,(INDEX(PRESIONES!$J$28:$J$31,$U181)*IF(INDEX(PRESIONES!$J$28:$J$31,$U181)&gt;0,PRESIONES!$C$9*IF($T181&lt;=10,1,($T181/10)^(2/DATOS!$C$56)),PRESIONES!$C$15)-ABERTURAS!$L$66*PRESIONES!$C$12)*$S181/$M181)</f>
        <v>0</v>
      </c>
      <c r="AI181" s="26">
        <f>IF($L181&lt;&gt;"OK",0,(INDEX(PRESIONES!$M$28:$M$31,$U181)*IF(INDEX(PRESIONES!$M$28:$M$31,$U181)&gt;0,PRESIONES!$C$9*IF($T181&lt;=10,1,($T181/10)^(2/DATOS!$C$56)),PRESIONES!$C$15)-ABERTURAS!$L$67*PRESIONES!$C$12)*$S181/$M181)</f>
        <v>0</v>
      </c>
    </row>
    <row r="182" spans="2:35" ht="15" customHeight="1" x14ac:dyDescent="0.3">
      <c r="B182" s="4"/>
      <c r="C182" s="15"/>
      <c r="D182" s="4"/>
      <c r="E182" s="15"/>
      <c r="F182" s="40"/>
      <c r="G182" s="40"/>
      <c r="H182" s="40"/>
      <c r="I182" s="40"/>
      <c r="J182" s="40"/>
      <c r="K182" s="40"/>
      <c r="L182" s="18" t="str">
        <f t="shared" si="62"/>
        <v/>
      </c>
      <c r="M182" s="26">
        <f t="shared" si="63"/>
        <v>0</v>
      </c>
      <c r="N182" s="26">
        <f t="shared" si="64"/>
        <v>0</v>
      </c>
      <c r="O182" s="26">
        <f t="shared" si="65"/>
        <v>0</v>
      </c>
      <c r="P182" s="26">
        <f>IF($U182=0,0,SUMPRODUCT((ABERTURAS!$N$7:$N$26=$U182)*ABERTURAS!$U$7:$U$26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Q182" s="26">
        <f>IF($U182=0,0,SUMPRODUCT((ABERTURAS!$N$7:$N$26=$U182)*ABERTURAS!$V$7:$V$26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R182" s="26">
        <f t="shared" si="66"/>
        <v>0</v>
      </c>
      <c r="S182" s="26">
        <f t="shared" si="67"/>
        <v>0</v>
      </c>
      <c r="T182" s="41">
        <f t="shared" si="68"/>
        <v>0</v>
      </c>
      <c r="U182" s="41">
        <f t="shared" si="69"/>
        <v>0</v>
      </c>
      <c r="V182" s="41">
        <f t="shared" si="70"/>
        <v>0</v>
      </c>
      <c r="W182" s="41">
        <f t="shared" si="71"/>
        <v>0</v>
      </c>
      <c r="X182" s="41">
        <f t="shared" si="72"/>
        <v>0</v>
      </c>
      <c r="Y182" s="41">
        <f t="shared" si="73"/>
        <v>0</v>
      </c>
      <c r="Z182" s="41">
        <f t="shared" si="74"/>
        <v>0</v>
      </c>
      <c r="AA182" s="41">
        <f t="shared" si="75"/>
        <v>0</v>
      </c>
      <c r="AB182" s="26">
        <f>IF($L182&lt;&gt;"OK",0,(INDEX(PRESIONES!$D$28:$D$31,$U182)*IF(INDEX(PRESIONES!$D$28:$D$31,$U182)&gt;0,PRESIONES!$C$9*IF($T182&lt;=10,1,($T182/10)^(2/DATOS!$C$56)),PRESIONES!$C$15)-ABERTURAS!$L$60*PRESIONES!$C$12)*$R182/$M182)</f>
        <v>0</v>
      </c>
      <c r="AC182" s="26">
        <f>IF($L182&lt;&gt;"OK",0,(INDEX(PRESIONES!$G$28:$G$31,$U182)*IF(INDEX(PRESIONES!$G$28:$G$31,$U182)&gt;0,PRESIONES!$C$9*IF($T182&lt;=10,1,($T182/10)^(2/DATOS!$C$56)),PRESIONES!$C$15)-ABERTURAS!$L$61*PRESIONES!$C$12)*$R182/$M182)</f>
        <v>0</v>
      </c>
      <c r="AD182" s="26">
        <f>IF($L182&lt;&gt;"OK",0,(INDEX(PRESIONES!$J$28:$J$31,$U182)*IF(INDEX(PRESIONES!$J$28:$J$31,$U182)&gt;0,PRESIONES!$C$9*IF($T182&lt;=10,1,($T182/10)^(2/DATOS!$C$56)),PRESIONES!$C$15)-ABERTURAS!$L$62*PRESIONES!$C$12)*$R182/$M182)</f>
        <v>0</v>
      </c>
      <c r="AE182" s="26">
        <f>IF($L182&lt;&gt;"OK",0,(INDEX(PRESIONES!$M$28:$M$31,$U182)*IF(INDEX(PRESIONES!$M$28:$M$31,$U182)&gt;0,PRESIONES!$C$9*IF($T182&lt;=10,1,($T182/10)^(2/DATOS!$C$56)),PRESIONES!$C$15)-ABERTURAS!$L$63*PRESIONES!$C$12)*$R182/$M182)</f>
        <v>0</v>
      </c>
      <c r="AF182" s="26">
        <f>IF($L182&lt;&gt;"OK",0,(INDEX(PRESIONES!$D$28:$D$31,$U182)*IF(INDEX(PRESIONES!$D$28:$D$31,$U182)&gt;0,PRESIONES!$C$9*IF($T182&lt;=10,1,($T182/10)^(2/DATOS!$C$56)),PRESIONES!$C$15)-ABERTURAS!$L$64*PRESIONES!$C$12)*$S182/$M182)</f>
        <v>0</v>
      </c>
      <c r="AG182" s="26">
        <f>IF($L182&lt;&gt;"OK",0,(INDEX(PRESIONES!$G$28:$G$31,$U182)*IF(INDEX(PRESIONES!$G$28:$G$31,$U182)&gt;0,PRESIONES!$C$9*IF($T182&lt;=10,1,($T182/10)^(2/DATOS!$C$56)),PRESIONES!$C$15)-ABERTURAS!$L$65*PRESIONES!$C$12)*$S182/$M182)</f>
        <v>0</v>
      </c>
      <c r="AH182" s="26">
        <f>IF($L182&lt;&gt;"OK",0,(INDEX(PRESIONES!$J$28:$J$31,$U182)*IF(INDEX(PRESIONES!$J$28:$J$31,$U182)&gt;0,PRESIONES!$C$9*IF($T182&lt;=10,1,($T182/10)^(2/DATOS!$C$56)),PRESIONES!$C$15)-ABERTURAS!$L$66*PRESIONES!$C$12)*$S182/$M182)</f>
        <v>0</v>
      </c>
      <c r="AI182" s="26">
        <f>IF($L182&lt;&gt;"OK",0,(INDEX(PRESIONES!$M$28:$M$31,$U182)*IF(INDEX(PRESIONES!$M$28:$M$31,$U182)&gt;0,PRESIONES!$C$9*IF($T182&lt;=10,1,($T182/10)^(2/DATOS!$C$56)),PRESIONES!$C$15)-ABERTURAS!$L$67*PRESIONES!$C$12)*$S182/$M182)</f>
        <v>0</v>
      </c>
    </row>
    <row r="183" spans="2:35" ht="15" customHeight="1" x14ac:dyDescent="0.3">
      <c r="B183" s="4"/>
      <c r="C183" s="15"/>
      <c r="D183" s="4"/>
      <c r="E183" s="15"/>
      <c r="F183" s="40"/>
      <c r="G183" s="40"/>
      <c r="H183" s="40"/>
      <c r="I183" s="40"/>
      <c r="J183" s="40"/>
      <c r="K183" s="40"/>
      <c r="L183" s="18" t="str">
        <f t="shared" si="62"/>
        <v/>
      </c>
      <c r="M183" s="26">
        <f t="shared" si="63"/>
        <v>0</v>
      </c>
      <c r="N183" s="26">
        <f t="shared" si="64"/>
        <v>0</v>
      </c>
      <c r="O183" s="26">
        <f t="shared" si="65"/>
        <v>0</v>
      </c>
      <c r="P183" s="26">
        <f>IF($U183=0,0,SUMPRODUCT((ABERTURAS!$N$7:$N$26=$U183)*ABERTURAS!$U$7:$U$26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Q183" s="26">
        <f>IF($U183=0,0,SUMPRODUCT((ABERTURAS!$N$7:$N$26=$U183)*ABERTURAS!$V$7:$V$26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R183" s="26">
        <f t="shared" si="66"/>
        <v>0</v>
      </c>
      <c r="S183" s="26">
        <f t="shared" si="67"/>
        <v>0</v>
      </c>
      <c r="T183" s="41">
        <f t="shared" si="68"/>
        <v>0</v>
      </c>
      <c r="U183" s="41">
        <f t="shared" si="69"/>
        <v>0</v>
      </c>
      <c r="V183" s="41">
        <f t="shared" si="70"/>
        <v>0</v>
      </c>
      <c r="W183" s="41">
        <f t="shared" si="71"/>
        <v>0</v>
      </c>
      <c r="X183" s="41">
        <f t="shared" si="72"/>
        <v>0</v>
      </c>
      <c r="Y183" s="41">
        <f t="shared" si="73"/>
        <v>0</v>
      </c>
      <c r="Z183" s="41">
        <f t="shared" si="74"/>
        <v>0</v>
      </c>
      <c r="AA183" s="41">
        <f t="shared" si="75"/>
        <v>0</v>
      </c>
      <c r="AB183" s="26">
        <f>IF($L183&lt;&gt;"OK",0,(INDEX(PRESIONES!$D$28:$D$31,$U183)*IF(INDEX(PRESIONES!$D$28:$D$31,$U183)&gt;0,PRESIONES!$C$9*IF($T183&lt;=10,1,($T183/10)^(2/DATOS!$C$56)),PRESIONES!$C$15)-ABERTURAS!$L$60*PRESIONES!$C$12)*$R183/$M183)</f>
        <v>0</v>
      </c>
      <c r="AC183" s="26">
        <f>IF($L183&lt;&gt;"OK",0,(INDEX(PRESIONES!$G$28:$G$31,$U183)*IF(INDEX(PRESIONES!$G$28:$G$31,$U183)&gt;0,PRESIONES!$C$9*IF($T183&lt;=10,1,($T183/10)^(2/DATOS!$C$56)),PRESIONES!$C$15)-ABERTURAS!$L$61*PRESIONES!$C$12)*$R183/$M183)</f>
        <v>0</v>
      </c>
      <c r="AD183" s="26">
        <f>IF($L183&lt;&gt;"OK",0,(INDEX(PRESIONES!$J$28:$J$31,$U183)*IF(INDEX(PRESIONES!$J$28:$J$31,$U183)&gt;0,PRESIONES!$C$9*IF($T183&lt;=10,1,($T183/10)^(2/DATOS!$C$56)),PRESIONES!$C$15)-ABERTURAS!$L$62*PRESIONES!$C$12)*$R183/$M183)</f>
        <v>0</v>
      </c>
      <c r="AE183" s="26">
        <f>IF($L183&lt;&gt;"OK",0,(INDEX(PRESIONES!$M$28:$M$31,$U183)*IF(INDEX(PRESIONES!$M$28:$M$31,$U183)&gt;0,PRESIONES!$C$9*IF($T183&lt;=10,1,($T183/10)^(2/DATOS!$C$56)),PRESIONES!$C$15)-ABERTURAS!$L$63*PRESIONES!$C$12)*$R183/$M183)</f>
        <v>0</v>
      </c>
      <c r="AF183" s="26">
        <f>IF($L183&lt;&gt;"OK",0,(INDEX(PRESIONES!$D$28:$D$31,$U183)*IF(INDEX(PRESIONES!$D$28:$D$31,$U183)&gt;0,PRESIONES!$C$9*IF($T183&lt;=10,1,($T183/10)^(2/DATOS!$C$56)),PRESIONES!$C$15)-ABERTURAS!$L$64*PRESIONES!$C$12)*$S183/$M183)</f>
        <v>0</v>
      </c>
      <c r="AG183" s="26">
        <f>IF($L183&lt;&gt;"OK",0,(INDEX(PRESIONES!$G$28:$G$31,$U183)*IF(INDEX(PRESIONES!$G$28:$G$31,$U183)&gt;0,PRESIONES!$C$9*IF($T183&lt;=10,1,($T183/10)^(2/DATOS!$C$56)),PRESIONES!$C$15)-ABERTURAS!$L$65*PRESIONES!$C$12)*$S183/$M183)</f>
        <v>0</v>
      </c>
      <c r="AH183" s="26">
        <f>IF($L183&lt;&gt;"OK",0,(INDEX(PRESIONES!$J$28:$J$31,$U183)*IF(INDEX(PRESIONES!$J$28:$J$31,$U183)&gt;0,PRESIONES!$C$9*IF($T183&lt;=10,1,($T183/10)^(2/DATOS!$C$56)),PRESIONES!$C$15)-ABERTURAS!$L$66*PRESIONES!$C$12)*$S183/$M183)</f>
        <v>0</v>
      </c>
      <c r="AI183" s="26">
        <f>IF($L183&lt;&gt;"OK",0,(INDEX(PRESIONES!$M$28:$M$31,$U183)*IF(INDEX(PRESIONES!$M$28:$M$31,$U183)&gt;0,PRESIONES!$C$9*IF($T183&lt;=10,1,($T183/10)^(2/DATOS!$C$56)),PRESIONES!$C$15)-ABERTURAS!$L$67*PRESIONES!$C$12)*$S183/$M183)</f>
        <v>0</v>
      </c>
    </row>
    <row r="184" spans="2:35" ht="15" customHeight="1" x14ac:dyDescent="0.3">
      <c r="B184" s="4"/>
      <c r="C184" s="15"/>
      <c r="D184" s="4"/>
      <c r="E184" s="15"/>
      <c r="F184" s="40"/>
      <c r="G184" s="40"/>
      <c r="H184" s="40"/>
      <c r="I184" s="40"/>
      <c r="J184" s="40"/>
      <c r="K184" s="40"/>
      <c r="L184" s="18" t="str">
        <f t="shared" si="62"/>
        <v/>
      </c>
      <c r="M184" s="26">
        <f t="shared" si="63"/>
        <v>0</v>
      </c>
      <c r="N184" s="26">
        <f t="shared" si="64"/>
        <v>0</v>
      </c>
      <c r="O184" s="26">
        <f t="shared" si="65"/>
        <v>0</v>
      </c>
      <c r="P184" s="26">
        <f>IF($U184=0,0,SUMPRODUCT((ABERTURAS!$N$7:$N$26=$U184)*ABERTURAS!$U$7:$U$26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Q184" s="26">
        <f>IF($U184=0,0,SUMPRODUCT((ABERTURAS!$N$7:$N$26=$U184)*ABERTURAS!$V$7:$V$26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R184" s="26">
        <f t="shared" si="66"/>
        <v>0</v>
      </c>
      <c r="S184" s="26">
        <f t="shared" si="67"/>
        <v>0</v>
      </c>
      <c r="T184" s="41">
        <f t="shared" si="68"/>
        <v>0</v>
      </c>
      <c r="U184" s="41">
        <f t="shared" si="69"/>
        <v>0</v>
      </c>
      <c r="V184" s="41">
        <f t="shared" si="70"/>
        <v>0</v>
      </c>
      <c r="W184" s="41">
        <f t="shared" si="71"/>
        <v>0</v>
      </c>
      <c r="X184" s="41">
        <f t="shared" si="72"/>
        <v>0</v>
      </c>
      <c r="Y184" s="41">
        <f t="shared" si="73"/>
        <v>0</v>
      </c>
      <c r="Z184" s="41">
        <f t="shared" si="74"/>
        <v>0</v>
      </c>
      <c r="AA184" s="41">
        <f t="shared" si="75"/>
        <v>0</v>
      </c>
      <c r="AB184" s="26">
        <f>IF($L184&lt;&gt;"OK",0,(INDEX(PRESIONES!$D$28:$D$31,$U184)*IF(INDEX(PRESIONES!$D$28:$D$31,$U184)&gt;0,PRESIONES!$C$9*IF($T184&lt;=10,1,($T184/10)^(2/DATOS!$C$56)),PRESIONES!$C$15)-ABERTURAS!$L$60*PRESIONES!$C$12)*$R184/$M184)</f>
        <v>0</v>
      </c>
      <c r="AC184" s="26">
        <f>IF($L184&lt;&gt;"OK",0,(INDEX(PRESIONES!$G$28:$G$31,$U184)*IF(INDEX(PRESIONES!$G$28:$G$31,$U184)&gt;0,PRESIONES!$C$9*IF($T184&lt;=10,1,($T184/10)^(2/DATOS!$C$56)),PRESIONES!$C$15)-ABERTURAS!$L$61*PRESIONES!$C$12)*$R184/$M184)</f>
        <v>0</v>
      </c>
      <c r="AD184" s="26">
        <f>IF($L184&lt;&gt;"OK",0,(INDEX(PRESIONES!$J$28:$J$31,$U184)*IF(INDEX(PRESIONES!$J$28:$J$31,$U184)&gt;0,PRESIONES!$C$9*IF($T184&lt;=10,1,($T184/10)^(2/DATOS!$C$56)),PRESIONES!$C$15)-ABERTURAS!$L$62*PRESIONES!$C$12)*$R184/$M184)</f>
        <v>0</v>
      </c>
      <c r="AE184" s="26">
        <f>IF($L184&lt;&gt;"OK",0,(INDEX(PRESIONES!$M$28:$M$31,$U184)*IF(INDEX(PRESIONES!$M$28:$M$31,$U184)&gt;0,PRESIONES!$C$9*IF($T184&lt;=10,1,($T184/10)^(2/DATOS!$C$56)),PRESIONES!$C$15)-ABERTURAS!$L$63*PRESIONES!$C$12)*$R184/$M184)</f>
        <v>0</v>
      </c>
      <c r="AF184" s="26">
        <f>IF($L184&lt;&gt;"OK",0,(INDEX(PRESIONES!$D$28:$D$31,$U184)*IF(INDEX(PRESIONES!$D$28:$D$31,$U184)&gt;0,PRESIONES!$C$9*IF($T184&lt;=10,1,($T184/10)^(2/DATOS!$C$56)),PRESIONES!$C$15)-ABERTURAS!$L$64*PRESIONES!$C$12)*$S184/$M184)</f>
        <v>0</v>
      </c>
      <c r="AG184" s="26">
        <f>IF($L184&lt;&gt;"OK",0,(INDEX(PRESIONES!$G$28:$G$31,$U184)*IF(INDEX(PRESIONES!$G$28:$G$31,$U184)&gt;0,PRESIONES!$C$9*IF($T184&lt;=10,1,($T184/10)^(2/DATOS!$C$56)),PRESIONES!$C$15)-ABERTURAS!$L$65*PRESIONES!$C$12)*$S184/$M184)</f>
        <v>0</v>
      </c>
      <c r="AH184" s="26">
        <f>IF($L184&lt;&gt;"OK",0,(INDEX(PRESIONES!$J$28:$J$31,$U184)*IF(INDEX(PRESIONES!$J$28:$J$31,$U184)&gt;0,PRESIONES!$C$9*IF($T184&lt;=10,1,($T184/10)^(2/DATOS!$C$56)),PRESIONES!$C$15)-ABERTURAS!$L$66*PRESIONES!$C$12)*$S184/$M184)</f>
        <v>0</v>
      </c>
      <c r="AI184" s="26">
        <f>IF($L184&lt;&gt;"OK",0,(INDEX(PRESIONES!$M$28:$M$31,$U184)*IF(INDEX(PRESIONES!$M$28:$M$31,$U184)&gt;0,PRESIONES!$C$9*IF($T184&lt;=10,1,($T184/10)^(2/DATOS!$C$56)),PRESIONES!$C$15)-ABERTURAS!$L$67*PRESIONES!$C$12)*$S184/$M184)</f>
        <v>0</v>
      </c>
    </row>
    <row r="185" spans="2:35" ht="15" customHeight="1" x14ac:dyDescent="0.3">
      <c r="B185" s="4"/>
      <c r="C185" s="15"/>
      <c r="D185" s="4"/>
      <c r="E185" s="15"/>
      <c r="F185" s="40"/>
      <c r="G185" s="40"/>
      <c r="H185" s="40"/>
      <c r="I185" s="40"/>
      <c r="J185" s="40"/>
      <c r="K185" s="40"/>
      <c r="L185" s="18" t="str">
        <f t="shared" si="62"/>
        <v/>
      </c>
      <c r="M185" s="26">
        <f t="shared" si="63"/>
        <v>0</v>
      </c>
      <c r="N185" s="26">
        <f t="shared" si="64"/>
        <v>0</v>
      </c>
      <c r="O185" s="26">
        <f t="shared" si="65"/>
        <v>0</v>
      </c>
      <c r="P185" s="26">
        <f>IF($U185=0,0,SUMPRODUCT((ABERTURAS!$N$7:$N$26=$U185)*ABERTURAS!$U$7:$U$26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Q185" s="26">
        <f>IF($U185=0,0,SUMPRODUCT((ABERTURAS!$N$7:$N$26=$U185)*ABERTURAS!$V$7:$V$26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R185" s="26">
        <f t="shared" si="66"/>
        <v>0</v>
      </c>
      <c r="S185" s="26">
        <f t="shared" si="67"/>
        <v>0</v>
      </c>
      <c r="T185" s="41">
        <f t="shared" si="68"/>
        <v>0</v>
      </c>
      <c r="U185" s="41">
        <f t="shared" si="69"/>
        <v>0</v>
      </c>
      <c r="V185" s="41">
        <f t="shared" si="70"/>
        <v>0</v>
      </c>
      <c r="W185" s="41">
        <f t="shared" si="71"/>
        <v>0</v>
      </c>
      <c r="X185" s="41">
        <f t="shared" si="72"/>
        <v>0</v>
      </c>
      <c r="Y185" s="41">
        <f t="shared" si="73"/>
        <v>0</v>
      </c>
      <c r="Z185" s="41">
        <f t="shared" si="74"/>
        <v>0</v>
      </c>
      <c r="AA185" s="41">
        <f t="shared" si="75"/>
        <v>0</v>
      </c>
      <c r="AB185" s="26">
        <f>IF($L185&lt;&gt;"OK",0,(INDEX(PRESIONES!$D$28:$D$31,$U185)*IF(INDEX(PRESIONES!$D$28:$D$31,$U185)&gt;0,PRESIONES!$C$9*IF($T185&lt;=10,1,($T185/10)^(2/DATOS!$C$56)),PRESIONES!$C$15)-ABERTURAS!$L$60*PRESIONES!$C$12)*$R185/$M185)</f>
        <v>0</v>
      </c>
      <c r="AC185" s="26">
        <f>IF($L185&lt;&gt;"OK",0,(INDEX(PRESIONES!$G$28:$G$31,$U185)*IF(INDEX(PRESIONES!$G$28:$G$31,$U185)&gt;0,PRESIONES!$C$9*IF($T185&lt;=10,1,($T185/10)^(2/DATOS!$C$56)),PRESIONES!$C$15)-ABERTURAS!$L$61*PRESIONES!$C$12)*$R185/$M185)</f>
        <v>0</v>
      </c>
      <c r="AD185" s="26">
        <f>IF($L185&lt;&gt;"OK",0,(INDEX(PRESIONES!$J$28:$J$31,$U185)*IF(INDEX(PRESIONES!$J$28:$J$31,$U185)&gt;0,PRESIONES!$C$9*IF($T185&lt;=10,1,($T185/10)^(2/DATOS!$C$56)),PRESIONES!$C$15)-ABERTURAS!$L$62*PRESIONES!$C$12)*$R185/$M185)</f>
        <v>0</v>
      </c>
      <c r="AE185" s="26">
        <f>IF($L185&lt;&gt;"OK",0,(INDEX(PRESIONES!$M$28:$M$31,$U185)*IF(INDEX(PRESIONES!$M$28:$M$31,$U185)&gt;0,PRESIONES!$C$9*IF($T185&lt;=10,1,($T185/10)^(2/DATOS!$C$56)),PRESIONES!$C$15)-ABERTURAS!$L$63*PRESIONES!$C$12)*$R185/$M185)</f>
        <v>0</v>
      </c>
      <c r="AF185" s="26">
        <f>IF($L185&lt;&gt;"OK",0,(INDEX(PRESIONES!$D$28:$D$31,$U185)*IF(INDEX(PRESIONES!$D$28:$D$31,$U185)&gt;0,PRESIONES!$C$9*IF($T185&lt;=10,1,($T185/10)^(2/DATOS!$C$56)),PRESIONES!$C$15)-ABERTURAS!$L$64*PRESIONES!$C$12)*$S185/$M185)</f>
        <v>0</v>
      </c>
      <c r="AG185" s="26">
        <f>IF($L185&lt;&gt;"OK",0,(INDEX(PRESIONES!$G$28:$G$31,$U185)*IF(INDEX(PRESIONES!$G$28:$G$31,$U185)&gt;0,PRESIONES!$C$9*IF($T185&lt;=10,1,($T185/10)^(2/DATOS!$C$56)),PRESIONES!$C$15)-ABERTURAS!$L$65*PRESIONES!$C$12)*$S185/$M185)</f>
        <v>0</v>
      </c>
      <c r="AH185" s="26">
        <f>IF($L185&lt;&gt;"OK",0,(INDEX(PRESIONES!$J$28:$J$31,$U185)*IF(INDEX(PRESIONES!$J$28:$J$31,$U185)&gt;0,PRESIONES!$C$9*IF($T185&lt;=10,1,($T185/10)^(2/DATOS!$C$56)),PRESIONES!$C$15)-ABERTURAS!$L$66*PRESIONES!$C$12)*$S185/$M185)</f>
        <v>0</v>
      </c>
      <c r="AI185" s="26">
        <f>IF($L185&lt;&gt;"OK",0,(INDEX(PRESIONES!$M$28:$M$31,$U185)*IF(INDEX(PRESIONES!$M$28:$M$31,$U185)&gt;0,PRESIONES!$C$9*IF($T185&lt;=10,1,($T185/10)^(2/DATOS!$C$56)),PRESIONES!$C$15)-ABERTURAS!$L$67*PRESIONES!$C$12)*$S185/$M185)</f>
        <v>0</v>
      </c>
    </row>
    <row r="186" spans="2:35" ht="15" customHeight="1" x14ac:dyDescent="0.3">
      <c r="B186" s="4"/>
      <c r="C186" s="15"/>
      <c r="D186" s="4"/>
      <c r="E186" s="15"/>
      <c r="F186" s="40"/>
      <c r="G186" s="40"/>
      <c r="H186" s="40"/>
      <c r="I186" s="40"/>
      <c r="J186" s="40"/>
      <c r="K186" s="40"/>
      <c r="L186" s="18" t="str">
        <f t="shared" si="62"/>
        <v/>
      </c>
      <c r="M186" s="26">
        <f t="shared" si="63"/>
        <v>0</v>
      </c>
      <c r="N186" s="26">
        <f t="shared" si="64"/>
        <v>0</v>
      </c>
      <c r="O186" s="26">
        <f t="shared" si="65"/>
        <v>0</v>
      </c>
      <c r="P186" s="26">
        <f>IF($U186=0,0,SUMPRODUCT((ABERTURAS!$N$7:$N$26=$U186)*ABERTURAS!$U$7:$U$26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Q186" s="26">
        <f>IF($U186=0,0,SUMPRODUCT((ABERTURAS!$N$7:$N$26=$U186)*ABERTURAS!$V$7:$V$26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R186" s="26">
        <f t="shared" si="66"/>
        <v>0</v>
      </c>
      <c r="S186" s="26">
        <f t="shared" si="67"/>
        <v>0</v>
      </c>
      <c r="T186" s="41">
        <f t="shared" si="68"/>
        <v>0</v>
      </c>
      <c r="U186" s="41">
        <f t="shared" si="69"/>
        <v>0</v>
      </c>
      <c r="V186" s="41">
        <f t="shared" si="70"/>
        <v>0</v>
      </c>
      <c r="W186" s="41">
        <f t="shared" si="71"/>
        <v>0</v>
      </c>
      <c r="X186" s="41">
        <f t="shared" si="72"/>
        <v>0</v>
      </c>
      <c r="Y186" s="41">
        <f t="shared" si="73"/>
        <v>0</v>
      </c>
      <c r="Z186" s="41">
        <f t="shared" si="74"/>
        <v>0</v>
      </c>
      <c r="AA186" s="41">
        <f t="shared" si="75"/>
        <v>0</v>
      </c>
      <c r="AB186" s="26">
        <f>IF($L186&lt;&gt;"OK",0,(INDEX(PRESIONES!$D$28:$D$31,$U186)*IF(INDEX(PRESIONES!$D$28:$D$31,$U186)&gt;0,PRESIONES!$C$9*IF($T186&lt;=10,1,($T186/10)^(2/DATOS!$C$56)),PRESIONES!$C$15)-ABERTURAS!$L$60*PRESIONES!$C$12)*$R186/$M186)</f>
        <v>0</v>
      </c>
      <c r="AC186" s="26">
        <f>IF($L186&lt;&gt;"OK",0,(INDEX(PRESIONES!$G$28:$G$31,$U186)*IF(INDEX(PRESIONES!$G$28:$G$31,$U186)&gt;0,PRESIONES!$C$9*IF($T186&lt;=10,1,($T186/10)^(2/DATOS!$C$56)),PRESIONES!$C$15)-ABERTURAS!$L$61*PRESIONES!$C$12)*$R186/$M186)</f>
        <v>0</v>
      </c>
      <c r="AD186" s="26">
        <f>IF($L186&lt;&gt;"OK",0,(INDEX(PRESIONES!$J$28:$J$31,$U186)*IF(INDEX(PRESIONES!$J$28:$J$31,$U186)&gt;0,PRESIONES!$C$9*IF($T186&lt;=10,1,($T186/10)^(2/DATOS!$C$56)),PRESIONES!$C$15)-ABERTURAS!$L$62*PRESIONES!$C$12)*$R186/$M186)</f>
        <v>0</v>
      </c>
      <c r="AE186" s="26">
        <f>IF($L186&lt;&gt;"OK",0,(INDEX(PRESIONES!$M$28:$M$31,$U186)*IF(INDEX(PRESIONES!$M$28:$M$31,$U186)&gt;0,PRESIONES!$C$9*IF($T186&lt;=10,1,($T186/10)^(2/DATOS!$C$56)),PRESIONES!$C$15)-ABERTURAS!$L$63*PRESIONES!$C$12)*$R186/$M186)</f>
        <v>0</v>
      </c>
      <c r="AF186" s="26">
        <f>IF($L186&lt;&gt;"OK",0,(INDEX(PRESIONES!$D$28:$D$31,$U186)*IF(INDEX(PRESIONES!$D$28:$D$31,$U186)&gt;0,PRESIONES!$C$9*IF($T186&lt;=10,1,($T186/10)^(2/DATOS!$C$56)),PRESIONES!$C$15)-ABERTURAS!$L$64*PRESIONES!$C$12)*$S186/$M186)</f>
        <v>0</v>
      </c>
      <c r="AG186" s="26">
        <f>IF($L186&lt;&gt;"OK",0,(INDEX(PRESIONES!$G$28:$G$31,$U186)*IF(INDEX(PRESIONES!$G$28:$G$31,$U186)&gt;0,PRESIONES!$C$9*IF($T186&lt;=10,1,($T186/10)^(2/DATOS!$C$56)),PRESIONES!$C$15)-ABERTURAS!$L$65*PRESIONES!$C$12)*$S186/$M186)</f>
        <v>0</v>
      </c>
      <c r="AH186" s="26">
        <f>IF($L186&lt;&gt;"OK",0,(INDEX(PRESIONES!$J$28:$J$31,$U186)*IF(INDEX(PRESIONES!$J$28:$J$31,$U186)&gt;0,PRESIONES!$C$9*IF($T186&lt;=10,1,($T186/10)^(2/DATOS!$C$56)),PRESIONES!$C$15)-ABERTURAS!$L$66*PRESIONES!$C$12)*$S186/$M186)</f>
        <v>0</v>
      </c>
      <c r="AI186" s="26">
        <f>IF($L186&lt;&gt;"OK",0,(INDEX(PRESIONES!$M$28:$M$31,$U186)*IF(INDEX(PRESIONES!$M$28:$M$31,$U186)&gt;0,PRESIONES!$C$9*IF($T186&lt;=10,1,($T186/10)^(2/DATOS!$C$56)),PRESIONES!$C$15)-ABERTURAS!$L$67*PRESIONES!$C$12)*$S186/$M186)</f>
        <v>0</v>
      </c>
    </row>
    <row r="187" spans="2:35" ht="15" customHeight="1" x14ac:dyDescent="0.3">
      <c r="B187" s="4"/>
      <c r="C187" s="15"/>
      <c r="D187" s="4"/>
      <c r="E187" s="15"/>
      <c r="F187" s="40"/>
      <c r="G187" s="40"/>
      <c r="H187" s="40"/>
      <c r="I187" s="40"/>
      <c r="J187" s="40"/>
      <c r="K187" s="40"/>
      <c r="L187" s="18" t="str">
        <f t="shared" si="62"/>
        <v/>
      </c>
      <c r="M187" s="26">
        <f t="shared" si="63"/>
        <v>0</v>
      </c>
      <c r="N187" s="26">
        <f t="shared" si="64"/>
        <v>0</v>
      </c>
      <c r="O187" s="26">
        <f t="shared" si="65"/>
        <v>0</v>
      </c>
      <c r="P187" s="26">
        <f>IF($U187=0,0,SUMPRODUCT((ABERTURAS!$N$7:$N$26=$U187)*ABERTURAS!$U$7:$U$26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Q187" s="26">
        <f>IF($U187=0,0,SUMPRODUCT((ABERTURAS!$N$7:$N$26=$U187)*ABERTURAS!$V$7:$V$26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R187" s="26">
        <f t="shared" si="66"/>
        <v>0</v>
      </c>
      <c r="S187" s="26">
        <f t="shared" si="67"/>
        <v>0</v>
      </c>
      <c r="T187" s="41">
        <f t="shared" si="68"/>
        <v>0</v>
      </c>
      <c r="U187" s="41">
        <f t="shared" si="69"/>
        <v>0</v>
      </c>
      <c r="V187" s="41">
        <f t="shared" si="70"/>
        <v>0</v>
      </c>
      <c r="W187" s="41">
        <f t="shared" si="71"/>
        <v>0</v>
      </c>
      <c r="X187" s="41">
        <f t="shared" si="72"/>
        <v>0</v>
      </c>
      <c r="Y187" s="41">
        <f t="shared" si="73"/>
        <v>0</v>
      </c>
      <c r="Z187" s="41">
        <f t="shared" si="74"/>
        <v>0</v>
      </c>
      <c r="AA187" s="41">
        <f t="shared" si="75"/>
        <v>0</v>
      </c>
      <c r="AB187" s="26">
        <f>IF($L187&lt;&gt;"OK",0,(INDEX(PRESIONES!$D$28:$D$31,$U187)*IF(INDEX(PRESIONES!$D$28:$D$31,$U187)&gt;0,PRESIONES!$C$9*IF($T187&lt;=10,1,($T187/10)^(2/DATOS!$C$56)),PRESIONES!$C$15)-ABERTURAS!$L$60*PRESIONES!$C$12)*$R187/$M187)</f>
        <v>0</v>
      </c>
      <c r="AC187" s="26">
        <f>IF($L187&lt;&gt;"OK",0,(INDEX(PRESIONES!$G$28:$G$31,$U187)*IF(INDEX(PRESIONES!$G$28:$G$31,$U187)&gt;0,PRESIONES!$C$9*IF($T187&lt;=10,1,($T187/10)^(2/DATOS!$C$56)),PRESIONES!$C$15)-ABERTURAS!$L$61*PRESIONES!$C$12)*$R187/$M187)</f>
        <v>0</v>
      </c>
      <c r="AD187" s="26">
        <f>IF($L187&lt;&gt;"OK",0,(INDEX(PRESIONES!$J$28:$J$31,$U187)*IF(INDEX(PRESIONES!$J$28:$J$31,$U187)&gt;0,PRESIONES!$C$9*IF($T187&lt;=10,1,($T187/10)^(2/DATOS!$C$56)),PRESIONES!$C$15)-ABERTURAS!$L$62*PRESIONES!$C$12)*$R187/$M187)</f>
        <v>0</v>
      </c>
      <c r="AE187" s="26">
        <f>IF($L187&lt;&gt;"OK",0,(INDEX(PRESIONES!$M$28:$M$31,$U187)*IF(INDEX(PRESIONES!$M$28:$M$31,$U187)&gt;0,PRESIONES!$C$9*IF($T187&lt;=10,1,($T187/10)^(2/DATOS!$C$56)),PRESIONES!$C$15)-ABERTURAS!$L$63*PRESIONES!$C$12)*$R187/$M187)</f>
        <v>0</v>
      </c>
      <c r="AF187" s="26">
        <f>IF($L187&lt;&gt;"OK",0,(INDEX(PRESIONES!$D$28:$D$31,$U187)*IF(INDEX(PRESIONES!$D$28:$D$31,$U187)&gt;0,PRESIONES!$C$9*IF($T187&lt;=10,1,($T187/10)^(2/DATOS!$C$56)),PRESIONES!$C$15)-ABERTURAS!$L$64*PRESIONES!$C$12)*$S187/$M187)</f>
        <v>0</v>
      </c>
      <c r="AG187" s="26">
        <f>IF($L187&lt;&gt;"OK",0,(INDEX(PRESIONES!$G$28:$G$31,$U187)*IF(INDEX(PRESIONES!$G$28:$G$31,$U187)&gt;0,PRESIONES!$C$9*IF($T187&lt;=10,1,($T187/10)^(2/DATOS!$C$56)),PRESIONES!$C$15)-ABERTURAS!$L$65*PRESIONES!$C$12)*$S187/$M187)</f>
        <v>0</v>
      </c>
      <c r="AH187" s="26">
        <f>IF($L187&lt;&gt;"OK",0,(INDEX(PRESIONES!$J$28:$J$31,$U187)*IF(INDEX(PRESIONES!$J$28:$J$31,$U187)&gt;0,PRESIONES!$C$9*IF($T187&lt;=10,1,($T187/10)^(2/DATOS!$C$56)),PRESIONES!$C$15)-ABERTURAS!$L$66*PRESIONES!$C$12)*$S187/$M187)</f>
        <v>0</v>
      </c>
      <c r="AI187" s="26">
        <f>IF($L187&lt;&gt;"OK",0,(INDEX(PRESIONES!$M$28:$M$31,$U187)*IF(INDEX(PRESIONES!$M$28:$M$31,$U187)&gt;0,PRESIONES!$C$9*IF($T187&lt;=10,1,($T187/10)^(2/DATOS!$C$56)),PRESIONES!$C$15)-ABERTURAS!$L$67*PRESIONES!$C$12)*$S187/$M187)</f>
        <v>0</v>
      </c>
    </row>
    <row r="188" spans="2:35" ht="15" customHeight="1" x14ac:dyDescent="0.3">
      <c r="B188" s="4"/>
      <c r="C188" s="15"/>
      <c r="D188" s="4"/>
      <c r="E188" s="15"/>
      <c r="F188" s="40"/>
      <c r="G188" s="40"/>
      <c r="H188" s="40"/>
      <c r="I188" s="40"/>
      <c r="J188" s="40"/>
      <c r="K188" s="40"/>
      <c r="L188" s="18" t="str">
        <f t="shared" si="62"/>
        <v/>
      </c>
      <c r="M188" s="26">
        <f t="shared" si="63"/>
        <v>0</v>
      </c>
      <c r="N188" s="26">
        <f t="shared" si="64"/>
        <v>0</v>
      </c>
      <c r="O188" s="26">
        <f t="shared" si="65"/>
        <v>0</v>
      </c>
      <c r="P188" s="26">
        <f>IF($U188=0,0,SUMPRODUCT((ABERTURAS!$N$7:$N$26=$U188)*ABERTURAS!$U$7:$U$26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Q188" s="26">
        <f>IF($U188=0,0,SUMPRODUCT((ABERTURAS!$N$7:$N$26=$U188)*ABERTURAS!$V$7:$V$26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R188" s="26">
        <f t="shared" si="66"/>
        <v>0</v>
      </c>
      <c r="S188" s="26">
        <f t="shared" si="67"/>
        <v>0</v>
      </c>
      <c r="T188" s="41">
        <f t="shared" si="68"/>
        <v>0</v>
      </c>
      <c r="U188" s="41">
        <f t="shared" si="69"/>
        <v>0</v>
      </c>
      <c r="V188" s="41">
        <f t="shared" si="70"/>
        <v>0</v>
      </c>
      <c r="W188" s="41">
        <f t="shared" si="71"/>
        <v>0</v>
      </c>
      <c r="X188" s="41">
        <f t="shared" si="72"/>
        <v>0</v>
      </c>
      <c r="Y188" s="41">
        <f t="shared" si="73"/>
        <v>0</v>
      </c>
      <c r="Z188" s="41">
        <f t="shared" si="74"/>
        <v>0</v>
      </c>
      <c r="AA188" s="41">
        <f t="shared" si="75"/>
        <v>0</v>
      </c>
      <c r="AB188" s="26">
        <f>IF($L188&lt;&gt;"OK",0,(INDEX(PRESIONES!$D$28:$D$31,$U188)*IF(INDEX(PRESIONES!$D$28:$D$31,$U188)&gt;0,PRESIONES!$C$9*IF($T188&lt;=10,1,($T188/10)^(2/DATOS!$C$56)),PRESIONES!$C$15)-ABERTURAS!$L$60*PRESIONES!$C$12)*$R188/$M188)</f>
        <v>0</v>
      </c>
      <c r="AC188" s="26">
        <f>IF($L188&lt;&gt;"OK",0,(INDEX(PRESIONES!$G$28:$G$31,$U188)*IF(INDEX(PRESIONES!$G$28:$G$31,$U188)&gt;0,PRESIONES!$C$9*IF($T188&lt;=10,1,($T188/10)^(2/DATOS!$C$56)),PRESIONES!$C$15)-ABERTURAS!$L$61*PRESIONES!$C$12)*$R188/$M188)</f>
        <v>0</v>
      </c>
      <c r="AD188" s="26">
        <f>IF($L188&lt;&gt;"OK",0,(INDEX(PRESIONES!$J$28:$J$31,$U188)*IF(INDEX(PRESIONES!$J$28:$J$31,$U188)&gt;0,PRESIONES!$C$9*IF($T188&lt;=10,1,($T188/10)^(2/DATOS!$C$56)),PRESIONES!$C$15)-ABERTURAS!$L$62*PRESIONES!$C$12)*$R188/$M188)</f>
        <v>0</v>
      </c>
      <c r="AE188" s="26">
        <f>IF($L188&lt;&gt;"OK",0,(INDEX(PRESIONES!$M$28:$M$31,$U188)*IF(INDEX(PRESIONES!$M$28:$M$31,$U188)&gt;0,PRESIONES!$C$9*IF($T188&lt;=10,1,($T188/10)^(2/DATOS!$C$56)),PRESIONES!$C$15)-ABERTURAS!$L$63*PRESIONES!$C$12)*$R188/$M188)</f>
        <v>0</v>
      </c>
      <c r="AF188" s="26">
        <f>IF($L188&lt;&gt;"OK",0,(INDEX(PRESIONES!$D$28:$D$31,$U188)*IF(INDEX(PRESIONES!$D$28:$D$31,$U188)&gt;0,PRESIONES!$C$9*IF($T188&lt;=10,1,($T188/10)^(2/DATOS!$C$56)),PRESIONES!$C$15)-ABERTURAS!$L$64*PRESIONES!$C$12)*$S188/$M188)</f>
        <v>0</v>
      </c>
      <c r="AG188" s="26">
        <f>IF($L188&lt;&gt;"OK",0,(INDEX(PRESIONES!$G$28:$G$31,$U188)*IF(INDEX(PRESIONES!$G$28:$G$31,$U188)&gt;0,PRESIONES!$C$9*IF($T188&lt;=10,1,($T188/10)^(2/DATOS!$C$56)),PRESIONES!$C$15)-ABERTURAS!$L$65*PRESIONES!$C$12)*$S188/$M188)</f>
        <v>0</v>
      </c>
      <c r="AH188" s="26">
        <f>IF($L188&lt;&gt;"OK",0,(INDEX(PRESIONES!$J$28:$J$31,$U188)*IF(INDEX(PRESIONES!$J$28:$J$31,$U188)&gt;0,PRESIONES!$C$9*IF($T188&lt;=10,1,($T188/10)^(2/DATOS!$C$56)),PRESIONES!$C$15)-ABERTURAS!$L$66*PRESIONES!$C$12)*$S188/$M188)</f>
        <v>0</v>
      </c>
      <c r="AI188" s="26">
        <f>IF($L188&lt;&gt;"OK",0,(INDEX(PRESIONES!$M$28:$M$31,$U188)*IF(INDEX(PRESIONES!$M$28:$M$31,$U188)&gt;0,PRESIONES!$C$9*IF($T188&lt;=10,1,($T188/10)^(2/DATOS!$C$56)),PRESIONES!$C$15)-ABERTURAS!$L$67*PRESIONES!$C$12)*$S188/$M188)</f>
        <v>0</v>
      </c>
    </row>
    <row r="189" spans="2:35" ht="15" customHeight="1" x14ac:dyDescent="0.3">
      <c r="B189" s="4"/>
      <c r="C189" s="15"/>
      <c r="D189" s="4"/>
      <c r="E189" s="15"/>
      <c r="F189" s="40"/>
      <c r="G189" s="40"/>
      <c r="H189" s="40"/>
      <c r="I189" s="40"/>
      <c r="J189" s="40"/>
      <c r="K189" s="40"/>
      <c r="L189" s="18" t="str">
        <f t="shared" si="62"/>
        <v/>
      </c>
      <c r="M189" s="26">
        <f t="shared" si="63"/>
        <v>0</v>
      </c>
      <c r="N189" s="26">
        <f t="shared" si="64"/>
        <v>0</v>
      </c>
      <c r="O189" s="26">
        <f t="shared" si="65"/>
        <v>0</v>
      </c>
      <c r="P189" s="26">
        <f>IF($U189=0,0,SUMPRODUCT((ABERTURAS!$N$7:$N$26=$U189)*ABERTURAS!$U$7:$U$26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Q189" s="26">
        <f>IF($U189=0,0,SUMPRODUCT((ABERTURAS!$N$7:$N$26=$U189)*ABERTURAS!$V$7:$V$26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R189" s="26">
        <f t="shared" si="66"/>
        <v>0</v>
      </c>
      <c r="S189" s="26">
        <f t="shared" si="67"/>
        <v>0</v>
      </c>
      <c r="T189" s="41">
        <f t="shared" si="68"/>
        <v>0</v>
      </c>
      <c r="U189" s="41">
        <f t="shared" si="69"/>
        <v>0</v>
      </c>
      <c r="V189" s="41">
        <f t="shared" si="70"/>
        <v>0</v>
      </c>
      <c r="W189" s="41">
        <f t="shared" si="71"/>
        <v>0</v>
      </c>
      <c r="X189" s="41">
        <f t="shared" si="72"/>
        <v>0</v>
      </c>
      <c r="Y189" s="41">
        <f t="shared" si="73"/>
        <v>0</v>
      </c>
      <c r="Z189" s="41">
        <f t="shared" si="74"/>
        <v>0</v>
      </c>
      <c r="AA189" s="41">
        <f t="shared" si="75"/>
        <v>0</v>
      </c>
      <c r="AB189" s="26">
        <f>IF($L189&lt;&gt;"OK",0,(INDEX(PRESIONES!$D$28:$D$31,$U189)*IF(INDEX(PRESIONES!$D$28:$D$31,$U189)&gt;0,PRESIONES!$C$9*IF($T189&lt;=10,1,($T189/10)^(2/DATOS!$C$56)),PRESIONES!$C$15)-ABERTURAS!$L$60*PRESIONES!$C$12)*$R189/$M189)</f>
        <v>0</v>
      </c>
      <c r="AC189" s="26">
        <f>IF($L189&lt;&gt;"OK",0,(INDEX(PRESIONES!$G$28:$G$31,$U189)*IF(INDEX(PRESIONES!$G$28:$G$31,$U189)&gt;0,PRESIONES!$C$9*IF($T189&lt;=10,1,($T189/10)^(2/DATOS!$C$56)),PRESIONES!$C$15)-ABERTURAS!$L$61*PRESIONES!$C$12)*$R189/$M189)</f>
        <v>0</v>
      </c>
      <c r="AD189" s="26">
        <f>IF($L189&lt;&gt;"OK",0,(INDEX(PRESIONES!$J$28:$J$31,$U189)*IF(INDEX(PRESIONES!$J$28:$J$31,$U189)&gt;0,PRESIONES!$C$9*IF($T189&lt;=10,1,($T189/10)^(2/DATOS!$C$56)),PRESIONES!$C$15)-ABERTURAS!$L$62*PRESIONES!$C$12)*$R189/$M189)</f>
        <v>0</v>
      </c>
      <c r="AE189" s="26">
        <f>IF($L189&lt;&gt;"OK",0,(INDEX(PRESIONES!$M$28:$M$31,$U189)*IF(INDEX(PRESIONES!$M$28:$M$31,$U189)&gt;0,PRESIONES!$C$9*IF($T189&lt;=10,1,($T189/10)^(2/DATOS!$C$56)),PRESIONES!$C$15)-ABERTURAS!$L$63*PRESIONES!$C$12)*$R189/$M189)</f>
        <v>0</v>
      </c>
      <c r="AF189" s="26">
        <f>IF($L189&lt;&gt;"OK",0,(INDEX(PRESIONES!$D$28:$D$31,$U189)*IF(INDEX(PRESIONES!$D$28:$D$31,$U189)&gt;0,PRESIONES!$C$9*IF($T189&lt;=10,1,($T189/10)^(2/DATOS!$C$56)),PRESIONES!$C$15)-ABERTURAS!$L$64*PRESIONES!$C$12)*$S189/$M189)</f>
        <v>0</v>
      </c>
      <c r="AG189" s="26">
        <f>IF($L189&lt;&gt;"OK",0,(INDEX(PRESIONES!$G$28:$G$31,$U189)*IF(INDEX(PRESIONES!$G$28:$G$31,$U189)&gt;0,PRESIONES!$C$9*IF($T189&lt;=10,1,($T189/10)^(2/DATOS!$C$56)),PRESIONES!$C$15)-ABERTURAS!$L$65*PRESIONES!$C$12)*$S189/$M189)</f>
        <v>0</v>
      </c>
      <c r="AH189" s="26">
        <f>IF($L189&lt;&gt;"OK",0,(INDEX(PRESIONES!$J$28:$J$31,$U189)*IF(INDEX(PRESIONES!$J$28:$J$31,$U189)&gt;0,PRESIONES!$C$9*IF($T189&lt;=10,1,($T189/10)^(2/DATOS!$C$56)),PRESIONES!$C$15)-ABERTURAS!$L$66*PRESIONES!$C$12)*$S189/$M189)</f>
        <v>0</v>
      </c>
      <c r="AI189" s="26">
        <f>IF($L189&lt;&gt;"OK",0,(INDEX(PRESIONES!$M$28:$M$31,$U189)*IF(INDEX(PRESIONES!$M$28:$M$31,$U189)&gt;0,PRESIONES!$C$9*IF($T189&lt;=10,1,($T189/10)^(2/DATOS!$C$56)),PRESIONES!$C$15)-ABERTURAS!$L$67*PRESIONES!$C$12)*$S189/$M189)</f>
        <v>0</v>
      </c>
    </row>
    <row r="190" spans="2:35" ht="15" customHeight="1" x14ac:dyDescent="0.3">
      <c r="B190" s="4"/>
      <c r="C190" s="15"/>
      <c r="D190" s="4"/>
      <c r="E190" s="15"/>
      <c r="F190" s="40"/>
      <c r="G190" s="40"/>
      <c r="H190" s="40"/>
      <c r="I190" s="40"/>
      <c r="J190" s="40"/>
      <c r="K190" s="40"/>
      <c r="L190" s="18" t="str">
        <f t="shared" si="62"/>
        <v/>
      </c>
      <c r="M190" s="26">
        <f t="shared" si="63"/>
        <v>0</v>
      </c>
      <c r="N190" s="26">
        <f t="shared" si="64"/>
        <v>0</v>
      </c>
      <c r="O190" s="26">
        <f t="shared" si="65"/>
        <v>0</v>
      </c>
      <c r="P190" s="26">
        <f>IF($U190=0,0,SUMPRODUCT((ABERTURAS!$N$7:$N$26=$U190)*ABERTURAS!$U$7:$U$26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Q190" s="26">
        <f>IF($U190=0,0,SUMPRODUCT((ABERTURAS!$N$7:$N$26=$U190)*ABERTURAS!$V$7:$V$26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R190" s="26">
        <f t="shared" si="66"/>
        <v>0</v>
      </c>
      <c r="S190" s="26">
        <f t="shared" si="67"/>
        <v>0</v>
      </c>
      <c r="T190" s="41">
        <f t="shared" si="68"/>
        <v>0</v>
      </c>
      <c r="U190" s="41">
        <f t="shared" si="69"/>
        <v>0</v>
      </c>
      <c r="V190" s="41">
        <f t="shared" si="70"/>
        <v>0</v>
      </c>
      <c r="W190" s="41">
        <f t="shared" si="71"/>
        <v>0</v>
      </c>
      <c r="X190" s="41">
        <f t="shared" si="72"/>
        <v>0</v>
      </c>
      <c r="Y190" s="41">
        <f t="shared" si="73"/>
        <v>0</v>
      </c>
      <c r="Z190" s="41">
        <f t="shared" si="74"/>
        <v>0</v>
      </c>
      <c r="AA190" s="41">
        <f t="shared" si="75"/>
        <v>0</v>
      </c>
      <c r="AB190" s="26">
        <f>IF($L190&lt;&gt;"OK",0,(INDEX(PRESIONES!$D$28:$D$31,$U190)*IF(INDEX(PRESIONES!$D$28:$D$31,$U190)&gt;0,PRESIONES!$C$9*IF($T190&lt;=10,1,($T190/10)^(2/DATOS!$C$56)),PRESIONES!$C$15)-ABERTURAS!$L$60*PRESIONES!$C$12)*$R190/$M190)</f>
        <v>0</v>
      </c>
      <c r="AC190" s="26">
        <f>IF($L190&lt;&gt;"OK",0,(INDEX(PRESIONES!$G$28:$G$31,$U190)*IF(INDEX(PRESIONES!$G$28:$G$31,$U190)&gt;0,PRESIONES!$C$9*IF($T190&lt;=10,1,($T190/10)^(2/DATOS!$C$56)),PRESIONES!$C$15)-ABERTURAS!$L$61*PRESIONES!$C$12)*$R190/$M190)</f>
        <v>0</v>
      </c>
      <c r="AD190" s="26">
        <f>IF($L190&lt;&gt;"OK",0,(INDEX(PRESIONES!$J$28:$J$31,$U190)*IF(INDEX(PRESIONES!$J$28:$J$31,$U190)&gt;0,PRESIONES!$C$9*IF($T190&lt;=10,1,($T190/10)^(2/DATOS!$C$56)),PRESIONES!$C$15)-ABERTURAS!$L$62*PRESIONES!$C$12)*$R190/$M190)</f>
        <v>0</v>
      </c>
      <c r="AE190" s="26">
        <f>IF($L190&lt;&gt;"OK",0,(INDEX(PRESIONES!$M$28:$M$31,$U190)*IF(INDEX(PRESIONES!$M$28:$M$31,$U190)&gt;0,PRESIONES!$C$9*IF($T190&lt;=10,1,($T190/10)^(2/DATOS!$C$56)),PRESIONES!$C$15)-ABERTURAS!$L$63*PRESIONES!$C$12)*$R190/$M190)</f>
        <v>0</v>
      </c>
      <c r="AF190" s="26">
        <f>IF($L190&lt;&gt;"OK",0,(INDEX(PRESIONES!$D$28:$D$31,$U190)*IF(INDEX(PRESIONES!$D$28:$D$31,$U190)&gt;0,PRESIONES!$C$9*IF($T190&lt;=10,1,($T190/10)^(2/DATOS!$C$56)),PRESIONES!$C$15)-ABERTURAS!$L$64*PRESIONES!$C$12)*$S190/$M190)</f>
        <v>0</v>
      </c>
      <c r="AG190" s="26">
        <f>IF($L190&lt;&gt;"OK",0,(INDEX(PRESIONES!$G$28:$G$31,$U190)*IF(INDEX(PRESIONES!$G$28:$G$31,$U190)&gt;0,PRESIONES!$C$9*IF($T190&lt;=10,1,($T190/10)^(2/DATOS!$C$56)),PRESIONES!$C$15)-ABERTURAS!$L$65*PRESIONES!$C$12)*$S190/$M190)</f>
        <v>0</v>
      </c>
      <c r="AH190" s="26">
        <f>IF($L190&lt;&gt;"OK",0,(INDEX(PRESIONES!$J$28:$J$31,$U190)*IF(INDEX(PRESIONES!$J$28:$J$31,$U190)&gt;0,PRESIONES!$C$9*IF($T190&lt;=10,1,($T190/10)^(2/DATOS!$C$56)),PRESIONES!$C$15)-ABERTURAS!$L$66*PRESIONES!$C$12)*$S190/$M190)</f>
        <v>0</v>
      </c>
      <c r="AI190" s="26">
        <f>IF($L190&lt;&gt;"OK",0,(INDEX(PRESIONES!$M$28:$M$31,$U190)*IF(INDEX(PRESIONES!$M$28:$M$31,$U190)&gt;0,PRESIONES!$C$9*IF($T190&lt;=10,1,($T190/10)^(2/DATOS!$C$56)),PRESIONES!$C$15)-ABERTURAS!$L$67*PRESIONES!$C$12)*$S190/$M190)</f>
        <v>0</v>
      </c>
    </row>
    <row r="191" spans="2:35" ht="15" customHeight="1" x14ac:dyDescent="0.3">
      <c r="B191" s="4"/>
      <c r="C191" s="15"/>
      <c r="D191" s="4"/>
      <c r="E191" s="15"/>
      <c r="F191" s="40"/>
      <c r="G191" s="40"/>
      <c r="H191" s="40"/>
      <c r="I191" s="40"/>
      <c r="J191" s="40"/>
      <c r="K191" s="40"/>
      <c r="L191" s="18" t="str">
        <f t="shared" si="62"/>
        <v/>
      </c>
      <c r="M191" s="26">
        <f t="shared" si="63"/>
        <v>0</v>
      </c>
      <c r="N191" s="26">
        <f t="shared" si="64"/>
        <v>0</v>
      </c>
      <c r="O191" s="26">
        <f t="shared" si="65"/>
        <v>0</v>
      </c>
      <c r="P191" s="26">
        <f>IF($U191=0,0,SUMPRODUCT((ABERTURAS!$N$7:$N$26=$U191)*ABERTURAS!$U$7:$U$26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Q191" s="26">
        <f>IF($U191=0,0,SUMPRODUCT((ABERTURAS!$N$7:$N$26=$U191)*ABERTURAS!$V$7:$V$26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R191" s="26">
        <f t="shared" si="66"/>
        <v>0</v>
      </c>
      <c r="S191" s="26">
        <f t="shared" si="67"/>
        <v>0</v>
      </c>
      <c r="T191" s="41">
        <f t="shared" si="68"/>
        <v>0</v>
      </c>
      <c r="U191" s="41">
        <f t="shared" si="69"/>
        <v>0</v>
      </c>
      <c r="V191" s="41">
        <f t="shared" si="70"/>
        <v>0</v>
      </c>
      <c r="W191" s="41">
        <f t="shared" si="71"/>
        <v>0</v>
      </c>
      <c r="X191" s="41">
        <f t="shared" si="72"/>
        <v>0</v>
      </c>
      <c r="Y191" s="41">
        <f t="shared" si="73"/>
        <v>0</v>
      </c>
      <c r="Z191" s="41">
        <f t="shared" si="74"/>
        <v>0</v>
      </c>
      <c r="AA191" s="41">
        <f t="shared" si="75"/>
        <v>0</v>
      </c>
      <c r="AB191" s="26">
        <f>IF($L191&lt;&gt;"OK",0,(INDEX(PRESIONES!$D$28:$D$31,$U191)*IF(INDEX(PRESIONES!$D$28:$D$31,$U191)&gt;0,PRESIONES!$C$9*IF($T191&lt;=10,1,($T191/10)^(2/DATOS!$C$56)),PRESIONES!$C$15)-ABERTURAS!$L$60*PRESIONES!$C$12)*$R191/$M191)</f>
        <v>0</v>
      </c>
      <c r="AC191" s="26">
        <f>IF($L191&lt;&gt;"OK",0,(INDEX(PRESIONES!$G$28:$G$31,$U191)*IF(INDEX(PRESIONES!$G$28:$G$31,$U191)&gt;0,PRESIONES!$C$9*IF($T191&lt;=10,1,($T191/10)^(2/DATOS!$C$56)),PRESIONES!$C$15)-ABERTURAS!$L$61*PRESIONES!$C$12)*$R191/$M191)</f>
        <v>0</v>
      </c>
      <c r="AD191" s="26">
        <f>IF($L191&lt;&gt;"OK",0,(INDEX(PRESIONES!$J$28:$J$31,$U191)*IF(INDEX(PRESIONES!$J$28:$J$31,$U191)&gt;0,PRESIONES!$C$9*IF($T191&lt;=10,1,($T191/10)^(2/DATOS!$C$56)),PRESIONES!$C$15)-ABERTURAS!$L$62*PRESIONES!$C$12)*$R191/$M191)</f>
        <v>0</v>
      </c>
      <c r="AE191" s="26">
        <f>IF($L191&lt;&gt;"OK",0,(INDEX(PRESIONES!$M$28:$M$31,$U191)*IF(INDEX(PRESIONES!$M$28:$M$31,$U191)&gt;0,PRESIONES!$C$9*IF($T191&lt;=10,1,($T191/10)^(2/DATOS!$C$56)),PRESIONES!$C$15)-ABERTURAS!$L$63*PRESIONES!$C$12)*$R191/$M191)</f>
        <v>0</v>
      </c>
      <c r="AF191" s="26">
        <f>IF($L191&lt;&gt;"OK",0,(INDEX(PRESIONES!$D$28:$D$31,$U191)*IF(INDEX(PRESIONES!$D$28:$D$31,$U191)&gt;0,PRESIONES!$C$9*IF($T191&lt;=10,1,($T191/10)^(2/DATOS!$C$56)),PRESIONES!$C$15)-ABERTURAS!$L$64*PRESIONES!$C$12)*$S191/$M191)</f>
        <v>0</v>
      </c>
      <c r="AG191" s="26">
        <f>IF($L191&lt;&gt;"OK",0,(INDEX(PRESIONES!$G$28:$G$31,$U191)*IF(INDEX(PRESIONES!$G$28:$G$31,$U191)&gt;0,PRESIONES!$C$9*IF($T191&lt;=10,1,($T191/10)^(2/DATOS!$C$56)),PRESIONES!$C$15)-ABERTURAS!$L$65*PRESIONES!$C$12)*$S191/$M191)</f>
        <v>0</v>
      </c>
      <c r="AH191" s="26">
        <f>IF($L191&lt;&gt;"OK",0,(INDEX(PRESIONES!$J$28:$J$31,$U191)*IF(INDEX(PRESIONES!$J$28:$J$31,$U191)&gt;0,PRESIONES!$C$9*IF($T191&lt;=10,1,($T191/10)^(2/DATOS!$C$56)),PRESIONES!$C$15)-ABERTURAS!$L$66*PRESIONES!$C$12)*$S191/$M191)</f>
        <v>0</v>
      </c>
      <c r="AI191" s="26">
        <f>IF($L191&lt;&gt;"OK",0,(INDEX(PRESIONES!$M$28:$M$31,$U191)*IF(INDEX(PRESIONES!$M$28:$M$31,$U191)&gt;0,PRESIONES!$C$9*IF($T191&lt;=10,1,($T191/10)^(2/DATOS!$C$56)),PRESIONES!$C$15)-ABERTURAS!$L$67*PRESIONES!$C$12)*$S191/$M191)</f>
        <v>0</v>
      </c>
    </row>
    <row r="192" spans="2:35" ht="15" customHeight="1" x14ac:dyDescent="0.3">
      <c r="B192" s="4"/>
      <c r="C192" s="15"/>
      <c r="D192" s="4"/>
      <c r="E192" s="15"/>
      <c r="F192" s="40"/>
      <c r="G192" s="40"/>
      <c r="H192" s="40"/>
      <c r="I192" s="40"/>
      <c r="J192" s="40"/>
      <c r="K192" s="40"/>
      <c r="L192" s="18" t="str">
        <f t="shared" si="62"/>
        <v/>
      </c>
      <c r="M192" s="26">
        <f t="shared" si="63"/>
        <v>0</v>
      </c>
      <c r="N192" s="26">
        <f t="shared" si="64"/>
        <v>0</v>
      </c>
      <c r="O192" s="26">
        <f t="shared" si="65"/>
        <v>0</v>
      </c>
      <c r="P192" s="26">
        <f>IF($U192=0,0,SUMPRODUCT((ABERTURAS!$N$7:$N$26=$U192)*ABERTURAS!$U$7:$U$26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Q192" s="26">
        <f>IF($U192=0,0,SUMPRODUCT((ABERTURAS!$N$7:$N$26=$U192)*ABERTURAS!$V$7:$V$26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R192" s="26">
        <f t="shared" si="66"/>
        <v>0</v>
      </c>
      <c r="S192" s="26">
        <f t="shared" si="67"/>
        <v>0</v>
      </c>
      <c r="T192" s="41">
        <f t="shared" si="68"/>
        <v>0</v>
      </c>
      <c r="U192" s="41">
        <f t="shared" si="69"/>
        <v>0</v>
      </c>
      <c r="V192" s="41">
        <f t="shared" si="70"/>
        <v>0</v>
      </c>
      <c r="W192" s="41">
        <f t="shared" si="71"/>
        <v>0</v>
      </c>
      <c r="X192" s="41">
        <f t="shared" si="72"/>
        <v>0</v>
      </c>
      <c r="Y192" s="41">
        <f t="shared" si="73"/>
        <v>0</v>
      </c>
      <c r="Z192" s="41">
        <f t="shared" si="74"/>
        <v>0</v>
      </c>
      <c r="AA192" s="41">
        <f t="shared" si="75"/>
        <v>0</v>
      </c>
      <c r="AB192" s="26">
        <f>IF($L192&lt;&gt;"OK",0,(INDEX(PRESIONES!$D$28:$D$31,$U192)*IF(INDEX(PRESIONES!$D$28:$D$31,$U192)&gt;0,PRESIONES!$C$9*IF($T192&lt;=10,1,($T192/10)^(2/DATOS!$C$56)),PRESIONES!$C$15)-ABERTURAS!$L$60*PRESIONES!$C$12)*$R192/$M192)</f>
        <v>0</v>
      </c>
      <c r="AC192" s="26">
        <f>IF($L192&lt;&gt;"OK",0,(INDEX(PRESIONES!$G$28:$G$31,$U192)*IF(INDEX(PRESIONES!$G$28:$G$31,$U192)&gt;0,PRESIONES!$C$9*IF($T192&lt;=10,1,($T192/10)^(2/DATOS!$C$56)),PRESIONES!$C$15)-ABERTURAS!$L$61*PRESIONES!$C$12)*$R192/$M192)</f>
        <v>0</v>
      </c>
      <c r="AD192" s="26">
        <f>IF($L192&lt;&gt;"OK",0,(INDEX(PRESIONES!$J$28:$J$31,$U192)*IF(INDEX(PRESIONES!$J$28:$J$31,$U192)&gt;0,PRESIONES!$C$9*IF($T192&lt;=10,1,($T192/10)^(2/DATOS!$C$56)),PRESIONES!$C$15)-ABERTURAS!$L$62*PRESIONES!$C$12)*$R192/$M192)</f>
        <v>0</v>
      </c>
      <c r="AE192" s="26">
        <f>IF($L192&lt;&gt;"OK",0,(INDEX(PRESIONES!$M$28:$M$31,$U192)*IF(INDEX(PRESIONES!$M$28:$M$31,$U192)&gt;0,PRESIONES!$C$9*IF($T192&lt;=10,1,($T192/10)^(2/DATOS!$C$56)),PRESIONES!$C$15)-ABERTURAS!$L$63*PRESIONES!$C$12)*$R192/$M192)</f>
        <v>0</v>
      </c>
      <c r="AF192" s="26">
        <f>IF($L192&lt;&gt;"OK",0,(INDEX(PRESIONES!$D$28:$D$31,$U192)*IF(INDEX(PRESIONES!$D$28:$D$31,$U192)&gt;0,PRESIONES!$C$9*IF($T192&lt;=10,1,($T192/10)^(2/DATOS!$C$56)),PRESIONES!$C$15)-ABERTURAS!$L$64*PRESIONES!$C$12)*$S192/$M192)</f>
        <v>0</v>
      </c>
      <c r="AG192" s="26">
        <f>IF($L192&lt;&gt;"OK",0,(INDEX(PRESIONES!$G$28:$G$31,$U192)*IF(INDEX(PRESIONES!$G$28:$G$31,$U192)&gt;0,PRESIONES!$C$9*IF($T192&lt;=10,1,($T192/10)^(2/DATOS!$C$56)),PRESIONES!$C$15)-ABERTURAS!$L$65*PRESIONES!$C$12)*$S192/$M192)</f>
        <v>0</v>
      </c>
      <c r="AH192" s="26">
        <f>IF($L192&lt;&gt;"OK",0,(INDEX(PRESIONES!$J$28:$J$31,$U192)*IF(INDEX(PRESIONES!$J$28:$J$31,$U192)&gt;0,PRESIONES!$C$9*IF($T192&lt;=10,1,($T192/10)^(2/DATOS!$C$56)),PRESIONES!$C$15)-ABERTURAS!$L$66*PRESIONES!$C$12)*$S192/$M192)</f>
        <v>0</v>
      </c>
      <c r="AI192" s="26">
        <f>IF($L192&lt;&gt;"OK",0,(INDEX(PRESIONES!$M$28:$M$31,$U192)*IF(INDEX(PRESIONES!$M$28:$M$31,$U192)&gt;0,PRESIONES!$C$9*IF($T192&lt;=10,1,($T192/10)^(2/DATOS!$C$56)),PRESIONES!$C$15)-ABERTURAS!$L$67*PRESIONES!$C$12)*$S192/$M192)</f>
        <v>0</v>
      </c>
    </row>
    <row r="193" spans="2:35" ht="15" customHeight="1" x14ac:dyDescent="0.3">
      <c r="B193" s="4"/>
      <c r="C193" s="15"/>
      <c r="D193" s="4"/>
      <c r="E193" s="15"/>
      <c r="F193" s="40"/>
      <c r="G193" s="40"/>
      <c r="H193" s="40"/>
      <c r="I193" s="40"/>
      <c r="J193" s="40"/>
      <c r="K193" s="40"/>
      <c r="L193" s="18" t="str">
        <f t="shared" si="62"/>
        <v/>
      </c>
      <c r="M193" s="26">
        <f t="shared" si="63"/>
        <v>0</v>
      </c>
      <c r="N193" s="26">
        <f t="shared" si="64"/>
        <v>0</v>
      </c>
      <c r="O193" s="26">
        <f t="shared" si="65"/>
        <v>0</v>
      </c>
      <c r="P193" s="26">
        <f>IF($U193=0,0,SUMPRODUCT((ABERTURAS!$N$7:$N$26=$U193)*ABERTURAS!$U$7:$U$26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Q193" s="26">
        <f>IF($U193=0,0,SUMPRODUCT((ABERTURAS!$N$7:$N$26=$U193)*ABERTURAS!$V$7:$V$26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R193" s="26">
        <f t="shared" si="66"/>
        <v>0</v>
      </c>
      <c r="S193" s="26">
        <f t="shared" si="67"/>
        <v>0</v>
      </c>
      <c r="T193" s="41">
        <f t="shared" si="68"/>
        <v>0</v>
      </c>
      <c r="U193" s="41">
        <f t="shared" si="69"/>
        <v>0</v>
      </c>
      <c r="V193" s="41">
        <f t="shared" si="70"/>
        <v>0</v>
      </c>
      <c r="W193" s="41">
        <f t="shared" si="71"/>
        <v>0</v>
      </c>
      <c r="X193" s="41">
        <f t="shared" si="72"/>
        <v>0</v>
      </c>
      <c r="Y193" s="41">
        <f t="shared" si="73"/>
        <v>0</v>
      </c>
      <c r="Z193" s="41">
        <f t="shared" si="74"/>
        <v>0</v>
      </c>
      <c r="AA193" s="41">
        <f t="shared" si="75"/>
        <v>0</v>
      </c>
      <c r="AB193" s="26">
        <f>IF($L193&lt;&gt;"OK",0,(INDEX(PRESIONES!$D$28:$D$31,$U193)*IF(INDEX(PRESIONES!$D$28:$D$31,$U193)&gt;0,PRESIONES!$C$9*IF($T193&lt;=10,1,($T193/10)^(2/DATOS!$C$56)),PRESIONES!$C$15)-ABERTURAS!$L$60*PRESIONES!$C$12)*$R193/$M193)</f>
        <v>0</v>
      </c>
      <c r="AC193" s="26">
        <f>IF($L193&lt;&gt;"OK",0,(INDEX(PRESIONES!$G$28:$G$31,$U193)*IF(INDEX(PRESIONES!$G$28:$G$31,$U193)&gt;0,PRESIONES!$C$9*IF($T193&lt;=10,1,($T193/10)^(2/DATOS!$C$56)),PRESIONES!$C$15)-ABERTURAS!$L$61*PRESIONES!$C$12)*$R193/$M193)</f>
        <v>0</v>
      </c>
      <c r="AD193" s="26">
        <f>IF($L193&lt;&gt;"OK",0,(INDEX(PRESIONES!$J$28:$J$31,$U193)*IF(INDEX(PRESIONES!$J$28:$J$31,$U193)&gt;0,PRESIONES!$C$9*IF($T193&lt;=10,1,($T193/10)^(2/DATOS!$C$56)),PRESIONES!$C$15)-ABERTURAS!$L$62*PRESIONES!$C$12)*$R193/$M193)</f>
        <v>0</v>
      </c>
      <c r="AE193" s="26">
        <f>IF($L193&lt;&gt;"OK",0,(INDEX(PRESIONES!$M$28:$M$31,$U193)*IF(INDEX(PRESIONES!$M$28:$M$31,$U193)&gt;0,PRESIONES!$C$9*IF($T193&lt;=10,1,($T193/10)^(2/DATOS!$C$56)),PRESIONES!$C$15)-ABERTURAS!$L$63*PRESIONES!$C$12)*$R193/$M193)</f>
        <v>0</v>
      </c>
      <c r="AF193" s="26">
        <f>IF($L193&lt;&gt;"OK",0,(INDEX(PRESIONES!$D$28:$D$31,$U193)*IF(INDEX(PRESIONES!$D$28:$D$31,$U193)&gt;0,PRESIONES!$C$9*IF($T193&lt;=10,1,($T193/10)^(2/DATOS!$C$56)),PRESIONES!$C$15)-ABERTURAS!$L$64*PRESIONES!$C$12)*$S193/$M193)</f>
        <v>0</v>
      </c>
      <c r="AG193" s="26">
        <f>IF($L193&lt;&gt;"OK",0,(INDEX(PRESIONES!$G$28:$G$31,$U193)*IF(INDEX(PRESIONES!$G$28:$G$31,$U193)&gt;0,PRESIONES!$C$9*IF($T193&lt;=10,1,($T193/10)^(2/DATOS!$C$56)),PRESIONES!$C$15)-ABERTURAS!$L$65*PRESIONES!$C$12)*$S193/$M193)</f>
        <v>0</v>
      </c>
      <c r="AH193" s="26">
        <f>IF($L193&lt;&gt;"OK",0,(INDEX(PRESIONES!$J$28:$J$31,$U193)*IF(INDEX(PRESIONES!$J$28:$J$31,$U193)&gt;0,PRESIONES!$C$9*IF($T193&lt;=10,1,($T193/10)^(2/DATOS!$C$56)),PRESIONES!$C$15)-ABERTURAS!$L$66*PRESIONES!$C$12)*$S193/$M193)</f>
        <v>0</v>
      </c>
      <c r="AI193" s="26">
        <f>IF($L193&lt;&gt;"OK",0,(INDEX(PRESIONES!$M$28:$M$31,$U193)*IF(INDEX(PRESIONES!$M$28:$M$31,$U193)&gt;0,PRESIONES!$C$9*IF($T193&lt;=10,1,($T193/10)^(2/DATOS!$C$56)),PRESIONES!$C$15)-ABERTURAS!$L$67*PRESIONES!$C$12)*$S193/$M193)</f>
        <v>0</v>
      </c>
    </row>
    <row r="194" spans="2:35" ht="15" customHeight="1" x14ac:dyDescent="0.3">
      <c r="B194" s="4"/>
      <c r="C194" s="15"/>
      <c r="D194" s="4"/>
      <c r="E194" s="15"/>
      <c r="F194" s="40"/>
      <c r="G194" s="40"/>
      <c r="H194" s="40"/>
      <c r="I194" s="40"/>
      <c r="J194" s="40"/>
      <c r="K194" s="40"/>
      <c r="L194" s="18" t="str">
        <f t="shared" si="62"/>
        <v/>
      </c>
      <c r="M194" s="26">
        <f t="shared" si="63"/>
        <v>0</v>
      </c>
      <c r="N194" s="26">
        <f t="shared" si="64"/>
        <v>0</v>
      </c>
      <c r="O194" s="26">
        <f t="shared" si="65"/>
        <v>0</v>
      </c>
      <c r="P194" s="26">
        <f>IF($U194=0,0,SUMPRODUCT((ABERTURAS!$N$7:$N$26=$U194)*ABERTURAS!$U$7:$U$26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Q194" s="26">
        <f>IF($U194=0,0,SUMPRODUCT((ABERTURAS!$N$7:$N$26=$U194)*ABERTURAS!$V$7:$V$26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R194" s="26">
        <f t="shared" si="66"/>
        <v>0</v>
      </c>
      <c r="S194" s="26">
        <f t="shared" si="67"/>
        <v>0</v>
      </c>
      <c r="T194" s="41">
        <f t="shared" si="68"/>
        <v>0</v>
      </c>
      <c r="U194" s="41">
        <f t="shared" si="69"/>
        <v>0</v>
      </c>
      <c r="V194" s="41">
        <f t="shared" si="70"/>
        <v>0</v>
      </c>
      <c r="W194" s="41">
        <f t="shared" si="71"/>
        <v>0</v>
      </c>
      <c r="X194" s="41">
        <f t="shared" si="72"/>
        <v>0</v>
      </c>
      <c r="Y194" s="41">
        <f t="shared" si="73"/>
        <v>0</v>
      </c>
      <c r="Z194" s="41">
        <f t="shared" si="74"/>
        <v>0</v>
      </c>
      <c r="AA194" s="41">
        <f t="shared" si="75"/>
        <v>0</v>
      </c>
      <c r="AB194" s="26">
        <f>IF($L194&lt;&gt;"OK",0,(INDEX(PRESIONES!$D$28:$D$31,$U194)*IF(INDEX(PRESIONES!$D$28:$D$31,$U194)&gt;0,PRESIONES!$C$9*IF($T194&lt;=10,1,($T194/10)^(2/DATOS!$C$56)),PRESIONES!$C$15)-ABERTURAS!$L$60*PRESIONES!$C$12)*$R194/$M194)</f>
        <v>0</v>
      </c>
      <c r="AC194" s="26">
        <f>IF($L194&lt;&gt;"OK",0,(INDEX(PRESIONES!$G$28:$G$31,$U194)*IF(INDEX(PRESIONES!$G$28:$G$31,$U194)&gt;0,PRESIONES!$C$9*IF($T194&lt;=10,1,($T194/10)^(2/DATOS!$C$56)),PRESIONES!$C$15)-ABERTURAS!$L$61*PRESIONES!$C$12)*$R194/$M194)</f>
        <v>0</v>
      </c>
      <c r="AD194" s="26">
        <f>IF($L194&lt;&gt;"OK",0,(INDEX(PRESIONES!$J$28:$J$31,$U194)*IF(INDEX(PRESIONES!$J$28:$J$31,$U194)&gt;0,PRESIONES!$C$9*IF($T194&lt;=10,1,($T194/10)^(2/DATOS!$C$56)),PRESIONES!$C$15)-ABERTURAS!$L$62*PRESIONES!$C$12)*$R194/$M194)</f>
        <v>0</v>
      </c>
      <c r="AE194" s="26">
        <f>IF($L194&lt;&gt;"OK",0,(INDEX(PRESIONES!$M$28:$M$31,$U194)*IF(INDEX(PRESIONES!$M$28:$M$31,$U194)&gt;0,PRESIONES!$C$9*IF($T194&lt;=10,1,($T194/10)^(2/DATOS!$C$56)),PRESIONES!$C$15)-ABERTURAS!$L$63*PRESIONES!$C$12)*$R194/$M194)</f>
        <v>0</v>
      </c>
      <c r="AF194" s="26">
        <f>IF($L194&lt;&gt;"OK",0,(INDEX(PRESIONES!$D$28:$D$31,$U194)*IF(INDEX(PRESIONES!$D$28:$D$31,$U194)&gt;0,PRESIONES!$C$9*IF($T194&lt;=10,1,($T194/10)^(2/DATOS!$C$56)),PRESIONES!$C$15)-ABERTURAS!$L$64*PRESIONES!$C$12)*$S194/$M194)</f>
        <v>0</v>
      </c>
      <c r="AG194" s="26">
        <f>IF($L194&lt;&gt;"OK",0,(INDEX(PRESIONES!$G$28:$G$31,$U194)*IF(INDEX(PRESIONES!$G$28:$G$31,$U194)&gt;0,PRESIONES!$C$9*IF($T194&lt;=10,1,($T194/10)^(2/DATOS!$C$56)),PRESIONES!$C$15)-ABERTURAS!$L$65*PRESIONES!$C$12)*$S194/$M194)</f>
        <v>0</v>
      </c>
      <c r="AH194" s="26">
        <f>IF($L194&lt;&gt;"OK",0,(INDEX(PRESIONES!$J$28:$J$31,$U194)*IF(INDEX(PRESIONES!$J$28:$J$31,$U194)&gt;0,PRESIONES!$C$9*IF($T194&lt;=10,1,($T194/10)^(2/DATOS!$C$56)),PRESIONES!$C$15)-ABERTURAS!$L$66*PRESIONES!$C$12)*$S194/$M194)</f>
        <v>0</v>
      </c>
      <c r="AI194" s="26">
        <f>IF($L194&lt;&gt;"OK",0,(INDEX(PRESIONES!$M$28:$M$31,$U194)*IF(INDEX(PRESIONES!$M$28:$M$31,$U194)&gt;0,PRESIONES!$C$9*IF($T194&lt;=10,1,($T194/10)^(2/DATOS!$C$56)),PRESIONES!$C$15)-ABERTURAS!$L$67*PRESIONES!$C$12)*$S194/$M194)</f>
        <v>0</v>
      </c>
    </row>
    <row r="195" spans="2:35" ht="16.5" customHeight="1" x14ac:dyDescent="0.3">
      <c r="B195" s="3" t="s">
        <v>618</v>
      </c>
      <c r="O195" s="29">
        <f>SUM(O45:O194)</f>
        <v>411.08091999999994</v>
      </c>
      <c r="P195" s="29">
        <f>SUM(P45:P194)</f>
        <v>0</v>
      </c>
      <c r="Q195" s="29">
        <f>SUM(Q45:Q194)</f>
        <v>33.854808000000013</v>
      </c>
      <c r="R195" s="29">
        <f>SUM(R45:R194)</f>
        <v>411.08091999999994</v>
      </c>
      <c r="S195" s="29">
        <f>SUM(S45:S194)</f>
        <v>377.22611199999994</v>
      </c>
    </row>
  </sheetData>
  <mergeCells count="12">
    <mergeCell ref="AZ7:BG7"/>
    <mergeCell ref="B41:L41"/>
    <mergeCell ref="B1:L1"/>
    <mergeCell ref="B2:L2"/>
    <mergeCell ref="B3:L3"/>
    <mergeCell ref="B5:L5"/>
    <mergeCell ref="B6:L6"/>
    <mergeCell ref="B42:L42"/>
    <mergeCell ref="AB43:AI43"/>
    <mergeCell ref="AB7:AI7"/>
    <mergeCell ref="AJ7:AQ7"/>
    <mergeCell ref="AR7:AY7"/>
  </mergeCells>
  <conditionalFormatting sqref="L9:L38">
    <cfRule type="expression" dxfId="7" priority="2">
      <formula>$L9="OK"</formula>
    </cfRule>
    <cfRule type="expression" dxfId="6" priority="3">
      <formula>AND($L9&lt;&gt;"",$L9&lt;&gt;"OK")</formula>
    </cfRule>
  </conditionalFormatting>
  <conditionalFormatting sqref="L45:L194">
    <cfRule type="expression" dxfId="5" priority="4">
      <formula>$L45="OK"</formula>
    </cfRule>
    <cfRule type="expression" dxfId="4" priority="5">
      <formula>AND($L45&lt;&gt;"",$L45&lt;&gt;"OK")</formula>
    </cfRule>
  </conditionalFormatting>
  <dataValidations count="3">
    <dataValidation type="list" allowBlank="1" errorTitle="Valor no válido" error="Elige una opción de la lista." sqref="C9:C38" xr:uid="{00000000-0002-0000-0300-000000000000}">
      <formula1>"TECHO"</formula1>
      <formula2>0</formula2>
    </dataValidation>
    <dataValidation type="list" allowBlank="1" errorTitle="Valor no válido" error="Elige una opción de la lista." sqref="C45:C194" xr:uid="{00000000-0002-0000-0300-000001000000}">
      <formula1>"MURO 1,MURO 2,MURO 3,MURO 4"</formula1>
      <formula2>0</formula2>
    </dataValidation>
    <dataValidation type="list" allowBlank="1" errorTitle="Valor no válido" error="Elige una opción de la lista." sqref="E45:E194" xr:uid="{00000000-0002-0000-0300-000002000000}">
      <formula1>"HORIZONTAL,VERTICAL"</formula1>
      <formula2>0</formula2>
    </dataValidation>
  </dataValidation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P1705"/>
  <sheetViews>
    <sheetView showGridLines="0" zoomScale="90" zoomScaleNormal="90" workbookViewId="0">
      <selection activeCell="D13" sqref="D13"/>
    </sheetView>
  </sheetViews>
  <sheetFormatPr baseColWidth="10" defaultColWidth="8.6640625" defaultRowHeight="14.4" x14ac:dyDescent="0.3"/>
  <cols>
    <col min="1" max="1" width="1.77734375" customWidth="1"/>
    <col min="2" max="2" width="70" customWidth="1"/>
    <col min="3" max="3" width="16" customWidth="1"/>
    <col min="4" max="4" width="60" customWidth="1"/>
    <col min="5" max="5" width="16" customWidth="1"/>
    <col min="6" max="6" width="2" customWidth="1"/>
    <col min="7" max="7" width="30" customWidth="1"/>
    <col min="8" max="15" width="11" customWidth="1"/>
    <col min="16" max="16" width="18" customWidth="1"/>
  </cols>
  <sheetData>
    <row r="1" spans="2:16" ht="25.5" customHeight="1" x14ac:dyDescent="0.3">
      <c r="B1" s="51" t="s">
        <v>619</v>
      </c>
      <c r="C1" s="51"/>
      <c r="D1" s="51"/>
      <c r="E1" s="51"/>
      <c r="F1" s="51"/>
      <c r="G1" s="51"/>
      <c r="H1" s="51"/>
      <c r="I1" s="51"/>
      <c r="J1" s="51"/>
      <c r="K1" s="51"/>
      <c r="L1" s="51"/>
      <c r="M1" s="51"/>
      <c r="N1" s="51"/>
      <c r="O1" s="51"/>
      <c r="P1" s="51"/>
    </row>
    <row r="2" spans="2:16" ht="30" customHeight="1" x14ac:dyDescent="0.3">
      <c r="B2" s="52" t="str">
        <f>"Unidades: "&amp;DATOS!$C$65&amp;" · cargas en "&amp;IF(DATOS!$C$65="CM KG","kg/cm",IF(DATOS!$C$65="METER KG","kg/m","kN/m"))&amp;" · casos "&amp;DATOS!$C$66&amp;" a "&amp;(DATOS!$C$66+7)&amp;" · un renglón de LINEAS = una línea de MEMBER LOAD"</f>
        <v>Unidades: CM KG · cargas en kg/cm · casos 8 a 15 · un renglón de LINEAS = una línea de MEMBER LOAD</v>
      </c>
      <c r="C2" s="52"/>
      <c r="D2" s="52"/>
      <c r="E2" s="52"/>
      <c r="F2" s="52"/>
      <c r="G2" s="52"/>
      <c r="H2" s="52"/>
      <c r="I2" s="52"/>
      <c r="J2" s="52"/>
      <c r="K2" s="52"/>
      <c r="L2" s="52"/>
      <c r="M2" s="52"/>
      <c r="N2" s="52"/>
      <c r="O2" s="52"/>
      <c r="P2" s="52"/>
    </row>
    <row r="3" spans="2:16" ht="45" customHeight="1" x14ac:dyDescent="0.3">
      <c r="B3" s="53" t="s">
        <v>620</v>
      </c>
      <c r="C3" s="53"/>
      <c r="D3" s="53"/>
      <c r="E3" s="53"/>
      <c r="F3" s="53"/>
      <c r="G3" s="53"/>
      <c r="H3" s="53"/>
      <c r="I3" s="53"/>
      <c r="J3" s="53"/>
      <c r="K3" s="53"/>
      <c r="L3" s="53"/>
      <c r="M3" s="53"/>
      <c r="N3" s="53"/>
      <c r="O3" s="53"/>
      <c r="P3" s="53"/>
    </row>
    <row r="4" spans="2:16" ht="6" customHeight="1" x14ac:dyDescent="0.3"/>
    <row r="5" spans="2:16" ht="21" customHeight="1" x14ac:dyDescent="0.3">
      <c r="B5" s="49"/>
      <c r="C5" s="49"/>
      <c r="D5" s="49"/>
      <c r="E5" s="49"/>
      <c r="G5" s="49" t="s">
        <v>621</v>
      </c>
      <c r="H5" s="49"/>
      <c r="I5" s="49"/>
      <c r="J5" s="49"/>
      <c r="K5" s="49"/>
      <c r="L5" s="49"/>
      <c r="M5" s="49"/>
      <c r="N5" s="49"/>
      <c r="O5" s="49"/>
      <c r="P5" s="49"/>
    </row>
    <row r="6" spans="2:16" ht="30" customHeight="1" x14ac:dyDescent="0.3">
      <c r="B6" s="50" t="s">
        <v>622</v>
      </c>
      <c r="C6" s="50"/>
      <c r="D6" s="50"/>
      <c r="E6" s="50"/>
      <c r="G6" s="2" t="s">
        <v>259</v>
      </c>
      <c r="H6" s="2" t="s">
        <v>170</v>
      </c>
      <c r="I6" s="2" t="s">
        <v>171</v>
      </c>
      <c r="J6" s="2" t="s">
        <v>268</v>
      </c>
      <c r="K6" s="2" t="s">
        <v>623</v>
      </c>
      <c r="L6" s="2" t="s">
        <v>624</v>
      </c>
      <c r="M6" s="2" t="s">
        <v>625</v>
      </c>
      <c r="N6" s="2" t="s">
        <v>626</v>
      </c>
      <c r="O6" s="2" t="s">
        <v>627</v>
      </c>
      <c r="P6" s="2" t="s">
        <v>628</v>
      </c>
    </row>
    <row r="7" spans="2:16" ht="23.25" customHeight="1" x14ac:dyDescent="0.3">
      <c r="G7" s="3" t="str">
        <f>DATOS!$B$72&amp;" — "&amp;DATOS!$E$72</f>
        <v>LOAD 8 — VIENTO X</v>
      </c>
      <c r="H7" s="14" t="str">
        <f>DATOS!$C$72</f>
        <v>+X</v>
      </c>
      <c r="I7" s="33" t="str">
        <f>DATOS!$D$72</f>
        <v>CERRADAS</v>
      </c>
      <c r="J7" s="34">
        <f>PRESIONES!$C$42</f>
        <v>-0.5</v>
      </c>
      <c r="K7" s="37">
        <f>PRESIONES!$C$63</f>
        <v>9.6060132304514223</v>
      </c>
      <c r="L7" s="37">
        <f>PRESIONES!$C$69</f>
        <v>1.575128158535636</v>
      </c>
      <c r="M7" s="37">
        <f>PRESIONES!$C$66</f>
        <v>-0.86977783902744077</v>
      </c>
      <c r="N7" s="36">
        <f>MIN(PRESIONES!$C$51:$C$54)</f>
        <v>-9.7664196337775024</v>
      </c>
      <c r="O7" s="36">
        <f>PRESIONES!$C$45</f>
        <v>62.816049084443769</v>
      </c>
      <c r="P7" s="18" t="str">
        <f>IF(COUNTIF(PRESIONES!$I$76:$I$80,"OK")+COUNTIF(PRESIONES!$I$76:$I$80,"TODO ABIERTO*")=5,"OK","REVISA PRESIONES §E")</f>
        <v>OK</v>
      </c>
    </row>
    <row r="8" spans="2:16" ht="30" customHeight="1" x14ac:dyDescent="0.3">
      <c r="B8" s="2" t="s">
        <v>629</v>
      </c>
      <c r="C8" s="2" t="s">
        <v>630</v>
      </c>
      <c r="D8" s="2" t="s">
        <v>631</v>
      </c>
      <c r="E8" s="2" t="s">
        <v>630</v>
      </c>
      <c r="G8" s="3" t="str">
        <f>DATOS!$B$73&amp;" — "&amp;DATOS!$E$73</f>
        <v>LOAD 9 — VIENTO -X</v>
      </c>
      <c r="H8" s="14" t="str">
        <f>DATOS!$C$73</f>
        <v>−X</v>
      </c>
      <c r="I8" s="33" t="str">
        <f>DATOS!$D$73</f>
        <v>CERRADAS</v>
      </c>
      <c r="J8" s="34">
        <f>PRESIONES!$D$42</f>
        <v>-0.5</v>
      </c>
      <c r="K8" s="37">
        <f>PRESIONES!$D$63</f>
        <v>-9.6060132304514223</v>
      </c>
      <c r="L8" s="37">
        <f>PRESIONES!$D$69</f>
        <v>1.575128158535636</v>
      </c>
      <c r="M8" s="37">
        <f>PRESIONES!$D$66</f>
        <v>-0.86977783902744077</v>
      </c>
      <c r="N8" s="36">
        <f>MIN(PRESIONES!$D$51:$D$54)</f>
        <v>-9.7664196337775024</v>
      </c>
      <c r="O8" s="36">
        <f>PRESIONES!$D$46</f>
        <v>62.816049084443769</v>
      </c>
      <c r="P8" s="18" t="str">
        <f>IF(COUNTIF(PRESIONES!$I$76:$I$80,"OK")+COUNTIF(PRESIONES!$I$76:$I$80,"TODO ABIERTO*")=5,"OK","REVISA PRESIONES §E")</f>
        <v>OK</v>
      </c>
    </row>
    <row r="9" spans="2:16" ht="23.25" customHeight="1" x14ac:dyDescent="0.3">
      <c r="B9" s="43" t="str">
        <f>"LOAD "&amp;(DATOS!$C$66+0)&amp;" LOADTYPE Wind  TITLE "&amp;DATOS!$E$72</f>
        <v>LOAD 8 LOADTYPE Wind  TITLE VIENTO X</v>
      </c>
      <c r="C9" s="42" t="str">
        <f t="shared" ref="C9:C72" si="0">IF(LEN($B9)&gt;79,"MÁS DE 79 CARACTERES","")</f>
        <v/>
      </c>
      <c r="D9" s="44" t="str">
        <f>IF(PRESIONES!$C$22="NO",IF(1=1,"* CASOS B = CASOS A (SIN ±0.4 NI +0.3 EN EL TECHO): NO HACE FALTA",""),"LOAD "&amp;(DATOS!$C$69+0)&amp;" LOADTYPE Wind  TITLE "&amp;DATOS!$E$72&amp;" B")</f>
        <v>* CASOS B = CASOS A (SIN ±0.4 NI +0.3 EN EL TECHO): NO HACE FALTA</v>
      </c>
      <c r="E9" s="42" t="str">
        <f t="shared" ref="E9:E72" si="1">IF(LEN($D9)&gt;79,"MÁS DE 79 CARACTERES","")</f>
        <v/>
      </c>
      <c r="G9" s="3" t="str">
        <f>DATOS!$B$74&amp;" — "&amp;DATOS!$E$74</f>
        <v>LOAD 10 — VIENTO Z</v>
      </c>
      <c r="H9" s="14" t="str">
        <f>DATOS!$C$74</f>
        <v>+Z</v>
      </c>
      <c r="I9" s="33" t="str">
        <f>DATOS!$D$74</f>
        <v>CERRADAS</v>
      </c>
      <c r="J9" s="34">
        <f>PRESIONES!$E$42</f>
        <v>-0.6</v>
      </c>
      <c r="K9" s="37">
        <f>PRESIONES!$E$63</f>
        <v>0</v>
      </c>
      <c r="L9" s="37">
        <f>PRESIONES!$E$69</f>
        <v>0.78756407926781802</v>
      </c>
      <c r="M9" s="37">
        <f>PRESIONES!$E$66</f>
        <v>7.0362412827883229</v>
      </c>
      <c r="N9" s="36">
        <f>MIN(PRESIONES!$E$51:$E$54)</f>
        <v>-4.8832098168887512</v>
      </c>
      <c r="O9" s="36">
        <f>PRESIONES!$E$43</f>
        <v>67.699258901332513</v>
      </c>
      <c r="P9" s="18" t="str">
        <f>IF(COUNTIF(PRESIONES!$I$76:$I$80,"OK")+COUNTIF(PRESIONES!$I$76:$I$80,"TODO ABIERTO*")=5,"OK","REVISA PRESIONES §E")</f>
        <v>OK</v>
      </c>
    </row>
    <row r="10" spans="2:16" ht="23.25" customHeight="1" x14ac:dyDescent="0.3">
      <c r="B10" s="44" t="s">
        <v>632</v>
      </c>
      <c r="C10" s="42" t="str">
        <f t="shared" si="0"/>
        <v/>
      </c>
      <c r="D10" s="44" t="str">
        <f>IF(PRESIONES!$C$22="NO","","MEMBER LOAD")</f>
        <v/>
      </c>
      <c r="E10" s="42" t="str">
        <f t="shared" si="1"/>
        <v/>
      </c>
      <c r="G10" s="3" t="str">
        <f>DATOS!$B$75&amp;" — "&amp;DATOS!$E$75</f>
        <v>LOAD 11 — VIENTO -Z</v>
      </c>
      <c r="H10" s="14" t="str">
        <f>DATOS!$C$75</f>
        <v>−Z</v>
      </c>
      <c r="I10" s="33" t="str">
        <f>DATOS!$D$75</f>
        <v>CERRADAS</v>
      </c>
      <c r="J10" s="34">
        <f>PRESIONES!$F$42</f>
        <v>0.75</v>
      </c>
      <c r="K10" s="37">
        <f>PRESIONES!$F$63</f>
        <v>0</v>
      </c>
      <c r="L10" s="37">
        <f>PRESIONES!$F$69</f>
        <v>11.419679149383361</v>
      </c>
      <c r="M10" s="37">
        <f>PRESIONES!$F$66</f>
        <v>-5.690374640099499</v>
      </c>
      <c r="N10" s="36">
        <f>MIN(PRESIONES!$F$51:$F$54)</f>
        <v>-70.806542344886907</v>
      </c>
      <c r="O10" s="36">
        <f>PRESIONES!$F$44</f>
        <v>1.7759263733343573</v>
      </c>
      <c r="P10" s="18" t="str">
        <f>IF(COUNTIF(PRESIONES!$I$76:$I$80,"OK")+COUNTIF(PRESIONES!$I$76:$I$80,"TODO ABIERTO*")=5,"OK","REVISA PRESIONES §E")</f>
        <v>OK</v>
      </c>
    </row>
    <row r="11" spans="2:16" ht="23.25" customHeight="1" x14ac:dyDescent="0.3">
      <c r="B11" s="44" t="str">
        <f>IF(OR(LINEAS!$D$9="",ABS(-LINEAS!$AB$9*DATOS!$C$67)&lt;0.00005),"*",LINEAS!$D$9&amp;" UNI GY "&amp;TEXT(-LINEAS!$AB$9*DATOS!$C$67,DATOS!$C$68))</f>
        <v>22 85 TO 88 UNI GY 0.0659</v>
      </c>
      <c r="C11" s="42" t="str">
        <f t="shared" si="0"/>
        <v/>
      </c>
      <c r="D11" s="44" t="str">
        <f>IF(PRESIONES!$C$22="NO","",IF(OR(LINEAS!$D$9="",ABS(-LINEAS!$AR$9*DATOS!$C$67)&lt;0.00005),"*",LINEAS!$D$9&amp;" UNI GY "&amp;TEXT(-LINEAS!$AR$9*DATOS!$C$67,DATOS!$C$68)))</f>
        <v/>
      </c>
      <c r="E11" s="42" t="str">
        <f t="shared" si="1"/>
        <v/>
      </c>
      <c r="G11" s="3" t="str">
        <f>DATOS!$B$76&amp;" — "&amp;DATOS!$E$76</f>
        <v>LOAD 12 — VIENTO X PA</v>
      </c>
      <c r="H11" s="14" t="str">
        <f>DATOS!$C$76</f>
        <v>+X</v>
      </c>
      <c r="I11" s="33" t="str">
        <f>DATOS!$D$76</f>
        <v>ABIERTAS (PA)</v>
      </c>
      <c r="J11" s="34">
        <f>PRESIONES!$G$42</f>
        <v>-0.5</v>
      </c>
      <c r="K11" s="37">
        <f>PRESIONES!$G$63</f>
        <v>9.6060132304514223</v>
      </c>
      <c r="L11" s="37">
        <f>PRESIONES!$G$69</f>
        <v>1.575128158535636</v>
      </c>
      <c r="M11" s="37">
        <f>PRESIONES!$G$66</f>
        <v>-0.5588569440998602</v>
      </c>
      <c r="N11" s="36">
        <f>MIN(PRESIONES!$G$51:$G$54)</f>
        <v>-9.7664196337775024</v>
      </c>
      <c r="O11" s="36">
        <f>PRESIONES!$G$45</f>
        <v>62.816049084443769</v>
      </c>
      <c r="P11" s="18" t="str">
        <f>IF(COUNTIF(PRESIONES!$I$76:$I$80,"OK")+COUNTIF(PRESIONES!$I$76:$I$80,"TODO ABIERTO*")=5,"OK","REVISA PRESIONES §E")</f>
        <v>OK</v>
      </c>
    </row>
    <row r="12" spans="2:16" ht="23.25" customHeight="1" x14ac:dyDescent="0.3">
      <c r="B12" s="44" t="str">
        <f>IF(OR(LINEAS!$D$9="",DATOS!$C$22="—",ABS(LINEAS!$AJ$9*DATOS!$C$67)&lt;0.00005),"*",LINEAS!$D$9&amp;" UNI G"&amp;DATOS!$C$22&amp;" "&amp;TEXT(LINEAS!$AJ$9*DATOS!$C$67,DATOS!$C$68))</f>
        <v>22 85 TO 88 UNI GZ 0.0033</v>
      </c>
      <c r="C12" s="42" t="str">
        <f t="shared" si="0"/>
        <v/>
      </c>
      <c r="D12" s="44" t="str">
        <f>IF(PRESIONES!$C$22="NO","",IF(OR(LINEAS!$D$9="",DATOS!$C$22="—",ABS(LINEAS!$AZ$9*DATOS!$C$67)&lt;0.00005),"*",LINEAS!$D$9&amp;" UNI G"&amp;DATOS!$C$22&amp;" "&amp;TEXT(LINEAS!$AZ$9*DATOS!$C$67,DATOS!$C$68)))</f>
        <v/>
      </c>
      <c r="E12" s="42" t="str">
        <f t="shared" si="1"/>
        <v/>
      </c>
      <c r="G12" s="3" t="str">
        <f>DATOS!$B$77&amp;" — "&amp;DATOS!$E$77</f>
        <v>LOAD 13 — VIENTO -X PA</v>
      </c>
      <c r="H12" s="14" t="str">
        <f>DATOS!$C$77</f>
        <v>−X</v>
      </c>
      <c r="I12" s="33" t="str">
        <f>DATOS!$D$77</f>
        <v>ABIERTAS (PA)</v>
      </c>
      <c r="J12" s="34">
        <f>PRESIONES!$H$42</f>
        <v>-0.5</v>
      </c>
      <c r="K12" s="37">
        <f>PRESIONES!$H$63</f>
        <v>-9.6060132304514223</v>
      </c>
      <c r="L12" s="37">
        <f>PRESIONES!$H$69</f>
        <v>1.575128158535636</v>
      </c>
      <c r="M12" s="37">
        <f>PRESIONES!$H$66</f>
        <v>-0.5588569440998602</v>
      </c>
      <c r="N12" s="36">
        <f>MIN(PRESIONES!$H$51:$H$54)</f>
        <v>-9.7664196337775024</v>
      </c>
      <c r="O12" s="36">
        <f>PRESIONES!$H$46</f>
        <v>62.816049084443769</v>
      </c>
      <c r="P12" s="18" t="str">
        <f>IF(COUNTIF(PRESIONES!$I$76:$I$80,"OK")+COUNTIF(PRESIONES!$I$76:$I$80,"TODO ABIERTO*")=5,"OK","REVISA PRESIONES §E")</f>
        <v>OK</v>
      </c>
    </row>
    <row r="13" spans="2:16" ht="23.25" customHeight="1" x14ac:dyDescent="0.3">
      <c r="B13" s="44" t="str">
        <f>IF(OR(LINEAS!$D$10="",ABS(-LINEAS!$AB$10*DATOS!$C$67)&lt;0.00005),"*",LINEAS!$D$10&amp;" UNI GY "&amp;TEXT(-LINEAS!$AB$10*DATOS!$C$67,DATOS!$C$68))</f>
        <v>80 129 TO 132 UNI GY 0.1318</v>
      </c>
      <c r="C13" s="42" t="str">
        <f t="shared" si="0"/>
        <v/>
      </c>
      <c r="D13" s="44" t="str">
        <f>IF(PRESIONES!$C$22="NO","",IF(OR(LINEAS!$D$10="",ABS(-LINEAS!$AR$10*DATOS!$C$67)&lt;0.00005),"*",LINEAS!$D$10&amp;" UNI GY "&amp;TEXT(-LINEAS!$AR$10*DATOS!$C$67,DATOS!$C$68)))</f>
        <v/>
      </c>
      <c r="E13" s="42" t="str">
        <f t="shared" si="1"/>
        <v/>
      </c>
      <c r="G13" s="3" t="str">
        <f>DATOS!$B$78&amp;" — "&amp;DATOS!$E$78</f>
        <v>LOAD 14 — VIENTO Z PA</v>
      </c>
      <c r="H13" s="14" t="str">
        <f>DATOS!$C$78</f>
        <v>+Z</v>
      </c>
      <c r="I13" s="33" t="str">
        <f>DATOS!$D$78</f>
        <v>ABIERTAS (PA)</v>
      </c>
      <c r="J13" s="34">
        <f>PRESIONES!$I$42</f>
        <v>-0.6</v>
      </c>
      <c r="K13" s="37">
        <f>PRESIONES!$I$63</f>
        <v>0</v>
      </c>
      <c r="L13" s="37">
        <f>PRESIONES!$I$69</f>
        <v>0.78756407926781802</v>
      </c>
      <c r="M13" s="37">
        <f>PRESIONES!$I$66</f>
        <v>4.7442958709414187</v>
      </c>
      <c r="N13" s="36">
        <f>MIN(PRESIONES!$I$51:$I$54)</f>
        <v>-4.8832098168887512</v>
      </c>
      <c r="O13" s="36">
        <f>PRESIONES!$I$43</f>
        <v>67.699258901332513</v>
      </c>
      <c r="P13" s="18" t="str">
        <f>IF(COUNTIF(PRESIONES!$I$76:$I$80,"OK")+COUNTIF(PRESIONES!$I$76:$I$80,"TODO ABIERTO*")=5,"OK","REVISA PRESIONES §E")</f>
        <v>OK</v>
      </c>
    </row>
    <row r="14" spans="2:16" ht="23.25" customHeight="1" x14ac:dyDescent="0.3">
      <c r="B14" s="44" t="str">
        <f>IF(OR(LINEAS!$D$10="",DATOS!$C$22="—",ABS(LINEAS!$AJ$10*DATOS!$C$67)&lt;0.00005),"*",LINEAS!$D$10&amp;" UNI G"&amp;DATOS!$C$22&amp;" "&amp;TEXT(LINEAS!$AJ$10*DATOS!$C$67,DATOS!$C$68))</f>
        <v>80 129 TO 132 UNI GZ 0.0066</v>
      </c>
      <c r="C14" s="42" t="str">
        <f t="shared" si="0"/>
        <v/>
      </c>
      <c r="D14" s="44" t="str">
        <f>IF(PRESIONES!$C$22="NO","",IF(OR(LINEAS!$D$10="",DATOS!$C$22="—",ABS(LINEAS!$AZ$10*DATOS!$C$67)&lt;0.00005),"*",LINEAS!$D$10&amp;" UNI G"&amp;DATOS!$C$22&amp;" "&amp;TEXT(LINEAS!$AZ$10*DATOS!$C$67,DATOS!$C$68)))</f>
        <v/>
      </c>
      <c r="E14" s="42" t="str">
        <f t="shared" si="1"/>
        <v/>
      </c>
      <c r="G14" s="3" t="str">
        <f>DATOS!$B$79&amp;" — "&amp;DATOS!$E$79</f>
        <v>LOAD 15 — VIENTO -Z PA</v>
      </c>
      <c r="H14" s="14" t="str">
        <f>DATOS!$C$79</f>
        <v>−Z</v>
      </c>
      <c r="I14" s="33" t="str">
        <f>DATOS!$D$79</f>
        <v>ABIERTAS (PA)</v>
      </c>
      <c r="J14" s="34">
        <f>PRESIONES!$J$42</f>
        <v>0.75</v>
      </c>
      <c r="K14" s="37">
        <f>PRESIONES!$J$63</f>
        <v>0</v>
      </c>
      <c r="L14" s="37">
        <f>PRESIONES!$J$69</f>
        <v>11.419679149383361</v>
      </c>
      <c r="M14" s="37">
        <f>PRESIONES!$J$66</f>
        <v>-3.6379582672908688</v>
      </c>
      <c r="N14" s="36">
        <f>MIN(PRESIONES!$J$51:$J$54)</f>
        <v>-70.806542344886907</v>
      </c>
      <c r="O14" s="36">
        <f>PRESIONES!$J$44</f>
        <v>1.7759263733343573</v>
      </c>
      <c r="P14" s="18" t="str">
        <f>IF(COUNTIF(PRESIONES!$I$76:$I$80,"OK")+COUNTIF(PRESIONES!$I$76:$I$80,"TODO ABIERTO*")=5,"OK","REVISA PRESIONES §E")</f>
        <v>OK</v>
      </c>
    </row>
    <row r="15" spans="2:16" ht="15" customHeight="1" x14ac:dyDescent="0.3">
      <c r="B15" s="44" t="str">
        <f>IF(OR(LINEAS!$D$11="",ABS(-LINEAS!$AB$11*DATOS!$C$67)&lt;0.00005),"*",LINEAS!$D$11&amp;" UNI GY "&amp;TEXT(-LINEAS!$AB$11*DATOS!$C$67,DATOS!$C$68))</f>
        <v>79 125 TO 128 UNI GY 0.1318</v>
      </c>
      <c r="C15" s="42" t="str">
        <f t="shared" si="0"/>
        <v/>
      </c>
      <c r="D15" s="44" t="str">
        <f>IF(PRESIONES!$C$22="NO","",IF(OR(LINEAS!$D$11="",ABS(-LINEAS!$AR$11*DATOS!$C$67)&lt;0.00005),"*",LINEAS!$D$11&amp;" UNI GY "&amp;TEXT(-LINEAS!$AR$11*DATOS!$C$67,DATOS!$C$68)))</f>
        <v/>
      </c>
      <c r="E15" s="42" t="str">
        <f t="shared" si="1"/>
        <v/>
      </c>
    </row>
    <row r="16" spans="2:16" ht="21" customHeight="1" x14ac:dyDescent="0.3">
      <c r="B16" s="44" t="str">
        <f>IF(OR(LINEAS!$D$11="",DATOS!$C$22="—",ABS(LINEAS!$AJ$11*DATOS!$C$67)&lt;0.00005),"*",LINEAS!$D$11&amp;" UNI G"&amp;DATOS!$C$22&amp;" "&amp;TEXT(LINEAS!$AJ$11*DATOS!$C$67,DATOS!$C$68))</f>
        <v>79 125 TO 128 UNI GZ 0.0066</v>
      </c>
      <c r="C16" s="42" t="str">
        <f t="shared" si="0"/>
        <v/>
      </c>
      <c r="D16" s="44" t="str">
        <f>IF(PRESIONES!$C$22="NO","",IF(OR(LINEAS!$D$11="",DATOS!$C$22="—",ABS(LINEAS!$AZ$11*DATOS!$C$67)&lt;0.00005),"*",LINEAS!$D$11&amp;" UNI G"&amp;DATOS!$C$22&amp;" "&amp;TEXT(LINEAS!$AZ$11*DATOS!$C$67,DATOS!$C$68)))</f>
        <v/>
      </c>
      <c r="E16" s="42" t="str">
        <f t="shared" si="1"/>
        <v/>
      </c>
      <c r="G16" s="49" t="s">
        <v>633</v>
      </c>
      <c r="H16" s="49"/>
      <c r="I16" s="49"/>
      <c r="J16" s="49"/>
      <c r="K16" s="49"/>
      <c r="L16" s="49"/>
      <c r="M16" s="49"/>
      <c r="N16" s="49"/>
      <c r="O16" s="49"/>
      <c r="P16" s="49"/>
    </row>
    <row r="17" spans="2:16" ht="30" customHeight="1" x14ac:dyDescent="0.3">
      <c r="B17" s="44" t="str">
        <f>IF(OR(LINEAS!$D$12="",ABS(-LINEAS!$AB$12*DATOS!$C$67)&lt;0.00005),"*",LINEAS!$D$12&amp;" UNI GY "&amp;TEXT(-LINEAS!$AB$12*DATOS!$C$67,DATOS!$C$68))</f>
        <v>78 121 TO 124 UNI GY 0.1318</v>
      </c>
      <c r="C17" s="42" t="str">
        <f t="shared" si="0"/>
        <v/>
      </c>
      <c r="D17" s="44" t="str">
        <f>IF(PRESIONES!$C$22="NO","",IF(OR(LINEAS!$D$12="",ABS(-LINEAS!$AR$12*DATOS!$C$67)&lt;0.00005),"*",LINEAS!$D$12&amp;" UNI GY "&amp;TEXT(-LINEAS!$AR$12*DATOS!$C$67,DATOS!$C$68)))</f>
        <v/>
      </c>
      <c r="E17" s="42" t="str">
        <f t="shared" si="1"/>
        <v/>
      </c>
      <c r="G17" s="50" t="s">
        <v>634</v>
      </c>
      <c r="H17" s="50"/>
      <c r="I17" s="50"/>
      <c r="J17" s="50"/>
      <c r="K17" s="50"/>
      <c r="L17" s="50"/>
      <c r="M17" s="50"/>
      <c r="N17" s="50"/>
      <c r="O17" s="50"/>
      <c r="P17" s="50"/>
    </row>
    <row r="18" spans="2:16" ht="30" customHeight="1" x14ac:dyDescent="0.3">
      <c r="B18" s="44" t="str">
        <f>IF(OR(LINEAS!$D$12="",DATOS!$C$22="—",ABS(LINEAS!$AJ$12*DATOS!$C$67)&lt;0.00005),"*",LINEAS!$D$12&amp;" UNI G"&amp;DATOS!$C$22&amp;" "&amp;TEXT(LINEAS!$AJ$12*DATOS!$C$67,DATOS!$C$68))</f>
        <v>78 121 TO 124 UNI GZ 0.0066</v>
      </c>
      <c r="C18" s="42" t="str">
        <f t="shared" si="0"/>
        <v/>
      </c>
      <c r="D18" s="44" t="str">
        <f>IF(PRESIONES!$C$22="NO","",IF(OR(LINEAS!$D$12="",DATOS!$C$22="—",ABS(LINEAS!$AZ$12*DATOS!$C$67)&lt;0.00005),"*",LINEAS!$D$12&amp;" UNI G"&amp;DATOS!$C$22&amp;" "&amp;TEXT(LINEAS!$AZ$12*DATOS!$C$67,DATOS!$C$68)))</f>
        <v/>
      </c>
      <c r="E18" s="42" t="str">
        <f t="shared" si="1"/>
        <v/>
      </c>
      <c r="G18" s="2" t="s">
        <v>309</v>
      </c>
      <c r="H18" s="2" t="str">
        <f>DATOS!$B$72</f>
        <v>LOAD 8</v>
      </c>
      <c r="I18" s="2" t="str">
        <f>DATOS!$B$73</f>
        <v>LOAD 9</v>
      </c>
      <c r="J18" s="2" t="str">
        <f>DATOS!$B$74</f>
        <v>LOAD 10</v>
      </c>
      <c r="K18" s="2" t="str">
        <f>DATOS!$B$75</f>
        <v>LOAD 11</v>
      </c>
      <c r="L18" s="2" t="str">
        <f>DATOS!$B$76</f>
        <v>LOAD 12</v>
      </c>
      <c r="M18" s="2" t="str">
        <f>DATOS!$B$77</f>
        <v>LOAD 13</v>
      </c>
      <c r="N18" s="2" t="str">
        <f>DATOS!$B$78</f>
        <v>LOAD 14</v>
      </c>
      <c r="O18" s="2" t="str">
        <f>DATOS!$B$79</f>
        <v>LOAD 15</v>
      </c>
      <c r="P18" s="2" t="s">
        <v>635</v>
      </c>
    </row>
    <row r="19" spans="2:16" ht="15" customHeight="1" x14ac:dyDescent="0.3">
      <c r="B19" s="44" t="str">
        <f>IF(OR(LINEAS!$D$13="",ABS(-LINEAS!$AB$13*DATOS!$C$67)&lt;0.00005),"*",LINEAS!$D$13&amp;" UNI GY "&amp;TEXT(-LINEAS!$AB$13*DATOS!$C$67,DATOS!$C$68))</f>
        <v>77 117 TO 120 UNI GY 0.1318</v>
      </c>
      <c r="C19" s="42" t="str">
        <f t="shared" si="0"/>
        <v/>
      </c>
      <c r="D19" s="44" t="str">
        <f>IF(PRESIONES!$C$22="NO","",IF(OR(LINEAS!$D$13="",ABS(-LINEAS!$AR$13*DATOS!$C$67)&lt;0.00005),"*",LINEAS!$D$13&amp;" UNI GY "&amp;TEXT(-LINEAS!$AR$13*DATOS!$C$67,DATOS!$C$68)))</f>
        <v/>
      </c>
      <c r="E19" s="42" t="str">
        <f t="shared" si="1"/>
        <v/>
      </c>
      <c r="G19" s="1" t="s">
        <v>636</v>
      </c>
      <c r="H19" s="45">
        <f>1*PRESIONES!$C$43*IF(DATOS!$C$65="CM KG",0.0001,IF(DATOS!$C$65="METER KG",1,0.00980665))</f>
        <v>-9.1839509155562313E-4</v>
      </c>
      <c r="I19" s="45">
        <f>1*PRESIONES!$D$43*IF(DATOS!$C$65="CM KG",0.0001,IF(DATOS!$C$65="METER KG",1,0.00980665))</f>
        <v>-9.1839509155562313E-4</v>
      </c>
      <c r="J19" s="45">
        <f>1*PRESIONES!$E$43*IF(DATOS!$C$65="CM KG",0.0001,IF(DATOS!$C$65="METER KG",1,0.00980665))</f>
        <v>6.7699258901332514E-3</v>
      </c>
      <c r="K19" s="45">
        <f>1*PRESIONES!$F$43*IF(DATOS!$C$65="CM KG",0.0001,IF(DATOS!$C$65="METER KG",1,0.00980665))</f>
        <v>-6.0624073626665649E-3</v>
      </c>
      <c r="L19" s="45">
        <f>1*PRESIONES!$G$43*IF(DATOS!$C$65="CM KG",0.0001,IF(DATOS!$C$65="METER KG",1,0.00980665))</f>
        <v>-9.1839509155562313E-4</v>
      </c>
      <c r="M19" s="45">
        <f>1*PRESIONES!$H$43*IF(DATOS!$C$65="CM KG",0.0001,IF(DATOS!$C$65="METER KG",1,0.00980665))</f>
        <v>-9.1839509155562313E-4</v>
      </c>
      <c r="N19" s="45">
        <f>1*PRESIONES!$I$43*IF(DATOS!$C$65="CM KG",0.0001,IF(DATOS!$C$65="METER KG",1,0.00980665))</f>
        <v>6.7699258901332514E-3</v>
      </c>
      <c r="O19" s="45">
        <f>1*PRESIONES!$J$43*IF(DATOS!$C$65="CM KG",0.0001,IF(DATOS!$C$65="METER KG",1,0.00980665))</f>
        <v>-6.0624073626665649E-3</v>
      </c>
      <c r="P19" s="18" t="s">
        <v>637</v>
      </c>
    </row>
    <row r="20" spans="2:16" ht="15" customHeight="1" x14ac:dyDescent="0.3">
      <c r="B20" s="44" t="str">
        <f>IF(OR(LINEAS!$D$13="",DATOS!$C$22="—",ABS(LINEAS!$AJ$13*DATOS!$C$67)&lt;0.00005),"*",LINEAS!$D$13&amp;" UNI G"&amp;DATOS!$C$22&amp;" "&amp;TEXT(LINEAS!$AJ$13*DATOS!$C$67,DATOS!$C$68))</f>
        <v>77 117 TO 120 UNI GZ 0.0066</v>
      </c>
      <c r="C20" s="42" t="str">
        <f t="shared" si="0"/>
        <v/>
      </c>
      <c r="D20" s="44" t="str">
        <f>IF(PRESIONES!$C$22="NO","",IF(OR(LINEAS!$D$13="",DATOS!$C$22="—",ABS(LINEAS!$AZ$13*DATOS!$C$67)&lt;0.00005),"*",LINEAS!$D$13&amp;" UNI G"&amp;DATOS!$C$22&amp;" "&amp;TEXT(LINEAS!$AZ$13*DATOS!$C$67,DATOS!$C$68)))</f>
        <v/>
      </c>
      <c r="E20" s="42" t="str">
        <f t="shared" si="1"/>
        <v/>
      </c>
      <c r="G20" s="1" t="s">
        <v>638</v>
      </c>
      <c r="H20" s="45">
        <f>-1*PRESIONES!$C$44*IF(DATOS!$C$65="CM KG",0.0001,IF(DATOS!$C$65="METER KG",1,0.00980665))</f>
        <v>9.1839509155562313E-4</v>
      </c>
      <c r="I20" s="45">
        <f>-1*PRESIONES!$D$44*IF(DATOS!$C$65="CM KG",0.0001,IF(DATOS!$C$65="METER KG",1,0.00980665))</f>
        <v>9.1839509155562313E-4</v>
      </c>
      <c r="J20" s="45">
        <f>-1*PRESIONES!$E$44*IF(DATOS!$C$65="CM KG",0.0001,IF(DATOS!$C$65="METER KG",1,0.00980665))</f>
        <v>-5.299258901332515E-4</v>
      </c>
      <c r="K20" s="45">
        <f>-1*PRESIONES!$F$44*IF(DATOS!$C$65="CM KG",0.0001,IF(DATOS!$C$65="METER KG",1,0.00980665))</f>
        <v>-1.7759263733343575E-4</v>
      </c>
      <c r="L20" s="45">
        <f>-1*PRESIONES!$G$44*IF(DATOS!$C$65="CM KG",0.0001,IF(DATOS!$C$65="METER KG",1,0.00980665))</f>
        <v>9.1839509155562313E-4</v>
      </c>
      <c r="M20" s="45">
        <f>-1*PRESIONES!$H$44*IF(DATOS!$C$65="CM KG",0.0001,IF(DATOS!$C$65="METER KG",1,0.00980665))</f>
        <v>9.1839509155562313E-4</v>
      </c>
      <c r="N20" s="45">
        <f>-1*PRESIONES!$I$44*IF(DATOS!$C$65="CM KG",0.0001,IF(DATOS!$C$65="METER KG",1,0.00980665))</f>
        <v>-5.299258901332515E-4</v>
      </c>
      <c r="O20" s="45">
        <f>-1*PRESIONES!$J$44*IF(DATOS!$C$65="CM KG",0.0001,IF(DATOS!$C$65="METER KG",1,0.00980665))</f>
        <v>-1.7759263733343575E-4</v>
      </c>
      <c r="P20" s="18" t="s">
        <v>637</v>
      </c>
    </row>
    <row r="21" spans="2:16" ht="15" customHeight="1" x14ac:dyDescent="0.3">
      <c r="B21" s="44" t="str">
        <f>IF(OR(LINEAS!$D$14="",ABS(-LINEAS!$AB$14*DATOS!$C$67)&lt;0.00005),"*",LINEAS!$D$14&amp;" UNI GY "&amp;TEXT(-LINEAS!$AB$14*DATOS!$C$67,DATOS!$C$68))</f>
        <v>9 93 TO 96 UNI GY 0.1318</v>
      </c>
      <c r="C21" s="42" t="str">
        <f t="shared" si="0"/>
        <v/>
      </c>
      <c r="D21" s="44" t="str">
        <f>IF(PRESIONES!$C$22="NO","",IF(OR(LINEAS!$D$14="",ABS(-LINEAS!$AR$14*DATOS!$C$67)&lt;0.00005),"*",LINEAS!$D$14&amp;" UNI GY "&amp;TEXT(-LINEAS!$AR$14*DATOS!$C$67,DATOS!$C$68)))</f>
        <v/>
      </c>
      <c r="E21" s="42" t="str">
        <f t="shared" si="1"/>
        <v/>
      </c>
      <c r="G21" s="1" t="s">
        <v>639</v>
      </c>
      <c r="H21" s="45">
        <f>1*PRESIONES!$C$45*IF(DATOS!$C$65="CM KG",0.0001,IF(DATOS!$C$65="METER KG",1,0.00980665))</f>
        <v>6.2816049084443775E-3</v>
      </c>
      <c r="I21" s="45">
        <f>1*PRESIONES!$D$45*IF(DATOS!$C$65="CM KG",0.0001,IF(DATOS!$C$65="METER KG",1,0.00980665))</f>
        <v>4.1604908444376321E-5</v>
      </c>
      <c r="J21" s="45">
        <f>1*PRESIONES!$E$45*IF(DATOS!$C$65="CM KG",0.0001,IF(DATOS!$C$65="METER KG",1,0.00980665))</f>
        <v>-4.3007410986674799E-4</v>
      </c>
      <c r="K21" s="45">
        <f>1*PRESIONES!$F$45*IF(DATOS!$C$65="CM KG",0.0001,IF(DATOS!$C$65="METER KG",1,0.00980665))</f>
        <v>-7.0224073626665648E-3</v>
      </c>
      <c r="L21" s="45">
        <f>1*PRESIONES!$G$45*IF(DATOS!$C$65="CM KG",0.0001,IF(DATOS!$C$65="METER KG",1,0.00980665))</f>
        <v>6.2816049084443775E-3</v>
      </c>
      <c r="M21" s="45">
        <f>1*PRESIONES!$H$45*IF(DATOS!$C$65="CM KG",0.0001,IF(DATOS!$C$65="METER KG",1,0.00980665))</f>
        <v>4.1604908444376321E-5</v>
      </c>
      <c r="N21" s="45">
        <f>1*PRESIONES!$I$45*IF(DATOS!$C$65="CM KG",0.0001,IF(DATOS!$C$65="METER KG",1,0.00980665))</f>
        <v>-4.3007410986674799E-4</v>
      </c>
      <c r="O21" s="45">
        <f>1*PRESIONES!$J$45*IF(DATOS!$C$65="CM KG",0.0001,IF(DATOS!$C$65="METER KG",1,0.00980665))</f>
        <v>-7.0224073626665648E-3</v>
      </c>
      <c r="P21" s="18" t="s">
        <v>640</v>
      </c>
    </row>
    <row r="22" spans="2:16" ht="15" customHeight="1" x14ac:dyDescent="0.3">
      <c r="B22" s="44" t="str">
        <f>IF(OR(LINEAS!$D$14="",DATOS!$C$22="—",ABS(LINEAS!$AJ$14*DATOS!$C$67)&lt;0.00005),"*",LINEAS!$D$14&amp;" UNI G"&amp;DATOS!$C$22&amp;" "&amp;TEXT(LINEAS!$AJ$14*DATOS!$C$67,DATOS!$C$68))</f>
        <v>9 93 TO 96 UNI GZ 0.0066</v>
      </c>
      <c r="C22" s="42" t="str">
        <f t="shared" si="0"/>
        <v/>
      </c>
      <c r="D22" s="44" t="str">
        <f>IF(PRESIONES!$C$22="NO","",IF(OR(LINEAS!$D$14="",DATOS!$C$22="—",ABS(LINEAS!$AZ$14*DATOS!$C$67)&lt;0.00005),"*",LINEAS!$D$14&amp;" UNI G"&amp;DATOS!$C$22&amp;" "&amp;TEXT(LINEAS!$AZ$14*DATOS!$C$67,DATOS!$C$68)))</f>
        <v/>
      </c>
      <c r="E22" s="42" t="str">
        <f t="shared" si="1"/>
        <v/>
      </c>
      <c r="G22" s="1" t="s">
        <v>641</v>
      </c>
      <c r="H22" s="45">
        <f>-1*PRESIONES!$C$46*IF(DATOS!$C$65="CM KG",0.0001,IF(DATOS!$C$65="METER KG",1,0.00980665))</f>
        <v>-4.1604908444376321E-5</v>
      </c>
      <c r="I22" s="45">
        <f>-1*PRESIONES!$D$46*IF(DATOS!$C$65="CM KG",0.0001,IF(DATOS!$C$65="METER KG",1,0.00980665))</f>
        <v>-6.2816049084443775E-3</v>
      </c>
      <c r="J22" s="45">
        <f>-1*PRESIONES!$E$46*IF(DATOS!$C$65="CM KG",0.0001,IF(DATOS!$C$65="METER KG",1,0.00980665))</f>
        <v>4.3007410986674799E-4</v>
      </c>
      <c r="K22" s="45">
        <f>-1*PRESIONES!$F$46*IF(DATOS!$C$65="CM KG",0.0001,IF(DATOS!$C$65="METER KG",1,0.00980665))</f>
        <v>7.0224073626665648E-3</v>
      </c>
      <c r="L22" s="45">
        <f>-1*PRESIONES!$G$46*IF(DATOS!$C$65="CM KG",0.0001,IF(DATOS!$C$65="METER KG",1,0.00980665))</f>
        <v>-4.1604908444376321E-5</v>
      </c>
      <c r="M22" s="45">
        <f>-1*PRESIONES!$H$46*IF(DATOS!$C$65="CM KG",0.0001,IF(DATOS!$C$65="METER KG",1,0.00980665))</f>
        <v>-6.2816049084443775E-3</v>
      </c>
      <c r="N22" s="45">
        <f>-1*PRESIONES!$I$46*IF(DATOS!$C$65="CM KG",0.0001,IF(DATOS!$C$65="METER KG",1,0.00980665))</f>
        <v>4.3007410986674799E-4</v>
      </c>
      <c r="O22" s="45">
        <f>-1*PRESIONES!$J$46*IF(DATOS!$C$65="CM KG",0.0001,IF(DATOS!$C$65="METER KG",1,0.00980665))</f>
        <v>7.0224073626665648E-3</v>
      </c>
      <c r="P22" s="18" t="s">
        <v>640</v>
      </c>
    </row>
    <row r="23" spans="2:16" ht="15" customHeight="1" x14ac:dyDescent="0.3">
      <c r="B23" s="44" t="str">
        <f>IF(OR(LINEAS!$D$15="",ABS(-LINEAS!$AB$15*DATOS!$C$67)&lt;0.00005),"*",LINEAS!$D$15&amp;" UNI GY "&amp;TEXT(-LINEAS!$AB$15*DATOS!$C$67,DATOS!$C$68))</f>
        <v>76 113 TO 116 UNI GY 0.1318</v>
      </c>
      <c r="C23" s="42" t="str">
        <f t="shared" si="0"/>
        <v/>
      </c>
      <c r="D23" s="44" t="str">
        <f>IF(PRESIONES!$C$22="NO","",IF(OR(LINEAS!$D$15="",ABS(-LINEAS!$AR$15*DATOS!$C$67)&lt;0.00005),"*",LINEAS!$D$15&amp;" UNI GY "&amp;TEXT(-LINEAS!$AR$15*DATOS!$C$67,DATOS!$C$68)))</f>
        <v/>
      </c>
      <c r="E23" s="42" t="str">
        <f t="shared" si="1"/>
        <v/>
      </c>
      <c r="G23" s="1" t="s">
        <v>642</v>
      </c>
      <c r="H23" s="45">
        <f>1*PRESIONES!$C$47*IF(DATOS!$C$65="CM KG",0.0001,IF(DATOS!$C$65="METER KG",1,0.00980665))</f>
        <v>-9.1839509155562313E-4</v>
      </c>
      <c r="I23" s="45">
        <f>1*PRESIONES!$D$47*IF(DATOS!$C$65="CM KG",0.0001,IF(DATOS!$C$65="METER KG",1,0.00980665))</f>
        <v>-9.1839509155562313E-4</v>
      </c>
      <c r="J23" s="45">
        <f>1*PRESIONES!$E$47*IF(DATOS!$C$65="CM KG",0.0001,IF(DATOS!$C$65="METER KG",1,0.00980665))</f>
        <v>6.8364937436442546E-3</v>
      </c>
      <c r="K23" s="45">
        <f>1*PRESIONES!$F$47*IF(DATOS!$C$65="CM KG",0.0001,IF(DATOS!$C$65="METER KG",1,0.00980665))</f>
        <v>-6.0624073626665649E-3</v>
      </c>
      <c r="L23" s="45">
        <f>1*PRESIONES!$G$47*IF(DATOS!$C$65="CM KG",0.0001,IF(DATOS!$C$65="METER KG",1,0.00980665))</f>
        <v>-9.1839509155562313E-4</v>
      </c>
      <c r="M23" s="45">
        <f>1*PRESIONES!$H$47*IF(DATOS!$C$65="CM KG",0.0001,IF(DATOS!$C$65="METER KG",1,0.00980665))</f>
        <v>-9.1839509155562313E-4</v>
      </c>
      <c r="N23" s="45">
        <f>1*PRESIONES!$I$47*IF(DATOS!$C$65="CM KG",0.0001,IF(DATOS!$C$65="METER KG",1,0.00980665))</f>
        <v>6.8364937436442546E-3</v>
      </c>
      <c r="O23" s="45">
        <f>1*PRESIONES!$J$47*IF(DATOS!$C$65="CM KG",0.0001,IF(DATOS!$C$65="METER KG",1,0.00980665))</f>
        <v>-6.0624073626665649E-3</v>
      </c>
      <c r="P23" s="18" t="s">
        <v>637</v>
      </c>
    </row>
    <row r="24" spans="2:16" ht="15" customHeight="1" x14ac:dyDescent="0.3">
      <c r="B24" s="44" t="str">
        <f>IF(OR(LINEAS!$D$15="",DATOS!$C$22="—",ABS(LINEAS!$AJ$15*DATOS!$C$67)&lt;0.00005),"*",LINEAS!$D$15&amp;" UNI G"&amp;DATOS!$C$22&amp;" "&amp;TEXT(LINEAS!$AJ$15*DATOS!$C$67,DATOS!$C$68))</f>
        <v>76 113 TO 116 UNI GZ 0.0066</v>
      </c>
      <c r="C24" s="42" t="str">
        <f t="shared" si="0"/>
        <v/>
      </c>
      <c r="D24" s="44" t="str">
        <f>IF(PRESIONES!$C$22="NO","",IF(OR(LINEAS!$D$15="",DATOS!$C$22="—",ABS(LINEAS!$AZ$15*DATOS!$C$67)&lt;0.00005),"*",LINEAS!$D$15&amp;" UNI G"&amp;DATOS!$C$22&amp;" "&amp;TEXT(LINEAS!$AZ$15*DATOS!$C$67,DATOS!$C$68)))</f>
        <v/>
      </c>
      <c r="E24" s="42" t="str">
        <f t="shared" si="1"/>
        <v/>
      </c>
      <c r="G24" s="1" t="s">
        <v>643</v>
      </c>
      <c r="H24" s="45">
        <f>-1*PRESIONES!$C$48*IF(DATOS!$C$65="CM KG",0.0001,IF(DATOS!$C$65="METER KG",1,0.00980665))</f>
        <v>9.1839509155562313E-4</v>
      </c>
      <c r="I24" s="45">
        <f>-1*PRESIONES!$D$48*IF(DATOS!$C$65="CM KG",0.0001,IF(DATOS!$C$65="METER KG",1,0.00980665))</f>
        <v>9.1839509155562313E-4</v>
      </c>
      <c r="J24" s="45">
        <f>-1*PRESIONES!$E$48*IF(DATOS!$C$65="CM KG",0.0001,IF(DATOS!$C$65="METER KG",1,0.00980665))</f>
        <v>-5.299258901332515E-4</v>
      </c>
      <c r="K24" s="45">
        <f>-1*PRESIONES!$F$48*IF(DATOS!$C$65="CM KG",0.0001,IF(DATOS!$C$65="METER KG",1,0.00980665))</f>
        <v>-1.7759263733343575E-4</v>
      </c>
      <c r="L24" s="45">
        <f>-1*PRESIONES!$G$48*IF(DATOS!$C$65="CM KG",0.0001,IF(DATOS!$C$65="METER KG",1,0.00980665))</f>
        <v>9.1839509155562313E-4</v>
      </c>
      <c r="M24" s="45">
        <f>-1*PRESIONES!$H$48*IF(DATOS!$C$65="CM KG",0.0001,IF(DATOS!$C$65="METER KG",1,0.00980665))</f>
        <v>9.1839509155562313E-4</v>
      </c>
      <c r="N24" s="45">
        <f>-1*PRESIONES!$I$48*IF(DATOS!$C$65="CM KG",0.0001,IF(DATOS!$C$65="METER KG",1,0.00980665))</f>
        <v>-5.299258901332515E-4</v>
      </c>
      <c r="O24" s="45">
        <f>-1*PRESIONES!$J$48*IF(DATOS!$C$65="CM KG",0.0001,IF(DATOS!$C$65="METER KG",1,0.00980665))</f>
        <v>-1.7759263733343575E-4</v>
      </c>
      <c r="P24" s="18" t="s">
        <v>637</v>
      </c>
    </row>
    <row r="25" spans="2:16" ht="15" customHeight="1" x14ac:dyDescent="0.3">
      <c r="B25" s="44" t="str">
        <f>IF(OR(LINEAS!$D$16="",ABS(-LINEAS!$AB$16*DATOS!$C$67)&lt;0.00005),"*",LINEAS!$D$16&amp;" UNI GY "&amp;TEXT(-LINEAS!$AB$16*DATOS!$C$67,DATOS!$C$68))</f>
        <v>75 109 TO 112 UNI GY 0.1318</v>
      </c>
      <c r="C25" s="42" t="str">
        <f t="shared" si="0"/>
        <v/>
      </c>
      <c r="D25" s="44" t="str">
        <f>IF(PRESIONES!$C$22="NO","",IF(OR(LINEAS!$D$16="",ABS(-LINEAS!$AR$16*DATOS!$C$67)&lt;0.00005),"*",LINEAS!$D$16&amp;" UNI GY "&amp;TEXT(-LINEAS!$AR$16*DATOS!$C$67,DATOS!$C$68)))</f>
        <v/>
      </c>
      <c r="E25" s="42" t="str">
        <f t="shared" si="1"/>
        <v/>
      </c>
      <c r="G25" s="1" t="s">
        <v>644</v>
      </c>
      <c r="H25" s="45">
        <f>1*PRESIONES!$C$49*IF(DATOS!$C$65="CM KG",0.0001,IF(DATOS!$C$65="METER KG",1,0.00980665))</f>
        <v>6.348172761955379E-3</v>
      </c>
      <c r="I25" s="45">
        <f>1*PRESIONES!$D$49*IF(DATOS!$C$65="CM KG",0.0001,IF(DATOS!$C$65="METER KG",1,0.00980665))</f>
        <v>4.1604908444376321E-5</v>
      </c>
      <c r="J25" s="45">
        <f>1*PRESIONES!$E$49*IF(DATOS!$C$65="CM KG",0.0001,IF(DATOS!$C$65="METER KG",1,0.00980665))</f>
        <v>-4.3007410986674799E-4</v>
      </c>
      <c r="K25" s="45">
        <f>1*PRESIONES!$F$49*IF(DATOS!$C$65="CM KG",0.0001,IF(DATOS!$C$65="METER KG",1,0.00980665))</f>
        <v>-7.0224073626665648E-3</v>
      </c>
      <c r="L25" s="45">
        <f>1*PRESIONES!$G$49*IF(DATOS!$C$65="CM KG",0.0001,IF(DATOS!$C$65="METER KG",1,0.00980665))</f>
        <v>6.348172761955379E-3</v>
      </c>
      <c r="M25" s="45">
        <f>1*PRESIONES!$H$49*IF(DATOS!$C$65="CM KG",0.0001,IF(DATOS!$C$65="METER KG",1,0.00980665))</f>
        <v>4.1604908444376321E-5</v>
      </c>
      <c r="N25" s="45">
        <f>1*PRESIONES!$I$49*IF(DATOS!$C$65="CM KG",0.0001,IF(DATOS!$C$65="METER KG",1,0.00980665))</f>
        <v>-4.3007410986674799E-4</v>
      </c>
      <c r="O25" s="45">
        <f>1*PRESIONES!$J$49*IF(DATOS!$C$65="CM KG",0.0001,IF(DATOS!$C$65="METER KG",1,0.00980665))</f>
        <v>-7.0224073626665648E-3</v>
      </c>
      <c r="P25" s="18" t="s">
        <v>640</v>
      </c>
    </row>
    <row r="26" spans="2:16" ht="15" customHeight="1" x14ac:dyDescent="0.3">
      <c r="B26" s="44" t="str">
        <f>IF(OR(LINEAS!$D$16="",DATOS!$C$22="—",ABS(LINEAS!$AJ$16*DATOS!$C$67)&lt;0.00005),"*",LINEAS!$D$16&amp;" UNI G"&amp;DATOS!$C$22&amp;" "&amp;TEXT(LINEAS!$AJ$16*DATOS!$C$67,DATOS!$C$68))</f>
        <v>75 109 TO 112 UNI GZ 0.0066</v>
      </c>
      <c r="C26" s="42" t="str">
        <f t="shared" si="0"/>
        <v/>
      </c>
      <c r="D26" s="44" t="str">
        <f>IF(PRESIONES!$C$22="NO","",IF(OR(LINEAS!$D$16="",DATOS!$C$22="—",ABS(LINEAS!$AZ$16*DATOS!$C$67)&lt;0.00005),"*",LINEAS!$D$16&amp;" UNI G"&amp;DATOS!$C$22&amp;" "&amp;TEXT(LINEAS!$AZ$16*DATOS!$C$67,DATOS!$C$68)))</f>
        <v/>
      </c>
      <c r="E26" s="42" t="str">
        <f t="shared" si="1"/>
        <v/>
      </c>
      <c r="G26" s="1" t="s">
        <v>645</v>
      </c>
      <c r="H26" s="45">
        <f>-1*PRESIONES!$C$50*IF(DATOS!$C$65="CM KG",0.0001,IF(DATOS!$C$65="METER KG",1,0.00980665))</f>
        <v>-4.1604908444376321E-5</v>
      </c>
      <c r="I26" s="45">
        <f>-1*PRESIONES!$D$50*IF(DATOS!$C$65="CM KG",0.0001,IF(DATOS!$C$65="METER KG",1,0.00980665))</f>
        <v>-6.348172761955379E-3</v>
      </c>
      <c r="J26" s="45">
        <f>-1*PRESIONES!$E$50*IF(DATOS!$C$65="CM KG",0.0001,IF(DATOS!$C$65="METER KG",1,0.00980665))</f>
        <v>4.3007410986674799E-4</v>
      </c>
      <c r="K26" s="45">
        <f>-1*PRESIONES!$F$50*IF(DATOS!$C$65="CM KG",0.0001,IF(DATOS!$C$65="METER KG",1,0.00980665))</f>
        <v>7.0224073626665648E-3</v>
      </c>
      <c r="L26" s="45">
        <f>-1*PRESIONES!$G$50*IF(DATOS!$C$65="CM KG",0.0001,IF(DATOS!$C$65="METER KG",1,0.00980665))</f>
        <v>-4.1604908444376321E-5</v>
      </c>
      <c r="M26" s="45">
        <f>-1*PRESIONES!$H$50*IF(DATOS!$C$65="CM KG",0.0001,IF(DATOS!$C$65="METER KG",1,0.00980665))</f>
        <v>-6.348172761955379E-3</v>
      </c>
      <c r="N26" s="45">
        <f>-1*PRESIONES!$I$50*IF(DATOS!$C$65="CM KG",0.0001,IF(DATOS!$C$65="METER KG",1,0.00980665))</f>
        <v>4.3007410986674799E-4</v>
      </c>
      <c r="O26" s="45">
        <f>-1*PRESIONES!$J$50*IF(DATOS!$C$65="CM KG",0.0001,IF(DATOS!$C$65="METER KG",1,0.00980665))</f>
        <v>7.0224073626665648E-3</v>
      </c>
      <c r="P26" s="18" t="s">
        <v>640</v>
      </c>
    </row>
    <row r="27" spans="2:16" ht="15" customHeight="1" x14ac:dyDescent="0.3">
      <c r="B27" s="44" t="str">
        <f>IF(OR(LINEAS!$D$17="",ABS(-LINEAS!$AB$17*DATOS!$C$67)&lt;0.00005),"*",LINEAS!$D$17&amp;" UNI GY "&amp;TEXT(-LINEAS!$AB$17*DATOS!$C$67,DATOS!$C$68))</f>
        <v>74 105 TO 108 UNI GY 0.1318</v>
      </c>
      <c r="C27" s="42" t="str">
        <f t="shared" si="0"/>
        <v/>
      </c>
      <c r="D27" s="44" t="str">
        <f>IF(PRESIONES!$C$22="NO","",IF(OR(LINEAS!$D$17="",ABS(-LINEAS!$AR$17*DATOS!$C$67)&lt;0.00005),"*",LINEAS!$D$17&amp;" UNI GY "&amp;TEXT(-LINEAS!$AR$17*DATOS!$C$67,DATOS!$C$68)))</f>
        <v/>
      </c>
      <c r="E27" s="42" t="str">
        <f t="shared" si="1"/>
        <v/>
      </c>
      <c r="G27" s="1" t="s">
        <v>646</v>
      </c>
      <c r="H27" s="45">
        <f>-1*PRESIONES!$C$51*IF(DATOS!$C$65="CM KG",0.0001,IF(DATOS!$C$65="METER KG",1,0.00980665))</f>
        <v>9.7664196337775028E-4</v>
      </c>
      <c r="I27" s="45">
        <f>-1*PRESIONES!$D$51*IF(DATOS!$C$65="CM KG",0.0001,IF(DATOS!$C$65="METER KG",1,0.00980665))</f>
        <v>9.7664196337775028E-4</v>
      </c>
      <c r="J27" s="45">
        <f>-1*PRESIONES!$E$51*IF(DATOS!$C$65="CM KG",0.0001,IF(DATOS!$C$65="METER KG",1,0.00980665))</f>
        <v>4.8832098168887514E-4</v>
      </c>
      <c r="K27" s="45">
        <f>-1*PRESIONES!$F$51*IF(DATOS!$C$65="CM KG",0.0001,IF(DATOS!$C$65="METER KG",1,0.00980665))</f>
        <v>7.0806542344886911E-3</v>
      </c>
      <c r="L27" s="45">
        <f>-1*PRESIONES!$G$51*IF(DATOS!$C$65="CM KG",0.0001,IF(DATOS!$C$65="METER KG",1,0.00980665))</f>
        <v>9.7664196337775028E-4</v>
      </c>
      <c r="M27" s="45">
        <f>-1*PRESIONES!$H$51*IF(DATOS!$C$65="CM KG",0.0001,IF(DATOS!$C$65="METER KG",1,0.00980665))</f>
        <v>9.7664196337775028E-4</v>
      </c>
      <c r="N27" s="45">
        <f>-1*PRESIONES!$I$51*IF(DATOS!$C$65="CM KG",0.0001,IF(DATOS!$C$65="METER KG",1,0.00980665))</f>
        <v>4.8832098168887514E-4</v>
      </c>
      <c r="O27" s="45">
        <f>-1*PRESIONES!$J$51*IF(DATOS!$C$65="CM KG",0.0001,IF(DATOS!$C$65="METER KG",1,0.00980665))</f>
        <v>7.0806542344886911E-3</v>
      </c>
      <c r="P27" s="18" t="s">
        <v>647</v>
      </c>
    </row>
    <row r="28" spans="2:16" ht="15" customHeight="1" x14ac:dyDescent="0.3">
      <c r="B28" s="44" t="str">
        <f>IF(OR(LINEAS!$D$17="",DATOS!$C$22="—",ABS(LINEAS!$AJ$17*DATOS!$C$67)&lt;0.00005),"*",LINEAS!$D$17&amp;" UNI G"&amp;DATOS!$C$22&amp;" "&amp;TEXT(LINEAS!$AJ$17*DATOS!$C$67,DATOS!$C$68))</f>
        <v>74 105 TO 108 UNI GZ 0.0066</v>
      </c>
      <c r="C28" s="42" t="str">
        <f t="shared" si="0"/>
        <v/>
      </c>
      <c r="D28" s="44" t="str">
        <f>IF(PRESIONES!$C$22="NO","",IF(OR(LINEAS!$D$17="",DATOS!$C$22="—",ABS(LINEAS!$AZ$17*DATOS!$C$67)&lt;0.00005),"*",LINEAS!$D$17&amp;" UNI G"&amp;DATOS!$C$22&amp;" "&amp;TEXT(LINEAS!$AZ$17*DATOS!$C$67,DATOS!$C$68)))</f>
        <v/>
      </c>
      <c r="E28" s="42" t="str">
        <f t="shared" si="1"/>
        <v/>
      </c>
      <c r="G28" s="1" t="s">
        <v>648</v>
      </c>
      <c r="H28" s="45">
        <f>-1*PRESIONES!$C$52*IF(DATOS!$C$65="CM KG",0.0001,IF(DATOS!$C$65="METER KG",1,0.00980665))</f>
        <v>9.7664196337775028E-4</v>
      </c>
      <c r="I28" s="45">
        <f>-1*PRESIONES!$D$52*IF(DATOS!$C$65="CM KG",0.0001,IF(DATOS!$C$65="METER KG",1,0.00980665))</f>
        <v>9.7664196337775028E-4</v>
      </c>
      <c r="J28" s="45">
        <f>-1*PRESIONES!$E$52*IF(DATOS!$C$65="CM KG",0.0001,IF(DATOS!$C$65="METER KG",1,0.00980665))</f>
        <v>4.8832098168887514E-4</v>
      </c>
      <c r="K28" s="45">
        <f>-1*PRESIONES!$F$52*IF(DATOS!$C$65="CM KG",0.0001,IF(DATOS!$C$65="METER KG",1,0.00980665))</f>
        <v>7.0806542344886911E-3</v>
      </c>
      <c r="L28" s="45">
        <f>-1*PRESIONES!$G$52*IF(DATOS!$C$65="CM KG",0.0001,IF(DATOS!$C$65="METER KG",1,0.00980665))</f>
        <v>9.7664196337775028E-4</v>
      </c>
      <c r="M28" s="45">
        <f>-1*PRESIONES!$H$52*IF(DATOS!$C$65="CM KG",0.0001,IF(DATOS!$C$65="METER KG",1,0.00980665))</f>
        <v>9.7664196337775028E-4</v>
      </c>
      <c r="N28" s="45">
        <f>-1*PRESIONES!$I$52*IF(DATOS!$C$65="CM KG",0.0001,IF(DATOS!$C$65="METER KG",1,0.00980665))</f>
        <v>4.8832098168887514E-4</v>
      </c>
      <c r="O28" s="45">
        <f>-1*PRESIONES!$J$52*IF(DATOS!$C$65="CM KG",0.0001,IF(DATOS!$C$65="METER KG",1,0.00980665))</f>
        <v>7.0806542344886911E-3</v>
      </c>
      <c r="P28" s="18" t="s">
        <v>647</v>
      </c>
    </row>
    <row r="29" spans="2:16" ht="15" customHeight="1" x14ac:dyDescent="0.3">
      <c r="B29" s="44" t="str">
        <f>IF(OR(LINEAS!$D$18="",ABS(-LINEAS!$AB$18*DATOS!$C$67)&lt;0.00005),"*",LINEAS!$D$18&amp;" UNI GY "&amp;TEXT(-LINEAS!$AB$18*DATOS!$C$67,DATOS!$C$68))</f>
        <v>73 101 TO 104 UNI GY 0.1318</v>
      </c>
      <c r="C29" s="42" t="str">
        <f t="shared" si="0"/>
        <v/>
      </c>
      <c r="D29" s="44" t="str">
        <f>IF(PRESIONES!$C$22="NO","",IF(OR(LINEAS!$D$18="",ABS(-LINEAS!$AR$18*DATOS!$C$67)&lt;0.00005),"*",LINEAS!$D$18&amp;" UNI GY "&amp;TEXT(-LINEAS!$AR$18*DATOS!$C$67,DATOS!$C$68)))</f>
        <v/>
      </c>
      <c r="E29" s="42" t="str">
        <f t="shared" si="1"/>
        <v/>
      </c>
      <c r="G29" s="1" t="s">
        <v>649</v>
      </c>
      <c r="H29" s="45">
        <f>-1*PRESIONES!$C$53*IF(DATOS!$C$65="CM KG",0.0001,IF(DATOS!$C$65="METER KG",1,0.00980665))</f>
        <v>9.7664196337775028E-4</v>
      </c>
      <c r="I29" s="45">
        <f>-1*PRESIONES!$D$53*IF(DATOS!$C$65="CM KG",0.0001,IF(DATOS!$C$65="METER KG",1,0.00980665))</f>
        <v>9.7664196337775028E-4</v>
      </c>
      <c r="J29" s="45">
        <f>-1*PRESIONES!$E$53*IF(DATOS!$C$65="CM KG",0.0001,IF(DATOS!$C$65="METER KG",1,0.00980665))</f>
        <v>4.8832098168887514E-4</v>
      </c>
      <c r="K29" s="45">
        <f>-1*PRESIONES!$F$53*IF(DATOS!$C$65="CM KG",0.0001,IF(DATOS!$C$65="METER KG",1,0.00980665))</f>
        <v>7.0806542344886911E-3</v>
      </c>
      <c r="L29" s="45">
        <f>-1*PRESIONES!$G$53*IF(DATOS!$C$65="CM KG",0.0001,IF(DATOS!$C$65="METER KG",1,0.00980665))</f>
        <v>9.7664196337775028E-4</v>
      </c>
      <c r="M29" s="45">
        <f>-1*PRESIONES!$H$53*IF(DATOS!$C$65="CM KG",0.0001,IF(DATOS!$C$65="METER KG",1,0.00980665))</f>
        <v>9.7664196337775028E-4</v>
      </c>
      <c r="N29" s="45">
        <f>-1*PRESIONES!$I$53*IF(DATOS!$C$65="CM KG",0.0001,IF(DATOS!$C$65="METER KG",1,0.00980665))</f>
        <v>4.8832098168887514E-4</v>
      </c>
      <c r="O29" s="45">
        <f>-1*PRESIONES!$J$53*IF(DATOS!$C$65="CM KG",0.0001,IF(DATOS!$C$65="METER KG",1,0.00980665))</f>
        <v>7.0806542344886911E-3</v>
      </c>
      <c r="P29" s="18" t="s">
        <v>647</v>
      </c>
    </row>
    <row r="30" spans="2:16" ht="15" customHeight="1" x14ac:dyDescent="0.3">
      <c r="B30" s="44" t="str">
        <f>IF(OR(LINEAS!$D$18="",DATOS!$C$22="—",ABS(LINEAS!$AJ$18*DATOS!$C$67)&lt;0.00005),"*",LINEAS!$D$18&amp;" UNI G"&amp;DATOS!$C$22&amp;" "&amp;TEXT(LINEAS!$AJ$18*DATOS!$C$67,DATOS!$C$68))</f>
        <v>73 101 TO 104 UNI GZ 0.0066</v>
      </c>
      <c r="C30" s="42" t="str">
        <f t="shared" si="0"/>
        <v/>
      </c>
      <c r="D30" s="44" t="str">
        <f>IF(PRESIONES!$C$22="NO","",IF(OR(LINEAS!$D$18="",DATOS!$C$22="—",ABS(LINEAS!$AZ$18*DATOS!$C$67)&lt;0.00005),"*",LINEAS!$D$18&amp;" UNI G"&amp;DATOS!$C$22&amp;" "&amp;TEXT(LINEAS!$AZ$18*DATOS!$C$67,DATOS!$C$68)))</f>
        <v/>
      </c>
      <c r="E30" s="42" t="str">
        <f t="shared" si="1"/>
        <v/>
      </c>
      <c r="G30" s="1" t="s">
        <v>650</v>
      </c>
      <c r="H30" s="45">
        <f>-1*PRESIONES!$C$54*IF(DATOS!$C$65="CM KG",0.0001,IF(DATOS!$C$65="METER KG",1,0.00980665))</f>
        <v>9.7664196337775028E-4</v>
      </c>
      <c r="I30" s="45">
        <f>-1*PRESIONES!$D$54*IF(DATOS!$C$65="CM KG",0.0001,IF(DATOS!$C$65="METER KG",1,0.00980665))</f>
        <v>9.7664196337775028E-4</v>
      </c>
      <c r="J30" s="45">
        <f>-1*PRESIONES!$E$54*IF(DATOS!$C$65="CM KG",0.0001,IF(DATOS!$C$65="METER KG",1,0.00980665))</f>
        <v>4.8832098168887514E-4</v>
      </c>
      <c r="K30" s="45">
        <f>-1*PRESIONES!$F$54*IF(DATOS!$C$65="CM KG",0.0001,IF(DATOS!$C$65="METER KG",1,0.00980665))</f>
        <v>7.0806542344886911E-3</v>
      </c>
      <c r="L30" s="45">
        <f>-1*PRESIONES!$G$54*IF(DATOS!$C$65="CM KG",0.0001,IF(DATOS!$C$65="METER KG",1,0.00980665))</f>
        <v>9.7664196337775028E-4</v>
      </c>
      <c r="M30" s="45">
        <f>-1*PRESIONES!$H$54*IF(DATOS!$C$65="CM KG",0.0001,IF(DATOS!$C$65="METER KG",1,0.00980665))</f>
        <v>9.7664196337775028E-4</v>
      </c>
      <c r="N30" s="45">
        <f>-1*PRESIONES!$I$54*IF(DATOS!$C$65="CM KG",0.0001,IF(DATOS!$C$65="METER KG",1,0.00980665))</f>
        <v>4.8832098168887514E-4</v>
      </c>
      <c r="O30" s="45">
        <f>-1*PRESIONES!$J$54*IF(DATOS!$C$65="CM KG",0.0001,IF(DATOS!$C$65="METER KG",1,0.00980665))</f>
        <v>7.0806542344886911E-3</v>
      </c>
      <c r="P30" s="18" t="s">
        <v>647</v>
      </c>
    </row>
    <row r="31" spans="2:16" ht="15" customHeight="1" x14ac:dyDescent="0.3">
      <c r="B31" s="44" t="str">
        <f>IF(OR(LINEAS!$D$19="",ABS(-LINEAS!$AB$19*DATOS!$C$67)&lt;0.00005),"*",LINEAS!$D$19&amp;" UNI GY "&amp;TEXT(-LINEAS!$AB$19*DATOS!$C$67,DATOS!$C$68))</f>
        <v>8 89 TO 92 UNI GY 0.1270</v>
      </c>
      <c r="C31" s="42" t="str">
        <f t="shared" si="0"/>
        <v/>
      </c>
      <c r="D31" s="44" t="str">
        <f>IF(PRESIONES!$C$22="NO","",IF(OR(LINEAS!$D$19="",ABS(-LINEAS!$AR$19*DATOS!$C$67)&lt;0.00005),"*",LINEAS!$D$19&amp;" UNI GY "&amp;TEXT(-LINEAS!$AR$19*DATOS!$C$67,DATOS!$C$68)))</f>
        <v/>
      </c>
      <c r="E31" s="42" t="str">
        <f t="shared" si="1"/>
        <v/>
      </c>
      <c r="G31" s="52" t="str">
        <f>"Unidades de presión: "&amp;IF(DATOS!$C$65="CM KG","kg/cm²",IF(DATOS!$C$65="METER KG","kg/m²","kN/m²"))</f>
        <v>Unidades de presión: kg/cm²</v>
      </c>
      <c r="H31" s="52"/>
      <c r="I31" s="52"/>
      <c r="J31" s="52"/>
      <c r="K31" s="52"/>
      <c r="L31" s="52"/>
      <c r="M31" s="52"/>
      <c r="N31" s="52"/>
      <c r="O31" s="52"/>
      <c r="P31" s="52"/>
    </row>
    <row r="32" spans="2:16" ht="15" customHeight="1" x14ac:dyDescent="0.3">
      <c r="B32" s="44" t="str">
        <f>IF(OR(LINEAS!$D$19="",DATOS!$C$22="—",ABS(LINEAS!$AJ$19*DATOS!$C$67)&lt;0.00005),"*",LINEAS!$D$19&amp;" UNI G"&amp;DATOS!$C$22&amp;" "&amp;TEXT(LINEAS!$AJ$19*DATOS!$C$67,DATOS!$C$68))</f>
        <v>8 89 TO 92 UNI GZ 0.0063</v>
      </c>
      <c r="C32" s="42" t="str">
        <f t="shared" si="0"/>
        <v/>
      </c>
      <c r="D32" s="44" t="str">
        <f>IF(PRESIONES!$C$22="NO","",IF(OR(LINEAS!$D$19="",DATOS!$C$22="—",ABS(LINEAS!$AZ$19*DATOS!$C$67)&lt;0.00005),"*",LINEAS!$D$19&amp;" UNI G"&amp;DATOS!$C$22&amp;" "&amp;TEXT(LINEAS!$AZ$19*DATOS!$C$67,DATOS!$C$68)))</f>
        <v/>
      </c>
      <c r="E32" s="42" t="str">
        <f t="shared" si="1"/>
        <v/>
      </c>
    </row>
    <row r="33" spans="2:16" ht="21" customHeight="1" x14ac:dyDescent="0.3">
      <c r="B33" s="44" t="str">
        <f>IF(OR(LINEAS!$D$20="",ABS(-LINEAS!$AB$20*DATOS!$C$67)&lt;0.00005),"*",LINEAS!$D$20&amp;" UNI GY "&amp;TEXT(-LINEAS!$AB$20*DATOS!$C$67,DATOS!$C$68))</f>
        <v>56 97 TO 100 UNI GY 0.1221</v>
      </c>
      <c r="C33" s="42" t="str">
        <f t="shared" si="0"/>
        <v/>
      </c>
      <c r="D33" s="44" t="str">
        <f>IF(PRESIONES!$C$22="NO","",IF(OR(LINEAS!$D$20="",ABS(-LINEAS!$AR$20*DATOS!$C$67)&lt;0.00005),"*",LINEAS!$D$20&amp;" UNI GY "&amp;TEXT(-LINEAS!$AR$20*DATOS!$C$67,DATOS!$C$68)))</f>
        <v/>
      </c>
      <c r="E33" s="42" t="str">
        <f t="shared" si="1"/>
        <v/>
      </c>
      <c r="G33" s="49" t="s">
        <v>651</v>
      </c>
      <c r="H33" s="49"/>
      <c r="I33" s="49"/>
      <c r="J33" s="49"/>
      <c r="K33" s="49"/>
      <c r="L33" s="49"/>
      <c r="M33" s="49"/>
      <c r="N33" s="49"/>
      <c r="O33" s="49"/>
      <c r="P33" s="49"/>
    </row>
    <row r="34" spans="2:16" ht="18" customHeight="1" x14ac:dyDescent="0.3">
      <c r="B34" s="44" t="str">
        <f>IF(OR(LINEAS!$D$20="",DATOS!$C$22="—",ABS(LINEAS!$AJ$20*DATOS!$C$67)&lt;0.00005),"*",LINEAS!$D$20&amp;" UNI G"&amp;DATOS!$C$22&amp;" "&amp;TEXT(LINEAS!$AJ$20*DATOS!$C$67,DATOS!$C$68))</f>
        <v>56 97 TO 100 UNI GZ 0.0061</v>
      </c>
      <c r="C34" s="42" t="str">
        <f t="shared" si="0"/>
        <v/>
      </c>
      <c r="D34" s="44" t="str">
        <f>IF(PRESIONES!$C$22="NO","",IF(OR(LINEAS!$D$20="",DATOS!$C$22="—",ABS(LINEAS!$AZ$20*DATOS!$C$67)&lt;0.00005),"*",LINEAS!$D$20&amp;" UNI G"&amp;DATOS!$C$22&amp;" "&amp;TEXT(LINEAS!$AZ$20*DATOS!$C$67,DATOS!$C$68)))</f>
        <v/>
      </c>
      <c r="E34" s="42" t="str">
        <f t="shared" si="1"/>
        <v/>
      </c>
      <c r="G34" s="54" t="s">
        <v>652</v>
      </c>
      <c r="H34" s="54"/>
      <c r="I34" s="54"/>
      <c r="J34" s="54"/>
      <c r="K34" s="54"/>
      <c r="L34" s="54"/>
      <c r="M34" s="54"/>
      <c r="N34" s="54"/>
      <c r="O34" s="54"/>
      <c r="P34" s="54"/>
    </row>
    <row r="35" spans="2:16" ht="18" customHeight="1" x14ac:dyDescent="0.3">
      <c r="B35" s="44" t="str">
        <f>IF(OR(LINEAS!$D$21="",ABS(-LINEAS!$AB$21*DATOS!$C$67)&lt;0.00005),"*",LINEAS!$D$21&amp;" UNI GY "&amp;TEXT(-LINEAS!$AB$21*DATOS!$C$67,DATOS!$C$68))</f>
        <v>7 81 TO 84 UNI GY 0.0610</v>
      </c>
      <c r="C35" s="42" t="str">
        <f t="shared" si="0"/>
        <v/>
      </c>
      <c r="D35" s="44" t="str">
        <f>IF(PRESIONES!$C$22="NO","",IF(OR(LINEAS!$D$21="",ABS(-LINEAS!$AR$21*DATOS!$C$67)&lt;0.00005),"*",LINEAS!$D$21&amp;" UNI GY "&amp;TEXT(-LINEAS!$AR$21*DATOS!$C$67,DATOS!$C$68)))</f>
        <v/>
      </c>
      <c r="E35" s="42" t="str">
        <f t="shared" si="1"/>
        <v/>
      </c>
      <c r="G35" s="54" t="s">
        <v>653</v>
      </c>
      <c r="H35" s="54"/>
      <c r="I35" s="54"/>
      <c r="J35" s="54"/>
      <c r="K35" s="54"/>
      <c r="L35" s="54"/>
      <c r="M35" s="54"/>
      <c r="N35" s="54"/>
      <c r="O35" s="54"/>
      <c r="P35" s="54"/>
    </row>
    <row r="36" spans="2:16" ht="18" customHeight="1" x14ac:dyDescent="0.3">
      <c r="B36" s="44" t="str">
        <f>IF(OR(LINEAS!$D$21="",DATOS!$C$22="—",ABS(LINEAS!$AJ$21*DATOS!$C$67)&lt;0.00005),"*",LINEAS!$D$21&amp;" UNI G"&amp;DATOS!$C$22&amp;" "&amp;TEXT(LINEAS!$AJ$21*DATOS!$C$67,DATOS!$C$68))</f>
        <v>7 81 TO 84 UNI GZ 0.0031</v>
      </c>
      <c r="C36" s="42" t="str">
        <f t="shared" si="0"/>
        <v/>
      </c>
      <c r="D36" s="44" t="str">
        <f>IF(PRESIONES!$C$22="NO","",IF(OR(LINEAS!$D$21="",DATOS!$C$22="—",ABS(LINEAS!$AZ$21*DATOS!$C$67)&lt;0.00005),"*",LINEAS!$D$21&amp;" UNI G"&amp;DATOS!$C$22&amp;" "&amp;TEXT(LINEAS!$AZ$21*DATOS!$C$67,DATOS!$C$68)))</f>
        <v/>
      </c>
      <c r="E36" s="42" t="str">
        <f t="shared" si="1"/>
        <v/>
      </c>
      <c r="G36" s="54" t="s">
        <v>654</v>
      </c>
      <c r="H36" s="54"/>
      <c r="I36" s="54"/>
      <c r="J36" s="54"/>
      <c r="K36" s="54"/>
      <c r="L36" s="54"/>
      <c r="M36" s="54"/>
      <c r="N36" s="54"/>
      <c r="O36" s="54"/>
      <c r="P36" s="54"/>
    </row>
    <row r="37" spans="2:16" ht="18" customHeight="1" x14ac:dyDescent="0.3">
      <c r="B37" s="44" t="str">
        <f>IF(OR(LINEAS!$D$22="",ABS(-LINEAS!$AB$22*DATOS!$C$67)&lt;0.00005),"*",LINEAS!$D$22&amp;" UNI GY "&amp;TEXT(-LINEAS!$AB$22*DATOS!$C$67,DATOS!$C$68))</f>
        <v>*</v>
      </c>
      <c r="C37" s="42" t="str">
        <f t="shared" si="0"/>
        <v/>
      </c>
      <c r="D37" s="44" t="str">
        <f>IF(PRESIONES!$C$22="NO","",IF(OR(LINEAS!$D$22="",ABS(-LINEAS!$AR$22*DATOS!$C$67)&lt;0.00005),"*",LINEAS!$D$22&amp;" UNI GY "&amp;TEXT(-LINEAS!$AR$22*DATOS!$C$67,DATOS!$C$68)))</f>
        <v/>
      </c>
      <c r="E37" s="42" t="str">
        <f t="shared" si="1"/>
        <v/>
      </c>
      <c r="G37" s="54" t="s">
        <v>655</v>
      </c>
      <c r="H37" s="54"/>
      <c r="I37" s="54"/>
      <c r="J37" s="54"/>
      <c r="K37" s="54"/>
      <c r="L37" s="54"/>
      <c r="M37" s="54"/>
      <c r="N37" s="54"/>
      <c r="O37" s="54"/>
      <c r="P37" s="54"/>
    </row>
    <row r="38" spans="2:16" ht="18" customHeight="1" x14ac:dyDescent="0.3">
      <c r="B38" s="44" t="str">
        <f>IF(OR(LINEAS!$D$22="",DATOS!$C$22="—",ABS(LINEAS!$AJ$22*DATOS!$C$67)&lt;0.00005),"*",LINEAS!$D$22&amp;" UNI G"&amp;DATOS!$C$22&amp;" "&amp;TEXT(LINEAS!$AJ$22*DATOS!$C$67,DATOS!$C$68))</f>
        <v>*</v>
      </c>
      <c r="C38" s="42" t="str">
        <f t="shared" si="0"/>
        <v/>
      </c>
      <c r="D38" s="44" t="str">
        <f>IF(PRESIONES!$C$22="NO","",IF(OR(LINEAS!$D$22="",DATOS!$C$22="—",ABS(LINEAS!$AZ$22*DATOS!$C$67)&lt;0.00005),"*",LINEAS!$D$22&amp;" UNI G"&amp;DATOS!$C$22&amp;" "&amp;TEXT(LINEAS!$AZ$22*DATOS!$C$67,DATOS!$C$68)))</f>
        <v/>
      </c>
      <c r="E38" s="42" t="str">
        <f t="shared" si="1"/>
        <v/>
      </c>
      <c r="G38" s="54" t="s">
        <v>656</v>
      </c>
      <c r="H38" s="54"/>
      <c r="I38" s="54"/>
      <c r="J38" s="54"/>
      <c r="K38" s="54"/>
      <c r="L38" s="54"/>
      <c r="M38" s="54"/>
      <c r="N38" s="54"/>
      <c r="O38" s="54"/>
      <c r="P38" s="54"/>
    </row>
    <row r="39" spans="2:16" ht="15" customHeight="1" x14ac:dyDescent="0.3">
      <c r="B39" s="44" t="str">
        <f>IF(OR(LINEAS!$D$23="",ABS(-LINEAS!$AB$23*DATOS!$C$67)&lt;0.00005),"*",LINEAS!$D$23&amp;" UNI GY "&amp;TEXT(-LINEAS!$AB$23*DATOS!$C$67,DATOS!$C$68))</f>
        <v>*</v>
      </c>
      <c r="C39" s="42" t="str">
        <f t="shared" si="0"/>
        <v/>
      </c>
      <c r="D39" s="44" t="str">
        <f>IF(PRESIONES!$C$22="NO","",IF(OR(LINEAS!$D$23="",ABS(-LINEAS!$AR$23*DATOS!$C$67)&lt;0.00005),"*",LINEAS!$D$23&amp;" UNI GY "&amp;TEXT(-LINEAS!$AR$23*DATOS!$C$67,DATOS!$C$68)))</f>
        <v/>
      </c>
      <c r="E39" s="42" t="str">
        <f t="shared" si="1"/>
        <v/>
      </c>
    </row>
    <row r="40" spans="2:16" ht="15" customHeight="1" x14ac:dyDescent="0.3">
      <c r="B40" s="44" t="str">
        <f>IF(OR(LINEAS!$D$23="",DATOS!$C$22="—",ABS(LINEAS!$AJ$23*DATOS!$C$67)&lt;0.00005),"*",LINEAS!$D$23&amp;" UNI G"&amp;DATOS!$C$22&amp;" "&amp;TEXT(LINEAS!$AJ$23*DATOS!$C$67,DATOS!$C$68))</f>
        <v>*</v>
      </c>
      <c r="C40" s="42" t="str">
        <f t="shared" si="0"/>
        <v/>
      </c>
      <c r="D40" s="44" t="str">
        <f>IF(PRESIONES!$C$22="NO","",IF(OR(LINEAS!$D$23="",DATOS!$C$22="—",ABS(LINEAS!$AZ$23*DATOS!$C$67)&lt;0.00005),"*",LINEAS!$D$23&amp;" UNI G"&amp;DATOS!$C$22&amp;" "&amp;TEXT(LINEAS!$AZ$23*DATOS!$C$67,DATOS!$C$68)))</f>
        <v/>
      </c>
      <c r="E40" s="42" t="str">
        <f t="shared" si="1"/>
        <v/>
      </c>
    </row>
    <row r="41" spans="2:16" ht="15" customHeight="1" x14ac:dyDescent="0.3">
      <c r="B41" s="44" t="str">
        <f>IF(OR(LINEAS!$D$24="",ABS(-LINEAS!$AB$24*DATOS!$C$67)&lt;0.00005),"*",LINEAS!$D$24&amp;" UNI GY "&amp;TEXT(-LINEAS!$AB$24*DATOS!$C$67,DATOS!$C$68))</f>
        <v>*</v>
      </c>
      <c r="C41" s="42" t="str">
        <f t="shared" si="0"/>
        <v/>
      </c>
      <c r="D41" s="44" t="str">
        <f>IF(PRESIONES!$C$22="NO","",IF(OR(LINEAS!$D$24="",ABS(-LINEAS!$AR$24*DATOS!$C$67)&lt;0.00005),"*",LINEAS!$D$24&amp;" UNI GY "&amp;TEXT(-LINEAS!$AR$24*DATOS!$C$67,DATOS!$C$68)))</f>
        <v/>
      </c>
      <c r="E41" s="42" t="str">
        <f t="shared" si="1"/>
        <v/>
      </c>
    </row>
    <row r="42" spans="2:16" ht="15" customHeight="1" x14ac:dyDescent="0.3">
      <c r="B42" s="44" t="str">
        <f>IF(OR(LINEAS!$D$24="",DATOS!$C$22="—",ABS(LINEAS!$AJ$24*DATOS!$C$67)&lt;0.00005),"*",LINEAS!$D$24&amp;" UNI G"&amp;DATOS!$C$22&amp;" "&amp;TEXT(LINEAS!$AJ$24*DATOS!$C$67,DATOS!$C$68))</f>
        <v>*</v>
      </c>
      <c r="C42" s="42" t="str">
        <f t="shared" si="0"/>
        <v/>
      </c>
      <c r="D42" s="44" t="str">
        <f>IF(PRESIONES!$C$22="NO","",IF(OR(LINEAS!$D$24="",DATOS!$C$22="—",ABS(LINEAS!$AZ$24*DATOS!$C$67)&lt;0.00005),"*",LINEAS!$D$24&amp;" UNI G"&amp;DATOS!$C$22&amp;" "&amp;TEXT(LINEAS!$AZ$24*DATOS!$C$67,DATOS!$C$68)))</f>
        <v/>
      </c>
      <c r="E42" s="42" t="str">
        <f t="shared" si="1"/>
        <v/>
      </c>
    </row>
    <row r="43" spans="2:16" ht="15" customHeight="1" x14ac:dyDescent="0.3">
      <c r="B43" s="44" t="str">
        <f>IF(OR(LINEAS!$D$25="",ABS(-LINEAS!$AB$25*DATOS!$C$67)&lt;0.00005),"*",LINEAS!$D$25&amp;" UNI GY "&amp;TEXT(-LINEAS!$AB$25*DATOS!$C$67,DATOS!$C$68))</f>
        <v>*</v>
      </c>
      <c r="C43" s="42" t="str">
        <f t="shared" si="0"/>
        <v/>
      </c>
      <c r="D43" s="44" t="str">
        <f>IF(PRESIONES!$C$22="NO","",IF(OR(LINEAS!$D$25="",ABS(-LINEAS!$AR$25*DATOS!$C$67)&lt;0.00005),"*",LINEAS!$D$25&amp;" UNI GY "&amp;TEXT(-LINEAS!$AR$25*DATOS!$C$67,DATOS!$C$68)))</f>
        <v/>
      </c>
      <c r="E43" s="42" t="str">
        <f t="shared" si="1"/>
        <v/>
      </c>
    </row>
    <row r="44" spans="2:16" ht="15" customHeight="1" x14ac:dyDescent="0.3">
      <c r="B44" s="44" t="str">
        <f>IF(OR(LINEAS!$D$25="",DATOS!$C$22="—",ABS(LINEAS!$AJ$25*DATOS!$C$67)&lt;0.00005),"*",LINEAS!$D$25&amp;" UNI G"&amp;DATOS!$C$22&amp;" "&amp;TEXT(LINEAS!$AJ$25*DATOS!$C$67,DATOS!$C$68))</f>
        <v>*</v>
      </c>
      <c r="C44" s="42" t="str">
        <f t="shared" si="0"/>
        <v/>
      </c>
      <c r="D44" s="44" t="str">
        <f>IF(PRESIONES!$C$22="NO","",IF(OR(LINEAS!$D$25="",DATOS!$C$22="—",ABS(LINEAS!$AZ$25*DATOS!$C$67)&lt;0.00005),"*",LINEAS!$D$25&amp;" UNI G"&amp;DATOS!$C$22&amp;" "&amp;TEXT(LINEAS!$AZ$25*DATOS!$C$67,DATOS!$C$68)))</f>
        <v/>
      </c>
      <c r="E44" s="42" t="str">
        <f t="shared" si="1"/>
        <v/>
      </c>
    </row>
    <row r="45" spans="2:16" ht="15" customHeight="1" x14ac:dyDescent="0.3">
      <c r="B45" s="44" t="str">
        <f>IF(OR(LINEAS!$D$26="",ABS(-LINEAS!$AB$26*DATOS!$C$67)&lt;0.00005),"*",LINEAS!$D$26&amp;" UNI GY "&amp;TEXT(-LINEAS!$AB$26*DATOS!$C$67,DATOS!$C$68))</f>
        <v>*</v>
      </c>
      <c r="C45" s="42" t="str">
        <f t="shared" si="0"/>
        <v/>
      </c>
      <c r="D45" s="44" t="str">
        <f>IF(PRESIONES!$C$22="NO","",IF(OR(LINEAS!$D$26="",ABS(-LINEAS!$AR$26*DATOS!$C$67)&lt;0.00005),"*",LINEAS!$D$26&amp;" UNI GY "&amp;TEXT(-LINEAS!$AR$26*DATOS!$C$67,DATOS!$C$68)))</f>
        <v/>
      </c>
      <c r="E45" s="42" t="str">
        <f t="shared" si="1"/>
        <v/>
      </c>
    </row>
    <row r="46" spans="2:16" ht="15" customHeight="1" x14ac:dyDescent="0.3">
      <c r="B46" s="44" t="str">
        <f>IF(OR(LINEAS!$D$26="",DATOS!$C$22="—",ABS(LINEAS!$AJ$26*DATOS!$C$67)&lt;0.00005),"*",LINEAS!$D$26&amp;" UNI G"&amp;DATOS!$C$22&amp;" "&amp;TEXT(LINEAS!$AJ$26*DATOS!$C$67,DATOS!$C$68))</f>
        <v>*</v>
      </c>
      <c r="C46" s="42" t="str">
        <f t="shared" si="0"/>
        <v/>
      </c>
      <c r="D46" s="44" t="str">
        <f>IF(PRESIONES!$C$22="NO","",IF(OR(LINEAS!$D$26="",DATOS!$C$22="—",ABS(LINEAS!$AZ$26*DATOS!$C$67)&lt;0.00005),"*",LINEAS!$D$26&amp;" UNI G"&amp;DATOS!$C$22&amp;" "&amp;TEXT(LINEAS!$AZ$26*DATOS!$C$67,DATOS!$C$68)))</f>
        <v/>
      </c>
      <c r="E46" s="42" t="str">
        <f t="shared" si="1"/>
        <v/>
      </c>
    </row>
    <row r="47" spans="2:16" ht="15" customHeight="1" x14ac:dyDescent="0.3">
      <c r="B47" s="44" t="str">
        <f>IF(OR(LINEAS!$D$27="",ABS(-LINEAS!$AB$27*DATOS!$C$67)&lt;0.00005),"*",LINEAS!$D$27&amp;" UNI GY "&amp;TEXT(-LINEAS!$AB$27*DATOS!$C$67,DATOS!$C$68))</f>
        <v>*</v>
      </c>
      <c r="C47" s="42" t="str">
        <f t="shared" si="0"/>
        <v/>
      </c>
      <c r="D47" s="44" t="str">
        <f>IF(PRESIONES!$C$22="NO","",IF(OR(LINEAS!$D$27="",ABS(-LINEAS!$AR$27*DATOS!$C$67)&lt;0.00005),"*",LINEAS!$D$27&amp;" UNI GY "&amp;TEXT(-LINEAS!$AR$27*DATOS!$C$67,DATOS!$C$68)))</f>
        <v/>
      </c>
      <c r="E47" s="42" t="str">
        <f t="shared" si="1"/>
        <v/>
      </c>
    </row>
    <row r="48" spans="2:16" ht="15" customHeight="1" x14ac:dyDescent="0.3">
      <c r="B48" s="44" t="str">
        <f>IF(OR(LINEAS!$D$27="",DATOS!$C$22="—",ABS(LINEAS!$AJ$27*DATOS!$C$67)&lt;0.00005),"*",LINEAS!$D$27&amp;" UNI G"&amp;DATOS!$C$22&amp;" "&amp;TEXT(LINEAS!$AJ$27*DATOS!$C$67,DATOS!$C$68))</f>
        <v>*</v>
      </c>
      <c r="C48" s="42" t="str">
        <f t="shared" si="0"/>
        <v/>
      </c>
      <c r="D48" s="44" t="str">
        <f>IF(PRESIONES!$C$22="NO","",IF(OR(LINEAS!$D$27="",DATOS!$C$22="—",ABS(LINEAS!$AZ$27*DATOS!$C$67)&lt;0.00005),"*",LINEAS!$D$27&amp;" UNI G"&amp;DATOS!$C$22&amp;" "&amp;TEXT(LINEAS!$AZ$27*DATOS!$C$67,DATOS!$C$68)))</f>
        <v/>
      </c>
      <c r="E48" s="42" t="str">
        <f t="shared" si="1"/>
        <v/>
      </c>
    </row>
    <row r="49" spans="2:5" ht="15" customHeight="1" x14ac:dyDescent="0.3">
      <c r="B49" s="44" t="str">
        <f>IF(OR(LINEAS!$D$28="",ABS(-LINEAS!$AB$28*DATOS!$C$67)&lt;0.00005),"*",LINEAS!$D$28&amp;" UNI GY "&amp;TEXT(-LINEAS!$AB$28*DATOS!$C$67,DATOS!$C$68))</f>
        <v>*</v>
      </c>
      <c r="C49" s="42" t="str">
        <f t="shared" si="0"/>
        <v/>
      </c>
      <c r="D49" s="44" t="str">
        <f>IF(PRESIONES!$C$22="NO","",IF(OR(LINEAS!$D$28="",ABS(-LINEAS!$AR$28*DATOS!$C$67)&lt;0.00005),"*",LINEAS!$D$28&amp;" UNI GY "&amp;TEXT(-LINEAS!$AR$28*DATOS!$C$67,DATOS!$C$68)))</f>
        <v/>
      </c>
      <c r="E49" s="42" t="str">
        <f t="shared" si="1"/>
        <v/>
      </c>
    </row>
    <row r="50" spans="2:5" ht="15" customHeight="1" x14ac:dyDescent="0.3">
      <c r="B50" s="44" t="str">
        <f>IF(OR(LINEAS!$D$28="",DATOS!$C$22="—",ABS(LINEAS!$AJ$28*DATOS!$C$67)&lt;0.00005),"*",LINEAS!$D$28&amp;" UNI G"&amp;DATOS!$C$22&amp;" "&amp;TEXT(LINEAS!$AJ$28*DATOS!$C$67,DATOS!$C$68))</f>
        <v>*</v>
      </c>
      <c r="C50" s="42" t="str">
        <f t="shared" si="0"/>
        <v/>
      </c>
      <c r="D50" s="44" t="str">
        <f>IF(PRESIONES!$C$22="NO","",IF(OR(LINEAS!$D$28="",DATOS!$C$22="—",ABS(LINEAS!$AZ$28*DATOS!$C$67)&lt;0.00005),"*",LINEAS!$D$28&amp;" UNI G"&amp;DATOS!$C$22&amp;" "&amp;TEXT(LINEAS!$AZ$28*DATOS!$C$67,DATOS!$C$68)))</f>
        <v/>
      </c>
      <c r="E50" s="42" t="str">
        <f t="shared" si="1"/>
        <v/>
      </c>
    </row>
    <row r="51" spans="2:5" ht="15" customHeight="1" x14ac:dyDescent="0.3">
      <c r="B51" s="44" t="str">
        <f>IF(OR(LINEAS!$D$29="",ABS(-LINEAS!$AB$29*DATOS!$C$67)&lt;0.00005),"*",LINEAS!$D$29&amp;" UNI GY "&amp;TEXT(-LINEAS!$AB$29*DATOS!$C$67,DATOS!$C$68))</f>
        <v>*</v>
      </c>
      <c r="C51" s="42" t="str">
        <f t="shared" si="0"/>
        <v/>
      </c>
      <c r="D51" s="44" t="str">
        <f>IF(PRESIONES!$C$22="NO","",IF(OR(LINEAS!$D$29="",ABS(-LINEAS!$AR$29*DATOS!$C$67)&lt;0.00005),"*",LINEAS!$D$29&amp;" UNI GY "&amp;TEXT(-LINEAS!$AR$29*DATOS!$C$67,DATOS!$C$68)))</f>
        <v/>
      </c>
      <c r="E51" s="42" t="str">
        <f t="shared" si="1"/>
        <v/>
      </c>
    </row>
    <row r="52" spans="2:5" ht="15" customHeight="1" x14ac:dyDescent="0.3">
      <c r="B52" s="44" t="str">
        <f>IF(OR(LINEAS!$D$29="",DATOS!$C$22="—",ABS(LINEAS!$AJ$29*DATOS!$C$67)&lt;0.00005),"*",LINEAS!$D$29&amp;" UNI G"&amp;DATOS!$C$22&amp;" "&amp;TEXT(LINEAS!$AJ$29*DATOS!$C$67,DATOS!$C$68))</f>
        <v>*</v>
      </c>
      <c r="C52" s="42" t="str">
        <f t="shared" si="0"/>
        <v/>
      </c>
      <c r="D52" s="44" t="str">
        <f>IF(PRESIONES!$C$22="NO","",IF(OR(LINEAS!$D$29="",DATOS!$C$22="—",ABS(LINEAS!$AZ$29*DATOS!$C$67)&lt;0.00005),"*",LINEAS!$D$29&amp;" UNI G"&amp;DATOS!$C$22&amp;" "&amp;TEXT(LINEAS!$AZ$29*DATOS!$C$67,DATOS!$C$68)))</f>
        <v/>
      </c>
      <c r="E52" s="42" t="str">
        <f t="shared" si="1"/>
        <v/>
      </c>
    </row>
    <row r="53" spans="2:5" ht="15" customHeight="1" x14ac:dyDescent="0.3">
      <c r="B53" s="44" t="str">
        <f>IF(OR(LINEAS!$D$30="",ABS(-LINEAS!$AB$30*DATOS!$C$67)&lt;0.00005),"*",LINEAS!$D$30&amp;" UNI GY "&amp;TEXT(-LINEAS!$AB$30*DATOS!$C$67,DATOS!$C$68))</f>
        <v>*</v>
      </c>
      <c r="C53" s="42" t="str">
        <f t="shared" si="0"/>
        <v/>
      </c>
      <c r="D53" s="44" t="str">
        <f>IF(PRESIONES!$C$22="NO","",IF(OR(LINEAS!$D$30="",ABS(-LINEAS!$AR$30*DATOS!$C$67)&lt;0.00005),"*",LINEAS!$D$30&amp;" UNI GY "&amp;TEXT(-LINEAS!$AR$30*DATOS!$C$67,DATOS!$C$68)))</f>
        <v/>
      </c>
      <c r="E53" s="42" t="str">
        <f t="shared" si="1"/>
        <v/>
      </c>
    </row>
    <row r="54" spans="2:5" ht="15" customHeight="1" x14ac:dyDescent="0.3">
      <c r="B54" s="44" t="str">
        <f>IF(OR(LINEAS!$D$30="",DATOS!$C$22="—",ABS(LINEAS!$AJ$30*DATOS!$C$67)&lt;0.00005),"*",LINEAS!$D$30&amp;" UNI G"&amp;DATOS!$C$22&amp;" "&amp;TEXT(LINEAS!$AJ$30*DATOS!$C$67,DATOS!$C$68))</f>
        <v>*</v>
      </c>
      <c r="C54" s="42" t="str">
        <f t="shared" si="0"/>
        <v/>
      </c>
      <c r="D54" s="44" t="str">
        <f>IF(PRESIONES!$C$22="NO","",IF(OR(LINEAS!$D$30="",DATOS!$C$22="—",ABS(LINEAS!$AZ$30*DATOS!$C$67)&lt;0.00005),"*",LINEAS!$D$30&amp;" UNI G"&amp;DATOS!$C$22&amp;" "&amp;TEXT(LINEAS!$AZ$30*DATOS!$C$67,DATOS!$C$68)))</f>
        <v/>
      </c>
      <c r="E54" s="42" t="str">
        <f t="shared" si="1"/>
        <v/>
      </c>
    </row>
    <row r="55" spans="2:5" ht="15" customHeight="1" x14ac:dyDescent="0.3">
      <c r="B55" s="44" t="str">
        <f>IF(OR(LINEAS!$D$31="",ABS(-LINEAS!$AB$31*DATOS!$C$67)&lt;0.00005),"*",LINEAS!$D$31&amp;" UNI GY "&amp;TEXT(-LINEAS!$AB$31*DATOS!$C$67,DATOS!$C$68))</f>
        <v>*</v>
      </c>
      <c r="C55" s="42" t="str">
        <f t="shared" si="0"/>
        <v/>
      </c>
      <c r="D55" s="44" t="str">
        <f>IF(PRESIONES!$C$22="NO","",IF(OR(LINEAS!$D$31="",ABS(-LINEAS!$AR$31*DATOS!$C$67)&lt;0.00005),"*",LINEAS!$D$31&amp;" UNI GY "&amp;TEXT(-LINEAS!$AR$31*DATOS!$C$67,DATOS!$C$68)))</f>
        <v/>
      </c>
      <c r="E55" s="42" t="str">
        <f t="shared" si="1"/>
        <v/>
      </c>
    </row>
    <row r="56" spans="2:5" ht="15" customHeight="1" x14ac:dyDescent="0.3">
      <c r="B56" s="44" t="str">
        <f>IF(OR(LINEAS!$D$31="",DATOS!$C$22="—",ABS(LINEAS!$AJ$31*DATOS!$C$67)&lt;0.00005),"*",LINEAS!$D$31&amp;" UNI G"&amp;DATOS!$C$22&amp;" "&amp;TEXT(LINEAS!$AJ$31*DATOS!$C$67,DATOS!$C$68))</f>
        <v>*</v>
      </c>
      <c r="C56" s="42" t="str">
        <f t="shared" si="0"/>
        <v/>
      </c>
      <c r="D56" s="44" t="str">
        <f>IF(PRESIONES!$C$22="NO","",IF(OR(LINEAS!$D$31="",DATOS!$C$22="—",ABS(LINEAS!$AZ$31*DATOS!$C$67)&lt;0.00005),"*",LINEAS!$D$31&amp;" UNI G"&amp;DATOS!$C$22&amp;" "&amp;TEXT(LINEAS!$AZ$31*DATOS!$C$67,DATOS!$C$68)))</f>
        <v/>
      </c>
      <c r="E56" s="42" t="str">
        <f t="shared" si="1"/>
        <v/>
      </c>
    </row>
    <row r="57" spans="2:5" ht="15" customHeight="1" x14ac:dyDescent="0.3">
      <c r="B57" s="44" t="str">
        <f>IF(OR(LINEAS!$D$32="",ABS(-LINEAS!$AB$32*DATOS!$C$67)&lt;0.00005),"*",LINEAS!$D$32&amp;" UNI GY "&amp;TEXT(-LINEAS!$AB$32*DATOS!$C$67,DATOS!$C$68))</f>
        <v>*</v>
      </c>
      <c r="C57" s="42" t="str">
        <f t="shared" si="0"/>
        <v/>
      </c>
      <c r="D57" s="44" t="str">
        <f>IF(PRESIONES!$C$22="NO","",IF(OR(LINEAS!$D$32="",ABS(-LINEAS!$AR$32*DATOS!$C$67)&lt;0.00005),"*",LINEAS!$D$32&amp;" UNI GY "&amp;TEXT(-LINEAS!$AR$32*DATOS!$C$67,DATOS!$C$68)))</f>
        <v/>
      </c>
      <c r="E57" s="42" t="str">
        <f t="shared" si="1"/>
        <v/>
      </c>
    </row>
    <row r="58" spans="2:5" ht="15" customHeight="1" x14ac:dyDescent="0.3">
      <c r="B58" s="44" t="str">
        <f>IF(OR(LINEAS!$D$32="",DATOS!$C$22="—",ABS(LINEAS!$AJ$32*DATOS!$C$67)&lt;0.00005),"*",LINEAS!$D$32&amp;" UNI G"&amp;DATOS!$C$22&amp;" "&amp;TEXT(LINEAS!$AJ$32*DATOS!$C$67,DATOS!$C$68))</f>
        <v>*</v>
      </c>
      <c r="C58" s="42" t="str">
        <f t="shared" si="0"/>
        <v/>
      </c>
      <c r="D58" s="44" t="str">
        <f>IF(PRESIONES!$C$22="NO","",IF(OR(LINEAS!$D$32="",DATOS!$C$22="—",ABS(LINEAS!$AZ$32*DATOS!$C$67)&lt;0.00005),"*",LINEAS!$D$32&amp;" UNI G"&amp;DATOS!$C$22&amp;" "&amp;TEXT(LINEAS!$AZ$32*DATOS!$C$67,DATOS!$C$68)))</f>
        <v/>
      </c>
      <c r="E58" s="42" t="str">
        <f t="shared" si="1"/>
        <v/>
      </c>
    </row>
    <row r="59" spans="2:5" ht="15" customHeight="1" x14ac:dyDescent="0.3">
      <c r="B59" s="44" t="str">
        <f>IF(OR(LINEAS!$D$33="",ABS(-LINEAS!$AB$33*DATOS!$C$67)&lt;0.00005),"*",LINEAS!$D$33&amp;" UNI GY "&amp;TEXT(-LINEAS!$AB$33*DATOS!$C$67,DATOS!$C$68))</f>
        <v>*</v>
      </c>
      <c r="C59" s="42" t="str">
        <f t="shared" si="0"/>
        <v/>
      </c>
      <c r="D59" s="44" t="str">
        <f>IF(PRESIONES!$C$22="NO","",IF(OR(LINEAS!$D$33="",ABS(-LINEAS!$AR$33*DATOS!$C$67)&lt;0.00005),"*",LINEAS!$D$33&amp;" UNI GY "&amp;TEXT(-LINEAS!$AR$33*DATOS!$C$67,DATOS!$C$68)))</f>
        <v/>
      </c>
      <c r="E59" s="42" t="str">
        <f t="shared" si="1"/>
        <v/>
      </c>
    </row>
    <row r="60" spans="2:5" ht="15" customHeight="1" x14ac:dyDescent="0.3">
      <c r="B60" s="44" t="str">
        <f>IF(OR(LINEAS!$D$33="",DATOS!$C$22="—",ABS(LINEAS!$AJ$33*DATOS!$C$67)&lt;0.00005),"*",LINEAS!$D$33&amp;" UNI G"&amp;DATOS!$C$22&amp;" "&amp;TEXT(LINEAS!$AJ$33*DATOS!$C$67,DATOS!$C$68))</f>
        <v>*</v>
      </c>
      <c r="C60" s="42" t="str">
        <f t="shared" si="0"/>
        <v/>
      </c>
      <c r="D60" s="44" t="str">
        <f>IF(PRESIONES!$C$22="NO","",IF(OR(LINEAS!$D$33="",DATOS!$C$22="—",ABS(LINEAS!$AZ$33*DATOS!$C$67)&lt;0.00005),"*",LINEAS!$D$33&amp;" UNI G"&amp;DATOS!$C$22&amp;" "&amp;TEXT(LINEAS!$AZ$33*DATOS!$C$67,DATOS!$C$68)))</f>
        <v/>
      </c>
      <c r="E60" s="42" t="str">
        <f t="shared" si="1"/>
        <v/>
      </c>
    </row>
    <row r="61" spans="2:5" ht="15" customHeight="1" x14ac:dyDescent="0.3">
      <c r="B61" s="44" t="str">
        <f>IF(OR(LINEAS!$D$34="",ABS(-LINEAS!$AB$34*DATOS!$C$67)&lt;0.00005),"*",LINEAS!$D$34&amp;" UNI GY "&amp;TEXT(-LINEAS!$AB$34*DATOS!$C$67,DATOS!$C$68))</f>
        <v>*</v>
      </c>
      <c r="C61" s="42" t="str">
        <f t="shared" si="0"/>
        <v/>
      </c>
      <c r="D61" s="44" t="str">
        <f>IF(PRESIONES!$C$22="NO","",IF(OR(LINEAS!$D$34="",ABS(-LINEAS!$AR$34*DATOS!$C$67)&lt;0.00005),"*",LINEAS!$D$34&amp;" UNI GY "&amp;TEXT(-LINEAS!$AR$34*DATOS!$C$67,DATOS!$C$68)))</f>
        <v/>
      </c>
      <c r="E61" s="42" t="str">
        <f t="shared" si="1"/>
        <v/>
      </c>
    </row>
    <row r="62" spans="2:5" ht="15" customHeight="1" x14ac:dyDescent="0.3">
      <c r="B62" s="44" t="str">
        <f>IF(OR(LINEAS!$D$34="",DATOS!$C$22="—",ABS(LINEAS!$AJ$34*DATOS!$C$67)&lt;0.00005),"*",LINEAS!$D$34&amp;" UNI G"&amp;DATOS!$C$22&amp;" "&amp;TEXT(LINEAS!$AJ$34*DATOS!$C$67,DATOS!$C$68))</f>
        <v>*</v>
      </c>
      <c r="C62" s="42" t="str">
        <f t="shared" si="0"/>
        <v/>
      </c>
      <c r="D62" s="44" t="str">
        <f>IF(PRESIONES!$C$22="NO","",IF(OR(LINEAS!$D$34="",DATOS!$C$22="—",ABS(LINEAS!$AZ$34*DATOS!$C$67)&lt;0.00005),"*",LINEAS!$D$34&amp;" UNI G"&amp;DATOS!$C$22&amp;" "&amp;TEXT(LINEAS!$AZ$34*DATOS!$C$67,DATOS!$C$68)))</f>
        <v/>
      </c>
      <c r="E62" s="42" t="str">
        <f t="shared" si="1"/>
        <v/>
      </c>
    </row>
    <row r="63" spans="2:5" ht="15" customHeight="1" x14ac:dyDescent="0.3">
      <c r="B63" s="44" t="str">
        <f>IF(OR(LINEAS!$D$35="",ABS(-LINEAS!$AB$35*DATOS!$C$67)&lt;0.00005),"*",LINEAS!$D$35&amp;" UNI GY "&amp;TEXT(-LINEAS!$AB$35*DATOS!$C$67,DATOS!$C$68))</f>
        <v>*</v>
      </c>
      <c r="C63" s="42" t="str">
        <f t="shared" si="0"/>
        <v/>
      </c>
      <c r="D63" s="44" t="str">
        <f>IF(PRESIONES!$C$22="NO","",IF(OR(LINEAS!$D$35="",ABS(-LINEAS!$AR$35*DATOS!$C$67)&lt;0.00005),"*",LINEAS!$D$35&amp;" UNI GY "&amp;TEXT(-LINEAS!$AR$35*DATOS!$C$67,DATOS!$C$68)))</f>
        <v/>
      </c>
      <c r="E63" s="42" t="str">
        <f t="shared" si="1"/>
        <v/>
      </c>
    </row>
    <row r="64" spans="2:5" ht="15" customHeight="1" x14ac:dyDescent="0.3">
      <c r="B64" s="44" t="str">
        <f>IF(OR(LINEAS!$D$35="",DATOS!$C$22="—",ABS(LINEAS!$AJ$35*DATOS!$C$67)&lt;0.00005),"*",LINEAS!$D$35&amp;" UNI G"&amp;DATOS!$C$22&amp;" "&amp;TEXT(LINEAS!$AJ$35*DATOS!$C$67,DATOS!$C$68))</f>
        <v>*</v>
      </c>
      <c r="C64" s="42" t="str">
        <f t="shared" si="0"/>
        <v/>
      </c>
      <c r="D64" s="44" t="str">
        <f>IF(PRESIONES!$C$22="NO","",IF(OR(LINEAS!$D$35="",DATOS!$C$22="—",ABS(LINEAS!$AZ$35*DATOS!$C$67)&lt;0.00005),"*",LINEAS!$D$35&amp;" UNI G"&amp;DATOS!$C$22&amp;" "&amp;TEXT(LINEAS!$AZ$35*DATOS!$C$67,DATOS!$C$68)))</f>
        <v/>
      </c>
      <c r="E64" s="42" t="str">
        <f t="shared" si="1"/>
        <v/>
      </c>
    </row>
    <row r="65" spans="2:5" ht="15" customHeight="1" x14ac:dyDescent="0.3">
      <c r="B65" s="44" t="str">
        <f>IF(OR(LINEAS!$D$36="",ABS(-LINEAS!$AB$36*DATOS!$C$67)&lt;0.00005),"*",LINEAS!$D$36&amp;" UNI GY "&amp;TEXT(-LINEAS!$AB$36*DATOS!$C$67,DATOS!$C$68))</f>
        <v>*</v>
      </c>
      <c r="C65" s="42" t="str">
        <f t="shared" si="0"/>
        <v/>
      </c>
      <c r="D65" s="44" t="str">
        <f>IF(PRESIONES!$C$22="NO","",IF(OR(LINEAS!$D$36="",ABS(-LINEAS!$AR$36*DATOS!$C$67)&lt;0.00005),"*",LINEAS!$D$36&amp;" UNI GY "&amp;TEXT(-LINEAS!$AR$36*DATOS!$C$67,DATOS!$C$68)))</f>
        <v/>
      </c>
      <c r="E65" s="42" t="str">
        <f t="shared" si="1"/>
        <v/>
      </c>
    </row>
    <row r="66" spans="2:5" ht="15" customHeight="1" x14ac:dyDescent="0.3">
      <c r="B66" s="44" t="str">
        <f>IF(OR(LINEAS!$D$36="",DATOS!$C$22="—",ABS(LINEAS!$AJ$36*DATOS!$C$67)&lt;0.00005),"*",LINEAS!$D$36&amp;" UNI G"&amp;DATOS!$C$22&amp;" "&amp;TEXT(LINEAS!$AJ$36*DATOS!$C$67,DATOS!$C$68))</f>
        <v>*</v>
      </c>
      <c r="C66" s="42" t="str">
        <f t="shared" si="0"/>
        <v/>
      </c>
      <c r="D66" s="44" t="str">
        <f>IF(PRESIONES!$C$22="NO","",IF(OR(LINEAS!$D$36="",DATOS!$C$22="—",ABS(LINEAS!$AZ$36*DATOS!$C$67)&lt;0.00005),"*",LINEAS!$D$36&amp;" UNI G"&amp;DATOS!$C$22&amp;" "&amp;TEXT(LINEAS!$AZ$36*DATOS!$C$67,DATOS!$C$68)))</f>
        <v/>
      </c>
      <c r="E66" s="42" t="str">
        <f t="shared" si="1"/>
        <v/>
      </c>
    </row>
    <row r="67" spans="2:5" ht="15" customHeight="1" x14ac:dyDescent="0.3">
      <c r="B67" s="44" t="str">
        <f>IF(OR(LINEAS!$D$37="",ABS(-LINEAS!$AB$37*DATOS!$C$67)&lt;0.00005),"*",LINEAS!$D$37&amp;" UNI GY "&amp;TEXT(-LINEAS!$AB$37*DATOS!$C$67,DATOS!$C$68))</f>
        <v>*</v>
      </c>
      <c r="C67" s="42" t="str">
        <f t="shared" si="0"/>
        <v/>
      </c>
      <c r="D67" s="44" t="str">
        <f>IF(PRESIONES!$C$22="NO","",IF(OR(LINEAS!$D$37="",ABS(-LINEAS!$AR$37*DATOS!$C$67)&lt;0.00005),"*",LINEAS!$D$37&amp;" UNI GY "&amp;TEXT(-LINEAS!$AR$37*DATOS!$C$67,DATOS!$C$68)))</f>
        <v/>
      </c>
      <c r="E67" s="42" t="str">
        <f t="shared" si="1"/>
        <v/>
      </c>
    </row>
    <row r="68" spans="2:5" ht="15" customHeight="1" x14ac:dyDescent="0.3">
      <c r="B68" s="44" t="str">
        <f>IF(OR(LINEAS!$D$37="",DATOS!$C$22="—",ABS(LINEAS!$AJ$37*DATOS!$C$67)&lt;0.00005),"*",LINEAS!$D$37&amp;" UNI G"&amp;DATOS!$C$22&amp;" "&amp;TEXT(LINEAS!$AJ$37*DATOS!$C$67,DATOS!$C$68))</f>
        <v>*</v>
      </c>
      <c r="C68" s="42" t="str">
        <f t="shared" si="0"/>
        <v/>
      </c>
      <c r="D68" s="44" t="str">
        <f>IF(PRESIONES!$C$22="NO","",IF(OR(LINEAS!$D$37="",DATOS!$C$22="—",ABS(LINEAS!$AZ$37*DATOS!$C$67)&lt;0.00005),"*",LINEAS!$D$37&amp;" UNI G"&amp;DATOS!$C$22&amp;" "&amp;TEXT(LINEAS!$AZ$37*DATOS!$C$67,DATOS!$C$68)))</f>
        <v/>
      </c>
      <c r="E68" s="42" t="str">
        <f t="shared" si="1"/>
        <v/>
      </c>
    </row>
    <row r="69" spans="2:5" ht="15" customHeight="1" x14ac:dyDescent="0.3">
      <c r="B69" s="44" t="str">
        <f>IF(OR(LINEAS!$D$38="",ABS(-LINEAS!$AB$38*DATOS!$C$67)&lt;0.00005),"*",LINEAS!$D$38&amp;" UNI GY "&amp;TEXT(-LINEAS!$AB$38*DATOS!$C$67,DATOS!$C$68))</f>
        <v>*</v>
      </c>
      <c r="C69" s="42" t="str">
        <f t="shared" si="0"/>
        <v/>
      </c>
      <c r="D69" s="44" t="str">
        <f>IF(PRESIONES!$C$22="NO","",IF(OR(LINEAS!$D$38="",ABS(-LINEAS!$AR$38*DATOS!$C$67)&lt;0.00005),"*",LINEAS!$D$38&amp;" UNI GY "&amp;TEXT(-LINEAS!$AR$38*DATOS!$C$67,DATOS!$C$68)))</f>
        <v/>
      </c>
      <c r="E69" s="42" t="str">
        <f t="shared" si="1"/>
        <v/>
      </c>
    </row>
    <row r="70" spans="2:5" ht="15" customHeight="1" x14ac:dyDescent="0.3">
      <c r="B70" s="44" t="str">
        <f>IF(OR(LINEAS!$D$38="",DATOS!$C$22="—",ABS(LINEAS!$AJ$38*DATOS!$C$67)&lt;0.00005),"*",LINEAS!$D$38&amp;" UNI G"&amp;DATOS!$C$22&amp;" "&amp;TEXT(LINEAS!$AJ$38*DATOS!$C$67,DATOS!$C$68))</f>
        <v>*</v>
      </c>
      <c r="C70" s="42" t="str">
        <f t="shared" si="0"/>
        <v/>
      </c>
      <c r="D70" s="44" t="str">
        <f>IF(PRESIONES!$C$22="NO","",IF(OR(LINEAS!$D$38="",DATOS!$C$22="—",ABS(LINEAS!$AZ$38*DATOS!$C$67)&lt;0.00005),"*",LINEAS!$D$38&amp;" UNI G"&amp;DATOS!$C$22&amp;" "&amp;TEXT(LINEAS!$AZ$38*DATOS!$C$67,DATOS!$C$68)))</f>
        <v/>
      </c>
      <c r="E70" s="42" t="str">
        <f t="shared" si="1"/>
        <v/>
      </c>
    </row>
    <row r="71" spans="2:5" ht="15" customHeight="1" x14ac:dyDescent="0.3">
      <c r="B71" s="44" t="str">
        <f>IF(OR(LINEAS!$D$45="",LINEAS!$U$45=0,ABS(IF(OR(LINEAS!$U$45=1,LINEAS!$U$45=3),1,-1)*LINEAS!$AB$45*DATOS!$C$67)&lt;0.00005),"*",LINEAS!$D$45&amp;" UNI "&amp;IF(LINEAS!$U$45&lt;=2,"GZ","GX")&amp;" "&amp;TEXT(IF(OR(LINEAS!$U$45=1,LINEAS!$U$45=3),1,-1)*LINEAS!$AB$45*DATOS!$C$67,DATOS!$C$68))</f>
        <v>261 UNI GX 0.7538</v>
      </c>
      <c r="C71" s="42" t="str">
        <f t="shared" si="0"/>
        <v/>
      </c>
      <c r="D71" s="44" t="str">
        <f>IF(PRESIONES!$C$22="NO","",IF(OR(LINEAS!$D$45="",LINEAS!$U$45=0,ABS(IF(OR(LINEAS!$U$45=1,LINEAS!$U$45=3),1,-1)*LINEAS!$AB$45*DATOS!$C$67)&lt;0.00005),"*",LINEAS!$D$45&amp;" UNI "&amp;IF(LINEAS!$U$45&lt;=2,"GZ","GX")&amp;" "&amp;TEXT(IF(OR(LINEAS!$U$45=1,LINEAS!$U$45=3),1,-1)*LINEAS!$AB$45*DATOS!$C$67,DATOS!$C$68)))</f>
        <v/>
      </c>
      <c r="E71" s="42" t="str">
        <f t="shared" si="1"/>
        <v/>
      </c>
    </row>
    <row r="72" spans="2:5" ht="15" customHeight="1" x14ac:dyDescent="0.3">
      <c r="B72" s="44" t="str">
        <f>IF(OR(LINEAS!$D$46="",LINEAS!$U$46=0,ABS(IF(OR(LINEAS!$U$46=1,LINEAS!$U$46=3),1,-1)*LINEAS!$AB$46*DATOS!$C$67)&lt;0.00005),"*",LINEAS!$D$46&amp;" UNI "&amp;IF(LINEAS!$U$46&lt;=2,"GZ","GX")&amp;" "&amp;TEXT(IF(OR(LINEAS!$U$46=1,LINEAS!$U$46=3),1,-1)*LINEAS!$AB$46*DATOS!$C$67,DATOS!$C$68))</f>
        <v>260 UNI GX 0.7538</v>
      </c>
      <c r="C72" s="42" t="str">
        <f t="shared" si="0"/>
        <v/>
      </c>
      <c r="D72" s="44" t="str">
        <f>IF(PRESIONES!$C$22="NO","",IF(OR(LINEAS!$D$46="",LINEAS!$U$46=0,ABS(IF(OR(LINEAS!$U$46=1,LINEAS!$U$46=3),1,-1)*LINEAS!$AB$46*DATOS!$C$67)&lt;0.00005),"*",LINEAS!$D$46&amp;" UNI "&amp;IF(LINEAS!$U$46&lt;=2,"GZ","GX")&amp;" "&amp;TEXT(IF(OR(LINEAS!$U$46=1,LINEAS!$U$46=3),1,-1)*LINEAS!$AB$46*DATOS!$C$67,DATOS!$C$68)))</f>
        <v/>
      </c>
      <c r="E72" s="42" t="str">
        <f t="shared" si="1"/>
        <v/>
      </c>
    </row>
    <row r="73" spans="2:5" ht="15" customHeight="1" x14ac:dyDescent="0.3">
      <c r="B73" s="44" t="str">
        <f>IF(OR(LINEAS!$D$47="",LINEAS!$U$47=0,ABS(IF(OR(LINEAS!$U$47=1,LINEAS!$U$47=3),1,-1)*LINEAS!$AB$47*DATOS!$C$67)&lt;0.00005),"*",LINEAS!$D$47&amp;" UNI "&amp;IF(LINEAS!$U$47&lt;=2,"GZ","GX")&amp;" "&amp;TEXT(IF(OR(LINEAS!$U$47=1,LINEAS!$U$47=3),1,-1)*LINEAS!$AB$47*DATOS!$C$67,DATOS!$C$68))</f>
        <v>259 UNI GX 0.7538</v>
      </c>
      <c r="C73" s="42" t="str">
        <f t="shared" ref="C73:C136" si="2">IF(LEN($B73)&gt;79,"MÁS DE 79 CARACTERES","")</f>
        <v/>
      </c>
      <c r="D73" s="44" t="str">
        <f>IF(PRESIONES!$C$22="NO","",IF(OR(LINEAS!$D$47="",LINEAS!$U$47=0,ABS(IF(OR(LINEAS!$U$47=1,LINEAS!$U$47=3),1,-1)*LINEAS!$AB$47*DATOS!$C$67)&lt;0.00005),"*",LINEAS!$D$47&amp;" UNI "&amp;IF(LINEAS!$U$47&lt;=2,"GZ","GX")&amp;" "&amp;TEXT(IF(OR(LINEAS!$U$47=1,LINEAS!$U$47=3),1,-1)*LINEAS!$AB$47*DATOS!$C$67,DATOS!$C$68)))</f>
        <v/>
      </c>
      <c r="E73" s="42" t="str">
        <f t="shared" ref="E73:E136" si="3">IF(LEN($D73)&gt;79,"MÁS DE 79 CARACTERES","")</f>
        <v/>
      </c>
    </row>
    <row r="74" spans="2:5" ht="15" customHeight="1" x14ac:dyDescent="0.3">
      <c r="B74" s="44" t="str">
        <f>IF(OR(LINEAS!$D$48="",LINEAS!$U$48=0,ABS(IF(OR(LINEAS!$U$48=1,LINEAS!$U$48=3),1,-1)*LINEAS!$AB$48*DATOS!$C$67)&lt;0.00005),"*",LINEAS!$D$48&amp;" UNI "&amp;IF(LINEAS!$U$48&lt;=2,"GZ","GX")&amp;" "&amp;TEXT(IF(OR(LINEAS!$U$48=1,LINEAS!$U$48=3),1,-1)*LINEAS!$AB$48*DATOS!$C$67,DATOS!$C$68))</f>
        <v>270 UNI GX 0.7538</v>
      </c>
      <c r="C74" s="42" t="str">
        <f t="shared" si="2"/>
        <v/>
      </c>
      <c r="D74" s="44" t="str">
        <f>IF(PRESIONES!$C$22="NO","",IF(OR(LINEAS!$D$48="",LINEAS!$U$48=0,ABS(IF(OR(LINEAS!$U$48=1,LINEAS!$U$48=3),1,-1)*LINEAS!$AB$48*DATOS!$C$67)&lt;0.00005),"*",LINEAS!$D$48&amp;" UNI "&amp;IF(LINEAS!$U$48&lt;=2,"GZ","GX")&amp;" "&amp;TEXT(IF(OR(LINEAS!$U$48=1,LINEAS!$U$48=3),1,-1)*LINEAS!$AB$48*DATOS!$C$67,DATOS!$C$68)))</f>
        <v/>
      </c>
      <c r="E74" s="42" t="str">
        <f t="shared" si="3"/>
        <v/>
      </c>
    </row>
    <row r="75" spans="2:5" ht="15" customHeight="1" x14ac:dyDescent="0.3">
      <c r="B75" s="44" t="str">
        <f>IF(OR(LINEAS!$D$49="",LINEAS!$U$49=0,ABS(IF(OR(LINEAS!$U$49=1,LINEAS!$U$49=3),1,-1)*LINEAS!$AB$49*DATOS!$C$67)&lt;0.00005),"*",LINEAS!$D$49&amp;" UNI "&amp;IF(LINEAS!$U$49&lt;=2,"GZ","GX")&amp;" "&amp;TEXT(IF(OR(LINEAS!$U$49=1,LINEAS!$U$49=3),1,-1)*LINEAS!$AB$49*DATOS!$C$67,DATOS!$C$68))</f>
        <v>269 UNI GX 0.7538</v>
      </c>
      <c r="C75" s="42" t="str">
        <f t="shared" si="2"/>
        <v/>
      </c>
      <c r="D75" s="44" t="str">
        <f>IF(PRESIONES!$C$22="NO","",IF(OR(LINEAS!$D$49="",LINEAS!$U$49=0,ABS(IF(OR(LINEAS!$U$49=1,LINEAS!$U$49=3),1,-1)*LINEAS!$AB$49*DATOS!$C$67)&lt;0.00005),"*",LINEAS!$D$49&amp;" UNI "&amp;IF(LINEAS!$U$49&lt;=2,"GZ","GX")&amp;" "&amp;TEXT(IF(OR(LINEAS!$U$49=1,LINEAS!$U$49=3),1,-1)*LINEAS!$AB$49*DATOS!$C$67,DATOS!$C$68)))</f>
        <v/>
      </c>
      <c r="E75" s="42" t="str">
        <f t="shared" si="3"/>
        <v/>
      </c>
    </row>
    <row r="76" spans="2:5" ht="15" customHeight="1" x14ac:dyDescent="0.3">
      <c r="B76" s="44" t="str">
        <f>IF(OR(LINEAS!$D$50="",LINEAS!$U$50=0,ABS(IF(OR(LINEAS!$U$50=1,LINEAS!$U$50=3),1,-1)*LINEAS!$AB$50*DATOS!$C$67)&lt;0.00005),"*",LINEAS!$D$50&amp;" UNI "&amp;IF(LINEAS!$U$50&lt;=2,"GZ","GX")&amp;" "&amp;TEXT(IF(OR(LINEAS!$U$50=1,LINEAS!$U$50=3),1,-1)*LINEAS!$AB$50*DATOS!$C$67,DATOS!$C$68))</f>
        <v>268 UNI GX 0.7538</v>
      </c>
      <c r="C76" s="42" t="str">
        <f t="shared" si="2"/>
        <v/>
      </c>
      <c r="D76" s="44" t="str">
        <f>IF(PRESIONES!$C$22="NO","",IF(OR(LINEAS!$D$50="",LINEAS!$U$50=0,ABS(IF(OR(LINEAS!$U$50=1,LINEAS!$U$50=3),1,-1)*LINEAS!$AB$50*DATOS!$C$67)&lt;0.00005),"*",LINEAS!$D$50&amp;" UNI "&amp;IF(LINEAS!$U$50&lt;=2,"GZ","GX")&amp;" "&amp;TEXT(IF(OR(LINEAS!$U$50=1,LINEAS!$U$50=3),1,-1)*LINEAS!$AB$50*DATOS!$C$67,DATOS!$C$68)))</f>
        <v/>
      </c>
      <c r="E76" s="42" t="str">
        <f t="shared" si="3"/>
        <v/>
      </c>
    </row>
    <row r="77" spans="2:5" ht="15" customHeight="1" x14ac:dyDescent="0.3">
      <c r="B77" s="44" t="str">
        <f>IF(OR(LINEAS!$D$51="",LINEAS!$U$51=0,ABS(IF(OR(LINEAS!$U$51=1,LINEAS!$U$51=3),1,-1)*LINEAS!$AB$51*DATOS!$C$67)&lt;0.00005),"*",LINEAS!$D$51&amp;" UNI "&amp;IF(LINEAS!$U$51&lt;=2,"GZ","GX")&amp;" "&amp;TEXT(IF(OR(LINEAS!$U$51=1,LINEAS!$U$51=3),1,-1)*LINEAS!$AB$51*DATOS!$C$67,DATOS!$C$68))</f>
        <v>279 UNI GX 0.7538</v>
      </c>
      <c r="C77" s="42" t="str">
        <f t="shared" si="2"/>
        <v/>
      </c>
      <c r="D77" s="44" t="str">
        <f>IF(PRESIONES!$C$22="NO","",IF(OR(LINEAS!$D$51="",LINEAS!$U$51=0,ABS(IF(OR(LINEAS!$U$51=1,LINEAS!$U$51=3),1,-1)*LINEAS!$AB$51*DATOS!$C$67)&lt;0.00005),"*",LINEAS!$D$51&amp;" UNI "&amp;IF(LINEAS!$U$51&lt;=2,"GZ","GX")&amp;" "&amp;TEXT(IF(OR(LINEAS!$U$51=1,LINEAS!$U$51=3),1,-1)*LINEAS!$AB$51*DATOS!$C$67,DATOS!$C$68)))</f>
        <v/>
      </c>
      <c r="E77" s="42" t="str">
        <f t="shared" si="3"/>
        <v/>
      </c>
    </row>
    <row r="78" spans="2:5" ht="15" customHeight="1" x14ac:dyDescent="0.3">
      <c r="B78" s="44" t="str">
        <f>IF(OR(LINEAS!$D$52="",LINEAS!$U$52=0,ABS(IF(OR(LINEAS!$U$52=1,LINEAS!$U$52=3),1,-1)*LINEAS!$AB$52*DATOS!$C$67)&lt;0.00005),"*",LINEAS!$D$52&amp;" UNI "&amp;IF(LINEAS!$U$52&lt;=2,"GZ","GX")&amp;" "&amp;TEXT(IF(OR(LINEAS!$U$52=1,LINEAS!$U$52=3),1,-1)*LINEAS!$AB$52*DATOS!$C$67,DATOS!$C$68))</f>
        <v>278 UNI GX 0.7538</v>
      </c>
      <c r="C78" s="42" t="str">
        <f t="shared" si="2"/>
        <v/>
      </c>
      <c r="D78" s="44" t="str">
        <f>IF(PRESIONES!$C$22="NO","",IF(OR(LINEAS!$D$52="",LINEAS!$U$52=0,ABS(IF(OR(LINEAS!$U$52=1,LINEAS!$U$52=3),1,-1)*LINEAS!$AB$52*DATOS!$C$67)&lt;0.00005),"*",LINEAS!$D$52&amp;" UNI "&amp;IF(LINEAS!$U$52&lt;=2,"GZ","GX")&amp;" "&amp;TEXT(IF(OR(LINEAS!$U$52=1,LINEAS!$U$52=3),1,-1)*LINEAS!$AB$52*DATOS!$C$67,DATOS!$C$68)))</f>
        <v/>
      </c>
      <c r="E78" s="42" t="str">
        <f t="shared" si="3"/>
        <v/>
      </c>
    </row>
    <row r="79" spans="2:5" ht="15" customHeight="1" x14ac:dyDescent="0.3">
      <c r="B79" s="44" t="str">
        <f>IF(OR(LINEAS!$D$53="",LINEAS!$U$53=0,ABS(IF(OR(LINEAS!$U$53=1,LINEAS!$U$53=3),1,-1)*LINEAS!$AB$53*DATOS!$C$67)&lt;0.00005),"*",LINEAS!$D$53&amp;" UNI "&amp;IF(LINEAS!$U$53&lt;=2,"GZ","GX")&amp;" "&amp;TEXT(IF(OR(LINEAS!$U$53=1,LINEAS!$U$53=3),1,-1)*LINEAS!$AB$53*DATOS!$C$67,DATOS!$C$68))</f>
        <v>277 UNI GX 0.7538</v>
      </c>
      <c r="C79" s="42" t="str">
        <f t="shared" si="2"/>
        <v/>
      </c>
      <c r="D79" s="44" t="str">
        <f>IF(PRESIONES!$C$22="NO","",IF(OR(LINEAS!$D$53="",LINEAS!$U$53=0,ABS(IF(OR(LINEAS!$U$53=1,LINEAS!$U$53=3),1,-1)*LINEAS!$AB$53*DATOS!$C$67)&lt;0.00005),"*",LINEAS!$D$53&amp;" UNI "&amp;IF(LINEAS!$U$53&lt;=2,"GZ","GX")&amp;" "&amp;TEXT(IF(OR(LINEAS!$U$53=1,LINEAS!$U$53=3),1,-1)*LINEAS!$AB$53*DATOS!$C$67,DATOS!$C$68)))</f>
        <v/>
      </c>
      <c r="E79" s="42" t="str">
        <f t="shared" si="3"/>
        <v/>
      </c>
    </row>
    <row r="80" spans="2:5" ht="15" customHeight="1" x14ac:dyDescent="0.3">
      <c r="B80" s="44" t="str">
        <f>IF(OR(LINEAS!$D$54="",LINEAS!$U$54=0,ABS(IF(OR(LINEAS!$U$54=1,LINEAS!$U$54=3),1,-1)*LINEAS!$AB$54*DATOS!$C$67)&lt;0.00005),"*",LINEAS!$D$54&amp;" UNI "&amp;IF(LINEAS!$U$54&lt;=2,"GZ","GX")&amp;" "&amp;TEXT(IF(OR(LINEAS!$U$54=1,LINEAS!$U$54=3),1,-1)*LINEAS!$AB$54*DATOS!$C$67,DATOS!$C$68))</f>
        <v>289 UNI GX 0.7538</v>
      </c>
      <c r="C80" s="42" t="str">
        <f t="shared" si="2"/>
        <v/>
      </c>
      <c r="D80" s="44" t="str">
        <f>IF(PRESIONES!$C$22="NO","",IF(OR(LINEAS!$D$54="",LINEAS!$U$54=0,ABS(IF(OR(LINEAS!$U$54=1,LINEAS!$U$54=3),1,-1)*LINEAS!$AB$54*DATOS!$C$67)&lt;0.00005),"*",LINEAS!$D$54&amp;" UNI "&amp;IF(LINEAS!$U$54&lt;=2,"GZ","GX")&amp;" "&amp;TEXT(IF(OR(LINEAS!$U$54=1,LINEAS!$U$54=3),1,-1)*LINEAS!$AB$54*DATOS!$C$67,DATOS!$C$68)))</f>
        <v/>
      </c>
      <c r="E80" s="42" t="str">
        <f t="shared" si="3"/>
        <v/>
      </c>
    </row>
    <row r="81" spans="2:5" ht="15" customHeight="1" x14ac:dyDescent="0.3">
      <c r="B81" s="44" t="str">
        <f>IF(OR(LINEAS!$D$55="",LINEAS!$U$55=0,ABS(IF(OR(LINEAS!$U$55=1,LINEAS!$U$55=3),1,-1)*LINEAS!$AB$55*DATOS!$C$67)&lt;0.00005),"*",LINEAS!$D$55&amp;" UNI "&amp;IF(LINEAS!$U$55&lt;=2,"GZ","GX")&amp;" "&amp;TEXT(IF(OR(LINEAS!$U$55=1,LINEAS!$U$55=3),1,-1)*LINEAS!$AB$55*DATOS!$C$67,DATOS!$C$68))</f>
        <v>288 UNI GX 0.7538</v>
      </c>
      <c r="C81" s="42" t="str">
        <f t="shared" si="2"/>
        <v/>
      </c>
      <c r="D81" s="44" t="str">
        <f>IF(PRESIONES!$C$22="NO","",IF(OR(LINEAS!$D$55="",LINEAS!$U$55=0,ABS(IF(OR(LINEAS!$U$55=1,LINEAS!$U$55=3),1,-1)*LINEAS!$AB$55*DATOS!$C$67)&lt;0.00005),"*",LINEAS!$D$55&amp;" UNI "&amp;IF(LINEAS!$U$55&lt;=2,"GZ","GX")&amp;" "&amp;TEXT(IF(OR(LINEAS!$U$55=1,LINEAS!$U$55=3),1,-1)*LINEAS!$AB$55*DATOS!$C$67,DATOS!$C$68)))</f>
        <v/>
      </c>
      <c r="E81" s="42" t="str">
        <f t="shared" si="3"/>
        <v/>
      </c>
    </row>
    <row r="82" spans="2:5" ht="15" customHeight="1" x14ac:dyDescent="0.3">
      <c r="B82" s="44" t="str">
        <f>IF(OR(LINEAS!$D$56="",LINEAS!$U$56=0,ABS(IF(OR(LINEAS!$U$56=1,LINEAS!$U$56=3),1,-1)*LINEAS!$AB$56*DATOS!$C$67)&lt;0.00005),"*",LINEAS!$D$56&amp;" UNI "&amp;IF(LINEAS!$U$56&lt;=2,"GZ","GX")&amp;" "&amp;TEXT(IF(OR(LINEAS!$U$56=1,LINEAS!$U$56=3),1,-1)*LINEAS!$AB$56*DATOS!$C$67,DATOS!$C$68))</f>
        <v>287 UNI GX 0.7538</v>
      </c>
      <c r="C82" s="42" t="str">
        <f t="shared" si="2"/>
        <v/>
      </c>
      <c r="D82" s="44" t="str">
        <f>IF(PRESIONES!$C$22="NO","",IF(OR(LINEAS!$D$56="",LINEAS!$U$56=0,ABS(IF(OR(LINEAS!$U$56=1,LINEAS!$U$56=3),1,-1)*LINEAS!$AB$56*DATOS!$C$67)&lt;0.00005),"*",LINEAS!$D$56&amp;" UNI "&amp;IF(LINEAS!$U$56&lt;=2,"GZ","GX")&amp;" "&amp;TEXT(IF(OR(LINEAS!$U$56=1,LINEAS!$U$56=3),1,-1)*LINEAS!$AB$56*DATOS!$C$67,DATOS!$C$68)))</f>
        <v/>
      </c>
      <c r="E82" s="42" t="str">
        <f t="shared" si="3"/>
        <v/>
      </c>
    </row>
    <row r="83" spans="2:5" ht="15" customHeight="1" x14ac:dyDescent="0.3">
      <c r="B83" s="44" t="str">
        <f>IF(OR(LINEAS!$D$57="",LINEAS!$U$57=0,ABS(IF(OR(LINEAS!$U$57=1,LINEAS!$U$57=3),1,-1)*LINEAS!$AB$57*DATOS!$C$67)&lt;0.00005),"*",LINEAS!$D$57&amp;" UNI "&amp;IF(LINEAS!$U$57&lt;=2,"GZ","GX")&amp;" "&amp;TEXT(IF(OR(LINEAS!$U$57=1,LINEAS!$U$57=3),1,-1)*LINEAS!$AB$57*DATOS!$C$67,DATOS!$C$68))</f>
        <v>297 UNI GX 0.7538</v>
      </c>
      <c r="C83" s="42" t="str">
        <f t="shared" si="2"/>
        <v/>
      </c>
      <c r="D83" s="44" t="str">
        <f>IF(PRESIONES!$C$22="NO","",IF(OR(LINEAS!$D$57="",LINEAS!$U$57=0,ABS(IF(OR(LINEAS!$U$57=1,LINEAS!$U$57=3),1,-1)*LINEAS!$AB$57*DATOS!$C$67)&lt;0.00005),"*",LINEAS!$D$57&amp;" UNI "&amp;IF(LINEAS!$U$57&lt;=2,"GZ","GX")&amp;" "&amp;TEXT(IF(OR(LINEAS!$U$57=1,LINEAS!$U$57=3),1,-1)*LINEAS!$AB$57*DATOS!$C$67,DATOS!$C$68)))</f>
        <v/>
      </c>
      <c r="E83" s="42" t="str">
        <f t="shared" si="3"/>
        <v/>
      </c>
    </row>
    <row r="84" spans="2:5" ht="15" customHeight="1" x14ac:dyDescent="0.3">
      <c r="B84" s="44" t="str">
        <f>IF(OR(LINEAS!$D$58="",LINEAS!$U$58=0,ABS(IF(OR(LINEAS!$U$58=1,LINEAS!$U$58=3),1,-1)*LINEAS!$AB$58*DATOS!$C$67)&lt;0.00005),"*",LINEAS!$D$58&amp;" UNI "&amp;IF(LINEAS!$U$58&lt;=2,"GZ","GX")&amp;" "&amp;TEXT(IF(OR(LINEAS!$U$58=1,LINEAS!$U$58=3),1,-1)*LINEAS!$AB$58*DATOS!$C$67,DATOS!$C$68))</f>
        <v>296 UNI GX 0.7538</v>
      </c>
      <c r="C84" s="42" t="str">
        <f t="shared" si="2"/>
        <v/>
      </c>
      <c r="D84" s="44" t="str">
        <f>IF(PRESIONES!$C$22="NO","",IF(OR(LINEAS!$D$58="",LINEAS!$U$58=0,ABS(IF(OR(LINEAS!$U$58=1,LINEAS!$U$58=3),1,-1)*LINEAS!$AB$58*DATOS!$C$67)&lt;0.00005),"*",LINEAS!$D$58&amp;" UNI "&amp;IF(LINEAS!$U$58&lt;=2,"GZ","GX")&amp;" "&amp;TEXT(IF(OR(LINEAS!$U$58=1,LINEAS!$U$58=3),1,-1)*LINEAS!$AB$58*DATOS!$C$67,DATOS!$C$68)))</f>
        <v/>
      </c>
      <c r="E84" s="42" t="str">
        <f t="shared" si="3"/>
        <v/>
      </c>
    </row>
    <row r="85" spans="2:5" ht="15" customHeight="1" x14ac:dyDescent="0.3">
      <c r="B85" s="44" t="str">
        <f>IF(OR(LINEAS!$D$59="",LINEAS!$U$59=0,ABS(IF(OR(LINEAS!$U$59=1,LINEAS!$U$59=3),1,-1)*LINEAS!$AB$59*DATOS!$C$67)&lt;0.00005),"*",LINEAS!$D$59&amp;" UNI "&amp;IF(LINEAS!$U$59&lt;=2,"GZ","GX")&amp;" "&amp;TEXT(IF(OR(LINEAS!$U$59=1,LINEAS!$U$59=3),1,-1)*LINEAS!$AB$59*DATOS!$C$67,DATOS!$C$68))</f>
        <v>295 UNI GX 0.7538</v>
      </c>
      <c r="C85" s="42" t="str">
        <f t="shared" si="2"/>
        <v/>
      </c>
      <c r="D85" s="44" t="str">
        <f>IF(PRESIONES!$C$22="NO","",IF(OR(LINEAS!$D$59="",LINEAS!$U$59=0,ABS(IF(OR(LINEAS!$U$59=1,LINEAS!$U$59=3),1,-1)*LINEAS!$AB$59*DATOS!$C$67)&lt;0.00005),"*",LINEAS!$D$59&amp;" UNI "&amp;IF(LINEAS!$U$59&lt;=2,"GZ","GX")&amp;" "&amp;TEXT(IF(OR(LINEAS!$U$59=1,LINEAS!$U$59=3),1,-1)*LINEAS!$AB$59*DATOS!$C$67,DATOS!$C$68)))</f>
        <v/>
      </c>
      <c r="E85" s="42" t="str">
        <f t="shared" si="3"/>
        <v/>
      </c>
    </row>
    <row r="86" spans="2:5" ht="15" customHeight="1" x14ac:dyDescent="0.3">
      <c r="B86" s="44" t="str">
        <f>IF(OR(LINEAS!$D$60="",LINEAS!$U$60=0,ABS(IF(OR(LINEAS!$U$60=1,LINEAS!$U$60=3),1,-1)*LINEAS!$AB$60*DATOS!$C$67)&lt;0.00005),"*",LINEAS!$D$60&amp;" UNI "&amp;IF(LINEAS!$U$60&lt;=2,"GZ","GX")&amp;" "&amp;TEXT(IF(OR(LINEAS!$U$60=1,LINEAS!$U$60=3),1,-1)*LINEAS!$AB$60*DATOS!$C$67,DATOS!$C$68))</f>
        <v>305 UNI GX 0.7538</v>
      </c>
      <c r="C86" s="42" t="str">
        <f t="shared" si="2"/>
        <v/>
      </c>
      <c r="D86" s="44" t="str">
        <f>IF(PRESIONES!$C$22="NO","",IF(OR(LINEAS!$D$60="",LINEAS!$U$60=0,ABS(IF(OR(LINEAS!$U$60=1,LINEAS!$U$60=3),1,-1)*LINEAS!$AB$60*DATOS!$C$67)&lt;0.00005),"*",LINEAS!$D$60&amp;" UNI "&amp;IF(LINEAS!$U$60&lt;=2,"GZ","GX")&amp;" "&amp;TEXT(IF(OR(LINEAS!$U$60=1,LINEAS!$U$60=3),1,-1)*LINEAS!$AB$60*DATOS!$C$67,DATOS!$C$68)))</f>
        <v/>
      </c>
      <c r="E86" s="42" t="str">
        <f t="shared" si="3"/>
        <v/>
      </c>
    </row>
    <row r="87" spans="2:5" ht="15" customHeight="1" x14ac:dyDescent="0.3">
      <c r="B87" s="44" t="str">
        <f>IF(OR(LINEAS!$D$61="",LINEAS!$U$61=0,ABS(IF(OR(LINEAS!$U$61=1,LINEAS!$U$61=3),1,-1)*LINEAS!$AB$61*DATOS!$C$67)&lt;0.00005),"*",LINEAS!$D$61&amp;" UNI "&amp;IF(LINEAS!$U$61&lt;=2,"GZ","GX")&amp;" "&amp;TEXT(IF(OR(LINEAS!$U$61=1,LINEAS!$U$61=3),1,-1)*LINEAS!$AB$61*DATOS!$C$67,DATOS!$C$68))</f>
        <v>304 UNI GX 0.7538</v>
      </c>
      <c r="C87" s="42" t="str">
        <f t="shared" si="2"/>
        <v/>
      </c>
      <c r="D87" s="44" t="str">
        <f>IF(PRESIONES!$C$22="NO","",IF(OR(LINEAS!$D$61="",LINEAS!$U$61=0,ABS(IF(OR(LINEAS!$U$61=1,LINEAS!$U$61=3),1,-1)*LINEAS!$AB$61*DATOS!$C$67)&lt;0.00005),"*",LINEAS!$D$61&amp;" UNI "&amp;IF(LINEAS!$U$61&lt;=2,"GZ","GX")&amp;" "&amp;TEXT(IF(OR(LINEAS!$U$61=1,LINEAS!$U$61=3),1,-1)*LINEAS!$AB$61*DATOS!$C$67,DATOS!$C$68)))</f>
        <v/>
      </c>
      <c r="E87" s="42" t="str">
        <f t="shared" si="3"/>
        <v/>
      </c>
    </row>
    <row r="88" spans="2:5" ht="15" customHeight="1" x14ac:dyDescent="0.3">
      <c r="B88" s="44" t="str">
        <f>IF(OR(LINEAS!$D$62="",LINEAS!$U$62=0,ABS(IF(OR(LINEAS!$U$62=1,LINEAS!$U$62=3),1,-1)*LINEAS!$AB$62*DATOS!$C$67)&lt;0.00005),"*",LINEAS!$D$62&amp;" UNI "&amp;IF(LINEAS!$U$62&lt;=2,"GZ","GX")&amp;" "&amp;TEXT(IF(OR(LINEAS!$U$62=1,LINEAS!$U$62=3),1,-1)*LINEAS!$AB$62*DATOS!$C$67,DATOS!$C$68))</f>
        <v>303 UNI GX 0.7538</v>
      </c>
      <c r="C88" s="42" t="str">
        <f t="shared" si="2"/>
        <v/>
      </c>
      <c r="D88" s="44" t="str">
        <f>IF(PRESIONES!$C$22="NO","",IF(OR(LINEAS!$D$62="",LINEAS!$U$62=0,ABS(IF(OR(LINEAS!$U$62=1,LINEAS!$U$62=3),1,-1)*LINEAS!$AB$62*DATOS!$C$67)&lt;0.00005),"*",LINEAS!$D$62&amp;" UNI "&amp;IF(LINEAS!$U$62&lt;=2,"GZ","GX")&amp;" "&amp;TEXT(IF(OR(LINEAS!$U$62=1,LINEAS!$U$62=3),1,-1)*LINEAS!$AB$62*DATOS!$C$67,DATOS!$C$68)))</f>
        <v/>
      </c>
      <c r="E88" s="42" t="str">
        <f t="shared" si="3"/>
        <v/>
      </c>
    </row>
    <row r="89" spans="2:5" ht="15" customHeight="1" x14ac:dyDescent="0.3">
      <c r="B89" s="44" t="str">
        <f>IF(OR(LINEAS!$D$63="",LINEAS!$U$63=0,ABS(IF(OR(LINEAS!$U$63=1,LINEAS!$U$63=3),1,-1)*LINEAS!$AB$63*DATOS!$C$67)&lt;0.00005),"*",LINEAS!$D$63&amp;" UNI "&amp;IF(LINEAS!$U$63&lt;=2,"GZ","GX")&amp;" "&amp;TEXT(IF(OR(LINEAS!$U$63=1,LINEAS!$U$63=3),1,-1)*LINEAS!$AB$63*DATOS!$C$67,DATOS!$C$68))</f>
        <v>314 UNI GX 0.7538</v>
      </c>
      <c r="C89" s="42" t="str">
        <f t="shared" si="2"/>
        <v/>
      </c>
      <c r="D89" s="44" t="str">
        <f>IF(PRESIONES!$C$22="NO","",IF(OR(LINEAS!$D$63="",LINEAS!$U$63=0,ABS(IF(OR(LINEAS!$U$63=1,LINEAS!$U$63=3),1,-1)*LINEAS!$AB$63*DATOS!$C$67)&lt;0.00005),"*",LINEAS!$D$63&amp;" UNI "&amp;IF(LINEAS!$U$63&lt;=2,"GZ","GX")&amp;" "&amp;TEXT(IF(OR(LINEAS!$U$63=1,LINEAS!$U$63=3),1,-1)*LINEAS!$AB$63*DATOS!$C$67,DATOS!$C$68)))</f>
        <v/>
      </c>
      <c r="E89" s="42" t="str">
        <f t="shared" si="3"/>
        <v/>
      </c>
    </row>
    <row r="90" spans="2:5" ht="15" customHeight="1" x14ac:dyDescent="0.3">
      <c r="B90" s="44" t="str">
        <f>IF(OR(LINEAS!$D$64="",LINEAS!$U$64=0,ABS(IF(OR(LINEAS!$U$64=1,LINEAS!$U$64=3),1,-1)*LINEAS!$AB$64*DATOS!$C$67)&lt;0.00005),"*",LINEAS!$D$64&amp;" UNI "&amp;IF(LINEAS!$U$64&lt;=2,"GZ","GX")&amp;" "&amp;TEXT(IF(OR(LINEAS!$U$64=1,LINEAS!$U$64=3),1,-1)*LINEAS!$AB$64*DATOS!$C$67,DATOS!$C$68))</f>
        <v>313 UNI GX 0.7538</v>
      </c>
      <c r="C90" s="42" t="str">
        <f t="shared" si="2"/>
        <v/>
      </c>
      <c r="D90" s="44" t="str">
        <f>IF(PRESIONES!$C$22="NO","",IF(OR(LINEAS!$D$64="",LINEAS!$U$64=0,ABS(IF(OR(LINEAS!$U$64=1,LINEAS!$U$64=3),1,-1)*LINEAS!$AB$64*DATOS!$C$67)&lt;0.00005),"*",LINEAS!$D$64&amp;" UNI "&amp;IF(LINEAS!$U$64&lt;=2,"GZ","GX")&amp;" "&amp;TEXT(IF(OR(LINEAS!$U$64=1,LINEAS!$U$64=3),1,-1)*LINEAS!$AB$64*DATOS!$C$67,DATOS!$C$68)))</f>
        <v/>
      </c>
      <c r="E90" s="42" t="str">
        <f t="shared" si="3"/>
        <v/>
      </c>
    </row>
    <row r="91" spans="2:5" ht="15" customHeight="1" x14ac:dyDescent="0.3">
      <c r="B91" s="44" t="str">
        <f>IF(OR(LINEAS!$D$65="",LINEAS!$U$65=0,ABS(IF(OR(LINEAS!$U$65=1,LINEAS!$U$65=3),1,-1)*LINEAS!$AB$65*DATOS!$C$67)&lt;0.00005),"*",LINEAS!$D$65&amp;" UNI "&amp;IF(LINEAS!$U$65&lt;=2,"GZ","GX")&amp;" "&amp;TEXT(IF(OR(LINEAS!$U$65=1,LINEAS!$U$65=3),1,-1)*LINEAS!$AB$65*DATOS!$C$67,DATOS!$C$68))</f>
        <v>312 UNI GX 0.7538</v>
      </c>
      <c r="C91" s="42" t="str">
        <f t="shared" si="2"/>
        <v/>
      </c>
      <c r="D91" s="44" t="str">
        <f>IF(PRESIONES!$C$22="NO","",IF(OR(LINEAS!$D$65="",LINEAS!$U$65=0,ABS(IF(OR(LINEAS!$U$65=1,LINEAS!$U$65=3),1,-1)*LINEAS!$AB$65*DATOS!$C$67)&lt;0.00005),"*",LINEAS!$D$65&amp;" UNI "&amp;IF(LINEAS!$U$65&lt;=2,"GZ","GX")&amp;" "&amp;TEXT(IF(OR(LINEAS!$U$65=1,LINEAS!$U$65=3),1,-1)*LINEAS!$AB$65*DATOS!$C$67,DATOS!$C$68)))</f>
        <v/>
      </c>
      <c r="E91" s="42" t="str">
        <f t="shared" si="3"/>
        <v/>
      </c>
    </row>
    <row r="92" spans="2:5" ht="15" customHeight="1" x14ac:dyDescent="0.3">
      <c r="B92" s="44" t="str">
        <f>IF(OR(LINEAS!$D$66="",LINEAS!$U$66=0,ABS(IF(OR(LINEAS!$U$66=1,LINEAS!$U$66=3),1,-1)*LINEAS!$AB$66*DATOS!$C$67)&lt;0.00005),"*",LINEAS!$D$66&amp;" UNI "&amp;IF(LINEAS!$U$66&lt;=2,"GZ","GX")&amp;" "&amp;TEXT(IF(OR(LINEAS!$U$66=1,LINEAS!$U$66=3),1,-1)*LINEAS!$AB$66*DATOS!$C$67,DATOS!$C$68))</f>
        <v>317 UNI GX 0.6451</v>
      </c>
      <c r="C92" s="42" t="str">
        <f t="shared" si="2"/>
        <v/>
      </c>
      <c r="D92" s="44" t="str">
        <f>IF(PRESIONES!$C$22="NO","",IF(OR(LINEAS!$D$66="",LINEAS!$U$66=0,ABS(IF(OR(LINEAS!$U$66=1,LINEAS!$U$66=3),1,-1)*LINEAS!$AB$66*DATOS!$C$67)&lt;0.00005),"*",LINEAS!$D$66&amp;" UNI "&amp;IF(LINEAS!$U$66&lt;=2,"GZ","GX")&amp;" "&amp;TEXT(IF(OR(LINEAS!$U$66=1,LINEAS!$U$66=3),1,-1)*LINEAS!$AB$66*DATOS!$C$67,DATOS!$C$68)))</f>
        <v/>
      </c>
      <c r="E92" s="42" t="str">
        <f t="shared" si="3"/>
        <v/>
      </c>
    </row>
    <row r="93" spans="2:5" ht="15" customHeight="1" x14ac:dyDescent="0.3">
      <c r="B93" s="44" t="str">
        <f>IF(OR(LINEAS!$D$67="",LINEAS!$U$67=0,ABS(IF(OR(LINEAS!$U$67=1,LINEAS!$U$67=3),1,-1)*LINEAS!$AB$67*DATOS!$C$67)&lt;0.00005),"*",LINEAS!$D$67&amp;" UNI "&amp;IF(LINEAS!$U$67&lt;=2,"GZ","GX")&amp;" "&amp;TEXT(IF(OR(LINEAS!$U$67=1,LINEAS!$U$67=3),1,-1)*LINEAS!$AB$67*DATOS!$C$67,DATOS!$C$68))</f>
        <v>316 UNI GX 0.5371</v>
      </c>
      <c r="C93" s="42" t="str">
        <f t="shared" si="2"/>
        <v/>
      </c>
      <c r="D93" s="44" t="str">
        <f>IF(PRESIONES!$C$22="NO","",IF(OR(LINEAS!$D$67="",LINEAS!$U$67=0,ABS(IF(OR(LINEAS!$U$67=1,LINEAS!$U$67=3),1,-1)*LINEAS!$AB$67*DATOS!$C$67)&lt;0.00005),"*",LINEAS!$D$67&amp;" UNI "&amp;IF(LINEAS!$U$67&lt;=2,"GZ","GX")&amp;" "&amp;TEXT(IF(OR(LINEAS!$U$67=1,LINEAS!$U$67=3),1,-1)*LINEAS!$AB$67*DATOS!$C$67,DATOS!$C$68)))</f>
        <v/>
      </c>
      <c r="E93" s="42" t="str">
        <f t="shared" si="3"/>
        <v/>
      </c>
    </row>
    <row r="94" spans="2:5" ht="15" customHeight="1" x14ac:dyDescent="0.3">
      <c r="B94" s="44" t="str">
        <f>IF(OR(LINEAS!$D$68="",LINEAS!$U$68=0,ABS(IF(OR(LINEAS!$U$68=1,LINEAS!$U$68=3),1,-1)*LINEAS!$AB$68*DATOS!$C$67)&lt;0.00005),"*",LINEAS!$D$68&amp;" UNI "&amp;IF(LINEAS!$U$68&lt;=2,"GZ","GX")&amp;" "&amp;TEXT(IF(OR(LINEAS!$U$68=1,LINEAS!$U$68=3),1,-1)*LINEAS!$AB$68*DATOS!$C$67,DATOS!$C$68))</f>
        <v>315 UNI GX 0.4648</v>
      </c>
      <c r="C94" s="42" t="str">
        <f t="shared" si="2"/>
        <v/>
      </c>
      <c r="D94" s="44" t="str">
        <f>IF(PRESIONES!$C$22="NO","",IF(OR(LINEAS!$D$68="",LINEAS!$U$68=0,ABS(IF(OR(LINEAS!$U$68=1,LINEAS!$U$68=3),1,-1)*LINEAS!$AB$68*DATOS!$C$67)&lt;0.00005),"*",LINEAS!$D$68&amp;" UNI "&amp;IF(LINEAS!$U$68&lt;=2,"GZ","GX")&amp;" "&amp;TEXT(IF(OR(LINEAS!$U$68=1,LINEAS!$U$68=3),1,-1)*LINEAS!$AB$68*DATOS!$C$67,DATOS!$C$68)))</f>
        <v/>
      </c>
      <c r="E94" s="42" t="str">
        <f t="shared" si="3"/>
        <v/>
      </c>
    </row>
    <row r="95" spans="2:5" ht="15" customHeight="1" x14ac:dyDescent="0.3">
      <c r="B95" s="44" t="str">
        <f>IF(OR(LINEAS!$D$69="",LINEAS!$U$69=0,ABS(IF(OR(LINEAS!$U$69=1,LINEAS!$U$69=3),1,-1)*LINEAS!$AB$69*DATOS!$C$67)&lt;0.00005),"*",LINEAS!$D$69&amp;" UNI "&amp;IF(LINEAS!$U$69&lt;=2,"GZ","GX")&amp;" "&amp;TEXT(IF(OR(LINEAS!$U$69=1,LINEAS!$U$69=3),1,-1)*LINEAS!$AB$69*DATOS!$C$67,DATOS!$C$68))</f>
        <v>265 UNI GX -0.0050</v>
      </c>
      <c r="C95" s="42" t="str">
        <f t="shared" si="2"/>
        <v/>
      </c>
      <c r="D95" s="44" t="str">
        <f>IF(PRESIONES!$C$22="NO","",IF(OR(LINEAS!$D$69="",LINEAS!$U$69=0,ABS(IF(OR(LINEAS!$U$69=1,LINEAS!$U$69=3),1,-1)*LINEAS!$AB$69*DATOS!$C$67)&lt;0.00005),"*",LINEAS!$D$69&amp;" UNI "&amp;IF(LINEAS!$U$69&lt;=2,"GZ","GX")&amp;" "&amp;TEXT(IF(OR(LINEAS!$U$69=1,LINEAS!$U$69=3),1,-1)*LINEAS!$AB$69*DATOS!$C$67,DATOS!$C$68)))</f>
        <v/>
      </c>
      <c r="E95" s="42" t="str">
        <f t="shared" si="3"/>
        <v/>
      </c>
    </row>
    <row r="96" spans="2:5" ht="15" customHeight="1" x14ac:dyDescent="0.3">
      <c r="B96" s="44" t="str">
        <f>IF(OR(LINEAS!$D$70="",LINEAS!$U$70=0,ABS(IF(OR(LINEAS!$U$70=1,LINEAS!$U$70=3),1,-1)*LINEAS!$AB$70*DATOS!$C$67)&lt;0.00005),"*",LINEAS!$D$70&amp;" UNI "&amp;IF(LINEAS!$U$70&lt;=2,"GZ","GX")&amp;" "&amp;TEXT(IF(OR(LINEAS!$U$70=1,LINEAS!$U$70=3),1,-1)*LINEAS!$AB$70*DATOS!$C$67,DATOS!$C$68))</f>
        <v>266 UNI GX -0.0050</v>
      </c>
      <c r="C96" s="42" t="str">
        <f t="shared" si="2"/>
        <v/>
      </c>
      <c r="D96" s="44" t="str">
        <f>IF(PRESIONES!$C$22="NO","",IF(OR(LINEAS!$D$70="",LINEAS!$U$70=0,ABS(IF(OR(LINEAS!$U$70=1,LINEAS!$U$70=3),1,-1)*LINEAS!$AB$70*DATOS!$C$67)&lt;0.00005),"*",LINEAS!$D$70&amp;" UNI "&amp;IF(LINEAS!$U$70&lt;=2,"GZ","GX")&amp;" "&amp;TEXT(IF(OR(LINEAS!$U$70=1,LINEAS!$U$70=3),1,-1)*LINEAS!$AB$70*DATOS!$C$67,DATOS!$C$68)))</f>
        <v/>
      </c>
      <c r="E96" s="42" t="str">
        <f t="shared" si="3"/>
        <v/>
      </c>
    </row>
    <row r="97" spans="2:5" ht="15" customHeight="1" x14ac:dyDescent="0.3">
      <c r="B97" s="44" t="str">
        <f>IF(OR(LINEAS!$D$71="",LINEAS!$U$71=0,ABS(IF(OR(LINEAS!$U$71=1,LINEAS!$U$71=3),1,-1)*LINEAS!$AB$71*DATOS!$C$67)&lt;0.00005),"*",LINEAS!$D$71&amp;" UNI "&amp;IF(LINEAS!$U$71&lt;=2,"GZ","GX")&amp;" "&amp;TEXT(IF(OR(LINEAS!$U$71=1,LINEAS!$U$71=3),1,-1)*LINEAS!$AB$71*DATOS!$C$67,DATOS!$C$68))</f>
        <v>267 UNI GX -0.0050</v>
      </c>
      <c r="C97" s="42" t="str">
        <f t="shared" si="2"/>
        <v/>
      </c>
      <c r="D97" s="44" t="str">
        <f>IF(PRESIONES!$C$22="NO","",IF(OR(LINEAS!$D$71="",LINEAS!$U$71=0,ABS(IF(OR(LINEAS!$U$71=1,LINEAS!$U$71=3),1,-1)*LINEAS!$AB$71*DATOS!$C$67)&lt;0.00005),"*",LINEAS!$D$71&amp;" UNI "&amp;IF(LINEAS!$U$71&lt;=2,"GZ","GX")&amp;" "&amp;TEXT(IF(OR(LINEAS!$U$71=1,LINEAS!$U$71=3),1,-1)*LINEAS!$AB$71*DATOS!$C$67,DATOS!$C$68)))</f>
        <v/>
      </c>
      <c r="E97" s="42" t="str">
        <f t="shared" si="3"/>
        <v/>
      </c>
    </row>
    <row r="98" spans="2:5" ht="15" customHeight="1" x14ac:dyDescent="0.3">
      <c r="B98" s="44" t="str">
        <f>IF(OR(LINEAS!$D$72="",LINEAS!$U$72=0,ABS(IF(OR(LINEAS!$U$72=1,LINEAS!$U$72=3),1,-1)*LINEAS!$AB$72*DATOS!$C$67)&lt;0.00005),"*",LINEAS!$D$72&amp;" UNI "&amp;IF(LINEAS!$U$72&lt;=2,"GZ","GX")&amp;" "&amp;TEXT(IF(OR(LINEAS!$U$72=1,LINEAS!$U$72=3),1,-1)*LINEAS!$AB$72*DATOS!$C$67,DATOS!$C$68))</f>
        <v>274 UNI GX -0.0050</v>
      </c>
      <c r="C98" s="42" t="str">
        <f t="shared" si="2"/>
        <v/>
      </c>
      <c r="D98" s="44" t="str">
        <f>IF(PRESIONES!$C$22="NO","",IF(OR(LINEAS!$D$72="",LINEAS!$U$72=0,ABS(IF(OR(LINEAS!$U$72=1,LINEAS!$U$72=3),1,-1)*LINEAS!$AB$72*DATOS!$C$67)&lt;0.00005),"*",LINEAS!$D$72&amp;" UNI "&amp;IF(LINEAS!$U$72&lt;=2,"GZ","GX")&amp;" "&amp;TEXT(IF(OR(LINEAS!$U$72=1,LINEAS!$U$72=3),1,-1)*LINEAS!$AB$72*DATOS!$C$67,DATOS!$C$68)))</f>
        <v/>
      </c>
      <c r="E98" s="42" t="str">
        <f t="shared" si="3"/>
        <v/>
      </c>
    </row>
    <row r="99" spans="2:5" ht="15" customHeight="1" x14ac:dyDescent="0.3">
      <c r="B99" s="44" t="str">
        <f>IF(OR(LINEAS!$D$73="",LINEAS!$U$73=0,ABS(IF(OR(LINEAS!$U$73=1,LINEAS!$U$73=3),1,-1)*LINEAS!$AB$73*DATOS!$C$67)&lt;0.00005),"*",LINEAS!$D$73&amp;" UNI "&amp;IF(LINEAS!$U$73&lt;=2,"GZ","GX")&amp;" "&amp;TEXT(IF(OR(LINEAS!$U$73=1,LINEAS!$U$73=3),1,-1)*LINEAS!$AB$73*DATOS!$C$67,DATOS!$C$68))</f>
        <v>275 UNI GX -0.0050</v>
      </c>
      <c r="C99" s="42" t="str">
        <f t="shared" si="2"/>
        <v/>
      </c>
      <c r="D99" s="44" t="str">
        <f>IF(PRESIONES!$C$22="NO","",IF(OR(LINEAS!$D$73="",LINEAS!$U$73=0,ABS(IF(OR(LINEAS!$U$73=1,LINEAS!$U$73=3),1,-1)*LINEAS!$AB$73*DATOS!$C$67)&lt;0.00005),"*",LINEAS!$D$73&amp;" UNI "&amp;IF(LINEAS!$U$73&lt;=2,"GZ","GX")&amp;" "&amp;TEXT(IF(OR(LINEAS!$U$73=1,LINEAS!$U$73=3),1,-1)*LINEAS!$AB$73*DATOS!$C$67,DATOS!$C$68)))</f>
        <v/>
      </c>
      <c r="E99" s="42" t="str">
        <f t="shared" si="3"/>
        <v/>
      </c>
    </row>
    <row r="100" spans="2:5" ht="15" customHeight="1" x14ac:dyDescent="0.3">
      <c r="B100" s="44" t="str">
        <f>IF(OR(LINEAS!$D$74="",LINEAS!$U$74=0,ABS(IF(OR(LINEAS!$U$74=1,LINEAS!$U$74=3),1,-1)*LINEAS!$AB$74*DATOS!$C$67)&lt;0.00005),"*",LINEAS!$D$74&amp;" UNI "&amp;IF(LINEAS!$U$74&lt;=2,"GZ","GX")&amp;" "&amp;TEXT(IF(OR(LINEAS!$U$74=1,LINEAS!$U$74=3),1,-1)*LINEAS!$AB$74*DATOS!$C$67,DATOS!$C$68))</f>
        <v>276 UNI GX -0.0050</v>
      </c>
      <c r="C100" s="42" t="str">
        <f t="shared" si="2"/>
        <v/>
      </c>
      <c r="D100" s="44" t="str">
        <f>IF(PRESIONES!$C$22="NO","",IF(OR(LINEAS!$D$74="",LINEAS!$U$74=0,ABS(IF(OR(LINEAS!$U$74=1,LINEAS!$U$74=3),1,-1)*LINEAS!$AB$74*DATOS!$C$67)&lt;0.00005),"*",LINEAS!$D$74&amp;" UNI "&amp;IF(LINEAS!$U$74&lt;=2,"GZ","GX")&amp;" "&amp;TEXT(IF(OR(LINEAS!$U$74=1,LINEAS!$U$74=3),1,-1)*LINEAS!$AB$74*DATOS!$C$67,DATOS!$C$68)))</f>
        <v/>
      </c>
      <c r="E100" s="42" t="str">
        <f t="shared" si="3"/>
        <v/>
      </c>
    </row>
    <row r="101" spans="2:5" ht="15" customHeight="1" x14ac:dyDescent="0.3">
      <c r="B101" s="44" t="str">
        <f>IF(OR(LINEAS!$D$75="",LINEAS!$U$75=0,ABS(IF(OR(LINEAS!$U$75=1,LINEAS!$U$75=3),1,-1)*LINEAS!$AB$75*DATOS!$C$67)&lt;0.00005),"*",LINEAS!$D$75&amp;" UNI "&amp;IF(LINEAS!$U$75&lt;=2,"GZ","GX")&amp;" "&amp;TEXT(IF(OR(LINEAS!$U$75=1,LINEAS!$U$75=3),1,-1)*LINEAS!$AB$75*DATOS!$C$67,DATOS!$C$68))</f>
        <v>283 UNI GX -0.0050</v>
      </c>
      <c r="C101" s="42" t="str">
        <f t="shared" si="2"/>
        <v/>
      </c>
      <c r="D101" s="44" t="str">
        <f>IF(PRESIONES!$C$22="NO","",IF(OR(LINEAS!$D$75="",LINEAS!$U$75=0,ABS(IF(OR(LINEAS!$U$75=1,LINEAS!$U$75=3),1,-1)*LINEAS!$AB$75*DATOS!$C$67)&lt;0.00005),"*",LINEAS!$D$75&amp;" UNI "&amp;IF(LINEAS!$U$75&lt;=2,"GZ","GX")&amp;" "&amp;TEXT(IF(OR(LINEAS!$U$75=1,LINEAS!$U$75=3),1,-1)*LINEAS!$AB$75*DATOS!$C$67,DATOS!$C$68)))</f>
        <v/>
      </c>
      <c r="E101" s="42" t="str">
        <f t="shared" si="3"/>
        <v/>
      </c>
    </row>
    <row r="102" spans="2:5" ht="15" customHeight="1" x14ac:dyDescent="0.3">
      <c r="B102" s="44" t="str">
        <f>IF(OR(LINEAS!$D$76="",LINEAS!$U$76=0,ABS(IF(OR(LINEAS!$U$76=1,LINEAS!$U$76=3),1,-1)*LINEAS!$AB$76*DATOS!$C$67)&lt;0.00005),"*",LINEAS!$D$76&amp;" UNI "&amp;IF(LINEAS!$U$76&lt;=2,"GZ","GX")&amp;" "&amp;TEXT(IF(OR(LINEAS!$U$76=1,LINEAS!$U$76=3),1,-1)*LINEAS!$AB$76*DATOS!$C$67,DATOS!$C$68))</f>
        <v>284 UNI GX -0.0050</v>
      </c>
      <c r="C102" s="42" t="str">
        <f t="shared" si="2"/>
        <v/>
      </c>
      <c r="D102" s="44" t="str">
        <f>IF(PRESIONES!$C$22="NO","",IF(OR(LINEAS!$D$76="",LINEAS!$U$76=0,ABS(IF(OR(LINEAS!$U$76=1,LINEAS!$U$76=3),1,-1)*LINEAS!$AB$76*DATOS!$C$67)&lt;0.00005),"*",LINEAS!$D$76&amp;" UNI "&amp;IF(LINEAS!$U$76&lt;=2,"GZ","GX")&amp;" "&amp;TEXT(IF(OR(LINEAS!$U$76=1,LINEAS!$U$76=3),1,-1)*LINEAS!$AB$76*DATOS!$C$67,DATOS!$C$68)))</f>
        <v/>
      </c>
      <c r="E102" s="42" t="str">
        <f t="shared" si="3"/>
        <v/>
      </c>
    </row>
    <row r="103" spans="2:5" ht="15" customHeight="1" x14ac:dyDescent="0.3">
      <c r="B103" s="44" t="str">
        <f>IF(OR(LINEAS!$D$77="",LINEAS!$U$77=0,ABS(IF(OR(LINEAS!$U$77=1,LINEAS!$U$77=3),1,-1)*LINEAS!$AB$77*DATOS!$C$67)&lt;0.00005),"*",LINEAS!$D$77&amp;" UNI "&amp;IF(LINEAS!$U$77&lt;=2,"GZ","GX")&amp;" "&amp;TEXT(IF(OR(LINEAS!$U$77=1,LINEAS!$U$77=3),1,-1)*LINEAS!$AB$77*DATOS!$C$67,DATOS!$C$68))</f>
        <v>285 UNI GX -0.0050</v>
      </c>
      <c r="C103" s="42" t="str">
        <f t="shared" si="2"/>
        <v/>
      </c>
      <c r="D103" s="44" t="str">
        <f>IF(PRESIONES!$C$22="NO","",IF(OR(LINEAS!$D$77="",LINEAS!$U$77=0,ABS(IF(OR(LINEAS!$U$77=1,LINEAS!$U$77=3),1,-1)*LINEAS!$AB$77*DATOS!$C$67)&lt;0.00005),"*",LINEAS!$D$77&amp;" UNI "&amp;IF(LINEAS!$U$77&lt;=2,"GZ","GX")&amp;" "&amp;TEXT(IF(OR(LINEAS!$U$77=1,LINEAS!$U$77=3),1,-1)*LINEAS!$AB$77*DATOS!$C$67,DATOS!$C$68)))</f>
        <v/>
      </c>
      <c r="E103" s="42" t="str">
        <f t="shared" si="3"/>
        <v/>
      </c>
    </row>
    <row r="104" spans="2:5" ht="15" customHeight="1" x14ac:dyDescent="0.3">
      <c r="B104" s="44" t="str">
        <f>IF(OR(LINEAS!$D$78="",LINEAS!$U$78=0,ABS(IF(OR(LINEAS!$U$78=1,LINEAS!$U$78=3),1,-1)*LINEAS!$AB$78*DATOS!$C$67)&lt;0.00005),"*",LINEAS!$D$78&amp;" UNI "&amp;IF(LINEAS!$U$78&lt;=2,"GZ","GX")&amp;" "&amp;TEXT(IF(OR(LINEAS!$U$78=1,LINEAS!$U$78=3),1,-1)*LINEAS!$AB$78*DATOS!$C$67,DATOS!$C$68))</f>
        <v>292 UNI GX -0.0050</v>
      </c>
      <c r="C104" s="42" t="str">
        <f t="shared" si="2"/>
        <v/>
      </c>
      <c r="D104" s="44" t="str">
        <f>IF(PRESIONES!$C$22="NO","",IF(OR(LINEAS!$D$78="",LINEAS!$U$78=0,ABS(IF(OR(LINEAS!$U$78=1,LINEAS!$U$78=3),1,-1)*LINEAS!$AB$78*DATOS!$C$67)&lt;0.00005),"*",LINEAS!$D$78&amp;" UNI "&amp;IF(LINEAS!$U$78&lt;=2,"GZ","GX")&amp;" "&amp;TEXT(IF(OR(LINEAS!$U$78=1,LINEAS!$U$78=3),1,-1)*LINEAS!$AB$78*DATOS!$C$67,DATOS!$C$68)))</f>
        <v/>
      </c>
      <c r="E104" s="42" t="str">
        <f t="shared" si="3"/>
        <v/>
      </c>
    </row>
    <row r="105" spans="2:5" ht="15" customHeight="1" x14ac:dyDescent="0.3">
      <c r="B105" s="44" t="str">
        <f>IF(OR(LINEAS!$D$79="",LINEAS!$U$79=0,ABS(IF(OR(LINEAS!$U$79=1,LINEAS!$U$79=3),1,-1)*LINEAS!$AB$79*DATOS!$C$67)&lt;0.00005),"*",LINEAS!$D$79&amp;" UNI "&amp;IF(LINEAS!$U$79&lt;=2,"GZ","GX")&amp;" "&amp;TEXT(IF(OR(LINEAS!$U$79=1,LINEAS!$U$79=3),1,-1)*LINEAS!$AB$79*DATOS!$C$67,DATOS!$C$68))</f>
        <v>293 UNI GX -0.0050</v>
      </c>
      <c r="C105" s="42" t="str">
        <f t="shared" si="2"/>
        <v/>
      </c>
      <c r="D105" s="44" t="str">
        <f>IF(PRESIONES!$C$22="NO","",IF(OR(LINEAS!$D$79="",LINEAS!$U$79=0,ABS(IF(OR(LINEAS!$U$79=1,LINEAS!$U$79=3),1,-1)*LINEAS!$AB$79*DATOS!$C$67)&lt;0.00005),"*",LINEAS!$D$79&amp;" UNI "&amp;IF(LINEAS!$U$79&lt;=2,"GZ","GX")&amp;" "&amp;TEXT(IF(OR(LINEAS!$U$79=1,LINEAS!$U$79=3),1,-1)*LINEAS!$AB$79*DATOS!$C$67,DATOS!$C$68)))</f>
        <v/>
      </c>
      <c r="E105" s="42" t="str">
        <f t="shared" si="3"/>
        <v/>
      </c>
    </row>
    <row r="106" spans="2:5" ht="15" customHeight="1" x14ac:dyDescent="0.3">
      <c r="B106" s="44" t="str">
        <f>IF(OR(LINEAS!$D$80="",LINEAS!$U$80=0,ABS(IF(OR(LINEAS!$U$80=1,LINEAS!$U$80=3),1,-1)*LINEAS!$AB$80*DATOS!$C$67)&lt;0.00005),"*",LINEAS!$D$80&amp;" UNI "&amp;IF(LINEAS!$U$80&lt;=2,"GZ","GX")&amp;" "&amp;TEXT(IF(OR(LINEAS!$U$80=1,LINEAS!$U$80=3),1,-1)*LINEAS!$AB$80*DATOS!$C$67,DATOS!$C$68))</f>
        <v>294 UNI GX -0.0050</v>
      </c>
      <c r="C106" s="42" t="str">
        <f t="shared" si="2"/>
        <v/>
      </c>
      <c r="D106" s="44" t="str">
        <f>IF(PRESIONES!$C$22="NO","",IF(OR(LINEAS!$D$80="",LINEAS!$U$80=0,ABS(IF(OR(LINEAS!$U$80=1,LINEAS!$U$80=3),1,-1)*LINEAS!$AB$80*DATOS!$C$67)&lt;0.00005),"*",LINEAS!$D$80&amp;" UNI "&amp;IF(LINEAS!$U$80&lt;=2,"GZ","GX")&amp;" "&amp;TEXT(IF(OR(LINEAS!$U$80=1,LINEAS!$U$80=3),1,-1)*LINEAS!$AB$80*DATOS!$C$67,DATOS!$C$68)))</f>
        <v/>
      </c>
      <c r="E106" s="42" t="str">
        <f t="shared" si="3"/>
        <v/>
      </c>
    </row>
    <row r="107" spans="2:5" ht="15" customHeight="1" x14ac:dyDescent="0.3">
      <c r="B107" s="44" t="str">
        <f>IF(OR(LINEAS!$D$81="",LINEAS!$U$81=0,ABS(IF(OR(LINEAS!$U$81=1,LINEAS!$U$81=3),1,-1)*LINEAS!$AB$81*DATOS!$C$67)&lt;0.00005),"*",LINEAS!$D$81&amp;" UNI "&amp;IF(LINEAS!$U$81&lt;=2,"GZ","GX")&amp;" "&amp;TEXT(IF(OR(LINEAS!$U$81=1,LINEAS!$U$81=3),1,-1)*LINEAS!$AB$81*DATOS!$C$67,DATOS!$C$68))</f>
        <v>300 UNI GX -0.0050</v>
      </c>
      <c r="C107" s="42" t="str">
        <f t="shared" si="2"/>
        <v/>
      </c>
      <c r="D107" s="44" t="str">
        <f>IF(PRESIONES!$C$22="NO","",IF(OR(LINEAS!$D$81="",LINEAS!$U$81=0,ABS(IF(OR(LINEAS!$U$81=1,LINEAS!$U$81=3),1,-1)*LINEAS!$AB$81*DATOS!$C$67)&lt;0.00005),"*",LINEAS!$D$81&amp;" UNI "&amp;IF(LINEAS!$U$81&lt;=2,"GZ","GX")&amp;" "&amp;TEXT(IF(OR(LINEAS!$U$81=1,LINEAS!$U$81=3),1,-1)*LINEAS!$AB$81*DATOS!$C$67,DATOS!$C$68)))</f>
        <v/>
      </c>
      <c r="E107" s="42" t="str">
        <f t="shared" si="3"/>
        <v/>
      </c>
    </row>
    <row r="108" spans="2:5" ht="15" customHeight="1" x14ac:dyDescent="0.3">
      <c r="B108" s="44" t="str">
        <f>IF(OR(LINEAS!$D$82="",LINEAS!$U$82=0,ABS(IF(OR(LINEAS!$U$82=1,LINEAS!$U$82=3),1,-1)*LINEAS!$AB$82*DATOS!$C$67)&lt;0.00005),"*",LINEAS!$D$82&amp;" UNI "&amp;IF(LINEAS!$U$82&lt;=2,"GZ","GX")&amp;" "&amp;TEXT(IF(OR(LINEAS!$U$82=1,LINEAS!$U$82=3),1,-1)*LINEAS!$AB$82*DATOS!$C$67,DATOS!$C$68))</f>
        <v>301 UNI GX -0.0050</v>
      </c>
      <c r="C108" s="42" t="str">
        <f t="shared" si="2"/>
        <v/>
      </c>
      <c r="D108" s="44" t="str">
        <f>IF(PRESIONES!$C$22="NO","",IF(OR(LINEAS!$D$82="",LINEAS!$U$82=0,ABS(IF(OR(LINEAS!$U$82=1,LINEAS!$U$82=3),1,-1)*LINEAS!$AB$82*DATOS!$C$67)&lt;0.00005),"*",LINEAS!$D$82&amp;" UNI "&amp;IF(LINEAS!$U$82&lt;=2,"GZ","GX")&amp;" "&amp;TEXT(IF(OR(LINEAS!$U$82=1,LINEAS!$U$82=3),1,-1)*LINEAS!$AB$82*DATOS!$C$67,DATOS!$C$68)))</f>
        <v/>
      </c>
      <c r="E108" s="42" t="str">
        <f t="shared" si="3"/>
        <v/>
      </c>
    </row>
    <row r="109" spans="2:5" ht="15" customHeight="1" x14ac:dyDescent="0.3">
      <c r="B109" s="44" t="str">
        <f>IF(OR(LINEAS!$D$83="",LINEAS!$U$83=0,ABS(IF(OR(LINEAS!$U$83=1,LINEAS!$U$83=3),1,-1)*LINEAS!$AB$83*DATOS!$C$67)&lt;0.00005),"*",LINEAS!$D$83&amp;" UNI "&amp;IF(LINEAS!$U$83&lt;=2,"GZ","GX")&amp;" "&amp;TEXT(IF(OR(LINEAS!$U$83=1,LINEAS!$U$83=3),1,-1)*LINEAS!$AB$83*DATOS!$C$67,DATOS!$C$68))</f>
        <v>302 UNI GX -0.0050</v>
      </c>
      <c r="C109" s="42" t="str">
        <f t="shared" si="2"/>
        <v/>
      </c>
      <c r="D109" s="44" t="str">
        <f>IF(PRESIONES!$C$22="NO","",IF(OR(LINEAS!$D$83="",LINEAS!$U$83=0,ABS(IF(OR(LINEAS!$U$83=1,LINEAS!$U$83=3),1,-1)*LINEAS!$AB$83*DATOS!$C$67)&lt;0.00005),"*",LINEAS!$D$83&amp;" UNI "&amp;IF(LINEAS!$U$83&lt;=2,"GZ","GX")&amp;" "&amp;TEXT(IF(OR(LINEAS!$U$83=1,LINEAS!$U$83=3),1,-1)*LINEAS!$AB$83*DATOS!$C$67,DATOS!$C$68)))</f>
        <v/>
      </c>
      <c r="E109" s="42" t="str">
        <f t="shared" si="3"/>
        <v/>
      </c>
    </row>
    <row r="110" spans="2:5" ht="15" customHeight="1" x14ac:dyDescent="0.3">
      <c r="B110" s="44" t="str">
        <f>IF(OR(LINEAS!$D$84="",LINEAS!$U$84=0,ABS(IF(OR(LINEAS!$U$84=1,LINEAS!$U$84=3),1,-1)*LINEAS!$AB$84*DATOS!$C$67)&lt;0.00005),"*",LINEAS!$D$84&amp;" UNI "&amp;IF(LINEAS!$U$84&lt;=2,"GZ","GX")&amp;" "&amp;TEXT(IF(OR(LINEAS!$U$84=1,LINEAS!$U$84=3),1,-1)*LINEAS!$AB$84*DATOS!$C$67,DATOS!$C$68))</f>
        <v>307 UNI GX -0.0050</v>
      </c>
      <c r="C110" s="42" t="str">
        <f t="shared" si="2"/>
        <v/>
      </c>
      <c r="D110" s="44" t="str">
        <f>IF(PRESIONES!$C$22="NO","",IF(OR(LINEAS!$D$84="",LINEAS!$U$84=0,ABS(IF(OR(LINEAS!$U$84=1,LINEAS!$U$84=3),1,-1)*LINEAS!$AB$84*DATOS!$C$67)&lt;0.00005),"*",LINEAS!$D$84&amp;" UNI "&amp;IF(LINEAS!$U$84&lt;=2,"GZ","GX")&amp;" "&amp;TEXT(IF(OR(LINEAS!$U$84=1,LINEAS!$U$84=3),1,-1)*LINEAS!$AB$84*DATOS!$C$67,DATOS!$C$68)))</f>
        <v/>
      </c>
      <c r="E110" s="42" t="str">
        <f t="shared" si="3"/>
        <v/>
      </c>
    </row>
    <row r="111" spans="2:5" ht="15" customHeight="1" x14ac:dyDescent="0.3">
      <c r="B111" s="44" t="str">
        <f>IF(OR(LINEAS!$D$85="",LINEAS!$U$85=0,ABS(IF(OR(LINEAS!$U$85=1,LINEAS!$U$85=3),1,-1)*LINEAS!$AB$85*DATOS!$C$67)&lt;0.00005),"*",LINEAS!$D$85&amp;" UNI "&amp;IF(LINEAS!$U$85&lt;=2,"GZ","GX")&amp;" "&amp;TEXT(IF(OR(LINEAS!$U$85=1,LINEAS!$U$85=3),1,-1)*LINEAS!$AB$85*DATOS!$C$67,DATOS!$C$68))</f>
        <v>308 UNI GX -0.0050</v>
      </c>
      <c r="C111" s="42" t="str">
        <f t="shared" si="2"/>
        <v/>
      </c>
      <c r="D111" s="44" t="str">
        <f>IF(PRESIONES!$C$22="NO","",IF(OR(LINEAS!$D$85="",LINEAS!$U$85=0,ABS(IF(OR(LINEAS!$U$85=1,LINEAS!$U$85=3),1,-1)*LINEAS!$AB$85*DATOS!$C$67)&lt;0.00005),"*",LINEAS!$D$85&amp;" UNI "&amp;IF(LINEAS!$U$85&lt;=2,"GZ","GX")&amp;" "&amp;TEXT(IF(OR(LINEAS!$U$85=1,LINEAS!$U$85=3),1,-1)*LINEAS!$AB$85*DATOS!$C$67,DATOS!$C$68)))</f>
        <v/>
      </c>
      <c r="E111" s="42" t="str">
        <f t="shared" si="3"/>
        <v/>
      </c>
    </row>
    <row r="112" spans="2:5" ht="15" customHeight="1" x14ac:dyDescent="0.3">
      <c r="B112" s="44" t="str">
        <f>IF(OR(LINEAS!$D$86="",LINEAS!$U$86=0,ABS(IF(OR(LINEAS!$U$86=1,LINEAS!$U$86=3),1,-1)*LINEAS!$AB$86*DATOS!$C$67)&lt;0.00005),"*",LINEAS!$D$86&amp;" UNI "&amp;IF(LINEAS!$U$86&lt;=2,"GZ","GX")&amp;" "&amp;TEXT(IF(OR(LINEAS!$U$86=1,LINEAS!$U$86=3),1,-1)*LINEAS!$AB$86*DATOS!$C$67,DATOS!$C$68))</f>
        <v>309 UNI GX -0.0050</v>
      </c>
      <c r="C112" s="42" t="str">
        <f t="shared" si="2"/>
        <v/>
      </c>
      <c r="D112" s="44" t="str">
        <f>IF(PRESIONES!$C$22="NO","",IF(OR(LINEAS!$D$86="",LINEAS!$U$86=0,ABS(IF(OR(LINEAS!$U$86=1,LINEAS!$U$86=3),1,-1)*LINEAS!$AB$86*DATOS!$C$67)&lt;0.00005),"*",LINEAS!$D$86&amp;" UNI "&amp;IF(LINEAS!$U$86&lt;=2,"GZ","GX")&amp;" "&amp;TEXT(IF(OR(LINEAS!$U$86=1,LINEAS!$U$86=3),1,-1)*LINEAS!$AB$86*DATOS!$C$67,DATOS!$C$68)))</f>
        <v/>
      </c>
      <c r="E112" s="42" t="str">
        <f t="shared" si="3"/>
        <v/>
      </c>
    </row>
    <row r="113" spans="2:5" ht="15" customHeight="1" x14ac:dyDescent="0.3">
      <c r="B113" s="44" t="str">
        <f>IF(OR(LINEAS!$D$87="",LINEAS!$U$87=0,ABS(IF(OR(LINEAS!$U$87=1,LINEAS!$U$87=3),1,-1)*LINEAS!$AB$87*DATOS!$C$67)&lt;0.00005),"*",LINEAS!$D$87&amp;" UNI "&amp;IF(LINEAS!$U$87&lt;=2,"GZ","GX")&amp;" "&amp;TEXT(IF(OR(LINEAS!$U$87=1,LINEAS!$U$87=3),1,-1)*LINEAS!$AB$87*DATOS!$C$67,DATOS!$C$68))</f>
        <v>318 UNI GX -0.0050</v>
      </c>
      <c r="C113" s="42" t="str">
        <f t="shared" si="2"/>
        <v/>
      </c>
      <c r="D113" s="44" t="str">
        <f>IF(PRESIONES!$C$22="NO","",IF(OR(LINEAS!$D$87="",LINEAS!$U$87=0,ABS(IF(OR(LINEAS!$U$87=1,LINEAS!$U$87=3),1,-1)*LINEAS!$AB$87*DATOS!$C$67)&lt;0.00005),"*",LINEAS!$D$87&amp;" UNI "&amp;IF(LINEAS!$U$87&lt;=2,"GZ","GX")&amp;" "&amp;TEXT(IF(OR(LINEAS!$U$87=1,LINEAS!$U$87=3),1,-1)*LINEAS!$AB$87*DATOS!$C$67,DATOS!$C$68)))</f>
        <v/>
      </c>
      <c r="E113" s="42" t="str">
        <f t="shared" si="3"/>
        <v/>
      </c>
    </row>
    <row r="114" spans="2:5" ht="15" customHeight="1" x14ac:dyDescent="0.3">
      <c r="B114" s="44" t="str">
        <f>IF(OR(LINEAS!$D$88="",LINEAS!$U$88=0,ABS(IF(OR(LINEAS!$U$88=1,LINEAS!$U$88=3),1,-1)*LINEAS!$AB$88*DATOS!$C$67)&lt;0.00005),"*",LINEAS!$D$88&amp;" UNI "&amp;IF(LINEAS!$U$88&lt;=2,"GZ","GX")&amp;" "&amp;TEXT(IF(OR(LINEAS!$U$88=1,LINEAS!$U$88=3),1,-1)*LINEAS!$AB$88*DATOS!$C$67,DATOS!$C$68))</f>
        <v>311 UNI GX -0.0050</v>
      </c>
      <c r="C114" s="42" t="str">
        <f t="shared" si="2"/>
        <v/>
      </c>
      <c r="D114" s="44" t="str">
        <f>IF(PRESIONES!$C$22="NO","",IF(OR(LINEAS!$D$88="",LINEAS!$U$88=0,ABS(IF(OR(LINEAS!$U$88=1,LINEAS!$U$88=3),1,-1)*LINEAS!$AB$88*DATOS!$C$67)&lt;0.00005),"*",LINEAS!$D$88&amp;" UNI "&amp;IF(LINEAS!$U$88&lt;=2,"GZ","GX")&amp;" "&amp;TEXT(IF(OR(LINEAS!$U$88=1,LINEAS!$U$88=3),1,-1)*LINEAS!$AB$88*DATOS!$C$67,DATOS!$C$68)))</f>
        <v/>
      </c>
      <c r="E114" s="42" t="str">
        <f t="shared" si="3"/>
        <v/>
      </c>
    </row>
    <row r="115" spans="2:5" ht="15" customHeight="1" x14ac:dyDescent="0.3">
      <c r="B115" s="44" t="str">
        <f>IF(OR(LINEAS!$D$89="",LINEAS!$U$89=0,ABS(IF(OR(LINEAS!$U$89=1,LINEAS!$U$89=3),1,-1)*LINEAS!$AB$89*DATOS!$C$67)&lt;0.00005),"*",LINEAS!$D$89&amp;" UNI "&amp;IF(LINEAS!$U$89&lt;=2,"GZ","GX")&amp;" "&amp;TEXT(IF(OR(LINEAS!$U$89=1,LINEAS!$U$89=3),1,-1)*LINEAS!$AB$89*DATOS!$C$67,DATOS!$C$68))</f>
        <v>310 UNI GX -0.0050</v>
      </c>
      <c r="C115" s="42" t="str">
        <f t="shared" si="2"/>
        <v/>
      </c>
      <c r="D115" s="44" t="str">
        <f>IF(PRESIONES!$C$22="NO","",IF(OR(LINEAS!$D$89="",LINEAS!$U$89=0,ABS(IF(OR(LINEAS!$U$89=1,LINEAS!$U$89=3),1,-1)*LINEAS!$AB$89*DATOS!$C$67)&lt;0.00005),"*",LINEAS!$D$89&amp;" UNI "&amp;IF(LINEAS!$U$89&lt;=2,"GZ","GX")&amp;" "&amp;TEXT(IF(OR(LINEAS!$U$89=1,LINEAS!$U$89=3),1,-1)*LINEAS!$AB$89*DATOS!$C$67,DATOS!$C$68)))</f>
        <v/>
      </c>
      <c r="E115" s="42" t="str">
        <f t="shared" si="3"/>
        <v/>
      </c>
    </row>
    <row r="116" spans="2:5" ht="15" customHeight="1" x14ac:dyDescent="0.3">
      <c r="B116" s="44" t="str">
        <f>IF(OR(LINEAS!$D$90="",LINEAS!$U$90=0,ABS(IF(OR(LINEAS!$U$90=1,LINEAS!$U$90=3),1,-1)*LINEAS!$AB$90*DATOS!$C$67)&lt;0.00005),"*",LINEAS!$D$90&amp;" UNI "&amp;IF(LINEAS!$U$90&lt;=2,"GZ","GX")&amp;" "&amp;TEXT(IF(OR(LINEAS!$U$90=1,LINEAS!$U$90=3),1,-1)*LINEAS!$AB$90*DATOS!$C$67,DATOS!$C$68))</f>
        <v>321 UNI GX -0.0043</v>
      </c>
      <c r="C116" s="42" t="str">
        <f t="shared" si="2"/>
        <v/>
      </c>
      <c r="D116" s="44" t="str">
        <f>IF(PRESIONES!$C$22="NO","",IF(OR(LINEAS!$D$90="",LINEAS!$U$90=0,ABS(IF(OR(LINEAS!$U$90=1,LINEAS!$U$90=3),1,-1)*LINEAS!$AB$90*DATOS!$C$67)&lt;0.00005),"*",LINEAS!$D$90&amp;" UNI "&amp;IF(LINEAS!$U$90&lt;=2,"GZ","GX")&amp;" "&amp;TEXT(IF(OR(LINEAS!$U$90=1,LINEAS!$U$90=3),1,-1)*LINEAS!$AB$90*DATOS!$C$67,DATOS!$C$68)))</f>
        <v/>
      </c>
      <c r="E116" s="42" t="str">
        <f t="shared" si="3"/>
        <v/>
      </c>
    </row>
    <row r="117" spans="2:5" ht="15" customHeight="1" x14ac:dyDescent="0.3">
      <c r="B117" s="44" t="str">
        <f>IF(OR(LINEAS!$D$91="",LINEAS!$U$91=0,ABS(IF(OR(LINEAS!$U$91=1,LINEAS!$U$91=3),1,-1)*LINEAS!$AB$91*DATOS!$C$67)&lt;0.00005),"*",LINEAS!$D$91&amp;" UNI "&amp;IF(LINEAS!$U$91&lt;=2,"GZ","GX")&amp;" "&amp;TEXT(IF(OR(LINEAS!$U$91=1,LINEAS!$U$91=3),1,-1)*LINEAS!$AB$91*DATOS!$C$67,DATOS!$C$68))</f>
        <v>320 UNI GX -0.0036</v>
      </c>
      <c r="C117" s="42" t="str">
        <f t="shared" si="2"/>
        <v/>
      </c>
      <c r="D117" s="44" t="str">
        <f>IF(PRESIONES!$C$22="NO","",IF(OR(LINEAS!$D$91="",LINEAS!$U$91=0,ABS(IF(OR(LINEAS!$U$91=1,LINEAS!$U$91=3),1,-1)*LINEAS!$AB$91*DATOS!$C$67)&lt;0.00005),"*",LINEAS!$D$91&amp;" UNI "&amp;IF(LINEAS!$U$91&lt;=2,"GZ","GX")&amp;" "&amp;TEXT(IF(OR(LINEAS!$U$91=1,LINEAS!$U$91=3),1,-1)*LINEAS!$AB$91*DATOS!$C$67,DATOS!$C$68)))</f>
        <v/>
      </c>
      <c r="E117" s="42" t="str">
        <f t="shared" si="3"/>
        <v/>
      </c>
    </row>
    <row r="118" spans="2:5" ht="15" customHeight="1" x14ac:dyDescent="0.3">
      <c r="B118" s="44" t="str">
        <f>IF(OR(LINEAS!$D$92="",LINEAS!$U$92=0,ABS(IF(OR(LINEAS!$U$92=1,LINEAS!$U$92=3),1,-1)*LINEAS!$AB$92*DATOS!$C$67)&lt;0.00005),"*",LINEAS!$D$92&amp;" UNI "&amp;IF(LINEAS!$U$92&lt;=2,"GZ","GX")&amp;" "&amp;TEXT(IF(OR(LINEAS!$U$92=1,LINEAS!$U$92=3),1,-1)*LINEAS!$AB$92*DATOS!$C$67,DATOS!$C$68))</f>
        <v>319 UNI GX -0.0031</v>
      </c>
      <c r="C118" s="42" t="str">
        <f t="shared" si="2"/>
        <v/>
      </c>
      <c r="D118" s="44" t="str">
        <f>IF(PRESIONES!$C$22="NO","",IF(OR(LINEAS!$D$92="",LINEAS!$U$92=0,ABS(IF(OR(LINEAS!$U$92=1,LINEAS!$U$92=3),1,-1)*LINEAS!$AB$92*DATOS!$C$67)&lt;0.00005),"*",LINEAS!$D$92&amp;" UNI "&amp;IF(LINEAS!$U$92&lt;=2,"GZ","GX")&amp;" "&amp;TEXT(IF(OR(LINEAS!$U$92=1,LINEAS!$U$92=3),1,-1)*LINEAS!$AB$92*DATOS!$C$67,DATOS!$C$68)))</f>
        <v/>
      </c>
      <c r="E118" s="42" t="str">
        <f t="shared" si="3"/>
        <v/>
      </c>
    </row>
    <row r="119" spans="2:5" ht="15" customHeight="1" x14ac:dyDescent="0.3">
      <c r="B119" s="44" t="str">
        <f>IF(OR(LINEAS!$D$93="",LINEAS!$U$93=0,ABS(IF(OR(LINEAS!$U$93=1,LINEAS!$U$93=3),1,-1)*LINEAS!$AB$93*DATOS!$C$67)&lt;0.00005),"*",LINEAS!$D$93&amp;" UNI "&amp;IF(LINEAS!$U$93&lt;=2,"GZ","GX")&amp;" "&amp;TEXT(IF(OR(LINEAS!$U$93=1,LINEAS!$U$93=3),1,-1)*LINEAS!$AB$93*DATOS!$C$67,DATOS!$C$68))</f>
        <v>60 UNI GX 0.3130</v>
      </c>
      <c r="C119" s="42" t="str">
        <f t="shared" si="2"/>
        <v/>
      </c>
      <c r="D119" s="44" t="str">
        <f>IF(PRESIONES!$C$22="NO","",IF(OR(LINEAS!$D$93="",LINEAS!$U$93=0,ABS(IF(OR(LINEAS!$U$93=1,LINEAS!$U$93=3),1,-1)*LINEAS!$AB$93*DATOS!$C$67)&lt;0.00005),"*",LINEAS!$D$93&amp;" UNI "&amp;IF(LINEAS!$U$93&lt;=2,"GZ","GX")&amp;" "&amp;TEXT(IF(OR(LINEAS!$U$93=1,LINEAS!$U$93=3),1,-1)*LINEAS!$AB$93*DATOS!$C$67,DATOS!$C$68)))</f>
        <v/>
      </c>
      <c r="E119" s="42" t="str">
        <f t="shared" si="3"/>
        <v/>
      </c>
    </row>
    <row r="120" spans="2:5" ht="15" customHeight="1" x14ac:dyDescent="0.3">
      <c r="B120" s="44" t="str">
        <f>IF(OR(LINEAS!$D$94="",LINEAS!$U$94=0,ABS(IF(OR(LINEAS!$U$94=1,LINEAS!$U$94=3),1,-1)*LINEAS!$AB$94*DATOS!$C$67)&lt;0.00005),"*",LINEAS!$D$94&amp;" UNI "&amp;IF(LINEAS!$U$94&lt;=2,"GZ","GX")&amp;" "&amp;TEXT(IF(OR(LINEAS!$U$94=1,LINEAS!$U$94=3),1,-1)*LINEAS!$AB$94*DATOS!$C$67,DATOS!$C$68))</f>
        <v>59 UNI GX 0.2913</v>
      </c>
      <c r="C120" s="42" t="str">
        <f t="shared" si="2"/>
        <v/>
      </c>
      <c r="D120" s="44" t="str">
        <f>IF(PRESIONES!$C$22="NO","",IF(OR(LINEAS!$D$94="",LINEAS!$U$94=0,ABS(IF(OR(LINEAS!$U$94=1,LINEAS!$U$94=3),1,-1)*LINEAS!$AB$94*DATOS!$C$67)&lt;0.00005),"*",LINEAS!$D$94&amp;" UNI "&amp;IF(LINEAS!$U$94&lt;=2,"GZ","GX")&amp;" "&amp;TEXT(IF(OR(LINEAS!$U$94=1,LINEAS!$U$94=3),1,-1)*LINEAS!$AB$94*DATOS!$C$67,DATOS!$C$68)))</f>
        <v/>
      </c>
      <c r="E120" s="42" t="str">
        <f t="shared" si="3"/>
        <v/>
      </c>
    </row>
    <row r="121" spans="2:5" ht="15" customHeight="1" x14ac:dyDescent="0.3">
      <c r="B121" s="44" t="str">
        <f>IF(OR(LINEAS!$D$95="",LINEAS!$U$95=0,ABS(IF(OR(LINEAS!$U$95=1,LINEAS!$U$95=3),1,-1)*LINEAS!$AB$95*DATOS!$C$67)&lt;0.00005),"*",LINEAS!$D$95&amp;" UNI "&amp;IF(LINEAS!$U$95&lt;=2,"GZ","GX")&amp;" "&amp;TEXT(IF(OR(LINEAS!$U$95=1,LINEAS!$U$95=3),1,-1)*LINEAS!$AB$95*DATOS!$C$67,DATOS!$C$68))</f>
        <v>58 UNI GX 0.2696</v>
      </c>
      <c r="C121" s="42" t="str">
        <f t="shared" si="2"/>
        <v/>
      </c>
      <c r="D121" s="44" t="str">
        <f>IF(PRESIONES!$C$22="NO","",IF(OR(LINEAS!$D$95="",LINEAS!$U$95=0,ABS(IF(OR(LINEAS!$U$95=1,LINEAS!$U$95=3),1,-1)*LINEAS!$AB$95*DATOS!$C$67)&lt;0.00005),"*",LINEAS!$D$95&amp;" UNI "&amp;IF(LINEAS!$U$95&lt;=2,"GZ","GX")&amp;" "&amp;TEXT(IF(OR(LINEAS!$U$95=1,LINEAS!$U$95=3),1,-1)*LINEAS!$AB$95*DATOS!$C$67,DATOS!$C$68)))</f>
        <v/>
      </c>
      <c r="E121" s="42" t="str">
        <f t="shared" si="3"/>
        <v/>
      </c>
    </row>
    <row r="122" spans="2:5" ht="15" customHeight="1" x14ac:dyDescent="0.3">
      <c r="B122" s="44" t="str">
        <f>IF(OR(LINEAS!$D$96="",LINEAS!$U$96=0,ABS(IF(OR(LINEAS!$U$96=1,LINEAS!$U$96=3),1,-1)*LINEAS!$AB$96*DATOS!$C$67)&lt;0.00005),"*",LINEAS!$D$96&amp;" UNI "&amp;IF(LINEAS!$U$96&lt;=2,"GZ","GX")&amp;" "&amp;TEXT(IF(OR(LINEAS!$U$96=1,LINEAS!$U$96=3),1,-1)*LINEAS!$AB$96*DATOS!$C$67,DATOS!$C$68))</f>
        <v>57 UNI GX 0.2479</v>
      </c>
      <c r="C122" s="42" t="str">
        <f t="shared" si="2"/>
        <v/>
      </c>
      <c r="D122" s="44" t="str">
        <f>IF(PRESIONES!$C$22="NO","",IF(OR(LINEAS!$D$96="",LINEAS!$U$96=0,ABS(IF(OR(LINEAS!$U$96=1,LINEAS!$U$96=3),1,-1)*LINEAS!$AB$96*DATOS!$C$67)&lt;0.00005),"*",LINEAS!$D$96&amp;" UNI "&amp;IF(LINEAS!$U$96&lt;=2,"GZ","GX")&amp;" "&amp;TEXT(IF(OR(LINEAS!$U$96=1,LINEAS!$U$96=3),1,-1)*LINEAS!$AB$96*DATOS!$C$67,DATOS!$C$68)))</f>
        <v/>
      </c>
      <c r="E122" s="42" t="str">
        <f t="shared" si="3"/>
        <v/>
      </c>
    </row>
    <row r="123" spans="2:5" ht="15" customHeight="1" x14ac:dyDescent="0.3">
      <c r="B123" s="44" t="str">
        <f>IF(OR(LINEAS!$D$97="",LINEAS!$U$97=0,ABS(IF(OR(LINEAS!$U$97=1,LINEAS!$U$97=3),1,-1)*LINEAS!$AB$97*DATOS!$C$67)&lt;0.00005),"*",LINEAS!$D$97&amp;" UNI "&amp;IF(LINEAS!$U$97&lt;=2,"GZ","GX")&amp;" "&amp;TEXT(IF(OR(LINEAS!$U$97=1,LINEAS!$U$97=3),1,-1)*LINEAS!$AB$97*DATOS!$C$67,DATOS!$C$68))</f>
        <v>10 UNI GX 0.2263</v>
      </c>
      <c r="C123" s="42" t="str">
        <f t="shared" si="2"/>
        <v/>
      </c>
      <c r="D123" s="44" t="str">
        <f>IF(PRESIONES!$C$22="NO","",IF(OR(LINEAS!$D$97="",LINEAS!$U$97=0,ABS(IF(OR(LINEAS!$U$97=1,LINEAS!$U$97=3),1,-1)*LINEAS!$AB$97*DATOS!$C$67)&lt;0.00005),"*",LINEAS!$D$97&amp;" UNI "&amp;IF(LINEAS!$U$97&lt;=2,"GZ","GX")&amp;" "&amp;TEXT(IF(OR(LINEAS!$U$97=1,LINEAS!$U$97=3),1,-1)*LINEAS!$AB$97*DATOS!$C$67,DATOS!$C$68)))</f>
        <v/>
      </c>
      <c r="E123" s="42" t="str">
        <f t="shared" si="3"/>
        <v/>
      </c>
    </row>
    <row r="124" spans="2:5" ht="15" customHeight="1" x14ac:dyDescent="0.3">
      <c r="B124" s="44" t="str">
        <f>IF(OR(LINEAS!$D$98="",LINEAS!$U$98=0,ABS(IF(OR(LINEAS!$U$98=1,LINEAS!$U$98=3),1,-1)*LINEAS!$AB$98*DATOS!$C$67)&lt;0.00005),"*",LINEAS!$D$98&amp;" UNI "&amp;IF(LINEAS!$U$98&lt;=2,"GZ","GX")&amp;" "&amp;TEXT(IF(OR(LINEAS!$U$98=1,LINEAS!$U$98=3),1,-1)*LINEAS!$AB$98*DATOS!$C$67,DATOS!$C$68))</f>
        <v>68 UNI GX 0.2047</v>
      </c>
      <c r="C124" s="42" t="str">
        <f t="shared" si="2"/>
        <v/>
      </c>
      <c r="D124" s="44" t="str">
        <f>IF(PRESIONES!$C$22="NO","",IF(OR(LINEAS!$D$98="",LINEAS!$U$98=0,ABS(IF(OR(LINEAS!$U$98=1,LINEAS!$U$98=3),1,-1)*LINEAS!$AB$98*DATOS!$C$67)&lt;0.00005),"*",LINEAS!$D$98&amp;" UNI "&amp;IF(LINEAS!$U$98&lt;=2,"GZ","GX")&amp;" "&amp;TEXT(IF(OR(LINEAS!$U$98=1,LINEAS!$U$98=3),1,-1)*LINEAS!$AB$98*DATOS!$C$67,DATOS!$C$68)))</f>
        <v/>
      </c>
      <c r="E124" s="42" t="str">
        <f t="shared" si="3"/>
        <v/>
      </c>
    </row>
    <row r="125" spans="2:5" ht="15" customHeight="1" x14ac:dyDescent="0.3">
      <c r="B125" s="44" t="str">
        <f>IF(OR(LINEAS!$D$99="",LINEAS!$U$99=0,ABS(IF(OR(LINEAS!$U$99=1,LINEAS!$U$99=3),1,-1)*LINEAS!$AB$99*DATOS!$C$67)&lt;0.00005),"*",LINEAS!$D$99&amp;" UNI "&amp;IF(LINEAS!$U$99&lt;=2,"GZ","GX")&amp;" "&amp;TEXT(IF(OR(LINEAS!$U$99=1,LINEAS!$U$99=3),1,-1)*LINEAS!$AB$99*DATOS!$C$67,DATOS!$C$68))</f>
        <v>67 UNI GX 0.1832</v>
      </c>
      <c r="C125" s="42" t="str">
        <f t="shared" si="2"/>
        <v/>
      </c>
      <c r="D125" s="44" t="str">
        <f>IF(PRESIONES!$C$22="NO","",IF(OR(LINEAS!$D$99="",LINEAS!$U$99=0,ABS(IF(OR(LINEAS!$U$99=1,LINEAS!$U$99=3),1,-1)*LINEAS!$AB$99*DATOS!$C$67)&lt;0.00005),"*",LINEAS!$D$99&amp;" UNI "&amp;IF(LINEAS!$U$99&lt;=2,"GZ","GX")&amp;" "&amp;TEXT(IF(OR(LINEAS!$U$99=1,LINEAS!$U$99=3),1,-1)*LINEAS!$AB$99*DATOS!$C$67,DATOS!$C$68)))</f>
        <v/>
      </c>
      <c r="E125" s="42" t="str">
        <f t="shared" si="3"/>
        <v/>
      </c>
    </row>
    <row r="126" spans="2:5" ht="15" customHeight="1" x14ac:dyDescent="0.3">
      <c r="B126" s="44" t="str">
        <f>IF(OR(LINEAS!$D$100="",LINEAS!$U$100=0,ABS(IF(OR(LINEAS!$U$100=1,LINEAS!$U$100=3),1,-1)*LINEAS!$AB$100*DATOS!$C$67)&lt;0.00005),"*",LINEAS!$D$100&amp;" UNI "&amp;IF(LINEAS!$U$100&lt;=2,"GZ","GX")&amp;" "&amp;TEXT(IF(OR(LINEAS!$U$100=1,LINEAS!$U$100=3),1,-1)*LINEAS!$AB$100*DATOS!$C$67,DATOS!$C$68))</f>
        <v>66 UNI GX 0.1618</v>
      </c>
      <c r="C126" s="42" t="str">
        <f t="shared" si="2"/>
        <v/>
      </c>
      <c r="D126" s="44" t="str">
        <f>IF(PRESIONES!$C$22="NO","",IF(OR(LINEAS!$D$100="",LINEAS!$U$100=0,ABS(IF(OR(LINEAS!$U$100=1,LINEAS!$U$100=3),1,-1)*LINEAS!$AB$100*DATOS!$C$67)&lt;0.00005),"*",LINEAS!$D$100&amp;" UNI "&amp;IF(LINEAS!$U$100&lt;=2,"GZ","GX")&amp;" "&amp;TEXT(IF(OR(LINEAS!$U$100=1,LINEAS!$U$100=3),1,-1)*LINEAS!$AB$100*DATOS!$C$67,DATOS!$C$68)))</f>
        <v/>
      </c>
      <c r="E126" s="42" t="str">
        <f t="shared" si="3"/>
        <v/>
      </c>
    </row>
    <row r="127" spans="2:5" ht="15" customHeight="1" x14ac:dyDescent="0.3">
      <c r="B127" s="44" t="str">
        <f>IF(OR(LINEAS!$D$101="",LINEAS!$U$101=0,ABS(IF(OR(LINEAS!$U$101=1,LINEAS!$U$101=3),1,-1)*LINEAS!$AB$101*DATOS!$C$67)&lt;0.00005),"*",LINEAS!$D$101&amp;" UNI "&amp;IF(LINEAS!$U$101&lt;=2,"GZ","GX")&amp;" "&amp;TEXT(IF(OR(LINEAS!$U$101=1,LINEAS!$U$101=3),1,-1)*LINEAS!$AB$101*DATOS!$C$67,DATOS!$C$68))</f>
        <v>65 UNI GX 0.1403</v>
      </c>
      <c r="C127" s="42" t="str">
        <f t="shared" si="2"/>
        <v/>
      </c>
      <c r="D127" s="44" t="str">
        <f>IF(PRESIONES!$C$22="NO","",IF(OR(LINEAS!$D$101="",LINEAS!$U$101=0,ABS(IF(OR(LINEAS!$U$101=1,LINEAS!$U$101=3),1,-1)*LINEAS!$AB$101*DATOS!$C$67)&lt;0.00005),"*",LINEAS!$D$101&amp;" UNI "&amp;IF(LINEAS!$U$101&lt;=2,"GZ","GX")&amp;" "&amp;TEXT(IF(OR(LINEAS!$U$101=1,LINEAS!$U$101=3),1,-1)*LINEAS!$AB$101*DATOS!$C$67,DATOS!$C$68)))</f>
        <v/>
      </c>
      <c r="E127" s="42" t="str">
        <f t="shared" si="3"/>
        <v/>
      </c>
    </row>
    <row r="128" spans="2:5" ht="15" customHeight="1" x14ac:dyDescent="0.3">
      <c r="B128" s="44" t="str">
        <f>IF(OR(LINEAS!$D$102="",LINEAS!$U$102=0,ABS(IF(OR(LINEAS!$U$102=1,LINEAS!$U$102=3),1,-1)*LINEAS!$AB$102*DATOS!$C$67)&lt;0.00005),"*",LINEAS!$D$102&amp;" UNI "&amp;IF(LINEAS!$U$102&lt;=2,"GZ","GX")&amp;" "&amp;TEXT(IF(OR(LINEAS!$U$102=1,LINEAS!$U$102=3),1,-1)*LINEAS!$AB$102*DATOS!$C$67,DATOS!$C$68))</f>
        <v>43 UNI GX 0.1190</v>
      </c>
      <c r="C128" s="42" t="str">
        <f t="shared" si="2"/>
        <v/>
      </c>
      <c r="D128" s="44" t="str">
        <f>IF(PRESIONES!$C$22="NO","",IF(OR(LINEAS!$D$102="",LINEAS!$U$102=0,ABS(IF(OR(LINEAS!$U$102=1,LINEAS!$U$102=3),1,-1)*LINEAS!$AB$102*DATOS!$C$67)&lt;0.00005),"*",LINEAS!$D$102&amp;" UNI "&amp;IF(LINEAS!$U$102&lt;=2,"GZ","GX")&amp;" "&amp;TEXT(IF(OR(LINEAS!$U$102=1,LINEAS!$U$102=3),1,-1)*LINEAS!$AB$102*DATOS!$C$67,DATOS!$C$68)))</f>
        <v/>
      </c>
      <c r="E128" s="42" t="str">
        <f t="shared" si="3"/>
        <v/>
      </c>
    </row>
    <row r="129" spans="2:5" ht="15" customHeight="1" x14ac:dyDescent="0.3">
      <c r="B129" s="44" t="str">
        <f>IF(OR(LINEAS!$D$103="",LINEAS!$U$103=0,ABS(IF(OR(LINEAS!$U$103=1,LINEAS!$U$103=3),1,-1)*LINEAS!$AB$103*DATOS!$C$67)&lt;0.00005),"*",LINEAS!$D$103&amp;" UNI "&amp;IF(LINEAS!$U$103&lt;=2,"GZ","GX")&amp;" "&amp;TEXT(IF(OR(LINEAS!$U$103=1,LINEAS!$U$103=3),1,-1)*LINEAS!$AB$103*DATOS!$C$67,DATOS!$C$68))</f>
        <v>47 UNI GX 0.0985</v>
      </c>
      <c r="C129" s="42" t="str">
        <f t="shared" si="2"/>
        <v/>
      </c>
      <c r="D129" s="44" t="str">
        <f>IF(PRESIONES!$C$22="NO","",IF(OR(LINEAS!$D$103="",LINEAS!$U$103=0,ABS(IF(OR(LINEAS!$U$103=1,LINEAS!$U$103=3),1,-1)*LINEAS!$AB$103*DATOS!$C$67)&lt;0.00005),"*",LINEAS!$D$103&amp;" UNI "&amp;IF(LINEAS!$U$103&lt;=2,"GZ","GX")&amp;" "&amp;TEXT(IF(OR(LINEAS!$U$103=1,LINEAS!$U$103=3),1,-1)*LINEAS!$AB$103*DATOS!$C$67,DATOS!$C$68)))</f>
        <v/>
      </c>
      <c r="E129" s="42" t="str">
        <f t="shared" si="3"/>
        <v/>
      </c>
    </row>
    <row r="130" spans="2:5" ht="15" customHeight="1" x14ac:dyDescent="0.3">
      <c r="B130" s="44" t="str">
        <f>IF(OR(LINEAS!$D$104="",LINEAS!$U$104=0,ABS(IF(OR(LINEAS!$U$104=1,LINEAS!$U$104=3),1,-1)*LINEAS!$AB$104*DATOS!$C$67)&lt;0.00005),"*",LINEAS!$D$104&amp;" UNI "&amp;IF(LINEAS!$U$104&lt;=2,"GZ","GX")&amp;" "&amp;TEXT(IF(OR(LINEAS!$U$104=1,LINEAS!$U$104=3),1,-1)*LINEAS!$AB$104*DATOS!$C$67,DATOS!$C$68))</f>
        <v>54 UNI GX 0.0789</v>
      </c>
      <c r="C130" s="42" t="str">
        <f t="shared" si="2"/>
        <v/>
      </c>
      <c r="D130" s="44" t="str">
        <f>IF(PRESIONES!$C$22="NO","",IF(OR(LINEAS!$D$104="",LINEAS!$U$104=0,ABS(IF(OR(LINEAS!$U$104=1,LINEAS!$U$104=3),1,-1)*LINEAS!$AB$104*DATOS!$C$67)&lt;0.00005),"*",LINEAS!$D$104&amp;" UNI "&amp;IF(LINEAS!$U$104&lt;=2,"GZ","GX")&amp;" "&amp;TEXT(IF(OR(LINEAS!$U$104=1,LINEAS!$U$104=3),1,-1)*LINEAS!$AB$104*DATOS!$C$67,DATOS!$C$68)))</f>
        <v/>
      </c>
      <c r="E130" s="42" t="str">
        <f t="shared" si="3"/>
        <v/>
      </c>
    </row>
    <row r="131" spans="2:5" ht="15" customHeight="1" x14ac:dyDescent="0.3">
      <c r="B131" s="44" t="str">
        <f>IF(OR(LINEAS!$D$105="",LINEAS!$U$105=0,ABS(IF(OR(LINEAS!$U$105=1,LINEAS!$U$105=3),1,-1)*LINEAS!$AB$105*DATOS!$C$67)&lt;0.00005),"*",LINEAS!$D$105&amp;" UNI "&amp;IF(LINEAS!$U$105&lt;=2,"GZ","GX")&amp;" "&amp;TEXT(IF(OR(LINEAS!$U$105=1,LINEAS!$U$105=3),1,-1)*LINEAS!$AB$105*DATOS!$C$67,DATOS!$C$68))</f>
        <v>64 UNI GX -0.0021</v>
      </c>
      <c r="C131" s="42" t="str">
        <f t="shared" si="2"/>
        <v/>
      </c>
      <c r="D131" s="44" t="str">
        <f>IF(PRESIONES!$C$22="NO","",IF(OR(LINEAS!$D$105="",LINEAS!$U$105=0,ABS(IF(OR(LINEAS!$U$105=1,LINEAS!$U$105=3),1,-1)*LINEAS!$AB$105*DATOS!$C$67)&lt;0.00005),"*",LINEAS!$D$105&amp;" UNI "&amp;IF(LINEAS!$U$105&lt;=2,"GZ","GX")&amp;" "&amp;TEXT(IF(OR(LINEAS!$U$105=1,LINEAS!$U$105=3),1,-1)*LINEAS!$AB$105*DATOS!$C$67,DATOS!$C$68)))</f>
        <v/>
      </c>
      <c r="E131" s="42" t="str">
        <f t="shared" si="3"/>
        <v/>
      </c>
    </row>
    <row r="132" spans="2:5" ht="15" customHeight="1" x14ac:dyDescent="0.3">
      <c r="B132" s="44" t="str">
        <f>IF(OR(LINEAS!$D$106="",LINEAS!$U$106=0,ABS(IF(OR(LINEAS!$U$106=1,LINEAS!$U$106=3),1,-1)*LINEAS!$AB$106*DATOS!$C$67)&lt;0.00005),"*",LINEAS!$D$106&amp;" UNI "&amp;IF(LINEAS!$U$106&lt;=2,"GZ","GX")&amp;" "&amp;TEXT(IF(OR(LINEAS!$U$106=1,LINEAS!$U$106=3),1,-1)*LINEAS!$AB$106*DATOS!$C$67,DATOS!$C$68))</f>
        <v>63 UNI GX -0.0019</v>
      </c>
      <c r="C132" s="42" t="str">
        <f t="shared" si="2"/>
        <v/>
      </c>
      <c r="D132" s="44" t="str">
        <f>IF(PRESIONES!$C$22="NO","",IF(OR(LINEAS!$D$106="",LINEAS!$U$106=0,ABS(IF(OR(LINEAS!$U$106=1,LINEAS!$U$106=3),1,-1)*LINEAS!$AB$106*DATOS!$C$67)&lt;0.00005),"*",LINEAS!$D$106&amp;" UNI "&amp;IF(LINEAS!$U$106&lt;=2,"GZ","GX")&amp;" "&amp;TEXT(IF(OR(LINEAS!$U$106=1,LINEAS!$U$106=3),1,-1)*LINEAS!$AB$106*DATOS!$C$67,DATOS!$C$68)))</f>
        <v/>
      </c>
      <c r="E132" s="42" t="str">
        <f t="shared" si="3"/>
        <v/>
      </c>
    </row>
    <row r="133" spans="2:5" ht="15" customHeight="1" x14ac:dyDescent="0.3">
      <c r="B133" s="44" t="str">
        <f>IF(OR(LINEAS!$D$107="",LINEAS!$U$107=0,ABS(IF(OR(LINEAS!$U$107=1,LINEAS!$U$107=3),1,-1)*LINEAS!$AB$107*DATOS!$C$67)&lt;0.00005),"*",LINEAS!$D$107&amp;" UNI "&amp;IF(LINEAS!$U$107&lt;=2,"GZ","GX")&amp;" "&amp;TEXT(IF(OR(LINEAS!$U$107=1,LINEAS!$U$107=3),1,-1)*LINEAS!$AB$107*DATOS!$C$67,DATOS!$C$68))</f>
        <v>62 UNI GX -0.0018</v>
      </c>
      <c r="C133" s="42" t="str">
        <f t="shared" si="2"/>
        <v/>
      </c>
      <c r="D133" s="44" t="str">
        <f>IF(PRESIONES!$C$22="NO","",IF(OR(LINEAS!$D$107="",LINEAS!$U$107=0,ABS(IF(OR(LINEAS!$U$107=1,LINEAS!$U$107=3),1,-1)*LINEAS!$AB$107*DATOS!$C$67)&lt;0.00005),"*",LINEAS!$D$107&amp;" UNI "&amp;IF(LINEAS!$U$107&lt;=2,"GZ","GX")&amp;" "&amp;TEXT(IF(OR(LINEAS!$U$107=1,LINEAS!$U$107=3),1,-1)*LINEAS!$AB$107*DATOS!$C$67,DATOS!$C$68)))</f>
        <v/>
      </c>
      <c r="E133" s="42" t="str">
        <f t="shared" si="3"/>
        <v/>
      </c>
    </row>
    <row r="134" spans="2:5" ht="15" customHeight="1" x14ac:dyDescent="0.3">
      <c r="B134" s="44" t="str">
        <f>IF(OR(LINEAS!$D$108="",LINEAS!$U$108=0,ABS(IF(OR(LINEAS!$U$108=1,LINEAS!$U$108=3),1,-1)*LINEAS!$AB$108*DATOS!$C$67)&lt;0.00005),"*",LINEAS!$D$108&amp;" UNI "&amp;IF(LINEAS!$U$108&lt;=2,"GZ","GX")&amp;" "&amp;TEXT(IF(OR(LINEAS!$U$108=1,LINEAS!$U$108=3),1,-1)*LINEAS!$AB$108*DATOS!$C$67,DATOS!$C$68))</f>
        <v>61 UNI GX -0.0016</v>
      </c>
      <c r="C134" s="42" t="str">
        <f t="shared" si="2"/>
        <v/>
      </c>
      <c r="D134" s="44" t="str">
        <f>IF(PRESIONES!$C$22="NO","",IF(OR(LINEAS!$D$108="",LINEAS!$U$108=0,ABS(IF(OR(LINEAS!$U$108=1,LINEAS!$U$108=3),1,-1)*LINEAS!$AB$108*DATOS!$C$67)&lt;0.00005),"*",LINEAS!$D$108&amp;" UNI "&amp;IF(LINEAS!$U$108&lt;=2,"GZ","GX")&amp;" "&amp;TEXT(IF(OR(LINEAS!$U$108=1,LINEAS!$U$108=3),1,-1)*LINEAS!$AB$108*DATOS!$C$67,DATOS!$C$68)))</f>
        <v/>
      </c>
      <c r="E134" s="42" t="str">
        <f t="shared" si="3"/>
        <v/>
      </c>
    </row>
    <row r="135" spans="2:5" ht="15" customHeight="1" x14ac:dyDescent="0.3">
      <c r="B135" s="44" t="str">
        <f>IF(OR(LINEAS!$D$109="",LINEAS!$U$109=0,ABS(IF(OR(LINEAS!$U$109=1,LINEAS!$U$109=3),1,-1)*LINEAS!$AB$109*DATOS!$C$67)&lt;0.00005),"*",LINEAS!$D$109&amp;" UNI "&amp;IF(LINEAS!$U$109&lt;=2,"GZ","GX")&amp;" "&amp;TEXT(IF(OR(LINEAS!$U$109=1,LINEAS!$U$109=3),1,-1)*LINEAS!$AB$109*DATOS!$C$67,DATOS!$C$68))</f>
        <v>12 UNI GX -0.0015</v>
      </c>
      <c r="C135" s="42" t="str">
        <f t="shared" si="2"/>
        <v/>
      </c>
      <c r="D135" s="44" t="str">
        <f>IF(PRESIONES!$C$22="NO","",IF(OR(LINEAS!$D$109="",LINEAS!$U$109=0,ABS(IF(OR(LINEAS!$U$109=1,LINEAS!$U$109=3),1,-1)*LINEAS!$AB$109*DATOS!$C$67)&lt;0.00005),"*",LINEAS!$D$109&amp;" UNI "&amp;IF(LINEAS!$U$109&lt;=2,"GZ","GX")&amp;" "&amp;TEXT(IF(OR(LINEAS!$U$109=1,LINEAS!$U$109=3),1,-1)*LINEAS!$AB$109*DATOS!$C$67,DATOS!$C$68)))</f>
        <v/>
      </c>
      <c r="E135" s="42" t="str">
        <f t="shared" si="3"/>
        <v/>
      </c>
    </row>
    <row r="136" spans="2:5" ht="15" customHeight="1" x14ac:dyDescent="0.3">
      <c r="B136" s="44" t="str">
        <f>IF(OR(LINEAS!$D$110="",LINEAS!$U$110=0,ABS(IF(OR(LINEAS!$U$110=1,LINEAS!$U$110=3),1,-1)*LINEAS!$AB$110*DATOS!$C$67)&lt;0.00005),"*",LINEAS!$D$110&amp;" UNI "&amp;IF(LINEAS!$U$110&lt;=2,"GZ","GX")&amp;" "&amp;TEXT(IF(OR(LINEAS!$U$110=1,LINEAS!$U$110=3),1,-1)*LINEAS!$AB$110*DATOS!$C$67,DATOS!$C$68))</f>
        <v>72 UNI GX -0.0013</v>
      </c>
      <c r="C136" s="42" t="str">
        <f t="shared" si="2"/>
        <v/>
      </c>
      <c r="D136" s="44" t="str">
        <f>IF(PRESIONES!$C$22="NO","",IF(OR(LINEAS!$D$110="",LINEAS!$U$110=0,ABS(IF(OR(LINEAS!$U$110=1,LINEAS!$U$110=3),1,-1)*LINEAS!$AB$110*DATOS!$C$67)&lt;0.00005),"*",LINEAS!$D$110&amp;" UNI "&amp;IF(LINEAS!$U$110&lt;=2,"GZ","GX")&amp;" "&amp;TEXT(IF(OR(LINEAS!$U$110=1,LINEAS!$U$110=3),1,-1)*LINEAS!$AB$110*DATOS!$C$67,DATOS!$C$68)))</f>
        <v/>
      </c>
      <c r="E136" s="42" t="str">
        <f t="shared" si="3"/>
        <v/>
      </c>
    </row>
    <row r="137" spans="2:5" ht="15" customHeight="1" x14ac:dyDescent="0.3">
      <c r="B137" s="44" t="str">
        <f>IF(OR(LINEAS!$D$111="",LINEAS!$U$111=0,ABS(IF(OR(LINEAS!$U$111=1,LINEAS!$U$111=3),1,-1)*LINEAS!$AB$111*DATOS!$C$67)&lt;0.00005),"*",LINEAS!$D$111&amp;" UNI "&amp;IF(LINEAS!$U$111&lt;=2,"GZ","GX")&amp;" "&amp;TEXT(IF(OR(LINEAS!$U$111=1,LINEAS!$U$111=3),1,-1)*LINEAS!$AB$111*DATOS!$C$67,DATOS!$C$68))</f>
        <v>71 UNI GX -0.0012</v>
      </c>
      <c r="C137" s="42" t="str">
        <f t="shared" ref="C137:C200" si="4">IF(LEN($B137)&gt;79,"MÁS DE 79 CARACTERES","")</f>
        <v/>
      </c>
      <c r="D137" s="44" t="str">
        <f>IF(PRESIONES!$C$22="NO","",IF(OR(LINEAS!$D$111="",LINEAS!$U$111=0,ABS(IF(OR(LINEAS!$U$111=1,LINEAS!$U$111=3),1,-1)*LINEAS!$AB$111*DATOS!$C$67)&lt;0.00005),"*",LINEAS!$D$111&amp;" UNI "&amp;IF(LINEAS!$U$111&lt;=2,"GZ","GX")&amp;" "&amp;TEXT(IF(OR(LINEAS!$U$111=1,LINEAS!$U$111=3),1,-1)*LINEAS!$AB$111*DATOS!$C$67,DATOS!$C$68)))</f>
        <v/>
      </c>
      <c r="E137" s="42" t="str">
        <f t="shared" ref="E137:E200" si="5">IF(LEN($D137)&gt;79,"MÁS DE 79 CARACTERES","")</f>
        <v/>
      </c>
    </row>
    <row r="138" spans="2:5" ht="15" customHeight="1" x14ac:dyDescent="0.3">
      <c r="B138" s="44" t="str">
        <f>IF(OR(LINEAS!$D$112="",LINEAS!$U$112=0,ABS(IF(OR(LINEAS!$U$112=1,LINEAS!$U$112=3),1,-1)*LINEAS!$AB$112*DATOS!$C$67)&lt;0.00005),"*",LINEAS!$D$112&amp;" UNI "&amp;IF(LINEAS!$U$112&lt;=2,"GZ","GX")&amp;" "&amp;TEXT(IF(OR(LINEAS!$U$112=1,LINEAS!$U$112=3),1,-1)*LINEAS!$AB$112*DATOS!$C$67,DATOS!$C$68))</f>
        <v>70 UNI GX -0.0011</v>
      </c>
      <c r="C138" s="42" t="str">
        <f t="shared" si="4"/>
        <v/>
      </c>
      <c r="D138" s="44" t="str">
        <f>IF(PRESIONES!$C$22="NO","",IF(OR(LINEAS!$D$112="",LINEAS!$U$112=0,ABS(IF(OR(LINEAS!$U$112=1,LINEAS!$U$112=3),1,-1)*LINEAS!$AB$112*DATOS!$C$67)&lt;0.00005),"*",LINEAS!$D$112&amp;" UNI "&amp;IF(LINEAS!$U$112&lt;=2,"GZ","GX")&amp;" "&amp;TEXT(IF(OR(LINEAS!$U$112=1,LINEAS!$U$112=3),1,-1)*LINEAS!$AB$112*DATOS!$C$67,DATOS!$C$68)))</f>
        <v/>
      </c>
      <c r="E138" s="42" t="str">
        <f t="shared" si="5"/>
        <v/>
      </c>
    </row>
    <row r="139" spans="2:5" ht="15" customHeight="1" x14ac:dyDescent="0.3">
      <c r="B139" s="44" t="str">
        <f>IF(OR(LINEAS!$D$113="",LINEAS!$U$113=0,ABS(IF(OR(LINEAS!$U$113=1,LINEAS!$U$113=3),1,-1)*LINEAS!$AB$113*DATOS!$C$67)&lt;0.00005),"*",LINEAS!$D$113&amp;" UNI "&amp;IF(LINEAS!$U$113&lt;=2,"GZ","GX")&amp;" "&amp;TEXT(IF(OR(LINEAS!$U$113=1,LINEAS!$U$113=3),1,-1)*LINEAS!$AB$113*DATOS!$C$67,DATOS!$C$68))</f>
        <v>69 UNI GX -0.0009</v>
      </c>
      <c r="C139" s="42" t="str">
        <f t="shared" si="4"/>
        <v/>
      </c>
      <c r="D139" s="44" t="str">
        <f>IF(PRESIONES!$C$22="NO","",IF(OR(LINEAS!$D$113="",LINEAS!$U$113=0,ABS(IF(OR(LINEAS!$U$113=1,LINEAS!$U$113=3),1,-1)*LINEAS!$AB$113*DATOS!$C$67)&lt;0.00005),"*",LINEAS!$D$113&amp;" UNI "&amp;IF(LINEAS!$U$113&lt;=2,"GZ","GX")&amp;" "&amp;TEXT(IF(OR(LINEAS!$U$113=1,LINEAS!$U$113=3),1,-1)*LINEAS!$AB$113*DATOS!$C$67,DATOS!$C$68)))</f>
        <v/>
      </c>
      <c r="E139" s="42" t="str">
        <f t="shared" si="5"/>
        <v/>
      </c>
    </row>
    <row r="140" spans="2:5" ht="15" customHeight="1" x14ac:dyDescent="0.3">
      <c r="B140" s="44" t="str">
        <f>IF(OR(LINEAS!$D$114="",LINEAS!$U$114=0,ABS(IF(OR(LINEAS!$U$114=1,LINEAS!$U$114=3),1,-1)*LINEAS!$AB$114*DATOS!$C$67)&lt;0.00005),"*",LINEAS!$D$114&amp;" UNI "&amp;IF(LINEAS!$U$114&lt;=2,"GZ","GX")&amp;" "&amp;TEXT(IF(OR(LINEAS!$U$114=1,LINEAS!$U$114=3),1,-1)*LINEAS!$AB$114*DATOS!$C$67,DATOS!$C$68))</f>
        <v>50 UNI GX -0.0008</v>
      </c>
      <c r="C140" s="42" t="str">
        <f t="shared" si="4"/>
        <v/>
      </c>
      <c r="D140" s="44" t="str">
        <f>IF(PRESIONES!$C$22="NO","",IF(OR(LINEAS!$D$114="",LINEAS!$U$114=0,ABS(IF(OR(LINEAS!$U$114=1,LINEAS!$U$114=3),1,-1)*LINEAS!$AB$114*DATOS!$C$67)&lt;0.00005),"*",LINEAS!$D$114&amp;" UNI "&amp;IF(LINEAS!$U$114&lt;=2,"GZ","GX")&amp;" "&amp;TEXT(IF(OR(LINEAS!$U$114=1,LINEAS!$U$114=3),1,-1)*LINEAS!$AB$114*DATOS!$C$67,DATOS!$C$68)))</f>
        <v/>
      </c>
      <c r="E140" s="42" t="str">
        <f t="shared" si="5"/>
        <v/>
      </c>
    </row>
    <row r="141" spans="2:5" ht="15" customHeight="1" x14ac:dyDescent="0.3">
      <c r="B141" s="44" t="str">
        <f>IF(OR(LINEAS!$D$115="",LINEAS!$U$115=0,ABS(IF(OR(LINEAS!$U$115=1,LINEAS!$U$115=3),1,-1)*LINEAS!$AB$115*DATOS!$C$67)&lt;0.00005),"*",LINEAS!$D$115&amp;" UNI "&amp;IF(LINEAS!$U$115&lt;=2,"GZ","GX")&amp;" "&amp;TEXT(IF(OR(LINEAS!$U$115=1,LINEAS!$U$115=3),1,-1)*LINEAS!$AB$115*DATOS!$C$67,DATOS!$C$68))</f>
        <v>53 UNI GX -0.0007</v>
      </c>
      <c r="C141" s="42" t="str">
        <f t="shared" si="4"/>
        <v/>
      </c>
      <c r="D141" s="44" t="str">
        <f>IF(PRESIONES!$C$22="NO","",IF(OR(LINEAS!$D$115="",LINEAS!$U$115=0,ABS(IF(OR(LINEAS!$U$115=1,LINEAS!$U$115=3),1,-1)*LINEAS!$AB$115*DATOS!$C$67)&lt;0.00005),"*",LINEAS!$D$115&amp;" UNI "&amp;IF(LINEAS!$U$115&lt;=2,"GZ","GX")&amp;" "&amp;TEXT(IF(OR(LINEAS!$U$115=1,LINEAS!$U$115=3),1,-1)*LINEAS!$AB$115*DATOS!$C$67,DATOS!$C$68)))</f>
        <v/>
      </c>
      <c r="E141" s="42" t="str">
        <f t="shared" si="5"/>
        <v/>
      </c>
    </row>
    <row r="142" spans="2:5" ht="15" customHeight="1" x14ac:dyDescent="0.3">
      <c r="B142" s="44" t="str">
        <f>IF(OR(LINEAS!$D$116="",LINEAS!$U$116=0,ABS(IF(OR(LINEAS!$U$116=1,LINEAS!$U$116=3),1,-1)*LINEAS!$AB$116*DATOS!$C$67)&lt;0.00005),"*",LINEAS!$D$116&amp;" UNI "&amp;IF(LINEAS!$U$116&lt;=2,"GZ","GX")&amp;" "&amp;TEXT(IF(OR(LINEAS!$U$116=1,LINEAS!$U$116=3),1,-1)*LINEAS!$AB$116*DATOS!$C$67,DATOS!$C$68))</f>
        <v>55 UNI GX -0.0005</v>
      </c>
      <c r="C142" s="42" t="str">
        <f t="shared" si="4"/>
        <v/>
      </c>
      <c r="D142" s="44" t="str">
        <f>IF(PRESIONES!$C$22="NO","",IF(OR(LINEAS!$D$116="",LINEAS!$U$116=0,ABS(IF(OR(LINEAS!$U$116=1,LINEAS!$U$116=3),1,-1)*LINEAS!$AB$116*DATOS!$C$67)&lt;0.00005),"*",LINEAS!$D$116&amp;" UNI "&amp;IF(LINEAS!$U$116&lt;=2,"GZ","GX")&amp;" "&amp;TEXT(IF(OR(LINEAS!$U$116=1,LINEAS!$U$116=3),1,-1)*LINEAS!$AB$116*DATOS!$C$67,DATOS!$C$68)))</f>
        <v/>
      </c>
      <c r="E142" s="42" t="str">
        <f t="shared" si="5"/>
        <v/>
      </c>
    </row>
    <row r="143" spans="2:5" ht="15" customHeight="1" x14ac:dyDescent="0.3">
      <c r="B143" s="44" t="str">
        <f>IF(OR(LINEAS!$D$117="",LINEAS!$U$117=0,ABS(IF(OR(LINEAS!$U$117=1,LINEAS!$U$117=3),1,-1)*LINEAS!$AB$117*DATOS!$C$67)&lt;0.00005),"*",LINEAS!$D$117&amp;" UNI "&amp;IF(LINEAS!$U$117&lt;=2,"GZ","GX")&amp;" "&amp;TEXT(IF(OR(LINEAS!$U$117=1,LINEAS!$U$117=3),1,-1)*LINEAS!$AB$117*DATOS!$C$67,DATOS!$C$68))</f>
        <v>262 UNI GZ -0.1102</v>
      </c>
      <c r="C143" s="42" t="str">
        <f t="shared" si="4"/>
        <v/>
      </c>
      <c r="D143" s="44" t="str">
        <f>IF(PRESIONES!$C$22="NO","",IF(OR(LINEAS!$D$117="",LINEAS!$U$117=0,ABS(IF(OR(LINEAS!$U$117=1,LINEAS!$U$117=3),1,-1)*LINEAS!$AB$117*DATOS!$C$67)&lt;0.00005),"*",LINEAS!$D$117&amp;" UNI "&amp;IF(LINEAS!$U$117&lt;=2,"GZ","GX")&amp;" "&amp;TEXT(IF(OR(LINEAS!$U$117=1,LINEAS!$U$117=3),1,-1)*LINEAS!$AB$117*DATOS!$C$67,DATOS!$C$68)))</f>
        <v/>
      </c>
      <c r="E143" s="42" t="str">
        <f t="shared" si="5"/>
        <v/>
      </c>
    </row>
    <row r="144" spans="2:5" ht="15" customHeight="1" x14ac:dyDescent="0.3">
      <c r="B144" s="44" t="str">
        <f>IF(OR(LINEAS!$D$118="",LINEAS!$U$118=0,ABS(IF(OR(LINEAS!$U$118=1,LINEAS!$U$118=3),1,-1)*LINEAS!$AB$118*DATOS!$C$67)&lt;0.00005),"*",LINEAS!$D$118&amp;" UNI "&amp;IF(LINEAS!$U$118&lt;=2,"GZ","GX")&amp;" "&amp;TEXT(IF(OR(LINEAS!$U$118=1,LINEAS!$U$118=3),1,-1)*LINEAS!$AB$118*DATOS!$C$67,DATOS!$C$68))</f>
        <v>263 UNI GZ -0.1102</v>
      </c>
      <c r="C144" s="42" t="str">
        <f t="shared" si="4"/>
        <v/>
      </c>
      <c r="D144" s="44" t="str">
        <f>IF(PRESIONES!$C$22="NO","",IF(OR(LINEAS!$D$118="",LINEAS!$U$118=0,ABS(IF(OR(LINEAS!$U$118=1,LINEAS!$U$118=3),1,-1)*LINEAS!$AB$118*DATOS!$C$67)&lt;0.00005),"*",LINEAS!$D$118&amp;" UNI "&amp;IF(LINEAS!$U$118&lt;=2,"GZ","GX")&amp;" "&amp;TEXT(IF(OR(LINEAS!$U$118=1,LINEAS!$U$118=3),1,-1)*LINEAS!$AB$118*DATOS!$C$67,DATOS!$C$68)))</f>
        <v/>
      </c>
      <c r="E144" s="42" t="str">
        <f t="shared" si="5"/>
        <v/>
      </c>
    </row>
    <row r="145" spans="2:5" ht="15" customHeight="1" x14ac:dyDescent="0.3">
      <c r="B145" s="44" t="str">
        <f>IF(OR(LINEAS!$D$119="",LINEAS!$U$119=0,ABS(IF(OR(LINEAS!$U$119=1,LINEAS!$U$119=3),1,-1)*LINEAS!$AB$119*DATOS!$C$67)&lt;0.00005),"*",LINEAS!$D$119&amp;" UNI "&amp;IF(LINEAS!$U$119&lt;=2,"GZ","GX")&amp;" "&amp;TEXT(IF(OR(LINEAS!$U$119=1,LINEAS!$U$119=3),1,-1)*LINEAS!$AB$119*DATOS!$C$67,DATOS!$C$68))</f>
        <v>264 UNI GZ -0.1102</v>
      </c>
      <c r="C145" s="42" t="str">
        <f t="shared" si="4"/>
        <v/>
      </c>
      <c r="D145" s="44" t="str">
        <f>IF(PRESIONES!$C$22="NO","",IF(OR(LINEAS!$D$119="",LINEAS!$U$119=0,ABS(IF(OR(LINEAS!$U$119=1,LINEAS!$U$119=3),1,-1)*LINEAS!$AB$119*DATOS!$C$67)&lt;0.00005),"*",LINEAS!$D$119&amp;" UNI "&amp;IF(LINEAS!$U$119&lt;=2,"GZ","GX")&amp;" "&amp;TEXT(IF(OR(LINEAS!$U$119=1,LINEAS!$U$119=3),1,-1)*LINEAS!$AB$119*DATOS!$C$67,DATOS!$C$68)))</f>
        <v/>
      </c>
      <c r="E145" s="42" t="str">
        <f t="shared" si="5"/>
        <v/>
      </c>
    </row>
    <row r="146" spans="2:5" ht="15" customHeight="1" x14ac:dyDescent="0.3">
      <c r="B146" s="44" t="str">
        <f>IF(OR(LINEAS!$D$120="",LINEAS!$U$120=0,ABS(IF(OR(LINEAS!$U$120=1,LINEAS!$U$120=3),1,-1)*LINEAS!$AB$120*DATOS!$C$67)&lt;0.00005),"*",LINEAS!$D$120&amp;" UNI "&amp;IF(LINEAS!$U$120&lt;=2,"GZ","GX")&amp;" "&amp;TEXT(IF(OR(LINEAS!$U$120=1,LINEAS!$U$120=3),1,-1)*LINEAS!$AB$120*DATOS!$C$67,DATOS!$C$68))</f>
        <v>271 UNI GZ -0.1102</v>
      </c>
      <c r="C146" s="42" t="str">
        <f t="shared" si="4"/>
        <v/>
      </c>
      <c r="D146" s="44" t="str">
        <f>IF(PRESIONES!$C$22="NO","",IF(OR(LINEAS!$D$120="",LINEAS!$U$120=0,ABS(IF(OR(LINEAS!$U$120=1,LINEAS!$U$120=3),1,-1)*LINEAS!$AB$120*DATOS!$C$67)&lt;0.00005),"*",LINEAS!$D$120&amp;" UNI "&amp;IF(LINEAS!$U$120&lt;=2,"GZ","GX")&amp;" "&amp;TEXT(IF(OR(LINEAS!$U$120=1,LINEAS!$U$120=3),1,-1)*LINEAS!$AB$120*DATOS!$C$67,DATOS!$C$68)))</f>
        <v/>
      </c>
      <c r="E146" s="42" t="str">
        <f t="shared" si="5"/>
        <v/>
      </c>
    </row>
    <row r="147" spans="2:5" ht="15" customHeight="1" x14ac:dyDescent="0.3">
      <c r="B147" s="44" t="str">
        <f>IF(OR(LINEAS!$D$121="",LINEAS!$U$121=0,ABS(IF(OR(LINEAS!$U$121=1,LINEAS!$U$121=3),1,-1)*LINEAS!$AB$121*DATOS!$C$67)&lt;0.00005),"*",LINEAS!$D$121&amp;" UNI "&amp;IF(LINEAS!$U$121&lt;=2,"GZ","GX")&amp;" "&amp;TEXT(IF(OR(LINEAS!$U$121=1,LINEAS!$U$121=3),1,-1)*LINEAS!$AB$121*DATOS!$C$67,DATOS!$C$68))</f>
        <v>286 UNI GZ -0.1653</v>
      </c>
      <c r="C147" s="42" t="str">
        <f t="shared" si="4"/>
        <v/>
      </c>
      <c r="D147" s="44" t="str">
        <f>IF(PRESIONES!$C$22="NO","",IF(OR(LINEAS!$D$121="",LINEAS!$U$121=0,ABS(IF(OR(LINEAS!$U$121=1,LINEAS!$U$121=3),1,-1)*LINEAS!$AB$121*DATOS!$C$67)&lt;0.00005),"*",LINEAS!$D$121&amp;" UNI "&amp;IF(LINEAS!$U$121&lt;=2,"GZ","GX")&amp;" "&amp;TEXT(IF(OR(LINEAS!$U$121=1,LINEAS!$U$121=3),1,-1)*LINEAS!$AB$121*DATOS!$C$67,DATOS!$C$68)))</f>
        <v/>
      </c>
      <c r="E147" s="42" t="str">
        <f t="shared" si="5"/>
        <v/>
      </c>
    </row>
    <row r="148" spans="2:5" ht="15" customHeight="1" x14ac:dyDescent="0.3">
      <c r="B148" s="44" t="str">
        <f>IF(OR(LINEAS!$D$122="",LINEAS!$U$122=0,ABS(IF(OR(LINEAS!$U$122=1,LINEAS!$U$122=3),1,-1)*LINEAS!$AB$122*DATOS!$C$67)&lt;0.00005),"*",LINEAS!$D$122&amp;" UNI "&amp;IF(LINEAS!$U$122&lt;=2,"GZ","GX")&amp;" "&amp;TEXT(IF(OR(LINEAS!$U$122=1,LINEAS!$U$122=3),1,-1)*LINEAS!$AB$122*DATOS!$C$67,DATOS!$C$68))</f>
        <v>272 UNI GZ -0.1102</v>
      </c>
      <c r="C148" s="42" t="str">
        <f t="shared" si="4"/>
        <v/>
      </c>
      <c r="D148" s="44" t="str">
        <f>IF(PRESIONES!$C$22="NO","",IF(OR(LINEAS!$D$122="",LINEAS!$U$122=0,ABS(IF(OR(LINEAS!$U$122=1,LINEAS!$U$122=3),1,-1)*LINEAS!$AB$122*DATOS!$C$67)&lt;0.00005),"*",LINEAS!$D$122&amp;" UNI "&amp;IF(LINEAS!$U$122&lt;=2,"GZ","GX")&amp;" "&amp;TEXT(IF(OR(LINEAS!$U$122=1,LINEAS!$U$122=3),1,-1)*LINEAS!$AB$122*DATOS!$C$67,DATOS!$C$68)))</f>
        <v/>
      </c>
      <c r="E148" s="42" t="str">
        <f t="shared" si="5"/>
        <v/>
      </c>
    </row>
    <row r="149" spans="2:5" ht="15" customHeight="1" x14ac:dyDescent="0.3">
      <c r="B149" s="44" t="str">
        <f>IF(OR(LINEAS!$D$123="",LINEAS!$U$123=0,ABS(IF(OR(LINEAS!$U$123=1,LINEAS!$U$123=3),1,-1)*LINEAS!$AB$123*DATOS!$C$67)&lt;0.00005),"*",LINEAS!$D$123&amp;" UNI "&amp;IF(LINEAS!$U$123&lt;=2,"GZ","GX")&amp;" "&amp;TEXT(IF(OR(LINEAS!$U$123=1,LINEAS!$U$123=3),1,-1)*LINEAS!$AB$123*DATOS!$C$67,DATOS!$C$68))</f>
        <v>273 UNI GZ -0.1102</v>
      </c>
      <c r="C149" s="42" t="str">
        <f t="shared" si="4"/>
        <v/>
      </c>
      <c r="D149" s="44" t="str">
        <f>IF(PRESIONES!$C$22="NO","",IF(OR(LINEAS!$D$123="",LINEAS!$U$123=0,ABS(IF(OR(LINEAS!$U$123=1,LINEAS!$U$123=3),1,-1)*LINEAS!$AB$123*DATOS!$C$67)&lt;0.00005),"*",LINEAS!$D$123&amp;" UNI "&amp;IF(LINEAS!$U$123&lt;=2,"GZ","GX")&amp;" "&amp;TEXT(IF(OR(LINEAS!$U$123=1,LINEAS!$U$123=3),1,-1)*LINEAS!$AB$123*DATOS!$C$67,DATOS!$C$68)))</f>
        <v/>
      </c>
      <c r="E149" s="42" t="str">
        <f t="shared" si="5"/>
        <v/>
      </c>
    </row>
    <row r="150" spans="2:5" ht="15" customHeight="1" x14ac:dyDescent="0.3">
      <c r="B150" s="44" t="str">
        <f>IF(OR(LINEAS!$D$124="",LINEAS!$U$124=0,ABS(IF(OR(LINEAS!$U$124=1,LINEAS!$U$124=3),1,-1)*LINEAS!$AB$124*DATOS!$C$67)&lt;0.00005),"*",LINEAS!$D$124&amp;" UNI "&amp;IF(LINEAS!$U$124&lt;=2,"GZ","GX")&amp;" "&amp;TEXT(IF(OR(LINEAS!$U$124=1,LINEAS!$U$124=3),1,-1)*LINEAS!$AB$124*DATOS!$C$67,DATOS!$C$68))</f>
        <v>280 UNI GZ -0.1102</v>
      </c>
      <c r="C150" s="42" t="str">
        <f t="shared" si="4"/>
        <v/>
      </c>
      <c r="D150" s="44" t="str">
        <f>IF(PRESIONES!$C$22="NO","",IF(OR(LINEAS!$D$124="",LINEAS!$U$124=0,ABS(IF(OR(LINEAS!$U$124=1,LINEAS!$U$124=3),1,-1)*LINEAS!$AB$124*DATOS!$C$67)&lt;0.00005),"*",LINEAS!$D$124&amp;" UNI "&amp;IF(LINEAS!$U$124&lt;=2,"GZ","GX")&amp;" "&amp;TEXT(IF(OR(LINEAS!$U$124=1,LINEAS!$U$124=3),1,-1)*LINEAS!$AB$124*DATOS!$C$67,DATOS!$C$68)))</f>
        <v/>
      </c>
      <c r="E150" s="42" t="str">
        <f t="shared" si="5"/>
        <v/>
      </c>
    </row>
    <row r="151" spans="2:5" ht="15" customHeight="1" x14ac:dyDescent="0.3">
      <c r="B151" s="44" t="str">
        <f>IF(OR(LINEAS!$D$125="",LINEAS!$U$125=0,ABS(IF(OR(LINEAS!$U$125=1,LINEAS!$U$125=3),1,-1)*LINEAS!$AB$125*DATOS!$C$67)&lt;0.00005),"*",LINEAS!$D$125&amp;" UNI "&amp;IF(LINEAS!$U$125&lt;=2,"GZ","GX")&amp;" "&amp;TEXT(IF(OR(LINEAS!$U$125=1,LINEAS!$U$125=3),1,-1)*LINEAS!$AB$125*DATOS!$C$67,DATOS!$C$68))</f>
        <v>282 UNI GZ -0.1102</v>
      </c>
      <c r="C151" s="42" t="str">
        <f t="shared" si="4"/>
        <v/>
      </c>
      <c r="D151" s="44" t="str">
        <f>IF(PRESIONES!$C$22="NO","",IF(OR(LINEAS!$D$125="",LINEAS!$U$125=0,ABS(IF(OR(LINEAS!$U$125=1,LINEAS!$U$125=3),1,-1)*LINEAS!$AB$125*DATOS!$C$67)&lt;0.00005),"*",LINEAS!$D$125&amp;" UNI "&amp;IF(LINEAS!$U$125&lt;=2,"GZ","GX")&amp;" "&amp;TEXT(IF(OR(LINEAS!$U$125=1,LINEAS!$U$125=3),1,-1)*LINEAS!$AB$125*DATOS!$C$67,DATOS!$C$68)))</f>
        <v/>
      </c>
      <c r="E151" s="42" t="str">
        <f t="shared" si="5"/>
        <v/>
      </c>
    </row>
    <row r="152" spans="2:5" ht="15" customHeight="1" x14ac:dyDescent="0.3">
      <c r="B152" s="44" t="str">
        <f>IF(OR(LINEAS!$D$126="",LINEAS!$U$126=0,ABS(IF(OR(LINEAS!$U$126=1,LINEAS!$U$126=3),1,-1)*LINEAS!$AB$126*DATOS!$C$67)&lt;0.00005),"*",LINEAS!$D$126&amp;" UNI "&amp;IF(LINEAS!$U$126&lt;=2,"GZ","GX")&amp;" "&amp;TEXT(IF(OR(LINEAS!$U$126=1,LINEAS!$U$126=3),1,-1)*LINEAS!$AB$126*DATOS!$C$67,DATOS!$C$68))</f>
        <v>290 UNI GZ -0.1102</v>
      </c>
      <c r="C152" s="42" t="str">
        <f t="shared" si="4"/>
        <v/>
      </c>
      <c r="D152" s="44" t="str">
        <f>IF(PRESIONES!$C$22="NO","",IF(OR(LINEAS!$D$126="",LINEAS!$U$126=0,ABS(IF(OR(LINEAS!$U$126=1,LINEAS!$U$126=3),1,-1)*LINEAS!$AB$126*DATOS!$C$67)&lt;0.00005),"*",LINEAS!$D$126&amp;" UNI "&amp;IF(LINEAS!$U$126&lt;=2,"GZ","GX")&amp;" "&amp;TEXT(IF(OR(LINEAS!$U$126=1,LINEAS!$U$126=3),1,-1)*LINEAS!$AB$126*DATOS!$C$67,DATOS!$C$68)))</f>
        <v/>
      </c>
      <c r="E152" s="42" t="str">
        <f t="shared" si="5"/>
        <v/>
      </c>
    </row>
    <row r="153" spans="2:5" ht="15" customHeight="1" x14ac:dyDescent="0.3">
      <c r="B153" s="44" t="str">
        <f>IF(OR(LINEAS!$D$127="",LINEAS!$U$127=0,ABS(IF(OR(LINEAS!$U$127=1,LINEAS!$U$127=3),1,-1)*LINEAS!$AB$127*DATOS!$C$67)&lt;0.00005),"*",LINEAS!$D$127&amp;" UNI "&amp;IF(LINEAS!$U$127&lt;=2,"GZ","GX")&amp;" "&amp;TEXT(IF(OR(LINEAS!$U$127=1,LINEAS!$U$127=3),1,-1)*LINEAS!$AB$127*DATOS!$C$67,DATOS!$C$68))</f>
        <v>291 UNI GZ -0.1102</v>
      </c>
      <c r="C153" s="42" t="str">
        <f t="shared" si="4"/>
        <v/>
      </c>
      <c r="D153" s="44" t="str">
        <f>IF(PRESIONES!$C$22="NO","",IF(OR(LINEAS!$D$127="",LINEAS!$U$127=0,ABS(IF(OR(LINEAS!$U$127=1,LINEAS!$U$127=3),1,-1)*LINEAS!$AB$127*DATOS!$C$67)&lt;0.00005),"*",LINEAS!$D$127&amp;" UNI "&amp;IF(LINEAS!$U$127&lt;=2,"GZ","GX")&amp;" "&amp;TEXT(IF(OR(LINEAS!$U$127=1,LINEAS!$U$127=3),1,-1)*LINEAS!$AB$127*DATOS!$C$67,DATOS!$C$68)))</f>
        <v/>
      </c>
      <c r="E153" s="42" t="str">
        <f t="shared" si="5"/>
        <v/>
      </c>
    </row>
    <row r="154" spans="2:5" ht="15" customHeight="1" x14ac:dyDescent="0.3">
      <c r="B154" s="44" t="str">
        <f>IF(OR(LINEAS!$D$128="",LINEAS!$U$128=0,ABS(IF(OR(LINEAS!$U$128=1,LINEAS!$U$128=3),1,-1)*LINEAS!$AB$128*DATOS!$C$67)&lt;0.00005),"*",LINEAS!$D$128&amp;" UNI "&amp;IF(LINEAS!$U$128&lt;=2,"GZ","GX")&amp;" "&amp;TEXT(IF(OR(LINEAS!$U$128=1,LINEAS!$U$128=3),1,-1)*LINEAS!$AB$128*DATOS!$C$67,DATOS!$C$68))</f>
        <v>298 UNI GZ -0.0703</v>
      </c>
      <c r="C154" s="42" t="str">
        <f t="shared" si="4"/>
        <v/>
      </c>
      <c r="D154" s="44" t="str">
        <f>IF(PRESIONES!$C$22="NO","",IF(OR(LINEAS!$D$128="",LINEAS!$U$128=0,ABS(IF(OR(LINEAS!$U$128=1,LINEAS!$U$128=3),1,-1)*LINEAS!$AB$128*DATOS!$C$67)&lt;0.00005),"*",LINEAS!$D$128&amp;" UNI "&amp;IF(LINEAS!$U$128&lt;=2,"GZ","GX")&amp;" "&amp;TEXT(IF(OR(LINEAS!$U$128=1,LINEAS!$U$128=3),1,-1)*LINEAS!$AB$128*DATOS!$C$67,DATOS!$C$68)))</f>
        <v/>
      </c>
      <c r="E154" s="42" t="str">
        <f t="shared" si="5"/>
        <v/>
      </c>
    </row>
    <row r="155" spans="2:5" ht="15" customHeight="1" x14ac:dyDescent="0.3">
      <c r="B155" s="44" t="str">
        <f>IF(OR(LINEAS!$D$129="",LINEAS!$U$129=0,ABS(IF(OR(LINEAS!$U$129=1,LINEAS!$U$129=3),1,-1)*LINEAS!$AB$129*DATOS!$C$67)&lt;0.00005),"*",LINEAS!$D$129&amp;" UNI "&amp;IF(LINEAS!$U$129&lt;=2,"GZ","GX")&amp;" "&amp;TEXT(IF(OR(LINEAS!$U$129=1,LINEAS!$U$129=3),1,-1)*LINEAS!$AB$129*DATOS!$C$67,DATOS!$C$68))</f>
        <v>299 UNI GZ -0.0703</v>
      </c>
      <c r="C155" s="42" t="str">
        <f t="shared" si="4"/>
        <v/>
      </c>
      <c r="D155" s="44" t="str">
        <f>IF(PRESIONES!$C$22="NO","",IF(OR(LINEAS!$D$129="",LINEAS!$U$129=0,ABS(IF(OR(LINEAS!$U$129=1,LINEAS!$U$129=3),1,-1)*LINEAS!$AB$129*DATOS!$C$67)&lt;0.00005),"*",LINEAS!$D$129&amp;" UNI "&amp;IF(LINEAS!$U$129&lt;=2,"GZ","GX")&amp;" "&amp;TEXT(IF(OR(LINEAS!$U$129=1,LINEAS!$U$129=3),1,-1)*LINEAS!$AB$129*DATOS!$C$67,DATOS!$C$68)))</f>
        <v/>
      </c>
      <c r="E155" s="42" t="str">
        <f t="shared" si="5"/>
        <v/>
      </c>
    </row>
    <row r="156" spans="2:5" ht="15" customHeight="1" x14ac:dyDescent="0.3">
      <c r="B156" s="44" t="str">
        <f>IF(OR(LINEAS!$D$130="",LINEAS!$U$130=0,ABS(IF(OR(LINEAS!$U$130=1,LINEAS!$U$130=3),1,-1)*LINEAS!$AB$130*DATOS!$C$67)&lt;0.00005),"*",LINEAS!$D$130&amp;" UNI "&amp;IF(LINEAS!$U$130&lt;=2,"GZ","GX")&amp;" "&amp;TEXT(IF(OR(LINEAS!$U$130=1,LINEAS!$U$130=3),1,-1)*LINEAS!$AB$130*DATOS!$C$67,DATOS!$C$68))</f>
        <v>326 UNI GZ -0.0551</v>
      </c>
      <c r="C156" s="42" t="str">
        <f t="shared" si="4"/>
        <v/>
      </c>
      <c r="D156" s="44" t="str">
        <f>IF(PRESIONES!$C$22="NO","",IF(OR(LINEAS!$D$130="",LINEAS!$U$130=0,ABS(IF(OR(LINEAS!$U$130=1,LINEAS!$U$130=3),1,-1)*LINEAS!$AB$130*DATOS!$C$67)&lt;0.00005),"*",LINEAS!$D$130&amp;" UNI "&amp;IF(LINEAS!$U$130&lt;=2,"GZ","GX")&amp;" "&amp;TEXT(IF(OR(LINEAS!$U$130=1,LINEAS!$U$130=3),1,-1)*LINEAS!$AB$130*DATOS!$C$67,DATOS!$C$68)))</f>
        <v/>
      </c>
      <c r="E156" s="42" t="str">
        <f t="shared" si="5"/>
        <v/>
      </c>
    </row>
    <row r="157" spans="2:5" ht="15" customHeight="1" x14ac:dyDescent="0.3">
      <c r="B157" s="44" t="str">
        <f>IF(OR(LINEAS!$D$131="",LINEAS!$U$131=0,ABS(IF(OR(LINEAS!$U$131=1,LINEAS!$U$131=3),1,-1)*LINEAS!$AB$131*DATOS!$C$67)&lt;0.00005),"*",LINEAS!$D$131&amp;" UNI "&amp;IF(LINEAS!$U$131&lt;=2,"GZ","GX")&amp;" "&amp;TEXT(IF(OR(LINEAS!$U$131=1,LINEAS!$U$131=3),1,-1)*LINEAS!$AB$131*DATOS!$C$67,DATOS!$C$68))</f>
        <v>25 UNI GZ -0.0400</v>
      </c>
      <c r="C157" s="42" t="str">
        <f t="shared" si="4"/>
        <v/>
      </c>
      <c r="D157" s="44" t="str">
        <f>IF(PRESIONES!$C$22="NO","",IF(OR(LINEAS!$D$131="",LINEAS!$U$131=0,ABS(IF(OR(LINEAS!$U$131=1,LINEAS!$U$131=3),1,-1)*LINEAS!$AB$131*DATOS!$C$67)&lt;0.00005),"*",LINEAS!$D$131&amp;" UNI "&amp;IF(LINEAS!$U$131&lt;=2,"GZ","GX")&amp;" "&amp;TEXT(IF(OR(LINEAS!$U$131=1,LINEAS!$U$131=3),1,-1)*LINEAS!$AB$131*DATOS!$C$67,DATOS!$C$68)))</f>
        <v/>
      </c>
      <c r="E157" s="42" t="str">
        <f t="shared" si="5"/>
        <v/>
      </c>
    </row>
    <row r="158" spans="2:5" ht="15" customHeight="1" x14ac:dyDescent="0.3">
      <c r="B158" s="44" t="str">
        <f>IF(OR(LINEAS!$D$132="",LINEAS!$U$132=0,ABS(IF(OR(LINEAS!$U$132=1,LINEAS!$U$132=3),1,-1)*LINEAS!$AB$132*DATOS!$C$67)&lt;0.00005),"*",LINEAS!$D$132&amp;" UNI "&amp;IF(LINEAS!$U$132&lt;=2,"GZ","GX")&amp;" "&amp;TEXT(IF(OR(LINEAS!$U$132=1,LINEAS!$U$132=3),1,-1)*LINEAS!$AB$132*DATOS!$C$67,DATOS!$C$68))</f>
        <v>327 UNI GZ -0.0551</v>
      </c>
      <c r="C158" s="42" t="str">
        <f t="shared" si="4"/>
        <v/>
      </c>
      <c r="D158" s="44" t="str">
        <f>IF(PRESIONES!$C$22="NO","",IF(OR(LINEAS!$D$132="",LINEAS!$U$132=0,ABS(IF(OR(LINEAS!$U$132=1,LINEAS!$U$132=3),1,-1)*LINEAS!$AB$132*DATOS!$C$67)&lt;0.00005),"*",LINEAS!$D$132&amp;" UNI "&amp;IF(LINEAS!$U$132&lt;=2,"GZ","GX")&amp;" "&amp;TEXT(IF(OR(LINEAS!$U$132=1,LINEAS!$U$132=3),1,-1)*LINEAS!$AB$132*DATOS!$C$67,DATOS!$C$68)))</f>
        <v/>
      </c>
      <c r="E158" s="42" t="str">
        <f t="shared" si="5"/>
        <v/>
      </c>
    </row>
    <row r="159" spans="2:5" ht="15" customHeight="1" x14ac:dyDescent="0.3">
      <c r="B159" s="44" t="str">
        <f>IF(OR(LINEAS!$D$133="",LINEAS!$U$133=0,ABS(IF(OR(LINEAS!$U$133=1,LINEAS!$U$133=3),1,-1)*LINEAS!$AB$133*DATOS!$C$67)&lt;0.00005),"*",LINEAS!$D$133&amp;" UNI "&amp;IF(LINEAS!$U$133&lt;=2,"GZ","GX")&amp;" "&amp;TEXT(IF(OR(LINEAS!$U$133=1,LINEAS!$U$133=3),1,-1)*LINEAS!$AB$133*DATOS!$C$67,DATOS!$C$68))</f>
        <v>306 UNI GZ -0.0951</v>
      </c>
      <c r="C159" s="42" t="str">
        <f t="shared" si="4"/>
        <v/>
      </c>
      <c r="D159" s="44" t="str">
        <f>IF(PRESIONES!$C$22="NO","",IF(OR(LINEAS!$D$133="",LINEAS!$U$133=0,ABS(IF(OR(LINEAS!$U$133=1,LINEAS!$U$133=3),1,-1)*LINEAS!$AB$133*DATOS!$C$67)&lt;0.00005),"*",LINEAS!$D$133&amp;" UNI "&amp;IF(LINEAS!$U$133&lt;=2,"GZ","GX")&amp;" "&amp;TEXT(IF(OR(LINEAS!$U$133=1,LINEAS!$U$133=3),1,-1)*LINEAS!$AB$133*DATOS!$C$67,DATOS!$C$68)))</f>
        <v/>
      </c>
      <c r="E159" s="42" t="str">
        <f t="shared" si="5"/>
        <v/>
      </c>
    </row>
    <row r="160" spans="2:5" ht="15" customHeight="1" x14ac:dyDescent="0.3">
      <c r="B160" s="44" t="str">
        <f>IF(OR(LINEAS!$D$134="",LINEAS!$U$134=0,ABS(IF(OR(LINEAS!$U$134=1,LINEAS!$U$134=3),1,-1)*LINEAS!$AB$134*DATOS!$C$67)&lt;0.00005),"*",LINEAS!$D$134&amp;" UNI "&amp;IF(LINEAS!$U$134&lt;=2,"GZ","GX")&amp;" "&amp;TEXT(IF(OR(LINEAS!$U$134=1,LINEAS!$U$134=3),1,-1)*LINEAS!$AB$134*DATOS!$C$67,DATOS!$C$68))</f>
        <v>322 UNI GZ -0.1102</v>
      </c>
      <c r="C160" s="42" t="str">
        <f t="shared" si="4"/>
        <v/>
      </c>
      <c r="D160" s="44" t="str">
        <f>IF(PRESIONES!$C$22="NO","",IF(OR(LINEAS!$D$134="",LINEAS!$U$134=0,ABS(IF(OR(LINEAS!$U$134=1,LINEAS!$U$134=3),1,-1)*LINEAS!$AB$134*DATOS!$C$67)&lt;0.00005),"*",LINEAS!$D$134&amp;" UNI "&amp;IF(LINEAS!$U$134&lt;=2,"GZ","GX")&amp;" "&amp;TEXT(IF(OR(LINEAS!$U$134=1,LINEAS!$U$134=3),1,-1)*LINEAS!$AB$134*DATOS!$C$67,DATOS!$C$68)))</f>
        <v/>
      </c>
      <c r="E160" s="42" t="str">
        <f t="shared" si="5"/>
        <v/>
      </c>
    </row>
    <row r="161" spans="2:5" ht="15" customHeight="1" x14ac:dyDescent="0.3">
      <c r="B161" s="44" t="str">
        <f>IF(OR(LINEAS!$D$135="",LINEAS!$U$135=0,ABS(IF(OR(LINEAS!$U$135=1,LINEAS!$U$135=3),1,-1)*LINEAS!$AB$135*DATOS!$C$67)&lt;0.00005),"*",LINEAS!$D$135&amp;" UNI "&amp;IF(LINEAS!$U$135&lt;=2,"GZ","GX")&amp;" "&amp;TEXT(IF(OR(LINEAS!$U$135=1,LINEAS!$U$135=3),1,-1)*LINEAS!$AB$135*DATOS!$C$67,DATOS!$C$68))</f>
        <v>323 UNI GZ -0.1019</v>
      </c>
      <c r="C161" s="42" t="str">
        <f t="shared" si="4"/>
        <v/>
      </c>
      <c r="D161" s="44" t="str">
        <f>IF(PRESIONES!$C$22="NO","",IF(OR(LINEAS!$D$135="",LINEAS!$U$135=0,ABS(IF(OR(LINEAS!$U$135=1,LINEAS!$U$135=3),1,-1)*LINEAS!$AB$135*DATOS!$C$67)&lt;0.00005),"*",LINEAS!$D$135&amp;" UNI "&amp;IF(LINEAS!$U$135&lt;=2,"GZ","GX")&amp;" "&amp;TEXT(IF(OR(LINEAS!$U$135=1,LINEAS!$U$135=3),1,-1)*LINEAS!$AB$135*DATOS!$C$67,DATOS!$C$68)))</f>
        <v/>
      </c>
      <c r="E161" s="42" t="str">
        <f t="shared" si="5"/>
        <v/>
      </c>
    </row>
    <row r="162" spans="2:5" ht="15" customHeight="1" x14ac:dyDescent="0.3">
      <c r="B162" s="44" t="str">
        <f>IF(OR(LINEAS!$D$136="",LINEAS!$U$136=0,ABS(IF(OR(LINEAS!$U$136=1,LINEAS!$U$136=3),1,-1)*LINEAS!$AB$136*DATOS!$C$67)&lt;0.00005),"*",LINEAS!$D$136&amp;" UNI "&amp;IF(LINEAS!$U$136&lt;=2,"GZ","GX")&amp;" "&amp;TEXT(IF(OR(LINEAS!$U$136=1,LINEAS!$U$136=3),1,-1)*LINEAS!$AB$136*DATOS!$C$67,DATOS!$C$68))</f>
        <v>22 85 TO 88 UNI GZ -0.0468</v>
      </c>
      <c r="C162" s="42" t="str">
        <f t="shared" si="4"/>
        <v/>
      </c>
      <c r="D162" s="44" t="str">
        <f>IF(PRESIONES!$C$22="NO","",IF(OR(LINEAS!$D$136="",LINEAS!$U$136=0,ABS(IF(OR(LINEAS!$U$136=1,LINEAS!$U$136=3),1,-1)*LINEAS!$AB$136*DATOS!$C$67)&lt;0.00005),"*",LINEAS!$D$136&amp;" UNI "&amp;IF(LINEAS!$U$136&lt;=2,"GZ","GX")&amp;" "&amp;TEXT(IF(OR(LINEAS!$U$136=1,LINEAS!$U$136=3),1,-1)*LINEAS!$AB$136*DATOS!$C$67,DATOS!$C$68)))</f>
        <v/>
      </c>
      <c r="E162" s="42" t="str">
        <f t="shared" si="5"/>
        <v/>
      </c>
    </row>
    <row r="163" spans="2:5" ht="15" customHeight="1" x14ac:dyDescent="0.3">
      <c r="B163" s="44" t="str">
        <f>IF(OR(LINEAS!$D$137="",LINEAS!$U$137=0,ABS(IF(OR(LINEAS!$U$137=1,LINEAS!$U$137=3),1,-1)*LINEAS!$AB$137*DATOS!$C$67)&lt;0.00005),"*",LINEAS!$D$137&amp;" UNI "&amp;IF(LINEAS!$U$137&lt;=2,"GZ","GX")&amp;" "&amp;TEXT(IF(OR(LINEAS!$U$137=1,LINEAS!$U$137=3),1,-1)*LINEAS!$AB$137*DATOS!$C$67,DATOS!$C$68))</f>
        <v>17 191 203 213 223 233 UNI GZ -0.2343</v>
      </c>
      <c r="C163" s="42" t="str">
        <f t="shared" si="4"/>
        <v/>
      </c>
      <c r="D163" s="44" t="str">
        <f>IF(PRESIONES!$C$22="NO","",IF(OR(LINEAS!$D$137="",LINEAS!$U$137=0,ABS(IF(OR(LINEAS!$U$137=1,LINEAS!$U$137=3),1,-1)*LINEAS!$AB$137*DATOS!$C$67)&lt;0.00005),"*",LINEAS!$D$137&amp;" UNI "&amp;IF(LINEAS!$U$137&lt;=2,"GZ","GX")&amp;" "&amp;TEXT(IF(OR(LINEAS!$U$137=1,LINEAS!$U$137=3),1,-1)*LINEAS!$AB$137*DATOS!$C$67,DATOS!$C$68)))</f>
        <v/>
      </c>
      <c r="E163" s="42" t="str">
        <f t="shared" si="5"/>
        <v/>
      </c>
    </row>
    <row r="164" spans="2:5" ht="15" customHeight="1" x14ac:dyDescent="0.3">
      <c r="B164" s="44" t="str">
        <f>IF(OR(LINEAS!$D$138="",LINEAS!$U$138=0,ABS(IF(OR(LINEAS!$U$138=1,LINEAS!$U$138=3),1,-1)*LINEAS!$AB$138*DATOS!$C$67)&lt;0.00005),"*",LINEAS!$D$138&amp;" UNI "&amp;IF(LINEAS!$U$138&lt;=2,"GZ","GX")&amp;" "&amp;TEXT(IF(OR(LINEAS!$U$138=1,LINEAS!$U$138=3),1,-1)*LINEAS!$AB$138*DATOS!$C$67,DATOS!$C$68))</f>
        <v>18 192 204 214 224 234 UNI GZ -0.2343</v>
      </c>
      <c r="C164" s="42" t="str">
        <f t="shared" si="4"/>
        <v/>
      </c>
      <c r="D164" s="44" t="str">
        <f>IF(PRESIONES!$C$22="NO","",IF(OR(LINEAS!$D$138="",LINEAS!$U$138=0,ABS(IF(OR(LINEAS!$U$138=1,LINEAS!$U$138=3),1,-1)*LINEAS!$AB$138*DATOS!$C$67)&lt;0.00005),"*",LINEAS!$D$138&amp;" UNI "&amp;IF(LINEAS!$U$138&lt;=2,"GZ","GX")&amp;" "&amp;TEXT(IF(OR(LINEAS!$U$138=1,LINEAS!$U$138=3),1,-1)*LINEAS!$AB$138*DATOS!$C$67,DATOS!$C$68)))</f>
        <v/>
      </c>
      <c r="E164" s="42" t="str">
        <f t="shared" si="5"/>
        <v/>
      </c>
    </row>
    <row r="165" spans="2:5" ht="15" customHeight="1" x14ac:dyDescent="0.3">
      <c r="B165" s="44" t="str">
        <f>IF(OR(LINEAS!$D$139="",LINEAS!$U$139=0,ABS(IF(OR(LINEAS!$U$139=1,LINEAS!$U$139=3),1,-1)*LINEAS!$AB$139*DATOS!$C$67)&lt;0.00005),"*",LINEAS!$D$139&amp;" UNI "&amp;IF(LINEAS!$U$139&lt;=2,"GZ","GX")&amp;" "&amp;TEXT(IF(OR(LINEAS!$U$139=1,LINEAS!$U$139=3),1,-1)*LINEAS!$AB$139*DATOS!$C$67,DATOS!$C$68))</f>
        <v>*</v>
      </c>
      <c r="C165" s="42" t="str">
        <f t="shared" si="4"/>
        <v/>
      </c>
      <c r="D165" s="44" t="str">
        <f>IF(PRESIONES!$C$22="NO","",IF(OR(LINEAS!$D$139="",LINEAS!$U$139=0,ABS(IF(OR(LINEAS!$U$139=1,LINEAS!$U$139=3),1,-1)*LINEAS!$AB$139*DATOS!$C$67)&lt;0.00005),"*",LINEAS!$D$139&amp;" UNI "&amp;IF(LINEAS!$U$139&lt;=2,"GZ","GX")&amp;" "&amp;TEXT(IF(OR(LINEAS!$U$139=1,LINEAS!$U$139=3),1,-1)*LINEAS!$AB$139*DATOS!$C$67,DATOS!$C$68)))</f>
        <v/>
      </c>
      <c r="E165" s="42" t="str">
        <f t="shared" si="5"/>
        <v/>
      </c>
    </row>
    <row r="166" spans="2:5" ht="15" customHeight="1" x14ac:dyDescent="0.3">
      <c r="B166" s="44" t="str">
        <f>IF(OR(LINEAS!$D$140="",LINEAS!$U$140=0,ABS(IF(OR(LINEAS!$U$140=1,LINEAS!$U$140=3),1,-1)*LINEAS!$AB$140*DATOS!$C$67)&lt;0.00005),"*",LINEAS!$D$140&amp;" UNI "&amp;IF(LINEAS!$U$140&lt;=2,"GZ","GX")&amp;" "&amp;TEXT(IF(OR(LINEAS!$U$140=1,LINEAS!$U$140=3),1,-1)*LINEAS!$AB$140*DATOS!$C$67,DATOS!$C$68))</f>
        <v>*</v>
      </c>
      <c r="C166" s="42" t="str">
        <f t="shared" si="4"/>
        <v/>
      </c>
      <c r="D166" s="44" t="str">
        <f>IF(PRESIONES!$C$22="NO","",IF(OR(LINEAS!$D$140="",LINEAS!$U$140=0,ABS(IF(OR(LINEAS!$U$140=1,LINEAS!$U$140=3),1,-1)*LINEAS!$AB$140*DATOS!$C$67)&lt;0.00005),"*",LINEAS!$D$140&amp;" UNI "&amp;IF(LINEAS!$U$140&lt;=2,"GZ","GX")&amp;" "&amp;TEXT(IF(OR(LINEAS!$U$140=1,LINEAS!$U$140=3),1,-1)*LINEAS!$AB$140*DATOS!$C$67,DATOS!$C$68)))</f>
        <v/>
      </c>
      <c r="E166" s="42" t="str">
        <f t="shared" si="5"/>
        <v/>
      </c>
    </row>
    <row r="167" spans="2:5" ht="15" customHeight="1" x14ac:dyDescent="0.3">
      <c r="B167" s="44" t="str">
        <f>IF(OR(LINEAS!$D$141="",LINEAS!$U$141=0,ABS(IF(OR(LINEAS!$U$141=1,LINEAS!$U$141=3),1,-1)*LINEAS!$AB$141*DATOS!$C$67)&lt;0.00005),"*",LINEAS!$D$141&amp;" UNI "&amp;IF(LINEAS!$U$141&lt;=2,"GZ","GX")&amp;" "&amp;TEXT(IF(OR(LINEAS!$U$141=1,LINEAS!$U$141=3),1,-1)*LINEAS!$AB$141*DATOS!$C$67,DATOS!$C$68))</f>
        <v>*</v>
      </c>
      <c r="C167" s="42" t="str">
        <f t="shared" si="4"/>
        <v/>
      </c>
      <c r="D167" s="44" t="str">
        <f>IF(PRESIONES!$C$22="NO","",IF(OR(LINEAS!$D$141="",LINEAS!$U$141=0,ABS(IF(OR(LINEAS!$U$141=1,LINEAS!$U$141=3),1,-1)*LINEAS!$AB$141*DATOS!$C$67)&lt;0.00005),"*",LINEAS!$D$141&amp;" UNI "&amp;IF(LINEAS!$U$141&lt;=2,"GZ","GX")&amp;" "&amp;TEXT(IF(OR(LINEAS!$U$141=1,LINEAS!$U$141=3),1,-1)*LINEAS!$AB$141*DATOS!$C$67,DATOS!$C$68)))</f>
        <v/>
      </c>
      <c r="E167" s="42" t="str">
        <f t="shared" si="5"/>
        <v/>
      </c>
    </row>
    <row r="168" spans="2:5" ht="15" customHeight="1" x14ac:dyDescent="0.3">
      <c r="B168" s="44" t="str">
        <f>IF(OR(LINEAS!$D$142="",LINEAS!$U$142=0,ABS(IF(OR(LINEAS!$U$142=1,LINEAS!$U$142=3),1,-1)*LINEAS!$AB$142*DATOS!$C$67)&lt;0.00005),"*",LINEAS!$D$142&amp;" UNI "&amp;IF(LINEAS!$U$142&lt;=2,"GZ","GX")&amp;" "&amp;TEXT(IF(OR(LINEAS!$U$142=1,LINEAS!$U$142=3),1,-1)*LINEAS!$AB$142*DATOS!$C$67,DATOS!$C$68))</f>
        <v>*</v>
      </c>
      <c r="C168" s="42" t="str">
        <f t="shared" si="4"/>
        <v/>
      </c>
      <c r="D168" s="44" t="str">
        <f>IF(PRESIONES!$C$22="NO","",IF(OR(LINEAS!$D$142="",LINEAS!$U$142=0,ABS(IF(OR(LINEAS!$U$142=1,LINEAS!$U$142=3),1,-1)*LINEAS!$AB$142*DATOS!$C$67)&lt;0.00005),"*",LINEAS!$D$142&amp;" UNI "&amp;IF(LINEAS!$U$142&lt;=2,"GZ","GX")&amp;" "&amp;TEXT(IF(OR(LINEAS!$U$142=1,LINEAS!$U$142=3),1,-1)*LINEAS!$AB$142*DATOS!$C$67,DATOS!$C$68)))</f>
        <v/>
      </c>
      <c r="E168" s="42" t="str">
        <f t="shared" si="5"/>
        <v/>
      </c>
    </row>
    <row r="169" spans="2:5" ht="15" customHeight="1" x14ac:dyDescent="0.3">
      <c r="B169" s="44" t="str">
        <f>IF(OR(LINEAS!$D$143="",LINEAS!$U$143=0,ABS(IF(OR(LINEAS!$U$143=1,LINEAS!$U$143=3),1,-1)*LINEAS!$AB$143*DATOS!$C$67)&lt;0.00005),"*",LINEAS!$D$143&amp;" UNI "&amp;IF(LINEAS!$U$143&lt;=2,"GZ","GX")&amp;" "&amp;TEXT(IF(OR(LINEAS!$U$143=1,LINEAS!$U$143=3),1,-1)*LINEAS!$AB$143*DATOS!$C$67,DATOS!$C$68))</f>
        <v>*</v>
      </c>
      <c r="C169" s="42" t="str">
        <f t="shared" si="4"/>
        <v/>
      </c>
      <c r="D169" s="44" t="str">
        <f>IF(PRESIONES!$C$22="NO","",IF(OR(LINEAS!$D$143="",LINEAS!$U$143=0,ABS(IF(OR(LINEAS!$U$143=1,LINEAS!$U$143=3),1,-1)*LINEAS!$AB$143*DATOS!$C$67)&lt;0.00005),"*",LINEAS!$D$143&amp;" UNI "&amp;IF(LINEAS!$U$143&lt;=2,"GZ","GX")&amp;" "&amp;TEXT(IF(OR(LINEAS!$U$143=1,LINEAS!$U$143=3),1,-1)*LINEAS!$AB$143*DATOS!$C$67,DATOS!$C$68)))</f>
        <v/>
      </c>
      <c r="E169" s="42" t="str">
        <f t="shared" si="5"/>
        <v/>
      </c>
    </row>
    <row r="170" spans="2:5" ht="15" customHeight="1" x14ac:dyDescent="0.3">
      <c r="B170" s="44" t="str">
        <f>IF(OR(LINEAS!$D$144="",LINEAS!$U$144=0,ABS(IF(OR(LINEAS!$U$144=1,LINEAS!$U$144=3),1,-1)*LINEAS!$AB$144*DATOS!$C$67)&lt;0.00005),"*",LINEAS!$D$144&amp;" UNI "&amp;IF(LINEAS!$U$144&lt;=2,"GZ","GX")&amp;" "&amp;TEXT(IF(OR(LINEAS!$U$144=1,LINEAS!$U$144=3),1,-1)*LINEAS!$AB$144*DATOS!$C$67,DATOS!$C$68))</f>
        <v>*</v>
      </c>
      <c r="C170" s="42" t="str">
        <f t="shared" si="4"/>
        <v/>
      </c>
      <c r="D170" s="44" t="str">
        <f>IF(PRESIONES!$C$22="NO","",IF(OR(LINEAS!$D$144="",LINEAS!$U$144=0,ABS(IF(OR(LINEAS!$U$144=1,LINEAS!$U$144=3),1,-1)*LINEAS!$AB$144*DATOS!$C$67)&lt;0.00005),"*",LINEAS!$D$144&amp;" UNI "&amp;IF(LINEAS!$U$144&lt;=2,"GZ","GX")&amp;" "&amp;TEXT(IF(OR(LINEAS!$U$144=1,LINEAS!$U$144=3),1,-1)*LINEAS!$AB$144*DATOS!$C$67,DATOS!$C$68)))</f>
        <v/>
      </c>
      <c r="E170" s="42" t="str">
        <f t="shared" si="5"/>
        <v/>
      </c>
    </row>
    <row r="171" spans="2:5" ht="15" customHeight="1" x14ac:dyDescent="0.3">
      <c r="B171" s="44" t="str">
        <f>IF(OR(LINEAS!$D$145="",LINEAS!$U$145=0,ABS(IF(OR(LINEAS!$U$145=1,LINEAS!$U$145=3),1,-1)*LINEAS!$AB$145*DATOS!$C$67)&lt;0.00005),"*",LINEAS!$D$145&amp;" UNI "&amp;IF(LINEAS!$U$145&lt;=2,"GZ","GX")&amp;" "&amp;TEXT(IF(OR(LINEAS!$U$145=1,LINEAS!$U$145=3),1,-1)*LINEAS!$AB$145*DATOS!$C$67,DATOS!$C$68))</f>
        <v>*</v>
      </c>
      <c r="C171" s="42" t="str">
        <f t="shared" si="4"/>
        <v/>
      </c>
      <c r="D171" s="44" t="str">
        <f>IF(PRESIONES!$C$22="NO","",IF(OR(LINEAS!$D$145="",LINEAS!$U$145=0,ABS(IF(OR(LINEAS!$U$145=1,LINEAS!$U$145=3),1,-1)*LINEAS!$AB$145*DATOS!$C$67)&lt;0.00005),"*",LINEAS!$D$145&amp;" UNI "&amp;IF(LINEAS!$U$145&lt;=2,"GZ","GX")&amp;" "&amp;TEXT(IF(OR(LINEAS!$U$145=1,LINEAS!$U$145=3),1,-1)*LINEAS!$AB$145*DATOS!$C$67,DATOS!$C$68)))</f>
        <v/>
      </c>
      <c r="E171" s="42" t="str">
        <f t="shared" si="5"/>
        <v/>
      </c>
    </row>
    <row r="172" spans="2:5" ht="15" customHeight="1" x14ac:dyDescent="0.3">
      <c r="B172" s="44" t="str">
        <f>IF(OR(LINEAS!$D$146="",LINEAS!$U$146=0,ABS(IF(OR(LINEAS!$U$146=1,LINEAS!$U$146=3),1,-1)*LINEAS!$AB$146*DATOS!$C$67)&lt;0.00005),"*",LINEAS!$D$146&amp;" UNI "&amp;IF(LINEAS!$U$146&lt;=2,"GZ","GX")&amp;" "&amp;TEXT(IF(OR(LINEAS!$U$146=1,LINEAS!$U$146=3),1,-1)*LINEAS!$AB$146*DATOS!$C$67,DATOS!$C$68))</f>
        <v>*</v>
      </c>
      <c r="C172" s="42" t="str">
        <f t="shared" si="4"/>
        <v/>
      </c>
      <c r="D172" s="44" t="str">
        <f>IF(PRESIONES!$C$22="NO","",IF(OR(LINEAS!$D$146="",LINEAS!$U$146=0,ABS(IF(OR(LINEAS!$U$146=1,LINEAS!$U$146=3),1,-1)*LINEAS!$AB$146*DATOS!$C$67)&lt;0.00005),"*",LINEAS!$D$146&amp;" UNI "&amp;IF(LINEAS!$U$146&lt;=2,"GZ","GX")&amp;" "&amp;TEXT(IF(OR(LINEAS!$U$146=1,LINEAS!$U$146=3),1,-1)*LINEAS!$AB$146*DATOS!$C$67,DATOS!$C$68)))</f>
        <v/>
      </c>
      <c r="E172" s="42" t="str">
        <f t="shared" si="5"/>
        <v/>
      </c>
    </row>
    <row r="173" spans="2:5" ht="15" customHeight="1" x14ac:dyDescent="0.3">
      <c r="B173" s="44" t="str">
        <f>IF(OR(LINEAS!$D$147="",LINEAS!$U$147=0,ABS(IF(OR(LINEAS!$U$147=1,LINEAS!$U$147=3),1,-1)*LINEAS!$AB$147*DATOS!$C$67)&lt;0.00005),"*",LINEAS!$D$147&amp;" UNI "&amp;IF(LINEAS!$U$147&lt;=2,"GZ","GX")&amp;" "&amp;TEXT(IF(OR(LINEAS!$U$147=1,LINEAS!$U$147=3),1,-1)*LINEAS!$AB$147*DATOS!$C$67,DATOS!$C$68))</f>
        <v>*</v>
      </c>
      <c r="C173" s="42" t="str">
        <f t="shared" si="4"/>
        <v/>
      </c>
      <c r="D173" s="44" t="str">
        <f>IF(PRESIONES!$C$22="NO","",IF(OR(LINEAS!$D$147="",LINEAS!$U$147=0,ABS(IF(OR(LINEAS!$U$147=1,LINEAS!$U$147=3),1,-1)*LINEAS!$AB$147*DATOS!$C$67)&lt;0.00005),"*",LINEAS!$D$147&amp;" UNI "&amp;IF(LINEAS!$U$147&lt;=2,"GZ","GX")&amp;" "&amp;TEXT(IF(OR(LINEAS!$U$147=1,LINEAS!$U$147=3),1,-1)*LINEAS!$AB$147*DATOS!$C$67,DATOS!$C$68)))</f>
        <v/>
      </c>
      <c r="E173" s="42" t="str">
        <f t="shared" si="5"/>
        <v/>
      </c>
    </row>
    <row r="174" spans="2:5" ht="15" customHeight="1" x14ac:dyDescent="0.3">
      <c r="B174" s="44" t="str">
        <f>IF(OR(LINEAS!$D$148="",LINEAS!$U$148=0,ABS(IF(OR(LINEAS!$U$148=1,LINEAS!$U$148=3),1,-1)*LINEAS!$AB$148*DATOS!$C$67)&lt;0.00005),"*",LINEAS!$D$148&amp;" UNI "&amp;IF(LINEAS!$U$148&lt;=2,"GZ","GX")&amp;" "&amp;TEXT(IF(OR(LINEAS!$U$148=1,LINEAS!$U$148=3),1,-1)*LINEAS!$AB$148*DATOS!$C$67,DATOS!$C$68))</f>
        <v>*</v>
      </c>
      <c r="C174" s="42" t="str">
        <f t="shared" si="4"/>
        <v/>
      </c>
      <c r="D174" s="44" t="str">
        <f>IF(PRESIONES!$C$22="NO","",IF(OR(LINEAS!$D$148="",LINEAS!$U$148=0,ABS(IF(OR(LINEAS!$U$148=1,LINEAS!$U$148=3),1,-1)*LINEAS!$AB$148*DATOS!$C$67)&lt;0.00005),"*",LINEAS!$D$148&amp;" UNI "&amp;IF(LINEAS!$U$148&lt;=2,"GZ","GX")&amp;" "&amp;TEXT(IF(OR(LINEAS!$U$148=1,LINEAS!$U$148=3),1,-1)*LINEAS!$AB$148*DATOS!$C$67,DATOS!$C$68)))</f>
        <v/>
      </c>
      <c r="E174" s="42" t="str">
        <f t="shared" si="5"/>
        <v/>
      </c>
    </row>
    <row r="175" spans="2:5" ht="15" customHeight="1" x14ac:dyDescent="0.3">
      <c r="B175" s="44" t="str">
        <f>IF(OR(LINEAS!$D$149="",LINEAS!$U$149=0,ABS(IF(OR(LINEAS!$U$149=1,LINEAS!$U$149=3),1,-1)*LINEAS!$AB$149*DATOS!$C$67)&lt;0.00005),"*",LINEAS!$D$149&amp;" UNI "&amp;IF(LINEAS!$U$149&lt;=2,"GZ","GX")&amp;" "&amp;TEXT(IF(OR(LINEAS!$U$149=1,LINEAS!$U$149=3),1,-1)*LINEAS!$AB$149*DATOS!$C$67,DATOS!$C$68))</f>
        <v>*</v>
      </c>
      <c r="C175" s="42" t="str">
        <f t="shared" si="4"/>
        <v/>
      </c>
      <c r="D175" s="44" t="str">
        <f>IF(PRESIONES!$C$22="NO","",IF(OR(LINEAS!$D$149="",LINEAS!$U$149=0,ABS(IF(OR(LINEAS!$U$149=1,LINEAS!$U$149=3),1,-1)*LINEAS!$AB$149*DATOS!$C$67)&lt;0.00005),"*",LINEAS!$D$149&amp;" UNI "&amp;IF(LINEAS!$U$149&lt;=2,"GZ","GX")&amp;" "&amp;TEXT(IF(OR(LINEAS!$U$149=1,LINEAS!$U$149=3),1,-1)*LINEAS!$AB$149*DATOS!$C$67,DATOS!$C$68)))</f>
        <v/>
      </c>
      <c r="E175" s="42" t="str">
        <f t="shared" si="5"/>
        <v/>
      </c>
    </row>
    <row r="176" spans="2:5" ht="15" customHeight="1" x14ac:dyDescent="0.3">
      <c r="B176" s="44" t="str">
        <f>IF(OR(LINEAS!$D$150="",LINEAS!$U$150=0,ABS(IF(OR(LINEAS!$U$150=1,LINEAS!$U$150=3),1,-1)*LINEAS!$AB$150*DATOS!$C$67)&lt;0.00005),"*",LINEAS!$D$150&amp;" UNI "&amp;IF(LINEAS!$U$150&lt;=2,"GZ","GX")&amp;" "&amp;TEXT(IF(OR(LINEAS!$U$150=1,LINEAS!$U$150=3),1,-1)*LINEAS!$AB$150*DATOS!$C$67,DATOS!$C$68))</f>
        <v>*</v>
      </c>
      <c r="C176" s="42" t="str">
        <f t="shared" si="4"/>
        <v/>
      </c>
      <c r="D176" s="44" t="str">
        <f>IF(PRESIONES!$C$22="NO","",IF(OR(LINEAS!$D$150="",LINEAS!$U$150=0,ABS(IF(OR(LINEAS!$U$150=1,LINEAS!$U$150=3),1,-1)*LINEAS!$AB$150*DATOS!$C$67)&lt;0.00005),"*",LINEAS!$D$150&amp;" UNI "&amp;IF(LINEAS!$U$150&lt;=2,"GZ","GX")&amp;" "&amp;TEXT(IF(OR(LINEAS!$U$150=1,LINEAS!$U$150=3),1,-1)*LINEAS!$AB$150*DATOS!$C$67,DATOS!$C$68)))</f>
        <v/>
      </c>
      <c r="E176" s="42" t="str">
        <f t="shared" si="5"/>
        <v/>
      </c>
    </row>
    <row r="177" spans="2:5" ht="15" customHeight="1" x14ac:dyDescent="0.3">
      <c r="B177" s="44" t="str">
        <f>IF(OR(LINEAS!$D$151="",LINEAS!$U$151=0,ABS(IF(OR(LINEAS!$U$151=1,LINEAS!$U$151=3),1,-1)*LINEAS!$AB$151*DATOS!$C$67)&lt;0.00005),"*",LINEAS!$D$151&amp;" UNI "&amp;IF(LINEAS!$U$151&lt;=2,"GZ","GX")&amp;" "&amp;TEXT(IF(OR(LINEAS!$U$151=1,LINEAS!$U$151=3),1,-1)*LINEAS!$AB$151*DATOS!$C$67,DATOS!$C$68))</f>
        <v>*</v>
      </c>
      <c r="C177" s="42" t="str">
        <f t="shared" si="4"/>
        <v/>
      </c>
      <c r="D177" s="44" t="str">
        <f>IF(PRESIONES!$C$22="NO","",IF(OR(LINEAS!$D$151="",LINEAS!$U$151=0,ABS(IF(OR(LINEAS!$U$151=1,LINEAS!$U$151=3),1,-1)*LINEAS!$AB$151*DATOS!$C$67)&lt;0.00005),"*",LINEAS!$D$151&amp;" UNI "&amp;IF(LINEAS!$U$151&lt;=2,"GZ","GX")&amp;" "&amp;TEXT(IF(OR(LINEAS!$U$151=1,LINEAS!$U$151=3),1,-1)*LINEAS!$AB$151*DATOS!$C$67,DATOS!$C$68)))</f>
        <v/>
      </c>
      <c r="E177" s="42" t="str">
        <f t="shared" si="5"/>
        <v/>
      </c>
    </row>
    <row r="178" spans="2:5" ht="15" customHeight="1" x14ac:dyDescent="0.3">
      <c r="B178" s="44" t="str">
        <f>IF(OR(LINEAS!$D$152="",LINEAS!$U$152=0,ABS(IF(OR(LINEAS!$U$152=1,LINEAS!$U$152=3),1,-1)*LINEAS!$AB$152*DATOS!$C$67)&lt;0.00005),"*",LINEAS!$D$152&amp;" UNI "&amp;IF(LINEAS!$U$152&lt;=2,"GZ","GX")&amp;" "&amp;TEXT(IF(OR(LINEAS!$U$152=1,LINEAS!$U$152=3),1,-1)*LINEAS!$AB$152*DATOS!$C$67,DATOS!$C$68))</f>
        <v>*</v>
      </c>
      <c r="C178" s="42" t="str">
        <f t="shared" si="4"/>
        <v/>
      </c>
      <c r="D178" s="44" t="str">
        <f>IF(PRESIONES!$C$22="NO","",IF(OR(LINEAS!$D$152="",LINEAS!$U$152=0,ABS(IF(OR(LINEAS!$U$152=1,LINEAS!$U$152=3),1,-1)*LINEAS!$AB$152*DATOS!$C$67)&lt;0.00005),"*",LINEAS!$D$152&amp;" UNI "&amp;IF(LINEAS!$U$152&lt;=2,"GZ","GX")&amp;" "&amp;TEXT(IF(OR(LINEAS!$U$152=1,LINEAS!$U$152=3),1,-1)*LINEAS!$AB$152*DATOS!$C$67,DATOS!$C$68)))</f>
        <v/>
      </c>
      <c r="E178" s="42" t="str">
        <f t="shared" si="5"/>
        <v/>
      </c>
    </row>
    <row r="179" spans="2:5" ht="15" customHeight="1" x14ac:dyDescent="0.3">
      <c r="B179" s="44" t="str">
        <f>IF(OR(LINEAS!$D$153="",LINEAS!$U$153=0,ABS(IF(OR(LINEAS!$U$153=1,LINEAS!$U$153=3),1,-1)*LINEAS!$AB$153*DATOS!$C$67)&lt;0.00005),"*",LINEAS!$D$153&amp;" UNI "&amp;IF(LINEAS!$U$153&lt;=2,"GZ","GX")&amp;" "&amp;TEXT(IF(OR(LINEAS!$U$153=1,LINEAS!$U$153=3),1,-1)*LINEAS!$AB$153*DATOS!$C$67,DATOS!$C$68))</f>
        <v>*</v>
      </c>
      <c r="C179" s="42" t="str">
        <f t="shared" si="4"/>
        <v/>
      </c>
      <c r="D179" s="44" t="str">
        <f>IF(PRESIONES!$C$22="NO","",IF(OR(LINEAS!$D$153="",LINEAS!$U$153=0,ABS(IF(OR(LINEAS!$U$153=1,LINEAS!$U$153=3),1,-1)*LINEAS!$AB$153*DATOS!$C$67)&lt;0.00005),"*",LINEAS!$D$153&amp;" UNI "&amp;IF(LINEAS!$U$153&lt;=2,"GZ","GX")&amp;" "&amp;TEXT(IF(OR(LINEAS!$U$153=1,LINEAS!$U$153=3),1,-1)*LINEAS!$AB$153*DATOS!$C$67,DATOS!$C$68)))</f>
        <v/>
      </c>
      <c r="E179" s="42" t="str">
        <f t="shared" si="5"/>
        <v/>
      </c>
    </row>
    <row r="180" spans="2:5" ht="15" customHeight="1" x14ac:dyDescent="0.3">
      <c r="B180" s="44" t="str">
        <f>IF(OR(LINEAS!$D$154="",LINEAS!$U$154=0,ABS(IF(OR(LINEAS!$U$154=1,LINEAS!$U$154=3),1,-1)*LINEAS!$AB$154*DATOS!$C$67)&lt;0.00005),"*",LINEAS!$D$154&amp;" UNI "&amp;IF(LINEAS!$U$154&lt;=2,"GZ","GX")&amp;" "&amp;TEXT(IF(OR(LINEAS!$U$154=1,LINEAS!$U$154=3),1,-1)*LINEAS!$AB$154*DATOS!$C$67,DATOS!$C$68))</f>
        <v>*</v>
      </c>
      <c r="C180" s="42" t="str">
        <f t="shared" si="4"/>
        <v/>
      </c>
      <c r="D180" s="44" t="str">
        <f>IF(PRESIONES!$C$22="NO","",IF(OR(LINEAS!$D$154="",LINEAS!$U$154=0,ABS(IF(OR(LINEAS!$U$154=1,LINEAS!$U$154=3),1,-1)*LINEAS!$AB$154*DATOS!$C$67)&lt;0.00005),"*",LINEAS!$D$154&amp;" UNI "&amp;IF(LINEAS!$U$154&lt;=2,"GZ","GX")&amp;" "&amp;TEXT(IF(OR(LINEAS!$U$154=1,LINEAS!$U$154=3),1,-1)*LINEAS!$AB$154*DATOS!$C$67,DATOS!$C$68)))</f>
        <v/>
      </c>
      <c r="E180" s="42" t="str">
        <f t="shared" si="5"/>
        <v/>
      </c>
    </row>
    <row r="181" spans="2:5" ht="15" customHeight="1" x14ac:dyDescent="0.3">
      <c r="B181" s="44" t="str">
        <f>IF(OR(LINEAS!$D$155="",LINEAS!$U$155=0,ABS(IF(OR(LINEAS!$U$155=1,LINEAS!$U$155=3),1,-1)*LINEAS!$AB$155*DATOS!$C$67)&lt;0.00005),"*",LINEAS!$D$155&amp;" UNI "&amp;IF(LINEAS!$U$155&lt;=2,"GZ","GX")&amp;" "&amp;TEXT(IF(OR(LINEAS!$U$155=1,LINEAS!$U$155=3),1,-1)*LINEAS!$AB$155*DATOS!$C$67,DATOS!$C$68))</f>
        <v>*</v>
      </c>
      <c r="C181" s="42" t="str">
        <f t="shared" si="4"/>
        <v/>
      </c>
      <c r="D181" s="44" t="str">
        <f>IF(PRESIONES!$C$22="NO","",IF(OR(LINEAS!$D$155="",LINEAS!$U$155=0,ABS(IF(OR(LINEAS!$U$155=1,LINEAS!$U$155=3),1,-1)*LINEAS!$AB$155*DATOS!$C$67)&lt;0.00005),"*",LINEAS!$D$155&amp;" UNI "&amp;IF(LINEAS!$U$155&lt;=2,"GZ","GX")&amp;" "&amp;TEXT(IF(OR(LINEAS!$U$155=1,LINEAS!$U$155=3),1,-1)*LINEAS!$AB$155*DATOS!$C$67,DATOS!$C$68)))</f>
        <v/>
      </c>
      <c r="E181" s="42" t="str">
        <f t="shared" si="5"/>
        <v/>
      </c>
    </row>
    <row r="182" spans="2:5" ht="15" customHeight="1" x14ac:dyDescent="0.3">
      <c r="B182" s="44" t="str">
        <f>IF(OR(LINEAS!$D$156="",LINEAS!$U$156=0,ABS(IF(OR(LINEAS!$U$156=1,LINEAS!$U$156=3),1,-1)*LINEAS!$AB$156*DATOS!$C$67)&lt;0.00005),"*",LINEAS!$D$156&amp;" UNI "&amp;IF(LINEAS!$U$156&lt;=2,"GZ","GX")&amp;" "&amp;TEXT(IF(OR(LINEAS!$U$156=1,LINEAS!$U$156=3),1,-1)*LINEAS!$AB$156*DATOS!$C$67,DATOS!$C$68))</f>
        <v>*</v>
      </c>
      <c r="C182" s="42" t="str">
        <f t="shared" si="4"/>
        <v/>
      </c>
      <c r="D182" s="44" t="str">
        <f>IF(PRESIONES!$C$22="NO","",IF(OR(LINEAS!$D$156="",LINEAS!$U$156=0,ABS(IF(OR(LINEAS!$U$156=1,LINEAS!$U$156=3),1,-1)*LINEAS!$AB$156*DATOS!$C$67)&lt;0.00005),"*",LINEAS!$D$156&amp;" UNI "&amp;IF(LINEAS!$U$156&lt;=2,"GZ","GX")&amp;" "&amp;TEXT(IF(OR(LINEAS!$U$156=1,LINEAS!$U$156=3),1,-1)*LINEAS!$AB$156*DATOS!$C$67,DATOS!$C$68)))</f>
        <v/>
      </c>
      <c r="E182" s="42" t="str">
        <f t="shared" si="5"/>
        <v/>
      </c>
    </row>
    <row r="183" spans="2:5" ht="15" customHeight="1" x14ac:dyDescent="0.3">
      <c r="B183" s="44" t="str">
        <f>IF(OR(LINEAS!$D$157="",LINEAS!$U$157=0,ABS(IF(OR(LINEAS!$U$157=1,LINEAS!$U$157=3),1,-1)*LINEAS!$AB$157*DATOS!$C$67)&lt;0.00005),"*",LINEAS!$D$157&amp;" UNI "&amp;IF(LINEAS!$U$157&lt;=2,"GZ","GX")&amp;" "&amp;TEXT(IF(OR(LINEAS!$U$157=1,LINEAS!$U$157=3),1,-1)*LINEAS!$AB$157*DATOS!$C$67,DATOS!$C$68))</f>
        <v>*</v>
      </c>
      <c r="C183" s="42" t="str">
        <f t="shared" si="4"/>
        <v/>
      </c>
      <c r="D183" s="44" t="str">
        <f>IF(PRESIONES!$C$22="NO","",IF(OR(LINEAS!$D$157="",LINEAS!$U$157=0,ABS(IF(OR(LINEAS!$U$157=1,LINEAS!$U$157=3),1,-1)*LINEAS!$AB$157*DATOS!$C$67)&lt;0.00005),"*",LINEAS!$D$157&amp;" UNI "&amp;IF(LINEAS!$U$157&lt;=2,"GZ","GX")&amp;" "&amp;TEXT(IF(OR(LINEAS!$U$157=1,LINEAS!$U$157=3),1,-1)*LINEAS!$AB$157*DATOS!$C$67,DATOS!$C$68)))</f>
        <v/>
      </c>
      <c r="E183" s="42" t="str">
        <f t="shared" si="5"/>
        <v/>
      </c>
    </row>
    <row r="184" spans="2:5" ht="15" customHeight="1" x14ac:dyDescent="0.3">
      <c r="B184" s="44" t="str">
        <f>IF(OR(LINEAS!$D$158="",LINEAS!$U$158=0,ABS(IF(OR(LINEAS!$U$158=1,LINEAS!$U$158=3),1,-1)*LINEAS!$AB$158*DATOS!$C$67)&lt;0.00005),"*",LINEAS!$D$158&amp;" UNI "&amp;IF(LINEAS!$U$158&lt;=2,"GZ","GX")&amp;" "&amp;TEXT(IF(OR(LINEAS!$U$158=1,LINEAS!$U$158=3),1,-1)*LINEAS!$AB$158*DATOS!$C$67,DATOS!$C$68))</f>
        <v>*</v>
      </c>
      <c r="C184" s="42" t="str">
        <f t="shared" si="4"/>
        <v/>
      </c>
      <c r="D184" s="44" t="str">
        <f>IF(PRESIONES!$C$22="NO","",IF(OR(LINEAS!$D$158="",LINEAS!$U$158=0,ABS(IF(OR(LINEAS!$U$158=1,LINEAS!$U$158=3),1,-1)*LINEAS!$AB$158*DATOS!$C$67)&lt;0.00005),"*",LINEAS!$D$158&amp;" UNI "&amp;IF(LINEAS!$U$158&lt;=2,"GZ","GX")&amp;" "&amp;TEXT(IF(OR(LINEAS!$U$158=1,LINEAS!$U$158=3),1,-1)*LINEAS!$AB$158*DATOS!$C$67,DATOS!$C$68)))</f>
        <v/>
      </c>
      <c r="E184" s="42" t="str">
        <f t="shared" si="5"/>
        <v/>
      </c>
    </row>
    <row r="185" spans="2:5" ht="15" customHeight="1" x14ac:dyDescent="0.3">
      <c r="B185" s="44" t="str">
        <f>IF(OR(LINEAS!$D$159="",LINEAS!$U$159=0,ABS(IF(OR(LINEAS!$U$159=1,LINEAS!$U$159=3),1,-1)*LINEAS!$AB$159*DATOS!$C$67)&lt;0.00005),"*",LINEAS!$D$159&amp;" UNI "&amp;IF(LINEAS!$U$159&lt;=2,"GZ","GX")&amp;" "&amp;TEXT(IF(OR(LINEAS!$U$159=1,LINEAS!$U$159=3),1,-1)*LINEAS!$AB$159*DATOS!$C$67,DATOS!$C$68))</f>
        <v>*</v>
      </c>
      <c r="C185" s="42" t="str">
        <f t="shared" si="4"/>
        <v/>
      </c>
      <c r="D185" s="44" t="str">
        <f>IF(PRESIONES!$C$22="NO","",IF(OR(LINEAS!$D$159="",LINEAS!$U$159=0,ABS(IF(OR(LINEAS!$U$159=1,LINEAS!$U$159=3),1,-1)*LINEAS!$AB$159*DATOS!$C$67)&lt;0.00005),"*",LINEAS!$D$159&amp;" UNI "&amp;IF(LINEAS!$U$159&lt;=2,"GZ","GX")&amp;" "&amp;TEXT(IF(OR(LINEAS!$U$159=1,LINEAS!$U$159=3),1,-1)*LINEAS!$AB$159*DATOS!$C$67,DATOS!$C$68)))</f>
        <v/>
      </c>
      <c r="E185" s="42" t="str">
        <f t="shared" si="5"/>
        <v/>
      </c>
    </row>
    <row r="186" spans="2:5" ht="15" customHeight="1" x14ac:dyDescent="0.3">
      <c r="B186" s="44" t="str">
        <f>IF(OR(LINEAS!$D$160="",LINEAS!$U$160=0,ABS(IF(OR(LINEAS!$U$160=1,LINEAS!$U$160=3),1,-1)*LINEAS!$AB$160*DATOS!$C$67)&lt;0.00005),"*",LINEAS!$D$160&amp;" UNI "&amp;IF(LINEAS!$U$160&lt;=2,"GZ","GX")&amp;" "&amp;TEXT(IF(OR(LINEAS!$U$160=1,LINEAS!$U$160=3),1,-1)*LINEAS!$AB$160*DATOS!$C$67,DATOS!$C$68))</f>
        <v>*</v>
      </c>
      <c r="C186" s="42" t="str">
        <f t="shared" si="4"/>
        <v/>
      </c>
      <c r="D186" s="44" t="str">
        <f>IF(PRESIONES!$C$22="NO","",IF(OR(LINEAS!$D$160="",LINEAS!$U$160=0,ABS(IF(OR(LINEAS!$U$160=1,LINEAS!$U$160=3),1,-1)*LINEAS!$AB$160*DATOS!$C$67)&lt;0.00005),"*",LINEAS!$D$160&amp;" UNI "&amp;IF(LINEAS!$U$160&lt;=2,"GZ","GX")&amp;" "&amp;TEXT(IF(OR(LINEAS!$U$160=1,LINEAS!$U$160=3),1,-1)*LINEAS!$AB$160*DATOS!$C$67,DATOS!$C$68)))</f>
        <v/>
      </c>
      <c r="E186" s="42" t="str">
        <f t="shared" si="5"/>
        <v/>
      </c>
    </row>
    <row r="187" spans="2:5" ht="15" customHeight="1" x14ac:dyDescent="0.3">
      <c r="B187" s="44" t="str">
        <f>IF(OR(LINEAS!$D$161="",LINEAS!$U$161=0,ABS(IF(OR(LINEAS!$U$161=1,LINEAS!$U$161=3),1,-1)*LINEAS!$AB$161*DATOS!$C$67)&lt;0.00005),"*",LINEAS!$D$161&amp;" UNI "&amp;IF(LINEAS!$U$161&lt;=2,"GZ","GX")&amp;" "&amp;TEXT(IF(OR(LINEAS!$U$161=1,LINEAS!$U$161=3),1,-1)*LINEAS!$AB$161*DATOS!$C$67,DATOS!$C$68))</f>
        <v>*</v>
      </c>
      <c r="C187" s="42" t="str">
        <f t="shared" si="4"/>
        <v/>
      </c>
      <c r="D187" s="44" t="str">
        <f>IF(PRESIONES!$C$22="NO","",IF(OR(LINEAS!$D$161="",LINEAS!$U$161=0,ABS(IF(OR(LINEAS!$U$161=1,LINEAS!$U$161=3),1,-1)*LINEAS!$AB$161*DATOS!$C$67)&lt;0.00005),"*",LINEAS!$D$161&amp;" UNI "&amp;IF(LINEAS!$U$161&lt;=2,"GZ","GX")&amp;" "&amp;TEXT(IF(OR(LINEAS!$U$161=1,LINEAS!$U$161=3),1,-1)*LINEAS!$AB$161*DATOS!$C$67,DATOS!$C$68)))</f>
        <v/>
      </c>
      <c r="E187" s="42" t="str">
        <f t="shared" si="5"/>
        <v/>
      </c>
    </row>
    <row r="188" spans="2:5" ht="15" customHeight="1" x14ac:dyDescent="0.3">
      <c r="B188" s="44" t="str">
        <f>IF(OR(LINEAS!$D$162="",LINEAS!$U$162=0,ABS(IF(OR(LINEAS!$U$162=1,LINEAS!$U$162=3),1,-1)*LINEAS!$AB$162*DATOS!$C$67)&lt;0.00005),"*",LINEAS!$D$162&amp;" UNI "&amp;IF(LINEAS!$U$162&lt;=2,"GZ","GX")&amp;" "&amp;TEXT(IF(OR(LINEAS!$U$162=1,LINEAS!$U$162=3),1,-1)*LINEAS!$AB$162*DATOS!$C$67,DATOS!$C$68))</f>
        <v>*</v>
      </c>
      <c r="C188" s="42" t="str">
        <f t="shared" si="4"/>
        <v/>
      </c>
      <c r="D188" s="44" t="str">
        <f>IF(PRESIONES!$C$22="NO","",IF(OR(LINEAS!$D$162="",LINEAS!$U$162=0,ABS(IF(OR(LINEAS!$U$162=1,LINEAS!$U$162=3),1,-1)*LINEAS!$AB$162*DATOS!$C$67)&lt;0.00005),"*",LINEAS!$D$162&amp;" UNI "&amp;IF(LINEAS!$U$162&lt;=2,"GZ","GX")&amp;" "&amp;TEXT(IF(OR(LINEAS!$U$162=1,LINEAS!$U$162=3),1,-1)*LINEAS!$AB$162*DATOS!$C$67,DATOS!$C$68)))</f>
        <v/>
      </c>
      <c r="E188" s="42" t="str">
        <f t="shared" si="5"/>
        <v/>
      </c>
    </row>
    <row r="189" spans="2:5" ht="15" customHeight="1" x14ac:dyDescent="0.3">
      <c r="B189" s="44" t="str">
        <f>IF(OR(LINEAS!$D$163="",LINEAS!$U$163=0,ABS(IF(OR(LINEAS!$U$163=1,LINEAS!$U$163=3),1,-1)*LINEAS!$AB$163*DATOS!$C$67)&lt;0.00005),"*",LINEAS!$D$163&amp;" UNI "&amp;IF(LINEAS!$U$163&lt;=2,"GZ","GX")&amp;" "&amp;TEXT(IF(OR(LINEAS!$U$163=1,LINEAS!$U$163=3),1,-1)*LINEAS!$AB$163*DATOS!$C$67,DATOS!$C$68))</f>
        <v>*</v>
      </c>
      <c r="C189" s="42" t="str">
        <f t="shared" si="4"/>
        <v/>
      </c>
      <c r="D189" s="44" t="str">
        <f>IF(PRESIONES!$C$22="NO","",IF(OR(LINEAS!$D$163="",LINEAS!$U$163=0,ABS(IF(OR(LINEAS!$U$163=1,LINEAS!$U$163=3),1,-1)*LINEAS!$AB$163*DATOS!$C$67)&lt;0.00005),"*",LINEAS!$D$163&amp;" UNI "&amp;IF(LINEAS!$U$163&lt;=2,"GZ","GX")&amp;" "&amp;TEXT(IF(OR(LINEAS!$U$163=1,LINEAS!$U$163=3),1,-1)*LINEAS!$AB$163*DATOS!$C$67,DATOS!$C$68)))</f>
        <v/>
      </c>
      <c r="E189" s="42" t="str">
        <f t="shared" si="5"/>
        <v/>
      </c>
    </row>
    <row r="190" spans="2:5" ht="15" customHeight="1" x14ac:dyDescent="0.3">
      <c r="B190" s="44" t="str">
        <f>IF(OR(LINEAS!$D$164="",LINEAS!$U$164=0,ABS(IF(OR(LINEAS!$U$164=1,LINEAS!$U$164=3),1,-1)*LINEAS!$AB$164*DATOS!$C$67)&lt;0.00005),"*",LINEAS!$D$164&amp;" UNI "&amp;IF(LINEAS!$U$164&lt;=2,"GZ","GX")&amp;" "&amp;TEXT(IF(OR(LINEAS!$U$164=1,LINEAS!$U$164=3),1,-1)*LINEAS!$AB$164*DATOS!$C$67,DATOS!$C$68))</f>
        <v>*</v>
      </c>
      <c r="C190" s="42" t="str">
        <f t="shared" si="4"/>
        <v/>
      </c>
      <c r="D190" s="44" t="str">
        <f>IF(PRESIONES!$C$22="NO","",IF(OR(LINEAS!$D$164="",LINEAS!$U$164=0,ABS(IF(OR(LINEAS!$U$164=1,LINEAS!$U$164=3),1,-1)*LINEAS!$AB$164*DATOS!$C$67)&lt;0.00005),"*",LINEAS!$D$164&amp;" UNI "&amp;IF(LINEAS!$U$164&lt;=2,"GZ","GX")&amp;" "&amp;TEXT(IF(OR(LINEAS!$U$164=1,LINEAS!$U$164=3),1,-1)*LINEAS!$AB$164*DATOS!$C$67,DATOS!$C$68)))</f>
        <v/>
      </c>
      <c r="E190" s="42" t="str">
        <f t="shared" si="5"/>
        <v/>
      </c>
    </row>
    <row r="191" spans="2:5" ht="15" customHeight="1" x14ac:dyDescent="0.3">
      <c r="B191" s="44" t="str">
        <f>IF(OR(LINEAS!$D$165="",LINEAS!$U$165=0,ABS(IF(OR(LINEAS!$U$165=1,LINEAS!$U$165=3),1,-1)*LINEAS!$AB$165*DATOS!$C$67)&lt;0.00005),"*",LINEAS!$D$165&amp;" UNI "&amp;IF(LINEAS!$U$165&lt;=2,"GZ","GX")&amp;" "&amp;TEXT(IF(OR(LINEAS!$U$165=1,LINEAS!$U$165=3),1,-1)*LINEAS!$AB$165*DATOS!$C$67,DATOS!$C$68))</f>
        <v>*</v>
      </c>
      <c r="C191" s="42" t="str">
        <f t="shared" si="4"/>
        <v/>
      </c>
      <c r="D191" s="44" t="str">
        <f>IF(PRESIONES!$C$22="NO","",IF(OR(LINEAS!$D$165="",LINEAS!$U$165=0,ABS(IF(OR(LINEAS!$U$165=1,LINEAS!$U$165=3),1,-1)*LINEAS!$AB$165*DATOS!$C$67)&lt;0.00005),"*",LINEAS!$D$165&amp;" UNI "&amp;IF(LINEAS!$U$165&lt;=2,"GZ","GX")&amp;" "&amp;TEXT(IF(OR(LINEAS!$U$165=1,LINEAS!$U$165=3),1,-1)*LINEAS!$AB$165*DATOS!$C$67,DATOS!$C$68)))</f>
        <v/>
      </c>
      <c r="E191" s="42" t="str">
        <f t="shared" si="5"/>
        <v/>
      </c>
    </row>
    <row r="192" spans="2:5" ht="15" customHeight="1" x14ac:dyDescent="0.3">
      <c r="B192" s="44" t="str">
        <f>IF(OR(LINEAS!$D$166="",LINEAS!$U$166=0,ABS(IF(OR(LINEAS!$U$166=1,LINEAS!$U$166=3),1,-1)*LINEAS!$AB$166*DATOS!$C$67)&lt;0.00005),"*",LINEAS!$D$166&amp;" UNI "&amp;IF(LINEAS!$U$166&lt;=2,"GZ","GX")&amp;" "&amp;TEXT(IF(OR(LINEAS!$U$166=1,LINEAS!$U$166=3),1,-1)*LINEAS!$AB$166*DATOS!$C$67,DATOS!$C$68))</f>
        <v>*</v>
      </c>
      <c r="C192" s="42" t="str">
        <f t="shared" si="4"/>
        <v/>
      </c>
      <c r="D192" s="44" t="str">
        <f>IF(PRESIONES!$C$22="NO","",IF(OR(LINEAS!$D$166="",LINEAS!$U$166=0,ABS(IF(OR(LINEAS!$U$166=1,LINEAS!$U$166=3),1,-1)*LINEAS!$AB$166*DATOS!$C$67)&lt;0.00005),"*",LINEAS!$D$166&amp;" UNI "&amp;IF(LINEAS!$U$166&lt;=2,"GZ","GX")&amp;" "&amp;TEXT(IF(OR(LINEAS!$U$166=1,LINEAS!$U$166=3),1,-1)*LINEAS!$AB$166*DATOS!$C$67,DATOS!$C$68)))</f>
        <v/>
      </c>
      <c r="E192" s="42" t="str">
        <f t="shared" si="5"/>
        <v/>
      </c>
    </row>
    <row r="193" spans="2:5" ht="15" customHeight="1" x14ac:dyDescent="0.3">
      <c r="B193" s="44" t="str">
        <f>IF(OR(LINEAS!$D$167="",LINEAS!$U$167=0,ABS(IF(OR(LINEAS!$U$167=1,LINEAS!$U$167=3),1,-1)*LINEAS!$AB$167*DATOS!$C$67)&lt;0.00005),"*",LINEAS!$D$167&amp;" UNI "&amp;IF(LINEAS!$U$167&lt;=2,"GZ","GX")&amp;" "&amp;TEXT(IF(OR(LINEAS!$U$167=1,LINEAS!$U$167=3),1,-1)*LINEAS!$AB$167*DATOS!$C$67,DATOS!$C$68))</f>
        <v>*</v>
      </c>
      <c r="C193" s="42" t="str">
        <f t="shared" si="4"/>
        <v/>
      </c>
      <c r="D193" s="44" t="str">
        <f>IF(PRESIONES!$C$22="NO","",IF(OR(LINEAS!$D$167="",LINEAS!$U$167=0,ABS(IF(OR(LINEAS!$U$167=1,LINEAS!$U$167=3),1,-1)*LINEAS!$AB$167*DATOS!$C$67)&lt;0.00005),"*",LINEAS!$D$167&amp;" UNI "&amp;IF(LINEAS!$U$167&lt;=2,"GZ","GX")&amp;" "&amp;TEXT(IF(OR(LINEAS!$U$167=1,LINEAS!$U$167=3),1,-1)*LINEAS!$AB$167*DATOS!$C$67,DATOS!$C$68)))</f>
        <v/>
      </c>
      <c r="E193" s="42" t="str">
        <f t="shared" si="5"/>
        <v/>
      </c>
    </row>
    <row r="194" spans="2:5" ht="15" customHeight="1" x14ac:dyDescent="0.3">
      <c r="B194" s="44" t="str">
        <f>IF(OR(LINEAS!$D$168="",LINEAS!$U$168=0,ABS(IF(OR(LINEAS!$U$168=1,LINEAS!$U$168=3),1,-1)*LINEAS!$AB$168*DATOS!$C$67)&lt;0.00005),"*",LINEAS!$D$168&amp;" UNI "&amp;IF(LINEAS!$U$168&lt;=2,"GZ","GX")&amp;" "&amp;TEXT(IF(OR(LINEAS!$U$168=1,LINEAS!$U$168=3),1,-1)*LINEAS!$AB$168*DATOS!$C$67,DATOS!$C$68))</f>
        <v>*</v>
      </c>
      <c r="C194" s="42" t="str">
        <f t="shared" si="4"/>
        <v/>
      </c>
      <c r="D194" s="44" t="str">
        <f>IF(PRESIONES!$C$22="NO","",IF(OR(LINEAS!$D$168="",LINEAS!$U$168=0,ABS(IF(OR(LINEAS!$U$168=1,LINEAS!$U$168=3),1,-1)*LINEAS!$AB$168*DATOS!$C$67)&lt;0.00005),"*",LINEAS!$D$168&amp;" UNI "&amp;IF(LINEAS!$U$168&lt;=2,"GZ","GX")&amp;" "&amp;TEXT(IF(OR(LINEAS!$U$168=1,LINEAS!$U$168=3),1,-1)*LINEAS!$AB$168*DATOS!$C$67,DATOS!$C$68)))</f>
        <v/>
      </c>
      <c r="E194" s="42" t="str">
        <f t="shared" si="5"/>
        <v/>
      </c>
    </row>
    <row r="195" spans="2:5" ht="15" customHeight="1" x14ac:dyDescent="0.3">
      <c r="B195" s="44" t="str">
        <f>IF(OR(LINEAS!$D$169="",LINEAS!$U$169=0,ABS(IF(OR(LINEAS!$U$169=1,LINEAS!$U$169=3),1,-1)*LINEAS!$AB$169*DATOS!$C$67)&lt;0.00005),"*",LINEAS!$D$169&amp;" UNI "&amp;IF(LINEAS!$U$169&lt;=2,"GZ","GX")&amp;" "&amp;TEXT(IF(OR(LINEAS!$U$169=1,LINEAS!$U$169=3),1,-1)*LINEAS!$AB$169*DATOS!$C$67,DATOS!$C$68))</f>
        <v>*</v>
      </c>
      <c r="C195" s="42" t="str">
        <f t="shared" si="4"/>
        <v/>
      </c>
      <c r="D195" s="44" t="str">
        <f>IF(PRESIONES!$C$22="NO","",IF(OR(LINEAS!$D$169="",LINEAS!$U$169=0,ABS(IF(OR(LINEAS!$U$169=1,LINEAS!$U$169=3),1,-1)*LINEAS!$AB$169*DATOS!$C$67)&lt;0.00005),"*",LINEAS!$D$169&amp;" UNI "&amp;IF(LINEAS!$U$169&lt;=2,"GZ","GX")&amp;" "&amp;TEXT(IF(OR(LINEAS!$U$169=1,LINEAS!$U$169=3),1,-1)*LINEAS!$AB$169*DATOS!$C$67,DATOS!$C$68)))</f>
        <v/>
      </c>
      <c r="E195" s="42" t="str">
        <f t="shared" si="5"/>
        <v/>
      </c>
    </row>
    <row r="196" spans="2:5" ht="15" customHeight="1" x14ac:dyDescent="0.3">
      <c r="B196" s="44" t="str">
        <f>IF(OR(LINEAS!$D$170="",LINEAS!$U$170=0,ABS(IF(OR(LINEAS!$U$170=1,LINEAS!$U$170=3),1,-1)*LINEAS!$AB$170*DATOS!$C$67)&lt;0.00005),"*",LINEAS!$D$170&amp;" UNI "&amp;IF(LINEAS!$U$170&lt;=2,"GZ","GX")&amp;" "&amp;TEXT(IF(OR(LINEAS!$U$170=1,LINEAS!$U$170=3),1,-1)*LINEAS!$AB$170*DATOS!$C$67,DATOS!$C$68))</f>
        <v>*</v>
      </c>
      <c r="C196" s="42" t="str">
        <f t="shared" si="4"/>
        <v/>
      </c>
      <c r="D196" s="44" t="str">
        <f>IF(PRESIONES!$C$22="NO","",IF(OR(LINEAS!$D$170="",LINEAS!$U$170=0,ABS(IF(OR(LINEAS!$U$170=1,LINEAS!$U$170=3),1,-1)*LINEAS!$AB$170*DATOS!$C$67)&lt;0.00005),"*",LINEAS!$D$170&amp;" UNI "&amp;IF(LINEAS!$U$170&lt;=2,"GZ","GX")&amp;" "&amp;TEXT(IF(OR(LINEAS!$U$170=1,LINEAS!$U$170=3),1,-1)*LINEAS!$AB$170*DATOS!$C$67,DATOS!$C$68)))</f>
        <v/>
      </c>
      <c r="E196" s="42" t="str">
        <f t="shared" si="5"/>
        <v/>
      </c>
    </row>
    <row r="197" spans="2:5" ht="15" customHeight="1" x14ac:dyDescent="0.3">
      <c r="B197" s="44" t="str">
        <f>IF(OR(LINEAS!$D$171="",LINEAS!$U$171=0,ABS(IF(OR(LINEAS!$U$171=1,LINEAS!$U$171=3),1,-1)*LINEAS!$AB$171*DATOS!$C$67)&lt;0.00005),"*",LINEAS!$D$171&amp;" UNI "&amp;IF(LINEAS!$U$171&lt;=2,"GZ","GX")&amp;" "&amp;TEXT(IF(OR(LINEAS!$U$171=1,LINEAS!$U$171=3),1,-1)*LINEAS!$AB$171*DATOS!$C$67,DATOS!$C$68))</f>
        <v>*</v>
      </c>
      <c r="C197" s="42" t="str">
        <f t="shared" si="4"/>
        <v/>
      </c>
      <c r="D197" s="44" t="str">
        <f>IF(PRESIONES!$C$22="NO","",IF(OR(LINEAS!$D$171="",LINEAS!$U$171=0,ABS(IF(OR(LINEAS!$U$171=1,LINEAS!$U$171=3),1,-1)*LINEAS!$AB$171*DATOS!$C$67)&lt;0.00005),"*",LINEAS!$D$171&amp;" UNI "&amp;IF(LINEAS!$U$171&lt;=2,"GZ","GX")&amp;" "&amp;TEXT(IF(OR(LINEAS!$U$171=1,LINEAS!$U$171=3),1,-1)*LINEAS!$AB$171*DATOS!$C$67,DATOS!$C$68)))</f>
        <v/>
      </c>
      <c r="E197" s="42" t="str">
        <f t="shared" si="5"/>
        <v/>
      </c>
    </row>
    <row r="198" spans="2:5" ht="15" customHeight="1" x14ac:dyDescent="0.3">
      <c r="B198" s="44" t="str">
        <f>IF(OR(LINEAS!$D$172="",LINEAS!$U$172=0,ABS(IF(OR(LINEAS!$U$172=1,LINEAS!$U$172=3),1,-1)*LINEAS!$AB$172*DATOS!$C$67)&lt;0.00005),"*",LINEAS!$D$172&amp;" UNI "&amp;IF(LINEAS!$U$172&lt;=2,"GZ","GX")&amp;" "&amp;TEXT(IF(OR(LINEAS!$U$172=1,LINEAS!$U$172=3),1,-1)*LINEAS!$AB$172*DATOS!$C$67,DATOS!$C$68))</f>
        <v>*</v>
      </c>
      <c r="C198" s="42" t="str">
        <f t="shared" si="4"/>
        <v/>
      </c>
      <c r="D198" s="44" t="str">
        <f>IF(PRESIONES!$C$22="NO","",IF(OR(LINEAS!$D$172="",LINEAS!$U$172=0,ABS(IF(OR(LINEAS!$U$172=1,LINEAS!$U$172=3),1,-1)*LINEAS!$AB$172*DATOS!$C$67)&lt;0.00005),"*",LINEAS!$D$172&amp;" UNI "&amp;IF(LINEAS!$U$172&lt;=2,"GZ","GX")&amp;" "&amp;TEXT(IF(OR(LINEAS!$U$172=1,LINEAS!$U$172=3),1,-1)*LINEAS!$AB$172*DATOS!$C$67,DATOS!$C$68)))</f>
        <v/>
      </c>
      <c r="E198" s="42" t="str">
        <f t="shared" si="5"/>
        <v/>
      </c>
    </row>
    <row r="199" spans="2:5" ht="15" customHeight="1" x14ac:dyDescent="0.3">
      <c r="B199" s="44" t="str">
        <f>IF(OR(LINEAS!$D$173="",LINEAS!$U$173=0,ABS(IF(OR(LINEAS!$U$173=1,LINEAS!$U$173=3),1,-1)*LINEAS!$AB$173*DATOS!$C$67)&lt;0.00005),"*",LINEAS!$D$173&amp;" UNI "&amp;IF(LINEAS!$U$173&lt;=2,"GZ","GX")&amp;" "&amp;TEXT(IF(OR(LINEAS!$U$173=1,LINEAS!$U$173=3),1,-1)*LINEAS!$AB$173*DATOS!$C$67,DATOS!$C$68))</f>
        <v>*</v>
      </c>
      <c r="C199" s="42" t="str">
        <f t="shared" si="4"/>
        <v/>
      </c>
      <c r="D199" s="44" t="str">
        <f>IF(PRESIONES!$C$22="NO","",IF(OR(LINEAS!$D$173="",LINEAS!$U$173=0,ABS(IF(OR(LINEAS!$U$173=1,LINEAS!$U$173=3),1,-1)*LINEAS!$AB$173*DATOS!$C$67)&lt;0.00005),"*",LINEAS!$D$173&amp;" UNI "&amp;IF(LINEAS!$U$173&lt;=2,"GZ","GX")&amp;" "&amp;TEXT(IF(OR(LINEAS!$U$173=1,LINEAS!$U$173=3),1,-1)*LINEAS!$AB$173*DATOS!$C$67,DATOS!$C$68)))</f>
        <v/>
      </c>
      <c r="E199" s="42" t="str">
        <f t="shared" si="5"/>
        <v/>
      </c>
    </row>
    <row r="200" spans="2:5" ht="15" customHeight="1" x14ac:dyDescent="0.3">
      <c r="B200" s="44" t="str">
        <f>IF(OR(LINEAS!$D$174="",LINEAS!$U$174=0,ABS(IF(OR(LINEAS!$U$174=1,LINEAS!$U$174=3),1,-1)*LINEAS!$AB$174*DATOS!$C$67)&lt;0.00005),"*",LINEAS!$D$174&amp;" UNI "&amp;IF(LINEAS!$U$174&lt;=2,"GZ","GX")&amp;" "&amp;TEXT(IF(OR(LINEAS!$U$174=1,LINEAS!$U$174=3),1,-1)*LINEAS!$AB$174*DATOS!$C$67,DATOS!$C$68))</f>
        <v>*</v>
      </c>
      <c r="C200" s="42" t="str">
        <f t="shared" si="4"/>
        <v/>
      </c>
      <c r="D200" s="44" t="str">
        <f>IF(PRESIONES!$C$22="NO","",IF(OR(LINEAS!$D$174="",LINEAS!$U$174=0,ABS(IF(OR(LINEAS!$U$174=1,LINEAS!$U$174=3),1,-1)*LINEAS!$AB$174*DATOS!$C$67)&lt;0.00005),"*",LINEAS!$D$174&amp;" UNI "&amp;IF(LINEAS!$U$174&lt;=2,"GZ","GX")&amp;" "&amp;TEXT(IF(OR(LINEAS!$U$174=1,LINEAS!$U$174=3),1,-1)*LINEAS!$AB$174*DATOS!$C$67,DATOS!$C$68)))</f>
        <v/>
      </c>
      <c r="E200" s="42" t="str">
        <f t="shared" si="5"/>
        <v/>
      </c>
    </row>
    <row r="201" spans="2:5" ht="15" customHeight="1" x14ac:dyDescent="0.3">
      <c r="B201" s="44" t="str">
        <f>IF(OR(LINEAS!$D$175="",LINEAS!$U$175=0,ABS(IF(OR(LINEAS!$U$175=1,LINEAS!$U$175=3),1,-1)*LINEAS!$AB$175*DATOS!$C$67)&lt;0.00005),"*",LINEAS!$D$175&amp;" UNI "&amp;IF(LINEAS!$U$175&lt;=2,"GZ","GX")&amp;" "&amp;TEXT(IF(OR(LINEAS!$U$175=1,LINEAS!$U$175=3),1,-1)*LINEAS!$AB$175*DATOS!$C$67,DATOS!$C$68))</f>
        <v>*</v>
      </c>
      <c r="C201" s="42" t="str">
        <f t="shared" ref="C201:C264" si="6">IF(LEN($B201)&gt;79,"MÁS DE 79 CARACTERES","")</f>
        <v/>
      </c>
      <c r="D201" s="44" t="str">
        <f>IF(PRESIONES!$C$22="NO","",IF(OR(LINEAS!$D$175="",LINEAS!$U$175=0,ABS(IF(OR(LINEAS!$U$175=1,LINEAS!$U$175=3),1,-1)*LINEAS!$AB$175*DATOS!$C$67)&lt;0.00005),"*",LINEAS!$D$175&amp;" UNI "&amp;IF(LINEAS!$U$175&lt;=2,"GZ","GX")&amp;" "&amp;TEXT(IF(OR(LINEAS!$U$175=1,LINEAS!$U$175=3),1,-1)*LINEAS!$AB$175*DATOS!$C$67,DATOS!$C$68)))</f>
        <v/>
      </c>
      <c r="E201" s="42" t="str">
        <f t="shared" ref="E201:E264" si="7">IF(LEN($D201)&gt;79,"MÁS DE 79 CARACTERES","")</f>
        <v/>
      </c>
    </row>
    <row r="202" spans="2:5" ht="15" customHeight="1" x14ac:dyDescent="0.3">
      <c r="B202" s="44" t="str">
        <f>IF(OR(LINEAS!$D$176="",LINEAS!$U$176=0,ABS(IF(OR(LINEAS!$U$176=1,LINEAS!$U$176=3),1,-1)*LINEAS!$AB$176*DATOS!$C$67)&lt;0.00005),"*",LINEAS!$D$176&amp;" UNI "&amp;IF(LINEAS!$U$176&lt;=2,"GZ","GX")&amp;" "&amp;TEXT(IF(OR(LINEAS!$U$176=1,LINEAS!$U$176=3),1,-1)*LINEAS!$AB$176*DATOS!$C$67,DATOS!$C$68))</f>
        <v>*</v>
      </c>
      <c r="C202" s="42" t="str">
        <f t="shared" si="6"/>
        <v/>
      </c>
      <c r="D202" s="44" t="str">
        <f>IF(PRESIONES!$C$22="NO","",IF(OR(LINEAS!$D$176="",LINEAS!$U$176=0,ABS(IF(OR(LINEAS!$U$176=1,LINEAS!$U$176=3),1,-1)*LINEAS!$AB$176*DATOS!$C$67)&lt;0.00005),"*",LINEAS!$D$176&amp;" UNI "&amp;IF(LINEAS!$U$176&lt;=2,"GZ","GX")&amp;" "&amp;TEXT(IF(OR(LINEAS!$U$176=1,LINEAS!$U$176=3),1,-1)*LINEAS!$AB$176*DATOS!$C$67,DATOS!$C$68)))</f>
        <v/>
      </c>
      <c r="E202" s="42" t="str">
        <f t="shared" si="7"/>
        <v/>
      </c>
    </row>
    <row r="203" spans="2:5" ht="15" customHeight="1" x14ac:dyDescent="0.3">
      <c r="B203" s="44" t="str">
        <f>IF(OR(LINEAS!$D$177="",LINEAS!$U$177=0,ABS(IF(OR(LINEAS!$U$177=1,LINEAS!$U$177=3),1,-1)*LINEAS!$AB$177*DATOS!$C$67)&lt;0.00005),"*",LINEAS!$D$177&amp;" UNI "&amp;IF(LINEAS!$U$177&lt;=2,"GZ","GX")&amp;" "&amp;TEXT(IF(OR(LINEAS!$U$177=1,LINEAS!$U$177=3),1,-1)*LINEAS!$AB$177*DATOS!$C$67,DATOS!$C$68))</f>
        <v>*</v>
      </c>
      <c r="C203" s="42" t="str">
        <f t="shared" si="6"/>
        <v/>
      </c>
      <c r="D203" s="44" t="str">
        <f>IF(PRESIONES!$C$22="NO","",IF(OR(LINEAS!$D$177="",LINEAS!$U$177=0,ABS(IF(OR(LINEAS!$U$177=1,LINEAS!$U$177=3),1,-1)*LINEAS!$AB$177*DATOS!$C$67)&lt;0.00005),"*",LINEAS!$D$177&amp;" UNI "&amp;IF(LINEAS!$U$177&lt;=2,"GZ","GX")&amp;" "&amp;TEXT(IF(OR(LINEAS!$U$177=1,LINEAS!$U$177=3),1,-1)*LINEAS!$AB$177*DATOS!$C$67,DATOS!$C$68)))</f>
        <v/>
      </c>
      <c r="E203" s="42" t="str">
        <f t="shared" si="7"/>
        <v/>
      </c>
    </row>
    <row r="204" spans="2:5" ht="15" customHeight="1" x14ac:dyDescent="0.3">
      <c r="B204" s="44" t="str">
        <f>IF(OR(LINEAS!$D$178="",LINEAS!$U$178=0,ABS(IF(OR(LINEAS!$U$178=1,LINEAS!$U$178=3),1,-1)*LINEAS!$AB$178*DATOS!$C$67)&lt;0.00005),"*",LINEAS!$D$178&amp;" UNI "&amp;IF(LINEAS!$U$178&lt;=2,"GZ","GX")&amp;" "&amp;TEXT(IF(OR(LINEAS!$U$178=1,LINEAS!$U$178=3),1,-1)*LINEAS!$AB$178*DATOS!$C$67,DATOS!$C$68))</f>
        <v>*</v>
      </c>
      <c r="C204" s="42" t="str">
        <f t="shared" si="6"/>
        <v/>
      </c>
      <c r="D204" s="44" t="str">
        <f>IF(PRESIONES!$C$22="NO","",IF(OR(LINEAS!$D$178="",LINEAS!$U$178=0,ABS(IF(OR(LINEAS!$U$178=1,LINEAS!$U$178=3),1,-1)*LINEAS!$AB$178*DATOS!$C$67)&lt;0.00005),"*",LINEAS!$D$178&amp;" UNI "&amp;IF(LINEAS!$U$178&lt;=2,"GZ","GX")&amp;" "&amp;TEXT(IF(OR(LINEAS!$U$178=1,LINEAS!$U$178=3),1,-1)*LINEAS!$AB$178*DATOS!$C$67,DATOS!$C$68)))</f>
        <v/>
      </c>
      <c r="E204" s="42" t="str">
        <f t="shared" si="7"/>
        <v/>
      </c>
    </row>
    <row r="205" spans="2:5" ht="15" customHeight="1" x14ac:dyDescent="0.3">
      <c r="B205" s="44" t="str">
        <f>IF(OR(LINEAS!$D$179="",LINEAS!$U$179=0,ABS(IF(OR(LINEAS!$U$179=1,LINEAS!$U$179=3),1,-1)*LINEAS!$AB$179*DATOS!$C$67)&lt;0.00005),"*",LINEAS!$D$179&amp;" UNI "&amp;IF(LINEAS!$U$179&lt;=2,"GZ","GX")&amp;" "&amp;TEXT(IF(OR(LINEAS!$U$179=1,LINEAS!$U$179=3),1,-1)*LINEAS!$AB$179*DATOS!$C$67,DATOS!$C$68))</f>
        <v>*</v>
      </c>
      <c r="C205" s="42" t="str">
        <f t="shared" si="6"/>
        <v/>
      </c>
      <c r="D205" s="44" t="str">
        <f>IF(PRESIONES!$C$22="NO","",IF(OR(LINEAS!$D$179="",LINEAS!$U$179=0,ABS(IF(OR(LINEAS!$U$179=1,LINEAS!$U$179=3),1,-1)*LINEAS!$AB$179*DATOS!$C$67)&lt;0.00005),"*",LINEAS!$D$179&amp;" UNI "&amp;IF(LINEAS!$U$179&lt;=2,"GZ","GX")&amp;" "&amp;TEXT(IF(OR(LINEAS!$U$179=1,LINEAS!$U$179=3),1,-1)*LINEAS!$AB$179*DATOS!$C$67,DATOS!$C$68)))</f>
        <v/>
      </c>
      <c r="E205" s="42" t="str">
        <f t="shared" si="7"/>
        <v/>
      </c>
    </row>
    <row r="206" spans="2:5" ht="15" customHeight="1" x14ac:dyDescent="0.3">
      <c r="B206" s="44" t="str">
        <f>IF(OR(LINEAS!$D$180="",LINEAS!$U$180=0,ABS(IF(OR(LINEAS!$U$180=1,LINEAS!$U$180=3),1,-1)*LINEAS!$AB$180*DATOS!$C$67)&lt;0.00005),"*",LINEAS!$D$180&amp;" UNI "&amp;IF(LINEAS!$U$180&lt;=2,"GZ","GX")&amp;" "&amp;TEXT(IF(OR(LINEAS!$U$180=1,LINEAS!$U$180=3),1,-1)*LINEAS!$AB$180*DATOS!$C$67,DATOS!$C$68))</f>
        <v>*</v>
      </c>
      <c r="C206" s="42" t="str">
        <f t="shared" si="6"/>
        <v/>
      </c>
      <c r="D206" s="44" t="str">
        <f>IF(PRESIONES!$C$22="NO","",IF(OR(LINEAS!$D$180="",LINEAS!$U$180=0,ABS(IF(OR(LINEAS!$U$180=1,LINEAS!$U$180=3),1,-1)*LINEAS!$AB$180*DATOS!$C$67)&lt;0.00005),"*",LINEAS!$D$180&amp;" UNI "&amp;IF(LINEAS!$U$180&lt;=2,"GZ","GX")&amp;" "&amp;TEXT(IF(OR(LINEAS!$U$180=1,LINEAS!$U$180=3),1,-1)*LINEAS!$AB$180*DATOS!$C$67,DATOS!$C$68)))</f>
        <v/>
      </c>
      <c r="E206" s="42" t="str">
        <f t="shared" si="7"/>
        <v/>
      </c>
    </row>
    <row r="207" spans="2:5" ht="15" customHeight="1" x14ac:dyDescent="0.3">
      <c r="B207" s="44" t="str">
        <f>IF(OR(LINEAS!$D$181="",LINEAS!$U$181=0,ABS(IF(OR(LINEAS!$U$181=1,LINEAS!$U$181=3),1,-1)*LINEAS!$AB$181*DATOS!$C$67)&lt;0.00005),"*",LINEAS!$D$181&amp;" UNI "&amp;IF(LINEAS!$U$181&lt;=2,"GZ","GX")&amp;" "&amp;TEXT(IF(OR(LINEAS!$U$181=1,LINEAS!$U$181=3),1,-1)*LINEAS!$AB$181*DATOS!$C$67,DATOS!$C$68))</f>
        <v>*</v>
      </c>
      <c r="C207" s="42" t="str">
        <f t="shared" si="6"/>
        <v/>
      </c>
      <c r="D207" s="44" t="str">
        <f>IF(PRESIONES!$C$22="NO","",IF(OR(LINEAS!$D$181="",LINEAS!$U$181=0,ABS(IF(OR(LINEAS!$U$181=1,LINEAS!$U$181=3),1,-1)*LINEAS!$AB$181*DATOS!$C$67)&lt;0.00005),"*",LINEAS!$D$181&amp;" UNI "&amp;IF(LINEAS!$U$181&lt;=2,"GZ","GX")&amp;" "&amp;TEXT(IF(OR(LINEAS!$U$181=1,LINEAS!$U$181=3),1,-1)*LINEAS!$AB$181*DATOS!$C$67,DATOS!$C$68)))</f>
        <v/>
      </c>
      <c r="E207" s="42" t="str">
        <f t="shared" si="7"/>
        <v/>
      </c>
    </row>
    <row r="208" spans="2:5" ht="15" customHeight="1" x14ac:dyDescent="0.3">
      <c r="B208" s="44" t="str">
        <f>IF(OR(LINEAS!$D$182="",LINEAS!$U$182=0,ABS(IF(OR(LINEAS!$U$182=1,LINEAS!$U$182=3),1,-1)*LINEAS!$AB$182*DATOS!$C$67)&lt;0.00005),"*",LINEAS!$D$182&amp;" UNI "&amp;IF(LINEAS!$U$182&lt;=2,"GZ","GX")&amp;" "&amp;TEXT(IF(OR(LINEAS!$U$182=1,LINEAS!$U$182=3),1,-1)*LINEAS!$AB$182*DATOS!$C$67,DATOS!$C$68))</f>
        <v>*</v>
      </c>
      <c r="C208" s="42" t="str">
        <f t="shared" si="6"/>
        <v/>
      </c>
      <c r="D208" s="44" t="str">
        <f>IF(PRESIONES!$C$22="NO","",IF(OR(LINEAS!$D$182="",LINEAS!$U$182=0,ABS(IF(OR(LINEAS!$U$182=1,LINEAS!$U$182=3),1,-1)*LINEAS!$AB$182*DATOS!$C$67)&lt;0.00005),"*",LINEAS!$D$182&amp;" UNI "&amp;IF(LINEAS!$U$182&lt;=2,"GZ","GX")&amp;" "&amp;TEXT(IF(OR(LINEAS!$U$182=1,LINEAS!$U$182=3),1,-1)*LINEAS!$AB$182*DATOS!$C$67,DATOS!$C$68)))</f>
        <v/>
      </c>
      <c r="E208" s="42" t="str">
        <f t="shared" si="7"/>
        <v/>
      </c>
    </row>
    <row r="209" spans="2:5" ht="15" customHeight="1" x14ac:dyDescent="0.3">
      <c r="B209" s="44" t="str">
        <f>IF(OR(LINEAS!$D$183="",LINEAS!$U$183=0,ABS(IF(OR(LINEAS!$U$183=1,LINEAS!$U$183=3),1,-1)*LINEAS!$AB$183*DATOS!$C$67)&lt;0.00005),"*",LINEAS!$D$183&amp;" UNI "&amp;IF(LINEAS!$U$183&lt;=2,"GZ","GX")&amp;" "&amp;TEXT(IF(OR(LINEAS!$U$183=1,LINEAS!$U$183=3),1,-1)*LINEAS!$AB$183*DATOS!$C$67,DATOS!$C$68))</f>
        <v>*</v>
      </c>
      <c r="C209" s="42" t="str">
        <f t="shared" si="6"/>
        <v/>
      </c>
      <c r="D209" s="44" t="str">
        <f>IF(PRESIONES!$C$22="NO","",IF(OR(LINEAS!$D$183="",LINEAS!$U$183=0,ABS(IF(OR(LINEAS!$U$183=1,LINEAS!$U$183=3),1,-1)*LINEAS!$AB$183*DATOS!$C$67)&lt;0.00005),"*",LINEAS!$D$183&amp;" UNI "&amp;IF(LINEAS!$U$183&lt;=2,"GZ","GX")&amp;" "&amp;TEXT(IF(OR(LINEAS!$U$183=1,LINEAS!$U$183=3),1,-1)*LINEAS!$AB$183*DATOS!$C$67,DATOS!$C$68)))</f>
        <v/>
      </c>
      <c r="E209" s="42" t="str">
        <f t="shared" si="7"/>
        <v/>
      </c>
    </row>
    <row r="210" spans="2:5" ht="15" customHeight="1" x14ac:dyDescent="0.3">
      <c r="B210" s="44" t="str">
        <f>IF(OR(LINEAS!$D$184="",LINEAS!$U$184=0,ABS(IF(OR(LINEAS!$U$184=1,LINEAS!$U$184=3),1,-1)*LINEAS!$AB$184*DATOS!$C$67)&lt;0.00005),"*",LINEAS!$D$184&amp;" UNI "&amp;IF(LINEAS!$U$184&lt;=2,"GZ","GX")&amp;" "&amp;TEXT(IF(OR(LINEAS!$U$184=1,LINEAS!$U$184=3),1,-1)*LINEAS!$AB$184*DATOS!$C$67,DATOS!$C$68))</f>
        <v>*</v>
      </c>
      <c r="C210" s="42" t="str">
        <f t="shared" si="6"/>
        <v/>
      </c>
      <c r="D210" s="44" t="str">
        <f>IF(PRESIONES!$C$22="NO","",IF(OR(LINEAS!$D$184="",LINEAS!$U$184=0,ABS(IF(OR(LINEAS!$U$184=1,LINEAS!$U$184=3),1,-1)*LINEAS!$AB$184*DATOS!$C$67)&lt;0.00005),"*",LINEAS!$D$184&amp;" UNI "&amp;IF(LINEAS!$U$184&lt;=2,"GZ","GX")&amp;" "&amp;TEXT(IF(OR(LINEAS!$U$184=1,LINEAS!$U$184=3),1,-1)*LINEAS!$AB$184*DATOS!$C$67,DATOS!$C$68)))</f>
        <v/>
      </c>
      <c r="E210" s="42" t="str">
        <f t="shared" si="7"/>
        <v/>
      </c>
    </row>
    <row r="211" spans="2:5" ht="15" customHeight="1" x14ac:dyDescent="0.3">
      <c r="B211" s="44" t="str">
        <f>IF(OR(LINEAS!$D$185="",LINEAS!$U$185=0,ABS(IF(OR(LINEAS!$U$185=1,LINEAS!$U$185=3),1,-1)*LINEAS!$AB$185*DATOS!$C$67)&lt;0.00005),"*",LINEAS!$D$185&amp;" UNI "&amp;IF(LINEAS!$U$185&lt;=2,"GZ","GX")&amp;" "&amp;TEXT(IF(OR(LINEAS!$U$185=1,LINEAS!$U$185=3),1,-1)*LINEAS!$AB$185*DATOS!$C$67,DATOS!$C$68))</f>
        <v>*</v>
      </c>
      <c r="C211" s="42" t="str">
        <f t="shared" si="6"/>
        <v/>
      </c>
      <c r="D211" s="44" t="str">
        <f>IF(PRESIONES!$C$22="NO","",IF(OR(LINEAS!$D$185="",LINEAS!$U$185=0,ABS(IF(OR(LINEAS!$U$185=1,LINEAS!$U$185=3),1,-1)*LINEAS!$AB$185*DATOS!$C$67)&lt;0.00005),"*",LINEAS!$D$185&amp;" UNI "&amp;IF(LINEAS!$U$185&lt;=2,"GZ","GX")&amp;" "&amp;TEXT(IF(OR(LINEAS!$U$185=1,LINEAS!$U$185=3),1,-1)*LINEAS!$AB$185*DATOS!$C$67,DATOS!$C$68)))</f>
        <v/>
      </c>
      <c r="E211" s="42" t="str">
        <f t="shared" si="7"/>
        <v/>
      </c>
    </row>
    <row r="212" spans="2:5" ht="15" customHeight="1" x14ac:dyDescent="0.3">
      <c r="B212" s="44" t="str">
        <f>IF(OR(LINEAS!$D$186="",LINEAS!$U$186=0,ABS(IF(OR(LINEAS!$U$186=1,LINEAS!$U$186=3),1,-1)*LINEAS!$AB$186*DATOS!$C$67)&lt;0.00005),"*",LINEAS!$D$186&amp;" UNI "&amp;IF(LINEAS!$U$186&lt;=2,"GZ","GX")&amp;" "&amp;TEXT(IF(OR(LINEAS!$U$186=1,LINEAS!$U$186=3),1,-1)*LINEAS!$AB$186*DATOS!$C$67,DATOS!$C$68))</f>
        <v>*</v>
      </c>
      <c r="C212" s="42" t="str">
        <f t="shared" si="6"/>
        <v/>
      </c>
      <c r="D212" s="44" t="str">
        <f>IF(PRESIONES!$C$22="NO","",IF(OR(LINEAS!$D$186="",LINEAS!$U$186=0,ABS(IF(OR(LINEAS!$U$186=1,LINEAS!$U$186=3),1,-1)*LINEAS!$AB$186*DATOS!$C$67)&lt;0.00005),"*",LINEAS!$D$186&amp;" UNI "&amp;IF(LINEAS!$U$186&lt;=2,"GZ","GX")&amp;" "&amp;TEXT(IF(OR(LINEAS!$U$186=1,LINEAS!$U$186=3),1,-1)*LINEAS!$AB$186*DATOS!$C$67,DATOS!$C$68)))</f>
        <v/>
      </c>
      <c r="E212" s="42" t="str">
        <f t="shared" si="7"/>
        <v/>
      </c>
    </row>
    <row r="213" spans="2:5" ht="15" customHeight="1" x14ac:dyDescent="0.3">
      <c r="B213" s="44" t="str">
        <f>IF(OR(LINEAS!$D$187="",LINEAS!$U$187=0,ABS(IF(OR(LINEAS!$U$187=1,LINEAS!$U$187=3),1,-1)*LINEAS!$AB$187*DATOS!$C$67)&lt;0.00005),"*",LINEAS!$D$187&amp;" UNI "&amp;IF(LINEAS!$U$187&lt;=2,"GZ","GX")&amp;" "&amp;TEXT(IF(OR(LINEAS!$U$187=1,LINEAS!$U$187=3),1,-1)*LINEAS!$AB$187*DATOS!$C$67,DATOS!$C$68))</f>
        <v>*</v>
      </c>
      <c r="C213" s="42" t="str">
        <f t="shared" si="6"/>
        <v/>
      </c>
      <c r="D213" s="44" t="str">
        <f>IF(PRESIONES!$C$22="NO","",IF(OR(LINEAS!$D$187="",LINEAS!$U$187=0,ABS(IF(OR(LINEAS!$U$187=1,LINEAS!$U$187=3),1,-1)*LINEAS!$AB$187*DATOS!$C$67)&lt;0.00005),"*",LINEAS!$D$187&amp;" UNI "&amp;IF(LINEAS!$U$187&lt;=2,"GZ","GX")&amp;" "&amp;TEXT(IF(OR(LINEAS!$U$187=1,LINEAS!$U$187=3),1,-1)*LINEAS!$AB$187*DATOS!$C$67,DATOS!$C$68)))</f>
        <v/>
      </c>
      <c r="E213" s="42" t="str">
        <f t="shared" si="7"/>
        <v/>
      </c>
    </row>
    <row r="214" spans="2:5" ht="15" customHeight="1" x14ac:dyDescent="0.3">
      <c r="B214" s="44" t="str">
        <f>IF(OR(LINEAS!$D$188="",LINEAS!$U$188=0,ABS(IF(OR(LINEAS!$U$188=1,LINEAS!$U$188=3),1,-1)*LINEAS!$AB$188*DATOS!$C$67)&lt;0.00005),"*",LINEAS!$D$188&amp;" UNI "&amp;IF(LINEAS!$U$188&lt;=2,"GZ","GX")&amp;" "&amp;TEXT(IF(OR(LINEAS!$U$188=1,LINEAS!$U$188=3),1,-1)*LINEAS!$AB$188*DATOS!$C$67,DATOS!$C$68))</f>
        <v>*</v>
      </c>
      <c r="C214" s="42" t="str">
        <f t="shared" si="6"/>
        <v/>
      </c>
      <c r="D214" s="44" t="str">
        <f>IF(PRESIONES!$C$22="NO","",IF(OR(LINEAS!$D$188="",LINEAS!$U$188=0,ABS(IF(OR(LINEAS!$U$188=1,LINEAS!$U$188=3),1,-1)*LINEAS!$AB$188*DATOS!$C$67)&lt;0.00005),"*",LINEAS!$D$188&amp;" UNI "&amp;IF(LINEAS!$U$188&lt;=2,"GZ","GX")&amp;" "&amp;TEXT(IF(OR(LINEAS!$U$188=1,LINEAS!$U$188=3),1,-1)*LINEAS!$AB$188*DATOS!$C$67,DATOS!$C$68)))</f>
        <v/>
      </c>
      <c r="E214" s="42" t="str">
        <f t="shared" si="7"/>
        <v/>
      </c>
    </row>
    <row r="215" spans="2:5" ht="15" customHeight="1" x14ac:dyDescent="0.3">
      <c r="B215" s="44" t="str">
        <f>IF(OR(LINEAS!$D$189="",LINEAS!$U$189=0,ABS(IF(OR(LINEAS!$U$189=1,LINEAS!$U$189=3),1,-1)*LINEAS!$AB$189*DATOS!$C$67)&lt;0.00005),"*",LINEAS!$D$189&amp;" UNI "&amp;IF(LINEAS!$U$189&lt;=2,"GZ","GX")&amp;" "&amp;TEXT(IF(OR(LINEAS!$U$189=1,LINEAS!$U$189=3),1,-1)*LINEAS!$AB$189*DATOS!$C$67,DATOS!$C$68))</f>
        <v>*</v>
      </c>
      <c r="C215" s="42" t="str">
        <f t="shared" si="6"/>
        <v/>
      </c>
      <c r="D215" s="44" t="str">
        <f>IF(PRESIONES!$C$22="NO","",IF(OR(LINEAS!$D$189="",LINEAS!$U$189=0,ABS(IF(OR(LINEAS!$U$189=1,LINEAS!$U$189=3),1,-1)*LINEAS!$AB$189*DATOS!$C$67)&lt;0.00005),"*",LINEAS!$D$189&amp;" UNI "&amp;IF(LINEAS!$U$189&lt;=2,"GZ","GX")&amp;" "&amp;TEXT(IF(OR(LINEAS!$U$189=1,LINEAS!$U$189=3),1,-1)*LINEAS!$AB$189*DATOS!$C$67,DATOS!$C$68)))</f>
        <v/>
      </c>
      <c r="E215" s="42" t="str">
        <f t="shared" si="7"/>
        <v/>
      </c>
    </row>
    <row r="216" spans="2:5" ht="15" customHeight="1" x14ac:dyDescent="0.3">
      <c r="B216" s="44" t="str">
        <f>IF(OR(LINEAS!$D$190="",LINEAS!$U$190=0,ABS(IF(OR(LINEAS!$U$190=1,LINEAS!$U$190=3),1,-1)*LINEAS!$AB$190*DATOS!$C$67)&lt;0.00005),"*",LINEAS!$D$190&amp;" UNI "&amp;IF(LINEAS!$U$190&lt;=2,"GZ","GX")&amp;" "&amp;TEXT(IF(OR(LINEAS!$U$190=1,LINEAS!$U$190=3),1,-1)*LINEAS!$AB$190*DATOS!$C$67,DATOS!$C$68))</f>
        <v>*</v>
      </c>
      <c r="C216" s="42" t="str">
        <f t="shared" si="6"/>
        <v/>
      </c>
      <c r="D216" s="44" t="str">
        <f>IF(PRESIONES!$C$22="NO","",IF(OR(LINEAS!$D$190="",LINEAS!$U$190=0,ABS(IF(OR(LINEAS!$U$190=1,LINEAS!$U$190=3),1,-1)*LINEAS!$AB$190*DATOS!$C$67)&lt;0.00005),"*",LINEAS!$D$190&amp;" UNI "&amp;IF(LINEAS!$U$190&lt;=2,"GZ","GX")&amp;" "&amp;TEXT(IF(OR(LINEAS!$U$190=1,LINEAS!$U$190=3),1,-1)*LINEAS!$AB$190*DATOS!$C$67,DATOS!$C$68)))</f>
        <v/>
      </c>
      <c r="E216" s="42" t="str">
        <f t="shared" si="7"/>
        <v/>
      </c>
    </row>
    <row r="217" spans="2:5" ht="15" customHeight="1" x14ac:dyDescent="0.3">
      <c r="B217" s="44" t="str">
        <f>IF(OR(LINEAS!$D$191="",LINEAS!$U$191=0,ABS(IF(OR(LINEAS!$U$191=1,LINEAS!$U$191=3),1,-1)*LINEAS!$AB$191*DATOS!$C$67)&lt;0.00005),"*",LINEAS!$D$191&amp;" UNI "&amp;IF(LINEAS!$U$191&lt;=2,"GZ","GX")&amp;" "&amp;TEXT(IF(OR(LINEAS!$U$191=1,LINEAS!$U$191=3),1,-1)*LINEAS!$AB$191*DATOS!$C$67,DATOS!$C$68))</f>
        <v>*</v>
      </c>
      <c r="C217" s="42" t="str">
        <f t="shared" si="6"/>
        <v/>
      </c>
      <c r="D217" s="44" t="str">
        <f>IF(PRESIONES!$C$22="NO","",IF(OR(LINEAS!$D$191="",LINEAS!$U$191=0,ABS(IF(OR(LINEAS!$U$191=1,LINEAS!$U$191=3),1,-1)*LINEAS!$AB$191*DATOS!$C$67)&lt;0.00005),"*",LINEAS!$D$191&amp;" UNI "&amp;IF(LINEAS!$U$191&lt;=2,"GZ","GX")&amp;" "&amp;TEXT(IF(OR(LINEAS!$U$191=1,LINEAS!$U$191=3),1,-1)*LINEAS!$AB$191*DATOS!$C$67,DATOS!$C$68)))</f>
        <v/>
      </c>
      <c r="E217" s="42" t="str">
        <f t="shared" si="7"/>
        <v/>
      </c>
    </row>
    <row r="218" spans="2:5" ht="15" customHeight="1" x14ac:dyDescent="0.3">
      <c r="B218" s="44" t="str">
        <f>IF(OR(LINEAS!$D$192="",LINEAS!$U$192=0,ABS(IF(OR(LINEAS!$U$192=1,LINEAS!$U$192=3),1,-1)*LINEAS!$AB$192*DATOS!$C$67)&lt;0.00005),"*",LINEAS!$D$192&amp;" UNI "&amp;IF(LINEAS!$U$192&lt;=2,"GZ","GX")&amp;" "&amp;TEXT(IF(OR(LINEAS!$U$192=1,LINEAS!$U$192=3),1,-1)*LINEAS!$AB$192*DATOS!$C$67,DATOS!$C$68))</f>
        <v>*</v>
      </c>
      <c r="C218" s="42" t="str">
        <f t="shared" si="6"/>
        <v/>
      </c>
      <c r="D218" s="44" t="str">
        <f>IF(PRESIONES!$C$22="NO","",IF(OR(LINEAS!$D$192="",LINEAS!$U$192=0,ABS(IF(OR(LINEAS!$U$192=1,LINEAS!$U$192=3),1,-1)*LINEAS!$AB$192*DATOS!$C$67)&lt;0.00005),"*",LINEAS!$D$192&amp;" UNI "&amp;IF(LINEAS!$U$192&lt;=2,"GZ","GX")&amp;" "&amp;TEXT(IF(OR(LINEAS!$U$192=1,LINEAS!$U$192=3),1,-1)*LINEAS!$AB$192*DATOS!$C$67,DATOS!$C$68)))</f>
        <v/>
      </c>
      <c r="E218" s="42" t="str">
        <f t="shared" si="7"/>
        <v/>
      </c>
    </row>
    <row r="219" spans="2:5" ht="15" customHeight="1" x14ac:dyDescent="0.3">
      <c r="B219" s="44" t="str">
        <f>IF(OR(LINEAS!$D$193="",LINEAS!$U$193=0,ABS(IF(OR(LINEAS!$U$193=1,LINEAS!$U$193=3),1,-1)*LINEAS!$AB$193*DATOS!$C$67)&lt;0.00005),"*",LINEAS!$D$193&amp;" UNI "&amp;IF(LINEAS!$U$193&lt;=2,"GZ","GX")&amp;" "&amp;TEXT(IF(OR(LINEAS!$U$193=1,LINEAS!$U$193=3),1,-1)*LINEAS!$AB$193*DATOS!$C$67,DATOS!$C$68))</f>
        <v>*</v>
      </c>
      <c r="C219" s="42" t="str">
        <f t="shared" si="6"/>
        <v/>
      </c>
      <c r="D219" s="44" t="str">
        <f>IF(PRESIONES!$C$22="NO","",IF(OR(LINEAS!$D$193="",LINEAS!$U$193=0,ABS(IF(OR(LINEAS!$U$193=1,LINEAS!$U$193=3),1,-1)*LINEAS!$AB$193*DATOS!$C$67)&lt;0.00005),"*",LINEAS!$D$193&amp;" UNI "&amp;IF(LINEAS!$U$193&lt;=2,"GZ","GX")&amp;" "&amp;TEXT(IF(OR(LINEAS!$U$193=1,LINEAS!$U$193=3),1,-1)*LINEAS!$AB$193*DATOS!$C$67,DATOS!$C$68)))</f>
        <v/>
      </c>
      <c r="E219" s="42" t="str">
        <f t="shared" si="7"/>
        <v/>
      </c>
    </row>
    <row r="220" spans="2:5" ht="15" customHeight="1" x14ac:dyDescent="0.3">
      <c r="B220" s="44" t="str">
        <f>IF(OR(LINEAS!$D$194="",LINEAS!$U$194=0,ABS(IF(OR(LINEAS!$U$194=1,LINEAS!$U$194=3),1,-1)*LINEAS!$AB$194*DATOS!$C$67)&lt;0.00005),"*",LINEAS!$D$194&amp;" UNI "&amp;IF(LINEAS!$U$194&lt;=2,"GZ","GX")&amp;" "&amp;TEXT(IF(OR(LINEAS!$U$194=1,LINEAS!$U$194=3),1,-1)*LINEAS!$AB$194*DATOS!$C$67,DATOS!$C$68))</f>
        <v>*</v>
      </c>
      <c r="C220" s="42" t="str">
        <f t="shared" si="6"/>
        <v/>
      </c>
      <c r="D220" s="44" t="str">
        <f>IF(PRESIONES!$C$22="NO","",IF(OR(LINEAS!$D$194="",LINEAS!$U$194=0,ABS(IF(OR(LINEAS!$U$194=1,LINEAS!$U$194=3),1,-1)*LINEAS!$AB$194*DATOS!$C$67)&lt;0.00005),"*",LINEAS!$D$194&amp;" UNI "&amp;IF(LINEAS!$U$194&lt;=2,"GZ","GX")&amp;" "&amp;TEXT(IF(OR(LINEAS!$U$194=1,LINEAS!$U$194=3),1,-1)*LINEAS!$AB$194*DATOS!$C$67,DATOS!$C$68)))</f>
        <v/>
      </c>
      <c r="E220" s="42" t="str">
        <f t="shared" si="7"/>
        <v/>
      </c>
    </row>
    <row r="221" spans="2:5" ht="15" customHeight="1" x14ac:dyDescent="0.3">
      <c r="B221" s="43" t="str">
        <f>"LOAD "&amp;(DATOS!$C$66+1)&amp;" LOADTYPE Wind  TITLE "&amp;DATOS!$E$73</f>
        <v>LOAD 9 LOADTYPE Wind  TITLE VIENTO -X</v>
      </c>
      <c r="C221" s="42" t="str">
        <f t="shared" si="6"/>
        <v/>
      </c>
      <c r="D221" s="44" t="str">
        <f>IF(PRESIONES!$C$22="NO",IF(2=1,"* CASOS B = CASOS A (SIN ±0.4 NI +0.3 EN EL TECHO): NO HACE FALTA",""),"LOAD "&amp;(DATOS!$C$69+1)&amp;" LOADTYPE Wind  TITLE "&amp;DATOS!$E$73&amp;" B")</f>
        <v/>
      </c>
      <c r="E221" s="42" t="str">
        <f t="shared" si="7"/>
        <v/>
      </c>
    </row>
    <row r="222" spans="2:5" ht="15" customHeight="1" x14ac:dyDescent="0.3">
      <c r="B222" s="44" t="s">
        <v>632</v>
      </c>
      <c r="C222" s="42" t="str">
        <f t="shared" si="6"/>
        <v/>
      </c>
      <c r="D222" s="44" t="str">
        <f>IF(PRESIONES!$C$22="NO","","MEMBER LOAD")</f>
        <v/>
      </c>
      <c r="E222" s="42" t="str">
        <f t="shared" si="7"/>
        <v/>
      </c>
    </row>
    <row r="223" spans="2:5" ht="15" customHeight="1" x14ac:dyDescent="0.3">
      <c r="B223" s="44" t="str">
        <f>IF(OR(LINEAS!$D$9="",ABS(-LINEAS!$AC$9*DATOS!$C$67)&lt;0.00005),"*",LINEAS!$D$9&amp;" UNI GY "&amp;TEXT(-LINEAS!$AC$9*DATOS!$C$67,DATOS!$C$68))</f>
        <v>22 85 TO 88 UNI GY 0.0659</v>
      </c>
      <c r="C223" s="42" t="str">
        <f t="shared" si="6"/>
        <v/>
      </c>
      <c r="D223" s="44" t="str">
        <f>IF(PRESIONES!$C$22="NO","",IF(OR(LINEAS!$D$9="",ABS(-LINEAS!$AS$9*DATOS!$C$67)&lt;0.00005),"*",LINEAS!$D$9&amp;" UNI GY "&amp;TEXT(-LINEAS!$AS$9*DATOS!$C$67,DATOS!$C$68)))</f>
        <v/>
      </c>
      <c r="E223" s="42" t="str">
        <f t="shared" si="7"/>
        <v/>
      </c>
    </row>
    <row r="224" spans="2:5" ht="15" customHeight="1" x14ac:dyDescent="0.3">
      <c r="B224" s="44" t="str">
        <f>IF(OR(LINEAS!$D$9="",DATOS!$C$22="—",ABS(LINEAS!$AK$9*DATOS!$C$67)&lt;0.00005),"*",LINEAS!$D$9&amp;" UNI G"&amp;DATOS!$C$22&amp;" "&amp;TEXT(LINEAS!$AK$9*DATOS!$C$67,DATOS!$C$68))</f>
        <v>22 85 TO 88 UNI GZ 0.0033</v>
      </c>
      <c r="C224" s="42" t="str">
        <f t="shared" si="6"/>
        <v/>
      </c>
      <c r="D224" s="44" t="str">
        <f>IF(PRESIONES!$C$22="NO","",IF(OR(LINEAS!$D$9="",DATOS!$C$22="—",ABS(LINEAS!$BA$9*DATOS!$C$67)&lt;0.00005),"*",LINEAS!$D$9&amp;" UNI G"&amp;DATOS!$C$22&amp;" "&amp;TEXT(LINEAS!$BA$9*DATOS!$C$67,DATOS!$C$68)))</f>
        <v/>
      </c>
      <c r="E224" s="42" t="str">
        <f t="shared" si="7"/>
        <v/>
      </c>
    </row>
    <row r="225" spans="2:5" ht="15" customHeight="1" x14ac:dyDescent="0.3">
      <c r="B225" s="44" t="str">
        <f>IF(OR(LINEAS!$D$10="",ABS(-LINEAS!$AC$10*DATOS!$C$67)&lt;0.00005),"*",LINEAS!$D$10&amp;" UNI GY "&amp;TEXT(-LINEAS!$AC$10*DATOS!$C$67,DATOS!$C$68))</f>
        <v>80 129 TO 132 UNI GY 0.1318</v>
      </c>
      <c r="C225" s="42" t="str">
        <f t="shared" si="6"/>
        <v/>
      </c>
      <c r="D225" s="44" t="str">
        <f>IF(PRESIONES!$C$22="NO","",IF(OR(LINEAS!$D$10="",ABS(-LINEAS!$AS$10*DATOS!$C$67)&lt;0.00005),"*",LINEAS!$D$10&amp;" UNI GY "&amp;TEXT(-LINEAS!$AS$10*DATOS!$C$67,DATOS!$C$68)))</f>
        <v/>
      </c>
      <c r="E225" s="42" t="str">
        <f t="shared" si="7"/>
        <v/>
      </c>
    </row>
    <row r="226" spans="2:5" ht="15" customHeight="1" x14ac:dyDescent="0.3">
      <c r="B226" s="44" t="str">
        <f>IF(OR(LINEAS!$D$10="",DATOS!$C$22="—",ABS(LINEAS!$AK$10*DATOS!$C$67)&lt;0.00005),"*",LINEAS!$D$10&amp;" UNI G"&amp;DATOS!$C$22&amp;" "&amp;TEXT(LINEAS!$AK$10*DATOS!$C$67,DATOS!$C$68))</f>
        <v>80 129 TO 132 UNI GZ 0.0066</v>
      </c>
      <c r="C226" s="42" t="str">
        <f t="shared" si="6"/>
        <v/>
      </c>
      <c r="D226" s="44" t="str">
        <f>IF(PRESIONES!$C$22="NO","",IF(OR(LINEAS!$D$10="",DATOS!$C$22="—",ABS(LINEAS!$BA$10*DATOS!$C$67)&lt;0.00005),"*",LINEAS!$D$10&amp;" UNI G"&amp;DATOS!$C$22&amp;" "&amp;TEXT(LINEAS!$BA$10*DATOS!$C$67,DATOS!$C$68)))</f>
        <v/>
      </c>
      <c r="E226" s="42" t="str">
        <f t="shared" si="7"/>
        <v/>
      </c>
    </row>
    <row r="227" spans="2:5" ht="15" customHeight="1" x14ac:dyDescent="0.3">
      <c r="B227" s="44" t="str">
        <f>IF(OR(LINEAS!$D$11="",ABS(-LINEAS!$AC$11*DATOS!$C$67)&lt;0.00005),"*",LINEAS!$D$11&amp;" UNI GY "&amp;TEXT(-LINEAS!$AC$11*DATOS!$C$67,DATOS!$C$68))</f>
        <v>79 125 TO 128 UNI GY 0.1318</v>
      </c>
      <c r="C227" s="42" t="str">
        <f t="shared" si="6"/>
        <v/>
      </c>
      <c r="D227" s="44" t="str">
        <f>IF(PRESIONES!$C$22="NO","",IF(OR(LINEAS!$D$11="",ABS(-LINEAS!$AS$11*DATOS!$C$67)&lt;0.00005),"*",LINEAS!$D$11&amp;" UNI GY "&amp;TEXT(-LINEAS!$AS$11*DATOS!$C$67,DATOS!$C$68)))</f>
        <v/>
      </c>
      <c r="E227" s="42" t="str">
        <f t="shared" si="7"/>
        <v/>
      </c>
    </row>
    <row r="228" spans="2:5" ht="15" customHeight="1" x14ac:dyDescent="0.3">
      <c r="B228" s="44" t="str">
        <f>IF(OR(LINEAS!$D$11="",DATOS!$C$22="—",ABS(LINEAS!$AK$11*DATOS!$C$67)&lt;0.00005),"*",LINEAS!$D$11&amp;" UNI G"&amp;DATOS!$C$22&amp;" "&amp;TEXT(LINEAS!$AK$11*DATOS!$C$67,DATOS!$C$68))</f>
        <v>79 125 TO 128 UNI GZ 0.0066</v>
      </c>
      <c r="C228" s="42" t="str">
        <f t="shared" si="6"/>
        <v/>
      </c>
      <c r="D228" s="44" t="str">
        <f>IF(PRESIONES!$C$22="NO","",IF(OR(LINEAS!$D$11="",DATOS!$C$22="—",ABS(LINEAS!$BA$11*DATOS!$C$67)&lt;0.00005),"*",LINEAS!$D$11&amp;" UNI G"&amp;DATOS!$C$22&amp;" "&amp;TEXT(LINEAS!$BA$11*DATOS!$C$67,DATOS!$C$68)))</f>
        <v/>
      </c>
      <c r="E228" s="42" t="str">
        <f t="shared" si="7"/>
        <v/>
      </c>
    </row>
    <row r="229" spans="2:5" ht="15" customHeight="1" x14ac:dyDescent="0.3">
      <c r="B229" s="44" t="str">
        <f>IF(OR(LINEAS!$D$12="",ABS(-LINEAS!$AC$12*DATOS!$C$67)&lt;0.00005),"*",LINEAS!$D$12&amp;" UNI GY "&amp;TEXT(-LINEAS!$AC$12*DATOS!$C$67,DATOS!$C$68))</f>
        <v>78 121 TO 124 UNI GY 0.1318</v>
      </c>
      <c r="C229" s="42" t="str">
        <f t="shared" si="6"/>
        <v/>
      </c>
      <c r="D229" s="44" t="str">
        <f>IF(PRESIONES!$C$22="NO","",IF(OR(LINEAS!$D$12="",ABS(-LINEAS!$AS$12*DATOS!$C$67)&lt;0.00005),"*",LINEAS!$D$12&amp;" UNI GY "&amp;TEXT(-LINEAS!$AS$12*DATOS!$C$67,DATOS!$C$68)))</f>
        <v/>
      </c>
      <c r="E229" s="42" t="str">
        <f t="shared" si="7"/>
        <v/>
      </c>
    </row>
    <row r="230" spans="2:5" ht="15" customHeight="1" x14ac:dyDescent="0.3">
      <c r="B230" s="44" t="str">
        <f>IF(OR(LINEAS!$D$12="",DATOS!$C$22="—",ABS(LINEAS!$AK$12*DATOS!$C$67)&lt;0.00005),"*",LINEAS!$D$12&amp;" UNI G"&amp;DATOS!$C$22&amp;" "&amp;TEXT(LINEAS!$AK$12*DATOS!$C$67,DATOS!$C$68))</f>
        <v>78 121 TO 124 UNI GZ 0.0066</v>
      </c>
      <c r="C230" s="42" t="str">
        <f t="shared" si="6"/>
        <v/>
      </c>
      <c r="D230" s="44" t="str">
        <f>IF(PRESIONES!$C$22="NO","",IF(OR(LINEAS!$D$12="",DATOS!$C$22="—",ABS(LINEAS!$BA$12*DATOS!$C$67)&lt;0.00005),"*",LINEAS!$D$12&amp;" UNI G"&amp;DATOS!$C$22&amp;" "&amp;TEXT(LINEAS!$BA$12*DATOS!$C$67,DATOS!$C$68)))</f>
        <v/>
      </c>
      <c r="E230" s="42" t="str">
        <f t="shared" si="7"/>
        <v/>
      </c>
    </row>
    <row r="231" spans="2:5" ht="15" customHeight="1" x14ac:dyDescent="0.3">
      <c r="B231" s="44" t="str">
        <f>IF(OR(LINEAS!$D$13="",ABS(-LINEAS!$AC$13*DATOS!$C$67)&lt;0.00005),"*",LINEAS!$D$13&amp;" UNI GY "&amp;TEXT(-LINEAS!$AC$13*DATOS!$C$67,DATOS!$C$68))</f>
        <v>77 117 TO 120 UNI GY 0.1318</v>
      </c>
      <c r="C231" s="42" t="str">
        <f t="shared" si="6"/>
        <v/>
      </c>
      <c r="D231" s="44" t="str">
        <f>IF(PRESIONES!$C$22="NO","",IF(OR(LINEAS!$D$13="",ABS(-LINEAS!$AS$13*DATOS!$C$67)&lt;0.00005),"*",LINEAS!$D$13&amp;" UNI GY "&amp;TEXT(-LINEAS!$AS$13*DATOS!$C$67,DATOS!$C$68)))</f>
        <v/>
      </c>
      <c r="E231" s="42" t="str">
        <f t="shared" si="7"/>
        <v/>
      </c>
    </row>
    <row r="232" spans="2:5" ht="15" customHeight="1" x14ac:dyDescent="0.3">
      <c r="B232" s="44" t="str">
        <f>IF(OR(LINEAS!$D$13="",DATOS!$C$22="—",ABS(LINEAS!$AK$13*DATOS!$C$67)&lt;0.00005),"*",LINEAS!$D$13&amp;" UNI G"&amp;DATOS!$C$22&amp;" "&amp;TEXT(LINEAS!$AK$13*DATOS!$C$67,DATOS!$C$68))</f>
        <v>77 117 TO 120 UNI GZ 0.0066</v>
      </c>
      <c r="C232" s="42" t="str">
        <f t="shared" si="6"/>
        <v/>
      </c>
      <c r="D232" s="44" t="str">
        <f>IF(PRESIONES!$C$22="NO","",IF(OR(LINEAS!$D$13="",DATOS!$C$22="—",ABS(LINEAS!$BA$13*DATOS!$C$67)&lt;0.00005),"*",LINEAS!$D$13&amp;" UNI G"&amp;DATOS!$C$22&amp;" "&amp;TEXT(LINEAS!$BA$13*DATOS!$C$67,DATOS!$C$68)))</f>
        <v/>
      </c>
      <c r="E232" s="42" t="str">
        <f t="shared" si="7"/>
        <v/>
      </c>
    </row>
    <row r="233" spans="2:5" ht="15" customHeight="1" x14ac:dyDescent="0.3">
      <c r="B233" s="44" t="str">
        <f>IF(OR(LINEAS!$D$14="",ABS(-LINEAS!$AC$14*DATOS!$C$67)&lt;0.00005),"*",LINEAS!$D$14&amp;" UNI GY "&amp;TEXT(-LINEAS!$AC$14*DATOS!$C$67,DATOS!$C$68))</f>
        <v>9 93 TO 96 UNI GY 0.1318</v>
      </c>
      <c r="C233" s="42" t="str">
        <f t="shared" si="6"/>
        <v/>
      </c>
      <c r="D233" s="44" t="str">
        <f>IF(PRESIONES!$C$22="NO","",IF(OR(LINEAS!$D$14="",ABS(-LINEAS!$AS$14*DATOS!$C$67)&lt;0.00005),"*",LINEAS!$D$14&amp;" UNI GY "&amp;TEXT(-LINEAS!$AS$14*DATOS!$C$67,DATOS!$C$68)))</f>
        <v/>
      </c>
      <c r="E233" s="42" t="str">
        <f t="shared" si="7"/>
        <v/>
      </c>
    </row>
    <row r="234" spans="2:5" ht="15" customHeight="1" x14ac:dyDescent="0.3">
      <c r="B234" s="44" t="str">
        <f>IF(OR(LINEAS!$D$14="",DATOS!$C$22="—",ABS(LINEAS!$AK$14*DATOS!$C$67)&lt;0.00005),"*",LINEAS!$D$14&amp;" UNI G"&amp;DATOS!$C$22&amp;" "&amp;TEXT(LINEAS!$AK$14*DATOS!$C$67,DATOS!$C$68))</f>
        <v>9 93 TO 96 UNI GZ 0.0066</v>
      </c>
      <c r="C234" s="42" t="str">
        <f t="shared" si="6"/>
        <v/>
      </c>
      <c r="D234" s="44" t="str">
        <f>IF(PRESIONES!$C$22="NO","",IF(OR(LINEAS!$D$14="",DATOS!$C$22="—",ABS(LINEAS!$BA$14*DATOS!$C$67)&lt;0.00005),"*",LINEAS!$D$14&amp;" UNI G"&amp;DATOS!$C$22&amp;" "&amp;TEXT(LINEAS!$BA$14*DATOS!$C$67,DATOS!$C$68)))</f>
        <v/>
      </c>
      <c r="E234" s="42" t="str">
        <f t="shared" si="7"/>
        <v/>
      </c>
    </row>
    <row r="235" spans="2:5" ht="15" customHeight="1" x14ac:dyDescent="0.3">
      <c r="B235" s="44" t="str">
        <f>IF(OR(LINEAS!$D$15="",ABS(-LINEAS!$AC$15*DATOS!$C$67)&lt;0.00005),"*",LINEAS!$D$15&amp;" UNI GY "&amp;TEXT(-LINEAS!$AC$15*DATOS!$C$67,DATOS!$C$68))</f>
        <v>76 113 TO 116 UNI GY 0.1318</v>
      </c>
      <c r="C235" s="42" t="str">
        <f t="shared" si="6"/>
        <v/>
      </c>
      <c r="D235" s="44" t="str">
        <f>IF(PRESIONES!$C$22="NO","",IF(OR(LINEAS!$D$15="",ABS(-LINEAS!$AS$15*DATOS!$C$67)&lt;0.00005),"*",LINEAS!$D$15&amp;" UNI GY "&amp;TEXT(-LINEAS!$AS$15*DATOS!$C$67,DATOS!$C$68)))</f>
        <v/>
      </c>
      <c r="E235" s="42" t="str">
        <f t="shared" si="7"/>
        <v/>
      </c>
    </row>
    <row r="236" spans="2:5" ht="15" customHeight="1" x14ac:dyDescent="0.3">
      <c r="B236" s="44" t="str">
        <f>IF(OR(LINEAS!$D$15="",DATOS!$C$22="—",ABS(LINEAS!$AK$15*DATOS!$C$67)&lt;0.00005),"*",LINEAS!$D$15&amp;" UNI G"&amp;DATOS!$C$22&amp;" "&amp;TEXT(LINEAS!$AK$15*DATOS!$C$67,DATOS!$C$68))</f>
        <v>76 113 TO 116 UNI GZ 0.0066</v>
      </c>
      <c r="C236" s="42" t="str">
        <f t="shared" si="6"/>
        <v/>
      </c>
      <c r="D236" s="44" t="str">
        <f>IF(PRESIONES!$C$22="NO","",IF(OR(LINEAS!$D$15="",DATOS!$C$22="—",ABS(LINEAS!$BA$15*DATOS!$C$67)&lt;0.00005),"*",LINEAS!$D$15&amp;" UNI G"&amp;DATOS!$C$22&amp;" "&amp;TEXT(LINEAS!$BA$15*DATOS!$C$67,DATOS!$C$68)))</f>
        <v/>
      </c>
      <c r="E236" s="42" t="str">
        <f t="shared" si="7"/>
        <v/>
      </c>
    </row>
    <row r="237" spans="2:5" ht="15" customHeight="1" x14ac:dyDescent="0.3">
      <c r="B237" s="44" t="str">
        <f>IF(OR(LINEAS!$D$16="",ABS(-LINEAS!$AC$16*DATOS!$C$67)&lt;0.00005),"*",LINEAS!$D$16&amp;" UNI GY "&amp;TEXT(-LINEAS!$AC$16*DATOS!$C$67,DATOS!$C$68))</f>
        <v>75 109 TO 112 UNI GY 0.1318</v>
      </c>
      <c r="C237" s="42" t="str">
        <f t="shared" si="6"/>
        <v/>
      </c>
      <c r="D237" s="44" t="str">
        <f>IF(PRESIONES!$C$22="NO","",IF(OR(LINEAS!$D$16="",ABS(-LINEAS!$AS$16*DATOS!$C$67)&lt;0.00005),"*",LINEAS!$D$16&amp;" UNI GY "&amp;TEXT(-LINEAS!$AS$16*DATOS!$C$67,DATOS!$C$68)))</f>
        <v/>
      </c>
      <c r="E237" s="42" t="str">
        <f t="shared" si="7"/>
        <v/>
      </c>
    </row>
    <row r="238" spans="2:5" ht="15" customHeight="1" x14ac:dyDescent="0.3">
      <c r="B238" s="44" t="str">
        <f>IF(OR(LINEAS!$D$16="",DATOS!$C$22="—",ABS(LINEAS!$AK$16*DATOS!$C$67)&lt;0.00005),"*",LINEAS!$D$16&amp;" UNI G"&amp;DATOS!$C$22&amp;" "&amp;TEXT(LINEAS!$AK$16*DATOS!$C$67,DATOS!$C$68))</f>
        <v>75 109 TO 112 UNI GZ 0.0066</v>
      </c>
      <c r="C238" s="42" t="str">
        <f t="shared" si="6"/>
        <v/>
      </c>
      <c r="D238" s="44" t="str">
        <f>IF(PRESIONES!$C$22="NO","",IF(OR(LINEAS!$D$16="",DATOS!$C$22="—",ABS(LINEAS!$BA$16*DATOS!$C$67)&lt;0.00005),"*",LINEAS!$D$16&amp;" UNI G"&amp;DATOS!$C$22&amp;" "&amp;TEXT(LINEAS!$BA$16*DATOS!$C$67,DATOS!$C$68)))</f>
        <v/>
      </c>
      <c r="E238" s="42" t="str">
        <f t="shared" si="7"/>
        <v/>
      </c>
    </row>
    <row r="239" spans="2:5" ht="15" customHeight="1" x14ac:dyDescent="0.3">
      <c r="B239" s="44" t="str">
        <f>IF(OR(LINEAS!$D$17="",ABS(-LINEAS!$AC$17*DATOS!$C$67)&lt;0.00005),"*",LINEAS!$D$17&amp;" UNI GY "&amp;TEXT(-LINEAS!$AC$17*DATOS!$C$67,DATOS!$C$68))</f>
        <v>74 105 TO 108 UNI GY 0.1318</v>
      </c>
      <c r="C239" s="42" t="str">
        <f t="shared" si="6"/>
        <v/>
      </c>
      <c r="D239" s="44" t="str">
        <f>IF(PRESIONES!$C$22="NO","",IF(OR(LINEAS!$D$17="",ABS(-LINEAS!$AS$17*DATOS!$C$67)&lt;0.00005),"*",LINEAS!$D$17&amp;" UNI GY "&amp;TEXT(-LINEAS!$AS$17*DATOS!$C$67,DATOS!$C$68)))</f>
        <v/>
      </c>
      <c r="E239" s="42" t="str">
        <f t="shared" si="7"/>
        <v/>
      </c>
    </row>
    <row r="240" spans="2:5" ht="15" customHeight="1" x14ac:dyDescent="0.3">
      <c r="B240" s="44" t="str">
        <f>IF(OR(LINEAS!$D$17="",DATOS!$C$22="—",ABS(LINEAS!$AK$17*DATOS!$C$67)&lt;0.00005),"*",LINEAS!$D$17&amp;" UNI G"&amp;DATOS!$C$22&amp;" "&amp;TEXT(LINEAS!$AK$17*DATOS!$C$67,DATOS!$C$68))</f>
        <v>74 105 TO 108 UNI GZ 0.0066</v>
      </c>
      <c r="C240" s="42" t="str">
        <f t="shared" si="6"/>
        <v/>
      </c>
      <c r="D240" s="44" t="str">
        <f>IF(PRESIONES!$C$22="NO","",IF(OR(LINEAS!$D$17="",DATOS!$C$22="—",ABS(LINEAS!$BA$17*DATOS!$C$67)&lt;0.00005),"*",LINEAS!$D$17&amp;" UNI G"&amp;DATOS!$C$22&amp;" "&amp;TEXT(LINEAS!$BA$17*DATOS!$C$67,DATOS!$C$68)))</f>
        <v/>
      </c>
      <c r="E240" s="42" t="str">
        <f t="shared" si="7"/>
        <v/>
      </c>
    </row>
    <row r="241" spans="2:5" ht="15" customHeight="1" x14ac:dyDescent="0.3">
      <c r="B241" s="44" t="str">
        <f>IF(OR(LINEAS!$D$18="",ABS(-LINEAS!$AC$18*DATOS!$C$67)&lt;0.00005),"*",LINEAS!$D$18&amp;" UNI GY "&amp;TEXT(-LINEAS!$AC$18*DATOS!$C$67,DATOS!$C$68))</f>
        <v>73 101 TO 104 UNI GY 0.1318</v>
      </c>
      <c r="C241" s="42" t="str">
        <f t="shared" si="6"/>
        <v/>
      </c>
      <c r="D241" s="44" t="str">
        <f>IF(PRESIONES!$C$22="NO","",IF(OR(LINEAS!$D$18="",ABS(-LINEAS!$AS$18*DATOS!$C$67)&lt;0.00005),"*",LINEAS!$D$18&amp;" UNI GY "&amp;TEXT(-LINEAS!$AS$18*DATOS!$C$67,DATOS!$C$68)))</f>
        <v/>
      </c>
      <c r="E241" s="42" t="str">
        <f t="shared" si="7"/>
        <v/>
      </c>
    </row>
    <row r="242" spans="2:5" ht="15" customHeight="1" x14ac:dyDescent="0.3">
      <c r="B242" s="44" t="str">
        <f>IF(OR(LINEAS!$D$18="",DATOS!$C$22="—",ABS(LINEAS!$AK$18*DATOS!$C$67)&lt;0.00005),"*",LINEAS!$D$18&amp;" UNI G"&amp;DATOS!$C$22&amp;" "&amp;TEXT(LINEAS!$AK$18*DATOS!$C$67,DATOS!$C$68))</f>
        <v>73 101 TO 104 UNI GZ 0.0066</v>
      </c>
      <c r="C242" s="42" t="str">
        <f t="shared" si="6"/>
        <v/>
      </c>
      <c r="D242" s="44" t="str">
        <f>IF(PRESIONES!$C$22="NO","",IF(OR(LINEAS!$D$18="",DATOS!$C$22="—",ABS(LINEAS!$BA$18*DATOS!$C$67)&lt;0.00005),"*",LINEAS!$D$18&amp;" UNI G"&amp;DATOS!$C$22&amp;" "&amp;TEXT(LINEAS!$BA$18*DATOS!$C$67,DATOS!$C$68)))</f>
        <v/>
      </c>
      <c r="E242" s="42" t="str">
        <f t="shared" si="7"/>
        <v/>
      </c>
    </row>
    <row r="243" spans="2:5" ht="15" customHeight="1" x14ac:dyDescent="0.3">
      <c r="B243" s="44" t="str">
        <f>IF(OR(LINEAS!$D$19="",ABS(-LINEAS!$AC$19*DATOS!$C$67)&lt;0.00005),"*",LINEAS!$D$19&amp;" UNI GY "&amp;TEXT(-LINEAS!$AC$19*DATOS!$C$67,DATOS!$C$68))</f>
        <v>8 89 TO 92 UNI GY 0.1270</v>
      </c>
      <c r="C243" s="42" t="str">
        <f t="shared" si="6"/>
        <v/>
      </c>
      <c r="D243" s="44" t="str">
        <f>IF(PRESIONES!$C$22="NO","",IF(OR(LINEAS!$D$19="",ABS(-LINEAS!$AS$19*DATOS!$C$67)&lt;0.00005),"*",LINEAS!$D$19&amp;" UNI GY "&amp;TEXT(-LINEAS!$AS$19*DATOS!$C$67,DATOS!$C$68)))</f>
        <v/>
      </c>
      <c r="E243" s="42" t="str">
        <f t="shared" si="7"/>
        <v/>
      </c>
    </row>
    <row r="244" spans="2:5" ht="15" customHeight="1" x14ac:dyDescent="0.3">
      <c r="B244" s="44" t="str">
        <f>IF(OR(LINEAS!$D$19="",DATOS!$C$22="—",ABS(LINEAS!$AK$19*DATOS!$C$67)&lt;0.00005),"*",LINEAS!$D$19&amp;" UNI G"&amp;DATOS!$C$22&amp;" "&amp;TEXT(LINEAS!$AK$19*DATOS!$C$67,DATOS!$C$68))</f>
        <v>8 89 TO 92 UNI GZ 0.0063</v>
      </c>
      <c r="C244" s="42" t="str">
        <f t="shared" si="6"/>
        <v/>
      </c>
      <c r="D244" s="44" t="str">
        <f>IF(PRESIONES!$C$22="NO","",IF(OR(LINEAS!$D$19="",DATOS!$C$22="—",ABS(LINEAS!$BA$19*DATOS!$C$67)&lt;0.00005),"*",LINEAS!$D$19&amp;" UNI G"&amp;DATOS!$C$22&amp;" "&amp;TEXT(LINEAS!$BA$19*DATOS!$C$67,DATOS!$C$68)))</f>
        <v/>
      </c>
      <c r="E244" s="42" t="str">
        <f t="shared" si="7"/>
        <v/>
      </c>
    </row>
    <row r="245" spans="2:5" ht="15" customHeight="1" x14ac:dyDescent="0.3">
      <c r="B245" s="44" t="str">
        <f>IF(OR(LINEAS!$D$20="",ABS(-LINEAS!$AC$20*DATOS!$C$67)&lt;0.00005),"*",LINEAS!$D$20&amp;" UNI GY "&amp;TEXT(-LINEAS!$AC$20*DATOS!$C$67,DATOS!$C$68))</f>
        <v>56 97 TO 100 UNI GY 0.1221</v>
      </c>
      <c r="C245" s="42" t="str">
        <f t="shared" si="6"/>
        <v/>
      </c>
      <c r="D245" s="44" t="str">
        <f>IF(PRESIONES!$C$22="NO","",IF(OR(LINEAS!$D$20="",ABS(-LINEAS!$AS$20*DATOS!$C$67)&lt;0.00005),"*",LINEAS!$D$20&amp;" UNI GY "&amp;TEXT(-LINEAS!$AS$20*DATOS!$C$67,DATOS!$C$68)))</f>
        <v/>
      </c>
      <c r="E245" s="42" t="str">
        <f t="shared" si="7"/>
        <v/>
      </c>
    </row>
    <row r="246" spans="2:5" ht="15" customHeight="1" x14ac:dyDescent="0.3">
      <c r="B246" s="44" t="str">
        <f>IF(OR(LINEAS!$D$20="",DATOS!$C$22="—",ABS(LINEAS!$AK$20*DATOS!$C$67)&lt;0.00005),"*",LINEAS!$D$20&amp;" UNI G"&amp;DATOS!$C$22&amp;" "&amp;TEXT(LINEAS!$AK$20*DATOS!$C$67,DATOS!$C$68))</f>
        <v>56 97 TO 100 UNI GZ 0.0061</v>
      </c>
      <c r="C246" s="42" t="str">
        <f t="shared" si="6"/>
        <v/>
      </c>
      <c r="D246" s="44" t="str">
        <f>IF(PRESIONES!$C$22="NO","",IF(OR(LINEAS!$D$20="",DATOS!$C$22="—",ABS(LINEAS!$BA$20*DATOS!$C$67)&lt;0.00005),"*",LINEAS!$D$20&amp;" UNI G"&amp;DATOS!$C$22&amp;" "&amp;TEXT(LINEAS!$BA$20*DATOS!$C$67,DATOS!$C$68)))</f>
        <v/>
      </c>
      <c r="E246" s="42" t="str">
        <f t="shared" si="7"/>
        <v/>
      </c>
    </row>
    <row r="247" spans="2:5" ht="15" customHeight="1" x14ac:dyDescent="0.3">
      <c r="B247" s="44" t="str">
        <f>IF(OR(LINEAS!$D$21="",ABS(-LINEAS!$AC$21*DATOS!$C$67)&lt;0.00005),"*",LINEAS!$D$21&amp;" UNI GY "&amp;TEXT(-LINEAS!$AC$21*DATOS!$C$67,DATOS!$C$68))</f>
        <v>7 81 TO 84 UNI GY 0.0610</v>
      </c>
      <c r="C247" s="42" t="str">
        <f t="shared" si="6"/>
        <v/>
      </c>
      <c r="D247" s="44" t="str">
        <f>IF(PRESIONES!$C$22="NO","",IF(OR(LINEAS!$D$21="",ABS(-LINEAS!$AS$21*DATOS!$C$67)&lt;0.00005),"*",LINEAS!$D$21&amp;" UNI GY "&amp;TEXT(-LINEAS!$AS$21*DATOS!$C$67,DATOS!$C$68)))</f>
        <v/>
      </c>
      <c r="E247" s="42" t="str">
        <f t="shared" si="7"/>
        <v/>
      </c>
    </row>
    <row r="248" spans="2:5" ht="15" customHeight="1" x14ac:dyDescent="0.3">
      <c r="B248" s="44" t="str">
        <f>IF(OR(LINEAS!$D$21="",DATOS!$C$22="—",ABS(LINEAS!$AK$21*DATOS!$C$67)&lt;0.00005),"*",LINEAS!$D$21&amp;" UNI G"&amp;DATOS!$C$22&amp;" "&amp;TEXT(LINEAS!$AK$21*DATOS!$C$67,DATOS!$C$68))</f>
        <v>7 81 TO 84 UNI GZ 0.0031</v>
      </c>
      <c r="C248" s="42" t="str">
        <f t="shared" si="6"/>
        <v/>
      </c>
      <c r="D248" s="44" t="str">
        <f>IF(PRESIONES!$C$22="NO","",IF(OR(LINEAS!$D$21="",DATOS!$C$22="—",ABS(LINEAS!$BA$21*DATOS!$C$67)&lt;0.00005),"*",LINEAS!$D$21&amp;" UNI G"&amp;DATOS!$C$22&amp;" "&amp;TEXT(LINEAS!$BA$21*DATOS!$C$67,DATOS!$C$68)))</f>
        <v/>
      </c>
      <c r="E248" s="42" t="str">
        <f t="shared" si="7"/>
        <v/>
      </c>
    </row>
    <row r="249" spans="2:5" ht="15" customHeight="1" x14ac:dyDescent="0.3">
      <c r="B249" s="44" t="str">
        <f>IF(OR(LINEAS!$D$22="",ABS(-LINEAS!$AC$22*DATOS!$C$67)&lt;0.00005),"*",LINEAS!$D$22&amp;" UNI GY "&amp;TEXT(-LINEAS!$AC$22*DATOS!$C$67,DATOS!$C$68))</f>
        <v>*</v>
      </c>
      <c r="C249" s="42" t="str">
        <f t="shared" si="6"/>
        <v/>
      </c>
      <c r="D249" s="44" t="str">
        <f>IF(PRESIONES!$C$22="NO","",IF(OR(LINEAS!$D$22="",ABS(-LINEAS!$AS$22*DATOS!$C$67)&lt;0.00005),"*",LINEAS!$D$22&amp;" UNI GY "&amp;TEXT(-LINEAS!$AS$22*DATOS!$C$67,DATOS!$C$68)))</f>
        <v/>
      </c>
      <c r="E249" s="42" t="str">
        <f t="shared" si="7"/>
        <v/>
      </c>
    </row>
    <row r="250" spans="2:5" ht="15" customHeight="1" x14ac:dyDescent="0.3">
      <c r="B250" s="44" t="str">
        <f>IF(OR(LINEAS!$D$22="",DATOS!$C$22="—",ABS(LINEAS!$AK$22*DATOS!$C$67)&lt;0.00005),"*",LINEAS!$D$22&amp;" UNI G"&amp;DATOS!$C$22&amp;" "&amp;TEXT(LINEAS!$AK$22*DATOS!$C$67,DATOS!$C$68))</f>
        <v>*</v>
      </c>
      <c r="C250" s="42" t="str">
        <f t="shared" si="6"/>
        <v/>
      </c>
      <c r="D250" s="44" t="str">
        <f>IF(PRESIONES!$C$22="NO","",IF(OR(LINEAS!$D$22="",DATOS!$C$22="—",ABS(LINEAS!$BA$22*DATOS!$C$67)&lt;0.00005),"*",LINEAS!$D$22&amp;" UNI G"&amp;DATOS!$C$22&amp;" "&amp;TEXT(LINEAS!$BA$22*DATOS!$C$67,DATOS!$C$68)))</f>
        <v/>
      </c>
      <c r="E250" s="42" t="str">
        <f t="shared" si="7"/>
        <v/>
      </c>
    </row>
    <row r="251" spans="2:5" ht="15" customHeight="1" x14ac:dyDescent="0.3">
      <c r="B251" s="44" t="str">
        <f>IF(OR(LINEAS!$D$23="",ABS(-LINEAS!$AC$23*DATOS!$C$67)&lt;0.00005),"*",LINEAS!$D$23&amp;" UNI GY "&amp;TEXT(-LINEAS!$AC$23*DATOS!$C$67,DATOS!$C$68))</f>
        <v>*</v>
      </c>
      <c r="C251" s="42" t="str">
        <f t="shared" si="6"/>
        <v/>
      </c>
      <c r="D251" s="44" t="str">
        <f>IF(PRESIONES!$C$22="NO","",IF(OR(LINEAS!$D$23="",ABS(-LINEAS!$AS$23*DATOS!$C$67)&lt;0.00005),"*",LINEAS!$D$23&amp;" UNI GY "&amp;TEXT(-LINEAS!$AS$23*DATOS!$C$67,DATOS!$C$68)))</f>
        <v/>
      </c>
      <c r="E251" s="42" t="str">
        <f t="shared" si="7"/>
        <v/>
      </c>
    </row>
    <row r="252" spans="2:5" ht="15" customHeight="1" x14ac:dyDescent="0.3">
      <c r="B252" s="44" t="str">
        <f>IF(OR(LINEAS!$D$23="",DATOS!$C$22="—",ABS(LINEAS!$AK$23*DATOS!$C$67)&lt;0.00005),"*",LINEAS!$D$23&amp;" UNI G"&amp;DATOS!$C$22&amp;" "&amp;TEXT(LINEAS!$AK$23*DATOS!$C$67,DATOS!$C$68))</f>
        <v>*</v>
      </c>
      <c r="C252" s="42" t="str">
        <f t="shared" si="6"/>
        <v/>
      </c>
      <c r="D252" s="44" t="str">
        <f>IF(PRESIONES!$C$22="NO","",IF(OR(LINEAS!$D$23="",DATOS!$C$22="—",ABS(LINEAS!$BA$23*DATOS!$C$67)&lt;0.00005),"*",LINEAS!$D$23&amp;" UNI G"&amp;DATOS!$C$22&amp;" "&amp;TEXT(LINEAS!$BA$23*DATOS!$C$67,DATOS!$C$68)))</f>
        <v/>
      </c>
      <c r="E252" s="42" t="str">
        <f t="shared" si="7"/>
        <v/>
      </c>
    </row>
    <row r="253" spans="2:5" ht="15" customHeight="1" x14ac:dyDescent="0.3">
      <c r="B253" s="44" t="str">
        <f>IF(OR(LINEAS!$D$24="",ABS(-LINEAS!$AC$24*DATOS!$C$67)&lt;0.00005),"*",LINEAS!$D$24&amp;" UNI GY "&amp;TEXT(-LINEAS!$AC$24*DATOS!$C$67,DATOS!$C$68))</f>
        <v>*</v>
      </c>
      <c r="C253" s="42" t="str">
        <f t="shared" si="6"/>
        <v/>
      </c>
      <c r="D253" s="44" t="str">
        <f>IF(PRESIONES!$C$22="NO","",IF(OR(LINEAS!$D$24="",ABS(-LINEAS!$AS$24*DATOS!$C$67)&lt;0.00005),"*",LINEAS!$D$24&amp;" UNI GY "&amp;TEXT(-LINEAS!$AS$24*DATOS!$C$67,DATOS!$C$68)))</f>
        <v/>
      </c>
      <c r="E253" s="42" t="str">
        <f t="shared" si="7"/>
        <v/>
      </c>
    </row>
    <row r="254" spans="2:5" ht="15" customHeight="1" x14ac:dyDescent="0.3">
      <c r="B254" s="44" t="str">
        <f>IF(OR(LINEAS!$D$24="",DATOS!$C$22="—",ABS(LINEAS!$AK$24*DATOS!$C$67)&lt;0.00005),"*",LINEAS!$D$24&amp;" UNI G"&amp;DATOS!$C$22&amp;" "&amp;TEXT(LINEAS!$AK$24*DATOS!$C$67,DATOS!$C$68))</f>
        <v>*</v>
      </c>
      <c r="C254" s="42" t="str">
        <f t="shared" si="6"/>
        <v/>
      </c>
      <c r="D254" s="44" t="str">
        <f>IF(PRESIONES!$C$22="NO","",IF(OR(LINEAS!$D$24="",DATOS!$C$22="—",ABS(LINEAS!$BA$24*DATOS!$C$67)&lt;0.00005),"*",LINEAS!$D$24&amp;" UNI G"&amp;DATOS!$C$22&amp;" "&amp;TEXT(LINEAS!$BA$24*DATOS!$C$67,DATOS!$C$68)))</f>
        <v/>
      </c>
      <c r="E254" s="42" t="str">
        <f t="shared" si="7"/>
        <v/>
      </c>
    </row>
    <row r="255" spans="2:5" ht="15" customHeight="1" x14ac:dyDescent="0.3">
      <c r="B255" s="44" t="str">
        <f>IF(OR(LINEAS!$D$25="",ABS(-LINEAS!$AC$25*DATOS!$C$67)&lt;0.00005),"*",LINEAS!$D$25&amp;" UNI GY "&amp;TEXT(-LINEAS!$AC$25*DATOS!$C$67,DATOS!$C$68))</f>
        <v>*</v>
      </c>
      <c r="C255" s="42" t="str">
        <f t="shared" si="6"/>
        <v/>
      </c>
      <c r="D255" s="44" t="str">
        <f>IF(PRESIONES!$C$22="NO","",IF(OR(LINEAS!$D$25="",ABS(-LINEAS!$AS$25*DATOS!$C$67)&lt;0.00005),"*",LINEAS!$D$25&amp;" UNI GY "&amp;TEXT(-LINEAS!$AS$25*DATOS!$C$67,DATOS!$C$68)))</f>
        <v/>
      </c>
      <c r="E255" s="42" t="str">
        <f t="shared" si="7"/>
        <v/>
      </c>
    </row>
    <row r="256" spans="2:5" ht="15" customHeight="1" x14ac:dyDescent="0.3">
      <c r="B256" s="44" t="str">
        <f>IF(OR(LINEAS!$D$25="",DATOS!$C$22="—",ABS(LINEAS!$AK$25*DATOS!$C$67)&lt;0.00005),"*",LINEAS!$D$25&amp;" UNI G"&amp;DATOS!$C$22&amp;" "&amp;TEXT(LINEAS!$AK$25*DATOS!$C$67,DATOS!$C$68))</f>
        <v>*</v>
      </c>
      <c r="C256" s="42" t="str">
        <f t="shared" si="6"/>
        <v/>
      </c>
      <c r="D256" s="44" t="str">
        <f>IF(PRESIONES!$C$22="NO","",IF(OR(LINEAS!$D$25="",DATOS!$C$22="—",ABS(LINEAS!$BA$25*DATOS!$C$67)&lt;0.00005),"*",LINEAS!$D$25&amp;" UNI G"&amp;DATOS!$C$22&amp;" "&amp;TEXT(LINEAS!$BA$25*DATOS!$C$67,DATOS!$C$68)))</f>
        <v/>
      </c>
      <c r="E256" s="42" t="str">
        <f t="shared" si="7"/>
        <v/>
      </c>
    </row>
    <row r="257" spans="2:5" ht="15" customHeight="1" x14ac:dyDescent="0.3">
      <c r="B257" s="44" t="str">
        <f>IF(OR(LINEAS!$D$26="",ABS(-LINEAS!$AC$26*DATOS!$C$67)&lt;0.00005),"*",LINEAS!$D$26&amp;" UNI GY "&amp;TEXT(-LINEAS!$AC$26*DATOS!$C$67,DATOS!$C$68))</f>
        <v>*</v>
      </c>
      <c r="C257" s="42" t="str">
        <f t="shared" si="6"/>
        <v/>
      </c>
      <c r="D257" s="44" t="str">
        <f>IF(PRESIONES!$C$22="NO","",IF(OR(LINEAS!$D$26="",ABS(-LINEAS!$AS$26*DATOS!$C$67)&lt;0.00005),"*",LINEAS!$D$26&amp;" UNI GY "&amp;TEXT(-LINEAS!$AS$26*DATOS!$C$67,DATOS!$C$68)))</f>
        <v/>
      </c>
      <c r="E257" s="42" t="str">
        <f t="shared" si="7"/>
        <v/>
      </c>
    </row>
    <row r="258" spans="2:5" ht="15" customHeight="1" x14ac:dyDescent="0.3">
      <c r="B258" s="44" t="str">
        <f>IF(OR(LINEAS!$D$26="",DATOS!$C$22="—",ABS(LINEAS!$AK$26*DATOS!$C$67)&lt;0.00005),"*",LINEAS!$D$26&amp;" UNI G"&amp;DATOS!$C$22&amp;" "&amp;TEXT(LINEAS!$AK$26*DATOS!$C$67,DATOS!$C$68))</f>
        <v>*</v>
      </c>
      <c r="C258" s="42" t="str">
        <f t="shared" si="6"/>
        <v/>
      </c>
      <c r="D258" s="44" t="str">
        <f>IF(PRESIONES!$C$22="NO","",IF(OR(LINEAS!$D$26="",DATOS!$C$22="—",ABS(LINEAS!$BA$26*DATOS!$C$67)&lt;0.00005),"*",LINEAS!$D$26&amp;" UNI G"&amp;DATOS!$C$22&amp;" "&amp;TEXT(LINEAS!$BA$26*DATOS!$C$67,DATOS!$C$68)))</f>
        <v/>
      </c>
      <c r="E258" s="42" t="str">
        <f t="shared" si="7"/>
        <v/>
      </c>
    </row>
    <row r="259" spans="2:5" ht="15" customHeight="1" x14ac:dyDescent="0.3">
      <c r="B259" s="44" t="str">
        <f>IF(OR(LINEAS!$D$27="",ABS(-LINEAS!$AC$27*DATOS!$C$67)&lt;0.00005),"*",LINEAS!$D$27&amp;" UNI GY "&amp;TEXT(-LINEAS!$AC$27*DATOS!$C$67,DATOS!$C$68))</f>
        <v>*</v>
      </c>
      <c r="C259" s="42" t="str">
        <f t="shared" si="6"/>
        <v/>
      </c>
      <c r="D259" s="44" t="str">
        <f>IF(PRESIONES!$C$22="NO","",IF(OR(LINEAS!$D$27="",ABS(-LINEAS!$AS$27*DATOS!$C$67)&lt;0.00005),"*",LINEAS!$D$27&amp;" UNI GY "&amp;TEXT(-LINEAS!$AS$27*DATOS!$C$67,DATOS!$C$68)))</f>
        <v/>
      </c>
      <c r="E259" s="42" t="str">
        <f t="shared" si="7"/>
        <v/>
      </c>
    </row>
    <row r="260" spans="2:5" ht="15" customHeight="1" x14ac:dyDescent="0.3">
      <c r="B260" s="44" t="str">
        <f>IF(OR(LINEAS!$D$27="",DATOS!$C$22="—",ABS(LINEAS!$AK$27*DATOS!$C$67)&lt;0.00005),"*",LINEAS!$D$27&amp;" UNI G"&amp;DATOS!$C$22&amp;" "&amp;TEXT(LINEAS!$AK$27*DATOS!$C$67,DATOS!$C$68))</f>
        <v>*</v>
      </c>
      <c r="C260" s="42" t="str">
        <f t="shared" si="6"/>
        <v/>
      </c>
      <c r="D260" s="44" t="str">
        <f>IF(PRESIONES!$C$22="NO","",IF(OR(LINEAS!$D$27="",DATOS!$C$22="—",ABS(LINEAS!$BA$27*DATOS!$C$67)&lt;0.00005),"*",LINEAS!$D$27&amp;" UNI G"&amp;DATOS!$C$22&amp;" "&amp;TEXT(LINEAS!$BA$27*DATOS!$C$67,DATOS!$C$68)))</f>
        <v/>
      </c>
      <c r="E260" s="42" t="str">
        <f t="shared" si="7"/>
        <v/>
      </c>
    </row>
    <row r="261" spans="2:5" ht="15" customHeight="1" x14ac:dyDescent="0.3">
      <c r="B261" s="44" t="str">
        <f>IF(OR(LINEAS!$D$28="",ABS(-LINEAS!$AC$28*DATOS!$C$67)&lt;0.00005),"*",LINEAS!$D$28&amp;" UNI GY "&amp;TEXT(-LINEAS!$AC$28*DATOS!$C$67,DATOS!$C$68))</f>
        <v>*</v>
      </c>
      <c r="C261" s="42" t="str">
        <f t="shared" si="6"/>
        <v/>
      </c>
      <c r="D261" s="44" t="str">
        <f>IF(PRESIONES!$C$22="NO","",IF(OR(LINEAS!$D$28="",ABS(-LINEAS!$AS$28*DATOS!$C$67)&lt;0.00005),"*",LINEAS!$D$28&amp;" UNI GY "&amp;TEXT(-LINEAS!$AS$28*DATOS!$C$67,DATOS!$C$68)))</f>
        <v/>
      </c>
      <c r="E261" s="42" t="str">
        <f t="shared" si="7"/>
        <v/>
      </c>
    </row>
    <row r="262" spans="2:5" ht="15" customHeight="1" x14ac:dyDescent="0.3">
      <c r="B262" s="44" t="str">
        <f>IF(OR(LINEAS!$D$28="",DATOS!$C$22="—",ABS(LINEAS!$AK$28*DATOS!$C$67)&lt;0.00005),"*",LINEAS!$D$28&amp;" UNI G"&amp;DATOS!$C$22&amp;" "&amp;TEXT(LINEAS!$AK$28*DATOS!$C$67,DATOS!$C$68))</f>
        <v>*</v>
      </c>
      <c r="C262" s="42" t="str">
        <f t="shared" si="6"/>
        <v/>
      </c>
      <c r="D262" s="44" t="str">
        <f>IF(PRESIONES!$C$22="NO","",IF(OR(LINEAS!$D$28="",DATOS!$C$22="—",ABS(LINEAS!$BA$28*DATOS!$C$67)&lt;0.00005),"*",LINEAS!$D$28&amp;" UNI G"&amp;DATOS!$C$22&amp;" "&amp;TEXT(LINEAS!$BA$28*DATOS!$C$67,DATOS!$C$68)))</f>
        <v/>
      </c>
      <c r="E262" s="42" t="str">
        <f t="shared" si="7"/>
        <v/>
      </c>
    </row>
    <row r="263" spans="2:5" ht="15" customHeight="1" x14ac:dyDescent="0.3">
      <c r="B263" s="44" t="str">
        <f>IF(OR(LINEAS!$D$29="",ABS(-LINEAS!$AC$29*DATOS!$C$67)&lt;0.00005),"*",LINEAS!$D$29&amp;" UNI GY "&amp;TEXT(-LINEAS!$AC$29*DATOS!$C$67,DATOS!$C$68))</f>
        <v>*</v>
      </c>
      <c r="C263" s="42" t="str">
        <f t="shared" si="6"/>
        <v/>
      </c>
      <c r="D263" s="44" t="str">
        <f>IF(PRESIONES!$C$22="NO","",IF(OR(LINEAS!$D$29="",ABS(-LINEAS!$AS$29*DATOS!$C$67)&lt;0.00005),"*",LINEAS!$D$29&amp;" UNI GY "&amp;TEXT(-LINEAS!$AS$29*DATOS!$C$67,DATOS!$C$68)))</f>
        <v/>
      </c>
      <c r="E263" s="42" t="str">
        <f t="shared" si="7"/>
        <v/>
      </c>
    </row>
    <row r="264" spans="2:5" ht="15" customHeight="1" x14ac:dyDescent="0.3">
      <c r="B264" s="44" t="str">
        <f>IF(OR(LINEAS!$D$29="",DATOS!$C$22="—",ABS(LINEAS!$AK$29*DATOS!$C$67)&lt;0.00005),"*",LINEAS!$D$29&amp;" UNI G"&amp;DATOS!$C$22&amp;" "&amp;TEXT(LINEAS!$AK$29*DATOS!$C$67,DATOS!$C$68))</f>
        <v>*</v>
      </c>
      <c r="C264" s="42" t="str">
        <f t="shared" si="6"/>
        <v/>
      </c>
      <c r="D264" s="44" t="str">
        <f>IF(PRESIONES!$C$22="NO","",IF(OR(LINEAS!$D$29="",DATOS!$C$22="—",ABS(LINEAS!$BA$29*DATOS!$C$67)&lt;0.00005),"*",LINEAS!$D$29&amp;" UNI G"&amp;DATOS!$C$22&amp;" "&amp;TEXT(LINEAS!$BA$29*DATOS!$C$67,DATOS!$C$68)))</f>
        <v/>
      </c>
      <c r="E264" s="42" t="str">
        <f t="shared" si="7"/>
        <v/>
      </c>
    </row>
    <row r="265" spans="2:5" ht="15" customHeight="1" x14ac:dyDescent="0.3">
      <c r="B265" s="44" t="str">
        <f>IF(OR(LINEAS!$D$30="",ABS(-LINEAS!$AC$30*DATOS!$C$67)&lt;0.00005),"*",LINEAS!$D$30&amp;" UNI GY "&amp;TEXT(-LINEAS!$AC$30*DATOS!$C$67,DATOS!$C$68))</f>
        <v>*</v>
      </c>
      <c r="C265" s="42" t="str">
        <f t="shared" ref="C265:C328" si="8">IF(LEN($B265)&gt;79,"MÁS DE 79 CARACTERES","")</f>
        <v/>
      </c>
      <c r="D265" s="44" t="str">
        <f>IF(PRESIONES!$C$22="NO","",IF(OR(LINEAS!$D$30="",ABS(-LINEAS!$AS$30*DATOS!$C$67)&lt;0.00005),"*",LINEAS!$D$30&amp;" UNI GY "&amp;TEXT(-LINEAS!$AS$30*DATOS!$C$67,DATOS!$C$68)))</f>
        <v/>
      </c>
      <c r="E265" s="42" t="str">
        <f t="shared" ref="E265:E328" si="9">IF(LEN($D265)&gt;79,"MÁS DE 79 CARACTERES","")</f>
        <v/>
      </c>
    </row>
    <row r="266" spans="2:5" ht="15" customHeight="1" x14ac:dyDescent="0.3">
      <c r="B266" s="44" t="str">
        <f>IF(OR(LINEAS!$D$30="",DATOS!$C$22="—",ABS(LINEAS!$AK$30*DATOS!$C$67)&lt;0.00005),"*",LINEAS!$D$30&amp;" UNI G"&amp;DATOS!$C$22&amp;" "&amp;TEXT(LINEAS!$AK$30*DATOS!$C$67,DATOS!$C$68))</f>
        <v>*</v>
      </c>
      <c r="C266" s="42" t="str">
        <f t="shared" si="8"/>
        <v/>
      </c>
      <c r="D266" s="44" t="str">
        <f>IF(PRESIONES!$C$22="NO","",IF(OR(LINEAS!$D$30="",DATOS!$C$22="—",ABS(LINEAS!$BA$30*DATOS!$C$67)&lt;0.00005),"*",LINEAS!$D$30&amp;" UNI G"&amp;DATOS!$C$22&amp;" "&amp;TEXT(LINEAS!$BA$30*DATOS!$C$67,DATOS!$C$68)))</f>
        <v/>
      </c>
      <c r="E266" s="42" t="str">
        <f t="shared" si="9"/>
        <v/>
      </c>
    </row>
    <row r="267" spans="2:5" ht="15" customHeight="1" x14ac:dyDescent="0.3">
      <c r="B267" s="44" t="str">
        <f>IF(OR(LINEAS!$D$31="",ABS(-LINEAS!$AC$31*DATOS!$C$67)&lt;0.00005),"*",LINEAS!$D$31&amp;" UNI GY "&amp;TEXT(-LINEAS!$AC$31*DATOS!$C$67,DATOS!$C$68))</f>
        <v>*</v>
      </c>
      <c r="C267" s="42" t="str">
        <f t="shared" si="8"/>
        <v/>
      </c>
      <c r="D267" s="44" t="str">
        <f>IF(PRESIONES!$C$22="NO","",IF(OR(LINEAS!$D$31="",ABS(-LINEAS!$AS$31*DATOS!$C$67)&lt;0.00005),"*",LINEAS!$D$31&amp;" UNI GY "&amp;TEXT(-LINEAS!$AS$31*DATOS!$C$67,DATOS!$C$68)))</f>
        <v/>
      </c>
      <c r="E267" s="42" t="str">
        <f t="shared" si="9"/>
        <v/>
      </c>
    </row>
    <row r="268" spans="2:5" ht="15" customHeight="1" x14ac:dyDescent="0.3">
      <c r="B268" s="44" t="str">
        <f>IF(OR(LINEAS!$D$31="",DATOS!$C$22="—",ABS(LINEAS!$AK$31*DATOS!$C$67)&lt;0.00005),"*",LINEAS!$D$31&amp;" UNI G"&amp;DATOS!$C$22&amp;" "&amp;TEXT(LINEAS!$AK$31*DATOS!$C$67,DATOS!$C$68))</f>
        <v>*</v>
      </c>
      <c r="C268" s="42" t="str">
        <f t="shared" si="8"/>
        <v/>
      </c>
      <c r="D268" s="44" t="str">
        <f>IF(PRESIONES!$C$22="NO","",IF(OR(LINEAS!$D$31="",DATOS!$C$22="—",ABS(LINEAS!$BA$31*DATOS!$C$67)&lt;0.00005),"*",LINEAS!$D$31&amp;" UNI G"&amp;DATOS!$C$22&amp;" "&amp;TEXT(LINEAS!$BA$31*DATOS!$C$67,DATOS!$C$68)))</f>
        <v/>
      </c>
      <c r="E268" s="42" t="str">
        <f t="shared" si="9"/>
        <v/>
      </c>
    </row>
    <row r="269" spans="2:5" ht="15" customHeight="1" x14ac:dyDescent="0.3">
      <c r="B269" s="44" t="str">
        <f>IF(OR(LINEAS!$D$32="",ABS(-LINEAS!$AC$32*DATOS!$C$67)&lt;0.00005),"*",LINEAS!$D$32&amp;" UNI GY "&amp;TEXT(-LINEAS!$AC$32*DATOS!$C$67,DATOS!$C$68))</f>
        <v>*</v>
      </c>
      <c r="C269" s="42" t="str">
        <f t="shared" si="8"/>
        <v/>
      </c>
      <c r="D269" s="44" t="str">
        <f>IF(PRESIONES!$C$22="NO","",IF(OR(LINEAS!$D$32="",ABS(-LINEAS!$AS$32*DATOS!$C$67)&lt;0.00005),"*",LINEAS!$D$32&amp;" UNI GY "&amp;TEXT(-LINEAS!$AS$32*DATOS!$C$67,DATOS!$C$68)))</f>
        <v/>
      </c>
      <c r="E269" s="42" t="str">
        <f t="shared" si="9"/>
        <v/>
      </c>
    </row>
    <row r="270" spans="2:5" ht="15" customHeight="1" x14ac:dyDescent="0.3">
      <c r="B270" s="44" t="str">
        <f>IF(OR(LINEAS!$D$32="",DATOS!$C$22="—",ABS(LINEAS!$AK$32*DATOS!$C$67)&lt;0.00005),"*",LINEAS!$D$32&amp;" UNI G"&amp;DATOS!$C$22&amp;" "&amp;TEXT(LINEAS!$AK$32*DATOS!$C$67,DATOS!$C$68))</f>
        <v>*</v>
      </c>
      <c r="C270" s="42" t="str">
        <f t="shared" si="8"/>
        <v/>
      </c>
      <c r="D270" s="44" t="str">
        <f>IF(PRESIONES!$C$22="NO","",IF(OR(LINEAS!$D$32="",DATOS!$C$22="—",ABS(LINEAS!$BA$32*DATOS!$C$67)&lt;0.00005),"*",LINEAS!$D$32&amp;" UNI G"&amp;DATOS!$C$22&amp;" "&amp;TEXT(LINEAS!$BA$32*DATOS!$C$67,DATOS!$C$68)))</f>
        <v/>
      </c>
      <c r="E270" s="42" t="str">
        <f t="shared" si="9"/>
        <v/>
      </c>
    </row>
    <row r="271" spans="2:5" ht="15" customHeight="1" x14ac:dyDescent="0.3">
      <c r="B271" s="44" t="str">
        <f>IF(OR(LINEAS!$D$33="",ABS(-LINEAS!$AC$33*DATOS!$C$67)&lt;0.00005),"*",LINEAS!$D$33&amp;" UNI GY "&amp;TEXT(-LINEAS!$AC$33*DATOS!$C$67,DATOS!$C$68))</f>
        <v>*</v>
      </c>
      <c r="C271" s="42" t="str">
        <f t="shared" si="8"/>
        <v/>
      </c>
      <c r="D271" s="44" t="str">
        <f>IF(PRESIONES!$C$22="NO","",IF(OR(LINEAS!$D$33="",ABS(-LINEAS!$AS$33*DATOS!$C$67)&lt;0.00005),"*",LINEAS!$D$33&amp;" UNI GY "&amp;TEXT(-LINEAS!$AS$33*DATOS!$C$67,DATOS!$C$68)))</f>
        <v/>
      </c>
      <c r="E271" s="42" t="str">
        <f t="shared" si="9"/>
        <v/>
      </c>
    </row>
    <row r="272" spans="2:5" ht="15" customHeight="1" x14ac:dyDescent="0.3">
      <c r="B272" s="44" t="str">
        <f>IF(OR(LINEAS!$D$33="",DATOS!$C$22="—",ABS(LINEAS!$AK$33*DATOS!$C$67)&lt;0.00005),"*",LINEAS!$D$33&amp;" UNI G"&amp;DATOS!$C$22&amp;" "&amp;TEXT(LINEAS!$AK$33*DATOS!$C$67,DATOS!$C$68))</f>
        <v>*</v>
      </c>
      <c r="C272" s="42" t="str">
        <f t="shared" si="8"/>
        <v/>
      </c>
      <c r="D272" s="44" t="str">
        <f>IF(PRESIONES!$C$22="NO","",IF(OR(LINEAS!$D$33="",DATOS!$C$22="—",ABS(LINEAS!$BA$33*DATOS!$C$67)&lt;0.00005),"*",LINEAS!$D$33&amp;" UNI G"&amp;DATOS!$C$22&amp;" "&amp;TEXT(LINEAS!$BA$33*DATOS!$C$67,DATOS!$C$68)))</f>
        <v/>
      </c>
      <c r="E272" s="42" t="str">
        <f t="shared" si="9"/>
        <v/>
      </c>
    </row>
    <row r="273" spans="2:5" ht="15" customHeight="1" x14ac:dyDescent="0.3">
      <c r="B273" s="44" t="str">
        <f>IF(OR(LINEAS!$D$34="",ABS(-LINEAS!$AC$34*DATOS!$C$67)&lt;0.00005),"*",LINEAS!$D$34&amp;" UNI GY "&amp;TEXT(-LINEAS!$AC$34*DATOS!$C$67,DATOS!$C$68))</f>
        <v>*</v>
      </c>
      <c r="C273" s="42" t="str">
        <f t="shared" si="8"/>
        <v/>
      </c>
      <c r="D273" s="44" t="str">
        <f>IF(PRESIONES!$C$22="NO","",IF(OR(LINEAS!$D$34="",ABS(-LINEAS!$AS$34*DATOS!$C$67)&lt;0.00005),"*",LINEAS!$D$34&amp;" UNI GY "&amp;TEXT(-LINEAS!$AS$34*DATOS!$C$67,DATOS!$C$68)))</f>
        <v/>
      </c>
      <c r="E273" s="42" t="str">
        <f t="shared" si="9"/>
        <v/>
      </c>
    </row>
    <row r="274" spans="2:5" ht="15" customHeight="1" x14ac:dyDescent="0.3">
      <c r="B274" s="44" t="str">
        <f>IF(OR(LINEAS!$D$34="",DATOS!$C$22="—",ABS(LINEAS!$AK$34*DATOS!$C$67)&lt;0.00005),"*",LINEAS!$D$34&amp;" UNI G"&amp;DATOS!$C$22&amp;" "&amp;TEXT(LINEAS!$AK$34*DATOS!$C$67,DATOS!$C$68))</f>
        <v>*</v>
      </c>
      <c r="C274" s="42" t="str">
        <f t="shared" si="8"/>
        <v/>
      </c>
      <c r="D274" s="44" t="str">
        <f>IF(PRESIONES!$C$22="NO","",IF(OR(LINEAS!$D$34="",DATOS!$C$22="—",ABS(LINEAS!$BA$34*DATOS!$C$67)&lt;0.00005),"*",LINEAS!$D$34&amp;" UNI G"&amp;DATOS!$C$22&amp;" "&amp;TEXT(LINEAS!$BA$34*DATOS!$C$67,DATOS!$C$68)))</f>
        <v/>
      </c>
      <c r="E274" s="42" t="str">
        <f t="shared" si="9"/>
        <v/>
      </c>
    </row>
    <row r="275" spans="2:5" ht="15" customHeight="1" x14ac:dyDescent="0.3">
      <c r="B275" s="44" t="str">
        <f>IF(OR(LINEAS!$D$35="",ABS(-LINEAS!$AC$35*DATOS!$C$67)&lt;0.00005),"*",LINEAS!$D$35&amp;" UNI GY "&amp;TEXT(-LINEAS!$AC$35*DATOS!$C$67,DATOS!$C$68))</f>
        <v>*</v>
      </c>
      <c r="C275" s="42" t="str">
        <f t="shared" si="8"/>
        <v/>
      </c>
      <c r="D275" s="44" t="str">
        <f>IF(PRESIONES!$C$22="NO","",IF(OR(LINEAS!$D$35="",ABS(-LINEAS!$AS$35*DATOS!$C$67)&lt;0.00005),"*",LINEAS!$D$35&amp;" UNI GY "&amp;TEXT(-LINEAS!$AS$35*DATOS!$C$67,DATOS!$C$68)))</f>
        <v/>
      </c>
      <c r="E275" s="42" t="str">
        <f t="shared" si="9"/>
        <v/>
      </c>
    </row>
    <row r="276" spans="2:5" ht="15" customHeight="1" x14ac:dyDescent="0.3">
      <c r="B276" s="44" t="str">
        <f>IF(OR(LINEAS!$D$35="",DATOS!$C$22="—",ABS(LINEAS!$AK$35*DATOS!$C$67)&lt;0.00005),"*",LINEAS!$D$35&amp;" UNI G"&amp;DATOS!$C$22&amp;" "&amp;TEXT(LINEAS!$AK$35*DATOS!$C$67,DATOS!$C$68))</f>
        <v>*</v>
      </c>
      <c r="C276" s="42" t="str">
        <f t="shared" si="8"/>
        <v/>
      </c>
      <c r="D276" s="44" t="str">
        <f>IF(PRESIONES!$C$22="NO","",IF(OR(LINEAS!$D$35="",DATOS!$C$22="—",ABS(LINEAS!$BA$35*DATOS!$C$67)&lt;0.00005),"*",LINEAS!$D$35&amp;" UNI G"&amp;DATOS!$C$22&amp;" "&amp;TEXT(LINEAS!$BA$35*DATOS!$C$67,DATOS!$C$68)))</f>
        <v/>
      </c>
      <c r="E276" s="42" t="str">
        <f t="shared" si="9"/>
        <v/>
      </c>
    </row>
    <row r="277" spans="2:5" ht="15" customHeight="1" x14ac:dyDescent="0.3">
      <c r="B277" s="44" t="str">
        <f>IF(OR(LINEAS!$D$36="",ABS(-LINEAS!$AC$36*DATOS!$C$67)&lt;0.00005),"*",LINEAS!$D$36&amp;" UNI GY "&amp;TEXT(-LINEAS!$AC$36*DATOS!$C$67,DATOS!$C$68))</f>
        <v>*</v>
      </c>
      <c r="C277" s="42" t="str">
        <f t="shared" si="8"/>
        <v/>
      </c>
      <c r="D277" s="44" t="str">
        <f>IF(PRESIONES!$C$22="NO","",IF(OR(LINEAS!$D$36="",ABS(-LINEAS!$AS$36*DATOS!$C$67)&lt;0.00005),"*",LINEAS!$D$36&amp;" UNI GY "&amp;TEXT(-LINEAS!$AS$36*DATOS!$C$67,DATOS!$C$68)))</f>
        <v/>
      </c>
      <c r="E277" s="42" t="str">
        <f t="shared" si="9"/>
        <v/>
      </c>
    </row>
    <row r="278" spans="2:5" ht="15" customHeight="1" x14ac:dyDescent="0.3">
      <c r="B278" s="44" t="str">
        <f>IF(OR(LINEAS!$D$36="",DATOS!$C$22="—",ABS(LINEAS!$AK$36*DATOS!$C$67)&lt;0.00005),"*",LINEAS!$D$36&amp;" UNI G"&amp;DATOS!$C$22&amp;" "&amp;TEXT(LINEAS!$AK$36*DATOS!$C$67,DATOS!$C$68))</f>
        <v>*</v>
      </c>
      <c r="C278" s="42" t="str">
        <f t="shared" si="8"/>
        <v/>
      </c>
      <c r="D278" s="44" t="str">
        <f>IF(PRESIONES!$C$22="NO","",IF(OR(LINEAS!$D$36="",DATOS!$C$22="—",ABS(LINEAS!$BA$36*DATOS!$C$67)&lt;0.00005),"*",LINEAS!$D$36&amp;" UNI G"&amp;DATOS!$C$22&amp;" "&amp;TEXT(LINEAS!$BA$36*DATOS!$C$67,DATOS!$C$68)))</f>
        <v/>
      </c>
      <c r="E278" s="42" t="str">
        <f t="shared" si="9"/>
        <v/>
      </c>
    </row>
    <row r="279" spans="2:5" ht="15" customHeight="1" x14ac:dyDescent="0.3">
      <c r="B279" s="44" t="str">
        <f>IF(OR(LINEAS!$D$37="",ABS(-LINEAS!$AC$37*DATOS!$C$67)&lt;0.00005),"*",LINEAS!$D$37&amp;" UNI GY "&amp;TEXT(-LINEAS!$AC$37*DATOS!$C$67,DATOS!$C$68))</f>
        <v>*</v>
      </c>
      <c r="C279" s="42" t="str">
        <f t="shared" si="8"/>
        <v/>
      </c>
      <c r="D279" s="44" t="str">
        <f>IF(PRESIONES!$C$22="NO","",IF(OR(LINEAS!$D$37="",ABS(-LINEAS!$AS$37*DATOS!$C$67)&lt;0.00005),"*",LINEAS!$D$37&amp;" UNI GY "&amp;TEXT(-LINEAS!$AS$37*DATOS!$C$67,DATOS!$C$68)))</f>
        <v/>
      </c>
      <c r="E279" s="42" t="str">
        <f t="shared" si="9"/>
        <v/>
      </c>
    </row>
    <row r="280" spans="2:5" ht="15" customHeight="1" x14ac:dyDescent="0.3">
      <c r="B280" s="44" t="str">
        <f>IF(OR(LINEAS!$D$37="",DATOS!$C$22="—",ABS(LINEAS!$AK$37*DATOS!$C$67)&lt;0.00005),"*",LINEAS!$D$37&amp;" UNI G"&amp;DATOS!$C$22&amp;" "&amp;TEXT(LINEAS!$AK$37*DATOS!$C$67,DATOS!$C$68))</f>
        <v>*</v>
      </c>
      <c r="C280" s="42" t="str">
        <f t="shared" si="8"/>
        <v/>
      </c>
      <c r="D280" s="44" t="str">
        <f>IF(PRESIONES!$C$22="NO","",IF(OR(LINEAS!$D$37="",DATOS!$C$22="—",ABS(LINEAS!$BA$37*DATOS!$C$67)&lt;0.00005),"*",LINEAS!$D$37&amp;" UNI G"&amp;DATOS!$C$22&amp;" "&amp;TEXT(LINEAS!$BA$37*DATOS!$C$67,DATOS!$C$68)))</f>
        <v/>
      </c>
      <c r="E280" s="42" t="str">
        <f t="shared" si="9"/>
        <v/>
      </c>
    </row>
    <row r="281" spans="2:5" ht="15" customHeight="1" x14ac:dyDescent="0.3">
      <c r="B281" s="44" t="str">
        <f>IF(OR(LINEAS!$D$38="",ABS(-LINEAS!$AC$38*DATOS!$C$67)&lt;0.00005),"*",LINEAS!$D$38&amp;" UNI GY "&amp;TEXT(-LINEAS!$AC$38*DATOS!$C$67,DATOS!$C$68))</f>
        <v>*</v>
      </c>
      <c r="C281" s="42" t="str">
        <f t="shared" si="8"/>
        <v/>
      </c>
      <c r="D281" s="44" t="str">
        <f>IF(PRESIONES!$C$22="NO","",IF(OR(LINEAS!$D$38="",ABS(-LINEAS!$AS$38*DATOS!$C$67)&lt;0.00005),"*",LINEAS!$D$38&amp;" UNI GY "&amp;TEXT(-LINEAS!$AS$38*DATOS!$C$67,DATOS!$C$68)))</f>
        <v/>
      </c>
      <c r="E281" s="42" t="str">
        <f t="shared" si="9"/>
        <v/>
      </c>
    </row>
    <row r="282" spans="2:5" ht="15" customHeight="1" x14ac:dyDescent="0.3">
      <c r="B282" s="44" t="str">
        <f>IF(OR(LINEAS!$D$38="",DATOS!$C$22="—",ABS(LINEAS!$AK$38*DATOS!$C$67)&lt;0.00005),"*",LINEAS!$D$38&amp;" UNI G"&amp;DATOS!$C$22&amp;" "&amp;TEXT(LINEAS!$AK$38*DATOS!$C$67,DATOS!$C$68))</f>
        <v>*</v>
      </c>
      <c r="C282" s="42" t="str">
        <f t="shared" si="8"/>
        <v/>
      </c>
      <c r="D282" s="44" t="str">
        <f>IF(PRESIONES!$C$22="NO","",IF(OR(LINEAS!$D$38="",DATOS!$C$22="—",ABS(LINEAS!$BA$38*DATOS!$C$67)&lt;0.00005),"*",LINEAS!$D$38&amp;" UNI G"&amp;DATOS!$C$22&amp;" "&amp;TEXT(LINEAS!$BA$38*DATOS!$C$67,DATOS!$C$68)))</f>
        <v/>
      </c>
      <c r="E282" s="42" t="str">
        <f t="shared" si="9"/>
        <v/>
      </c>
    </row>
    <row r="283" spans="2:5" ht="15" customHeight="1" x14ac:dyDescent="0.3">
      <c r="B283" s="44" t="str">
        <f>IF(OR(LINEAS!$D$45="",LINEAS!$U$45=0,ABS(IF(OR(LINEAS!$U$45=1,LINEAS!$U$45=3),1,-1)*LINEAS!$AC$45*DATOS!$C$67)&lt;0.00005),"*",LINEAS!$D$45&amp;" UNI "&amp;IF(LINEAS!$U$45&lt;=2,"GZ","GX")&amp;" "&amp;TEXT(IF(OR(LINEAS!$U$45=1,LINEAS!$U$45=3),1,-1)*LINEAS!$AC$45*DATOS!$C$67,DATOS!$C$68))</f>
        <v>261 UNI GX 0.0050</v>
      </c>
      <c r="C283" s="42" t="str">
        <f t="shared" si="8"/>
        <v/>
      </c>
      <c r="D283" s="44" t="str">
        <f>IF(PRESIONES!$C$22="NO","",IF(OR(LINEAS!$D$45="",LINEAS!$U$45=0,ABS(IF(OR(LINEAS!$U$45=1,LINEAS!$U$45=3),1,-1)*LINEAS!$AC$45*DATOS!$C$67)&lt;0.00005),"*",LINEAS!$D$45&amp;" UNI "&amp;IF(LINEAS!$U$45&lt;=2,"GZ","GX")&amp;" "&amp;TEXT(IF(OR(LINEAS!$U$45=1,LINEAS!$U$45=3),1,-1)*LINEAS!$AC$45*DATOS!$C$67,DATOS!$C$68)))</f>
        <v/>
      </c>
      <c r="E283" s="42" t="str">
        <f t="shared" si="9"/>
        <v/>
      </c>
    </row>
    <row r="284" spans="2:5" ht="15" customHeight="1" x14ac:dyDescent="0.3">
      <c r="B284" s="44" t="str">
        <f>IF(OR(LINEAS!$D$46="",LINEAS!$U$46=0,ABS(IF(OR(LINEAS!$U$46=1,LINEAS!$U$46=3),1,-1)*LINEAS!$AC$46*DATOS!$C$67)&lt;0.00005),"*",LINEAS!$D$46&amp;" UNI "&amp;IF(LINEAS!$U$46&lt;=2,"GZ","GX")&amp;" "&amp;TEXT(IF(OR(LINEAS!$U$46=1,LINEAS!$U$46=3),1,-1)*LINEAS!$AC$46*DATOS!$C$67,DATOS!$C$68))</f>
        <v>260 UNI GX 0.0050</v>
      </c>
      <c r="C284" s="42" t="str">
        <f t="shared" si="8"/>
        <v/>
      </c>
      <c r="D284" s="44" t="str">
        <f>IF(PRESIONES!$C$22="NO","",IF(OR(LINEAS!$D$46="",LINEAS!$U$46=0,ABS(IF(OR(LINEAS!$U$46=1,LINEAS!$U$46=3),1,-1)*LINEAS!$AC$46*DATOS!$C$67)&lt;0.00005),"*",LINEAS!$D$46&amp;" UNI "&amp;IF(LINEAS!$U$46&lt;=2,"GZ","GX")&amp;" "&amp;TEXT(IF(OR(LINEAS!$U$46=1,LINEAS!$U$46=3),1,-1)*LINEAS!$AC$46*DATOS!$C$67,DATOS!$C$68)))</f>
        <v/>
      </c>
      <c r="E284" s="42" t="str">
        <f t="shared" si="9"/>
        <v/>
      </c>
    </row>
    <row r="285" spans="2:5" ht="15" customHeight="1" x14ac:dyDescent="0.3">
      <c r="B285" s="44" t="str">
        <f>IF(OR(LINEAS!$D$47="",LINEAS!$U$47=0,ABS(IF(OR(LINEAS!$U$47=1,LINEAS!$U$47=3),1,-1)*LINEAS!$AC$47*DATOS!$C$67)&lt;0.00005),"*",LINEAS!$D$47&amp;" UNI "&amp;IF(LINEAS!$U$47&lt;=2,"GZ","GX")&amp;" "&amp;TEXT(IF(OR(LINEAS!$U$47=1,LINEAS!$U$47=3),1,-1)*LINEAS!$AC$47*DATOS!$C$67,DATOS!$C$68))</f>
        <v>259 UNI GX 0.0050</v>
      </c>
      <c r="C285" s="42" t="str">
        <f t="shared" si="8"/>
        <v/>
      </c>
      <c r="D285" s="44" t="str">
        <f>IF(PRESIONES!$C$22="NO","",IF(OR(LINEAS!$D$47="",LINEAS!$U$47=0,ABS(IF(OR(LINEAS!$U$47=1,LINEAS!$U$47=3),1,-1)*LINEAS!$AC$47*DATOS!$C$67)&lt;0.00005),"*",LINEAS!$D$47&amp;" UNI "&amp;IF(LINEAS!$U$47&lt;=2,"GZ","GX")&amp;" "&amp;TEXT(IF(OR(LINEAS!$U$47=1,LINEAS!$U$47=3),1,-1)*LINEAS!$AC$47*DATOS!$C$67,DATOS!$C$68)))</f>
        <v/>
      </c>
      <c r="E285" s="42" t="str">
        <f t="shared" si="9"/>
        <v/>
      </c>
    </row>
    <row r="286" spans="2:5" ht="15" customHeight="1" x14ac:dyDescent="0.3">
      <c r="B286" s="44" t="str">
        <f>IF(OR(LINEAS!$D$48="",LINEAS!$U$48=0,ABS(IF(OR(LINEAS!$U$48=1,LINEAS!$U$48=3),1,-1)*LINEAS!$AC$48*DATOS!$C$67)&lt;0.00005),"*",LINEAS!$D$48&amp;" UNI "&amp;IF(LINEAS!$U$48&lt;=2,"GZ","GX")&amp;" "&amp;TEXT(IF(OR(LINEAS!$U$48=1,LINEAS!$U$48=3),1,-1)*LINEAS!$AC$48*DATOS!$C$67,DATOS!$C$68))</f>
        <v>270 UNI GX 0.0050</v>
      </c>
      <c r="C286" s="42" t="str">
        <f t="shared" si="8"/>
        <v/>
      </c>
      <c r="D286" s="44" t="str">
        <f>IF(PRESIONES!$C$22="NO","",IF(OR(LINEAS!$D$48="",LINEAS!$U$48=0,ABS(IF(OR(LINEAS!$U$48=1,LINEAS!$U$48=3),1,-1)*LINEAS!$AC$48*DATOS!$C$67)&lt;0.00005),"*",LINEAS!$D$48&amp;" UNI "&amp;IF(LINEAS!$U$48&lt;=2,"GZ","GX")&amp;" "&amp;TEXT(IF(OR(LINEAS!$U$48=1,LINEAS!$U$48=3),1,-1)*LINEAS!$AC$48*DATOS!$C$67,DATOS!$C$68)))</f>
        <v/>
      </c>
      <c r="E286" s="42" t="str">
        <f t="shared" si="9"/>
        <v/>
      </c>
    </row>
    <row r="287" spans="2:5" ht="15" customHeight="1" x14ac:dyDescent="0.3">
      <c r="B287" s="44" t="str">
        <f>IF(OR(LINEAS!$D$49="",LINEAS!$U$49=0,ABS(IF(OR(LINEAS!$U$49=1,LINEAS!$U$49=3),1,-1)*LINEAS!$AC$49*DATOS!$C$67)&lt;0.00005),"*",LINEAS!$D$49&amp;" UNI "&amp;IF(LINEAS!$U$49&lt;=2,"GZ","GX")&amp;" "&amp;TEXT(IF(OR(LINEAS!$U$49=1,LINEAS!$U$49=3),1,-1)*LINEAS!$AC$49*DATOS!$C$67,DATOS!$C$68))</f>
        <v>269 UNI GX 0.0050</v>
      </c>
      <c r="C287" s="42" t="str">
        <f t="shared" si="8"/>
        <v/>
      </c>
      <c r="D287" s="44" t="str">
        <f>IF(PRESIONES!$C$22="NO","",IF(OR(LINEAS!$D$49="",LINEAS!$U$49=0,ABS(IF(OR(LINEAS!$U$49=1,LINEAS!$U$49=3),1,-1)*LINEAS!$AC$49*DATOS!$C$67)&lt;0.00005),"*",LINEAS!$D$49&amp;" UNI "&amp;IF(LINEAS!$U$49&lt;=2,"GZ","GX")&amp;" "&amp;TEXT(IF(OR(LINEAS!$U$49=1,LINEAS!$U$49=3),1,-1)*LINEAS!$AC$49*DATOS!$C$67,DATOS!$C$68)))</f>
        <v/>
      </c>
      <c r="E287" s="42" t="str">
        <f t="shared" si="9"/>
        <v/>
      </c>
    </row>
    <row r="288" spans="2:5" ht="15" customHeight="1" x14ac:dyDescent="0.3">
      <c r="B288" s="44" t="str">
        <f>IF(OR(LINEAS!$D$50="",LINEAS!$U$50=0,ABS(IF(OR(LINEAS!$U$50=1,LINEAS!$U$50=3),1,-1)*LINEAS!$AC$50*DATOS!$C$67)&lt;0.00005),"*",LINEAS!$D$50&amp;" UNI "&amp;IF(LINEAS!$U$50&lt;=2,"GZ","GX")&amp;" "&amp;TEXT(IF(OR(LINEAS!$U$50=1,LINEAS!$U$50=3),1,-1)*LINEAS!$AC$50*DATOS!$C$67,DATOS!$C$68))</f>
        <v>268 UNI GX 0.0050</v>
      </c>
      <c r="C288" s="42" t="str">
        <f t="shared" si="8"/>
        <v/>
      </c>
      <c r="D288" s="44" t="str">
        <f>IF(PRESIONES!$C$22="NO","",IF(OR(LINEAS!$D$50="",LINEAS!$U$50=0,ABS(IF(OR(LINEAS!$U$50=1,LINEAS!$U$50=3),1,-1)*LINEAS!$AC$50*DATOS!$C$67)&lt;0.00005),"*",LINEAS!$D$50&amp;" UNI "&amp;IF(LINEAS!$U$50&lt;=2,"GZ","GX")&amp;" "&amp;TEXT(IF(OR(LINEAS!$U$50=1,LINEAS!$U$50=3),1,-1)*LINEAS!$AC$50*DATOS!$C$67,DATOS!$C$68)))</f>
        <v/>
      </c>
      <c r="E288" s="42" t="str">
        <f t="shared" si="9"/>
        <v/>
      </c>
    </row>
    <row r="289" spans="2:5" ht="15" customHeight="1" x14ac:dyDescent="0.3">
      <c r="B289" s="44" t="str">
        <f>IF(OR(LINEAS!$D$51="",LINEAS!$U$51=0,ABS(IF(OR(LINEAS!$U$51=1,LINEAS!$U$51=3),1,-1)*LINEAS!$AC$51*DATOS!$C$67)&lt;0.00005),"*",LINEAS!$D$51&amp;" UNI "&amp;IF(LINEAS!$U$51&lt;=2,"GZ","GX")&amp;" "&amp;TEXT(IF(OR(LINEAS!$U$51=1,LINEAS!$U$51=3),1,-1)*LINEAS!$AC$51*DATOS!$C$67,DATOS!$C$68))</f>
        <v>279 UNI GX 0.0050</v>
      </c>
      <c r="C289" s="42" t="str">
        <f t="shared" si="8"/>
        <v/>
      </c>
      <c r="D289" s="44" t="str">
        <f>IF(PRESIONES!$C$22="NO","",IF(OR(LINEAS!$D$51="",LINEAS!$U$51=0,ABS(IF(OR(LINEAS!$U$51=1,LINEAS!$U$51=3),1,-1)*LINEAS!$AC$51*DATOS!$C$67)&lt;0.00005),"*",LINEAS!$D$51&amp;" UNI "&amp;IF(LINEAS!$U$51&lt;=2,"GZ","GX")&amp;" "&amp;TEXT(IF(OR(LINEAS!$U$51=1,LINEAS!$U$51=3),1,-1)*LINEAS!$AC$51*DATOS!$C$67,DATOS!$C$68)))</f>
        <v/>
      </c>
      <c r="E289" s="42" t="str">
        <f t="shared" si="9"/>
        <v/>
      </c>
    </row>
    <row r="290" spans="2:5" ht="15" customHeight="1" x14ac:dyDescent="0.3">
      <c r="B290" s="44" t="str">
        <f>IF(OR(LINEAS!$D$52="",LINEAS!$U$52=0,ABS(IF(OR(LINEAS!$U$52=1,LINEAS!$U$52=3),1,-1)*LINEAS!$AC$52*DATOS!$C$67)&lt;0.00005),"*",LINEAS!$D$52&amp;" UNI "&amp;IF(LINEAS!$U$52&lt;=2,"GZ","GX")&amp;" "&amp;TEXT(IF(OR(LINEAS!$U$52=1,LINEAS!$U$52=3),1,-1)*LINEAS!$AC$52*DATOS!$C$67,DATOS!$C$68))</f>
        <v>278 UNI GX 0.0050</v>
      </c>
      <c r="C290" s="42" t="str">
        <f t="shared" si="8"/>
        <v/>
      </c>
      <c r="D290" s="44" t="str">
        <f>IF(PRESIONES!$C$22="NO","",IF(OR(LINEAS!$D$52="",LINEAS!$U$52=0,ABS(IF(OR(LINEAS!$U$52=1,LINEAS!$U$52=3),1,-1)*LINEAS!$AC$52*DATOS!$C$67)&lt;0.00005),"*",LINEAS!$D$52&amp;" UNI "&amp;IF(LINEAS!$U$52&lt;=2,"GZ","GX")&amp;" "&amp;TEXT(IF(OR(LINEAS!$U$52=1,LINEAS!$U$52=3),1,-1)*LINEAS!$AC$52*DATOS!$C$67,DATOS!$C$68)))</f>
        <v/>
      </c>
      <c r="E290" s="42" t="str">
        <f t="shared" si="9"/>
        <v/>
      </c>
    </row>
    <row r="291" spans="2:5" ht="15" customHeight="1" x14ac:dyDescent="0.3">
      <c r="B291" s="44" t="str">
        <f>IF(OR(LINEAS!$D$53="",LINEAS!$U$53=0,ABS(IF(OR(LINEAS!$U$53=1,LINEAS!$U$53=3),1,-1)*LINEAS!$AC$53*DATOS!$C$67)&lt;0.00005),"*",LINEAS!$D$53&amp;" UNI "&amp;IF(LINEAS!$U$53&lt;=2,"GZ","GX")&amp;" "&amp;TEXT(IF(OR(LINEAS!$U$53=1,LINEAS!$U$53=3),1,-1)*LINEAS!$AC$53*DATOS!$C$67,DATOS!$C$68))</f>
        <v>277 UNI GX 0.0050</v>
      </c>
      <c r="C291" s="42" t="str">
        <f t="shared" si="8"/>
        <v/>
      </c>
      <c r="D291" s="44" t="str">
        <f>IF(PRESIONES!$C$22="NO","",IF(OR(LINEAS!$D$53="",LINEAS!$U$53=0,ABS(IF(OR(LINEAS!$U$53=1,LINEAS!$U$53=3),1,-1)*LINEAS!$AC$53*DATOS!$C$67)&lt;0.00005),"*",LINEAS!$D$53&amp;" UNI "&amp;IF(LINEAS!$U$53&lt;=2,"GZ","GX")&amp;" "&amp;TEXT(IF(OR(LINEAS!$U$53=1,LINEAS!$U$53=3),1,-1)*LINEAS!$AC$53*DATOS!$C$67,DATOS!$C$68)))</f>
        <v/>
      </c>
      <c r="E291" s="42" t="str">
        <f t="shared" si="9"/>
        <v/>
      </c>
    </row>
    <row r="292" spans="2:5" ht="15" customHeight="1" x14ac:dyDescent="0.3">
      <c r="B292" s="44" t="str">
        <f>IF(OR(LINEAS!$D$54="",LINEAS!$U$54=0,ABS(IF(OR(LINEAS!$U$54=1,LINEAS!$U$54=3),1,-1)*LINEAS!$AC$54*DATOS!$C$67)&lt;0.00005),"*",LINEAS!$D$54&amp;" UNI "&amp;IF(LINEAS!$U$54&lt;=2,"GZ","GX")&amp;" "&amp;TEXT(IF(OR(LINEAS!$U$54=1,LINEAS!$U$54=3),1,-1)*LINEAS!$AC$54*DATOS!$C$67,DATOS!$C$68))</f>
        <v>289 UNI GX 0.0050</v>
      </c>
      <c r="C292" s="42" t="str">
        <f t="shared" si="8"/>
        <v/>
      </c>
      <c r="D292" s="44" t="str">
        <f>IF(PRESIONES!$C$22="NO","",IF(OR(LINEAS!$D$54="",LINEAS!$U$54=0,ABS(IF(OR(LINEAS!$U$54=1,LINEAS!$U$54=3),1,-1)*LINEAS!$AC$54*DATOS!$C$67)&lt;0.00005),"*",LINEAS!$D$54&amp;" UNI "&amp;IF(LINEAS!$U$54&lt;=2,"GZ","GX")&amp;" "&amp;TEXT(IF(OR(LINEAS!$U$54=1,LINEAS!$U$54=3),1,-1)*LINEAS!$AC$54*DATOS!$C$67,DATOS!$C$68)))</f>
        <v/>
      </c>
      <c r="E292" s="42" t="str">
        <f t="shared" si="9"/>
        <v/>
      </c>
    </row>
    <row r="293" spans="2:5" ht="15" customHeight="1" x14ac:dyDescent="0.3">
      <c r="B293" s="44" t="str">
        <f>IF(OR(LINEAS!$D$55="",LINEAS!$U$55=0,ABS(IF(OR(LINEAS!$U$55=1,LINEAS!$U$55=3),1,-1)*LINEAS!$AC$55*DATOS!$C$67)&lt;0.00005),"*",LINEAS!$D$55&amp;" UNI "&amp;IF(LINEAS!$U$55&lt;=2,"GZ","GX")&amp;" "&amp;TEXT(IF(OR(LINEAS!$U$55=1,LINEAS!$U$55=3),1,-1)*LINEAS!$AC$55*DATOS!$C$67,DATOS!$C$68))</f>
        <v>288 UNI GX 0.0050</v>
      </c>
      <c r="C293" s="42" t="str">
        <f t="shared" si="8"/>
        <v/>
      </c>
      <c r="D293" s="44" t="str">
        <f>IF(PRESIONES!$C$22="NO","",IF(OR(LINEAS!$D$55="",LINEAS!$U$55=0,ABS(IF(OR(LINEAS!$U$55=1,LINEAS!$U$55=3),1,-1)*LINEAS!$AC$55*DATOS!$C$67)&lt;0.00005),"*",LINEAS!$D$55&amp;" UNI "&amp;IF(LINEAS!$U$55&lt;=2,"GZ","GX")&amp;" "&amp;TEXT(IF(OR(LINEAS!$U$55=1,LINEAS!$U$55=3),1,-1)*LINEAS!$AC$55*DATOS!$C$67,DATOS!$C$68)))</f>
        <v/>
      </c>
      <c r="E293" s="42" t="str">
        <f t="shared" si="9"/>
        <v/>
      </c>
    </row>
    <row r="294" spans="2:5" ht="15" customHeight="1" x14ac:dyDescent="0.3">
      <c r="B294" s="44" t="str">
        <f>IF(OR(LINEAS!$D$56="",LINEAS!$U$56=0,ABS(IF(OR(LINEAS!$U$56=1,LINEAS!$U$56=3),1,-1)*LINEAS!$AC$56*DATOS!$C$67)&lt;0.00005),"*",LINEAS!$D$56&amp;" UNI "&amp;IF(LINEAS!$U$56&lt;=2,"GZ","GX")&amp;" "&amp;TEXT(IF(OR(LINEAS!$U$56=1,LINEAS!$U$56=3),1,-1)*LINEAS!$AC$56*DATOS!$C$67,DATOS!$C$68))</f>
        <v>287 UNI GX 0.0050</v>
      </c>
      <c r="C294" s="42" t="str">
        <f t="shared" si="8"/>
        <v/>
      </c>
      <c r="D294" s="44" t="str">
        <f>IF(PRESIONES!$C$22="NO","",IF(OR(LINEAS!$D$56="",LINEAS!$U$56=0,ABS(IF(OR(LINEAS!$U$56=1,LINEAS!$U$56=3),1,-1)*LINEAS!$AC$56*DATOS!$C$67)&lt;0.00005),"*",LINEAS!$D$56&amp;" UNI "&amp;IF(LINEAS!$U$56&lt;=2,"GZ","GX")&amp;" "&amp;TEXT(IF(OR(LINEAS!$U$56=1,LINEAS!$U$56=3),1,-1)*LINEAS!$AC$56*DATOS!$C$67,DATOS!$C$68)))</f>
        <v/>
      </c>
      <c r="E294" s="42" t="str">
        <f t="shared" si="9"/>
        <v/>
      </c>
    </row>
    <row r="295" spans="2:5" ht="15" customHeight="1" x14ac:dyDescent="0.3">
      <c r="B295" s="44" t="str">
        <f>IF(OR(LINEAS!$D$57="",LINEAS!$U$57=0,ABS(IF(OR(LINEAS!$U$57=1,LINEAS!$U$57=3),1,-1)*LINEAS!$AC$57*DATOS!$C$67)&lt;0.00005),"*",LINEAS!$D$57&amp;" UNI "&amp;IF(LINEAS!$U$57&lt;=2,"GZ","GX")&amp;" "&amp;TEXT(IF(OR(LINEAS!$U$57=1,LINEAS!$U$57=3),1,-1)*LINEAS!$AC$57*DATOS!$C$67,DATOS!$C$68))</f>
        <v>297 UNI GX 0.0050</v>
      </c>
      <c r="C295" s="42" t="str">
        <f t="shared" si="8"/>
        <v/>
      </c>
      <c r="D295" s="44" t="str">
        <f>IF(PRESIONES!$C$22="NO","",IF(OR(LINEAS!$D$57="",LINEAS!$U$57=0,ABS(IF(OR(LINEAS!$U$57=1,LINEAS!$U$57=3),1,-1)*LINEAS!$AC$57*DATOS!$C$67)&lt;0.00005),"*",LINEAS!$D$57&amp;" UNI "&amp;IF(LINEAS!$U$57&lt;=2,"GZ","GX")&amp;" "&amp;TEXT(IF(OR(LINEAS!$U$57=1,LINEAS!$U$57=3),1,-1)*LINEAS!$AC$57*DATOS!$C$67,DATOS!$C$68)))</f>
        <v/>
      </c>
      <c r="E295" s="42" t="str">
        <f t="shared" si="9"/>
        <v/>
      </c>
    </row>
    <row r="296" spans="2:5" ht="15" customHeight="1" x14ac:dyDescent="0.3">
      <c r="B296" s="44" t="str">
        <f>IF(OR(LINEAS!$D$58="",LINEAS!$U$58=0,ABS(IF(OR(LINEAS!$U$58=1,LINEAS!$U$58=3),1,-1)*LINEAS!$AC$58*DATOS!$C$67)&lt;0.00005),"*",LINEAS!$D$58&amp;" UNI "&amp;IF(LINEAS!$U$58&lt;=2,"GZ","GX")&amp;" "&amp;TEXT(IF(OR(LINEAS!$U$58=1,LINEAS!$U$58=3),1,-1)*LINEAS!$AC$58*DATOS!$C$67,DATOS!$C$68))</f>
        <v>296 UNI GX 0.0050</v>
      </c>
      <c r="C296" s="42" t="str">
        <f t="shared" si="8"/>
        <v/>
      </c>
      <c r="D296" s="44" t="str">
        <f>IF(PRESIONES!$C$22="NO","",IF(OR(LINEAS!$D$58="",LINEAS!$U$58=0,ABS(IF(OR(LINEAS!$U$58=1,LINEAS!$U$58=3),1,-1)*LINEAS!$AC$58*DATOS!$C$67)&lt;0.00005),"*",LINEAS!$D$58&amp;" UNI "&amp;IF(LINEAS!$U$58&lt;=2,"GZ","GX")&amp;" "&amp;TEXT(IF(OR(LINEAS!$U$58=1,LINEAS!$U$58=3),1,-1)*LINEAS!$AC$58*DATOS!$C$67,DATOS!$C$68)))</f>
        <v/>
      </c>
      <c r="E296" s="42" t="str">
        <f t="shared" si="9"/>
        <v/>
      </c>
    </row>
    <row r="297" spans="2:5" ht="15" customHeight="1" x14ac:dyDescent="0.3">
      <c r="B297" s="44" t="str">
        <f>IF(OR(LINEAS!$D$59="",LINEAS!$U$59=0,ABS(IF(OR(LINEAS!$U$59=1,LINEAS!$U$59=3),1,-1)*LINEAS!$AC$59*DATOS!$C$67)&lt;0.00005),"*",LINEAS!$D$59&amp;" UNI "&amp;IF(LINEAS!$U$59&lt;=2,"GZ","GX")&amp;" "&amp;TEXT(IF(OR(LINEAS!$U$59=1,LINEAS!$U$59=3),1,-1)*LINEAS!$AC$59*DATOS!$C$67,DATOS!$C$68))</f>
        <v>295 UNI GX 0.0050</v>
      </c>
      <c r="C297" s="42" t="str">
        <f t="shared" si="8"/>
        <v/>
      </c>
      <c r="D297" s="44" t="str">
        <f>IF(PRESIONES!$C$22="NO","",IF(OR(LINEAS!$D$59="",LINEAS!$U$59=0,ABS(IF(OR(LINEAS!$U$59=1,LINEAS!$U$59=3),1,-1)*LINEAS!$AC$59*DATOS!$C$67)&lt;0.00005),"*",LINEAS!$D$59&amp;" UNI "&amp;IF(LINEAS!$U$59&lt;=2,"GZ","GX")&amp;" "&amp;TEXT(IF(OR(LINEAS!$U$59=1,LINEAS!$U$59=3),1,-1)*LINEAS!$AC$59*DATOS!$C$67,DATOS!$C$68)))</f>
        <v/>
      </c>
      <c r="E297" s="42" t="str">
        <f t="shared" si="9"/>
        <v/>
      </c>
    </row>
    <row r="298" spans="2:5" ht="15" customHeight="1" x14ac:dyDescent="0.3">
      <c r="B298" s="44" t="str">
        <f>IF(OR(LINEAS!$D$60="",LINEAS!$U$60=0,ABS(IF(OR(LINEAS!$U$60=1,LINEAS!$U$60=3),1,-1)*LINEAS!$AC$60*DATOS!$C$67)&lt;0.00005),"*",LINEAS!$D$60&amp;" UNI "&amp;IF(LINEAS!$U$60&lt;=2,"GZ","GX")&amp;" "&amp;TEXT(IF(OR(LINEAS!$U$60=1,LINEAS!$U$60=3),1,-1)*LINEAS!$AC$60*DATOS!$C$67,DATOS!$C$68))</f>
        <v>305 UNI GX 0.0050</v>
      </c>
      <c r="C298" s="42" t="str">
        <f t="shared" si="8"/>
        <v/>
      </c>
      <c r="D298" s="44" t="str">
        <f>IF(PRESIONES!$C$22="NO","",IF(OR(LINEAS!$D$60="",LINEAS!$U$60=0,ABS(IF(OR(LINEAS!$U$60=1,LINEAS!$U$60=3),1,-1)*LINEAS!$AC$60*DATOS!$C$67)&lt;0.00005),"*",LINEAS!$D$60&amp;" UNI "&amp;IF(LINEAS!$U$60&lt;=2,"GZ","GX")&amp;" "&amp;TEXT(IF(OR(LINEAS!$U$60=1,LINEAS!$U$60=3),1,-1)*LINEAS!$AC$60*DATOS!$C$67,DATOS!$C$68)))</f>
        <v/>
      </c>
      <c r="E298" s="42" t="str">
        <f t="shared" si="9"/>
        <v/>
      </c>
    </row>
    <row r="299" spans="2:5" ht="15" customHeight="1" x14ac:dyDescent="0.3">
      <c r="B299" s="44" t="str">
        <f>IF(OR(LINEAS!$D$61="",LINEAS!$U$61=0,ABS(IF(OR(LINEAS!$U$61=1,LINEAS!$U$61=3),1,-1)*LINEAS!$AC$61*DATOS!$C$67)&lt;0.00005),"*",LINEAS!$D$61&amp;" UNI "&amp;IF(LINEAS!$U$61&lt;=2,"GZ","GX")&amp;" "&amp;TEXT(IF(OR(LINEAS!$U$61=1,LINEAS!$U$61=3),1,-1)*LINEAS!$AC$61*DATOS!$C$67,DATOS!$C$68))</f>
        <v>304 UNI GX 0.0050</v>
      </c>
      <c r="C299" s="42" t="str">
        <f t="shared" si="8"/>
        <v/>
      </c>
      <c r="D299" s="44" t="str">
        <f>IF(PRESIONES!$C$22="NO","",IF(OR(LINEAS!$D$61="",LINEAS!$U$61=0,ABS(IF(OR(LINEAS!$U$61=1,LINEAS!$U$61=3),1,-1)*LINEAS!$AC$61*DATOS!$C$67)&lt;0.00005),"*",LINEAS!$D$61&amp;" UNI "&amp;IF(LINEAS!$U$61&lt;=2,"GZ","GX")&amp;" "&amp;TEXT(IF(OR(LINEAS!$U$61=1,LINEAS!$U$61=3),1,-1)*LINEAS!$AC$61*DATOS!$C$67,DATOS!$C$68)))</f>
        <v/>
      </c>
      <c r="E299" s="42" t="str">
        <f t="shared" si="9"/>
        <v/>
      </c>
    </row>
    <row r="300" spans="2:5" ht="15" customHeight="1" x14ac:dyDescent="0.3">
      <c r="B300" s="44" t="str">
        <f>IF(OR(LINEAS!$D$62="",LINEAS!$U$62=0,ABS(IF(OR(LINEAS!$U$62=1,LINEAS!$U$62=3),1,-1)*LINEAS!$AC$62*DATOS!$C$67)&lt;0.00005),"*",LINEAS!$D$62&amp;" UNI "&amp;IF(LINEAS!$U$62&lt;=2,"GZ","GX")&amp;" "&amp;TEXT(IF(OR(LINEAS!$U$62=1,LINEAS!$U$62=3),1,-1)*LINEAS!$AC$62*DATOS!$C$67,DATOS!$C$68))</f>
        <v>303 UNI GX 0.0050</v>
      </c>
      <c r="C300" s="42" t="str">
        <f t="shared" si="8"/>
        <v/>
      </c>
      <c r="D300" s="44" t="str">
        <f>IF(PRESIONES!$C$22="NO","",IF(OR(LINEAS!$D$62="",LINEAS!$U$62=0,ABS(IF(OR(LINEAS!$U$62=1,LINEAS!$U$62=3),1,-1)*LINEAS!$AC$62*DATOS!$C$67)&lt;0.00005),"*",LINEAS!$D$62&amp;" UNI "&amp;IF(LINEAS!$U$62&lt;=2,"GZ","GX")&amp;" "&amp;TEXT(IF(OR(LINEAS!$U$62=1,LINEAS!$U$62=3),1,-1)*LINEAS!$AC$62*DATOS!$C$67,DATOS!$C$68)))</f>
        <v/>
      </c>
      <c r="E300" s="42" t="str">
        <f t="shared" si="9"/>
        <v/>
      </c>
    </row>
    <row r="301" spans="2:5" ht="15" customHeight="1" x14ac:dyDescent="0.3">
      <c r="B301" s="44" t="str">
        <f>IF(OR(LINEAS!$D$63="",LINEAS!$U$63=0,ABS(IF(OR(LINEAS!$U$63=1,LINEAS!$U$63=3),1,-1)*LINEAS!$AC$63*DATOS!$C$67)&lt;0.00005),"*",LINEAS!$D$63&amp;" UNI "&amp;IF(LINEAS!$U$63&lt;=2,"GZ","GX")&amp;" "&amp;TEXT(IF(OR(LINEAS!$U$63=1,LINEAS!$U$63=3),1,-1)*LINEAS!$AC$63*DATOS!$C$67,DATOS!$C$68))</f>
        <v>314 UNI GX 0.0050</v>
      </c>
      <c r="C301" s="42" t="str">
        <f t="shared" si="8"/>
        <v/>
      </c>
      <c r="D301" s="44" t="str">
        <f>IF(PRESIONES!$C$22="NO","",IF(OR(LINEAS!$D$63="",LINEAS!$U$63=0,ABS(IF(OR(LINEAS!$U$63=1,LINEAS!$U$63=3),1,-1)*LINEAS!$AC$63*DATOS!$C$67)&lt;0.00005),"*",LINEAS!$D$63&amp;" UNI "&amp;IF(LINEAS!$U$63&lt;=2,"GZ","GX")&amp;" "&amp;TEXT(IF(OR(LINEAS!$U$63=1,LINEAS!$U$63=3),1,-1)*LINEAS!$AC$63*DATOS!$C$67,DATOS!$C$68)))</f>
        <v/>
      </c>
      <c r="E301" s="42" t="str">
        <f t="shared" si="9"/>
        <v/>
      </c>
    </row>
    <row r="302" spans="2:5" ht="15" customHeight="1" x14ac:dyDescent="0.3">
      <c r="B302" s="44" t="str">
        <f>IF(OR(LINEAS!$D$64="",LINEAS!$U$64=0,ABS(IF(OR(LINEAS!$U$64=1,LINEAS!$U$64=3),1,-1)*LINEAS!$AC$64*DATOS!$C$67)&lt;0.00005),"*",LINEAS!$D$64&amp;" UNI "&amp;IF(LINEAS!$U$64&lt;=2,"GZ","GX")&amp;" "&amp;TEXT(IF(OR(LINEAS!$U$64=1,LINEAS!$U$64=3),1,-1)*LINEAS!$AC$64*DATOS!$C$67,DATOS!$C$68))</f>
        <v>313 UNI GX 0.0050</v>
      </c>
      <c r="C302" s="42" t="str">
        <f t="shared" si="8"/>
        <v/>
      </c>
      <c r="D302" s="44" t="str">
        <f>IF(PRESIONES!$C$22="NO","",IF(OR(LINEAS!$D$64="",LINEAS!$U$64=0,ABS(IF(OR(LINEAS!$U$64=1,LINEAS!$U$64=3),1,-1)*LINEAS!$AC$64*DATOS!$C$67)&lt;0.00005),"*",LINEAS!$D$64&amp;" UNI "&amp;IF(LINEAS!$U$64&lt;=2,"GZ","GX")&amp;" "&amp;TEXT(IF(OR(LINEAS!$U$64=1,LINEAS!$U$64=3),1,-1)*LINEAS!$AC$64*DATOS!$C$67,DATOS!$C$68)))</f>
        <v/>
      </c>
      <c r="E302" s="42" t="str">
        <f t="shared" si="9"/>
        <v/>
      </c>
    </row>
    <row r="303" spans="2:5" ht="15" customHeight="1" x14ac:dyDescent="0.3">
      <c r="B303" s="44" t="str">
        <f>IF(OR(LINEAS!$D$65="",LINEAS!$U$65=0,ABS(IF(OR(LINEAS!$U$65=1,LINEAS!$U$65=3),1,-1)*LINEAS!$AC$65*DATOS!$C$67)&lt;0.00005),"*",LINEAS!$D$65&amp;" UNI "&amp;IF(LINEAS!$U$65&lt;=2,"GZ","GX")&amp;" "&amp;TEXT(IF(OR(LINEAS!$U$65=1,LINEAS!$U$65=3),1,-1)*LINEAS!$AC$65*DATOS!$C$67,DATOS!$C$68))</f>
        <v>312 UNI GX 0.0050</v>
      </c>
      <c r="C303" s="42" t="str">
        <f t="shared" si="8"/>
        <v/>
      </c>
      <c r="D303" s="44" t="str">
        <f>IF(PRESIONES!$C$22="NO","",IF(OR(LINEAS!$D$65="",LINEAS!$U$65=0,ABS(IF(OR(LINEAS!$U$65=1,LINEAS!$U$65=3),1,-1)*LINEAS!$AC$65*DATOS!$C$67)&lt;0.00005),"*",LINEAS!$D$65&amp;" UNI "&amp;IF(LINEAS!$U$65&lt;=2,"GZ","GX")&amp;" "&amp;TEXT(IF(OR(LINEAS!$U$65=1,LINEAS!$U$65=3),1,-1)*LINEAS!$AC$65*DATOS!$C$67,DATOS!$C$68)))</f>
        <v/>
      </c>
      <c r="E303" s="42" t="str">
        <f t="shared" si="9"/>
        <v/>
      </c>
    </row>
    <row r="304" spans="2:5" ht="15" customHeight="1" x14ac:dyDescent="0.3">
      <c r="B304" s="44" t="str">
        <f>IF(OR(LINEAS!$D$66="",LINEAS!$U$66=0,ABS(IF(OR(LINEAS!$U$66=1,LINEAS!$U$66=3),1,-1)*LINEAS!$AC$66*DATOS!$C$67)&lt;0.00005),"*",LINEAS!$D$66&amp;" UNI "&amp;IF(LINEAS!$U$66&lt;=2,"GZ","GX")&amp;" "&amp;TEXT(IF(OR(LINEAS!$U$66=1,LINEAS!$U$66=3),1,-1)*LINEAS!$AC$66*DATOS!$C$67,DATOS!$C$68))</f>
        <v>317 UNI GX 0.0043</v>
      </c>
      <c r="C304" s="42" t="str">
        <f t="shared" si="8"/>
        <v/>
      </c>
      <c r="D304" s="44" t="str">
        <f>IF(PRESIONES!$C$22="NO","",IF(OR(LINEAS!$D$66="",LINEAS!$U$66=0,ABS(IF(OR(LINEAS!$U$66=1,LINEAS!$U$66=3),1,-1)*LINEAS!$AC$66*DATOS!$C$67)&lt;0.00005),"*",LINEAS!$D$66&amp;" UNI "&amp;IF(LINEAS!$U$66&lt;=2,"GZ","GX")&amp;" "&amp;TEXT(IF(OR(LINEAS!$U$66=1,LINEAS!$U$66=3),1,-1)*LINEAS!$AC$66*DATOS!$C$67,DATOS!$C$68)))</f>
        <v/>
      </c>
      <c r="E304" s="42" t="str">
        <f t="shared" si="9"/>
        <v/>
      </c>
    </row>
    <row r="305" spans="2:5" ht="15" customHeight="1" x14ac:dyDescent="0.3">
      <c r="B305" s="44" t="str">
        <f>IF(OR(LINEAS!$D$67="",LINEAS!$U$67=0,ABS(IF(OR(LINEAS!$U$67=1,LINEAS!$U$67=3),1,-1)*LINEAS!$AC$67*DATOS!$C$67)&lt;0.00005),"*",LINEAS!$D$67&amp;" UNI "&amp;IF(LINEAS!$U$67&lt;=2,"GZ","GX")&amp;" "&amp;TEXT(IF(OR(LINEAS!$U$67=1,LINEAS!$U$67=3),1,-1)*LINEAS!$AC$67*DATOS!$C$67,DATOS!$C$68))</f>
        <v>316 UNI GX 0.0036</v>
      </c>
      <c r="C305" s="42" t="str">
        <f t="shared" si="8"/>
        <v/>
      </c>
      <c r="D305" s="44" t="str">
        <f>IF(PRESIONES!$C$22="NO","",IF(OR(LINEAS!$D$67="",LINEAS!$U$67=0,ABS(IF(OR(LINEAS!$U$67=1,LINEAS!$U$67=3),1,-1)*LINEAS!$AC$67*DATOS!$C$67)&lt;0.00005),"*",LINEAS!$D$67&amp;" UNI "&amp;IF(LINEAS!$U$67&lt;=2,"GZ","GX")&amp;" "&amp;TEXT(IF(OR(LINEAS!$U$67=1,LINEAS!$U$67=3),1,-1)*LINEAS!$AC$67*DATOS!$C$67,DATOS!$C$68)))</f>
        <v/>
      </c>
      <c r="E305" s="42" t="str">
        <f t="shared" si="9"/>
        <v/>
      </c>
    </row>
    <row r="306" spans="2:5" ht="15" customHeight="1" x14ac:dyDescent="0.3">
      <c r="B306" s="44" t="str">
        <f>IF(OR(LINEAS!$D$68="",LINEAS!$U$68=0,ABS(IF(OR(LINEAS!$U$68=1,LINEAS!$U$68=3),1,-1)*LINEAS!$AC$68*DATOS!$C$67)&lt;0.00005),"*",LINEAS!$D$68&amp;" UNI "&amp;IF(LINEAS!$U$68&lt;=2,"GZ","GX")&amp;" "&amp;TEXT(IF(OR(LINEAS!$U$68=1,LINEAS!$U$68=3),1,-1)*LINEAS!$AC$68*DATOS!$C$67,DATOS!$C$68))</f>
        <v>315 UNI GX 0.0031</v>
      </c>
      <c r="C306" s="42" t="str">
        <f t="shared" si="8"/>
        <v/>
      </c>
      <c r="D306" s="44" t="str">
        <f>IF(PRESIONES!$C$22="NO","",IF(OR(LINEAS!$D$68="",LINEAS!$U$68=0,ABS(IF(OR(LINEAS!$U$68=1,LINEAS!$U$68=3),1,-1)*LINEAS!$AC$68*DATOS!$C$67)&lt;0.00005),"*",LINEAS!$D$68&amp;" UNI "&amp;IF(LINEAS!$U$68&lt;=2,"GZ","GX")&amp;" "&amp;TEXT(IF(OR(LINEAS!$U$68=1,LINEAS!$U$68=3),1,-1)*LINEAS!$AC$68*DATOS!$C$67,DATOS!$C$68)))</f>
        <v/>
      </c>
      <c r="E306" s="42" t="str">
        <f t="shared" si="9"/>
        <v/>
      </c>
    </row>
    <row r="307" spans="2:5" ht="15" customHeight="1" x14ac:dyDescent="0.3">
      <c r="B307" s="44" t="str">
        <f>IF(OR(LINEAS!$D$69="",LINEAS!$U$69=0,ABS(IF(OR(LINEAS!$U$69=1,LINEAS!$U$69=3),1,-1)*LINEAS!$AC$69*DATOS!$C$67)&lt;0.00005),"*",LINEAS!$D$69&amp;" UNI "&amp;IF(LINEAS!$U$69&lt;=2,"GZ","GX")&amp;" "&amp;TEXT(IF(OR(LINEAS!$U$69=1,LINEAS!$U$69=3),1,-1)*LINEAS!$AC$69*DATOS!$C$67,DATOS!$C$68))</f>
        <v>265 UNI GX -0.7538</v>
      </c>
      <c r="C307" s="42" t="str">
        <f t="shared" si="8"/>
        <v/>
      </c>
      <c r="D307" s="44" t="str">
        <f>IF(PRESIONES!$C$22="NO","",IF(OR(LINEAS!$D$69="",LINEAS!$U$69=0,ABS(IF(OR(LINEAS!$U$69=1,LINEAS!$U$69=3),1,-1)*LINEAS!$AC$69*DATOS!$C$67)&lt;0.00005),"*",LINEAS!$D$69&amp;" UNI "&amp;IF(LINEAS!$U$69&lt;=2,"GZ","GX")&amp;" "&amp;TEXT(IF(OR(LINEAS!$U$69=1,LINEAS!$U$69=3),1,-1)*LINEAS!$AC$69*DATOS!$C$67,DATOS!$C$68)))</f>
        <v/>
      </c>
      <c r="E307" s="42" t="str">
        <f t="shared" si="9"/>
        <v/>
      </c>
    </row>
    <row r="308" spans="2:5" ht="15" customHeight="1" x14ac:dyDescent="0.3">
      <c r="B308" s="44" t="str">
        <f>IF(OR(LINEAS!$D$70="",LINEAS!$U$70=0,ABS(IF(OR(LINEAS!$U$70=1,LINEAS!$U$70=3),1,-1)*LINEAS!$AC$70*DATOS!$C$67)&lt;0.00005),"*",LINEAS!$D$70&amp;" UNI "&amp;IF(LINEAS!$U$70&lt;=2,"GZ","GX")&amp;" "&amp;TEXT(IF(OR(LINEAS!$U$70=1,LINEAS!$U$70=3),1,-1)*LINEAS!$AC$70*DATOS!$C$67,DATOS!$C$68))</f>
        <v>266 UNI GX -0.7538</v>
      </c>
      <c r="C308" s="42" t="str">
        <f t="shared" si="8"/>
        <v/>
      </c>
      <c r="D308" s="44" t="str">
        <f>IF(PRESIONES!$C$22="NO","",IF(OR(LINEAS!$D$70="",LINEAS!$U$70=0,ABS(IF(OR(LINEAS!$U$70=1,LINEAS!$U$70=3),1,-1)*LINEAS!$AC$70*DATOS!$C$67)&lt;0.00005),"*",LINEAS!$D$70&amp;" UNI "&amp;IF(LINEAS!$U$70&lt;=2,"GZ","GX")&amp;" "&amp;TEXT(IF(OR(LINEAS!$U$70=1,LINEAS!$U$70=3),1,-1)*LINEAS!$AC$70*DATOS!$C$67,DATOS!$C$68)))</f>
        <v/>
      </c>
      <c r="E308" s="42" t="str">
        <f t="shared" si="9"/>
        <v/>
      </c>
    </row>
    <row r="309" spans="2:5" ht="15" customHeight="1" x14ac:dyDescent="0.3">
      <c r="B309" s="44" t="str">
        <f>IF(OR(LINEAS!$D$71="",LINEAS!$U$71=0,ABS(IF(OR(LINEAS!$U$71=1,LINEAS!$U$71=3),1,-1)*LINEAS!$AC$71*DATOS!$C$67)&lt;0.00005),"*",LINEAS!$D$71&amp;" UNI "&amp;IF(LINEAS!$U$71&lt;=2,"GZ","GX")&amp;" "&amp;TEXT(IF(OR(LINEAS!$U$71=1,LINEAS!$U$71=3),1,-1)*LINEAS!$AC$71*DATOS!$C$67,DATOS!$C$68))</f>
        <v>267 UNI GX -0.7538</v>
      </c>
      <c r="C309" s="42" t="str">
        <f t="shared" si="8"/>
        <v/>
      </c>
      <c r="D309" s="44" t="str">
        <f>IF(PRESIONES!$C$22="NO","",IF(OR(LINEAS!$D$71="",LINEAS!$U$71=0,ABS(IF(OR(LINEAS!$U$71=1,LINEAS!$U$71=3),1,-1)*LINEAS!$AC$71*DATOS!$C$67)&lt;0.00005),"*",LINEAS!$D$71&amp;" UNI "&amp;IF(LINEAS!$U$71&lt;=2,"GZ","GX")&amp;" "&amp;TEXT(IF(OR(LINEAS!$U$71=1,LINEAS!$U$71=3),1,-1)*LINEAS!$AC$71*DATOS!$C$67,DATOS!$C$68)))</f>
        <v/>
      </c>
      <c r="E309" s="42" t="str">
        <f t="shared" si="9"/>
        <v/>
      </c>
    </row>
    <row r="310" spans="2:5" ht="15" customHeight="1" x14ac:dyDescent="0.3">
      <c r="B310" s="44" t="str">
        <f>IF(OR(LINEAS!$D$72="",LINEAS!$U$72=0,ABS(IF(OR(LINEAS!$U$72=1,LINEAS!$U$72=3),1,-1)*LINEAS!$AC$72*DATOS!$C$67)&lt;0.00005),"*",LINEAS!$D$72&amp;" UNI "&amp;IF(LINEAS!$U$72&lt;=2,"GZ","GX")&amp;" "&amp;TEXT(IF(OR(LINEAS!$U$72=1,LINEAS!$U$72=3),1,-1)*LINEAS!$AC$72*DATOS!$C$67,DATOS!$C$68))</f>
        <v>274 UNI GX -0.7538</v>
      </c>
      <c r="C310" s="42" t="str">
        <f t="shared" si="8"/>
        <v/>
      </c>
      <c r="D310" s="44" t="str">
        <f>IF(PRESIONES!$C$22="NO","",IF(OR(LINEAS!$D$72="",LINEAS!$U$72=0,ABS(IF(OR(LINEAS!$U$72=1,LINEAS!$U$72=3),1,-1)*LINEAS!$AC$72*DATOS!$C$67)&lt;0.00005),"*",LINEAS!$D$72&amp;" UNI "&amp;IF(LINEAS!$U$72&lt;=2,"GZ","GX")&amp;" "&amp;TEXT(IF(OR(LINEAS!$U$72=1,LINEAS!$U$72=3),1,-1)*LINEAS!$AC$72*DATOS!$C$67,DATOS!$C$68)))</f>
        <v/>
      </c>
      <c r="E310" s="42" t="str">
        <f t="shared" si="9"/>
        <v/>
      </c>
    </row>
    <row r="311" spans="2:5" ht="15" customHeight="1" x14ac:dyDescent="0.3">
      <c r="B311" s="44" t="str">
        <f>IF(OR(LINEAS!$D$73="",LINEAS!$U$73=0,ABS(IF(OR(LINEAS!$U$73=1,LINEAS!$U$73=3),1,-1)*LINEAS!$AC$73*DATOS!$C$67)&lt;0.00005),"*",LINEAS!$D$73&amp;" UNI "&amp;IF(LINEAS!$U$73&lt;=2,"GZ","GX")&amp;" "&amp;TEXT(IF(OR(LINEAS!$U$73=1,LINEAS!$U$73=3),1,-1)*LINEAS!$AC$73*DATOS!$C$67,DATOS!$C$68))</f>
        <v>275 UNI GX -0.7538</v>
      </c>
      <c r="C311" s="42" t="str">
        <f t="shared" si="8"/>
        <v/>
      </c>
      <c r="D311" s="44" t="str">
        <f>IF(PRESIONES!$C$22="NO","",IF(OR(LINEAS!$D$73="",LINEAS!$U$73=0,ABS(IF(OR(LINEAS!$U$73=1,LINEAS!$U$73=3),1,-1)*LINEAS!$AC$73*DATOS!$C$67)&lt;0.00005),"*",LINEAS!$D$73&amp;" UNI "&amp;IF(LINEAS!$U$73&lt;=2,"GZ","GX")&amp;" "&amp;TEXT(IF(OR(LINEAS!$U$73=1,LINEAS!$U$73=3),1,-1)*LINEAS!$AC$73*DATOS!$C$67,DATOS!$C$68)))</f>
        <v/>
      </c>
      <c r="E311" s="42" t="str">
        <f t="shared" si="9"/>
        <v/>
      </c>
    </row>
    <row r="312" spans="2:5" ht="15" customHeight="1" x14ac:dyDescent="0.3">
      <c r="B312" s="44" t="str">
        <f>IF(OR(LINEAS!$D$74="",LINEAS!$U$74=0,ABS(IF(OR(LINEAS!$U$74=1,LINEAS!$U$74=3),1,-1)*LINEAS!$AC$74*DATOS!$C$67)&lt;0.00005),"*",LINEAS!$D$74&amp;" UNI "&amp;IF(LINEAS!$U$74&lt;=2,"GZ","GX")&amp;" "&amp;TEXT(IF(OR(LINEAS!$U$74=1,LINEAS!$U$74=3),1,-1)*LINEAS!$AC$74*DATOS!$C$67,DATOS!$C$68))</f>
        <v>276 UNI GX -0.7538</v>
      </c>
      <c r="C312" s="42" t="str">
        <f t="shared" si="8"/>
        <v/>
      </c>
      <c r="D312" s="44" t="str">
        <f>IF(PRESIONES!$C$22="NO","",IF(OR(LINEAS!$D$74="",LINEAS!$U$74=0,ABS(IF(OR(LINEAS!$U$74=1,LINEAS!$U$74=3),1,-1)*LINEAS!$AC$74*DATOS!$C$67)&lt;0.00005),"*",LINEAS!$D$74&amp;" UNI "&amp;IF(LINEAS!$U$74&lt;=2,"GZ","GX")&amp;" "&amp;TEXT(IF(OR(LINEAS!$U$74=1,LINEAS!$U$74=3),1,-1)*LINEAS!$AC$74*DATOS!$C$67,DATOS!$C$68)))</f>
        <v/>
      </c>
      <c r="E312" s="42" t="str">
        <f t="shared" si="9"/>
        <v/>
      </c>
    </row>
    <row r="313" spans="2:5" ht="15" customHeight="1" x14ac:dyDescent="0.3">
      <c r="B313" s="44" t="str">
        <f>IF(OR(LINEAS!$D$75="",LINEAS!$U$75=0,ABS(IF(OR(LINEAS!$U$75=1,LINEAS!$U$75=3),1,-1)*LINEAS!$AC$75*DATOS!$C$67)&lt;0.00005),"*",LINEAS!$D$75&amp;" UNI "&amp;IF(LINEAS!$U$75&lt;=2,"GZ","GX")&amp;" "&amp;TEXT(IF(OR(LINEAS!$U$75=1,LINEAS!$U$75=3),1,-1)*LINEAS!$AC$75*DATOS!$C$67,DATOS!$C$68))</f>
        <v>283 UNI GX -0.7538</v>
      </c>
      <c r="C313" s="42" t="str">
        <f t="shared" si="8"/>
        <v/>
      </c>
      <c r="D313" s="44" t="str">
        <f>IF(PRESIONES!$C$22="NO","",IF(OR(LINEAS!$D$75="",LINEAS!$U$75=0,ABS(IF(OR(LINEAS!$U$75=1,LINEAS!$U$75=3),1,-1)*LINEAS!$AC$75*DATOS!$C$67)&lt;0.00005),"*",LINEAS!$D$75&amp;" UNI "&amp;IF(LINEAS!$U$75&lt;=2,"GZ","GX")&amp;" "&amp;TEXT(IF(OR(LINEAS!$U$75=1,LINEAS!$U$75=3),1,-1)*LINEAS!$AC$75*DATOS!$C$67,DATOS!$C$68)))</f>
        <v/>
      </c>
      <c r="E313" s="42" t="str">
        <f t="shared" si="9"/>
        <v/>
      </c>
    </row>
    <row r="314" spans="2:5" ht="15" customHeight="1" x14ac:dyDescent="0.3">
      <c r="B314" s="44" t="str">
        <f>IF(OR(LINEAS!$D$76="",LINEAS!$U$76=0,ABS(IF(OR(LINEAS!$U$76=1,LINEAS!$U$76=3),1,-1)*LINEAS!$AC$76*DATOS!$C$67)&lt;0.00005),"*",LINEAS!$D$76&amp;" UNI "&amp;IF(LINEAS!$U$76&lt;=2,"GZ","GX")&amp;" "&amp;TEXT(IF(OR(LINEAS!$U$76=1,LINEAS!$U$76=3),1,-1)*LINEAS!$AC$76*DATOS!$C$67,DATOS!$C$68))</f>
        <v>284 UNI GX -0.7538</v>
      </c>
      <c r="C314" s="42" t="str">
        <f t="shared" si="8"/>
        <v/>
      </c>
      <c r="D314" s="44" t="str">
        <f>IF(PRESIONES!$C$22="NO","",IF(OR(LINEAS!$D$76="",LINEAS!$U$76=0,ABS(IF(OR(LINEAS!$U$76=1,LINEAS!$U$76=3),1,-1)*LINEAS!$AC$76*DATOS!$C$67)&lt;0.00005),"*",LINEAS!$D$76&amp;" UNI "&amp;IF(LINEAS!$U$76&lt;=2,"GZ","GX")&amp;" "&amp;TEXT(IF(OR(LINEAS!$U$76=1,LINEAS!$U$76=3),1,-1)*LINEAS!$AC$76*DATOS!$C$67,DATOS!$C$68)))</f>
        <v/>
      </c>
      <c r="E314" s="42" t="str">
        <f t="shared" si="9"/>
        <v/>
      </c>
    </row>
    <row r="315" spans="2:5" ht="15" customHeight="1" x14ac:dyDescent="0.3">
      <c r="B315" s="44" t="str">
        <f>IF(OR(LINEAS!$D$77="",LINEAS!$U$77=0,ABS(IF(OR(LINEAS!$U$77=1,LINEAS!$U$77=3),1,-1)*LINEAS!$AC$77*DATOS!$C$67)&lt;0.00005),"*",LINEAS!$D$77&amp;" UNI "&amp;IF(LINEAS!$U$77&lt;=2,"GZ","GX")&amp;" "&amp;TEXT(IF(OR(LINEAS!$U$77=1,LINEAS!$U$77=3),1,-1)*LINEAS!$AC$77*DATOS!$C$67,DATOS!$C$68))</f>
        <v>285 UNI GX -0.7538</v>
      </c>
      <c r="C315" s="42" t="str">
        <f t="shared" si="8"/>
        <v/>
      </c>
      <c r="D315" s="44" t="str">
        <f>IF(PRESIONES!$C$22="NO","",IF(OR(LINEAS!$D$77="",LINEAS!$U$77=0,ABS(IF(OR(LINEAS!$U$77=1,LINEAS!$U$77=3),1,-1)*LINEAS!$AC$77*DATOS!$C$67)&lt;0.00005),"*",LINEAS!$D$77&amp;" UNI "&amp;IF(LINEAS!$U$77&lt;=2,"GZ","GX")&amp;" "&amp;TEXT(IF(OR(LINEAS!$U$77=1,LINEAS!$U$77=3),1,-1)*LINEAS!$AC$77*DATOS!$C$67,DATOS!$C$68)))</f>
        <v/>
      </c>
      <c r="E315" s="42" t="str">
        <f t="shared" si="9"/>
        <v/>
      </c>
    </row>
    <row r="316" spans="2:5" ht="15" customHeight="1" x14ac:dyDescent="0.3">
      <c r="B316" s="44" t="str">
        <f>IF(OR(LINEAS!$D$78="",LINEAS!$U$78=0,ABS(IF(OR(LINEAS!$U$78=1,LINEAS!$U$78=3),1,-1)*LINEAS!$AC$78*DATOS!$C$67)&lt;0.00005),"*",LINEAS!$D$78&amp;" UNI "&amp;IF(LINEAS!$U$78&lt;=2,"GZ","GX")&amp;" "&amp;TEXT(IF(OR(LINEAS!$U$78=1,LINEAS!$U$78=3),1,-1)*LINEAS!$AC$78*DATOS!$C$67,DATOS!$C$68))</f>
        <v>292 UNI GX -0.7538</v>
      </c>
      <c r="C316" s="42" t="str">
        <f t="shared" si="8"/>
        <v/>
      </c>
      <c r="D316" s="44" t="str">
        <f>IF(PRESIONES!$C$22="NO","",IF(OR(LINEAS!$D$78="",LINEAS!$U$78=0,ABS(IF(OR(LINEAS!$U$78=1,LINEAS!$U$78=3),1,-1)*LINEAS!$AC$78*DATOS!$C$67)&lt;0.00005),"*",LINEAS!$D$78&amp;" UNI "&amp;IF(LINEAS!$U$78&lt;=2,"GZ","GX")&amp;" "&amp;TEXT(IF(OR(LINEAS!$U$78=1,LINEAS!$U$78=3),1,-1)*LINEAS!$AC$78*DATOS!$C$67,DATOS!$C$68)))</f>
        <v/>
      </c>
      <c r="E316" s="42" t="str">
        <f t="shared" si="9"/>
        <v/>
      </c>
    </row>
    <row r="317" spans="2:5" ht="15" customHeight="1" x14ac:dyDescent="0.3">
      <c r="B317" s="44" t="str">
        <f>IF(OR(LINEAS!$D$79="",LINEAS!$U$79=0,ABS(IF(OR(LINEAS!$U$79=1,LINEAS!$U$79=3),1,-1)*LINEAS!$AC$79*DATOS!$C$67)&lt;0.00005),"*",LINEAS!$D$79&amp;" UNI "&amp;IF(LINEAS!$U$79&lt;=2,"GZ","GX")&amp;" "&amp;TEXT(IF(OR(LINEAS!$U$79=1,LINEAS!$U$79=3),1,-1)*LINEAS!$AC$79*DATOS!$C$67,DATOS!$C$68))</f>
        <v>293 UNI GX -0.7538</v>
      </c>
      <c r="C317" s="42" t="str">
        <f t="shared" si="8"/>
        <v/>
      </c>
      <c r="D317" s="44" t="str">
        <f>IF(PRESIONES!$C$22="NO","",IF(OR(LINEAS!$D$79="",LINEAS!$U$79=0,ABS(IF(OR(LINEAS!$U$79=1,LINEAS!$U$79=3),1,-1)*LINEAS!$AC$79*DATOS!$C$67)&lt;0.00005),"*",LINEAS!$D$79&amp;" UNI "&amp;IF(LINEAS!$U$79&lt;=2,"GZ","GX")&amp;" "&amp;TEXT(IF(OR(LINEAS!$U$79=1,LINEAS!$U$79=3),1,-1)*LINEAS!$AC$79*DATOS!$C$67,DATOS!$C$68)))</f>
        <v/>
      </c>
      <c r="E317" s="42" t="str">
        <f t="shared" si="9"/>
        <v/>
      </c>
    </row>
    <row r="318" spans="2:5" ht="15" customHeight="1" x14ac:dyDescent="0.3">
      <c r="B318" s="44" t="str">
        <f>IF(OR(LINEAS!$D$80="",LINEAS!$U$80=0,ABS(IF(OR(LINEAS!$U$80=1,LINEAS!$U$80=3),1,-1)*LINEAS!$AC$80*DATOS!$C$67)&lt;0.00005),"*",LINEAS!$D$80&amp;" UNI "&amp;IF(LINEAS!$U$80&lt;=2,"GZ","GX")&amp;" "&amp;TEXT(IF(OR(LINEAS!$U$80=1,LINEAS!$U$80=3),1,-1)*LINEAS!$AC$80*DATOS!$C$67,DATOS!$C$68))</f>
        <v>294 UNI GX -0.7538</v>
      </c>
      <c r="C318" s="42" t="str">
        <f t="shared" si="8"/>
        <v/>
      </c>
      <c r="D318" s="44" t="str">
        <f>IF(PRESIONES!$C$22="NO","",IF(OR(LINEAS!$D$80="",LINEAS!$U$80=0,ABS(IF(OR(LINEAS!$U$80=1,LINEAS!$U$80=3),1,-1)*LINEAS!$AC$80*DATOS!$C$67)&lt;0.00005),"*",LINEAS!$D$80&amp;" UNI "&amp;IF(LINEAS!$U$80&lt;=2,"GZ","GX")&amp;" "&amp;TEXT(IF(OR(LINEAS!$U$80=1,LINEAS!$U$80=3),1,-1)*LINEAS!$AC$80*DATOS!$C$67,DATOS!$C$68)))</f>
        <v/>
      </c>
      <c r="E318" s="42" t="str">
        <f t="shared" si="9"/>
        <v/>
      </c>
    </row>
    <row r="319" spans="2:5" ht="15" customHeight="1" x14ac:dyDescent="0.3">
      <c r="B319" s="44" t="str">
        <f>IF(OR(LINEAS!$D$81="",LINEAS!$U$81=0,ABS(IF(OR(LINEAS!$U$81=1,LINEAS!$U$81=3),1,-1)*LINEAS!$AC$81*DATOS!$C$67)&lt;0.00005),"*",LINEAS!$D$81&amp;" UNI "&amp;IF(LINEAS!$U$81&lt;=2,"GZ","GX")&amp;" "&amp;TEXT(IF(OR(LINEAS!$U$81=1,LINEAS!$U$81=3),1,-1)*LINEAS!$AC$81*DATOS!$C$67,DATOS!$C$68))</f>
        <v>300 UNI GX -0.7538</v>
      </c>
      <c r="C319" s="42" t="str">
        <f t="shared" si="8"/>
        <v/>
      </c>
      <c r="D319" s="44" t="str">
        <f>IF(PRESIONES!$C$22="NO","",IF(OR(LINEAS!$D$81="",LINEAS!$U$81=0,ABS(IF(OR(LINEAS!$U$81=1,LINEAS!$U$81=3),1,-1)*LINEAS!$AC$81*DATOS!$C$67)&lt;0.00005),"*",LINEAS!$D$81&amp;" UNI "&amp;IF(LINEAS!$U$81&lt;=2,"GZ","GX")&amp;" "&amp;TEXT(IF(OR(LINEAS!$U$81=1,LINEAS!$U$81=3),1,-1)*LINEAS!$AC$81*DATOS!$C$67,DATOS!$C$68)))</f>
        <v/>
      </c>
      <c r="E319" s="42" t="str">
        <f t="shared" si="9"/>
        <v/>
      </c>
    </row>
    <row r="320" spans="2:5" ht="15" customHeight="1" x14ac:dyDescent="0.3">
      <c r="B320" s="44" t="str">
        <f>IF(OR(LINEAS!$D$82="",LINEAS!$U$82=0,ABS(IF(OR(LINEAS!$U$82=1,LINEAS!$U$82=3),1,-1)*LINEAS!$AC$82*DATOS!$C$67)&lt;0.00005),"*",LINEAS!$D$82&amp;" UNI "&amp;IF(LINEAS!$U$82&lt;=2,"GZ","GX")&amp;" "&amp;TEXT(IF(OR(LINEAS!$U$82=1,LINEAS!$U$82=3),1,-1)*LINEAS!$AC$82*DATOS!$C$67,DATOS!$C$68))</f>
        <v>301 UNI GX -0.7538</v>
      </c>
      <c r="C320" s="42" t="str">
        <f t="shared" si="8"/>
        <v/>
      </c>
      <c r="D320" s="44" t="str">
        <f>IF(PRESIONES!$C$22="NO","",IF(OR(LINEAS!$D$82="",LINEAS!$U$82=0,ABS(IF(OR(LINEAS!$U$82=1,LINEAS!$U$82=3),1,-1)*LINEAS!$AC$82*DATOS!$C$67)&lt;0.00005),"*",LINEAS!$D$82&amp;" UNI "&amp;IF(LINEAS!$U$82&lt;=2,"GZ","GX")&amp;" "&amp;TEXT(IF(OR(LINEAS!$U$82=1,LINEAS!$U$82=3),1,-1)*LINEAS!$AC$82*DATOS!$C$67,DATOS!$C$68)))</f>
        <v/>
      </c>
      <c r="E320" s="42" t="str">
        <f t="shared" si="9"/>
        <v/>
      </c>
    </row>
    <row r="321" spans="2:5" ht="15" customHeight="1" x14ac:dyDescent="0.3">
      <c r="B321" s="44" t="str">
        <f>IF(OR(LINEAS!$D$83="",LINEAS!$U$83=0,ABS(IF(OR(LINEAS!$U$83=1,LINEAS!$U$83=3),1,-1)*LINEAS!$AC$83*DATOS!$C$67)&lt;0.00005),"*",LINEAS!$D$83&amp;" UNI "&amp;IF(LINEAS!$U$83&lt;=2,"GZ","GX")&amp;" "&amp;TEXT(IF(OR(LINEAS!$U$83=1,LINEAS!$U$83=3),1,-1)*LINEAS!$AC$83*DATOS!$C$67,DATOS!$C$68))</f>
        <v>302 UNI GX -0.7538</v>
      </c>
      <c r="C321" s="42" t="str">
        <f t="shared" si="8"/>
        <v/>
      </c>
      <c r="D321" s="44" t="str">
        <f>IF(PRESIONES!$C$22="NO","",IF(OR(LINEAS!$D$83="",LINEAS!$U$83=0,ABS(IF(OR(LINEAS!$U$83=1,LINEAS!$U$83=3),1,-1)*LINEAS!$AC$83*DATOS!$C$67)&lt;0.00005),"*",LINEAS!$D$83&amp;" UNI "&amp;IF(LINEAS!$U$83&lt;=2,"GZ","GX")&amp;" "&amp;TEXT(IF(OR(LINEAS!$U$83=1,LINEAS!$U$83=3),1,-1)*LINEAS!$AC$83*DATOS!$C$67,DATOS!$C$68)))</f>
        <v/>
      </c>
      <c r="E321" s="42" t="str">
        <f t="shared" si="9"/>
        <v/>
      </c>
    </row>
    <row r="322" spans="2:5" ht="15" customHeight="1" x14ac:dyDescent="0.3">
      <c r="B322" s="44" t="str">
        <f>IF(OR(LINEAS!$D$84="",LINEAS!$U$84=0,ABS(IF(OR(LINEAS!$U$84=1,LINEAS!$U$84=3),1,-1)*LINEAS!$AC$84*DATOS!$C$67)&lt;0.00005),"*",LINEAS!$D$84&amp;" UNI "&amp;IF(LINEAS!$U$84&lt;=2,"GZ","GX")&amp;" "&amp;TEXT(IF(OR(LINEAS!$U$84=1,LINEAS!$U$84=3),1,-1)*LINEAS!$AC$84*DATOS!$C$67,DATOS!$C$68))</f>
        <v>307 UNI GX -0.7538</v>
      </c>
      <c r="C322" s="42" t="str">
        <f t="shared" si="8"/>
        <v/>
      </c>
      <c r="D322" s="44" t="str">
        <f>IF(PRESIONES!$C$22="NO","",IF(OR(LINEAS!$D$84="",LINEAS!$U$84=0,ABS(IF(OR(LINEAS!$U$84=1,LINEAS!$U$84=3),1,-1)*LINEAS!$AC$84*DATOS!$C$67)&lt;0.00005),"*",LINEAS!$D$84&amp;" UNI "&amp;IF(LINEAS!$U$84&lt;=2,"GZ","GX")&amp;" "&amp;TEXT(IF(OR(LINEAS!$U$84=1,LINEAS!$U$84=3),1,-1)*LINEAS!$AC$84*DATOS!$C$67,DATOS!$C$68)))</f>
        <v/>
      </c>
      <c r="E322" s="42" t="str">
        <f t="shared" si="9"/>
        <v/>
      </c>
    </row>
    <row r="323" spans="2:5" ht="15" customHeight="1" x14ac:dyDescent="0.3">
      <c r="B323" s="44" t="str">
        <f>IF(OR(LINEAS!$D$85="",LINEAS!$U$85=0,ABS(IF(OR(LINEAS!$U$85=1,LINEAS!$U$85=3),1,-1)*LINEAS!$AC$85*DATOS!$C$67)&lt;0.00005),"*",LINEAS!$D$85&amp;" UNI "&amp;IF(LINEAS!$U$85&lt;=2,"GZ","GX")&amp;" "&amp;TEXT(IF(OR(LINEAS!$U$85=1,LINEAS!$U$85=3),1,-1)*LINEAS!$AC$85*DATOS!$C$67,DATOS!$C$68))</f>
        <v>308 UNI GX -0.7538</v>
      </c>
      <c r="C323" s="42" t="str">
        <f t="shared" si="8"/>
        <v/>
      </c>
      <c r="D323" s="44" t="str">
        <f>IF(PRESIONES!$C$22="NO","",IF(OR(LINEAS!$D$85="",LINEAS!$U$85=0,ABS(IF(OR(LINEAS!$U$85=1,LINEAS!$U$85=3),1,-1)*LINEAS!$AC$85*DATOS!$C$67)&lt;0.00005),"*",LINEAS!$D$85&amp;" UNI "&amp;IF(LINEAS!$U$85&lt;=2,"GZ","GX")&amp;" "&amp;TEXT(IF(OR(LINEAS!$U$85=1,LINEAS!$U$85=3),1,-1)*LINEAS!$AC$85*DATOS!$C$67,DATOS!$C$68)))</f>
        <v/>
      </c>
      <c r="E323" s="42" t="str">
        <f t="shared" si="9"/>
        <v/>
      </c>
    </row>
    <row r="324" spans="2:5" ht="15" customHeight="1" x14ac:dyDescent="0.3">
      <c r="B324" s="44" t="str">
        <f>IF(OR(LINEAS!$D$86="",LINEAS!$U$86=0,ABS(IF(OR(LINEAS!$U$86=1,LINEAS!$U$86=3),1,-1)*LINEAS!$AC$86*DATOS!$C$67)&lt;0.00005),"*",LINEAS!$D$86&amp;" UNI "&amp;IF(LINEAS!$U$86&lt;=2,"GZ","GX")&amp;" "&amp;TEXT(IF(OR(LINEAS!$U$86=1,LINEAS!$U$86=3),1,-1)*LINEAS!$AC$86*DATOS!$C$67,DATOS!$C$68))</f>
        <v>309 UNI GX -0.7538</v>
      </c>
      <c r="C324" s="42" t="str">
        <f t="shared" si="8"/>
        <v/>
      </c>
      <c r="D324" s="44" t="str">
        <f>IF(PRESIONES!$C$22="NO","",IF(OR(LINEAS!$D$86="",LINEAS!$U$86=0,ABS(IF(OR(LINEAS!$U$86=1,LINEAS!$U$86=3),1,-1)*LINEAS!$AC$86*DATOS!$C$67)&lt;0.00005),"*",LINEAS!$D$86&amp;" UNI "&amp;IF(LINEAS!$U$86&lt;=2,"GZ","GX")&amp;" "&amp;TEXT(IF(OR(LINEAS!$U$86=1,LINEAS!$U$86=3),1,-1)*LINEAS!$AC$86*DATOS!$C$67,DATOS!$C$68)))</f>
        <v/>
      </c>
      <c r="E324" s="42" t="str">
        <f t="shared" si="9"/>
        <v/>
      </c>
    </row>
    <row r="325" spans="2:5" ht="15" customHeight="1" x14ac:dyDescent="0.3">
      <c r="B325" s="44" t="str">
        <f>IF(OR(LINEAS!$D$87="",LINEAS!$U$87=0,ABS(IF(OR(LINEAS!$U$87=1,LINEAS!$U$87=3),1,-1)*LINEAS!$AC$87*DATOS!$C$67)&lt;0.00005),"*",LINEAS!$D$87&amp;" UNI "&amp;IF(LINEAS!$U$87&lt;=2,"GZ","GX")&amp;" "&amp;TEXT(IF(OR(LINEAS!$U$87=1,LINEAS!$U$87=3),1,-1)*LINEAS!$AC$87*DATOS!$C$67,DATOS!$C$68))</f>
        <v>318 UNI GX -0.7538</v>
      </c>
      <c r="C325" s="42" t="str">
        <f t="shared" si="8"/>
        <v/>
      </c>
      <c r="D325" s="44" t="str">
        <f>IF(PRESIONES!$C$22="NO","",IF(OR(LINEAS!$D$87="",LINEAS!$U$87=0,ABS(IF(OR(LINEAS!$U$87=1,LINEAS!$U$87=3),1,-1)*LINEAS!$AC$87*DATOS!$C$67)&lt;0.00005),"*",LINEAS!$D$87&amp;" UNI "&amp;IF(LINEAS!$U$87&lt;=2,"GZ","GX")&amp;" "&amp;TEXT(IF(OR(LINEAS!$U$87=1,LINEAS!$U$87=3),1,-1)*LINEAS!$AC$87*DATOS!$C$67,DATOS!$C$68)))</f>
        <v/>
      </c>
      <c r="E325" s="42" t="str">
        <f t="shared" si="9"/>
        <v/>
      </c>
    </row>
    <row r="326" spans="2:5" ht="15" customHeight="1" x14ac:dyDescent="0.3">
      <c r="B326" s="44" t="str">
        <f>IF(OR(LINEAS!$D$88="",LINEAS!$U$88=0,ABS(IF(OR(LINEAS!$U$88=1,LINEAS!$U$88=3),1,-1)*LINEAS!$AC$88*DATOS!$C$67)&lt;0.00005),"*",LINEAS!$D$88&amp;" UNI "&amp;IF(LINEAS!$U$88&lt;=2,"GZ","GX")&amp;" "&amp;TEXT(IF(OR(LINEAS!$U$88=1,LINEAS!$U$88=3),1,-1)*LINEAS!$AC$88*DATOS!$C$67,DATOS!$C$68))</f>
        <v>311 UNI GX -0.7538</v>
      </c>
      <c r="C326" s="42" t="str">
        <f t="shared" si="8"/>
        <v/>
      </c>
      <c r="D326" s="44" t="str">
        <f>IF(PRESIONES!$C$22="NO","",IF(OR(LINEAS!$D$88="",LINEAS!$U$88=0,ABS(IF(OR(LINEAS!$U$88=1,LINEAS!$U$88=3),1,-1)*LINEAS!$AC$88*DATOS!$C$67)&lt;0.00005),"*",LINEAS!$D$88&amp;" UNI "&amp;IF(LINEAS!$U$88&lt;=2,"GZ","GX")&amp;" "&amp;TEXT(IF(OR(LINEAS!$U$88=1,LINEAS!$U$88=3),1,-1)*LINEAS!$AC$88*DATOS!$C$67,DATOS!$C$68)))</f>
        <v/>
      </c>
      <c r="E326" s="42" t="str">
        <f t="shared" si="9"/>
        <v/>
      </c>
    </row>
    <row r="327" spans="2:5" ht="15" customHeight="1" x14ac:dyDescent="0.3">
      <c r="B327" s="44" t="str">
        <f>IF(OR(LINEAS!$D$89="",LINEAS!$U$89=0,ABS(IF(OR(LINEAS!$U$89=1,LINEAS!$U$89=3),1,-1)*LINEAS!$AC$89*DATOS!$C$67)&lt;0.00005),"*",LINEAS!$D$89&amp;" UNI "&amp;IF(LINEAS!$U$89&lt;=2,"GZ","GX")&amp;" "&amp;TEXT(IF(OR(LINEAS!$U$89=1,LINEAS!$U$89=3),1,-1)*LINEAS!$AC$89*DATOS!$C$67,DATOS!$C$68))</f>
        <v>310 UNI GX -0.7538</v>
      </c>
      <c r="C327" s="42" t="str">
        <f t="shared" si="8"/>
        <v/>
      </c>
      <c r="D327" s="44" t="str">
        <f>IF(PRESIONES!$C$22="NO","",IF(OR(LINEAS!$D$89="",LINEAS!$U$89=0,ABS(IF(OR(LINEAS!$U$89=1,LINEAS!$U$89=3),1,-1)*LINEAS!$AC$89*DATOS!$C$67)&lt;0.00005),"*",LINEAS!$D$89&amp;" UNI "&amp;IF(LINEAS!$U$89&lt;=2,"GZ","GX")&amp;" "&amp;TEXT(IF(OR(LINEAS!$U$89=1,LINEAS!$U$89=3),1,-1)*LINEAS!$AC$89*DATOS!$C$67,DATOS!$C$68)))</f>
        <v/>
      </c>
      <c r="E327" s="42" t="str">
        <f t="shared" si="9"/>
        <v/>
      </c>
    </row>
    <row r="328" spans="2:5" ht="15" customHeight="1" x14ac:dyDescent="0.3">
      <c r="B328" s="44" t="str">
        <f>IF(OR(LINEAS!$D$90="",LINEAS!$U$90=0,ABS(IF(OR(LINEAS!$U$90=1,LINEAS!$U$90=3),1,-1)*LINEAS!$AC$90*DATOS!$C$67)&lt;0.00005),"*",LINEAS!$D$90&amp;" UNI "&amp;IF(LINEAS!$U$90&lt;=2,"GZ","GX")&amp;" "&amp;TEXT(IF(OR(LINEAS!$U$90=1,LINEAS!$U$90=3),1,-1)*LINEAS!$AC$90*DATOS!$C$67,DATOS!$C$68))</f>
        <v>321 UNI GX -0.6451</v>
      </c>
      <c r="C328" s="42" t="str">
        <f t="shared" si="8"/>
        <v/>
      </c>
      <c r="D328" s="44" t="str">
        <f>IF(PRESIONES!$C$22="NO","",IF(OR(LINEAS!$D$90="",LINEAS!$U$90=0,ABS(IF(OR(LINEAS!$U$90=1,LINEAS!$U$90=3),1,-1)*LINEAS!$AC$90*DATOS!$C$67)&lt;0.00005),"*",LINEAS!$D$90&amp;" UNI "&amp;IF(LINEAS!$U$90&lt;=2,"GZ","GX")&amp;" "&amp;TEXT(IF(OR(LINEAS!$U$90=1,LINEAS!$U$90=3),1,-1)*LINEAS!$AC$90*DATOS!$C$67,DATOS!$C$68)))</f>
        <v/>
      </c>
      <c r="E328" s="42" t="str">
        <f t="shared" si="9"/>
        <v/>
      </c>
    </row>
    <row r="329" spans="2:5" ht="15" customHeight="1" x14ac:dyDescent="0.3">
      <c r="B329" s="44" t="str">
        <f>IF(OR(LINEAS!$D$91="",LINEAS!$U$91=0,ABS(IF(OR(LINEAS!$U$91=1,LINEAS!$U$91=3),1,-1)*LINEAS!$AC$91*DATOS!$C$67)&lt;0.00005),"*",LINEAS!$D$91&amp;" UNI "&amp;IF(LINEAS!$U$91&lt;=2,"GZ","GX")&amp;" "&amp;TEXT(IF(OR(LINEAS!$U$91=1,LINEAS!$U$91=3),1,-1)*LINEAS!$AC$91*DATOS!$C$67,DATOS!$C$68))</f>
        <v>320 UNI GX -0.5371</v>
      </c>
      <c r="C329" s="42" t="str">
        <f t="shared" ref="C329:C392" si="10">IF(LEN($B329)&gt;79,"MÁS DE 79 CARACTERES","")</f>
        <v/>
      </c>
      <c r="D329" s="44" t="str">
        <f>IF(PRESIONES!$C$22="NO","",IF(OR(LINEAS!$D$91="",LINEAS!$U$91=0,ABS(IF(OR(LINEAS!$U$91=1,LINEAS!$U$91=3),1,-1)*LINEAS!$AC$91*DATOS!$C$67)&lt;0.00005),"*",LINEAS!$D$91&amp;" UNI "&amp;IF(LINEAS!$U$91&lt;=2,"GZ","GX")&amp;" "&amp;TEXT(IF(OR(LINEAS!$U$91=1,LINEAS!$U$91=3),1,-1)*LINEAS!$AC$91*DATOS!$C$67,DATOS!$C$68)))</f>
        <v/>
      </c>
      <c r="E329" s="42" t="str">
        <f t="shared" ref="E329:E392" si="11">IF(LEN($D329)&gt;79,"MÁS DE 79 CARACTERES","")</f>
        <v/>
      </c>
    </row>
    <row r="330" spans="2:5" ht="15" customHeight="1" x14ac:dyDescent="0.3">
      <c r="B330" s="44" t="str">
        <f>IF(OR(LINEAS!$D$92="",LINEAS!$U$92=0,ABS(IF(OR(LINEAS!$U$92=1,LINEAS!$U$92=3),1,-1)*LINEAS!$AC$92*DATOS!$C$67)&lt;0.00005),"*",LINEAS!$D$92&amp;" UNI "&amp;IF(LINEAS!$U$92&lt;=2,"GZ","GX")&amp;" "&amp;TEXT(IF(OR(LINEAS!$U$92=1,LINEAS!$U$92=3),1,-1)*LINEAS!$AC$92*DATOS!$C$67,DATOS!$C$68))</f>
        <v>319 UNI GX -0.4648</v>
      </c>
      <c r="C330" s="42" t="str">
        <f t="shared" si="10"/>
        <v/>
      </c>
      <c r="D330" s="44" t="str">
        <f>IF(PRESIONES!$C$22="NO","",IF(OR(LINEAS!$D$92="",LINEAS!$U$92=0,ABS(IF(OR(LINEAS!$U$92=1,LINEAS!$U$92=3),1,-1)*LINEAS!$AC$92*DATOS!$C$67)&lt;0.00005),"*",LINEAS!$D$92&amp;" UNI "&amp;IF(LINEAS!$U$92&lt;=2,"GZ","GX")&amp;" "&amp;TEXT(IF(OR(LINEAS!$U$92=1,LINEAS!$U$92=3),1,-1)*LINEAS!$AC$92*DATOS!$C$67,DATOS!$C$68)))</f>
        <v/>
      </c>
      <c r="E330" s="42" t="str">
        <f t="shared" si="11"/>
        <v/>
      </c>
    </row>
    <row r="331" spans="2:5" ht="15" customHeight="1" x14ac:dyDescent="0.3">
      <c r="B331" s="44" t="str">
        <f>IF(OR(LINEAS!$D$93="",LINEAS!$U$93=0,ABS(IF(OR(LINEAS!$U$93=1,LINEAS!$U$93=3),1,-1)*LINEAS!$AC$93*DATOS!$C$67)&lt;0.00005),"*",LINEAS!$D$93&amp;" UNI "&amp;IF(LINEAS!$U$93&lt;=2,"GZ","GX")&amp;" "&amp;TEXT(IF(OR(LINEAS!$U$93=1,LINEAS!$U$93=3),1,-1)*LINEAS!$AC$93*DATOS!$C$67,DATOS!$C$68))</f>
        <v>60 UNI GX 0.0021</v>
      </c>
      <c r="C331" s="42" t="str">
        <f t="shared" si="10"/>
        <v/>
      </c>
      <c r="D331" s="44" t="str">
        <f>IF(PRESIONES!$C$22="NO","",IF(OR(LINEAS!$D$93="",LINEAS!$U$93=0,ABS(IF(OR(LINEAS!$U$93=1,LINEAS!$U$93=3),1,-1)*LINEAS!$AC$93*DATOS!$C$67)&lt;0.00005),"*",LINEAS!$D$93&amp;" UNI "&amp;IF(LINEAS!$U$93&lt;=2,"GZ","GX")&amp;" "&amp;TEXT(IF(OR(LINEAS!$U$93=1,LINEAS!$U$93=3),1,-1)*LINEAS!$AC$93*DATOS!$C$67,DATOS!$C$68)))</f>
        <v/>
      </c>
      <c r="E331" s="42" t="str">
        <f t="shared" si="11"/>
        <v/>
      </c>
    </row>
    <row r="332" spans="2:5" ht="15" customHeight="1" x14ac:dyDescent="0.3">
      <c r="B332" s="44" t="str">
        <f>IF(OR(LINEAS!$D$94="",LINEAS!$U$94=0,ABS(IF(OR(LINEAS!$U$94=1,LINEAS!$U$94=3),1,-1)*LINEAS!$AC$94*DATOS!$C$67)&lt;0.00005),"*",LINEAS!$D$94&amp;" UNI "&amp;IF(LINEAS!$U$94&lt;=2,"GZ","GX")&amp;" "&amp;TEXT(IF(OR(LINEAS!$U$94=1,LINEAS!$U$94=3),1,-1)*LINEAS!$AC$94*DATOS!$C$67,DATOS!$C$68))</f>
        <v>59 UNI GX 0.0019</v>
      </c>
      <c r="C332" s="42" t="str">
        <f t="shared" si="10"/>
        <v/>
      </c>
      <c r="D332" s="44" t="str">
        <f>IF(PRESIONES!$C$22="NO","",IF(OR(LINEAS!$D$94="",LINEAS!$U$94=0,ABS(IF(OR(LINEAS!$U$94=1,LINEAS!$U$94=3),1,-1)*LINEAS!$AC$94*DATOS!$C$67)&lt;0.00005),"*",LINEAS!$D$94&amp;" UNI "&amp;IF(LINEAS!$U$94&lt;=2,"GZ","GX")&amp;" "&amp;TEXT(IF(OR(LINEAS!$U$94=1,LINEAS!$U$94=3),1,-1)*LINEAS!$AC$94*DATOS!$C$67,DATOS!$C$68)))</f>
        <v/>
      </c>
      <c r="E332" s="42" t="str">
        <f t="shared" si="11"/>
        <v/>
      </c>
    </row>
    <row r="333" spans="2:5" ht="15" customHeight="1" x14ac:dyDescent="0.3">
      <c r="B333" s="44" t="str">
        <f>IF(OR(LINEAS!$D$95="",LINEAS!$U$95=0,ABS(IF(OR(LINEAS!$U$95=1,LINEAS!$U$95=3),1,-1)*LINEAS!$AC$95*DATOS!$C$67)&lt;0.00005),"*",LINEAS!$D$95&amp;" UNI "&amp;IF(LINEAS!$U$95&lt;=2,"GZ","GX")&amp;" "&amp;TEXT(IF(OR(LINEAS!$U$95=1,LINEAS!$U$95=3),1,-1)*LINEAS!$AC$95*DATOS!$C$67,DATOS!$C$68))</f>
        <v>58 UNI GX 0.0018</v>
      </c>
      <c r="C333" s="42" t="str">
        <f t="shared" si="10"/>
        <v/>
      </c>
      <c r="D333" s="44" t="str">
        <f>IF(PRESIONES!$C$22="NO","",IF(OR(LINEAS!$D$95="",LINEAS!$U$95=0,ABS(IF(OR(LINEAS!$U$95=1,LINEAS!$U$95=3),1,-1)*LINEAS!$AC$95*DATOS!$C$67)&lt;0.00005),"*",LINEAS!$D$95&amp;" UNI "&amp;IF(LINEAS!$U$95&lt;=2,"GZ","GX")&amp;" "&amp;TEXT(IF(OR(LINEAS!$U$95=1,LINEAS!$U$95=3),1,-1)*LINEAS!$AC$95*DATOS!$C$67,DATOS!$C$68)))</f>
        <v/>
      </c>
      <c r="E333" s="42" t="str">
        <f t="shared" si="11"/>
        <v/>
      </c>
    </row>
    <row r="334" spans="2:5" ht="15" customHeight="1" x14ac:dyDescent="0.3">
      <c r="B334" s="44" t="str">
        <f>IF(OR(LINEAS!$D$96="",LINEAS!$U$96=0,ABS(IF(OR(LINEAS!$U$96=1,LINEAS!$U$96=3),1,-1)*LINEAS!$AC$96*DATOS!$C$67)&lt;0.00005),"*",LINEAS!$D$96&amp;" UNI "&amp;IF(LINEAS!$U$96&lt;=2,"GZ","GX")&amp;" "&amp;TEXT(IF(OR(LINEAS!$U$96=1,LINEAS!$U$96=3),1,-1)*LINEAS!$AC$96*DATOS!$C$67,DATOS!$C$68))</f>
        <v>57 UNI GX 0.0016</v>
      </c>
      <c r="C334" s="42" t="str">
        <f t="shared" si="10"/>
        <v/>
      </c>
      <c r="D334" s="44" t="str">
        <f>IF(PRESIONES!$C$22="NO","",IF(OR(LINEAS!$D$96="",LINEAS!$U$96=0,ABS(IF(OR(LINEAS!$U$96=1,LINEAS!$U$96=3),1,-1)*LINEAS!$AC$96*DATOS!$C$67)&lt;0.00005),"*",LINEAS!$D$96&amp;" UNI "&amp;IF(LINEAS!$U$96&lt;=2,"GZ","GX")&amp;" "&amp;TEXT(IF(OR(LINEAS!$U$96=1,LINEAS!$U$96=3),1,-1)*LINEAS!$AC$96*DATOS!$C$67,DATOS!$C$68)))</f>
        <v/>
      </c>
      <c r="E334" s="42" t="str">
        <f t="shared" si="11"/>
        <v/>
      </c>
    </row>
    <row r="335" spans="2:5" ht="15" customHeight="1" x14ac:dyDescent="0.3">
      <c r="B335" s="44" t="str">
        <f>IF(OR(LINEAS!$D$97="",LINEAS!$U$97=0,ABS(IF(OR(LINEAS!$U$97=1,LINEAS!$U$97=3),1,-1)*LINEAS!$AC$97*DATOS!$C$67)&lt;0.00005),"*",LINEAS!$D$97&amp;" UNI "&amp;IF(LINEAS!$U$97&lt;=2,"GZ","GX")&amp;" "&amp;TEXT(IF(OR(LINEAS!$U$97=1,LINEAS!$U$97=3),1,-1)*LINEAS!$AC$97*DATOS!$C$67,DATOS!$C$68))</f>
        <v>10 UNI GX 0.0015</v>
      </c>
      <c r="C335" s="42" t="str">
        <f t="shared" si="10"/>
        <v/>
      </c>
      <c r="D335" s="44" t="str">
        <f>IF(PRESIONES!$C$22="NO","",IF(OR(LINEAS!$D$97="",LINEAS!$U$97=0,ABS(IF(OR(LINEAS!$U$97=1,LINEAS!$U$97=3),1,-1)*LINEAS!$AC$97*DATOS!$C$67)&lt;0.00005),"*",LINEAS!$D$97&amp;" UNI "&amp;IF(LINEAS!$U$97&lt;=2,"GZ","GX")&amp;" "&amp;TEXT(IF(OR(LINEAS!$U$97=1,LINEAS!$U$97=3),1,-1)*LINEAS!$AC$97*DATOS!$C$67,DATOS!$C$68)))</f>
        <v/>
      </c>
      <c r="E335" s="42" t="str">
        <f t="shared" si="11"/>
        <v/>
      </c>
    </row>
    <row r="336" spans="2:5" ht="15" customHeight="1" x14ac:dyDescent="0.3">
      <c r="B336" s="44" t="str">
        <f>IF(OR(LINEAS!$D$98="",LINEAS!$U$98=0,ABS(IF(OR(LINEAS!$U$98=1,LINEAS!$U$98=3),1,-1)*LINEAS!$AC$98*DATOS!$C$67)&lt;0.00005),"*",LINEAS!$D$98&amp;" UNI "&amp;IF(LINEAS!$U$98&lt;=2,"GZ","GX")&amp;" "&amp;TEXT(IF(OR(LINEAS!$U$98=1,LINEAS!$U$98=3),1,-1)*LINEAS!$AC$98*DATOS!$C$67,DATOS!$C$68))</f>
        <v>68 UNI GX 0.0013</v>
      </c>
      <c r="C336" s="42" t="str">
        <f t="shared" si="10"/>
        <v/>
      </c>
      <c r="D336" s="44" t="str">
        <f>IF(PRESIONES!$C$22="NO","",IF(OR(LINEAS!$D$98="",LINEAS!$U$98=0,ABS(IF(OR(LINEAS!$U$98=1,LINEAS!$U$98=3),1,-1)*LINEAS!$AC$98*DATOS!$C$67)&lt;0.00005),"*",LINEAS!$D$98&amp;" UNI "&amp;IF(LINEAS!$U$98&lt;=2,"GZ","GX")&amp;" "&amp;TEXT(IF(OR(LINEAS!$U$98=1,LINEAS!$U$98=3),1,-1)*LINEAS!$AC$98*DATOS!$C$67,DATOS!$C$68)))</f>
        <v/>
      </c>
      <c r="E336" s="42" t="str">
        <f t="shared" si="11"/>
        <v/>
      </c>
    </row>
    <row r="337" spans="2:5" ht="15" customHeight="1" x14ac:dyDescent="0.3">
      <c r="B337" s="44" t="str">
        <f>IF(OR(LINEAS!$D$99="",LINEAS!$U$99=0,ABS(IF(OR(LINEAS!$U$99=1,LINEAS!$U$99=3),1,-1)*LINEAS!$AC$99*DATOS!$C$67)&lt;0.00005),"*",LINEAS!$D$99&amp;" UNI "&amp;IF(LINEAS!$U$99&lt;=2,"GZ","GX")&amp;" "&amp;TEXT(IF(OR(LINEAS!$U$99=1,LINEAS!$U$99=3),1,-1)*LINEAS!$AC$99*DATOS!$C$67,DATOS!$C$68))</f>
        <v>67 UNI GX 0.0012</v>
      </c>
      <c r="C337" s="42" t="str">
        <f t="shared" si="10"/>
        <v/>
      </c>
      <c r="D337" s="44" t="str">
        <f>IF(PRESIONES!$C$22="NO","",IF(OR(LINEAS!$D$99="",LINEAS!$U$99=0,ABS(IF(OR(LINEAS!$U$99=1,LINEAS!$U$99=3),1,-1)*LINEAS!$AC$99*DATOS!$C$67)&lt;0.00005),"*",LINEAS!$D$99&amp;" UNI "&amp;IF(LINEAS!$U$99&lt;=2,"GZ","GX")&amp;" "&amp;TEXT(IF(OR(LINEAS!$U$99=1,LINEAS!$U$99=3),1,-1)*LINEAS!$AC$99*DATOS!$C$67,DATOS!$C$68)))</f>
        <v/>
      </c>
      <c r="E337" s="42" t="str">
        <f t="shared" si="11"/>
        <v/>
      </c>
    </row>
    <row r="338" spans="2:5" ht="15" customHeight="1" x14ac:dyDescent="0.3">
      <c r="B338" s="44" t="str">
        <f>IF(OR(LINEAS!$D$100="",LINEAS!$U$100=0,ABS(IF(OR(LINEAS!$U$100=1,LINEAS!$U$100=3),1,-1)*LINEAS!$AC$100*DATOS!$C$67)&lt;0.00005),"*",LINEAS!$D$100&amp;" UNI "&amp;IF(LINEAS!$U$100&lt;=2,"GZ","GX")&amp;" "&amp;TEXT(IF(OR(LINEAS!$U$100=1,LINEAS!$U$100=3),1,-1)*LINEAS!$AC$100*DATOS!$C$67,DATOS!$C$68))</f>
        <v>66 UNI GX 0.0011</v>
      </c>
      <c r="C338" s="42" t="str">
        <f t="shared" si="10"/>
        <v/>
      </c>
      <c r="D338" s="44" t="str">
        <f>IF(PRESIONES!$C$22="NO","",IF(OR(LINEAS!$D$100="",LINEAS!$U$100=0,ABS(IF(OR(LINEAS!$U$100=1,LINEAS!$U$100=3),1,-1)*LINEAS!$AC$100*DATOS!$C$67)&lt;0.00005),"*",LINEAS!$D$100&amp;" UNI "&amp;IF(LINEAS!$U$100&lt;=2,"GZ","GX")&amp;" "&amp;TEXT(IF(OR(LINEAS!$U$100=1,LINEAS!$U$100=3),1,-1)*LINEAS!$AC$100*DATOS!$C$67,DATOS!$C$68)))</f>
        <v/>
      </c>
      <c r="E338" s="42" t="str">
        <f t="shared" si="11"/>
        <v/>
      </c>
    </row>
    <row r="339" spans="2:5" ht="15" customHeight="1" x14ac:dyDescent="0.3">
      <c r="B339" s="44" t="str">
        <f>IF(OR(LINEAS!$D$101="",LINEAS!$U$101=0,ABS(IF(OR(LINEAS!$U$101=1,LINEAS!$U$101=3),1,-1)*LINEAS!$AC$101*DATOS!$C$67)&lt;0.00005),"*",LINEAS!$D$101&amp;" UNI "&amp;IF(LINEAS!$U$101&lt;=2,"GZ","GX")&amp;" "&amp;TEXT(IF(OR(LINEAS!$U$101=1,LINEAS!$U$101=3),1,-1)*LINEAS!$AC$101*DATOS!$C$67,DATOS!$C$68))</f>
        <v>65 UNI GX 0.0009</v>
      </c>
      <c r="C339" s="42" t="str">
        <f t="shared" si="10"/>
        <v/>
      </c>
      <c r="D339" s="44" t="str">
        <f>IF(PRESIONES!$C$22="NO","",IF(OR(LINEAS!$D$101="",LINEAS!$U$101=0,ABS(IF(OR(LINEAS!$U$101=1,LINEAS!$U$101=3),1,-1)*LINEAS!$AC$101*DATOS!$C$67)&lt;0.00005),"*",LINEAS!$D$101&amp;" UNI "&amp;IF(LINEAS!$U$101&lt;=2,"GZ","GX")&amp;" "&amp;TEXT(IF(OR(LINEAS!$U$101=1,LINEAS!$U$101=3),1,-1)*LINEAS!$AC$101*DATOS!$C$67,DATOS!$C$68)))</f>
        <v/>
      </c>
      <c r="E339" s="42" t="str">
        <f t="shared" si="11"/>
        <v/>
      </c>
    </row>
    <row r="340" spans="2:5" ht="15" customHeight="1" x14ac:dyDescent="0.3">
      <c r="B340" s="44" t="str">
        <f>IF(OR(LINEAS!$D$102="",LINEAS!$U$102=0,ABS(IF(OR(LINEAS!$U$102=1,LINEAS!$U$102=3),1,-1)*LINEAS!$AC$102*DATOS!$C$67)&lt;0.00005),"*",LINEAS!$D$102&amp;" UNI "&amp;IF(LINEAS!$U$102&lt;=2,"GZ","GX")&amp;" "&amp;TEXT(IF(OR(LINEAS!$U$102=1,LINEAS!$U$102=3),1,-1)*LINEAS!$AC$102*DATOS!$C$67,DATOS!$C$68))</f>
        <v>43 UNI GX 0.0008</v>
      </c>
      <c r="C340" s="42" t="str">
        <f t="shared" si="10"/>
        <v/>
      </c>
      <c r="D340" s="44" t="str">
        <f>IF(PRESIONES!$C$22="NO","",IF(OR(LINEAS!$D$102="",LINEAS!$U$102=0,ABS(IF(OR(LINEAS!$U$102=1,LINEAS!$U$102=3),1,-1)*LINEAS!$AC$102*DATOS!$C$67)&lt;0.00005),"*",LINEAS!$D$102&amp;" UNI "&amp;IF(LINEAS!$U$102&lt;=2,"GZ","GX")&amp;" "&amp;TEXT(IF(OR(LINEAS!$U$102=1,LINEAS!$U$102=3),1,-1)*LINEAS!$AC$102*DATOS!$C$67,DATOS!$C$68)))</f>
        <v/>
      </c>
      <c r="E340" s="42" t="str">
        <f t="shared" si="11"/>
        <v/>
      </c>
    </row>
    <row r="341" spans="2:5" ht="15" customHeight="1" x14ac:dyDescent="0.3">
      <c r="B341" s="44" t="str">
        <f>IF(OR(LINEAS!$D$103="",LINEAS!$U$103=0,ABS(IF(OR(LINEAS!$U$103=1,LINEAS!$U$103=3),1,-1)*LINEAS!$AC$103*DATOS!$C$67)&lt;0.00005),"*",LINEAS!$D$103&amp;" UNI "&amp;IF(LINEAS!$U$103&lt;=2,"GZ","GX")&amp;" "&amp;TEXT(IF(OR(LINEAS!$U$103=1,LINEAS!$U$103=3),1,-1)*LINEAS!$AC$103*DATOS!$C$67,DATOS!$C$68))</f>
        <v>47 UNI GX 0.0007</v>
      </c>
      <c r="C341" s="42" t="str">
        <f t="shared" si="10"/>
        <v/>
      </c>
      <c r="D341" s="44" t="str">
        <f>IF(PRESIONES!$C$22="NO","",IF(OR(LINEAS!$D$103="",LINEAS!$U$103=0,ABS(IF(OR(LINEAS!$U$103=1,LINEAS!$U$103=3),1,-1)*LINEAS!$AC$103*DATOS!$C$67)&lt;0.00005),"*",LINEAS!$D$103&amp;" UNI "&amp;IF(LINEAS!$U$103&lt;=2,"GZ","GX")&amp;" "&amp;TEXT(IF(OR(LINEAS!$U$103=1,LINEAS!$U$103=3),1,-1)*LINEAS!$AC$103*DATOS!$C$67,DATOS!$C$68)))</f>
        <v/>
      </c>
      <c r="E341" s="42" t="str">
        <f t="shared" si="11"/>
        <v/>
      </c>
    </row>
    <row r="342" spans="2:5" ht="15" customHeight="1" x14ac:dyDescent="0.3">
      <c r="B342" s="44" t="str">
        <f>IF(OR(LINEAS!$D$104="",LINEAS!$U$104=0,ABS(IF(OR(LINEAS!$U$104=1,LINEAS!$U$104=3),1,-1)*LINEAS!$AC$104*DATOS!$C$67)&lt;0.00005),"*",LINEAS!$D$104&amp;" UNI "&amp;IF(LINEAS!$U$104&lt;=2,"GZ","GX")&amp;" "&amp;TEXT(IF(OR(LINEAS!$U$104=1,LINEAS!$U$104=3),1,-1)*LINEAS!$AC$104*DATOS!$C$67,DATOS!$C$68))</f>
        <v>54 UNI GX 0.0005</v>
      </c>
      <c r="C342" s="42" t="str">
        <f t="shared" si="10"/>
        <v/>
      </c>
      <c r="D342" s="44" t="str">
        <f>IF(PRESIONES!$C$22="NO","",IF(OR(LINEAS!$D$104="",LINEAS!$U$104=0,ABS(IF(OR(LINEAS!$U$104=1,LINEAS!$U$104=3),1,-1)*LINEAS!$AC$104*DATOS!$C$67)&lt;0.00005),"*",LINEAS!$D$104&amp;" UNI "&amp;IF(LINEAS!$U$104&lt;=2,"GZ","GX")&amp;" "&amp;TEXT(IF(OR(LINEAS!$U$104=1,LINEAS!$U$104=3),1,-1)*LINEAS!$AC$104*DATOS!$C$67,DATOS!$C$68)))</f>
        <v/>
      </c>
      <c r="E342" s="42" t="str">
        <f t="shared" si="11"/>
        <v/>
      </c>
    </row>
    <row r="343" spans="2:5" ht="15" customHeight="1" x14ac:dyDescent="0.3">
      <c r="B343" s="44" t="str">
        <f>IF(OR(LINEAS!$D$105="",LINEAS!$U$105=0,ABS(IF(OR(LINEAS!$U$105=1,LINEAS!$U$105=3),1,-1)*LINEAS!$AC$105*DATOS!$C$67)&lt;0.00005),"*",LINEAS!$D$105&amp;" UNI "&amp;IF(LINEAS!$U$105&lt;=2,"GZ","GX")&amp;" "&amp;TEXT(IF(OR(LINEAS!$U$105=1,LINEAS!$U$105=3),1,-1)*LINEAS!$AC$105*DATOS!$C$67,DATOS!$C$68))</f>
        <v>64 UNI GX -0.3130</v>
      </c>
      <c r="C343" s="42" t="str">
        <f t="shared" si="10"/>
        <v/>
      </c>
      <c r="D343" s="44" t="str">
        <f>IF(PRESIONES!$C$22="NO","",IF(OR(LINEAS!$D$105="",LINEAS!$U$105=0,ABS(IF(OR(LINEAS!$U$105=1,LINEAS!$U$105=3),1,-1)*LINEAS!$AC$105*DATOS!$C$67)&lt;0.00005),"*",LINEAS!$D$105&amp;" UNI "&amp;IF(LINEAS!$U$105&lt;=2,"GZ","GX")&amp;" "&amp;TEXT(IF(OR(LINEAS!$U$105=1,LINEAS!$U$105=3),1,-1)*LINEAS!$AC$105*DATOS!$C$67,DATOS!$C$68)))</f>
        <v/>
      </c>
      <c r="E343" s="42" t="str">
        <f t="shared" si="11"/>
        <v/>
      </c>
    </row>
    <row r="344" spans="2:5" ht="15" customHeight="1" x14ac:dyDescent="0.3">
      <c r="B344" s="44" t="str">
        <f>IF(OR(LINEAS!$D$106="",LINEAS!$U$106=0,ABS(IF(OR(LINEAS!$U$106=1,LINEAS!$U$106=3),1,-1)*LINEAS!$AC$106*DATOS!$C$67)&lt;0.00005),"*",LINEAS!$D$106&amp;" UNI "&amp;IF(LINEAS!$U$106&lt;=2,"GZ","GX")&amp;" "&amp;TEXT(IF(OR(LINEAS!$U$106=1,LINEAS!$U$106=3),1,-1)*LINEAS!$AC$106*DATOS!$C$67,DATOS!$C$68))</f>
        <v>63 UNI GX -0.2913</v>
      </c>
      <c r="C344" s="42" t="str">
        <f t="shared" si="10"/>
        <v/>
      </c>
      <c r="D344" s="44" t="str">
        <f>IF(PRESIONES!$C$22="NO","",IF(OR(LINEAS!$D$106="",LINEAS!$U$106=0,ABS(IF(OR(LINEAS!$U$106=1,LINEAS!$U$106=3),1,-1)*LINEAS!$AC$106*DATOS!$C$67)&lt;0.00005),"*",LINEAS!$D$106&amp;" UNI "&amp;IF(LINEAS!$U$106&lt;=2,"GZ","GX")&amp;" "&amp;TEXT(IF(OR(LINEAS!$U$106=1,LINEAS!$U$106=3),1,-1)*LINEAS!$AC$106*DATOS!$C$67,DATOS!$C$68)))</f>
        <v/>
      </c>
      <c r="E344" s="42" t="str">
        <f t="shared" si="11"/>
        <v/>
      </c>
    </row>
    <row r="345" spans="2:5" ht="15" customHeight="1" x14ac:dyDescent="0.3">
      <c r="B345" s="44" t="str">
        <f>IF(OR(LINEAS!$D$107="",LINEAS!$U$107=0,ABS(IF(OR(LINEAS!$U$107=1,LINEAS!$U$107=3),1,-1)*LINEAS!$AC$107*DATOS!$C$67)&lt;0.00005),"*",LINEAS!$D$107&amp;" UNI "&amp;IF(LINEAS!$U$107&lt;=2,"GZ","GX")&amp;" "&amp;TEXT(IF(OR(LINEAS!$U$107=1,LINEAS!$U$107=3),1,-1)*LINEAS!$AC$107*DATOS!$C$67,DATOS!$C$68))</f>
        <v>62 UNI GX -0.2696</v>
      </c>
      <c r="C345" s="42" t="str">
        <f t="shared" si="10"/>
        <v/>
      </c>
      <c r="D345" s="44" t="str">
        <f>IF(PRESIONES!$C$22="NO","",IF(OR(LINEAS!$D$107="",LINEAS!$U$107=0,ABS(IF(OR(LINEAS!$U$107=1,LINEAS!$U$107=3),1,-1)*LINEAS!$AC$107*DATOS!$C$67)&lt;0.00005),"*",LINEAS!$D$107&amp;" UNI "&amp;IF(LINEAS!$U$107&lt;=2,"GZ","GX")&amp;" "&amp;TEXT(IF(OR(LINEAS!$U$107=1,LINEAS!$U$107=3),1,-1)*LINEAS!$AC$107*DATOS!$C$67,DATOS!$C$68)))</f>
        <v/>
      </c>
      <c r="E345" s="42" t="str">
        <f t="shared" si="11"/>
        <v/>
      </c>
    </row>
    <row r="346" spans="2:5" ht="15" customHeight="1" x14ac:dyDescent="0.3">
      <c r="B346" s="44" t="str">
        <f>IF(OR(LINEAS!$D$108="",LINEAS!$U$108=0,ABS(IF(OR(LINEAS!$U$108=1,LINEAS!$U$108=3),1,-1)*LINEAS!$AC$108*DATOS!$C$67)&lt;0.00005),"*",LINEAS!$D$108&amp;" UNI "&amp;IF(LINEAS!$U$108&lt;=2,"GZ","GX")&amp;" "&amp;TEXT(IF(OR(LINEAS!$U$108=1,LINEAS!$U$108=3),1,-1)*LINEAS!$AC$108*DATOS!$C$67,DATOS!$C$68))</f>
        <v>61 UNI GX -0.2479</v>
      </c>
      <c r="C346" s="42" t="str">
        <f t="shared" si="10"/>
        <v/>
      </c>
      <c r="D346" s="44" t="str">
        <f>IF(PRESIONES!$C$22="NO","",IF(OR(LINEAS!$D$108="",LINEAS!$U$108=0,ABS(IF(OR(LINEAS!$U$108=1,LINEAS!$U$108=3),1,-1)*LINEAS!$AC$108*DATOS!$C$67)&lt;0.00005),"*",LINEAS!$D$108&amp;" UNI "&amp;IF(LINEAS!$U$108&lt;=2,"GZ","GX")&amp;" "&amp;TEXT(IF(OR(LINEAS!$U$108=1,LINEAS!$U$108=3),1,-1)*LINEAS!$AC$108*DATOS!$C$67,DATOS!$C$68)))</f>
        <v/>
      </c>
      <c r="E346" s="42" t="str">
        <f t="shared" si="11"/>
        <v/>
      </c>
    </row>
    <row r="347" spans="2:5" ht="15" customHeight="1" x14ac:dyDescent="0.3">
      <c r="B347" s="44" t="str">
        <f>IF(OR(LINEAS!$D$109="",LINEAS!$U$109=0,ABS(IF(OR(LINEAS!$U$109=1,LINEAS!$U$109=3),1,-1)*LINEAS!$AC$109*DATOS!$C$67)&lt;0.00005),"*",LINEAS!$D$109&amp;" UNI "&amp;IF(LINEAS!$U$109&lt;=2,"GZ","GX")&amp;" "&amp;TEXT(IF(OR(LINEAS!$U$109=1,LINEAS!$U$109=3),1,-1)*LINEAS!$AC$109*DATOS!$C$67,DATOS!$C$68))</f>
        <v>12 UNI GX -0.2263</v>
      </c>
      <c r="C347" s="42" t="str">
        <f t="shared" si="10"/>
        <v/>
      </c>
      <c r="D347" s="44" t="str">
        <f>IF(PRESIONES!$C$22="NO","",IF(OR(LINEAS!$D$109="",LINEAS!$U$109=0,ABS(IF(OR(LINEAS!$U$109=1,LINEAS!$U$109=3),1,-1)*LINEAS!$AC$109*DATOS!$C$67)&lt;0.00005),"*",LINEAS!$D$109&amp;" UNI "&amp;IF(LINEAS!$U$109&lt;=2,"GZ","GX")&amp;" "&amp;TEXT(IF(OR(LINEAS!$U$109=1,LINEAS!$U$109=3),1,-1)*LINEAS!$AC$109*DATOS!$C$67,DATOS!$C$68)))</f>
        <v/>
      </c>
      <c r="E347" s="42" t="str">
        <f t="shared" si="11"/>
        <v/>
      </c>
    </row>
    <row r="348" spans="2:5" ht="15" customHeight="1" x14ac:dyDescent="0.3">
      <c r="B348" s="44" t="str">
        <f>IF(OR(LINEAS!$D$110="",LINEAS!$U$110=0,ABS(IF(OR(LINEAS!$U$110=1,LINEAS!$U$110=3),1,-1)*LINEAS!$AC$110*DATOS!$C$67)&lt;0.00005),"*",LINEAS!$D$110&amp;" UNI "&amp;IF(LINEAS!$U$110&lt;=2,"GZ","GX")&amp;" "&amp;TEXT(IF(OR(LINEAS!$U$110=1,LINEAS!$U$110=3),1,-1)*LINEAS!$AC$110*DATOS!$C$67,DATOS!$C$68))</f>
        <v>72 UNI GX -0.2047</v>
      </c>
      <c r="C348" s="42" t="str">
        <f t="shared" si="10"/>
        <v/>
      </c>
      <c r="D348" s="44" t="str">
        <f>IF(PRESIONES!$C$22="NO","",IF(OR(LINEAS!$D$110="",LINEAS!$U$110=0,ABS(IF(OR(LINEAS!$U$110=1,LINEAS!$U$110=3),1,-1)*LINEAS!$AC$110*DATOS!$C$67)&lt;0.00005),"*",LINEAS!$D$110&amp;" UNI "&amp;IF(LINEAS!$U$110&lt;=2,"GZ","GX")&amp;" "&amp;TEXT(IF(OR(LINEAS!$U$110=1,LINEAS!$U$110=3),1,-1)*LINEAS!$AC$110*DATOS!$C$67,DATOS!$C$68)))</f>
        <v/>
      </c>
      <c r="E348" s="42" t="str">
        <f t="shared" si="11"/>
        <v/>
      </c>
    </row>
    <row r="349" spans="2:5" ht="15" customHeight="1" x14ac:dyDescent="0.3">
      <c r="B349" s="44" t="str">
        <f>IF(OR(LINEAS!$D$111="",LINEAS!$U$111=0,ABS(IF(OR(LINEAS!$U$111=1,LINEAS!$U$111=3),1,-1)*LINEAS!$AC$111*DATOS!$C$67)&lt;0.00005),"*",LINEAS!$D$111&amp;" UNI "&amp;IF(LINEAS!$U$111&lt;=2,"GZ","GX")&amp;" "&amp;TEXT(IF(OR(LINEAS!$U$111=1,LINEAS!$U$111=3),1,-1)*LINEAS!$AC$111*DATOS!$C$67,DATOS!$C$68))</f>
        <v>71 UNI GX -0.1832</v>
      </c>
      <c r="C349" s="42" t="str">
        <f t="shared" si="10"/>
        <v/>
      </c>
      <c r="D349" s="44" t="str">
        <f>IF(PRESIONES!$C$22="NO","",IF(OR(LINEAS!$D$111="",LINEAS!$U$111=0,ABS(IF(OR(LINEAS!$U$111=1,LINEAS!$U$111=3),1,-1)*LINEAS!$AC$111*DATOS!$C$67)&lt;0.00005),"*",LINEAS!$D$111&amp;" UNI "&amp;IF(LINEAS!$U$111&lt;=2,"GZ","GX")&amp;" "&amp;TEXT(IF(OR(LINEAS!$U$111=1,LINEAS!$U$111=3),1,-1)*LINEAS!$AC$111*DATOS!$C$67,DATOS!$C$68)))</f>
        <v/>
      </c>
      <c r="E349" s="42" t="str">
        <f t="shared" si="11"/>
        <v/>
      </c>
    </row>
    <row r="350" spans="2:5" ht="15" customHeight="1" x14ac:dyDescent="0.3">
      <c r="B350" s="44" t="str">
        <f>IF(OR(LINEAS!$D$112="",LINEAS!$U$112=0,ABS(IF(OR(LINEAS!$U$112=1,LINEAS!$U$112=3),1,-1)*LINEAS!$AC$112*DATOS!$C$67)&lt;0.00005),"*",LINEAS!$D$112&amp;" UNI "&amp;IF(LINEAS!$U$112&lt;=2,"GZ","GX")&amp;" "&amp;TEXT(IF(OR(LINEAS!$U$112=1,LINEAS!$U$112=3),1,-1)*LINEAS!$AC$112*DATOS!$C$67,DATOS!$C$68))</f>
        <v>70 UNI GX -0.1618</v>
      </c>
      <c r="C350" s="42" t="str">
        <f t="shared" si="10"/>
        <v/>
      </c>
      <c r="D350" s="44" t="str">
        <f>IF(PRESIONES!$C$22="NO","",IF(OR(LINEAS!$D$112="",LINEAS!$U$112=0,ABS(IF(OR(LINEAS!$U$112=1,LINEAS!$U$112=3),1,-1)*LINEAS!$AC$112*DATOS!$C$67)&lt;0.00005),"*",LINEAS!$D$112&amp;" UNI "&amp;IF(LINEAS!$U$112&lt;=2,"GZ","GX")&amp;" "&amp;TEXT(IF(OR(LINEAS!$U$112=1,LINEAS!$U$112=3),1,-1)*LINEAS!$AC$112*DATOS!$C$67,DATOS!$C$68)))</f>
        <v/>
      </c>
      <c r="E350" s="42" t="str">
        <f t="shared" si="11"/>
        <v/>
      </c>
    </row>
    <row r="351" spans="2:5" ht="15" customHeight="1" x14ac:dyDescent="0.3">
      <c r="B351" s="44" t="str">
        <f>IF(OR(LINEAS!$D$113="",LINEAS!$U$113=0,ABS(IF(OR(LINEAS!$U$113=1,LINEAS!$U$113=3),1,-1)*LINEAS!$AC$113*DATOS!$C$67)&lt;0.00005),"*",LINEAS!$D$113&amp;" UNI "&amp;IF(LINEAS!$U$113&lt;=2,"GZ","GX")&amp;" "&amp;TEXT(IF(OR(LINEAS!$U$113=1,LINEAS!$U$113=3),1,-1)*LINEAS!$AC$113*DATOS!$C$67,DATOS!$C$68))</f>
        <v>69 UNI GX -0.1403</v>
      </c>
      <c r="C351" s="42" t="str">
        <f t="shared" si="10"/>
        <v/>
      </c>
      <c r="D351" s="44" t="str">
        <f>IF(PRESIONES!$C$22="NO","",IF(OR(LINEAS!$D$113="",LINEAS!$U$113=0,ABS(IF(OR(LINEAS!$U$113=1,LINEAS!$U$113=3),1,-1)*LINEAS!$AC$113*DATOS!$C$67)&lt;0.00005),"*",LINEAS!$D$113&amp;" UNI "&amp;IF(LINEAS!$U$113&lt;=2,"GZ","GX")&amp;" "&amp;TEXT(IF(OR(LINEAS!$U$113=1,LINEAS!$U$113=3),1,-1)*LINEAS!$AC$113*DATOS!$C$67,DATOS!$C$68)))</f>
        <v/>
      </c>
      <c r="E351" s="42" t="str">
        <f t="shared" si="11"/>
        <v/>
      </c>
    </row>
    <row r="352" spans="2:5" ht="15" customHeight="1" x14ac:dyDescent="0.3">
      <c r="B352" s="44" t="str">
        <f>IF(OR(LINEAS!$D$114="",LINEAS!$U$114=0,ABS(IF(OR(LINEAS!$U$114=1,LINEAS!$U$114=3),1,-1)*LINEAS!$AC$114*DATOS!$C$67)&lt;0.00005),"*",LINEAS!$D$114&amp;" UNI "&amp;IF(LINEAS!$U$114&lt;=2,"GZ","GX")&amp;" "&amp;TEXT(IF(OR(LINEAS!$U$114=1,LINEAS!$U$114=3),1,-1)*LINEAS!$AC$114*DATOS!$C$67,DATOS!$C$68))</f>
        <v>50 UNI GX -0.1190</v>
      </c>
      <c r="C352" s="42" t="str">
        <f t="shared" si="10"/>
        <v/>
      </c>
      <c r="D352" s="44" t="str">
        <f>IF(PRESIONES!$C$22="NO","",IF(OR(LINEAS!$D$114="",LINEAS!$U$114=0,ABS(IF(OR(LINEAS!$U$114=1,LINEAS!$U$114=3),1,-1)*LINEAS!$AC$114*DATOS!$C$67)&lt;0.00005),"*",LINEAS!$D$114&amp;" UNI "&amp;IF(LINEAS!$U$114&lt;=2,"GZ","GX")&amp;" "&amp;TEXT(IF(OR(LINEAS!$U$114=1,LINEAS!$U$114=3),1,-1)*LINEAS!$AC$114*DATOS!$C$67,DATOS!$C$68)))</f>
        <v/>
      </c>
      <c r="E352" s="42" t="str">
        <f t="shared" si="11"/>
        <v/>
      </c>
    </row>
    <row r="353" spans="2:5" ht="15" customHeight="1" x14ac:dyDescent="0.3">
      <c r="B353" s="44" t="str">
        <f>IF(OR(LINEAS!$D$115="",LINEAS!$U$115=0,ABS(IF(OR(LINEAS!$U$115=1,LINEAS!$U$115=3),1,-1)*LINEAS!$AC$115*DATOS!$C$67)&lt;0.00005),"*",LINEAS!$D$115&amp;" UNI "&amp;IF(LINEAS!$U$115&lt;=2,"GZ","GX")&amp;" "&amp;TEXT(IF(OR(LINEAS!$U$115=1,LINEAS!$U$115=3),1,-1)*LINEAS!$AC$115*DATOS!$C$67,DATOS!$C$68))</f>
        <v>53 UNI GX -0.0985</v>
      </c>
      <c r="C353" s="42" t="str">
        <f t="shared" si="10"/>
        <v/>
      </c>
      <c r="D353" s="44" t="str">
        <f>IF(PRESIONES!$C$22="NO","",IF(OR(LINEAS!$D$115="",LINEAS!$U$115=0,ABS(IF(OR(LINEAS!$U$115=1,LINEAS!$U$115=3),1,-1)*LINEAS!$AC$115*DATOS!$C$67)&lt;0.00005),"*",LINEAS!$D$115&amp;" UNI "&amp;IF(LINEAS!$U$115&lt;=2,"GZ","GX")&amp;" "&amp;TEXT(IF(OR(LINEAS!$U$115=1,LINEAS!$U$115=3),1,-1)*LINEAS!$AC$115*DATOS!$C$67,DATOS!$C$68)))</f>
        <v/>
      </c>
      <c r="E353" s="42" t="str">
        <f t="shared" si="11"/>
        <v/>
      </c>
    </row>
    <row r="354" spans="2:5" ht="15" customHeight="1" x14ac:dyDescent="0.3">
      <c r="B354" s="44" t="str">
        <f>IF(OR(LINEAS!$D$116="",LINEAS!$U$116=0,ABS(IF(OR(LINEAS!$U$116=1,LINEAS!$U$116=3),1,-1)*LINEAS!$AC$116*DATOS!$C$67)&lt;0.00005),"*",LINEAS!$D$116&amp;" UNI "&amp;IF(LINEAS!$U$116&lt;=2,"GZ","GX")&amp;" "&amp;TEXT(IF(OR(LINEAS!$U$116=1,LINEAS!$U$116=3),1,-1)*LINEAS!$AC$116*DATOS!$C$67,DATOS!$C$68))</f>
        <v>55 UNI GX -0.0789</v>
      </c>
      <c r="C354" s="42" t="str">
        <f t="shared" si="10"/>
        <v/>
      </c>
      <c r="D354" s="44" t="str">
        <f>IF(PRESIONES!$C$22="NO","",IF(OR(LINEAS!$D$116="",LINEAS!$U$116=0,ABS(IF(OR(LINEAS!$U$116=1,LINEAS!$U$116=3),1,-1)*LINEAS!$AC$116*DATOS!$C$67)&lt;0.00005),"*",LINEAS!$D$116&amp;" UNI "&amp;IF(LINEAS!$U$116&lt;=2,"GZ","GX")&amp;" "&amp;TEXT(IF(OR(LINEAS!$U$116=1,LINEAS!$U$116=3),1,-1)*LINEAS!$AC$116*DATOS!$C$67,DATOS!$C$68)))</f>
        <v/>
      </c>
      <c r="E354" s="42" t="str">
        <f t="shared" si="11"/>
        <v/>
      </c>
    </row>
    <row r="355" spans="2:5" ht="15" customHeight="1" x14ac:dyDescent="0.3">
      <c r="B355" s="44" t="str">
        <f>IF(OR(LINEAS!$D$117="",LINEAS!$U$117=0,ABS(IF(OR(LINEAS!$U$117=1,LINEAS!$U$117=3),1,-1)*LINEAS!$AC$117*DATOS!$C$67)&lt;0.00005),"*",LINEAS!$D$117&amp;" UNI "&amp;IF(LINEAS!$U$117&lt;=2,"GZ","GX")&amp;" "&amp;TEXT(IF(OR(LINEAS!$U$117=1,LINEAS!$U$117=3),1,-1)*LINEAS!$AC$117*DATOS!$C$67,DATOS!$C$68))</f>
        <v>262 UNI GZ -0.1102</v>
      </c>
      <c r="C355" s="42" t="str">
        <f t="shared" si="10"/>
        <v/>
      </c>
      <c r="D355" s="44" t="str">
        <f>IF(PRESIONES!$C$22="NO","",IF(OR(LINEAS!$D$117="",LINEAS!$U$117=0,ABS(IF(OR(LINEAS!$U$117=1,LINEAS!$U$117=3),1,-1)*LINEAS!$AC$117*DATOS!$C$67)&lt;0.00005),"*",LINEAS!$D$117&amp;" UNI "&amp;IF(LINEAS!$U$117&lt;=2,"GZ","GX")&amp;" "&amp;TEXT(IF(OR(LINEAS!$U$117=1,LINEAS!$U$117=3),1,-1)*LINEAS!$AC$117*DATOS!$C$67,DATOS!$C$68)))</f>
        <v/>
      </c>
      <c r="E355" s="42" t="str">
        <f t="shared" si="11"/>
        <v/>
      </c>
    </row>
    <row r="356" spans="2:5" ht="15" customHeight="1" x14ac:dyDescent="0.3">
      <c r="B356" s="44" t="str">
        <f>IF(OR(LINEAS!$D$118="",LINEAS!$U$118=0,ABS(IF(OR(LINEAS!$U$118=1,LINEAS!$U$118=3),1,-1)*LINEAS!$AC$118*DATOS!$C$67)&lt;0.00005),"*",LINEAS!$D$118&amp;" UNI "&amp;IF(LINEAS!$U$118&lt;=2,"GZ","GX")&amp;" "&amp;TEXT(IF(OR(LINEAS!$U$118=1,LINEAS!$U$118=3),1,-1)*LINEAS!$AC$118*DATOS!$C$67,DATOS!$C$68))</f>
        <v>263 UNI GZ -0.1102</v>
      </c>
      <c r="C356" s="42" t="str">
        <f t="shared" si="10"/>
        <v/>
      </c>
      <c r="D356" s="44" t="str">
        <f>IF(PRESIONES!$C$22="NO","",IF(OR(LINEAS!$D$118="",LINEAS!$U$118=0,ABS(IF(OR(LINEAS!$U$118=1,LINEAS!$U$118=3),1,-1)*LINEAS!$AC$118*DATOS!$C$67)&lt;0.00005),"*",LINEAS!$D$118&amp;" UNI "&amp;IF(LINEAS!$U$118&lt;=2,"GZ","GX")&amp;" "&amp;TEXT(IF(OR(LINEAS!$U$118=1,LINEAS!$U$118=3),1,-1)*LINEAS!$AC$118*DATOS!$C$67,DATOS!$C$68)))</f>
        <v/>
      </c>
      <c r="E356" s="42" t="str">
        <f t="shared" si="11"/>
        <v/>
      </c>
    </row>
    <row r="357" spans="2:5" ht="15" customHeight="1" x14ac:dyDescent="0.3">
      <c r="B357" s="44" t="str">
        <f>IF(OR(LINEAS!$D$119="",LINEAS!$U$119=0,ABS(IF(OR(LINEAS!$U$119=1,LINEAS!$U$119=3),1,-1)*LINEAS!$AC$119*DATOS!$C$67)&lt;0.00005),"*",LINEAS!$D$119&amp;" UNI "&amp;IF(LINEAS!$U$119&lt;=2,"GZ","GX")&amp;" "&amp;TEXT(IF(OR(LINEAS!$U$119=1,LINEAS!$U$119=3),1,-1)*LINEAS!$AC$119*DATOS!$C$67,DATOS!$C$68))</f>
        <v>264 UNI GZ -0.1102</v>
      </c>
      <c r="C357" s="42" t="str">
        <f t="shared" si="10"/>
        <v/>
      </c>
      <c r="D357" s="44" t="str">
        <f>IF(PRESIONES!$C$22="NO","",IF(OR(LINEAS!$D$119="",LINEAS!$U$119=0,ABS(IF(OR(LINEAS!$U$119=1,LINEAS!$U$119=3),1,-1)*LINEAS!$AC$119*DATOS!$C$67)&lt;0.00005),"*",LINEAS!$D$119&amp;" UNI "&amp;IF(LINEAS!$U$119&lt;=2,"GZ","GX")&amp;" "&amp;TEXT(IF(OR(LINEAS!$U$119=1,LINEAS!$U$119=3),1,-1)*LINEAS!$AC$119*DATOS!$C$67,DATOS!$C$68)))</f>
        <v/>
      </c>
      <c r="E357" s="42" t="str">
        <f t="shared" si="11"/>
        <v/>
      </c>
    </row>
    <row r="358" spans="2:5" ht="15" customHeight="1" x14ac:dyDescent="0.3">
      <c r="B358" s="44" t="str">
        <f>IF(OR(LINEAS!$D$120="",LINEAS!$U$120=0,ABS(IF(OR(LINEAS!$U$120=1,LINEAS!$U$120=3),1,-1)*LINEAS!$AC$120*DATOS!$C$67)&lt;0.00005),"*",LINEAS!$D$120&amp;" UNI "&amp;IF(LINEAS!$U$120&lt;=2,"GZ","GX")&amp;" "&amp;TEXT(IF(OR(LINEAS!$U$120=1,LINEAS!$U$120=3),1,-1)*LINEAS!$AC$120*DATOS!$C$67,DATOS!$C$68))</f>
        <v>271 UNI GZ -0.1102</v>
      </c>
      <c r="C358" s="42" t="str">
        <f t="shared" si="10"/>
        <v/>
      </c>
      <c r="D358" s="44" t="str">
        <f>IF(PRESIONES!$C$22="NO","",IF(OR(LINEAS!$D$120="",LINEAS!$U$120=0,ABS(IF(OR(LINEAS!$U$120=1,LINEAS!$U$120=3),1,-1)*LINEAS!$AC$120*DATOS!$C$67)&lt;0.00005),"*",LINEAS!$D$120&amp;" UNI "&amp;IF(LINEAS!$U$120&lt;=2,"GZ","GX")&amp;" "&amp;TEXT(IF(OR(LINEAS!$U$120=1,LINEAS!$U$120=3),1,-1)*LINEAS!$AC$120*DATOS!$C$67,DATOS!$C$68)))</f>
        <v/>
      </c>
      <c r="E358" s="42" t="str">
        <f t="shared" si="11"/>
        <v/>
      </c>
    </row>
    <row r="359" spans="2:5" ht="15" customHeight="1" x14ac:dyDescent="0.3">
      <c r="B359" s="44" t="str">
        <f>IF(OR(LINEAS!$D$121="",LINEAS!$U$121=0,ABS(IF(OR(LINEAS!$U$121=1,LINEAS!$U$121=3),1,-1)*LINEAS!$AC$121*DATOS!$C$67)&lt;0.00005),"*",LINEAS!$D$121&amp;" UNI "&amp;IF(LINEAS!$U$121&lt;=2,"GZ","GX")&amp;" "&amp;TEXT(IF(OR(LINEAS!$U$121=1,LINEAS!$U$121=3),1,-1)*LINEAS!$AC$121*DATOS!$C$67,DATOS!$C$68))</f>
        <v>286 UNI GZ -0.1653</v>
      </c>
      <c r="C359" s="42" t="str">
        <f t="shared" si="10"/>
        <v/>
      </c>
      <c r="D359" s="44" t="str">
        <f>IF(PRESIONES!$C$22="NO","",IF(OR(LINEAS!$D$121="",LINEAS!$U$121=0,ABS(IF(OR(LINEAS!$U$121=1,LINEAS!$U$121=3),1,-1)*LINEAS!$AC$121*DATOS!$C$67)&lt;0.00005),"*",LINEAS!$D$121&amp;" UNI "&amp;IF(LINEAS!$U$121&lt;=2,"GZ","GX")&amp;" "&amp;TEXT(IF(OR(LINEAS!$U$121=1,LINEAS!$U$121=3),1,-1)*LINEAS!$AC$121*DATOS!$C$67,DATOS!$C$68)))</f>
        <v/>
      </c>
      <c r="E359" s="42" t="str">
        <f t="shared" si="11"/>
        <v/>
      </c>
    </row>
    <row r="360" spans="2:5" ht="15" customHeight="1" x14ac:dyDescent="0.3">
      <c r="B360" s="44" t="str">
        <f>IF(OR(LINEAS!$D$122="",LINEAS!$U$122=0,ABS(IF(OR(LINEAS!$U$122=1,LINEAS!$U$122=3),1,-1)*LINEAS!$AC$122*DATOS!$C$67)&lt;0.00005),"*",LINEAS!$D$122&amp;" UNI "&amp;IF(LINEAS!$U$122&lt;=2,"GZ","GX")&amp;" "&amp;TEXT(IF(OR(LINEAS!$U$122=1,LINEAS!$U$122=3),1,-1)*LINEAS!$AC$122*DATOS!$C$67,DATOS!$C$68))</f>
        <v>272 UNI GZ -0.1102</v>
      </c>
      <c r="C360" s="42" t="str">
        <f t="shared" si="10"/>
        <v/>
      </c>
      <c r="D360" s="44" t="str">
        <f>IF(PRESIONES!$C$22="NO","",IF(OR(LINEAS!$D$122="",LINEAS!$U$122=0,ABS(IF(OR(LINEAS!$U$122=1,LINEAS!$U$122=3),1,-1)*LINEAS!$AC$122*DATOS!$C$67)&lt;0.00005),"*",LINEAS!$D$122&amp;" UNI "&amp;IF(LINEAS!$U$122&lt;=2,"GZ","GX")&amp;" "&amp;TEXT(IF(OR(LINEAS!$U$122=1,LINEAS!$U$122=3),1,-1)*LINEAS!$AC$122*DATOS!$C$67,DATOS!$C$68)))</f>
        <v/>
      </c>
      <c r="E360" s="42" t="str">
        <f t="shared" si="11"/>
        <v/>
      </c>
    </row>
    <row r="361" spans="2:5" ht="15" customHeight="1" x14ac:dyDescent="0.3">
      <c r="B361" s="44" t="str">
        <f>IF(OR(LINEAS!$D$123="",LINEAS!$U$123=0,ABS(IF(OR(LINEAS!$U$123=1,LINEAS!$U$123=3),1,-1)*LINEAS!$AC$123*DATOS!$C$67)&lt;0.00005),"*",LINEAS!$D$123&amp;" UNI "&amp;IF(LINEAS!$U$123&lt;=2,"GZ","GX")&amp;" "&amp;TEXT(IF(OR(LINEAS!$U$123=1,LINEAS!$U$123=3),1,-1)*LINEAS!$AC$123*DATOS!$C$67,DATOS!$C$68))</f>
        <v>273 UNI GZ -0.1102</v>
      </c>
      <c r="C361" s="42" t="str">
        <f t="shared" si="10"/>
        <v/>
      </c>
      <c r="D361" s="44" t="str">
        <f>IF(PRESIONES!$C$22="NO","",IF(OR(LINEAS!$D$123="",LINEAS!$U$123=0,ABS(IF(OR(LINEAS!$U$123=1,LINEAS!$U$123=3),1,-1)*LINEAS!$AC$123*DATOS!$C$67)&lt;0.00005),"*",LINEAS!$D$123&amp;" UNI "&amp;IF(LINEAS!$U$123&lt;=2,"GZ","GX")&amp;" "&amp;TEXT(IF(OR(LINEAS!$U$123=1,LINEAS!$U$123=3),1,-1)*LINEAS!$AC$123*DATOS!$C$67,DATOS!$C$68)))</f>
        <v/>
      </c>
      <c r="E361" s="42" t="str">
        <f t="shared" si="11"/>
        <v/>
      </c>
    </row>
    <row r="362" spans="2:5" ht="15" customHeight="1" x14ac:dyDescent="0.3">
      <c r="B362" s="44" t="str">
        <f>IF(OR(LINEAS!$D$124="",LINEAS!$U$124=0,ABS(IF(OR(LINEAS!$U$124=1,LINEAS!$U$124=3),1,-1)*LINEAS!$AC$124*DATOS!$C$67)&lt;0.00005),"*",LINEAS!$D$124&amp;" UNI "&amp;IF(LINEAS!$U$124&lt;=2,"GZ","GX")&amp;" "&amp;TEXT(IF(OR(LINEAS!$U$124=1,LINEAS!$U$124=3),1,-1)*LINEAS!$AC$124*DATOS!$C$67,DATOS!$C$68))</f>
        <v>280 UNI GZ -0.1102</v>
      </c>
      <c r="C362" s="42" t="str">
        <f t="shared" si="10"/>
        <v/>
      </c>
      <c r="D362" s="44" t="str">
        <f>IF(PRESIONES!$C$22="NO","",IF(OR(LINEAS!$D$124="",LINEAS!$U$124=0,ABS(IF(OR(LINEAS!$U$124=1,LINEAS!$U$124=3),1,-1)*LINEAS!$AC$124*DATOS!$C$67)&lt;0.00005),"*",LINEAS!$D$124&amp;" UNI "&amp;IF(LINEAS!$U$124&lt;=2,"GZ","GX")&amp;" "&amp;TEXT(IF(OR(LINEAS!$U$124=1,LINEAS!$U$124=3),1,-1)*LINEAS!$AC$124*DATOS!$C$67,DATOS!$C$68)))</f>
        <v/>
      </c>
      <c r="E362" s="42" t="str">
        <f t="shared" si="11"/>
        <v/>
      </c>
    </row>
    <row r="363" spans="2:5" ht="15" customHeight="1" x14ac:dyDescent="0.3">
      <c r="B363" s="44" t="str">
        <f>IF(OR(LINEAS!$D$125="",LINEAS!$U$125=0,ABS(IF(OR(LINEAS!$U$125=1,LINEAS!$U$125=3),1,-1)*LINEAS!$AC$125*DATOS!$C$67)&lt;0.00005),"*",LINEAS!$D$125&amp;" UNI "&amp;IF(LINEAS!$U$125&lt;=2,"GZ","GX")&amp;" "&amp;TEXT(IF(OR(LINEAS!$U$125=1,LINEAS!$U$125=3),1,-1)*LINEAS!$AC$125*DATOS!$C$67,DATOS!$C$68))</f>
        <v>282 UNI GZ -0.1102</v>
      </c>
      <c r="C363" s="42" t="str">
        <f t="shared" si="10"/>
        <v/>
      </c>
      <c r="D363" s="44" t="str">
        <f>IF(PRESIONES!$C$22="NO","",IF(OR(LINEAS!$D$125="",LINEAS!$U$125=0,ABS(IF(OR(LINEAS!$U$125=1,LINEAS!$U$125=3),1,-1)*LINEAS!$AC$125*DATOS!$C$67)&lt;0.00005),"*",LINEAS!$D$125&amp;" UNI "&amp;IF(LINEAS!$U$125&lt;=2,"GZ","GX")&amp;" "&amp;TEXT(IF(OR(LINEAS!$U$125=1,LINEAS!$U$125=3),1,-1)*LINEAS!$AC$125*DATOS!$C$67,DATOS!$C$68)))</f>
        <v/>
      </c>
      <c r="E363" s="42" t="str">
        <f t="shared" si="11"/>
        <v/>
      </c>
    </row>
    <row r="364" spans="2:5" ht="15" customHeight="1" x14ac:dyDescent="0.3">
      <c r="B364" s="44" t="str">
        <f>IF(OR(LINEAS!$D$126="",LINEAS!$U$126=0,ABS(IF(OR(LINEAS!$U$126=1,LINEAS!$U$126=3),1,-1)*LINEAS!$AC$126*DATOS!$C$67)&lt;0.00005),"*",LINEAS!$D$126&amp;" UNI "&amp;IF(LINEAS!$U$126&lt;=2,"GZ","GX")&amp;" "&amp;TEXT(IF(OR(LINEAS!$U$126=1,LINEAS!$U$126=3),1,-1)*LINEAS!$AC$126*DATOS!$C$67,DATOS!$C$68))</f>
        <v>290 UNI GZ -0.1102</v>
      </c>
      <c r="C364" s="42" t="str">
        <f t="shared" si="10"/>
        <v/>
      </c>
      <c r="D364" s="44" t="str">
        <f>IF(PRESIONES!$C$22="NO","",IF(OR(LINEAS!$D$126="",LINEAS!$U$126=0,ABS(IF(OR(LINEAS!$U$126=1,LINEAS!$U$126=3),1,-1)*LINEAS!$AC$126*DATOS!$C$67)&lt;0.00005),"*",LINEAS!$D$126&amp;" UNI "&amp;IF(LINEAS!$U$126&lt;=2,"GZ","GX")&amp;" "&amp;TEXT(IF(OR(LINEAS!$U$126=1,LINEAS!$U$126=3),1,-1)*LINEAS!$AC$126*DATOS!$C$67,DATOS!$C$68)))</f>
        <v/>
      </c>
      <c r="E364" s="42" t="str">
        <f t="shared" si="11"/>
        <v/>
      </c>
    </row>
    <row r="365" spans="2:5" ht="15" customHeight="1" x14ac:dyDescent="0.3">
      <c r="B365" s="44" t="str">
        <f>IF(OR(LINEAS!$D$127="",LINEAS!$U$127=0,ABS(IF(OR(LINEAS!$U$127=1,LINEAS!$U$127=3),1,-1)*LINEAS!$AC$127*DATOS!$C$67)&lt;0.00005),"*",LINEAS!$D$127&amp;" UNI "&amp;IF(LINEAS!$U$127&lt;=2,"GZ","GX")&amp;" "&amp;TEXT(IF(OR(LINEAS!$U$127=1,LINEAS!$U$127=3),1,-1)*LINEAS!$AC$127*DATOS!$C$67,DATOS!$C$68))</f>
        <v>291 UNI GZ -0.1102</v>
      </c>
      <c r="C365" s="42" t="str">
        <f t="shared" si="10"/>
        <v/>
      </c>
      <c r="D365" s="44" t="str">
        <f>IF(PRESIONES!$C$22="NO","",IF(OR(LINEAS!$D$127="",LINEAS!$U$127=0,ABS(IF(OR(LINEAS!$U$127=1,LINEAS!$U$127=3),1,-1)*LINEAS!$AC$127*DATOS!$C$67)&lt;0.00005),"*",LINEAS!$D$127&amp;" UNI "&amp;IF(LINEAS!$U$127&lt;=2,"GZ","GX")&amp;" "&amp;TEXT(IF(OR(LINEAS!$U$127=1,LINEAS!$U$127=3),1,-1)*LINEAS!$AC$127*DATOS!$C$67,DATOS!$C$68)))</f>
        <v/>
      </c>
      <c r="E365" s="42" t="str">
        <f t="shared" si="11"/>
        <v/>
      </c>
    </row>
    <row r="366" spans="2:5" ht="15" customHeight="1" x14ac:dyDescent="0.3">
      <c r="B366" s="44" t="str">
        <f>IF(OR(LINEAS!$D$128="",LINEAS!$U$128=0,ABS(IF(OR(LINEAS!$U$128=1,LINEAS!$U$128=3),1,-1)*LINEAS!$AC$128*DATOS!$C$67)&lt;0.00005),"*",LINEAS!$D$128&amp;" UNI "&amp;IF(LINEAS!$U$128&lt;=2,"GZ","GX")&amp;" "&amp;TEXT(IF(OR(LINEAS!$U$128=1,LINEAS!$U$128=3),1,-1)*LINEAS!$AC$128*DATOS!$C$67,DATOS!$C$68))</f>
        <v>298 UNI GZ -0.0703</v>
      </c>
      <c r="C366" s="42" t="str">
        <f t="shared" si="10"/>
        <v/>
      </c>
      <c r="D366" s="44" t="str">
        <f>IF(PRESIONES!$C$22="NO","",IF(OR(LINEAS!$D$128="",LINEAS!$U$128=0,ABS(IF(OR(LINEAS!$U$128=1,LINEAS!$U$128=3),1,-1)*LINEAS!$AC$128*DATOS!$C$67)&lt;0.00005),"*",LINEAS!$D$128&amp;" UNI "&amp;IF(LINEAS!$U$128&lt;=2,"GZ","GX")&amp;" "&amp;TEXT(IF(OR(LINEAS!$U$128=1,LINEAS!$U$128=3),1,-1)*LINEAS!$AC$128*DATOS!$C$67,DATOS!$C$68)))</f>
        <v/>
      </c>
      <c r="E366" s="42" t="str">
        <f t="shared" si="11"/>
        <v/>
      </c>
    </row>
    <row r="367" spans="2:5" ht="15" customHeight="1" x14ac:dyDescent="0.3">
      <c r="B367" s="44" t="str">
        <f>IF(OR(LINEAS!$D$129="",LINEAS!$U$129=0,ABS(IF(OR(LINEAS!$U$129=1,LINEAS!$U$129=3),1,-1)*LINEAS!$AC$129*DATOS!$C$67)&lt;0.00005),"*",LINEAS!$D$129&amp;" UNI "&amp;IF(LINEAS!$U$129&lt;=2,"GZ","GX")&amp;" "&amp;TEXT(IF(OR(LINEAS!$U$129=1,LINEAS!$U$129=3),1,-1)*LINEAS!$AC$129*DATOS!$C$67,DATOS!$C$68))</f>
        <v>299 UNI GZ -0.0703</v>
      </c>
      <c r="C367" s="42" t="str">
        <f t="shared" si="10"/>
        <v/>
      </c>
      <c r="D367" s="44" t="str">
        <f>IF(PRESIONES!$C$22="NO","",IF(OR(LINEAS!$D$129="",LINEAS!$U$129=0,ABS(IF(OR(LINEAS!$U$129=1,LINEAS!$U$129=3),1,-1)*LINEAS!$AC$129*DATOS!$C$67)&lt;0.00005),"*",LINEAS!$D$129&amp;" UNI "&amp;IF(LINEAS!$U$129&lt;=2,"GZ","GX")&amp;" "&amp;TEXT(IF(OR(LINEAS!$U$129=1,LINEAS!$U$129=3),1,-1)*LINEAS!$AC$129*DATOS!$C$67,DATOS!$C$68)))</f>
        <v/>
      </c>
      <c r="E367" s="42" t="str">
        <f t="shared" si="11"/>
        <v/>
      </c>
    </row>
    <row r="368" spans="2:5" ht="15" customHeight="1" x14ac:dyDescent="0.3">
      <c r="B368" s="44" t="str">
        <f>IF(OR(LINEAS!$D$130="",LINEAS!$U$130=0,ABS(IF(OR(LINEAS!$U$130=1,LINEAS!$U$130=3),1,-1)*LINEAS!$AC$130*DATOS!$C$67)&lt;0.00005),"*",LINEAS!$D$130&amp;" UNI "&amp;IF(LINEAS!$U$130&lt;=2,"GZ","GX")&amp;" "&amp;TEXT(IF(OR(LINEAS!$U$130=1,LINEAS!$U$130=3),1,-1)*LINEAS!$AC$130*DATOS!$C$67,DATOS!$C$68))</f>
        <v>326 UNI GZ -0.0551</v>
      </c>
      <c r="C368" s="42" t="str">
        <f t="shared" si="10"/>
        <v/>
      </c>
      <c r="D368" s="44" t="str">
        <f>IF(PRESIONES!$C$22="NO","",IF(OR(LINEAS!$D$130="",LINEAS!$U$130=0,ABS(IF(OR(LINEAS!$U$130=1,LINEAS!$U$130=3),1,-1)*LINEAS!$AC$130*DATOS!$C$67)&lt;0.00005),"*",LINEAS!$D$130&amp;" UNI "&amp;IF(LINEAS!$U$130&lt;=2,"GZ","GX")&amp;" "&amp;TEXT(IF(OR(LINEAS!$U$130=1,LINEAS!$U$130=3),1,-1)*LINEAS!$AC$130*DATOS!$C$67,DATOS!$C$68)))</f>
        <v/>
      </c>
      <c r="E368" s="42" t="str">
        <f t="shared" si="11"/>
        <v/>
      </c>
    </row>
    <row r="369" spans="2:5" ht="15" customHeight="1" x14ac:dyDescent="0.3">
      <c r="B369" s="44" t="str">
        <f>IF(OR(LINEAS!$D$131="",LINEAS!$U$131=0,ABS(IF(OR(LINEAS!$U$131=1,LINEAS!$U$131=3),1,-1)*LINEAS!$AC$131*DATOS!$C$67)&lt;0.00005),"*",LINEAS!$D$131&amp;" UNI "&amp;IF(LINEAS!$U$131&lt;=2,"GZ","GX")&amp;" "&amp;TEXT(IF(OR(LINEAS!$U$131=1,LINEAS!$U$131=3),1,-1)*LINEAS!$AC$131*DATOS!$C$67,DATOS!$C$68))</f>
        <v>25 UNI GZ -0.0400</v>
      </c>
      <c r="C369" s="42" t="str">
        <f t="shared" si="10"/>
        <v/>
      </c>
      <c r="D369" s="44" t="str">
        <f>IF(PRESIONES!$C$22="NO","",IF(OR(LINEAS!$D$131="",LINEAS!$U$131=0,ABS(IF(OR(LINEAS!$U$131=1,LINEAS!$U$131=3),1,-1)*LINEAS!$AC$131*DATOS!$C$67)&lt;0.00005),"*",LINEAS!$D$131&amp;" UNI "&amp;IF(LINEAS!$U$131&lt;=2,"GZ","GX")&amp;" "&amp;TEXT(IF(OR(LINEAS!$U$131=1,LINEAS!$U$131=3),1,-1)*LINEAS!$AC$131*DATOS!$C$67,DATOS!$C$68)))</f>
        <v/>
      </c>
      <c r="E369" s="42" t="str">
        <f t="shared" si="11"/>
        <v/>
      </c>
    </row>
    <row r="370" spans="2:5" ht="15" customHeight="1" x14ac:dyDescent="0.3">
      <c r="B370" s="44" t="str">
        <f>IF(OR(LINEAS!$D$132="",LINEAS!$U$132=0,ABS(IF(OR(LINEAS!$U$132=1,LINEAS!$U$132=3),1,-1)*LINEAS!$AC$132*DATOS!$C$67)&lt;0.00005),"*",LINEAS!$D$132&amp;" UNI "&amp;IF(LINEAS!$U$132&lt;=2,"GZ","GX")&amp;" "&amp;TEXT(IF(OR(LINEAS!$U$132=1,LINEAS!$U$132=3),1,-1)*LINEAS!$AC$132*DATOS!$C$67,DATOS!$C$68))</f>
        <v>327 UNI GZ -0.0551</v>
      </c>
      <c r="C370" s="42" t="str">
        <f t="shared" si="10"/>
        <v/>
      </c>
      <c r="D370" s="44" t="str">
        <f>IF(PRESIONES!$C$22="NO","",IF(OR(LINEAS!$D$132="",LINEAS!$U$132=0,ABS(IF(OR(LINEAS!$U$132=1,LINEAS!$U$132=3),1,-1)*LINEAS!$AC$132*DATOS!$C$67)&lt;0.00005),"*",LINEAS!$D$132&amp;" UNI "&amp;IF(LINEAS!$U$132&lt;=2,"GZ","GX")&amp;" "&amp;TEXT(IF(OR(LINEAS!$U$132=1,LINEAS!$U$132=3),1,-1)*LINEAS!$AC$132*DATOS!$C$67,DATOS!$C$68)))</f>
        <v/>
      </c>
      <c r="E370" s="42" t="str">
        <f t="shared" si="11"/>
        <v/>
      </c>
    </row>
    <row r="371" spans="2:5" ht="15" customHeight="1" x14ac:dyDescent="0.3">
      <c r="B371" s="44" t="str">
        <f>IF(OR(LINEAS!$D$133="",LINEAS!$U$133=0,ABS(IF(OR(LINEAS!$U$133=1,LINEAS!$U$133=3),1,-1)*LINEAS!$AC$133*DATOS!$C$67)&lt;0.00005),"*",LINEAS!$D$133&amp;" UNI "&amp;IF(LINEAS!$U$133&lt;=2,"GZ","GX")&amp;" "&amp;TEXT(IF(OR(LINEAS!$U$133=1,LINEAS!$U$133=3),1,-1)*LINEAS!$AC$133*DATOS!$C$67,DATOS!$C$68))</f>
        <v>306 UNI GZ -0.0951</v>
      </c>
      <c r="C371" s="42" t="str">
        <f t="shared" si="10"/>
        <v/>
      </c>
      <c r="D371" s="44" t="str">
        <f>IF(PRESIONES!$C$22="NO","",IF(OR(LINEAS!$D$133="",LINEAS!$U$133=0,ABS(IF(OR(LINEAS!$U$133=1,LINEAS!$U$133=3),1,-1)*LINEAS!$AC$133*DATOS!$C$67)&lt;0.00005),"*",LINEAS!$D$133&amp;" UNI "&amp;IF(LINEAS!$U$133&lt;=2,"GZ","GX")&amp;" "&amp;TEXT(IF(OR(LINEAS!$U$133=1,LINEAS!$U$133=3),1,-1)*LINEAS!$AC$133*DATOS!$C$67,DATOS!$C$68)))</f>
        <v/>
      </c>
      <c r="E371" s="42" t="str">
        <f t="shared" si="11"/>
        <v/>
      </c>
    </row>
    <row r="372" spans="2:5" ht="15" customHeight="1" x14ac:dyDescent="0.3">
      <c r="B372" s="44" t="str">
        <f>IF(OR(LINEAS!$D$134="",LINEAS!$U$134=0,ABS(IF(OR(LINEAS!$U$134=1,LINEAS!$U$134=3),1,-1)*LINEAS!$AC$134*DATOS!$C$67)&lt;0.00005),"*",LINEAS!$D$134&amp;" UNI "&amp;IF(LINEAS!$U$134&lt;=2,"GZ","GX")&amp;" "&amp;TEXT(IF(OR(LINEAS!$U$134=1,LINEAS!$U$134=3),1,-1)*LINEAS!$AC$134*DATOS!$C$67,DATOS!$C$68))</f>
        <v>322 UNI GZ -0.1102</v>
      </c>
      <c r="C372" s="42" t="str">
        <f t="shared" si="10"/>
        <v/>
      </c>
      <c r="D372" s="44" t="str">
        <f>IF(PRESIONES!$C$22="NO","",IF(OR(LINEAS!$D$134="",LINEAS!$U$134=0,ABS(IF(OR(LINEAS!$U$134=1,LINEAS!$U$134=3),1,-1)*LINEAS!$AC$134*DATOS!$C$67)&lt;0.00005),"*",LINEAS!$D$134&amp;" UNI "&amp;IF(LINEAS!$U$134&lt;=2,"GZ","GX")&amp;" "&amp;TEXT(IF(OR(LINEAS!$U$134=1,LINEAS!$U$134=3),1,-1)*LINEAS!$AC$134*DATOS!$C$67,DATOS!$C$68)))</f>
        <v/>
      </c>
      <c r="E372" s="42" t="str">
        <f t="shared" si="11"/>
        <v/>
      </c>
    </row>
    <row r="373" spans="2:5" ht="15" customHeight="1" x14ac:dyDescent="0.3">
      <c r="B373" s="44" t="str">
        <f>IF(OR(LINEAS!$D$135="",LINEAS!$U$135=0,ABS(IF(OR(LINEAS!$U$135=1,LINEAS!$U$135=3),1,-1)*LINEAS!$AC$135*DATOS!$C$67)&lt;0.00005),"*",LINEAS!$D$135&amp;" UNI "&amp;IF(LINEAS!$U$135&lt;=2,"GZ","GX")&amp;" "&amp;TEXT(IF(OR(LINEAS!$U$135=1,LINEAS!$U$135=3),1,-1)*LINEAS!$AC$135*DATOS!$C$67,DATOS!$C$68))</f>
        <v>323 UNI GZ -0.1019</v>
      </c>
      <c r="C373" s="42" t="str">
        <f t="shared" si="10"/>
        <v/>
      </c>
      <c r="D373" s="44" t="str">
        <f>IF(PRESIONES!$C$22="NO","",IF(OR(LINEAS!$D$135="",LINEAS!$U$135=0,ABS(IF(OR(LINEAS!$U$135=1,LINEAS!$U$135=3),1,-1)*LINEAS!$AC$135*DATOS!$C$67)&lt;0.00005),"*",LINEAS!$D$135&amp;" UNI "&amp;IF(LINEAS!$U$135&lt;=2,"GZ","GX")&amp;" "&amp;TEXT(IF(OR(LINEAS!$U$135=1,LINEAS!$U$135=3),1,-1)*LINEAS!$AC$135*DATOS!$C$67,DATOS!$C$68)))</f>
        <v/>
      </c>
      <c r="E373" s="42" t="str">
        <f t="shared" si="11"/>
        <v/>
      </c>
    </row>
    <row r="374" spans="2:5" ht="15" customHeight="1" x14ac:dyDescent="0.3">
      <c r="B374" s="44" t="str">
        <f>IF(OR(LINEAS!$D$136="",LINEAS!$U$136=0,ABS(IF(OR(LINEAS!$U$136=1,LINEAS!$U$136=3),1,-1)*LINEAS!$AC$136*DATOS!$C$67)&lt;0.00005),"*",LINEAS!$D$136&amp;" UNI "&amp;IF(LINEAS!$U$136&lt;=2,"GZ","GX")&amp;" "&amp;TEXT(IF(OR(LINEAS!$U$136=1,LINEAS!$U$136=3),1,-1)*LINEAS!$AC$136*DATOS!$C$67,DATOS!$C$68))</f>
        <v>22 85 TO 88 UNI GZ -0.0468</v>
      </c>
      <c r="C374" s="42" t="str">
        <f t="shared" si="10"/>
        <v/>
      </c>
      <c r="D374" s="44" t="str">
        <f>IF(PRESIONES!$C$22="NO","",IF(OR(LINEAS!$D$136="",LINEAS!$U$136=0,ABS(IF(OR(LINEAS!$U$136=1,LINEAS!$U$136=3),1,-1)*LINEAS!$AC$136*DATOS!$C$67)&lt;0.00005),"*",LINEAS!$D$136&amp;" UNI "&amp;IF(LINEAS!$U$136&lt;=2,"GZ","GX")&amp;" "&amp;TEXT(IF(OR(LINEAS!$U$136=1,LINEAS!$U$136=3),1,-1)*LINEAS!$AC$136*DATOS!$C$67,DATOS!$C$68)))</f>
        <v/>
      </c>
      <c r="E374" s="42" t="str">
        <f t="shared" si="11"/>
        <v/>
      </c>
    </row>
    <row r="375" spans="2:5" ht="15" customHeight="1" x14ac:dyDescent="0.3">
      <c r="B375" s="44" t="str">
        <f>IF(OR(LINEAS!$D$137="",LINEAS!$U$137=0,ABS(IF(OR(LINEAS!$U$137=1,LINEAS!$U$137=3),1,-1)*LINEAS!$AC$137*DATOS!$C$67)&lt;0.00005),"*",LINEAS!$D$137&amp;" UNI "&amp;IF(LINEAS!$U$137&lt;=2,"GZ","GX")&amp;" "&amp;TEXT(IF(OR(LINEAS!$U$137=1,LINEAS!$U$137=3),1,-1)*LINEAS!$AC$137*DATOS!$C$67,DATOS!$C$68))</f>
        <v>17 191 203 213 223 233 UNI GZ -0.2343</v>
      </c>
      <c r="C375" s="42" t="str">
        <f t="shared" si="10"/>
        <v/>
      </c>
      <c r="D375" s="44" t="str">
        <f>IF(PRESIONES!$C$22="NO","",IF(OR(LINEAS!$D$137="",LINEAS!$U$137=0,ABS(IF(OR(LINEAS!$U$137=1,LINEAS!$U$137=3),1,-1)*LINEAS!$AC$137*DATOS!$C$67)&lt;0.00005),"*",LINEAS!$D$137&amp;" UNI "&amp;IF(LINEAS!$U$137&lt;=2,"GZ","GX")&amp;" "&amp;TEXT(IF(OR(LINEAS!$U$137=1,LINEAS!$U$137=3),1,-1)*LINEAS!$AC$137*DATOS!$C$67,DATOS!$C$68)))</f>
        <v/>
      </c>
      <c r="E375" s="42" t="str">
        <f t="shared" si="11"/>
        <v/>
      </c>
    </row>
    <row r="376" spans="2:5" ht="15" customHeight="1" x14ac:dyDescent="0.3">
      <c r="B376" s="44" t="str">
        <f>IF(OR(LINEAS!$D$138="",LINEAS!$U$138=0,ABS(IF(OR(LINEAS!$U$138=1,LINEAS!$U$138=3),1,-1)*LINEAS!$AC$138*DATOS!$C$67)&lt;0.00005),"*",LINEAS!$D$138&amp;" UNI "&amp;IF(LINEAS!$U$138&lt;=2,"GZ","GX")&amp;" "&amp;TEXT(IF(OR(LINEAS!$U$138=1,LINEAS!$U$138=3),1,-1)*LINEAS!$AC$138*DATOS!$C$67,DATOS!$C$68))</f>
        <v>18 192 204 214 224 234 UNI GZ -0.2343</v>
      </c>
      <c r="C376" s="42" t="str">
        <f t="shared" si="10"/>
        <v/>
      </c>
      <c r="D376" s="44" t="str">
        <f>IF(PRESIONES!$C$22="NO","",IF(OR(LINEAS!$D$138="",LINEAS!$U$138=0,ABS(IF(OR(LINEAS!$U$138=1,LINEAS!$U$138=3),1,-1)*LINEAS!$AC$138*DATOS!$C$67)&lt;0.00005),"*",LINEAS!$D$138&amp;" UNI "&amp;IF(LINEAS!$U$138&lt;=2,"GZ","GX")&amp;" "&amp;TEXT(IF(OR(LINEAS!$U$138=1,LINEAS!$U$138=3),1,-1)*LINEAS!$AC$138*DATOS!$C$67,DATOS!$C$68)))</f>
        <v/>
      </c>
      <c r="E376" s="42" t="str">
        <f t="shared" si="11"/>
        <v/>
      </c>
    </row>
    <row r="377" spans="2:5" ht="15" customHeight="1" x14ac:dyDescent="0.3">
      <c r="B377" s="44" t="str">
        <f>IF(OR(LINEAS!$D$139="",LINEAS!$U$139=0,ABS(IF(OR(LINEAS!$U$139=1,LINEAS!$U$139=3),1,-1)*LINEAS!$AC$139*DATOS!$C$67)&lt;0.00005),"*",LINEAS!$D$139&amp;" UNI "&amp;IF(LINEAS!$U$139&lt;=2,"GZ","GX")&amp;" "&amp;TEXT(IF(OR(LINEAS!$U$139=1,LINEAS!$U$139=3),1,-1)*LINEAS!$AC$139*DATOS!$C$67,DATOS!$C$68))</f>
        <v>*</v>
      </c>
      <c r="C377" s="42" t="str">
        <f t="shared" si="10"/>
        <v/>
      </c>
      <c r="D377" s="44" t="str">
        <f>IF(PRESIONES!$C$22="NO","",IF(OR(LINEAS!$D$139="",LINEAS!$U$139=0,ABS(IF(OR(LINEAS!$U$139=1,LINEAS!$U$139=3),1,-1)*LINEAS!$AC$139*DATOS!$C$67)&lt;0.00005),"*",LINEAS!$D$139&amp;" UNI "&amp;IF(LINEAS!$U$139&lt;=2,"GZ","GX")&amp;" "&amp;TEXT(IF(OR(LINEAS!$U$139=1,LINEAS!$U$139=3),1,-1)*LINEAS!$AC$139*DATOS!$C$67,DATOS!$C$68)))</f>
        <v/>
      </c>
      <c r="E377" s="42" t="str">
        <f t="shared" si="11"/>
        <v/>
      </c>
    </row>
    <row r="378" spans="2:5" ht="15" customHeight="1" x14ac:dyDescent="0.3">
      <c r="B378" s="44" t="str">
        <f>IF(OR(LINEAS!$D$140="",LINEAS!$U$140=0,ABS(IF(OR(LINEAS!$U$140=1,LINEAS!$U$140=3),1,-1)*LINEAS!$AC$140*DATOS!$C$67)&lt;0.00005),"*",LINEAS!$D$140&amp;" UNI "&amp;IF(LINEAS!$U$140&lt;=2,"GZ","GX")&amp;" "&amp;TEXT(IF(OR(LINEAS!$U$140=1,LINEAS!$U$140=3),1,-1)*LINEAS!$AC$140*DATOS!$C$67,DATOS!$C$68))</f>
        <v>*</v>
      </c>
      <c r="C378" s="42" t="str">
        <f t="shared" si="10"/>
        <v/>
      </c>
      <c r="D378" s="44" t="str">
        <f>IF(PRESIONES!$C$22="NO","",IF(OR(LINEAS!$D$140="",LINEAS!$U$140=0,ABS(IF(OR(LINEAS!$U$140=1,LINEAS!$U$140=3),1,-1)*LINEAS!$AC$140*DATOS!$C$67)&lt;0.00005),"*",LINEAS!$D$140&amp;" UNI "&amp;IF(LINEAS!$U$140&lt;=2,"GZ","GX")&amp;" "&amp;TEXT(IF(OR(LINEAS!$U$140=1,LINEAS!$U$140=3),1,-1)*LINEAS!$AC$140*DATOS!$C$67,DATOS!$C$68)))</f>
        <v/>
      </c>
      <c r="E378" s="42" t="str">
        <f t="shared" si="11"/>
        <v/>
      </c>
    </row>
    <row r="379" spans="2:5" ht="15" customHeight="1" x14ac:dyDescent="0.3">
      <c r="B379" s="44" t="str">
        <f>IF(OR(LINEAS!$D$141="",LINEAS!$U$141=0,ABS(IF(OR(LINEAS!$U$141=1,LINEAS!$U$141=3),1,-1)*LINEAS!$AC$141*DATOS!$C$67)&lt;0.00005),"*",LINEAS!$D$141&amp;" UNI "&amp;IF(LINEAS!$U$141&lt;=2,"GZ","GX")&amp;" "&amp;TEXT(IF(OR(LINEAS!$U$141=1,LINEAS!$U$141=3),1,-1)*LINEAS!$AC$141*DATOS!$C$67,DATOS!$C$68))</f>
        <v>*</v>
      </c>
      <c r="C379" s="42" t="str">
        <f t="shared" si="10"/>
        <v/>
      </c>
      <c r="D379" s="44" t="str">
        <f>IF(PRESIONES!$C$22="NO","",IF(OR(LINEAS!$D$141="",LINEAS!$U$141=0,ABS(IF(OR(LINEAS!$U$141=1,LINEAS!$U$141=3),1,-1)*LINEAS!$AC$141*DATOS!$C$67)&lt;0.00005),"*",LINEAS!$D$141&amp;" UNI "&amp;IF(LINEAS!$U$141&lt;=2,"GZ","GX")&amp;" "&amp;TEXT(IF(OR(LINEAS!$U$141=1,LINEAS!$U$141=3),1,-1)*LINEAS!$AC$141*DATOS!$C$67,DATOS!$C$68)))</f>
        <v/>
      </c>
      <c r="E379" s="42" t="str">
        <f t="shared" si="11"/>
        <v/>
      </c>
    </row>
    <row r="380" spans="2:5" ht="15" customHeight="1" x14ac:dyDescent="0.3">
      <c r="B380" s="44" t="str">
        <f>IF(OR(LINEAS!$D$142="",LINEAS!$U$142=0,ABS(IF(OR(LINEAS!$U$142=1,LINEAS!$U$142=3),1,-1)*LINEAS!$AC$142*DATOS!$C$67)&lt;0.00005),"*",LINEAS!$D$142&amp;" UNI "&amp;IF(LINEAS!$U$142&lt;=2,"GZ","GX")&amp;" "&amp;TEXT(IF(OR(LINEAS!$U$142=1,LINEAS!$U$142=3),1,-1)*LINEAS!$AC$142*DATOS!$C$67,DATOS!$C$68))</f>
        <v>*</v>
      </c>
      <c r="C380" s="42" t="str">
        <f t="shared" si="10"/>
        <v/>
      </c>
      <c r="D380" s="44" t="str">
        <f>IF(PRESIONES!$C$22="NO","",IF(OR(LINEAS!$D$142="",LINEAS!$U$142=0,ABS(IF(OR(LINEAS!$U$142=1,LINEAS!$U$142=3),1,-1)*LINEAS!$AC$142*DATOS!$C$67)&lt;0.00005),"*",LINEAS!$D$142&amp;" UNI "&amp;IF(LINEAS!$U$142&lt;=2,"GZ","GX")&amp;" "&amp;TEXT(IF(OR(LINEAS!$U$142=1,LINEAS!$U$142=3),1,-1)*LINEAS!$AC$142*DATOS!$C$67,DATOS!$C$68)))</f>
        <v/>
      </c>
      <c r="E380" s="42" t="str">
        <f t="shared" si="11"/>
        <v/>
      </c>
    </row>
    <row r="381" spans="2:5" ht="15" customHeight="1" x14ac:dyDescent="0.3">
      <c r="B381" s="44" t="str">
        <f>IF(OR(LINEAS!$D$143="",LINEAS!$U$143=0,ABS(IF(OR(LINEAS!$U$143=1,LINEAS!$U$143=3),1,-1)*LINEAS!$AC$143*DATOS!$C$67)&lt;0.00005),"*",LINEAS!$D$143&amp;" UNI "&amp;IF(LINEAS!$U$143&lt;=2,"GZ","GX")&amp;" "&amp;TEXT(IF(OR(LINEAS!$U$143=1,LINEAS!$U$143=3),1,-1)*LINEAS!$AC$143*DATOS!$C$67,DATOS!$C$68))</f>
        <v>*</v>
      </c>
      <c r="C381" s="42" t="str">
        <f t="shared" si="10"/>
        <v/>
      </c>
      <c r="D381" s="44" t="str">
        <f>IF(PRESIONES!$C$22="NO","",IF(OR(LINEAS!$D$143="",LINEAS!$U$143=0,ABS(IF(OR(LINEAS!$U$143=1,LINEAS!$U$143=3),1,-1)*LINEAS!$AC$143*DATOS!$C$67)&lt;0.00005),"*",LINEAS!$D$143&amp;" UNI "&amp;IF(LINEAS!$U$143&lt;=2,"GZ","GX")&amp;" "&amp;TEXT(IF(OR(LINEAS!$U$143=1,LINEAS!$U$143=3),1,-1)*LINEAS!$AC$143*DATOS!$C$67,DATOS!$C$68)))</f>
        <v/>
      </c>
      <c r="E381" s="42" t="str">
        <f t="shared" si="11"/>
        <v/>
      </c>
    </row>
    <row r="382" spans="2:5" ht="15" customHeight="1" x14ac:dyDescent="0.3">
      <c r="B382" s="44" t="str">
        <f>IF(OR(LINEAS!$D$144="",LINEAS!$U$144=0,ABS(IF(OR(LINEAS!$U$144=1,LINEAS!$U$144=3),1,-1)*LINEAS!$AC$144*DATOS!$C$67)&lt;0.00005),"*",LINEAS!$D$144&amp;" UNI "&amp;IF(LINEAS!$U$144&lt;=2,"GZ","GX")&amp;" "&amp;TEXT(IF(OR(LINEAS!$U$144=1,LINEAS!$U$144=3),1,-1)*LINEAS!$AC$144*DATOS!$C$67,DATOS!$C$68))</f>
        <v>*</v>
      </c>
      <c r="C382" s="42" t="str">
        <f t="shared" si="10"/>
        <v/>
      </c>
      <c r="D382" s="44" t="str">
        <f>IF(PRESIONES!$C$22="NO","",IF(OR(LINEAS!$D$144="",LINEAS!$U$144=0,ABS(IF(OR(LINEAS!$U$144=1,LINEAS!$U$144=3),1,-1)*LINEAS!$AC$144*DATOS!$C$67)&lt;0.00005),"*",LINEAS!$D$144&amp;" UNI "&amp;IF(LINEAS!$U$144&lt;=2,"GZ","GX")&amp;" "&amp;TEXT(IF(OR(LINEAS!$U$144=1,LINEAS!$U$144=3),1,-1)*LINEAS!$AC$144*DATOS!$C$67,DATOS!$C$68)))</f>
        <v/>
      </c>
      <c r="E382" s="42" t="str">
        <f t="shared" si="11"/>
        <v/>
      </c>
    </row>
    <row r="383" spans="2:5" ht="15" customHeight="1" x14ac:dyDescent="0.3">
      <c r="B383" s="44" t="str">
        <f>IF(OR(LINEAS!$D$145="",LINEAS!$U$145=0,ABS(IF(OR(LINEAS!$U$145=1,LINEAS!$U$145=3),1,-1)*LINEAS!$AC$145*DATOS!$C$67)&lt;0.00005),"*",LINEAS!$D$145&amp;" UNI "&amp;IF(LINEAS!$U$145&lt;=2,"GZ","GX")&amp;" "&amp;TEXT(IF(OR(LINEAS!$U$145=1,LINEAS!$U$145=3),1,-1)*LINEAS!$AC$145*DATOS!$C$67,DATOS!$C$68))</f>
        <v>*</v>
      </c>
      <c r="C383" s="42" t="str">
        <f t="shared" si="10"/>
        <v/>
      </c>
      <c r="D383" s="44" t="str">
        <f>IF(PRESIONES!$C$22="NO","",IF(OR(LINEAS!$D$145="",LINEAS!$U$145=0,ABS(IF(OR(LINEAS!$U$145=1,LINEAS!$U$145=3),1,-1)*LINEAS!$AC$145*DATOS!$C$67)&lt;0.00005),"*",LINEAS!$D$145&amp;" UNI "&amp;IF(LINEAS!$U$145&lt;=2,"GZ","GX")&amp;" "&amp;TEXT(IF(OR(LINEAS!$U$145=1,LINEAS!$U$145=3),1,-1)*LINEAS!$AC$145*DATOS!$C$67,DATOS!$C$68)))</f>
        <v/>
      </c>
      <c r="E383" s="42" t="str">
        <f t="shared" si="11"/>
        <v/>
      </c>
    </row>
    <row r="384" spans="2:5" ht="15" customHeight="1" x14ac:dyDescent="0.3">
      <c r="B384" s="44" t="str">
        <f>IF(OR(LINEAS!$D$146="",LINEAS!$U$146=0,ABS(IF(OR(LINEAS!$U$146=1,LINEAS!$U$146=3),1,-1)*LINEAS!$AC$146*DATOS!$C$67)&lt;0.00005),"*",LINEAS!$D$146&amp;" UNI "&amp;IF(LINEAS!$U$146&lt;=2,"GZ","GX")&amp;" "&amp;TEXT(IF(OR(LINEAS!$U$146=1,LINEAS!$U$146=3),1,-1)*LINEAS!$AC$146*DATOS!$C$67,DATOS!$C$68))</f>
        <v>*</v>
      </c>
      <c r="C384" s="42" t="str">
        <f t="shared" si="10"/>
        <v/>
      </c>
      <c r="D384" s="44" t="str">
        <f>IF(PRESIONES!$C$22="NO","",IF(OR(LINEAS!$D$146="",LINEAS!$U$146=0,ABS(IF(OR(LINEAS!$U$146=1,LINEAS!$U$146=3),1,-1)*LINEAS!$AC$146*DATOS!$C$67)&lt;0.00005),"*",LINEAS!$D$146&amp;" UNI "&amp;IF(LINEAS!$U$146&lt;=2,"GZ","GX")&amp;" "&amp;TEXT(IF(OR(LINEAS!$U$146=1,LINEAS!$U$146=3),1,-1)*LINEAS!$AC$146*DATOS!$C$67,DATOS!$C$68)))</f>
        <v/>
      </c>
      <c r="E384" s="42" t="str">
        <f t="shared" si="11"/>
        <v/>
      </c>
    </row>
    <row r="385" spans="2:5" ht="15" customHeight="1" x14ac:dyDescent="0.3">
      <c r="B385" s="44" t="str">
        <f>IF(OR(LINEAS!$D$147="",LINEAS!$U$147=0,ABS(IF(OR(LINEAS!$U$147=1,LINEAS!$U$147=3),1,-1)*LINEAS!$AC$147*DATOS!$C$67)&lt;0.00005),"*",LINEAS!$D$147&amp;" UNI "&amp;IF(LINEAS!$U$147&lt;=2,"GZ","GX")&amp;" "&amp;TEXT(IF(OR(LINEAS!$U$147=1,LINEAS!$U$147=3),1,-1)*LINEAS!$AC$147*DATOS!$C$67,DATOS!$C$68))</f>
        <v>*</v>
      </c>
      <c r="C385" s="42" t="str">
        <f t="shared" si="10"/>
        <v/>
      </c>
      <c r="D385" s="44" t="str">
        <f>IF(PRESIONES!$C$22="NO","",IF(OR(LINEAS!$D$147="",LINEAS!$U$147=0,ABS(IF(OR(LINEAS!$U$147=1,LINEAS!$U$147=3),1,-1)*LINEAS!$AC$147*DATOS!$C$67)&lt;0.00005),"*",LINEAS!$D$147&amp;" UNI "&amp;IF(LINEAS!$U$147&lt;=2,"GZ","GX")&amp;" "&amp;TEXT(IF(OR(LINEAS!$U$147=1,LINEAS!$U$147=3),1,-1)*LINEAS!$AC$147*DATOS!$C$67,DATOS!$C$68)))</f>
        <v/>
      </c>
      <c r="E385" s="42" t="str">
        <f t="shared" si="11"/>
        <v/>
      </c>
    </row>
    <row r="386" spans="2:5" ht="15" customHeight="1" x14ac:dyDescent="0.3">
      <c r="B386" s="44" t="str">
        <f>IF(OR(LINEAS!$D$148="",LINEAS!$U$148=0,ABS(IF(OR(LINEAS!$U$148=1,LINEAS!$U$148=3),1,-1)*LINEAS!$AC$148*DATOS!$C$67)&lt;0.00005),"*",LINEAS!$D$148&amp;" UNI "&amp;IF(LINEAS!$U$148&lt;=2,"GZ","GX")&amp;" "&amp;TEXT(IF(OR(LINEAS!$U$148=1,LINEAS!$U$148=3),1,-1)*LINEAS!$AC$148*DATOS!$C$67,DATOS!$C$68))</f>
        <v>*</v>
      </c>
      <c r="C386" s="42" t="str">
        <f t="shared" si="10"/>
        <v/>
      </c>
      <c r="D386" s="44" t="str">
        <f>IF(PRESIONES!$C$22="NO","",IF(OR(LINEAS!$D$148="",LINEAS!$U$148=0,ABS(IF(OR(LINEAS!$U$148=1,LINEAS!$U$148=3),1,-1)*LINEAS!$AC$148*DATOS!$C$67)&lt;0.00005),"*",LINEAS!$D$148&amp;" UNI "&amp;IF(LINEAS!$U$148&lt;=2,"GZ","GX")&amp;" "&amp;TEXT(IF(OR(LINEAS!$U$148=1,LINEAS!$U$148=3),1,-1)*LINEAS!$AC$148*DATOS!$C$67,DATOS!$C$68)))</f>
        <v/>
      </c>
      <c r="E386" s="42" t="str">
        <f t="shared" si="11"/>
        <v/>
      </c>
    </row>
    <row r="387" spans="2:5" ht="15" customHeight="1" x14ac:dyDescent="0.3">
      <c r="B387" s="44" t="str">
        <f>IF(OR(LINEAS!$D$149="",LINEAS!$U$149=0,ABS(IF(OR(LINEAS!$U$149=1,LINEAS!$U$149=3),1,-1)*LINEAS!$AC$149*DATOS!$C$67)&lt;0.00005),"*",LINEAS!$D$149&amp;" UNI "&amp;IF(LINEAS!$U$149&lt;=2,"GZ","GX")&amp;" "&amp;TEXT(IF(OR(LINEAS!$U$149=1,LINEAS!$U$149=3),1,-1)*LINEAS!$AC$149*DATOS!$C$67,DATOS!$C$68))</f>
        <v>*</v>
      </c>
      <c r="C387" s="42" t="str">
        <f t="shared" si="10"/>
        <v/>
      </c>
      <c r="D387" s="44" t="str">
        <f>IF(PRESIONES!$C$22="NO","",IF(OR(LINEAS!$D$149="",LINEAS!$U$149=0,ABS(IF(OR(LINEAS!$U$149=1,LINEAS!$U$149=3),1,-1)*LINEAS!$AC$149*DATOS!$C$67)&lt;0.00005),"*",LINEAS!$D$149&amp;" UNI "&amp;IF(LINEAS!$U$149&lt;=2,"GZ","GX")&amp;" "&amp;TEXT(IF(OR(LINEAS!$U$149=1,LINEAS!$U$149=3),1,-1)*LINEAS!$AC$149*DATOS!$C$67,DATOS!$C$68)))</f>
        <v/>
      </c>
      <c r="E387" s="42" t="str">
        <f t="shared" si="11"/>
        <v/>
      </c>
    </row>
    <row r="388" spans="2:5" ht="15" customHeight="1" x14ac:dyDescent="0.3">
      <c r="B388" s="44" t="str">
        <f>IF(OR(LINEAS!$D$150="",LINEAS!$U$150=0,ABS(IF(OR(LINEAS!$U$150=1,LINEAS!$U$150=3),1,-1)*LINEAS!$AC$150*DATOS!$C$67)&lt;0.00005),"*",LINEAS!$D$150&amp;" UNI "&amp;IF(LINEAS!$U$150&lt;=2,"GZ","GX")&amp;" "&amp;TEXT(IF(OR(LINEAS!$U$150=1,LINEAS!$U$150=3),1,-1)*LINEAS!$AC$150*DATOS!$C$67,DATOS!$C$68))</f>
        <v>*</v>
      </c>
      <c r="C388" s="42" t="str">
        <f t="shared" si="10"/>
        <v/>
      </c>
      <c r="D388" s="44" t="str">
        <f>IF(PRESIONES!$C$22="NO","",IF(OR(LINEAS!$D$150="",LINEAS!$U$150=0,ABS(IF(OR(LINEAS!$U$150=1,LINEAS!$U$150=3),1,-1)*LINEAS!$AC$150*DATOS!$C$67)&lt;0.00005),"*",LINEAS!$D$150&amp;" UNI "&amp;IF(LINEAS!$U$150&lt;=2,"GZ","GX")&amp;" "&amp;TEXT(IF(OR(LINEAS!$U$150=1,LINEAS!$U$150=3),1,-1)*LINEAS!$AC$150*DATOS!$C$67,DATOS!$C$68)))</f>
        <v/>
      </c>
      <c r="E388" s="42" t="str">
        <f t="shared" si="11"/>
        <v/>
      </c>
    </row>
    <row r="389" spans="2:5" ht="15" customHeight="1" x14ac:dyDescent="0.3">
      <c r="B389" s="44" t="str">
        <f>IF(OR(LINEAS!$D$151="",LINEAS!$U$151=0,ABS(IF(OR(LINEAS!$U$151=1,LINEAS!$U$151=3),1,-1)*LINEAS!$AC$151*DATOS!$C$67)&lt;0.00005),"*",LINEAS!$D$151&amp;" UNI "&amp;IF(LINEAS!$U$151&lt;=2,"GZ","GX")&amp;" "&amp;TEXT(IF(OR(LINEAS!$U$151=1,LINEAS!$U$151=3),1,-1)*LINEAS!$AC$151*DATOS!$C$67,DATOS!$C$68))</f>
        <v>*</v>
      </c>
      <c r="C389" s="42" t="str">
        <f t="shared" si="10"/>
        <v/>
      </c>
      <c r="D389" s="44" t="str">
        <f>IF(PRESIONES!$C$22="NO","",IF(OR(LINEAS!$D$151="",LINEAS!$U$151=0,ABS(IF(OR(LINEAS!$U$151=1,LINEAS!$U$151=3),1,-1)*LINEAS!$AC$151*DATOS!$C$67)&lt;0.00005),"*",LINEAS!$D$151&amp;" UNI "&amp;IF(LINEAS!$U$151&lt;=2,"GZ","GX")&amp;" "&amp;TEXT(IF(OR(LINEAS!$U$151=1,LINEAS!$U$151=3),1,-1)*LINEAS!$AC$151*DATOS!$C$67,DATOS!$C$68)))</f>
        <v/>
      </c>
      <c r="E389" s="42" t="str">
        <f t="shared" si="11"/>
        <v/>
      </c>
    </row>
    <row r="390" spans="2:5" ht="15" customHeight="1" x14ac:dyDescent="0.3">
      <c r="B390" s="44" t="str">
        <f>IF(OR(LINEAS!$D$152="",LINEAS!$U$152=0,ABS(IF(OR(LINEAS!$U$152=1,LINEAS!$U$152=3),1,-1)*LINEAS!$AC$152*DATOS!$C$67)&lt;0.00005),"*",LINEAS!$D$152&amp;" UNI "&amp;IF(LINEAS!$U$152&lt;=2,"GZ","GX")&amp;" "&amp;TEXT(IF(OR(LINEAS!$U$152=1,LINEAS!$U$152=3),1,-1)*LINEAS!$AC$152*DATOS!$C$67,DATOS!$C$68))</f>
        <v>*</v>
      </c>
      <c r="C390" s="42" t="str">
        <f t="shared" si="10"/>
        <v/>
      </c>
      <c r="D390" s="44" t="str">
        <f>IF(PRESIONES!$C$22="NO","",IF(OR(LINEAS!$D$152="",LINEAS!$U$152=0,ABS(IF(OR(LINEAS!$U$152=1,LINEAS!$U$152=3),1,-1)*LINEAS!$AC$152*DATOS!$C$67)&lt;0.00005),"*",LINEAS!$D$152&amp;" UNI "&amp;IF(LINEAS!$U$152&lt;=2,"GZ","GX")&amp;" "&amp;TEXT(IF(OR(LINEAS!$U$152=1,LINEAS!$U$152=3),1,-1)*LINEAS!$AC$152*DATOS!$C$67,DATOS!$C$68)))</f>
        <v/>
      </c>
      <c r="E390" s="42" t="str">
        <f t="shared" si="11"/>
        <v/>
      </c>
    </row>
    <row r="391" spans="2:5" ht="15" customHeight="1" x14ac:dyDescent="0.3">
      <c r="B391" s="44" t="str">
        <f>IF(OR(LINEAS!$D$153="",LINEAS!$U$153=0,ABS(IF(OR(LINEAS!$U$153=1,LINEAS!$U$153=3),1,-1)*LINEAS!$AC$153*DATOS!$C$67)&lt;0.00005),"*",LINEAS!$D$153&amp;" UNI "&amp;IF(LINEAS!$U$153&lt;=2,"GZ","GX")&amp;" "&amp;TEXT(IF(OR(LINEAS!$U$153=1,LINEAS!$U$153=3),1,-1)*LINEAS!$AC$153*DATOS!$C$67,DATOS!$C$68))</f>
        <v>*</v>
      </c>
      <c r="C391" s="42" t="str">
        <f t="shared" si="10"/>
        <v/>
      </c>
      <c r="D391" s="44" t="str">
        <f>IF(PRESIONES!$C$22="NO","",IF(OR(LINEAS!$D$153="",LINEAS!$U$153=0,ABS(IF(OR(LINEAS!$U$153=1,LINEAS!$U$153=3),1,-1)*LINEAS!$AC$153*DATOS!$C$67)&lt;0.00005),"*",LINEAS!$D$153&amp;" UNI "&amp;IF(LINEAS!$U$153&lt;=2,"GZ","GX")&amp;" "&amp;TEXT(IF(OR(LINEAS!$U$153=1,LINEAS!$U$153=3),1,-1)*LINEAS!$AC$153*DATOS!$C$67,DATOS!$C$68)))</f>
        <v/>
      </c>
      <c r="E391" s="42" t="str">
        <f t="shared" si="11"/>
        <v/>
      </c>
    </row>
    <row r="392" spans="2:5" ht="15" customHeight="1" x14ac:dyDescent="0.3">
      <c r="B392" s="44" t="str">
        <f>IF(OR(LINEAS!$D$154="",LINEAS!$U$154=0,ABS(IF(OR(LINEAS!$U$154=1,LINEAS!$U$154=3),1,-1)*LINEAS!$AC$154*DATOS!$C$67)&lt;0.00005),"*",LINEAS!$D$154&amp;" UNI "&amp;IF(LINEAS!$U$154&lt;=2,"GZ","GX")&amp;" "&amp;TEXT(IF(OR(LINEAS!$U$154=1,LINEAS!$U$154=3),1,-1)*LINEAS!$AC$154*DATOS!$C$67,DATOS!$C$68))</f>
        <v>*</v>
      </c>
      <c r="C392" s="42" t="str">
        <f t="shared" si="10"/>
        <v/>
      </c>
      <c r="D392" s="44" t="str">
        <f>IF(PRESIONES!$C$22="NO","",IF(OR(LINEAS!$D$154="",LINEAS!$U$154=0,ABS(IF(OR(LINEAS!$U$154=1,LINEAS!$U$154=3),1,-1)*LINEAS!$AC$154*DATOS!$C$67)&lt;0.00005),"*",LINEAS!$D$154&amp;" UNI "&amp;IF(LINEAS!$U$154&lt;=2,"GZ","GX")&amp;" "&amp;TEXT(IF(OR(LINEAS!$U$154=1,LINEAS!$U$154=3),1,-1)*LINEAS!$AC$154*DATOS!$C$67,DATOS!$C$68)))</f>
        <v/>
      </c>
      <c r="E392" s="42" t="str">
        <f t="shared" si="11"/>
        <v/>
      </c>
    </row>
    <row r="393" spans="2:5" ht="15" customHeight="1" x14ac:dyDescent="0.3">
      <c r="B393" s="44" t="str">
        <f>IF(OR(LINEAS!$D$155="",LINEAS!$U$155=0,ABS(IF(OR(LINEAS!$U$155=1,LINEAS!$U$155=3),1,-1)*LINEAS!$AC$155*DATOS!$C$67)&lt;0.00005),"*",LINEAS!$D$155&amp;" UNI "&amp;IF(LINEAS!$U$155&lt;=2,"GZ","GX")&amp;" "&amp;TEXT(IF(OR(LINEAS!$U$155=1,LINEAS!$U$155=3),1,-1)*LINEAS!$AC$155*DATOS!$C$67,DATOS!$C$68))</f>
        <v>*</v>
      </c>
      <c r="C393" s="42" t="str">
        <f t="shared" ref="C393:C456" si="12">IF(LEN($B393)&gt;79,"MÁS DE 79 CARACTERES","")</f>
        <v/>
      </c>
      <c r="D393" s="44" t="str">
        <f>IF(PRESIONES!$C$22="NO","",IF(OR(LINEAS!$D$155="",LINEAS!$U$155=0,ABS(IF(OR(LINEAS!$U$155=1,LINEAS!$U$155=3),1,-1)*LINEAS!$AC$155*DATOS!$C$67)&lt;0.00005),"*",LINEAS!$D$155&amp;" UNI "&amp;IF(LINEAS!$U$155&lt;=2,"GZ","GX")&amp;" "&amp;TEXT(IF(OR(LINEAS!$U$155=1,LINEAS!$U$155=3),1,-1)*LINEAS!$AC$155*DATOS!$C$67,DATOS!$C$68)))</f>
        <v/>
      </c>
      <c r="E393" s="42" t="str">
        <f t="shared" ref="E393:E456" si="13">IF(LEN($D393)&gt;79,"MÁS DE 79 CARACTERES","")</f>
        <v/>
      </c>
    </row>
    <row r="394" spans="2:5" ht="15" customHeight="1" x14ac:dyDescent="0.3">
      <c r="B394" s="44" t="str">
        <f>IF(OR(LINEAS!$D$156="",LINEAS!$U$156=0,ABS(IF(OR(LINEAS!$U$156=1,LINEAS!$U$156=3),1,-1)*LINEAS!$AC$156*DATOS!$C$67)&lt;0.00005),"*",LINEAS!$D$156&amp;" UNI "&amp;IF(LINEAS!$U$156&lt;=2,"GZ","GX")&amp;" "&amp;TEXT(IF(OR(LINEAS!$U$156=1,LINEAS!$U$156=3),1,-1)*LINEAS!$AC$156*DATOS!$C$67,DATOS!$C$68))</f>
        <v>*</v>
      </c>
      <c r="C394" s="42" t="str">
        <f t="shared" si="12"/>
        <v/>
      </c>
      <c r="D394" s="44" t="str">
        <f>IF(PRESIONES!$C$22="NO","",IF(OR(LINEAS!$D$156="",LINEAS!$U$156=0,ABS(IF(OR(LINEAS!$U$156=1,LINEAS!$U$156=3),1,-1)*LINEAS!$AC$156*DATOS!$C$67)&lt;0.00005),"*",LINEAS!$D$156&amp;" UNI "&amp;IF(LINEAS!$U$156&lt;=2,"GZ","GX")&amp;" "&amp;TEXT(IF(OR(LINEAS!$U$156=1,LINEAS!$U$156=3),1,-1)*LINEAS!$AC$156*DATOS!$C$67,DATOS!$C$68)))</f>
        <v/>
      </c>
      <c r="E394" s="42" t="str">
        <f t="shared" si="13"/>
        <v/>
      </c>
    </row>
    <row r="395" spans="2:5" ht="15" customHeight="1" x14ac:dyDescent="0.3">
      <c r="B395" s="44" t="str">
        <f>IF(OR(LINEAS!$D$157="",LINEAS!$U$157=0,ABS(IF(OR(LINEAS!$U$157=1,LINEAS!$U$157=3),1,-1)*LINEAS!$AC$157*DATOS!$C$67)&lt;0.00005),"*",LINEAS!$D$157&amp;" UNI "&amp;IF(LINEAS!$U$157&lt;=2,"GZ","GX")&amp;" "&amp;TEXT(IF(OR(LINEAS!$U$157=1,LINEAS!$U$157=3),1,-1)*LINEAS!$AC$157*DATOS!$C$67,DATOS!$C$68))</f>
        <v>*</v>
      </c>
      <c r="C395" s="42" t="str">
        <f t="shared" si="12"/>
        <v/>
      </c>
      <c r="D395" s="44" t="str">
        <f>IF(PRESIONES!$C$22="NO","",IF(OR(LINEAS!$D$157="",LINEAS!$U$157=0,ABS(IF(OR(LINEAS!$U$157=1,LINEAS!$U$157=3),1,-1)*LINEAS!$AC$157*DATOS!$C$67)&lt;0.00005),"*",LINEAS!$D$157&amp;" UNI "&amp;IF(LINEAS!$U$157&lt;=2,"GZ","GX")&amp;" "&amp;TEXT(IF(OR(LINEAS!$U$157=1,LINEAS!$U$157=3),1,-1)*LINEAS!$AC$157*DATOS!$C$67,DATOS!$C$68)))</f>
        <v/>
      </c>
      <c r="E395" s="42" t="str">
        <f t="shared" si="13"/>
        <v/>
      </c>
    </row>
    <row r="396" spans="2:5" ht="15" customHeight="1" x14ac:dyDescent="0.3">
      <c r="B396" s="44" t="str">
        <f>IF(OR(LINEAS!$D$158="",LINEAS!$U$158=0,ABS(IF(OR(LINEAS!$U$158=1,LINEAS!$U$158=3),1,-1)*LINEAS!$AC$158*DATOS!$C$67)&lt;0.00005),"*",LINEAS!$D$158&amp;" UNI "&amp;IF(LINEAS!$U$158&lt;=2,"GZ","GX")&amp;" "&amp;TEXT(IF(OR(LINEAS!$U$158=1,LINEAS!$U$158=3),1,-1)*LINEAS!$AC$158*DATOS!$C$67,DATOS!$C$68))</f>
        <v>*</v>
      </c>
      <c r="C396" s="42" t="str">
        <f t="shared" si="12"/>
        <v/>
      </c>
      <c r="D396" s="44" t="str">
        <f>IF(PRESIONES!$C$22="NO","",IF(OR(LINEAS!$D$158="",LINEAS!$U$158=0,ABS(IF(OR(LINEAS!$U$158=1,LINEAS!$U$158=3),1,-1)*LINEAS!$AC$158*DATOS!$C$67)&lt;0.00005),"*",LINEAS!$D$158&amp;" UNI "&amp;IF(LINEAS!$U$158&lt;=2,"GZ","GX")&amp;" "&amp;TEXT(IF(OR(LINEAS!$U$158=1,LINEAS!$U$158=3),1,-1)*LINEAS!$AC$158*DATOS!$C$67,DATOS!$C$68)))</f>
        <v/>
      </c>
      <c r="E396" s="42" t="str">
        <f t="shared" si="13"/>
        <v/>
      </c>
    </row>
    <row r="397" spans="2:5" ht="15" customHeight="1" x14ac:dyDescent="0.3">
      <c r="B397" s="44" t="str">
        <f>IF(OR(LINEAS!$D$159="",LINEAS!$U$159=0,ABS(IF(OR(LINEAS!$U$159=1,LINEAS!$U$159=3),1,-1)*LINEAS!$AC$159*DATOS!$C$67)&lt;0.00005),"*",LINEAS!$D$159&amp;" UNI "&amp;IF(LINEAS!$U$159&lt;=2,"GZ","GX")&amp;" "&amp;TEXT(IF(OR(LINEAS!$U$159=1,LINEAS!$U$159=3),1,-1)*LINEAS!$AC$159*DATOS!$C$67,DATOS!$C$68))</f>
        <v>*</v>
      </c>
      <c r="C397" s="42" t="str">
        <f t="shared" si="12"/>
        <v/>
      </c>
      <c r="D397" s="44" t="str">
        <f>IF(PRESIONES!$C$22="NO","",IF(OR(LINEAS!$D$159="",LINEAS!$U$159=0,ABS(IF(OR(LINEAS!$U$159=1,LINEAS!$U$159=3),1,-1)*LINEAS!$AC$159*DATOS!$C$67)&lt;0.00005),"*",LINEAS!$D$159&amp;" UNI "&amp;IF(LINEAS!$U$159&lt;=2,"GZ","GX")&amp;" "&amp;TEXT(IF(OR(LINEAS!$U$159=1,LINEAS!$U$159=3),1,-1)*LINEAS!$AC$159*DATOS!$C$67,DATOS!$C$68)))</f>
        <v/>
      </c>
      <c r="E397" s="42" t="str">
        <f t="shared" si="13"/>
        <v/>
      </c>
    </row>
    <row r="398" spans="2:5" ht="15" customHeight="1" x14ac:dyDescent="0.3">
      <c r="B398" s="44" t="str">
        <f>IF(OR(LINEAS!$D$160="",LINEAS!$U$160=0,ABS(IF(OR(LINEAS!$U$160=1,LINEAS!$U$160=3),1,-1)*LINEAS!$AC$160*DATOS!$C$67)&lt;0.00005),"*",LINEAS!$D$160&amp;" UNI "&amp;IF(LINEAS!$U$160&lt;=2,"GZ","GX")&amp;" "&amp;TEXT(IF(OR(LINEAS!$U$160=1,LINEAS!$U$160=3),1,-1)*LINEAS!$AC$160*DATOS!$C$67,DATOS!$C$68))</f>
        <v>*</v>
      </c>
      <c r="C398" s="42" t="str">
        <f t="shared" si="12"/>
        <v/>
      </c>
      <c r="D398" s="44" t="str">
        <f>IF(PRESIONES!$C$22="NO","",IF(OR(LINEAS!$D$160="",LINEAS!$U$160=0,ABS(IF(OR(LINEAS!$U$160=1,LINEAS!$U$160=3),1,-1)*LINEAS!$AC$160*DATOS!$C$67)&lt;0.00005),"*",LINEAS!$D$160&amp;" UNI "&amp;IF(LINEAS!$U$160&lt;=2,"GZ","GX")&amp;" "&amp;TEXT(IF(OR(LINEAS!$U$160=1,LINEAS!$U$160=3),1,-1)*LINEAS!$AC$160*DATOS!$C$67,DATOS!$C$68)))</f>
        <v/>
      </c>
      <c r="E398" s="42" t="str">
        <f t="shared" si="13"/>
        <v/>
      </c>
    </row>
    <row r="399" spans="2:5" ht="15" customHeight="1" x14ac:dyDescent="0.3">
      <c r="B399" s="44" t="str">
        <f>IF(OR(LINEAS!$D$161="",LINEAS!$U$161=0,ABS(IF(OR(LINEAS!$U$161=1,LINEAS!$U$161=3),1,-1)*LINEAS!$AC$161*DATOS!$C$67)&lt;0.00005),"*",LINEAS!$D$161&amp;" UNI "&amp;IF(LINEAS!$U$161&lt;=2,"GZ","GX")&amp;" "&amp;TEXT(IF(OR(LINEAS!$U$161=1,LINEAS!$U$161=3),1,-1)*LINEAS!$AC$161*DATOS!$C$67,DATOS!$C$68))</f>
        <v>*</v>
      </c>
      <c r="C399" s="42" t="str">
        <f t="shared" si="12"/>
        <v/>
      </c>
      <c r="D399" s="44" t="str">
        <f>IF(PRESIONES!$C$22="NO","",IF(OR(LINEAS!$D$161="",LINEAS!$U$161=0,ABS(IF(OR(LINEAS!$U$161=1,LINEAS!$U$161=3),1,-1)*LINEAS!$AC$161*DATOS!$C$67)&lt;0.00005),"*",LINEAS!$D$161&amp;" UNI "&amp;IF(LINEAS!$U$161&lt;=2,"GZ","GX")&amp;" "&amp;TEXT(IF(OR(LINEAS!$U$161=1,LINEAS!$U$161=3),1,-1)*LINEAS!$AC$161*DATOS!$C$67,DATOS!$C$68)))</f>
        <v/>
      </c>
      <c r="E399" s="42" t="str">
        <f t="shared" si="13"/>
        <v/>
      </c>
    </row>
    <row r="400" spans="2:5" ht="15" customHeight="1" x14ac:dyDescent="0.3">
      <c r="B400" s="44" t="str">
        <f>IF(OR(LINEAS!$D$162="",LINEAS!$U$162=0,ABS(IF(OR(LINEAS!$U$162=1,LINEAS!$U$162=3),1,-1)*LINEAS!$AC$162*DATOS!$C$67)&lt;0.00005),"*",LINEAS!$D$162&amp;" UNI "&amp;IF(LINEAS!$U$162&lt;=2,"GZ","GX")&amp;" "&amp;TEXT(IF(OR(LINEAS!$U$162=1,LINEAS!$U$162=3),1,-1)*LINEAS!$AC$162*DATOS!$C$67,DATOS!$C$68))</f>
        <v>*</v>
      </c>
      <c r="C400" s="42" t="str">
        <f t="shared" si="12"/>
        <v/>
      </c>
      <c r="D400" s="44" t="str">
        <f>IF(PRESIONES!$C$22="NO","",IF(OR(LINEAS!$D$162="",LINEAS!$U$162=0,ABS(IF(OR(LINEAS!$U$162=1,LINEAS!$U$162=3),1,-1)*LINEAS!$AC$162*DATOS!$C$67)&lt;0.00005),"*",LINEAS!$D$162&amp;" UNI "&amp;IF(LINEAS!$U$162&lt;=2,"GZ","GX")&amp;" "&amp;TEXT(IF(OR(LINEAS!$U$162=1,LINEAS!$U$162=3),1,-1)*LINEAS!$AC$162*DATOS!$C$67,DATOS!$C$68)))</f>
        <v/>
      </c>
      <c r="E400" s="42" t="str">
        <f t="shared" si="13"/>
        <v/>
      </c>
    </row>
    <row r="401" spans="2:5" ht="15" customHeight="1" x14ac:dyDescent="0.3">
      <c r="B401" s="44" t="str">
        <f>IF(OR(LINEAS!$D$163="",LINEAS!$U$163=0,ABS(IF(OR(LINEAS!$U$163=1,LINEAS!$U$163=3),1,-1)*LINEAS!$AC$163*DATOS!$C$67)&lt;0.00005),"*",LINEAS!$D$163&amp;" UNI "&amp;IF(LINEAS!$U$163&lt;=2,"GZ","GX")&amp;" "&amp;TEXT(IF(OR(LINEAS!$U$163=1,LINEAS!$U$163=3),1,-1)*LINEAS!$AC$163*DATOS!$C$67,DATOS!$C$68))</f>
        <v>*</v>
      </c>
      <c r="C401" s="42" t="str">
        <f t="shared" si="12"/>
        <v/>
      </c>
      <c r="D401" s="44" t="str">
        <f>IF(PRESIONES!$C$22="NO","",IF(OR(LINEAS!$D$163="",LINEAS!$U$163=0,ABS(IF(OR(LINEAS!$U$163=1,LINEAS!$U$163=3),1,-1)*LINEAS!$AC$163*DATOS!$C$67)&lt;0.00005),"*",LINEAS!$D$163&amp;" UNI "&amp;IF(LINEAS!$U$163&lt;=2,"GZ","GX")&amp;" "&amp;TEXT(IF(OR(LINEAS!$U$163=1,LINEAS!$U$163=3),1,-1)*LINEAS!$AC$163*DATOS!$C$67,DATOS!$C$68)))</f>
        <v/>
      </c>
      <c r="E401" s="42" t="str">
        <f t="shared" si="13"/>
        <v/>
      </c>
    </row>
    <row r="402" spans="2:5" ht="15" customHeight="1" x14ac:dyDescent="0.3">
      <c r="B402" s="44" t="str">
        <f>IF(OR(LINEAS!$D$164="",LINEAS!$U$164=0,ABS(IF(OR(LINEAS!$U$164=1,LINEAS!$U$164=3),1,-1)*LINEAS!$AC$164*DATOS!$C$67)&lt;0.00005),"*",LINEAS!$D$164&amp;" UNI "&amp;IF(LINEAS!$U$164&lt;=2,"GZ","GX")&amp;" "&amp;TEXT(IF(OR(LINEAS!$U$164=1,LINEAS!$U$164=3),1,-1)*LINEAS!$AC$164*DATOS!$C$67,DATOS!$C$68))</f>
        <v>*</v>
      </c>
      <c r="C402" s="42" t="str">
        <f t="shared" si="12"/>
        <v/>
      </c>
      <c r="D402" s="44" t="str">
        <f>IF(PRESIONES!$C$22="NO","",IF(OR(LINEAS!$D$164="",LINEAS!$U$164=0,ABS(IF(OR(LINEAS!$U$164=1,LINEAS!$U$164=3),1,-1)*LINEAS!$AC$164*DATOS!$C$67)&lt;0.00005),"*",LINEAS!$D$164&amp;" UNI "&amp;IF(LINEAS!$U$164&lt;=2,"GZ","GX")&amp;" "&amp;TEXT(IF(OR(LINEAS!$U$164=1,LINEAS!$U$164=3),1,-1)*LINEAS!$AC$164*DATOS!$C$67,DATOS!$C$68)))</f>
        <v/>
      </c>
      <c r="E402" s="42" t="str">
        <f t="shared" si="13"/>
        <v/>
      </c>
    </row>
    <row r="403" spans="2:5" ht="15" customHeight="1" x14ac:dyDescent="0.3">
      <c r="B403" s="44" t="str">
        <f>IF(OR(LINEAS!$D$165="",LINEAS!$U$165=0,ABS(IF(OR(LINEAS!$U$165=1,LINEAS!$U$165=3),1,-1)*LINEAS!$AC$165*DATOS!$C$67)&lt;0.00005),"*",LINEAS!$D$165&amp;" UNI "&amp;IF(LINEAS!$U$165&lt;=2,"GZ","GX")&amp;" "&amp;TEXT(IF(OR(LINEAS!$U$165=1,LINEAS!$U$165=3),1,-1)*LINEAS!$AC$165*DATOS!$C$67,DATOS!$C$68))</f>
        <v>*</v>
      </c>
      <c r="C403" s="42" t="str">
        <f t="shared" si="12"/>
        <v/>
      </c>
      <c r="D403" s="44" t="str">
        <f>IF(PRESIONES!$C$22="NO","",IF(OR(LINEAS!$D$165="",LINEAS!$U$165=0,ABS(IF(OR(LINEAS!$U$165=1,LINEAS!$U$165=3),1,-1)*LINEAS!$AC$165*DATOS!$C$67)&lt;0.00005),"*",LINEAS!$D$165&amp;" UNI "&amp;IF(LINEAS!$U$165&lt;=2,"GZ","GX")&amp;" "&amp;TEXT(IF(OR(LINEAS!$U$165=1,LINEAS!$U$165=3),1,-1)*LINEAS!$AC$165*DATOS!$C$67,DATOS!$C$68)))</f>
        <v/>
      </c>
      <c r="E403" s="42" t="str">
        <f t="shared" si="13"/>
        <v/>
      </c>
    </row>
    <row r="404" spans="2:5" ht="15" customHeight="1" x14ac:dyDescent="0.3">
      <c r="B404" s="44" t="str">
        <f>IF(OR(LINEAS!$D$166="",LINEAS!$U$166=0,ABS(IF(OR(LINEAS!$U$166=1,LINEAS!$U$166=3),1,-1)*LINEAS!$AC$166*DATOS!$C$67)&lt;0.00005),"*",LINEAS!$D$166&amp;" UNI "&amp;IF(LINEAS!$U$166&lt;=2,"GZ","GX")&amp;" "&amp;TEXT(IF(OR(LINEAS!$U$166=1,LINEAS!$U$166=3),1,-1)*LINEAS!$AC$166*DATOS!$C$67,DATOS!$C$68))</f>
        <v>*</v>
      </c>
      <c r="C404" s="42" t="str">
        <f t="shared" si="12"/>
        <v/>
      </c>
      <c r="D404" s="44" t="str">
        <f>IF(PRESIONES!$C$22="NO","",IF(OR(LINEAS!$D$166="",LINEAS!$U$166=0,ABS(IF(OR(LINEAS!$U$166=1,LINEAS!$U$166=3),1,-1)*LINEAS!$AC$166*DATOS!$C$67)&lt;0.00005),"*",LINEAS!$D$166&amp;" UNI "&amp;IF(LINEAS!$U$166&lt;=2,"GZ","GX")&amp;" "&amp;TEXT(IF(OR(LINEAS!$U$166=1,LINEAS!$U$166=3),1,-1)*LINEAS!$AC$166*DATOS!$C$67,DATOS!$C$68)))</f>
        <v/>
      </c>
      <c r="E404" s="42" t="str">
        <f t="shared" si="13"/>
        <v/>
      </c>
    </row>
    <row r="405" spans="2:5" ht="15" customHeight="1" x14ac:dyDescent="0.3">
      <c r="B405" s="44" t="str">
        <f>IF(OR(LINEAS!$D$167="",LINEAS!$U$167=0,ABS(IF(OR(LINEAS!$U$167=1,LINEAS!$U$167=3),1,-1)*LINEAS!$AC$167*DATOS!$C$67)&lt;0.00005),"*",LINEAS!$D$167&amp;" UNI "&amp;IF(LINEAS!$U$167&lt;=2,"GZ","GX")&amp;" "&amp;TEXT(IF(OR(LINEAS!$U$167=1,LINEAS!$U$167=3),1,-1)*LINEAS!$AC$167*DATOS!$C$67,DATOS!$C$68))</f>
        <v>*</v>
      </c>
      <c r="C405" s="42" t="str">
        <f t="shared" si="12"/>
        <v/>
      </c>
      <c r="D405" s="44" t="str">
        <f>IF(PRESIONES!$C$22="NO","",IF(OR(LINEAS!$D$167="",LINEAS!$U$167=0,ABS(IF(OR(LINEAS!$U$167=1,LINEAS!$U$167=3),1,-1)*LINEAS!$AC$167*DATOS!$C$67)&lt;0.00005),"*",LINEAS!$D$167&amp;" UNI "&amp;IF(LINEAS!$U$167&lt;=2,"GZ","GX")&amp;" "&amp;TEXT(IF(OR(LINEAS!$U$167=1,LINEAS!$U$167=3),1,-1)*LINEAS!$AC$167*DATOS!$C$67,DATOS!$C$68)))</f>
        <v/>
      </c>
      <c r="E405" s="42" t="str">
        <f t="shared" si="13"/>
        <v/>
      </c>
    </row>
    <row r="406" spans="2:5" ht="15" customHeight="1" x14ac:dyDescent="0.3">
      <c r="B406" s="44" t="str">
        <f>IF(OR(LINEAS!$D$168="",LINEAS!$U$168=0,ABS(IF(OR(LINEAS!$U$168=1,LINEAS!$U$168=3),1,-1)*LINEAS!$AC$168*DATOS!$C$67)&lt;0.00005),"*",LINEAS!$D$168&amp;" UNI "&amp;IF(LINEAS!$U$168&lt;=2,"GZ","GX")&amp;" "&amp;TEXT(IF(OR(LINEAS!$U$168=1,LINEAS!$U$168=3),1,-1)*LINEAS!$AC$168*DATOS!$C$67,DATOS!$C$68))</f>
        <v>*</v>
      </c>
      <c r="C406" s="42" t="str">
        <f t="shared" si="12"/>
        <v/>
      </c>
      <c r="D406" s="44" t="str">
        <f>IF(PRESIONES!$C$22="NO","",IF(OR(LINEAS!$D$168="",LINEAS!$U$168=0,ABS(IF(OR(LINEAS!$U$168=1,LINEAS!$U$168=3),1,-1)*LINEAS!$AC$168*DATOS!$C$67)&lt;0.00005),"*",LINEAS!$D$168&amp;" UNI "&amp;IF(LINEAS!$U$168&lt;=2,"GZ","GX")&amp;" "&amp;TEXT(IF(OR(LINEAS!$U$168=1,LINEAS!$U$168=3),1,-1)*LINEAS!$AC$168*DATOS!$C$67,DATOS!$C$68)))</f>
        <v/>
      </c>
      <c r="E406" s="42" t="str">
        <f t="shared" si="13"/>
        <v/>
      </c>
    </row>
    <row r="407" spans="2:5" ht="15" customHeight="1" x14ac:dyDescent="0.3">
      <c r="B407" s="44" t="str">
        <f>IF(OR(LINEAS!$D$169="",LINEAS!$U$169=0,ABS(IF(OR(LINEAS!$U$169=1,LINEAS!$U$169=3),1,-1)*LINEAS!$AC$169*DATOS!$C$67)&lt;0.00005),"*",LINEAS!$D$169&amp;" UNI "&amp;IF(LINEAS!$U$169&lt;=2,"GZ","GX")&amp;" "&amp;TEXT(IF(OR(LINEAS!$U$169=1,LINEAS!$U$169=3),1,-1)*LINEAS!$AC$169*DATOS!$C$67,DATOS!$C$68))</f>
        <v>*</v>
      </c>
      <c r="C407" s="42" t="str">
        <f t="shared" si="12"/>
        <v/>
      </c>
      <c r="D407" s="44" t="str">
        <f>IF(PRESIONES!$C$22="NO","",IF(OR(LINEAS!$D$169="",LINEAS!$U$169=0,ABS(IF(OR(LINEAS!$U$169=1,LINEAS!$U$169=3),1,-1)*LINEAS!$AC$169*DATOS!$C$67)&lt;0.00005),"*",LINEAS!$D$169&amp;" UNI "&amp;IF(LINEAS!$U$169&lt;=2,"GZ","GX")&amp;" "&amp;TEXT(IF(OR(LINEAS!$U$169=1,LINEAS!$U$169=3),1,-1)*LINEAS!$AC$169*DATOS!$C$67,DATOS!$C$68)))</f>
        <v/>
      </c>
      <c r="E407" s="42" t="str">
        <f t="shared" si="13"/>
        <v/>
      </c>
    </row>
    <row r="408" spans="2:5" ht="15" customHeight="1" x14ac:dyDescent="0.3">
      <c r="B408" s="44" t="str">
        <f>IF(OR(LINEAS!$D$170="",LINEAS!$U$170=0,ABS(IF(OR(LINEAS!$U$170=1,LINEAS!$U$170=3),1,-1)*LINEAS!$AC$170*DATOS!$C$67)&lt;0.00005),"*",LINEAS!$D$170&amp;" UNI "&amp;IF(LINEAS!$U$170&lt;=2,"GZ","GX")&amp;" "&amp;TEXT(IF(OR(LINEAS!$U$170=1,LINEAS!$U$170=3),1,-1)*LINEAS!$AC$170*DATOS!$C$67,DATOS!$C$68))</f>
        <v>*</v>
      </c>
      <c r="C408" s="42" t="str">
        <f t="shared" si="12"/>
        <v/>
      </c>
      <c r="D408" s="44" t="str">
        <f>IF(PRESIONES!$C$22="NO","",IF(OR(LINEAS!$D$170="",LINEAS!$U$170=0,ABS(IF(OR(LINEAS!$U$170=1,LINEAS!$U$170=3),1,-1)*LINEAS!$AC$170*DATOS!$C$67)&lt;0.00005),"*",LINEAS!$D$170&amp;" UNI "&amp;IF(LINEAS!$U$170&lt;=2,"GZ","GX")&amp;" "&amp;TEXT(IF(OR(LINEAS!$U$170=1,LINEAS!$U$170=3),1,-1)*LINEAS!$AC$170*DATOS!$C$67,DATOS!$C$68)))</f>
        <v/>
      </c>
      <c r="E408" s="42" t="str">
        <f t="shared" si="13"/>
        <v/>
      </c>
    </row>
    <row r="409" spans="2:5" ht="15" customHeight="1" x14ac:dyDescent="0.3">
      <c r="B409" s="44" t="str">
        <f>IF(OR(LINEAS!$D$171="",LINEAS!$U$171=0,ABS(IF(OR(LINEAS!$U$171=1,LINEAS!$U$171=3),1,-1)*LINEAS!$AC$171*DATOS!$C$67)&lt;0.00005),"*",LINEAS!$D$171&amp;" UNI "&amp;IF(LINEAS!$U$171&lt;=2,"GZ","GX")&amp;" "&amp;TEXT(IF(OR(LINEAS!$U$171=1,LINEAS!$U$171=3),1,-1)*LINEAS!$AC$171*DATOS!$C$67,DATOS!$C$68))</f>
        <v>*</v>
      </c>
      <c r="C409" s="42" t="str">
        <f t="shared" si="12"/>
        <v/>
      </c>
      <c r="D409" s="44" t="str">
        <f>IF(PRESIONES!$C$22="NO","",IF(OR(LINEAS!$D$171="",LINEAS!$U$171=0,ABS(IF(OR(LINEAS!$U$171=1,LINEAS!$U$171=3),1,-1)*LINEAS!$AC$171*DATOS!$C$67)&lt;0.00005),"*",LINEAS!$D$171&amp;" UNI "&amp;IF(LINEAS!$U$171&lt;=2,"GZ","GX")&amp;" "&amp;TEXT(IF(OR(LINEAS!$U$171=1,LINEAS!$U$171=3),1,-1)*LINEAS!$AC$171*DATOS!$C$67,DATOS!$C$68)))</f>
        <v/>
      </c>
      <c r="E409" s="42" t="str">
        <f t="shared" si="13"/>
        <v/>
      </c>
    </row>
    <row r="410" spans="2:5" ht="15" customHeight="1" x14ac:dyDescent="0.3">
      <c r="B410" s="44" t="str">
        <f>IF(OR(LINEAS!$D$172="",LINEAS!$U$172=0,ABS(IF(OR(LINEAS!$U$172=1,LINEAS!$U$172=3),1,-1)*LINEAS!$AC$172*DATOS!$C$67)&lt;0.00005),"*",LINEAS!$D$172&amp;" UNI "&amp;IF(LINEAS!$U$172&lt;=2,"GZ","GX")&amp;" "&amp;TEXT(IF(OR(LINEAS!$U$172=1,LINEAS!$U$172=3),1,-1)*LINEAS!$AC$172*DATOS!$C$67,DATOS!$C$68))</f>
        <v>*</v>
      </c>
      <c r="C410" s="42" t="str">
        <f t="shared" si="12"/>
        <v/>
      </c>
      <c r="D410" s="44" t="str">
        <f>IF(PRESIONES!$C$22="NO","",IF(OR(LINEAS!$D$172="",LINEAS!$U$172=0,ABS(IF(OR(LINEAS!$U$172=1,LINEAS!$U$172=3),1,-1)*LINEAS!$AC$172*DATOS!$C$67)&lt;0.00005),"*",LINEAS!$D$172&amp;" UNI "&amp;IF(LINEAS!$U$172&lt;=2,"GZ","GX")&amp;" "&amp;TEXT(IF(OR(LINEAS!$U$172=1,LINEAS!$U$172=3),1,-1)*LINEAS!$AC$172*DATOS!$C$67,DATOS!$C$68)))</f>
        <v/>
      </c>
      <c r="E410" s="42" t="str">
        <f t="shared" si="13"/>
        <v/>
      </c>
    </row>
    <row r="411" spans="2:5" ht="15" customHeight="1" x14ac:dyDescent="0.3">
      <c r="B411" s="44" t="str">
        <f>IF(OR(LINEAS!$D$173="",LINEAS!$U$173=0,ABS(IF(OR(LINEAS!$U$173=1,LINEAS!$U$173=3),1,-1)*LINEAS!$AC$173*DATOS!$C$67)&lt;0.00005),"*",LINEAS!$D$173&amp;" UNI "&amp;IF(LINEAS!$U$173&lt;=2,"GZ","GX")&amp;" "&amp;TEXT(IF(OR(LINEAS!$U$173=1,LINEAS!$U$173=3),1,-1)*LINEAS!$AC$173*DATOS!$C$67,DATOS!$C$68))</f>
        <v>*</v>
      </c>
      <c r="C411" s="42" t="str">
        <f t="shared" si="12"/>
        <v/>
      </c>
      <c r="D411" s="44" t="str">
        <f>IF(PRESIONES!$C$22="NO","",IF(OR(LINEAS!$D$173="",LINEAS!$U$173=0,ABS(IF(OR(LINEAS!$U$173=1,LINEAS!$U$173=3),1,-1)*LINEAS!$AC$173*DATOS!$C$67)&lt;0.00005),"*",LINEAS!$D$173&amp;" UNI "&amp;IF(LINEAS!$U$173&lt;=2,"GZ","GX")&amp;" "&amp;TEXT(IF(OR(LINEAS!$U$173=1,LINEAS!$U$173=3),1,-1)*LINEAS!$AC$173*DATOS!$C$67,DATOS!$C$68)))</f>
        <v/>
      </c>
      <c r="E411" s="42" t="str">
        <f t="shared" si="13"/>
        <v/>
      </c>
    </row>
    <row r="412" spans="2:5" ht="15" customHeight="1" x14ac:dyDescent="0.3">
      <c r="B412" s="44" t="str">
        <f>IF(OR(LINEAS!$D$174="",LINEAS!$U$174=0,ABS(IF(OR(LINEAS!$U$174=1,LINEAS!$U$174=3),1,-1)*LINEAS!$AC$174*DATOS!$C$67)&lt;0.00005),"*",LINEAS!$D$174&amp;" UNI "&amp;IF(LINEAS!$U$174&lt;=2,"GZ","GX")&amp;" "&amp;TEXT(IF(OR(LINEAS!$U$174=1,LINEAS!$U$174=3),1,-1)*LINEAS!$AC$174*DATOS!$C$67,DATOS!$C$68))</f>
        <v>*</v>
      </c>
      <c r="C412" s="42" t="str">
        <f t="shared" si="12"/>
        <v/>
      </c>
      <c r="D412" s="44" t="str">
        <f>IF(PRESIONES!$C$22="NO","",IF(OR(LINEAS!$D$174="",LINEAS!$U$174=0,ABS(IF(OR(LINEAS!$U$174=1,LINEAS!$U$174=3),1,-1)*LINEAS!$AC$174*DATOS!$C$67)&lt;0.00005),"*",LINEAS!$D$174&amp;" UNI "&amp;IF(LINEAS!$U$174&lt;=2,"GZ","GX")&amp;" "&amp;TEXT(IF(OR(LINEAS!$U$174=1,LINEAS!$U$174=3),1,-1)*LINEAS!$AC$174*DATOS!$C$67,DATOS!$C$68)))</f>
        <v/>
      </c>
      <c r="E412" s="42" t="str">
        <f t="shared" si="13"/>
        <v/>
      </c>
    </row>
    <row r="413" spans="2:5" ht="15" customHeight="1" x14ac:dyDescent="0.3">
      <c r="B413" s="44" t="str">
        <f>IF(OR(LINEAS!$D$175="",LINEAS!$U$175=0,ABS(IF(OR(LINEAS!$U$175=1,LINEAS!$U$175=3),1,-1)*LINEAS!$AC$175*DATOS!$C$67)&lt;0.00005),"*",LINEAS!$D$175&amp;" UNI "&amp;IF(LINEAS!$U$175&lt;=2,"GZ","GX")&amp;" "&amp;TEXT(IF(OR(LINEAS!$U$175=1,LINEAS!$U$175=3),1,-1)*LINEAS!$AC$175*DATOS!$C$67,DATOS!$C$68))</f>
        <v>*</v>
      </c>
      <c r="C413" s="42" t="str">
        <f t="shared" si="12"/>
        <v/>
      </c>
      <c r="D413" s="44" t="str">
        <f>IF(PRESIONES!$C$22="NO","",IF(OR(LINEAS!$D$175="",LINEAS!$U$175=0,ABS(IF(OR(LINEAS!$U$175=1,LINEAS!$U$175=3),1,-1)*LINEAS!$AC$175*DATOS!$C$67)&lt;0.00005),"*",LINEAS!$D$175&amp;" UNI "&amp;IF(LINEAS!$U$175&lt;=2,"GZ","GX")&amp;" "&amp;TEXT(IF(OR(LINEAS!$U$175=1,LINEAS!$U$175=3),1,-1)*LINEAS!$AC$175*DATOS!$C$67,DATOS!$C$68)))</f>
        <v/>
      </c>
      <c r="E413" s="42" t="str">
        <f t="shared" si="13"/>
        <v/>
      </c>
    </row>
    <row r="414" spans="2:5" ht="15" customHeight="1" x14ac:dyDescent="0.3">
      <c r="B414" s="44" t="str">
        <f>IF(OR(LINEAS!$D$176="",LINEAS!$U$176=0,ABS(IF(OR(LINEAS!$U$176=1,LINEAS!$U$176=3),1,-1)*LINEAS!$AC$176*DATOS!$C$67)&lt;0.00005),"*",LINEAS!$D$176&amp;" UNI "&amp;IF(LINEAS!$U$176&lt;=2,"GZ","GX")&amp;" "&amp;TEXT(IF(OR(LINEAS!$U$176=1,LINEAS!$U$176=3),1,-1)*LINEAS!$AC$176*DATOS!$C$67,DATOS!$C$68))</f>
        <v>*</v>
      </c>
      <c r="C414" s="42" t="str">
        <f t="shared" si="12"/>
        <v/>
      </c>
      <c r="D414" s="44" t="str">
        <f>IF(PRESIONES!$C$22="NO","",IF(OR(LINEAS!$D$176="",LINEAS!$U$176=0,ABS(IF(OR(LINEAS!$U$176=1,LINEAS!$U$176=3),1,-1)*LINEAS!$AC$176*DATOS!$C$67)&lt;0.00005),"*",LINEAS!$D$176&amp;" UNI "&amp;IF(LINEAS!$U$176&lt;=2,"GZ","GX")&amp;" "&amp;TEXT(IF(OR(LINEAS!$U$176=1,LINEAS!$U$176=3),1,-1)*LINEAS!$AC$176*DATOS!$C$67,DATOS!$C$68)))</f>
        <v/>
      </c>
      <c r="E414" s="42" t="str">
        <f t="shared" si="13"/>
        <v/>
      </c>
    </row>
    <row r="415" spans="2:5" ht="15" customHeight="1" x14ac:dyDescent="0.3">
      <c r="B415" s="44" t="str">
        <f>IF(OR(LINEAS!$D$177="",LINEAS!$U$177=0,ABS(IF(OR(LINEAS!$U$177=1,LINEAS!$U$177=3),1,-1)*LINEAS!$AC$177*DATOS!$C$67)&lt;0.00005),"*",LINEAS!$D$177&amp;" UNI "&amp;IF(LINEAS!$U$177&lt;=2,"GZ","GX")&amp;" "&amp;TEXT(IF(OR(LINEAS!$U$177=1,LINEAS!$U$177=3),1,-1)*LINEAS!$AC$177*DATOS!$C$67,DATOS!$C$68))</f>
        <v>*</v>
      </c>
      <c r="C415" s="42" t="str">
        <f t="shared" si="12"/>
        <v/>
      </c>
      <c r="D415" s="44" t="str">
        <f>IF(PRESIONES!$C$22="NO","",IF(OR(LINEAS!$D$177="",LINEAS!$U$177=0,ABS(IF(OR(LINEAS!$U$177=1,LINEAS!$U$177=3),1,-1)*LINEAS!$AC$177*DATOS!$C$67)&lt;0.00005),"*",LINEAS!$D$177&amp;" UNI "&amp;IF(LINEAS!$U$177&lt;=2,"GZ","GX")&amp;" "&amp;TEXT(IF(OR(LINEAS!$U$177=1,LINEAS!$U$177=3),1,-1)*LINEAS!$AC$177*DATOS!$C$67,DATOS!$C$68)))</f>
        <v/>
      </c>
      <c r="E415" s="42" t="str">
        <f t="shared" si="13"/>
        <v/>
      </c>
    </row>
    <row r="416" spans="2:5" ht="15" customHeight="1" x14ac:dyDescent="0.3">
      <c r="B416" s="44" t="str">
        <f>IF(OR(LINEAS!$D$178="",LINEAS!$U$178=0,ABS(IF(OR(LINEAS!$U$178=1,LINEAS!$U$178=3),1,-1)*LINEAS!$AC$178*DATOS!$C$67)&lt;0.00005),"*",LINEAS!$D$178&amp;" UNI "&amp;IF(LINEAS!$U$178&lt;=2,"GZ","GX")&amp;" "&amp;TEXT(IF(OR(LINEAS!$U$178=1,LINEAS!$U$178=3),1,-1)*LINEAS!$AC$178*DATOS!$C$67,DATOS!$C$68))</f>
        <v>*</v>
      </c>
      <c r="C416" s="42" t="str">
        <f t="shared" si="12"/>
        <v/>
      </c>
      <c r="D416" s="44" t="str">
        <f>IF(PRESIONES!$C$22="NO","",IF(OR(LINEAS!$D$178="",LINEAS!$U$178=0,ABS(IF(OR(LINEAS!$U$178=1,LINEAS!$U$178=3),1,-1)*LINEAS!$AC$178*DATOS!$C$67)&lt;0.00005),"*",LINEAS!$D$178&amp;" UNI "&amp;IF(LINEAS!$U$178&lt;=2,"GZ","GX")&amp;" "&amp;TEXT(IF(OR(LINEAS!$U$178=1,LINEAS!$U$178=3),1,-1)*LINEAS!$AC$178*DATOS!$C$67,DATOS!$C$68)))</f>
        <v/>
      </c>
      <c r="E416" s="42" t="str">
        <f t="shared" si="13"/>
        <v/>
      </c>
    </row>
    <row r="417" spans="2:5" ht="15" customHeight="1" x14ac:dyDescent="0.3">
      <c r="B417" s="44" t="str">
        <f>IF(OR(LINEAS!$D$179="",LINEAS!$U$179=0,ABS(IF(OR(LINEAS!$U$179=1,LINEAS!$U$179=3),1,-1)*LINEAS!$AC$179*DATOS!$C$67)&lt;0.00005),"*",LINEAS!$D$179&amp;" UNI "&amp;IF(LINEAS!$U$179&lt;=2,"GZ","GX")&amp;" "&amp;TEXT(IF(OR(LINEAS!$U$179=1,LINEAS!$U$179=3),1,-1)*LINEAS!$AC$179*DATOS!$C$67,DATOS!$C$68))</f>
        <v>*</v>
      </c>
      <c r="C417" s="42" t="str">
        <f t="shared" si="12"/>
        <v/>
      </c>
      <c r="D417" s="44" t="str">
        <f>IF(PRESIONES!$C$22="NO","",IF(OR(LINEAS!$D$179="",LINEAS!$U$179=0,ABS(IF(OR(LINEAS!$U$179=1,LINEAS!$U$179=3),1,-1)*LINEAS!$AC$179*DATOS!$C$67)&lt;0.00005),"*",LINEAS!$D$179&amp;" UNI "&amp;IF(LINEAS!$U$179&lt;=2,"GZ","GX")&amp;" "&amp;TEXT(IF(OR(LINEAS!$U$179=1,LINEAS!$U$179=3),1,-1)*LINEAS!$AC$179*DATOS!$C$67,DATOS!$C$68)))</f>
        <v/>
      </c>
      <c r="E417" s="42" t="str">
        <f t="shared" si="13"/>
        <v/>
      </c>
    </row>
    <row r="418" spans="2:5" ht="15" customHeight="1" x14ac:dyDescent="0.3">
      <c r="B418" s="44" t="str">
        <f>IF(OR(LINEAS!$D$180="",LINEAS!$U$180=0,ABS(IF(OR(LINEAS!$U$180=1,LINEAS!$U$180=3),1,-1)*LINEAS!$AC$180*DATOS!$C$67)&lt;0.00005),"*",LINEAS!$D$180&amp;" UNI "&amp;IF(LINEAS!$U$180&lt;=2,"GZ","GX")&amp;" "&amp;TEXT(IF(OR(LINEAS!$U$180=1,LINEAS!$U$180=3),1,-1)*LINEAS!$AC$180*DATOS!$C$67,DATOS!$C$68))</f>
        <v>*</v>
      </c>
      <c r="C418" s="42" t="str">
        <f t="shared" si="12"/>
        <v/>
      </c>
      <c r="D418" s="44" t="str">
        <f>IF(PRESIONES!$C$22="NO","",IF(OR(LINEAS!$D$180="",LINEAS!$U$180=0,ABS(IF(OR(LINEAS!$U$180=1,LINEAS!$U$180=3),1,-1)*LINEAS!$AC$180*DATOS!$C$67)&lt;0.00005),"*",LINEAS!$D$180&amp;" UNI "&amp;IF(LINEAS!$U$180&lt;=2,"GZ","GX")&amp;" "&amp;TEXT(IF(OR(LINEAS!$U$180=1,LINEAS!$U$180=3),1,-1)*LINEAS!$AC$180*DATOS!$C$67,DATOS!$C$68)))</f>
        <v/>
      </c>
      <c r="E418" s="42" t="str">
        <f t="shared" si="13"/>
        <v/>
      </c>
    </row>
    <row r="419" spans="2:5" ht="15" customHeight="1" x14ac:dyDescent="0.3">
      <c r="B419" s="44" t="str">
        <f>IF(OR(LINEAS!$D$181="",LINEAS!$U$181=0,ABS(IF(OR(LINEAS!$U$181=1,LINEAS!$U$181=3),1,-1)*LINEAS!$AC$181*DATOS!$C$67)&lt;0.00005),"*",LINEAS!$D$181&amp;" UNI "&amp;IF(LINEAS!$U$181&lt;=2,"GZ","GX")&amp;" "&amp;TEXT(IF(OR(LINEAS!$U$181=1,LINEAS!$U$181=3),1,-1)*LINEAS!$AC$181*DATOS!$C$67,DATOS!$C$68))</f>
        <v>*</v>
      </c>
      <c r="C419" s="42" t="str">
        <f t="shared" si="12"/>
        <v/>
      </c>
      <c r="D419" s="44" t="str">
        <f>IF(PRESIONES!$C$22="NO","",IF(OR(LINEAS!$D$181="",LINEAS!$U$181=0,ABS(IF(OR(LINEAS!$U$181=1,LINEAS!$U$181=3),1,-1)*LINEAS!$AC$181*DATOS!$C$67)&lt;0.00005),"*",LINEAS!$D$181&amp;" UNI "&amp;IF(LINEAS!$U$181&lt;=2,"GZ","GX")&amp;" "&amp;TEXT(IF(OR(LINEAS!$U$181=1,LINEAS!$U$181=3),1,-1)*LINEAS!$AC$181*DATOS!$C$67,DATOS!$C$68)))</f>
        <v/>
      </c>
      <c r="E419" s="42" t="str">
        <f t="shared" si="13"/>
        <v/>
      </c>
    </row>
    <row r="420" spans="2:5" ht="15" customHeight="1" x14ac:dyDescent="0.3">
      <c r="B420" s="44" t="str">
        <f>IF(OR(LINEAS!$D$182="",LINEAS!$U$182=0,ABS(IF(OR(LINEAS!$U$182=1,LINEAS!$U$182=3),1,-1)*LINEAS!$AC$182*DATOS!$C$67)&lt;0.00005),"*",LINEAS!$D$182&amp;" UNI "&amp;IF(LINEAS!$U$182&lt;=2,"GZ","GX")&amp;" "&amp;TEXT(IF(OR(LINEAS!$U$182=1,LINEAS!$U$182=3),1,-1)*LINEAS!$AC$182*DATOS!$C$67,DATOS!$C$68))</f>
        <v>*</v>
      </c>
      <c r="C420" s="42" t="str">
        <f t="shared" si="12"/>
        <v/>
      </c>
      <c r="D420" s="44" t="str">
        <f>IF(PRESIONES!$C$22="NO","",IF(OR(LINEAS!$D$182="",LINEAS!$U$182=0,ABS(IF(OR(LINEAS!$U$182=1,LINEAS!$U$182=3),1,-1)*LINEAS!$AC$182*DATOS!$C$67)&lt;0.00005),"*",LINEAS!$D$182&amp;" UNI "&amp;IF(LINEAS!$U$182&lt;=2,"GZ","GX")&amp;" "&amp;TEXT(IF(OR(LINEAS!$U$182=1,LINEAS!$U$182=3),1,-1)*LINEAS!$AC$182*DATOS!$C$67,DATOS!$C$68)))</f>
        <v/>
      </c>
      <c r="E420" s="42" t="str">
        <f t="shared" si="13"/>
        <v/>
      </c>
    </row>
    <row r="421" spans="2:5" ht="15" customHeight="1" x14ac:dyDescent="0.3">
      <c r="B421" s="44" t="str">
        <f>IF(OR(LINEAS!$D$183="",LINEAS!$U$183=0,ABS(IF(OR(LINEAS!$U$183=1,LINEAS!$U$183=3),1,-1)*LINEAS!$AC$183*DATOS!$C$67)&lt;0.00005),"*",LINEAS!$D$183&amp;" UNI "&amp;IF(LINEAS!$U$183&lt;=2,"GZ","GX")&amp;" "&amp;TEXT(IF(OR(LINEAS!$U$183=1,LINEAS!$U$183=3),1,-1)*LINEAS!$AC$183*DATOS!$C$67,DATOS!$C$68))</f>
        <v>*</v>
      </c>
      <c r="C421" s="42" t="str">
        <f t="shared" si="12"/>
        <v/>
      </c>
      <c r="D421" s="44" t="str">
        <f>IF(PRESIONES!$C$22="NO","",IF(OR(LINEAS!$D$183="",LINEAS!$U$183=0,ABS(IF(OR(LINEAS!$U$183=1,LINEAS!$U$183=3),1,-1)*LINEAS!$AC$183*DATOS!$C$67)&lt;0.00005),"*",LINEAS!$D$183&amp;" UNI "&amp;IF(LINEAS!$U$183&lt;=2,"GZ","GX")&amp;" "&amp;TEXT(IF(OR(LINEAS!$U$183=1,LINEAS!$U$183=3),1,-1)*LINEAS!$AC$183*DATOS!$C$67,DATOS!$C$68)))</f>
        <v/>
      </c>
      <c r="E421" s="42" t="str">
        <f t="shared" si="13"/>
        <v/>
      </c>
    </row>
    <row r="422" spans="2:5" ht="15" customHeight="1" x14ac:dyDescent="0.3">
      <c r="B422" s="44" t="str">
        <f>IF(OR(LINEAS!$D$184="",LINEAS!$U$184=0,ABS(IF(OR(LINEAS!$U$184=1,LINEAS!$U$184=3),1,-1)*LINEAS!$AC$184*DATOS!$C$67)&lt;0.00005),"*",LINEAS!$D$184&amp;" UNI "&amp;IF(LINEAS!$U$184&lt;=2,"GZ","GX")&amp;" "&amp;TEXT(IF(OR(LINEAS!$U$184=1,LINEAS!$U$184=3),1,-1)*LINEAS!$AC$184*DATOS!$C$67,DATOS!$C$68))</f>
        <v>*</v>
      </c>
      <c r="C422" s="42" t="str">
        <f t="shared" si="12"/>
        <v/>
      </c>
      <c r="D422" s="44" t="str">
        <f>IF(PRESIONES!$C$22="NO","",IF(OR(LINEAS!$D$184="",LINEAS!$U$184=0,ABS(IF(OR(LINEAS!$U$184=1,LINEAS!$U$184=3),1,-1)*LINEAS!$AC$184*DATOS!$C$67)&lt;0.00005),"*",LINEAS!$D$184&amp;" UNI "&amp;IF(LINEAS!$U$184&lt;=2,"GZ","GX")&amp;" "&amp;TEXT(IF(OR(LINEAS!$U$184=1,LINEAS!$U$184=3),1,-1)*LINEAS!$AC$184*DATOS!$C$67,DATOS!$C$68)))</f>
        <v/>
      </c>
      <c r="E422" s="42" t="str">
        <f t="shared" si="13"/>
        <v/>
      </c>
    </row>
    <row r="423" spans="2:5" ht="15" customHeight="1" x14ac:dyDescent="0.3">
      <c r="B423" s="44" t="str">
        <f>IF(OR(LINEAS!$D$185="",LINEAS!$U$185=0,ABS(IF(OR(LINEAS!$U$185=1,LINEAS!$U$185=3),1,-1)*LINEAS!$AC$185*DATOS!$C$67)&lt;0.00005),"*",LINEAS!$D$185&amp;" UNI "&amp;IF(LINEAS!$U$185&lt;=2,"GZ","GX")&amp;" "&amp;TEXT(IF(OR(LINEAS!$U$185=1,LINEAS!$U$185=3),1,-1)*LINEAS!$AC$185*DATOS!$C$67,DATOS!$C$68))</f>
        <v>*</v>
      </c>
      <c r="C423" s="42" t="str">
        <f t="shared" si="12"/>
        <v/>
      </c>
      <c r="D423" s="44" t="str">
        <f>IF(PRESIONES!$C$22="NO","",IF(OR(LINEAS!$D$185="",LINEAS!$U$185=0,ABS(IF(OR(LINEAS!$U$185=1,LINEAS!$U$185=3),1,-1)*LINEAS!$AC$185*DATOS!$C$67)&lt;0.00005),"*",LINEAS!$D$185&amp;" UNI "&amp;IF(LINEAS!$U$185&lt;=2,"GZ","GX")&amp;" "&amp;TEXT(IF(OR(LINEAS!$U$185=1,LINEAS!$U$185=3),1,-1)*LINEAS!$AC$185*DATOS!$C$67,DATOS!$C$68)))</f>
        <v/>
      </c>
      <c r="E423" s="42" t="str">
        <f t="shared" si="13"/>
        <v/>
      </c>
    </row>
    <row r="424" spans="2:5" ht="15" customHeight="1" x14ac:dyDescent="0.3">
      <c r="B424" s="44" t="str">
        <f>IF(OR(LINEAS!$D$186="",LINEAS!$U$186=0,ABS(IF(OR(LINEAS!$U$186=1,LINEAS!$U$186=3),1,-1)*LINEAS!$AC$186*DATOS!$C$67)&lt;0.00005),"*",LINEAS!$D$186&amp;" UNI "&amp;IF(LINEAS!$U$186&lt;=2,"GZ","GX")&amp;" "&amp;TEXT(IF(OR(LINEAS!$U$186=1,LINEAS!$U$186=3),1,-1)*LINEAS!$AC$186*DATOS!$C$67,DATOS!$C$68))</f>
        <v>*</v>
      </c>
      <c r="C424" s="42" t="str">
        <f t="shared" si="12"/>
        <v/>
      </c>
      <c r="D424" s="44" t="str">
        <f>IF(PRESIONES!$C$22="NO","",IF(OR(LINEAS!$D$186="",LINEAS!$U$186=0,ABS(IF(OR(LINEAS!$U$186=1,LINEAS!$U$186=3),1,-1)*LINEAS!$AC$186*DATOS!$C$67)&lt;0.00005),"*",LINEAS!$D$186&amp;" UNI "&amp;IF(LINEAS!$U$186&lt;=2,"GZ","GX")&amp;" "&amp;TEXT(IF(OR(LINEAS!$U$186=1,LINEAS!$U$186=3),1,-1)*LINEAS!$AC$186*DATOS!$C$67,DATOS!$C$68)))</f>
        <v/>
      </c>
      <c r="E424" s="42" t="str">
        <f t="shared" si="13"/>
        <v/>
      </c>
    </row>
    <row r="425" spans="2:5" ht="15" customHeight="1" x14ac:dyDescent="0.3">
      <c r="B425" s="44" t="str">
        <f>IF(OR(LINEAS!$D$187="",LINEAS!$U$187=0,ABS(IF(OR(LINEAS!$U$187=1,LINEAS!$U$187=3),1,-1)*LINEAS!$AC$187*DATOS!$C$67)&lt;0.00005),"*",LINEAS!$D$187&amp;" UNI "&amp;IF(LINEAS!$U$187&lt;=2,"GZ","GX")&amp;" "&amp;TEXT(IF(OR(LINEAS!$U$187=1,LINEAS!$U$187=3),1,-1)*LINEAS!$AC$187*DATOS!$C$67,DATOS!$C$68))</f>
        <v>*</v>
      </c>
      <c r="C425" s="42" t="str">
        <f t="shared" si="12"/>
        <v/>
      </c>
      <c r="D425" s="44" t="str">
        <f>IF(PRESIONES!$C$22="NO","",IF(OR(LINEAS!$D$187="",LINEAS!$U$187=0,ABS(IF(OR(LINEAS!$U$187=1,LINEAS!$U$187=3),1,-1)*LINEAS!$AC$187*DATOS!$C$67)&lt;0.00005),"*",LINEAS!$D$187&amp;" UNI "&amp;IF(LINEAS!$U$187&lt;=2,"GZ","GX")&amp;" "&amp;TEXT(IF(OR(LINEAS!$U$187=1,LINEAS!$U$187=3),1,-1)*LINEAS!$AC$187*DATOS!$C$67,DATOS!$C$68)))</f>
        <v/>
      </c>
      <c r="E425" s="42" t="str">
        <f t="shared" si="13"/>
        <v/>
      </c>
    </row>
    <row r="426" spans="2:5" ht="15" customHeight="1" x14ac:dyDescent="0.3">
      <c r="B426" s="44" t="str">
        <f>IF(OR(LINEAS!$D$188="",LINEAS!$U$188=0,ABS(IF(OR(LINEAS!$U$188=1,LINEAS!$U$188=3),1,-1)*LINEAS!$AC$188*DATOS!$C$67)&lt;0.00005),"*",LINEAS!$D$188&amp;" UNI "&amp;IF(LINEAS!$U$188&lt;=2,"GZ","GX")&amp;" "&amp;TEXT(IF(OR(LINEAS!$U$188=1,LINEAS!$U$188=3),1,-1)*LINEAS!$AC$188*DATOS!$C$67,DATOS!$C$68))</f>
        <v>*</v>
      </c>
      <c r="C426" s="42" t="str">
        <f t="shared" si="12"/>
        <v/>
      </c>
      <c r="D426" s="44" t="str">
        <f>IF(PRESIONES!$C$22="NO","",IF(OR(LINEAS!$D$188="",LINEAS!$U$188=0,ABS(IF(OR(LINEAS!$U$188=1,LINEAS!$U$188=3),1,-1)*LINEAS!$AC$188*DATOS!$C$67)&lt;0.00005),"*",LINEAS!$D$188&amp;" UNI "&amp;IF(LINEAS!$U$188&lt;=2,"GZ","GX")&amp;" "&amp;TEXT(IF(OR(LINEAS!$U$188=1,LINEAS!$U$188=3),1,-1)*LINEAS!$AC$188*DATOS!$C$67,DATOS!$C$68)))</f>
        <v/>
      </c>
      <c r="E426" s="42" t="str">
        <f t="shared" si="13"/>
        <v/>
      </c>
    </row>
    <row r="427" spans="2:5" ht="15" customHeight="1" x14ac:dyDescent="0.3">
      <c r="B427" s="44" t="str">
        <f>IF(OR(LINEAS!$D$189="",LINEAS!$U$189=0,ABS(IF(OR(LINEAS!$U$189=1,LINEAS!$U$189=3),1,-1)*LINEAS!$AC$189*DATOS!$C$67)&lt;0.00005),"*",LINEAS!$D$189&amp;" UNI "&amp;IF(LINEAS!$U$189&lt;=2,"GZ","GX")&amp;" "&amp;TEXT(IF(OR(LINEAS!$U$189=1,LINEAS!$U$189=3),1,-1)*LINEAS!$AC$189*DATOS!$C$67,DATOS!$C$68))</f>
        <v>*</v>
      </c>
      <c r="C427" s="42" t="str">
        <f t="shared" si="12"/>
        <v/>
      </c>
      <c r="D427" s="44" t="str">
        <f>IF(PRESIONES!$C$22="NO","",IF(OR(LINEAS!$D$189="",LINEAS!$U$189=0,ABS(IF(OR(LINEAS!$U$189=1,LINEAS!$U$189=3),1,-1)*LINEAS!$AC$189*DATOS!$C$67)&lt;0.00005),"*",LINEAS!$D$189&amp;" UNI "&amp;IF(LINEAS!$U$189&lt;=2,"GZ","GX")&amp;" "&amp;TEXT(IF(OR(LINEAS!$U$189=1,LINEAS!$U$189=3),1,-1)*LINEAS!$AC$189*DATOS!$C$67,DATOS!$C$68)))</f>
        <v/>
      </c>
      <c r="E427" s="42" t="str">
        <f t="shared" si="13"/>
        <v/>
      </c>
    </row>
    <row r="428" spans="2:5" ht="15" customHeight="1" x14ac:dyDescent="0.3">
      <c r="B428" s="44" t="str">
        <f>IF(OR(LINEAS!$D$190="",LINEAS!$U$190=0,ABS(IF(OR(LINEAS!$U$190=1,LINEAS!$U$190=3),1,-1)*LINEAS!$AC$190*DATOS!$C$67)&lt;0.00005),"*",LINEAS!$D$190&amp;" UNI "&amp;IF(LINEAS!$U$190&lt;=2,"GZ","GX")&amp;" "&amp;TEXT(IF(OR(LINEAS!$U$190=1,LINEAS!$U$190=3),1,-1)*LINEAS!$AC$190*DATOS!$C$67,DATOS!$C$68))</f>
        <v>*</v>
      </c>
      <c r="C428" s="42" t="str">
        <f t="shared" si="12"/>
        <v/>
      </c>
      <c r="D428" s="44" t="str">
        <f>IF(PRESIONES!$C$22="NO","",IF(OR(LINEAS!$D$190="",LINEAS!$U$190=0,ABS(IF(OR(LINEAS!$U$190=1,LINEAS!$U$190=3),1,-1)*LINEAS!$AC$190*DATOS!$C$67)&lt;0.00005),"*",LINEAS!$D$190&amp;" UNI "&amp;IF(LINEAS!$U$190&lt;=2,"GZ","GX")&amp;" "&amp;TEXT(IF(OR(LINEAS!$U$190=1,LINEAS!$U$190=3),1,-1)*LINEAS!$AC$190*DATOS!$C$67,DATOS!$C$68)))</f>
        <v/>
      </c>
      <c r="E428" s="42" t="str">
        <f t="shared" si="13"/>
        <v/>
      </c>
    </row>
    <row r="429" spans="2:5" ht="15" customHeight="1" x14ac:dyDescent="0.3">
      <c r="B429" s="44" t="str">
        <f>IF(OR(LINEAS!$D$191="",LINEAS!$U$191=0,ABS(IF(OR(LINEAS!$U$191=1,LINEAS!$U$191=3),1,-1)*LINEAS!$AC$191*DATOS!$C$67)&lt;0.00005),"*",LINEAS!$D$191&amp;" UNI "&amp;IF(LINEAS!$U$191&lt;=2,"GZ","GX")&amp;" "&amp;TEXT(IF(OR(LINEAS!$U$191=1,LINEAS!$U$191=3),1,-1)*LINEAS!$AC$191*DATOS!$C$67,DATOS!$C$68))</f>
        <v>*</v>
      </c>
      <c r="C429" s="42" t="str">
        <f t="shared" si="12"/>
        <v/>
      </c>
      <c r="D429" s="44" t="str">
        <f>IF(PRESIONES!$C$22="NO","",IF(OR(LINEAS!$D$191="",LINEAS!$U$191=0,ABS(IF(OR(LINEAS!$U$191=1,LINEAS!$U$191=3),1,-1)*LINEAS!$AC$191*DATOS!$C$67)&lt;0.00005),"*",LINEAS!$D$191&amp;" UNI "&amp;IF(LINEAS!$U$191&lt;=2,"GZ","GX")&amp;" "&amp;TEXT(IF(OR(LINEAS!$U$191=1,LINEAS!$U$191=3),1,-1)*LINEAS!$AC$191*DATOS!$C$67,DATOS!$C$68)))</f>
        <v/>
      </c>
      <c r="E429" s="42" t="str">
        <f t="shared" si="13"/>
        <v/>
      </c>
    </row>
    <row r="430" spans="2:5" ht="15" customHeight="1" x14ac:dyDescent="0.3">
      <c r="B430" s="44" t="str">
        <f>IF(OR(LINEAS!$D$192="",LINEAS!$U$192=0,ABS(IF(OR(LINEAS!$U$192=1,LINEAS!$U$192=3),1,-1)*LINEAS!$AC$192*DATOS!$C$67)&lt;0.00005),"*",LINEAS!$D$192&amp;" UNI "&amp;IF(LINEAS!$U$192&lt;=2,"GZ","GX")&amp;" "&amp;TEXT(IF(OR(LINEAS!$U$192=1,LINEAS!$U$192=3),1,-1)*LINEAS!$AC$192*DATOS!$C$67,DATOS!$C$68))</f>
        <v>*</v>
      </c>
      <c r="C430" s="42" t="str">
        <f t="shared" si="12"/>
        <v/>
      </c>
      <c r="D430" s="44" t="str">
        <f>IF(PRESIONES!$C$22="NO","",IF(OR(LINEAS!$D$192="",LINEAS!$U$192=0,ABS(IF(OR(LINEAS!$U$192=1,LINEAS!$U$192=3),1,-1)*LINEAS!$AC$192*DATOS!$C$67)&lt;0.00005),"*",LINEAS!$D$192&amp;" UNI "&amp;IF(LINEAS!$U$192&lt;=2,"GZ","GX")&amp;" "&amp;TEXT(IF(OR(LINEAS!$U$192=1,LINEAS!$U$192=3),1,-1)*LINEAS!$AC$192*DATOS!$C$67,DATOS!$C$68)))</f>
        <v/>
      </c>
      <c r="E430" s="42" t="str">
        <f t="shared" si="13"/>
        <v/>
      </c>
    </row>
    <row r="431" spans="2:5" ht="15" customHeight="1" x14ac:dyDescent="0.3">
      <c r="B431" s="44" t="str">
        <f>IF(OR(LINEAS!$D$193="",LINEAS!$U$193=0,ABS(IF(OR(LINEAS!$U$193=1,LINEAS!$U$193=3),1,-1)*LINEAS!$AC$193*DATOS!$C$67)&lt;0.00005),"*",LINEAS!$D$193&amp;" UNI "&amp;IF(LINEAS!$U$193&lt;=2,"GZ","GX")&amp;" "&amp;TEXT(IF(OR(LINEAS!$U$193=1,LINEAS!$U$193=3),1,-1)*LINEAS!$AC$193*DATOS!$C$67,DATOS!$C$68))</f>
        <v>*</v>
      </c>
      <c r="C431" s="42" t="str">
        <f t="shared" si="12"/>
        <v/>
      </c>
      <c r="D431" s="44" t="str">
        <f>IF(PRESIONES!$C$22="NO","",IF(OR(LINEAS!$D$193="",LINEAS!$U$193=0,ABS(IF(OR(LINEAS!$U$193=1,LINEAS!$U$193=3),1,-1)*LINEAS!$AC$193*DATOS!$C$67)&lt;0.00005),"*",LINEAS!$D$193&amp;" UNI "&amp;IF(LINEAS!$U$193&lt;=2,"GZ","GX")&amp;" "&amp;TEXT(IF(OR(LINEAS!$U$193=1,LINEAS!$U$193=3),1,-1)*LINEAS!$AC$193*DATOS!$C$67,DATOS!$C$68)))</f>
        <v/>
      </c>
      <c r="E431" s="42" t="str">
        <f t="shared" si="13"/>
        <v/>
      </c>
    </row>
    <row r="432" spans="2:5" ht="15" customHeight="1" x14ac:dyDescent="0.3">
      <c r="B432" s="44" t="str">
        <f>IF(OR(LINEAS!$D$194="",LINEAS!$U$194=0,ABS(IF(OR(LINEAS!$U$194=1,LINEAS!$U$194=3),1,-1)*LINEAS!$AC$194*DATOS!$C$67)&lt;0.00005),"*",LINEAS!$D$194&amp;" UNI "&amp;IF(LINEAS!$U$194&lt;=2,"GZ","GX")&amp;" "&amp;TEXT(IF(OR(LINEAS!$U$194=1,LINEAS!$U$194=3),1,-1)*LINEAS!$AC$194*DATOS!$C$67,DATOS!$C$68))</f>
        <v>*</v>
      </c>
      <c r="C432" s="42" t="str">
        <f t="shared" si="12"/>
        <v/>
      </c>
      <c r="D432" s="44" t="str">
        <f>IF(PRESIONES!$C$22="NO","",IF(OR(LINEAS!$D$194="",LINEAS!$U$194=0,ABS(IF(OR(LINEAS!$U$194=1,LINEAS!$U$194=3),1,-1)*LINEAS!$AC$194*DATOS!$C$67)&lt;0.00005),"*",LINEAS!$D$194&amp;" UNI "&amp;IF(LINEAS!$U$194&lt;=2,"GZ","GX")&amp;" "&amp;TEXT(IF(OR(LINEAS!$U$194=1,LINEAS!$U$194=3),1,-1)*LINEAS!$AC$194*DATOS!$C$67,DATOS!$C$68)))</f>
        <v/>
      </c>
      <c r="E432" s="42" t="str">
        <f t="shared" si="13"/>
        <v/>
      </c>
    </row>
    <row r="433" spans="2:5" ht="15" customHeight="1" x14ac:dyDescent="0.3">
      <c r="B433" s="43" t="str">
        <f>"LOAD "&amp;(DATOS!$C$66+2)&amp;" LOADTYPE Wind  TITLE "&amp;DATOS!$E$74</f>
        <v>LOAD 10 LOADTYPE Wind  TITLE VIENTO Z</v>
      </c>
      <c r="C433" s="42" t="str">
        <f t="shared" si="12"/>
        <v/>
      </c>
      <c r="D433" s="44" t="str">
        <f>IF(PRESIONES!$C$22="NO",IF(3=1,"* CASOS B = CASOS A (SIN ±0.4 NI +0.3 EN EL TECHO): NO HACE FALTA",""),"LOAD "&amp;(DATOS!$C$69+2)&amp;" LOADTYPE Wind  TITLE "&amp;DATOS!$E$74&amp;" B")</f>
        <v/>
      </c>
      <c r="E433" s="42" t="str">
        <f t="shared" si="13"/>
        <v/>
      </c>
    </row>
    <row r="434" spans="2:5" ht="15" customHeight="1" x14ac:dyDescent="0.3">
      <c r="B434" s="44" t="s">
        <v>632</v>
      </c>
      <c r="C434" s="42" t="str">
        <f t="shared" si="12"/>
        <v/>
      </c>
      <c r="D434" s="44" t="str">
        <f>IF(PRESIONES!$C$22="NO","","MEMBER LOAD")</f>
        <v/>
      </c>
      <c r="E434" s="42" t="str">
        <f t="shared" si="13"/>
        <v/>
      </c>
    </row>
    <row r="435" spans="2:5" ht="15" customHeight="1" x14ac:dyDescent="0.3">
      <c r="B435" s="44" t="str">
        <f>IF(OR(LINEAS!$D$9="",ABS(-LINEAS!$AD$9*DATOS!$C$67)&lt;0.00005),"*",LINEAS!$D$9&amp;" UNI GY "&amp;TEXT(-LINEAS!$AD$9*DATOS!$C$67,DATOS!$C$68))</f>
        <v>22 85 TO 88 UNI GY 0.0330</v>
      </c>
      <c r="C435" s="42" t="str">
        <f t="shared" si="12"/>
        <v/>
      </c>
      <c r="D435" s="44" t="str">
        <f>IF(PRESIONES!$C$22="NO","",IF(OR(LINEAS!$D$9="",ABS(-LINEAS!$AT$9*DATOS!$C$67)&lt;0.00005),"*",LINEAS!$D$9&amp;" UNI GY "&amp;TEXT(-LINEAS!$AT$9*DATOS!$C$67,DATOS!$C$68)))</f>
        <v/>
      </c>
      <c r="E435" s="42" t="str">
        <f t="shared" si="13"/>
        <v/>
      </c>
    </row>
    <row r="436" spans="2:5" ht="15" customHeight="1" x14ac:dyDescent="0.3">
      <c r="B436" s="44" t="str">
        <f>IF(OR(LINEAS!$D$9="",DATOS!$C$22="—",ABS(LINEAS!$AL$9*DATOS!$C$67)&lt;0.00005),"*",LINEAS!$D$9&amp;" UNI G"&amp;DATOS!$C$22&amp;" "&amp;TEXT(LINEAS!$AL$9*DATOS!$C$67,DATOS!$C$68))</f>
        <v>22 85 TO 88 UNI GZ 0.0016</v>
      </c>
      <c r="C436" s="42" t="str">
        <f t="shared" si="12"/>
        <v/>
      </c>
      <c r="D436" s="44" t="str">
        <f>IF(PRESIONES!$C$22="NO","",IF(OR(LINEAS!$D$9="",DATOS!$C$22="—",ABS(LINEAS!$BB$9*DATOS!$C$67)&lt;0.00005),"*",LINEAS!$D$9&amp;" UNI G"&amp;DATOS!$C$22&amp;" "&amp;TEXT(LINEAS!$BB$9*DATOS!$C$67,DATOS!$C$68)))</f>
        <v/>
      </c>
      <c r="E436" s="42" t="str">
        <f t="shared" si="13"/>
        <v/>
      </c>
    </row>
    <row r="437" spans="2:5" ht="15" customHeight="1" x14ac:dyDescent="0.3">
      <c r="B437" s="44" t="str">
        <f>IF(OR(LINEAS!$D$10="",ABS(-LINEAS!$AD$10*DATOS!$C$67)&lt;0.00005),"*",LINEAS!$D$10&amp;" UNI GY "&amp;TEXT(-LINEAS!$AD$10*DATOS!$C$67,DATOS!$C$68))</f>
        <v>80 129 TO 132 UNI GY 0.0659</v>
      </c>
      <c r="C437" s="42" t="str">
        <f t="shared" si="12"/>
        <v/>
      </c>
      <c r="D437" s="44" t="str">
        <f>IF(PRESIONES!$C$22="NO","",IF(OR(LINEAS!$D$10="",ABS(-LINEAS!$AT$10*DATOS!$C$67)&lt;0.00005),"*",LINEAS!$D$10&amp;" UNI GY "&amp;TEXT(-LINEAS!$AT$10*DATOS!$C$67,DATOS!$C$68)))</f>
        <v/>
      </c>
      <c r="E437" s="42" t="str">
        <f t="shared" si="13"/>
        <v/>
      </c>
    </row>
    <row r="438" spans="2:5" ht="15" customHeight="1" x14ac:dyDescent="0.3">
      <c r="B438" s="44" t="str">
        <f>IF(OR(LINEAS!$D$10="",DATOS!$C$22="—",ABS(LINEAS!$AL$10*DATOS!$C$67)&lt;0.00005),"*",LINEAS!$D$10&amp;" UNI G"&amp;DATOS!$C$22&amp;" "&amp;TEXT(LINEAS!$AL$10*DATOS!$C$67,DATOS!$C$68))</f>
        <v>80 129 TO 132 UNI GZ 0.0033</v>
      </c>
      <c r="C438" s="42" t="str">
        <f t="shared" si="12"/>
        <v/>
      </c>
      <c r="D438" s="44" t="str">
        <f>IF(PRESIONES!$C$22="NO","",IF(OR(LINEAS!$D$10="",DATOS!$C$22="—",ABS(LINEAS!$BB$10*DATOS!$C$67)&lt;0.00005),"*",LINEAS!$D$10&amp;" UNI G"&amp;DATOS!$C$22&amp;" "&amp;TEXT(LINEAS!$BB$10*DATOS!$C$67,DATOS!$C$68)))</f>
        <v/>
      </c>
      <c r="E438" s="42" t="str">
        <f t="shared" si="13"/>
        <v/>
      </c>
    </row>
    <row r="439" spans="2:5" ht="15" customHeight="1" x14ac:dyDescent="0.3">
      <c r="B439" s="44" t="str">
        <f>IF(OR(LINEAS!$D$11="",ABS(-LINEAS!$AD$11*DATOS!$C$67)&lt;0.00005),"*",LINEAS!$D$11&amp;" UNI GY "&amp;TEXT(-LINEAS!$AD$11*DATOS!$C$67,DATOS!$C$68))</f>
        <v>79 125 TO 128 UNI GY 0.0659</v>
      </c>
      <c r="C439" s="42" t="str">
        <f t="shared" si="12"/>
        <v/>
      </c>
      <c r="D439" s="44" t="str">
        <f>IF(PRESIONES!$C$22="NO","",IF(OR(LINEAS!$D$11="",ABS(-LINEAS!$AT$11*DATOS!$C$67)&lt;0.00005),"*",LINEAS!$D$11&amp;" UNI GY "&amp;TEXT(-LINEAS!$AT$11*DATOS!$C$67,DATOS!$C$68)))</f>
        <v/>
      </c>
      <c r="E439" s="42" t="str">
        <f t="shared" si="13"/>
        <v/>
      </c>
    </row>
    <row r="440" spans="2:5" ht="15" customHeight="1" x14ac:dyDescent="0.3">
      <c r="B440" s="44" t="str">
        <f>IF(OR(LINEAS!$D$11="",DATOS!$C$22="—",ABS(LINEAS!$AL$11*DATOS!$C$67)&lt;0.00005),"*",LINEAS!$D$11&amp;" UNI G"&amp;DATOS!$C$22&amp;" "&amp;TEXT(LINEAS!$AL$11*DATOS!$C$67,DATOS!$C$68))</f>
        <v>79 125 TO 128 UNI GZ 0.0033</v>
      </c>
      <c r="C440" s="42" t="str">
        <f t="shared" si="12"/>
        <v/>
      </c>
      <c r="D440" s="44" t="str">
        <f>IF(PRESIONES!$C$22="NO","",IF(OR(LINEAS!$D$11="",DATOS!$C$22="—",ABS(LINEAS!$BB$11*DATOS!$C$67)&lt;0.00005),"*",LINEAS!$D$11&amp;" UNI G"&amp;DATOS!$C$22&amp;" "&amp;TEXT(LINEAS!$BB$11*DATOS!$C$67,DATOS!$C$68)))</f>
        <v/>
      </c>
      <c r="E440" s="42" t="str">
        <f t="shared" si="13"/>
        <v/>
      </c>
    </row>
    <row r="441" spans="2:5" ht="15" customHeight="1" x14ac:dyDescent="0.3">
      <c r="B441" s="44" t="str">
        <f>IF(OR(LINEAS!$D$12="",ABS(-LINEAS!$AD$12*DATOS!$C$67)&lt;0.00005),"*",LINEAS!$D$12&amp;" UNI GY "&amp;TEXT(-LINEAS!$AD$12*DATOS!$C$67,DATOS!$C$68))</f>
        <v>78 121 TO 124 UNI GY 0.0659</v>
      </c>
      <c r="C441" s="42" t="str">
        <f t="shared" si="12"/>
        <v/>
      </c>
      <c r="D441" s="44" t="str">
        <f>IF(PRESIONES!$C$22="NO","",IF(OR(LINEAS!$D$12="",ABS(-LINEAS!$AT$12*DATOS!$C$67)&lt;0.00005),"*",LINEAS!$D$12&amp;" UNI GY "&amp;TEXT(-LINEAS!$AT$12*DATOS!$C$67,DATOS!$C$68)))</f>
        <v/>
      </c>
      <c r="E441" s="42" t="str">
        <f t="shared" si="13"/>
        <v/>
      </c>
    </row>
    <row r="442" spans="2:5" ht="15" customHeight="1" x14ac:dyDescent="0.3">
      <c r="B442" s="44" t="str">
        <f>IF(OR(LINEAS!$D$12="",DATOS!$C$22="—",ABS(LINEAS!$AL$12*DATOS!$C$67)&lt;0.00005),"*",LINEAS!$D$12&amp;" UNI G"&amp;DATOS!$C$22&amp;" "&amp;TEXT(LINEAS!$AL$12*DATOS!$C$67,DATOS!$C$68))</f>
        <v>78 121 TO 124 UNI GZ 0.0033</v>
      </c>
      <c r="C442" s="42" t="str">
        <f t="shared" si="12"/>
        <v/>
      </c>
      <c r="D442" s="44" t="str">
        <f>IF(PRESIONES!$C$22="NO","",IF(OR(LINEAS!$D$12="",DATOS!$C$22="—",ABS(LINEAS!$BB$12*DATOS!$C$67)&lt;0.00005),"*",LINEAS!$D$12&amp;" UNI G"&amp;DATOS!$C$22&amp;" "&amp;TEXT(LINEAS!$BB$12*DATOS!$C$67,DATOS!$C$68)))</f>
        <v/>
      </c>
      <c r="E442" s="42" t="str">
        <f t="shared" si="13"/>
        <v/>
      </c>
    </row>
    <row r="443" spans="2:5" ht="15" customHeight="1" x14ac:dyDescent="0.3">
      <c r="B443" s="44" t="str">
        <f>IF(OR(LINEAS!$D$13="",ABS(-LINEAS!$AD$13*DATOS!$C$67)&lt;0.00005),"*",LINEAS!$D$13&amp;" UNI GY "&amp;TEXT(-LINEAS!$AD$13*DATOS!$C$67,DATOS!$C$68))</f>
        <v>77 117 TO 120 UNI GY 0.0659</v>
      </c>
      <c r="C443" s="42" t="str">
        <f t="shared" si="12"/>
        <v/>
      </c>
      <c r="D443" s="44" t="str">
        <f>IF(PRESIONES!$C$22="NO","",IF(OR(LINEAS!$D$13="",ABS(-LINEAS!$AT$13*DATOS!$C$67)&lt;0.00005),"*",LINEAS!$D$13&amp;" UNI GY "&amp;TEXT(-LINEAS!$AT$13*DATOS!$C$67,DATOS!$C$68)))</f>
        <v/>
      </c>
      <c r="E443" s="42" t="str">
        <f t="shared" si="13"/>
        <v/>
      </c>
    </row>
    <row r="444" spans="2:5" ht="15" customHeight="1" x14ac:dyDescent="0.3">
      <c r="B444" s="44" t="str">
        <f>IF(OR(LINEAS!$D$13="",DATOS!$C$22="—",ABS(LINEAS!$AL$13*DATOS!$C$67)&lt;0.00005),"*",LINEAS!$D$13&amp;" UNI G"&amp;DATOS!$C$22&amp;" "&amp;TEXT(LINEAS!$AL$13*DATOS!$C$67,DATOS!$C$68))</f>
        <v>77 117 TO 120 UNI GZ 0.0033</v>
      </c>
      <c r="C444" s="42" t="str">
        <f t="shared" si="12"/>
        <v/>
      </c>
      <c r="D444" s="44" t="str">
        <f>IF(PRESIONES!$C$22="NO","",IF(OR(LINEAS!$D$13="",DATOS!$C$22="—",ABS(LINEAS!$BB$13*DATOS!$C$67)&lt;0.00005),"*",LINEAS!$D$13&amp;" UNI G"&amp;DATOS!$C$22&amp;" "&amp;TEXT(LINEAS!$BB$13*DATOS!$C$67,DATOS!$C$68)))</f>
        <v/>
      </c>
      <c r="E444" s="42" t="str">
        <f t="shared" si="13"/>
        <v/>
      </c>
    </row>
    <row r="445" spans="2:5" ht="15" customHeight="1" x14ac:dyDescent="0.3">
      <c r="B445" s="44" t="str">
        <f>IF(OR(LINEAS!$D$14="",ABS(-LINEAS!$AD$14*DATOS!$C$67)&lt;0.00005),"*",LINEAS!$D$14&amp;" UNI GY "&amp;TEXT(-LINEAS!$AD$14*DATOS!$C$67,DATOS!$C$68))</f>
        <v>9 93 TO 96 UNI GY 0.0659</v>
      </c>
      <c r="C445" s="42" t="str">
        <f t="shared" si="12"/>
        <v/>
      </c>
      <c r="D445" s="44" t="str">
        <f>IF(PRESIONES!$C$22="NO","",IF(OR(LINEAS!$D$14="",ABS(-LINEAS!$AT$14*DATOS!$C$67)&lt;0.00005),"*",LINEAS!$D$14&amp;" UNI GY "&amp;TEXT(-LINEAS!$AT$14*DATOS!$C$67,DATOS!$C$68)))</f>
        <v/>
      </c>
      <c r="E445" s="42" t="str">
        <f t="shared" si="13"/>
        <v/>
      </c>
    </row>
    <row r="446" spans="2:5" ht="15" customHeight="1" x14ac:dyDescent="0.3">
      <c r="B446" s="44" t="str">
        <f>IF(OR(LINEAS!$D$14="",DATOS!$C$22="—",ABS(LINEAS!$AL$14*DATOS!$C$67)&lt;0.00005),"*",LINEAS!$D$14&amp;" UNI G"&amp;DATOS!$C$22&amp;" "&amp;TEXT(LINEAS!$AL$14*DATOS!$C$67,DATOS!$C$68))</f>
        <v>9 93 TO 96 UNI GZ 0.0033</v>
      </c>
      <c r="C446" s="42" t="str">
        <f t="shared" si="12"/>
        <v/>
      </c>
      <c r="D446" s="44" t="str">
        <f>IF(PRESIONES!$C$22="NO","",IF(OR(LINEAS!$D$14="",DATOS!$C$22="—",ABS(LINEAS!$BB$14*DATOS!$C$67)&lt;0.00005),"*",LINEAS!$D$14&amp;" UNI G"&amp;DATOS!$C$22&amp;" "&amp;TEXT(LINEAS!$BB$14*DATOS!$C$67,DATOS!$C$68)))</f>
        <v/>
      </c>
      <c r="E446" s="42" t="str">
        <f t="shared" si="13"/>
        <v/>
      </c>
    </row>
    <row r="447" spans="2:5" ht="15" customHeight="1" x14ac:dyDescent="0.3">
      <c r="B447" s="44" t="str">
        <f>IF(OR(LINEAS!$D$15="",ABS(-LINEAS!$AD$15*DATOS!$C$67)&lt;0.00005),"*",LINEAS!$D$15&amp;" UNI GY "&amp;TEXT(-LINEAS!$AD$15*DATOS!$C$67,DATOS!$C$68))</f>
        <v>76 113 TO 116 UNI GY 0.0659</v>
      </c>
      <c r="C447" s="42" t="str">
        <f t="shared" si="12"/>
        <v/>
      </c>
      <c r="D447" s="44" t="str">
        <f>IF(PRESIONES!$C$22="NO","",IF(OR(LINEAS!$D$15="",ABS(-LINEAS!$AT$15*DATOS!$C$67)&lt;0.00005),"*",LINEAS!$D$15&amp;" UNI GY "&amp;TEXT(-LINEAS!$AT$15*DATOS!$C$67,DATOS!$C$68)))</f>
        <v/>
      </c>
      <c r="E447" s="42" t="str">
        <f t="shared" si="13"/>
        <v/>
      </c>
    </row>
    <row r="448" spans="2:5" ht="15" customHeight="1" x14ac:dyDescent="0.3">
      <c r="B448" s="44" t="str">
        <f>IF(OR(LINEAS!$D$15="",DATOS!$C$22="—",ABS(LINEAS!$AL$15*DATOS!$C$67)&lt;0.00005),"*",LINEAS!$D$15&amp;" UNI G"&amp;DATOS!$C$22&amp;" "&amp;TEXT(LINEAS!$AL$15*DATOS!$C$67,DATOS!$C$68))</f>
        <v>76 113 TO 116 UNI GZ 0.0033</v>
      </c>
      <c r="C448" s="42" t="str">
        <f t="shared" si="12"/>
        <v/>
      </c>
      <c r="D448" s="44" t="str">
        <f>IF(PRESIONES!$C$22="NO","",IF(OR(LINEAS!$D$15="",DATOS!$C$22="—",ABS(LINEAS!$BB$15*DATOS!$C$67)&lt;0.00005),"*",LINEAS!$D$15&amp;" UNI G"&amp;DATOS!$C$22&amp;" "&amp;TEXT(LINEAS!$BB$15*DATOS!$C$67,DATOS!$C$68)))</f>
        <v/>
      </c>
      <c r="E448" s="42" t="str">
        <f t="shared" si="13"/>
        <v/>
      </c>
    </row>
    <row r="449" spans="2:5" ht="15" customHeight="1" x14ac:dyDescent="0.3">
      <c r="B449" s="44" t="str">
        <f>IF(OR(LINEAS!$D$16="",ABS(-LINEAS!$AD$16*DATOS!$C$67)&lt;0.00005),"*",LINEAS!$D$16&amp;" UNI GY "&amp;TEXT(-LINEAS!$AD$16*DATOS!$C$67,DATOS!$C$68))</f>
        <v>75 109 TO 112 UNI GY 0.0659</v>
      </c>
      <c r="C449" s="42" t="str">
        <f t="shared" si="12"/>
        <v/>
      </c>
      <c r="D449" s="44" t="str">
        <f>IF(PRESIONES!$C$22="NO","",IF(OR(LINEAS!$D$16="",ABS(-LINEAS!$AT$16*DATOS!$C$67)&lt;0.00005),"*",LINEAS!$D$16&amp;" UNI GY "&amp;TEXT(-LINEAS!$AT$16*DATOS!$C$67,DATOS!$C$68)))</f>
        <v/>
      </c>
      <c r="E449" s="42" t="str">
        <f t="shared" si="13"/>
        <v/>
      </c>
    </row>
    <row r="450" spans="2:5" ht="15" customHeight="1" x14ac:dyDescent="0.3">
      <c r="B450" s="44" t="str">
        <f>IF(OR(LINEAS!$D$16="",DATOS!$C$22="—",ABS(LINEAS!$AL$16*DATOS!$C$67)&lt;0.00005),"*",LINEAS!$D$16&amp;" UNI G"&amp;DATOS!$C$22&amp;" "&amp;TEXT(LINEAS!$AL$16*DATOS!$C$67,DATOS!$C$68))</f>
        <v>75 109 TO 112 UNI GZ 0.0033</v>
      </c>
      <c r="C450" s="42" t="str">
        <f t="shared" si="12"/>
        <v/>
      </c>
      <c r="D450" s="44" t="str">
        <f>IF(PRESIONES!$C$22="NO","",IF(OR(LINEAS!$D$16="",DATOS!$C$22="—",ABS(LINEAS!$BB$16*DATOS!$C$67)&lt;0.00005),"*",LINEAS!$D$16&amp;" UNI G"&amp;DATOS!$C$22&amp;" "&amp;TEXT(LINEAS!$BB$16*DATOS!$C$67,DATOS!$C$68)))</f>
        <v/>
      </c>
      <c r="E450" s="42" t="str">
        <f t="shared" si="13"/>
        <v/>
      </c>
    </row>
    <row r="451" spans="2:5" ht="15" customHeight="1" x14ac:dyDescent="0.3">
      <c r="B451" s="44" t="str">
        <f>IF(OR(LINEAS!$D$17="",ABS(-LINEAS!$AD$17*DATOS!$C$67)&lt;0.00005),"*",LINEAS!$D$17&amp;" UNI GY "&amp;TEXT(-LINEAS!$AD$17*DATOS!$C$67,DATOS!$C$68))</f>
        <v>74 105 TO 108 UNI GY 0.0659</v>
      </c>
      <c r="C451" s="42" t="str">
        <f t="shared" si="12"/>
        <v/>
      </c>
      <c r="D451" s="44" t="str">
        <f>IF(PRESIONES!$C$22="NO","",IF(OR(LINEAS!$D$17="",ABS(-LINEAS!$AT$17*DATOS!$C$67)&lt;0.00005),"*",LINEAS!$D$17&amp;" UNI GY "&amp;TEXT(-LINEAS!$AT$17*DATOS!$C$67,DATOS!$C$68)))</f>
        <v/>
      </c>
      <c r="E451" s="42" t="str">
        <f t="shared" si="13"/>
        <v/>
      </c>
    </row>
    <row r="452" spans="2:5" ht="15" customHeight="1" x14ac:dyDescent="0.3">
      <c r="B452" s="44" t="str">
        <f>IF(OR(LINEAS!$D$17="",DATOS!$C$22="—",ABS(LINEAS!$AL$17*DATOS!$C$67)&lt;0.00005),"*",LINEAS!$D$17&amp;" UNI G"&amp;DATOS!$C$22&amp;" "&amp;TEXT(LINEAS!$AL$17*DATOS!$C$67,DATOS!$C$68))</f>
        <v>74 105 TO 108 UNI GZ 0.0033</v>
      </c>
      <c r="C452" s="42" t="str">
        <f t="shared" si="12"/>
        <v/>
      </c>
      <c r="D452" s="44" t="str">
        <f>IF(PRESIONES!$C$22="NO","",IF(OR(LINEAS!$D$17="",DATOS!$C$22="—",ABS(LINEAS!$BB$17*DATOS!$C$67)&lt;0.00005),"*",LINEAS!$D$17&amp;" UNI G"&amp;DATOS!$C$22&amp;" "&amp;TEXT(LINEAS!$BB$17*DATOS!$C$67,DATOS!$C$68)))</f>
        <v/>
      </c>
      <c r="E452" s="42" t="str">
        <f t="shared" si="13"/>
        <v/>
      </c>
    </row>
    <row r="453" spans="2:5" ht="15" customHeight="1" x14ac:dyDescent="0.3">
      <c r="B453" s="44" t="str">
        <f>IF(OR(LINEAS!$D$18="",ABS(-LINEAS!$AD$18*DATOS!$C$67)&lt;0.00005),"*",LINEAS!$D$18&amp;" UNI GY "&amp;TEXT(-LINEAS!$AD$18*DATOS!$C$67,DATOS!$C$68))</f>
        <v>73 101 TO 104 UNI GY 0.0659</v>
      </c>
      <c r="C453" s="42" t="str">
        <f t="shared" si="12"/>
        <v/>
      </c>
      <c r="D453" s="44" t="str">
        <f>IF(PRESIONES!$C$22="NO","",IF(OR(LINEAS!$D$18="",ABS(-LINEAS!$AT$18*DATOS!$C$67)&lt;0.00005),"*",LINEAS!$D$18&amp;" UNI GY "&amp;TEXT(-LINEAS!$AT$18*DATOS!$C$67,DATOS!$C$68)))</f>
        <v/>
      </c>
      <c r="E453" s="42" t="str">
        <f t="shared" si="13"/>
        <v/>
      </c>
    </row>
    <row r="454" spans="2:5" ht="15" customHeight="1" x14ac:dyDescent="0.3">
      <c r="B454" s="44" t="str">
        <f>IF(OR(LINEAS!$D$18="",DATOS!$C$22="—",ABS(LINEAS!$AL$18*DATOS!$C$67)&lt;0.00005),"*",LINEAS!$D$18&amp;" UNI G"&amp;DATOS!$C$22&amp;" "&amp;TEXT(LINEAS!$AL$18*DATOS!$C$67,DATOS!$C$68))</f>
        <v>73 101 TO 104 UNI GZ 0.0033</v>
      </c>
      <c r="C454" s="42" t="str">
        <f t="shared" si="12"/>
        <v/>
      </c>
      <c r="D454" s="44" t="str">
        <f>IF(PRESIONES!$C$22="NO","",IF(OR(LINEAS!$D$18="",DATOS!$C$22="—",ABS(LINEAS!$BB$18*DATOS!$C$67)&lt;0.00005),"*",LINEAS!$D$18&amp;" UNI G"&amp;DATOS!$C$22&amp;" "&amp;TEXT(LINEAS!$BB$18*DATOS!$C$67,DATOS!$C$68)))</f>
        <v/>
      </c>
      <c r="E454" s="42" t="str">
        <f t="shared" si="13"/>
        <v/>
      </c>
    </row>
    <row r="455" spans="2:5" ht="15" customHeight="1" x14ac:dyDescent="0.3">
      <c r="B455" s="44" t="str">
        <f>IF(OR(LINEAS!$D$19="",ABS(-LINEAS!$AD$19*DATOS!$C$67)&lt;0.00005),"*",LINEAS!$D$19&amp;" UNI GY "&amp;TEXT(-LINEAS!$AD$19*DATOS!$C$67,DATOS!$C$68))</f>
        <v>8 89 TO 92 UNI GY 0.0635</v>
      </c>
      <c r="C455" s="42" t="str">
        <f t="shared" si="12"/>
        <v/>
      </c>
      <c r="D455" s="44" t="str">
        <f>IF(PRESIONES!$C$22="NO","",IF(OR(LINEAS!$D$19="",ABS(-LINEAS!$AT$19*DATOS!$C$67)&lt;0.00005),"*",LINEAS!$D$19&amp;" UNI GY "&amp;TEXT(-LINEAS!$AT$19*DATOS!$C$67,DATOS!$C$68)))</f>
        <v/>
      </c>
      <c r="E455" s="42" t="str">
        <f t="shared" si="13"/>
        <v/>
      </c>
    </row>
    <row r="456" spans="2:5" ht="15" customHeight="1" x14ac:dyDescent="0.3">
      <c r="B456" s="44" t="str">
        <f>IF(OR(LINEAS!$D$19="",DATOS!$C$22="—",ABS(LINEAS!$AL$19*DATOS!$C$67)&lt;0.00005),"*",LINEAS!$D$19&amp;" UNI G"&amp;DATOS!$C$22&amp;" "&amp;TEXT(LINEAS!$AL$19*DATOS!$C$67,DATOS!$C$68))</f>
        <v>8 89 TO 92 UNI GZ 0.0032</v>
      </c>
      <c r="C456" s="42" t="str">
        <f t="shared" si="12"/>
        <v/>
      </c>
      <c r="D456" s="44" t="str">
        <f>IF(PRESIONES!$C$22="NO","",IF(OR(LINEAS!$D$19="",DATOS!$C$22="—",ABS(LINEAS!$BB$19*DATOS!$C$67)&lt;0.00005),"*",LINEAS!$D$19&amp;" UNI G"&amp;DATOS!$C$22&amp;" "&amp;TEXT(LINEAS!$BB$19*DATOS!$C$67,DATOS!$C$68)))</f>
        <v/>
      </c>
      <c r="E456" s="42" t="str">
        <f t="shared" si="13"/>
        <v/>
      </c>
    </row>
    <row r="457" spans="2:5" ht="15" customHeight="1" x14ac:dyDescent="0.3">
      <c r="B457" s="44" t="str">
        <f>IF(OR(LINEAS!$D$20="",ABS(-LINEAS!$AD$20*DATOS!$C$67)&lt;0.00005),"*",LINEAS!$D$20&amp;" UNI GY "&amp;TEXT(-LINEAS!$AD$20*DATOS!$C$67,DATOS!$C$68))</f>
        <v>56 97 TO 100 UNI GY 0.0610</v>
      </c>
      <c r="C457" s="42" t="str">
        <f t="shared" ref="C457:C520" si="14">IF(LEN($B457)&gt;79,"MÁS DE 79 CARACTERES","")</f>
        <v/>
      </c>
      <c r="D457" s="44" t="str">
        <f>IF(PRESIONES!$C$22="NO","",IF(OR(LINEAS!$D$20="",ABS(-LINEAS!$AT$20*DATOS!$C$67)&lt;0.00005),"*",LINEAS!$D$20&amp;" UNI GY "&amp;TEXT(-LINEAS!$AT$20*DATOS!$C$67,DATOS!$C$68)))</f>
        <v/>
      </c>
      <c r="E457" s="42" t="str">
        <f t="shared" ref="E457:E520" si="15">IF(LEN($D457)&gt;79,"MÁS DE 79 CARACTERES","")</f>
        <v/>
      </c>
    </row>
    <row r="458" spans="2:5" ht="15" customHeight="1" x14ac:dyDescent="0.3">
      <c r="B458" s="44" t="str">
        <f>IF(OR(LINEAS!$D$20="",DATOS!$C$22="—",ABS(LINEAS!$AL$20*DATOS!$C$67)&lt;0.00005),"*",LINEAS!$D$20&amp;" UNI G"&amp;DATOS!$C$22&amp;" "&amp;TEXT(LINEAS!$AL$20*DATOS!$C$67,DATOS!$C$68))</f>
        <v>56 97 TO 100 UNI GZ 0.0031</v>
      </c>
      <c r="C458" s="42" t="str">
        <f t="shared" si="14"/>
        <v/>
      </c>
      <c r="D458" s="44" t="str">
        <f>IF(PRESIONES!$C$22="NO","",IF(OR(LINEAS!$D$20="",DATOS!$C$22="—",ABS(LINEAS!$BB$20*DATOS!$C$67)&lt;0.00005),"*",LINEAS!$D$20&amp;" UNI G"&amp;DATOS!$C$22&amp;" "&amp;TEXT(LINEAS!$BB$20*DATOS!$C$67,DATOS!$C$68)))</f>
        <v/>
      </c>
      <c r="E458" s="42" t="str">
        <f t="shared" si="15"/>
        <v/>
      </c>
    </row>
    <row r="459" spans="2:5" ht="15" customHeight="1" x14ac:dyDescent="0.3">
      <c r="B459" s="44" t="str">
        <f>IF(OR(LINEAS!$D$21="",ABS(-LINEAS!$AD$21*DATOS!$C$67)&lt;0.00005),"*",LINEAS!$D$21&amp;" UNI GY "&amp;TEXT(-LINEAS!$AD$21*DATOS!$C$67,DATOS!$C$68))</f>
        <v>7 81 TO 84 UNI GY 0.0305</v>
      </c>
      <c r="C459" s="42" t="str">
        <f t="shared" si="14"/>
        <v/>
      </c>
      <c r="D459" s="44" t="str">
        <f>IF(PRESIONES!$C$22="NO","",IF(OR(LINEAS!$D$21="",ABS(-LINEAS!$AT$21*DATOS!$C$67)&lt;0.00005),"*",LINEAS!$D$21&amp;" UNI GY "&amp;TEXT(-LINEAS!$AT$21*DATOS!$C$67,DATOS!$C$68)))</f>
        <v/>
      </c>
      <c r="E459" s="42" t="str">
        <f t="shared" si="15"/>
        <v/>
      </c>
    </row>
    <row r="460" spans="2:5" ht="15" customHeight="1" x14ac:dyDescent="0.3">
      <c r="B460" s="44" t="str">
        <f>IF(OR(LINEAS!$D$21="",DATOS!$C$22="—",ABS(LINEAS!$AL$21*DATOS!$C$67)&lt;0.00005),"*",LINEAS!$D$21&amp;" UNI G"&amp;DATOS!$C$22&amp;" "&amp;TEXT(LINEAS!$AL$21*DATOS!$C$67,DATOS!$C$68))</f>
        <v>7 81 TO 84 UNI GZ 0.0015</v>
      </c>
      <c r="C460" s="42" t="str">
        <f t="shared" si="14"/>
        <v/>
      </c>
      <c r="D460" s="44" t="str">
        <f>IF(PRESIONES!$C$22="NO","",IF(OR(LINEAS!$D$21="",DATOS!$C$22="—",ABS(LINEAS!$BB$21*DATOS!$C$67)&lt;0.00005),"*",LINEAS!$D$21&amp;" UNI G"&amp;DATOS!$C$22&amp;" "&amp;TEXT(LINEAS!$BB$21*DATOS!$C$67,DATOS!$C$68)))</f>
        <v/>
      </c>
      <c r="E460" s="42" t="str">
        <f t="shared" si="15"/>
        <v/>
      </c>
    </row>
    <row r="461" spans="2:5" ht="15" customHeight="1" x14ac:dyDescent="0.3">
      <c r="B461" s="44" t="str">
        <f>IF(OR(LINEAS!$D$22="",ABS(-LINEAS!$AD$22*DATOS!$C$67)&lt;0.00005),"*",LINEAS!$D$22&amp;" UNI GY "&amp;TEXT(-LINEAS!$AD$22*DATOS!$C$67,DATOS!$C$68))</f>
        <v>*</v>
      </c>
      <c r="C461" s="42" t="str">
        <f t="shared" si="14"/>
        <v/>
      </c>
      <c r="D461" s="44" t="str">
        <f>IF(PRESIONES!$C$22="NO","",IF(OR(LINEAS!$D$22="",ABS(-LINEAS!$AT$22*DATOS!$C$67)&lt;0.00005),"*",LINEAS!$D$22&amp;" UNI GY "&amp;TEXT(-LINEAS!$AT$22*DATOS!$C$67,DATOS!$C$68)))</f>
        <v/>
      </c>
      <c r="E461" s="42" t="str">
        <f t="shared" si="15"/>
        <v/>
      </c>
    </row>
    <row r="462" spans="2:5" ht="15" customHeight="1" x14ac:dyDescent="0.3">
      <c r="B462" s="44" t="str">
        <f>IF(OR(LINEAS!$D$22="",DATOS!$C$22="—",ABS(LINEAS!$AL$22*DATOS!$C$67)&lt;0.00005),"*",LINEAS!$D$22&amp;" UNI G"&amp;DATOS!$C$22&amp;" "&amp;TEXT(LINEAS!$AL$22*DATOS!$C$67,DATOS!$C$68))</f>
        <v>*</v>
      </c>
      <c r="C462" s="42" t="str">
        <f t="shared" si="14"/>
        <v/>
      </c>
      <c r="D462" s="44" t="str">
        <f>IF(PRESIONES!$C$22="NO","",IF(OR(LINEAS!$D$22="",DATOS!$C$22="—",ABS(LINEAS!$BB$22*DATOS!$C$67)&lt;0.00005),"*",LINEAS!$D$22&amp;" UNI G"&amp;DATOS!$C$22&amp;" "&amp;TEXT(LINEAS!$BB$22*DATOS!$C$67,DATOS!$C$68)))</f>
        <v/>
      </c>
      <c r="E462" s="42" t="str">
        <f t="shared" si="15"/>
        <v/>
      </c>
    </row>
    <row r="463" spans="2:5" ht="15" customHeight="1" x14ac:dyDescent="0.3">
      <c r="B463" s="44" t="str">
        <f>IF(OR(LINEAS!$D$23="",ABS(-LINEAS!$AD$23*DATOS!$C$67)&lt;0.00005),"*",LINEAS!$D$23&amp;" UNI GY "&amp;TEXT(-LINEAS!$AD$23*DATOS!$C$67,DATOS!$C$68))</f>
        <v>*</v>
      </c>
      <c r="C463" s="42" t="str">
        <f t="shared" si="14"/>
        <v/>
      </c>
      <c r="D463" s="44" t="str">
        <f>IF(PRESIONES!$C$22="NO","",IF(OR(LINEAS!$D$23="",ABS(-LINEAS!$AT$23*DATOS!$C$67)&lt;0.00005),"*",LINEAS!$D$23&amp;" UNI GY "&amp;TEXT(-LINEAS!$AT$23*DATOS!$C$67,DATOS!$C$68)))</f>
        <v/>
      </c>
      <c r="E463" s="42" t="str">
        <f t="shared" si="15"/>
        <v/>
      </c>
    </row>
    <row r="464" spans="2:5" ht="15" customHeight="1" x14ac:dyDescent="0.3">
      <c r="B464" s="44" t="str">
        <f>IF(OR(LINEAS!$D$23="",DATOS!$C$22="—",ABS(LINEAS!$AL$23*DATOS!$C$67)&lt;0.00005),"*",LINEAS!$D$23&amp;" UNI G"&amp;DATOS!$C$22&amp;" "&amp;TEXT(LINEAS!$AL$23*DATOS!$C$67,DATOS!$C$68))</f>
        <v>*</v>
      </c>
      <c r="C464" s="42" t="str">
        <f t="shared" si="14"/>
        <v/>
      </c>
      <c r="D464" s="44" t="str">
        <f>IF(PRESIONES!$C$22="NO","",IF(OR(LINEAS!$D$23="",DATOS!$C$22="—",ABS(LINEAS!$BB$23*DATOS!$C$67)&lt;0.00005),"*",LINEAS!$D$23&amp;" UNI G"&amp;DATOS!$C$22&amp;" "&amp;TEXT(LINEAS!$BB$23*DATOS!$C$67,DATOS!$C$68)))</f>
        <v/>
      </c>
      <c r="E464" s="42" t="str">
        <f t="shared" si="15"/>
        <v/>
      </c>
    </row>
    <row r="465" spans="2:5" ht="15" customHeight="1" x14ac:dyDescent="0.3">
      <c r="B465" s="44" t="str">
        <f>IF(OR(LINEAS!$D$24="",ABS(-LINEAS!$AD$24*DATOS!$C$67)&lt;0.00005),"*",LINEAS!$D$24&amp;" UNI GY "&amp;TEXT(-LINEAS!$AD$24*DATOS!$C$67,DATOS!$C$68))</f>
        <v>*</v>
      </c>
      <c r="C465" s="42" t="str">
        <f t="shared" si="14"/>
        <v/>
      </c>
      <c r="D465" s="44" t="str">
        <f>IF(PRESIONES!$C$22="NO","",IF(OR(LINEAS!$D$24="",ABS(-LINEAS!$AT$24*DATOS!$C$67)&lt;0.00005),"*",LINEAS!$D$24&amp;" UNI GY "&amp;TEXT(-LINEAS!$AT$24*DATOS!$C$67,DATOS!$C$68)))</f>
        <v/>
      </c>
      <c r="E465" s="42" t="str">
        <f t="shared" si="15"/>
        <v/>
      </c>
    </row>
    <row r="466" spans="2:5" ht="15" customHeight="1" x14ac:dyDescent="0.3">
      <c r="B466" s="44" t="str">
        <f>IF(OR(LINEAS!$D$24="",DATOS!$C$22="—",ABS(LINEAS!$AL$24*DATOS!$C$67)&lt;0.00005),"*",LINEAS!$D$24&amp;" UNI G"&amp;DATOS!$C$22&amp;" "&amp;TEXT(LINEAS!$AL$24*DATOS!$C$67,DATOS!$C$68))</f>
        <v>*</v>
      </c>
      <c r="C466" s="42" t="str">
        <f t="shared" si="14"/>
        <v/>
      </c>
      <c r="D466" s="44" t="str">
        <f>IF(PRESIONES!$C$22="NO","",IF(OR(LINEAS!$D$24="",DATOS!$C$22="—",ABS(LINEAS!$BB$24*DATOS!$C$67)&lt;0.00005),"*",LINEAS!$D$24&amp;" UNI G"&amp;DATOS!$C$22&amp;" "&amp;TEXT(LINEAS!$BB$24*DATOS!$C$67,DATOS!$C$68)))</f>
        <v/>
      </c>
      <c r="E466" s="42" t="str">
        <f t="shared" si="15"/>
        <v/>
      </c>
    </row>
    <row r="467" spans="2:5" ht="15" customHeight="1" x14ac:dyDescent="0.3">
      <c r="B467" s="44" t="str">
        <f>IF(OR(LINEAS!$D$25="",ABS(-LINEAS!$AD$25*DATOS!$C$67)&lt;0.00005),"*",LINEAS!$D$25&amp;" UNI GY "&amp;TEXT(-LINEAS!$AD$25*DATOS!$C$67,DATOS!$C$68))</f>
        <v>*</v>
      </c>
      <c r="C467" s="42" t="str">
        <f t="shared" si="14"/>
        <v/>
      </c>
      <c r="D467" s="44" t="str">
        <f>IF(PRESIONES!$C$22="NO","",IF(OR(LINEAS!$D$25="",ABS(-LINEAS!$AT$25*DATOS!$C$67)&lt;0.00005),"*",LINEAS!$D$25&amp;" UNI GY "&amp;TEXT(-LINEAS!$AT$25*DATOS!$C$67,DATOS!$C$68)))</f>
        <v/>
      </c>
      <c r="E467" s="42" t="str">
        <f t="shared" si="15"/>
        <v/>
      </c>
    </row>
    <row r="468" spans="2:5" ht="15" customHeight="1" x14ac:dyDescent="0.3">
      <c r="B468" s="44" t="str">
        <f>IF(OR(LINEAS!$D$25="",DATOS!$C$22="—",ABS(LINEAS!$AL$25*DATOS!$C$67)&lt;0.00005),"*",LINEAS!$D$25&amp;" UNI G"&amp;DATOS!$C$22&amp;" "&amp;TEXT(LINEAS!$AL$25*DATOS!$C$67,DATOS!$C$68))</f>
        <v>*</v>
      </c>
      <c r="C468" s="42" t="str">
        <f t="shared" si="14"/>
        <v/>
      </c>
      <c r="D468" s="44" t="str">
        <f>IF(PRESIONES!$C$22="NO","",IF(OR(LINEAS!$D$25="",DATOS!$C$22="—",ABS(LINEAS!$BB$25*DATOS!$C$67)&lt;0.00005),"*",LINEAS!$D$25&amp;" UNI G"&amp;DATOS!$C$22&amp;" "&amp;TEXT(LINEAS!$BB$25*DATOS!$C$67,DATOS!$C$68)))</f>
        <v/>
      </c>
      <c r="E468" s="42" t="str">
        <f t="shared" si="15"/>
        <v/>
      </c>
    </row>
    <row r="469" spans="2:5" ht="15" customHeight="1" x14ac:dyDescent="0.3">
      <c r="B469" s="44" t="str">
        <f>IF(OR(LINEAS!$D$26="",ABS(-LINEAS!$AD$26*DATOS!$C$67)&lt;0.00005),"*",LINEAS!$D$26&amp;" UNI GY "&amp;TEXT(-LINEAS!$AD$26*DATOS!$C$67,DATOS!$C$68))</f>
        <v>*</v>
      </c>
      <c r="C469" s="42" t="str">
        <f t="shared" si="14"/>
        <v/>
      </c>
      <c r="D469" s="44" t="str">
        <f>IF(PRESIONES!$C$22="NO","",IF(OR(LINEAS!$D$26="",ABS(-LINEAS!$AT$26*DATOS!$C$67)&lt;0.00005),"*",LINEAS!$D$26&amp;" UNI GY "&amp;TEXT(-LINEAS!$AT$26*DATOS!$C$67,DATOS!$C$68)))</f>
        <v/>
      </c>
      <c r="E469" s="42" t="str">
        <f t="shared" si="15"/>
        <v/>
      </c>
    </row>
    <row r="470" spans="2:5" ht="15" customHeight="1" x14ac:dyDescent="0.3">
      <c r="B470" s="44" t="str">
        <f>IF(OR(LINEAS!$D$26="",DATOS!$C$22="—",ABS(LINEAS!$AL$26*DATOS!$C$67)&lt;0.00005),"*",LINEAS!$D$26&amp;" UNI G"&amp;DATOS!$C$22&amp;" "&amp;TEXT(LINEAS!$AL$26*DATOS!$C$67,DATOS!$C$68))</f>
        <v>*</v>
      </c>
      <c r="C470" s="42" t="str">
        <f t="shared" si="14"/>
        <v/>
      </c>
      <c r="D470" s="44" t="str">
        <f>IF(PRESIONES!$C$22="NO","",IF(OR(LINEAS!$D$26="",DATOS!$C$22="—",ABS(LINEAS!$BB$26*DATOS!$C$67)&lt;0.00005),"*",LINEAS!$D$26&amp;" UNI G"&amp;DATOS!$C$22&amp;" "&amp;TEXT(LINEAS!$BB$26*DATOS!$C$67,DATOS!$C$68)))</f>
        <v/>
      </c>
      <c r="E470" s="42" t="str">
        <f t="shared" si="15"/>
        <v/>
      </c>
    </row>
    <row r="471" spans="2:5" ht="15" customHeight="1" x14ac:dyDescent="0.3">
      <c r="B471" s="44" t="str">
        <f>IF(OR(LINEAS!$D$27="",ABS(-LINEAS!$AD$27*DATOS!$C$67)&lt;0.00005),"*",LINEAS!$D$27&amp;" UNI GY "&amp;TEXT(-LINEAS!$AD$27*DATOS!$C$67,DATOS!$C$68))</f>
        <v>*</v>
      </c>
      <c r="C471" s="42" t="str">
        <f t="shared" si="14"/>
        <v/>
      </c>
      <c r="D471" s="44" t="str">
        <f>IF(PRESIONES!$C$22="NO","",IF(OR(LINEAS!$D$27="",ABS(-LINEAS!$AT$27*DATOS!$C$67)&lt;0.00005),"*",LINEAS!$D$27&amp;" UNI GY "&amp;TEXT(-LINEAS!$AT$27*DATOS!$C$67,DATOS!$C$68)))</f>
        <v/>
      </c>
      <c r="E471" s="42" t="str">
        <f t="shared" si="15"/>
        <v/>
      </c>
    </row>
    <row r="472" spans="2:5" ht="15" customHeight="1" x14ac:dyDescent="0.3">
      <c r="B472" s="44" t="str">
        <f>IF(OR(LINEAS!$D$27="",DATOS!$C$22="—",ABS(LINEAS!$AL$27*DATOS!$C$67)&lt;0.00005),"*",LINEAS!$D$27&amp;" UNI G"&amp;DATOS!$C$22&amp;" "&amp;TEXT(LINEAS!$AL$27*DATOS!$C$67,DATOS!$C$68))</f>
        <v>*</v>
      </c>
      <c r="C472" s="42" t="str">
        <f t="shared" si="14"/>
        <v/>
      </c>
      <c r="D472" s="44" t="str">
        <f>IF(PRESIONES!$C$22="NO","",IF(OR(LINEAS!$D$27="",DATOS!$C$22="—",ABS(LINEAS!$BB$27*DATOS!$C$67)&lt;0.00005),"*",LINEAS!$D$27&amp;" UNI G"&amp;DATOS!$C$22&amp;" "&amp;TEXT(LINEAS!$BB$27*DATOS!$C$67,DATOS!$C$68)))</f>
        <v/>
      </c>
      <c r="E472" s="42" t="str">
        <f t="shared" si="15"/>
        <v/>
      </c>
    </row>
    <row r="473" spans="2:5" ht="15" customHeight="1" x14ac:dyDescent="0.3">
      <c r="B473" s="44" t="str">
        <f>IF(OR(LINEAS!$D$28="",ABS(-LINEAS!$AD$28*DATOS!$C$67)&lt;0.00005),"*",LINEAS!$D$28&amp;" UNI GY "&amp;TEXT(-LINEAS!$AD$28*DATOS!$C$67,DATOS!$C$68))</f>
        <v>*</v>
      </c>
      <c r="C473" s="42" t="str">
        <f t="shared" si="14"/>
        <v/>
      </c>
      <c r="D473" s="44" t="str">
        <f>IF(PRESIONES!$C$22="NO","",IF(OR(LINEAS!$D$28="",ABS(-LINEAS!$AT$28*DATOS!$C$67)&lt;0.00005),"*",LINEAS!$D$28&amp;" UNI GY "&amp;TEXT(-LINEAS!$AT$28*DATOS!$C$67,DATOS!$C$68)))</f>
        <v/>
      </c>
      <c r="E473" s="42" t="str">
        <f t="shared" si="15"/>
        <v/>
      </c>
    </row>
    <row r="474" spans="2:5" ht="15" customHeight="1" x14ac:dyDescent="0.3">
      <c r="B474" s="44" t="str">
        <f>IF(OR(LINEAS!$D$28="",DATOS!$C$22="—",ABS(LINEAS!$AL$28*DATOS!$C$67)&lt;0.00005),"*",LINEAS!$D$28&amp;" UNI G"&amp;DATOS!$C$22&amp;" "&amp;TEXT(LINEAS!$AL$28*DATOS!$C$67,DATOS!$C$68))</f>
        <v>*</v>
      </c>
      <c r="C474" s="42" t="str">
        <f t="shared" si="14"/>
        <v/>
      </c>
      <c r="D474" s="44" t="str">
        <f>IF(PRESIONES!$C$22="NO","",IF(OR(LINEAS!$D$28="",DATOS!$C$22="—",ABS(LINEAS!$BB$28*DATOS!$C$67)&lt;0.00005),"*",LINEAS!$D$28&amp;" UNI G"&amp;DATOS!$C$22&amp;" "&amp;TEXT(LINEAS!$BB$28*DATOS!$C$67,DATOS!$C$68)))</f>
        <v/>
      </c>
      <c r="E474" s="42" t="str">
        <f t="shared" si="15"/>
        <v/>
      </c>
    </row>
    <row r="475" spans="2:5" ht="15" customHeight="1" x14ac:dyDescent="0.3">
      <c r="B475" s="44" t="str">
        <f>IF(OR(LINEAS!$D$29="",ABS(-LINEAS!$AD$29*DATOS!$C$67)&lt;0.00005),"*",LINEAS!$D$29&amp;" UNI GY "&amp;TEXT(-LINEAS!$AD$29*DATOS!$C$67,DATOS!$C$68))</f>
        <v>*</v>
      </c>
      <c r="C475" s="42" t="str">
        <f t="shared" si="14"/>
        <v/>
      </c>
      <c r="D475" s="44" t="str">
        <f>IF(PRESIONES!$C$22="NO","",IF(OR(LINEAS!$D$29="",ABS(-LINEAS!$AT$29*DATOS!$C$67)&lt;0.00005),"*",LINEAS!$D$29&amp;" UNI GY "&amp;TEXT(-LINEAS!$AT$29*DATOS!$C$67,DATOS!$C$68)))</f>
        <v/>
      </c>
      <c r="E475" s="42" t="str">
        <f t="shared" si="15"/>
        <v/>
      </c>
    </row>
    <row r="476" spans="2:5" ht="15" customHeight="1" x14ac:dyDescent="0.3">
      <c r="B476" s="44" t="str">
        <f>IF(OR(LINEAS!$D$29="",DATOS!$C$22="—",ABS(LINEAS!$AL$29*DATOS!$C$67)&lt;0.00005),"*",LINEAS!$D$29&amp;" UNI G"&amp;DATOS!$C$22&amp;" "&amp;TEXT(LINEAS!$AL$29*DATOS!$C$67,DATOS!$C$68))</f>
        <v>*</v>
      </c>
      <c r="C476" s="42" t="str">
        <f t="shared" si="14"/>
        <v/>
      </c>
      <c r="D476" s="44" t="str">
        <f>IF(PRESIONES!$C$22="NO","",IF(OR(LINEAS!$D$29="",DATOS!$C$22="—",ABS(LINEAS!$BB$29*DATOS!$C$67)&lt;0.00005),"*",LINEAS!$D$29&amp;" UNI G"&amp;DATOS!$C$22&amp;" "&amp;TEXT(LINEAS!$BB$29*DATOS!$C$67,DATOS!$C$68)))</f>
        <v/>
      </c>
      <c r="E476" s="42" t="str">
        <f t="shared" si="15"/>
        <v/>
      </c>
    </row>
    <row r="477" spans="2:5" ht="15" customHeight="1" x14ac:dyDescent="0.3">
      <c r="B477" s="44" t="str">
        <f>IF(OR(LINEAS!$D$30="",ABS(-LINEAS!$AD$30*DATOS!$C$67)&lt;0.00005),"*",LINEAS!$D$30&amp;" UNI GY "&amp;TEXT(-LINEAS!$AD$30*DATOS!$C$67,DATOS!$C$68))</f>
        <v>*</v>
      </c>
      <c r="C477" s="42" t="str">
        <f t="shared" si="14"/>
        <v/>
      </c>
      <c r="D477" s="44" t="str">
        <f>IF(PRESIONES!$C$22="NO","",IF(OR(LINEAS!$D$30="",ABS(-LINEAS!$AT$30*DATOS!$C$67)&lt;0.00005),"*",LINEAS!$D$30&amp;" UNI GY "&amp;TEXT(-LINEAS!$AT$30*DATOS!$C$67,DATOS!$C$68)))</f>
        <v/>
      </c>
      <c r="E477" s="42" t="str">
        <f t="shared" si="15"/>
        <v/>
      </c>
    </row>
    <row r="478" spans="2:5" ht="15" customHeight="1" x14ac:dyDescent="0.3">
      <c r="B478" s="44" t="str">
        <f>IF(OR(LINEAS!$D$30="",DATOS!$C$22="—",ABS(LINEAS!$AL$30*DATOS!$C$67)&lt;0.00005),"*",LINEAS!$D$30&amp;" UNI G"&amp;DATOS!$C$22&amp;" "&amp;TEXT(LINEAS!$AL$30*DATOS!$C$67,DATOS!$C$68))</f>
        <v>*</v>
      </c>
      <c r="C478" s="42" t="str">
        <f t="shared" si="14"/>
        <v/>
      </c>
      <c r="D478" s="44" t="str">
        <f>IF(PRESIONES!$C$22="NO","",IF(OR(LINEAS!$D$30="",DATOS!$C$22="—",ABS(LINEAS!$BB$30*DATOS!$C$67)&lt;0.00005),"*",LINEAS!$D$30&amp;" UNI G"&amp;DATOS!$C$22&amp;" "&amp;TEXT(LINEAS!$BB$30*DATOS!$C$67,DATOS!$C$68)))</f>
        <v/>
      </c>
      <c r="E478" s="42" t="str">
        <f t="shared" si="15"/>
        <v/>
      </c>
    </row>
    <row r="479" spans="2:5" ht="15" customHeight="1" x14ac:dyDescent="0.3">
      <c r="B479" s="44" t="str">
        <f>IF(OR(LINEAS!$D$31="",ABS(-LINEAS!$AD$31*DATOS!$C$67)&lt;0.00005),"*",LINEAS!$D$31&amp;" UNI GY "&amp;TEXT(-LINEAS!$AD$31*DATOS!$C$67,DATOS!$C$68))</f>
        <v>*</v>
      </c>
      <c r="C479" s="42" t="str">
        <f t="shared" si="14"/>
        <v/>
      </c>
      <c r="D479" s="44" t="str">
        <f>IF(PRESIONES!$C$22="NO","",IF(OR(LINEAS!$D$31="",ABS(-LINEAS!$AT$31*DATOS!$C$67)&lt;0.00005),"*",LINEAS!$D$31&amp;" UNI GY "&amp;TEXT(-LINEAS!$AT$31*DATOS!$C$67,DATOS!$C$68)))</f>
        <v/>
      </c>
      <c r="E479" s="42" t="str">
        <f t="shared" si="15"/>
        <v/>
      </c>
    </row>
    <row r="480" spans="2:5" ht="15" customHeight="1" x14ac:dyDescent="0.3">
      <c r="B480" s="44" t="str">
        <f>IF(OR(LINEAS!$D$31="",DATOS!$C$22="—",ABS(LINEAS!$AL$31*DATOS!$C$67)&lt;0.00005),"*",LINEAS!$D$31&amp;" UNI G"&amp;DATOS!$C$22&amp;" "&amp;TEXT(LINEAS!$AL$31*DATOS!$C$67,DATOS!$C$68))</f>
        <v>*</v>
      </c>
      <c r="C480" s="42" t="str">
        <f t="shared" si="14"/>
        <v/>
      </c>
      <c r="D480" s="44" t="str">
        <f>IF(PRESIONES!$C$22="NO","",IF(OR(LINEAS!$D$31="",DATOS!$C$22="—",ABS(LINEAS!$BB$31*DATOS!$C$67)&lt;0.00005),"*",LINEAS!$D$31&amp;" UNI G"&amp;DATOS!$C$22&amp;" "&amp;TEXT(LINEAS!$BB$31*DATOS!$C$67,DATOS!$C$68)))</f>
        <v/>
      </c>
      <c r="E480" s="42" t="str">
        <f t="shared" si="15"/>
        <v/>
      </c>
    </row>
    <row r="481" spans="2:5" ht="15" customHeight="1" x14ac:dyDescent="0.3">
      <c r="B481" s="44" t="str">
        <f>IF(OR(LINEAS!$D$32="",ABS(-LINEAS!$AD$32*DATOS!$C$67)&lt;0.00005),"*",LINEAS!$D$32&amp;" UNI GY "&amp;TEXT(-LINEAS!$AD$32*DATOS!$C$67,DATOS!$C$68))</f>
        <v>*</v>
      </c>
      <c r="C481" s="42" t="str">
        <f t="shared" si="14"/>
        <v/>
      </c>
      <c r="D481" s="44" t="str">
        <f>IF(PRESIONES!$C$22="NO","",IF(OR(LINEAS!$D$32="",ABS(-LINEAS!$AT$32*DATOS!$C$67)&lt;0.00005),"*",LINEAS!$D$32&amp;" UNI GY "&amp;TEXT(-LINEAS!$AT$32*DATOS!$C$67,DATOS!$C$68)))</f>
        <v/>
      </c>
      <c r="E481" s="42" t="str">
        <f t="shared" si="15"/>
        <v/>
      </c>
    </row>
    <row r="482" spans="2:5" ht="15" customHeight="1" x14ac:dyDescent="0.3">
      <c r="B482" s="44" t="str">
        <f>IF(OR(LINEAS!$D$32="",DATOS!$C$22="—",ABS(LINEAS!$AL$32*DATOS!$C$67)&lt;0.00005),"*",LINEAS!$D$32&amp;" UNI G"&amp;DATOS!$C$22&amp;" "&amp;TEXT(LINEAS!$AL$32*DATOS!$C$67,DATOS!$C$68))</f>
        <v>*</v>
      </c>
      <c r="C482" s="42" t="str">
        <f t="shared" si="14"/>
        <v/>
      </c>
      <c r="D482" s="44" t="str">
        <f>IF(PRESIONES!$C$22="NO","",IF(OR(LINEAS!$D$32="",DATOS!$C$22="—",ABS(LINEAS!$BB$32*DATOS!$C$67)&lt;0.00005),"*",LINEAS!$D$32&amp;" UNI G"&amp;DATOS!$C$22&amp;" "&amp;TEXT(LINEAS!$BB$32*DATOS!$C$67,DATOS!$C$68)))</f>
        <v/>
      </c>
      <c r="E482" s="42" t="str">
        <f t="shared" si="15"/>
        <v/>
      </c>
    </row>
    <row r="483" spans="2:5" ht="15" customHeight="1" x14ac:dyDescent="0.3">
      <c r="B483" s="44" t="str">
        <f>IF(OR(LINEAS!$D$33="",ABS(-LINEAS!$AD$33*DATOS!$C$67)&lt;0.00005),"*",LINEAS!$D$33&amp;" UNI GY "&amp;TEXT(-LINEAS!$AD$33*DATOS!$C$67,DATOS!$C$68))</f>
        <v>*</v>
      </c>
      <c r="C483" s="42" t="str">
        <f t="shared" si="14"/>
        <v/>
      </c>
      <c r="D483" s="44" t="str">
        <f>IF(PRESIONES!$C$22="NO","",IF(OR(LINEAS!$D$33="",ABS(-LINEAS!$AT$33*DATOS!$C$67)&lt;0.00005),"*",LINEAS!$D$33&amp;" UNI GY "&amp;TEXT(-LINEAS!$AT$33*DATOS!$C$67,DATOS!$C$68)))</f>
        <v/>
      </c>
      <c r="E483" s="42" t="str">
        <f t="shared" si="15"/>
        <v/>
      </c>
    </row>
    <row r="484" spans="2:5" ht="15" customHeight="1" x14ac:dyDescent="0.3">
      <c r="B484" s="44" t="str">
        <f>IF(OR(LINEAS!$D$33="",DATOS!$C$22="—",ABS(LINEAS!$AL$33*DATOS!$C$67)&lt;0.00005),"*",LINEAS!$D$33&amp;" UNI G"&amp;DATOS!$C$22&amp;" "&amp;TEXT(LINEAS!$AL$33*DATOS!$C$67,DATOS!$C$68))</f>
        <v>*</v>
      </c>
      <c r="C484" s="42" t="str">
        <f t="shared" si="14"/>
        <v/>
      </c>
      <c r="D484" s="44" t="str">
        <f>IF(PRESIONES!$C$22="NO","",IF(OR(LINEAS!$D$33="",DATOS!$C$22="—",ABS(LINEAS!$BB$33*DATOS!$C$67)&lt;0.00005),"*",LINEAS!$D$33&amp;" UNI G"&amp;DATOS!$C$22&amp;" "&amp;TEXT(LINEAS!$BB$33*DATOS!$C$67,DATOS!$C$68)))</f>
        <v/>
      </c>
      <c r="E484" s="42" t="str">
        <f t="shared" si="15"/>
        <v/>
      </c>
    </row>
    <row r="485" spans="2:5" ht="15" customHeight="1" x14ac:dyDescent="0.3">
      <c r="B485" s="44" t="str">
        <f>IF(OR(LINEAS!$D$34="",ABS(-LINEAS!$AD$34*DATOS!$C$67)&lt;0.00005),"*",LINEAS!$D$34&amp;" UNI GY "&amp;TEXT(-LINEAS!$AD$34*DATOS!$C$67,DATOS!$C$68))</f>
        <v>*</v>
      </c>
      <c r="C485" s="42" t="str">
        <f t="shared" si="14"/>
        <v/>
      </c>
      <c r="D485" s="44" t="str">
        <f>IF(PRESIONES!$C$22="NO","",IF(OR(LINEAS!$D$34="",ABS(-LINEAS!$AT$34*DATOS!$C$67)&lt;0.00005),"*",LINEAS!$D$34&amp;" UNI GY "&amp;TEXT(-LINEAS!$AT$34*DATOS!$C$67,DATOS!$C$68)))</f>
        <v/>
      </c>
      <c r="E485" s="42" t="str">
        <f t="shared" si="15"/>
        <v/>
      </c>
    </row>
    <row r="486" spans="2:5" ht="15" customHeight="1" x14ac:dyDescent="0.3">
      <c r="B486" s="44" t="str">
        <f>IF(OR(LINEAS!$D$34="",DATOS!$C$22="—",ABS(LINEAS!$AL$34*DATOS!$C$67)&lt;0.00005),"*",LINEAS!$D$34&amp;" UNI G"&amp;DATOS!$C$22&amp;" "&amp;TEXT(LINEAS!$AL$34*DATOS!$C$67,DATOS!$C$68))</f>
        <v>*</v>
      </c>
      <c r="C486" s="42" t="str">
        <f t="shared" si="14"/>
        <v/>
      </c>
      <c r="D486" s="44" t="str">
        <f>IF(PRESIONES!$C$22="NO","",IF(OR(LINEAS!$D$34="",DATOS!$C$22="—",ABS(LINEAS!$BB$34*DATOS!$C$67)&lt;0.00005),"*",LINEAS!$D$34&amp;" UNI G"&amp;DATOS!$C$22&amp;" "&amp;TEXT(LINEAS!$BB$34*DATOS!$C$67,DATOS!$C$68)))</f>
        <v/>
      </c>
      <c r="E486" s="42" t="str">
        <f t="shared" si="15"/>
        <v/>
      </c>
    </row>
    <row r="487" spans="2:5" ht="15" customHeight="1" x14ac:dyDescent="0.3">
      <c r="B487" s="44" t="str">
        <f>IF(OR(LINEAS!$D$35="",ABS(-LINEAS!$AD$35*DATOS!$C$67)&lt;0.00005),"*",LINEAS!$D$35&amp;" UNI GY "&amp;TEXT(-LINEAS!$AD$35*DATOS!$C$67,DATOS!$C$68))</f>
        <v>*</v>
      </c>
      <c r="C487" s="42" t="str">
        <f t="shared" si="14"/>
        <v/>
      </c>
      <c r="D487" s="44" t="str">
        <f>IF(PRESIONES!$C$22="NO","",IF(OR(LINEAS!$D$35="",ABS(-LINEAS!$AT$35*DATOS!$C$67)&lt;0.00005),"*",LINEAS!$D$35&amp;" UNI GY "&amp;TEXT(-LINEAS!$AT$35*DATOS!$C$67,DATOS!$C$68)))</f>
        <v/>
      </c>
      <c r="E487" s="42" t="str">
        <f t="shared" si="15"/>
        <v/>
      </c>
    </row>
    <row r="488" spans="2:5" ht="15" customHeight="1" x14ac:dyDescent="0.3">
      <c r="B488" s="44" t="str">
        <f>IF(OR(LINEAS!$D$35="",DATOS!$C$22="—",ABS(LINEAS!$AL$35*DATOS!$C$67)&lt;0.00005),"*",LINEAS!$D$35&amp;" UNI G"&amp;DATOS!$C$22&amp;" "&amp;TEXT(LINEAS!$AL$35*DATOS!$C$67,DATOS!$C$68))</f>
        <v>*</v>
      </c>
      <c r="C488" s="42" t="str">
        <f t="shared" si="14"/>
        <v/>
      </c>
      <c r="D488" s="44" t="str">
        <f>IF(PRESIONES!$C$22="NO","",IF(OR(LINEAS!$D$35="",DATOS!$C$22="—",ABS(LINEAS!$BB$35*DATOS!$C$67)&lt;0.00005),"*",LINEAS!$D$35&amp;" UNI G"&amp;DATOS!$C$22&amp;" "&amp;TEXT(LINEAS!$BB$35*DATOS!$C$67,DATOS!$C$68)))</f>
        <v/>
      </c>
      <c r="E488" s="42" t="str">
        <f t="shared" si="15"/>
        <v/>
      </c>
    </row>
    <row r="489" spans="2:5" ht="15" customHeight="1" x14ac:dyDescent="0.3">
      <c r="B489" s="44" t="str">
        <f>IF(OR(LINEAS!$D$36="",ABS(-LINEAS!$AD$36*DATOS!$C$67)&lt;0.00005),"*",LINEAS!$D$36&amp;" UNI GY "&amp;TEXT(-LINEAS!$AD$36*DATOS!$C$67,DATOS!$C$68))</f>
        <v>*</v>
      </c>
      <c r="C489" s="42" t="str">
        <f t="shared" si="14"/>
        <v/>
      </c>
      <c r="D489" s="44" t="str">
        <f>IF(PRESIONES!$C$22="NO","",IF(OR(LINEAS!$D$36="",ABS(-LINEAS!$AT$36*DATOS!$C$67)&lt;0.00005),"*",LINEAS!$D$36&amp;" UNI GY "&amp;TEXT(-LINEAS!$AT$36*DATOS!$C$67,DATOS!$C$68)))</f>
        <v/>
      </c>
      <c r="E489" s="42" t="str">
        <f t="shared" si="15"/>
        <v/>
      </c>
    </row>
    <row r="490" spans="2:5" ht="15" customHeight="1" x14ac:dyDescent="0.3">
      <c r="B490" s="44" t="str">
        <f>IF(OR(LINEAS!$D$36="",DATOS!$C$22="—",ABS(LINEAS!$AL$36*DATOS!$C$67)&lt;0.00005),"*",LINEAS!$D$36&amp;" UNI G"&amp;DATOS!$C$22&amp;" "&amp;TEXT(LINEAS!$AL$36*DATOS!$C$67,DATOS!$C$68))</f>
        <v>*</v>
      </c>
      <c r="C490" s="42" t="str">
        <f t="shared" si="14"/>
        <v/>
      </c>
      <c r="D490" s="44" t="str">
        <f>IF(PRESIONES!$C$22="NO","",IF(OR(LINEAS!$D$36="",DATOS!$C$22="—",ABS(LINEAS!$BB$36*DATOS!$C$67)&lt;0.00005),"*",LINEAS!$D$36&amp;" UNI G"&amp;DATOS!$C$22&amp;" "&amp;TEXT(LINEAS!$BB$36*DATOS!$C$67,DATOS!$C$68)))</f>
        <v/>
      </c>
      <c r="E490" s="42" t="str">
        <f t="shared" si="15"/>
        <v/>
      </c>
    </row>
    <row r="491" spans="2:5" ht="15" customHeight="1" x14ac:dyDescent="0.3">
      <c r="B491" s="44" t="str">
        <f>IF(OR(LINEAS!$D$37="",ABS(-LINEAS!$AD$37*DATOS!$C$67)&lt;0.00005),"*",LINEAS!$D$37&amp;" UNI GY "&amp;TEXT(-LINEAS!$AD$37*DATOS!$C$67,DATOS!$C$68))</f>
        <v>*</v>
      </c>
      <c r="C491" s="42" t="str">
        <f t="shared" si="14"/>
        <v/>
      </c>
      <c r="D491" s="44" t="str">
        <f>IF(PRESIONES!$C$22="NO","",IF(OR(LINEAS!$D$37="",ABS(-LINEAS!$AT$37*DATOS!$C$67)&lt;0.00005),"*",LINEAS!$D$37&amp;" UNI GY "&amp;TEXT(-LINEAS!$AT$37*DATOS!$C$67,DATOS!$C$68)))</f>
        <v/>
      </c>
      <c r="E491" s="42" t="str">
        <f t="shared" si="15"/>
        <v/>
      </c>
    </row>
    <row r="492" spans="2:5" ht="15" customHeight="1" x14ac:dyDescent="0.3">
      <c r="B492" s="44" t="str">
        <f>IF(OR(LINEAS!$D$37="",DATOS!$C$22="—",ABS(LINEAS!$AL$37*DATOS!$C$67)&lt;0.00005),"*",LINEAS!$D$37&amp;" UNI G"&amp;DATOS!$C$22&amp;" "&amp;TEXT(LINEAS!$AL$37*DATOS!$C$67,DATOS!$C$68))</f>
        <v>*</v>
      </c>
      <c r="C492" s="42" t="str">
        <f t="shared" si="14"/>
        <v/>
      </c>
      <c r="D492" s="44" t="str">
        <f>IF(PRESIONES!$C$22="NO","",IF(OR(LINEAS!$D$37="",DATOS!$C$22="—",ABS(LINEAS!$BB$37*DATOS!$C$67)&lt;0.00005),"*",LINEAS!$D$37&amp;" UNI G"&amp;DATOS!$C$22&amp;" "&amp;TEXT(LINEAS!$BB$37*DATOS!$C$67,DATOS!$C$68)))</f>
        <v/>
      </c>
      <c r="E492" s="42" t="str">
        <f t="shared" si="15"/>
        <v/>
      </c>
    </row>
    <row r="493" spans="2:5" ht="15" customHeight="1" x14ac:dyDescent="0.3">
      <c r="B493" s="44" t="str">
        <f>IF(OR(LINEAS!$D$38="",ABS(-LINEAS!$AD$38*DATOS!$C$67)&lt;0.00005),"*",LINEAS!$D$38&amp;" UNI GY "&amp;TEXT(-LINEAS!$AD$38*DATOS!$C$67,DATOS!$C$68))</f>
        <v>*</v>
      </c>
      <c r="C493" s="42" t="str">
        <f t="shared" si="14"/>
        <v/>
      </c>
      <c r="D493" s="44" t="str">
        <f>IF(PRESIONES!$C$22="NO","",IF(OR(LINEAS!$D$38="",ABS(-LINEAS!$AT$38*DATOS!$C$67)&lt;0.00005),"*",LINEAS!$D$38&amp;" UNI GY "&amp;TEXT(-LINEAS!$AT$38*DATOS!$C$67,DATOS!$C$68)))</f>
        <v/>
      </c>
      <c r="E493" s="42" t="str">
        <f t="shared" si="15"/>
        <v/>
      </c>
    </row>
    <row r="494" spans="2:5" ht="15" customHeight="1" x14ac:dyDescent="0.3">
      <c r="B494" s="44" t="str">
        <f>IF(OR(LINEAS!$D$38="",DATOS!$C$22="—",ABS(LINEAS!$AL$38*DATOS!$C$67)&lt;0.00005),"*",LINEAS!$D$38&amp;" UNI G"&amp;DATOS!$C$22&amp;" "&amp;TEXT(LINEAS!$AL$38*DATOS!$C$67,DATOS!$C$68))</f>
        <v>*</v>
      </c>
      <c r="C494" s="42" t="str">
        <f t="shared" si="14"/>
        <v/>
      </c>
      <c r="D494" s="44" t="str">
        <f>IF(PRESIONES!$C$22="NO","",IF(OR(LINEAS!$D$38="",DATOS!$C$22="—",ABS(LINEAS!$BB$38*DATOS!$C$67)&lt;0.00005),"*",LINEAS!$D$38&amp;" UNI G"&amp;DATOS!$C$22&amp;" "&amp;TEXT(LINEAS!$BB$38*DATOS!$C$67,DATOS!$C$68)))</f>
        <v/>
      </c>
      <c r="E494" s="42" t="str">
        <f t="shared" si="15"/>
        <v/>
      </c>
    </row>
    <row r="495" spans="2:5" ht="15" customHeight="1" x14ac:dyDescent="0.3">
      <c r="B495" s="44" t="str">
        <f>IF(OR(LINEAS!$D$45="",LINEAS!$U$45=0,ABS(IF(OR(LINEAS!$U$45=1,LINEAS!$U$45=3),1,-1)*LINEAS!$AD$45*DATOS!$C$67)&lt;0.00005),"*",LINEAS!$D$45&amp;" UNI "&amp;IF(LINEAS!$U$45&lt;=2,"GZ","GX")&amp;" "&amp;TEXT(IF(OR(LINEAS!$U$45=1,LINEAS!$U$45=3),1,-1)*LINEAS!$AD$45*DATOS!$C$67,DATOS!$C$68))</f>
        <v>261 UNI GX -0.0516</v>
      </c>
      <c r="C495" s="42" t="str">
        <f t="shared" si="14"/>
        <v/>
      </c>
      <c r="D495" s="44" t="str">
        <f>IF(PRESIONES!$C$22="NO","",IF(OR(LINEAS!$D$45="",LINEAS!$U$45=0,ABS(IF(OR(LINEAS!$U$45=1,LINEAS!$U$45=3),1,-1)*LINEAS!$AD$45*DATOS!$C$67)&lt;0.00005),"*",LINEAS!$D$45&amp;" UNI "&amp;IF(LINEAS!$U$45&lt;=2,"GZ","GX")&amp;" "&amp;TEXT(IF(OR(LINEAS!$U$45=1,LINEAS!$U$45=3),1,-1)*LINEAS!$AD$45*DATOS!$C$67,DATOS!$C$68)))</f>
        <v/>
      </c>
      <c r="E495" s="42" t="str">
        <f t="shared" si="15"/>
        <v/>
      </c>
    </row>
    <row r="496" spans="2:5" ht="15" customHeight="1" x14ac:dyDescent="0.3">
      <c r="B496" s="44" t="str">
        <f>IF(OR(LINEAS!$D$46="",LINEAS!$U$46=0,ABS(IF(OR(LINEAS!$U$46=1,LINEAS!$U$46=3),1,-1)*LINEAS!$AD$46*DATOS!$C$67)&lt;0.00005),"*",LINEAS!$D$46&amp;" UNI "&amp;IF(LINEAS!$U$46&lt;=2,"GZ","GX")&amp;" "&amp;TEXT(IF(OR(LINEAS!$U$46=1,LINEAS!$U$46=3),1,-1)*LINEAS!$AD$46*DATOS!$C$67,DATOS!$C$68))</f>
        <v>260 UNI GX -0.0516</v>
      </c>
      <c r="C496" s="42" t="str">
        <f t="shared" si="14"/>
        <v/>
      </c>
      <c r="D496" s="44" t="str">
        <f>IF(PRESIONES!$C$22="NO","",IF(OR(LINEAS!$D$46="",LINEAS!$U$46=0,ABS(IF(OR(LINEAS!$U$46=1,LINEAS!$U$46=3),1,-1)*LINEAS!$AD$46*DATOS!$C$67)&lt;0.00005),"*",LINEAS!$D$46&amp;" UNI "&amp;IF(LINEAS!$U$46&lt;=2,"GZ","GX")&amp;" "&amp;TEXT(IF(OR(LINEAS!$U$46=1,LINEAS!$U$46=3),1,-1)*LINEAS!$AD$46*DATOS!$C$67,DATOS!$C$68)))</f>
        <v/>
      </c>
      <c r="E496" s="42" t="str">
        <f t="shared" si="15"/>
        <v/>
      </c>
    </row>
    <row r="497" spans="2:5" ht="15" customHeight="1" x14ac:dyDescent="0.3">
      <c r="B497" s="44" t="str">
        <f>IF(OR(LINEAS!$D$47="",LINEAS!$U$47=0,ABS(IF(OR(LINEAS!$U$47=1,LINEAS!$U$47=3),1,-1)*LINEAS!$AD$47*DATOS!$C$67)&lt;0.00005),"*",LINEAS!$D$47&amp;" UNI "&amp;IF(LINEAS!$U$47&lt;=2,"GZ","GX")&amp;" "&amp;TEXT(IF(OR(LINEAS!$U$47=1,LINEAS!$U$47=3),1,-1)*LINEAS!$AD$47*DATOS!$C$67,DATOS!$C$68))</f>
        <v>259 UNI GX -0.0516</v>
      </c>
      <c r="C497" s="42" t="str">
        <f t="shared" si="14"/>
        <v/>
      </c>
      <c r="D497" s="44" t="str">
        <f>IF(PRESIONES!$C$22="NO","",IF(OR(LINEAS!$D$47="",LINEAS!$U$47=0,ABS(IF(OR(LINEAS!$U$47=1,LINEAS!$U$47=3),1,-1)*LINEAS!$AD$47*DATOS!$C$67)&lt;0.00005),"*",LINEAS!$D$47&amp;" UNI "&amp;IF(LINEAS!$U$47&lt;=2,"GZ","GX")&amp;" "&amp;TEXT(IF(OR(LINEAS!$U$47=1,LINEAS!$U$47=3),1,-1)*LINEAS!$AD$47*DATOS!$C$67,DATOS!$C$68)))</f>
        <v/>
      </c>
      <c r="E497" s="42" t="str">
        <f t="shared" si="15"/>
        <v/>
      </c>
    </row>
    <row r="498" spans="2:5" ht="15" customHeight="1" x14ac:dyDescent="0.3">
      <c r="B498" s="44" t="str">
        <f>IF(OR(LINEAS!$D$48="",LINEAS!$U$48=0,ABS(IF(OR(LINEAS!$U$48=1,LINEAS!$U$48=3),1,-1)*LINEAS!$AD$48*DATOS!$C$67)&lt;0.00005),"*",LINEAS!$D$48&amp;" UNI "&amp;IF(LINEAS!$U$48&lt;=2,"GZ","GX")&amp;" "&amp;TEXT(IF(OR(LINEAS!$U$48=1,LINEAS!$U$48=3),1,-1)*LINEAS!$AD$48*DATOS!$C$67,DATOS!$C$68))</f>
        <v>270 UNI GX -0.0516</v>
      </c>
      <c r="C498" s="42" t="str">
        <f t="shared" si="14"/>
        <v/>
      </c>
      <c r="D498" s="44" t="str">
        <f>IF(PRESIONES!$C$22="NO","",IF(OR(LINEAS!$D$48="",LINEAS!$U$48=0,ABS(IF(OR(LINEAS!$U$48=1,LINEAS!$U$48=3),1,-1)*LINEAS!$AD$48*DATOS!$C$67)&lt;0.00005),"*",LINEAS!$D$48&amp;" UNI "&amp;IF(LINEAS!$U$48&lt;=2,"GZ","GX")&amp;" "&amp;TEXT(IF(OR(LINEAS!$U$48=1,LINEAS!$U$48=3),1,-1)*LINEAS!$AD$48*DATOS!$C$67,DATOS!$C$68)))</f>
        <v/>
      </c>
      <c r="E498" s="42" t="str">
        <f t="shared" si="15"/>
        <v/>
      </c>
    </row>
    <row r="499" spans="2:5" ht="15" customHeight="1" x14ac:dyDescent="0.3">
      <c r="B499" s="44" t="str">
        <f>IF(OR(LINEAS!$D$49="",LINEAS!$U$49=0,ABS(IF(OR(LINEAS!$U$49=1,LINEAS!$U$49=3),1,-1)*LINEAS!$AD$49*DATOS!$C$67)&lt;0.00005),"*",LINEAS!$D$49&amp;" UNI "&amp;IF(LINEAS!$U$49&lt;=2,"GZ","GX")&amp;" "&amp;TEXT(IF(OR(LINEAS!$U$49=1,LINEAS!$U$49=3),1,-1)*LINEAS!$AD$49*DATOS!$C$67,DATOS!$C$68))</f>
        <v>269 UNI GX -0.0516</v>
      </c>
      <c r="C499" s="42" t="str">
        <f t="shared" si="14"/>
        <v/>
      </c>
      <c r="D499" s="44" t="str">
        <f>IF(PRESIONES!$C$22="NO","",IF(OR(LINEAS!$D$49="",LINEAS!$U$49=0,ABS(IF(OR(LINEAS!$U$49=1,LINEAS!$U$49=3),1,-1)*LINEAS!$AD$49*DATOS!$C$67)&lt;0.00005),"*",LINEAS!$D$49&amp;" UNI "&amp;IF(LINEAS!$U$49&lt;=2,"GZ","GX")&amp;" "&amp;TEXT(IF(OR(LINEAS!$U$49=1,LINEAS!$U$49=3),1,-1)*LINEAS!$AD$49*DATOS!$C$67,DATOS!$C$68)))</f>
        <v/>
      </c>
      <c r="E499" s="42" t="str">
        <f t="shared" si="15"/>
        <v/>
      </c>
    </row>
    <row r="500" spans="2:5" ht="15" customHeight="1" x14ac:dyDescent="0.3">
      <c r="B500" s="44" t="str">
        <f>IF(OR(LINEAS!$D$50="",LINEAS!$U$50=0,ABS(IF(OR(LINEAS!$U$50=1,LINEAS!$U$50=3),1,-1)*LINEAS!$AD$50*DATOS!$C$67)&lt;0.00005),"*",LINEAS!$D$50&amp;" UNI "&amp;IF(LINEAS!$U$50&lt;=2,"GZ","GX")&amp;" "&amp;TEXT(IF(OR(LINEAS!$U$50=1,LINEAS!$U$50=3),1,-1)*LINEAS!$AD$50*DATOS!$C$67,DATOS!$C$68))</f>
        <v>268 UNI GX -0.0516</v>
      </c>
      <c r="C500" s="42" t="str">
        <f t="shared" si="14"/>
        <v/>
      </c>
      <c r="D500" s="44" t="str">
        <f>IF(PRESIONES!$C$22="NO","",IF(OR(LINEAS!$D$50="",LINEAS!$U$50=0,ABS(IF(OR(LINEAS!$U$50=1,LINEAS!$U$50=3),1,-1)*LINEAS!$AD$50*DATOS!$C$67)&lt;0.00005),"*",LINEAS!$D$50&amp;" UNI "&amp;IF(LINEAS!$U$50&lt;=2,"GZ","GX")&amp;" "&amp;TEXT(IF(OR(LINEAS!$U$50=1,LINEAS!$U$50=3),1,-1)*LINEAS!$AD$50*DATOS!$C$67,DATOS!$C$68)))</f>
        <v/>
      </c>
      <c r="E500" s="42" t="str">
        <f t="shared" si="15"/>
        <v/>
      </c>
    </row>
    <row r="501" spans="2:5" ht="15" customHeight="1" x14ac:dyDescent="0.3">
      <c r="B501" s="44" t="str">
        <f>IF(OR(LINEAS!$D$51="",LINEAS!$U$51=0,ABS(IF(OR(LINEAS!$U$51=1,LINEAS!$U$51=3),1,-1)*LINEAS!$AD$51*DATOS!$C$67)&lt;0.00005),"*",LINEAS!$D$51&amp;" UNI "&amp;IF(LINEAS!$U$51&lt;=2,"GZ","GX")&amp;" "&amp;TEXT(IF(OR(LINEAS!$U$51=1,LINEAS!$U$51=3),1,-1)*LINEAS!$AD$51*DATOS!$C$67,DATOS!$C$68))</f>
        <v>279 UNI GX -0.0516</v>
      </c>
      <c r="C501" s="42" t="str">
        <f t="shared" si="14"/>
        <v/>
      </c>
      <c r="D501" s="44" t="str">
        <f>IF(PRESIONES!$C$22="NO","",IF(OR(LINEAS!$D$51="",LINEAS!$U$51=0,ABS(IF(OR(LINEAS!$U$51=1,LINEAS!$U$51=3),1,-1)*LINEAS!$AD$51*DATOS!$C$67)&lt;0.00005),"*",LINEAS!$D$51&amp;" UNI "&amp;IF(LINEAS!$U$51&lt;=2,"GZ","GX")&amp;" "&amp;TEXT(IF(OR(LINEAS!$U$51=1,LINEAS!$U$51=3),1,-1)*LINEAS!$AD$51*DATOS!$C$67,DATOS!$C$68)))</f>
        <v/>
      </c>
      <c r="E501" s="42" t="str">
        <f t="shared" si="15"/>
        <v/>
      </c>
    </row>
    <row r="502" spans="2:5" ht="15" customHeight="1" x14ac:dyDescent="0.3">
      <c r="B502" s="44" t="str">
        <f>IF(OR(LINEAS!$D$52="",LINEAS!$U$52=0,ABS(IF(OR(LINEAS!$U$52=1,LINEAS!$U$52=3),1,-1)*LINEAS!$AD$52*DATOS!$C$67)&lt;0.00005),"*",LINEAS!$D$52&amp;" UNI "&amp;IF(LINEAS!$U$52&lt;=2,"GZ","GX")&amp;" "&amp;TEXT(IF(OR(LINEAS!$U$52=1,LINEAS!$U$52=3),1,-1)*LINEAS!$AD$52*DATOS!$C$67,DATOS!$C$68))</f>
        <v>278 UNI GX -0.0516</v>
      </c>
      <c r="C502" s="42" t="str">
        <f t="shared" si="14"/>
        <v/>
      </c>
      <c r="D502" s="44" t="str">
        <f>IF(PRESIONES!$C$22="NO","",IF(OR(LINEAS!$D$52="",LINEAS!$U$52=0,ABS(IF(OR(LINEAS!$U$52=1,LINEAS!$U$52=3),1,-1)*LINEAS!$AD$52*DATOS!$C$67)&lt;0.00005),"*",LINEAS!$D$52&amp;" UNI "&amp;IF(LINEAS!$U$52&lt;=2,"GZ","GX")&amp;" "&amp;TEXT(IF(OR(LINEAS!$U$52=1,LINEAS!$U$52=3),1,-1)*LINEAS!$AD$52*DATOS!$C$67,DATOS!$C$68)))</f>
        <v/>
      </c>
      <c r="E502" s="42" t="str">
        <f t="shared" si="15"/>
        <v/>
      </c>
    </row>
    <row r="503" spans="2:5" ht="15" customHeight="1" x14ac:dyDescent="0.3">
      <c r="B503" s="44" t="str">
        <f>IF(OR(LINEAS!$D$53="",LINEAS!$U$53=0,ABS(IF(OR(LINEAS!$U$53=1,LINEAS!$U$53=3),1,-1)*LINEAS!$AD$53*DATOS!$C$67)&lt;0.00005),"*",LINEAS!$D$53&amp;" UNI "&amp;IF(LINEAS!$U$53&lt;=2,"GZ","GX")&amp;" "&amp;TEXT(IF(OR(LINEAS!$U$53=1,LINEAS!$U$53=3),1,-1)*LINEAS!$AD$53*DATOS!$C$67,DATOS!$C$68))</f>
        <v>277 UNI GX -0.0516</v>
      </c>
      <c r="C503" s="42" t="str">
        <f t="shared" si="14"/>
        <v/>
      </c>
      <c r="D503" s="44" t="str">
        <f>IF(PRESIONES!$C$22="NO","",IF(OR(LINEAS!$D$53="",LINEAS!$U$53=0,ABS(IF(OR(LINEAS!$U$53=1,LINEAS!$U$53=3),1,-1)*LINEAS!$AD$53*DATOS!$C$67)&lt;0.00005),"*",LINEAS!$D$53&amp;" UNI "&amp;IF(LINEAS!$U$53&lt;=2,"GZ","GX")&amp;" "&amp;TEXT(IF(OR(LINEAS!$U$53=1,LINEAS!$U$53=3),1,-1)*LINEAS!$AD$53*DATOS!$C$67,DATOS!$C$68)))</f>
        <v/>
      </c>
      <c r="E503" s="42" t="str">
        <f t="shared" si="15"/>
        <v/>
      </c>
    </row>
    <row r="504" spans="2:5" ht="15" customHeight="1" x14ac:dyDescent="0.3">
      <c r="B504" s="44" t="str">
        <f>IF(OR(LINEAS!$D$54="",LINEAS!$U$54=0,ABS(IF(OR(LINEAS!$U$54=1,LINEAS!$U$54=3),1,-1)*LINEAS!$AD$54*DATOS!$C$67)&lt;0.00005),"*",LINEAS!$D$54&amp;" UNI "&amp;IF(LINEAS!$U$54&lt;=2,"GZ","GX")&amp;" "&amp;TEXT(IF(OR(LINEAS!$U$54=1,LINEAS!$U$54=3),1,-1)*LINEAS!$AD$54*DATOS!$C$67,DATOS!$C$68))</f>
        <v>289 UNI GX -0.0516</v>
      </c>
      <c r="C504" s="42" t="str">
        <f t="shared" si="14"/>
        <v/>
      </c>
      <c r="D504" s="44" t="str">
        <f>IF(PRESIONES!$C$22="NO","",IF(OR(LINEAS!$D$54="",LINEAS!$U$54=0,ABS(IF(OR(LINEAS!$U$54=1,LINEAS!$U$54=3),1,-1)*LINEAS!$AD$54*DATOS!$C$67)&lt;0.00005),"*",LINEAS!$D$54&amp;" UNI "&amp;IF(LINEAS!$U$54&lt;=2,"GZ","GX")&amp;" "&amp;TEXT(IF(OR(LINEAS!$U$54=1,LINEAS!$U$54=3),1,-1)*LINEAS!$AD$54*DATOS!$C$67,DATOS!$C$68)))</f>
        <v/>
      </c>
      <c r="E504" s="42" t="str">
        <f t="shared" si="15"/>
        <v/>
      </c>
    </row>
    <row r="505" spans="2:5" ht="15" customHeight="1" x14ac:dyDescent="0.3">
      <c r="B505" s="44" t="str">
        <f>IF(OR(LINEAS!$D$55="",LINEAS!$U$55=0,ABS(IF(OR(LINEAS!$U$55=1,LINEAS!$U$55=3),1,-1)*LINEAS!$AD$55*DATOS!$C$67)&lt;0.00005),"*",LINEAS!$D$55&amp;" UNI "&amp;IF(LINEAS!$U$55&lt;=2,"GZ","GX")&amp;" "&amp;TEXT(IF(OR(LINEAS!$U$55=1,LINEAS!$U$55=3),1,-1)*LINEAS!$AD$55*DATOS!$C$67,DATOS!$C$68))</f>
        <v>288 UNI GX -0.0516</v>
      </c>
      <c r="C505" s="42" t="str">
        <f t="shared" si="14"/>
        <v/>
      </c>
      <c r="D505" s="44" t="str">
        <f>IF(PRESIONES!$C$22="NO","",IF(OR(LINEAS!$D$55="",LINEAS!$U$55=0,ABS(IF(OR(LINEAS!$U$55=1,LINEAS!$U$55=3),1,-1)*LINEAS!$AD$55*DATOS!$C$67)&lt;0.00005),"*",LINEAS!$D$55&amp;" UNI "&amp;IF(LINEAS!$U$55&lt;=2,"GZ","GX")&amp;" "&amp;TEXT(IF(OR(LINEAS!$U$55=1,LINEAS!$U$55=3),1,-1)*LINEAS!$AD$55*DATOS!$C$67,DATOS!$C$68)))</f>
        <v/>
      </c>
      <c r="E505" s="42" t="str">
        <f t="shared" si="15"/>
        <v/>
      </c>
    </row>
    <row r="506" spans="2:5" ht="15" customHeight="1" x14ac:dyDescent="0.3">
      <c r="B506" s="44" t="str">
        <f>IF(OR(LINEAS!$D$56="",LINEAS!$U$56=0,ABS(IF(OR(LINEAS!$U$56=1,LINEAS!$U$56=3),1,-1)*LINEAS!$AD$56*DATOS!$C$67)&lt;0.00005),"*",LINEAS!$D$56&amp;" UNI "&amp;IF(LINEAS!$U$56&lt;=2,"GZ","GX")&amp;" "&amp;TEXT(IF(OR(LINEAS!$U$56=1,LINEAS!$U$56=3),1,-1)*LINEAS!$AD$56*DATOS!$C$67,DATOS!$C$68))</f>
        <v>287 UNI GX -0.0516</v>
      </c>
      <c r="C506" s="42" t="str">
        <f t="shared" si="14"/>
        <v/>
      </c>
      <c r="D506" s="44" t="str">
        <f>IF(PRESIONES!$C$22="NO","",IF(OR(LINEAS!$D$56="",LINEAS!$U$56=0,ABS(IF(OR(LINEAS!$U$56=1,LINEAS!$U$56=3),1,-1)*LINEAS!$AD$56*DATOS!$C$67)&lt;0.00005),"*",LINEAS!$D$56&amp;" UNI "&amp;IF(LINEAS!$U$56&lt;=2,"GZ","GX")&amp;" "&amp;TEXT(IF(OR(LINEAS!$U$56=1,LINEAS!$U$56=3),1,-1)*LINEAS!$AD$56*DATOS!$C$67,DATOS!$C$68)))</f>
        <v/>
      </c>
      <c r="E506" s="42" t="str">
        <f t="shared" si="15"/>
        <v/>
      </c>
    </row>
    <row r="507" spans="2:5" ht="15" customHeight="1" x14ac:dyDescent="0.3">
      <c r="B507" s="44" t="str">
        <f>IF(OR(LINEAS!$D$57="",LINEAS!$U$57=0,ABS(IF(OR(LINEAS!$U$57=1,LINEAS!$U$57=3),1,-1)*LINEAS!$AD$57*DATOS!$C$67)&lt;0.00005),"*",LINEAS!$D$57&amp;" UNI "&amp;IF(LINEAS!$U$57&lt;=2,"GZ","GX")&amp;" "&amp;TEXT(IF(OR(LINEAS!$U$57=1,LINEAS!$U$57=3),1,-1)*LINEAS!$AD$57*DATOS!$C$67,DATOS!$C$68))</f>
        <v>297 UNI GX -0.0516</v>
      </c>
      <c r="C507" s="42" t="str">
        <f t="shared" si="14"/>
        <v/>
      </c>
      <c r="D507" s="44" t="str">
        <f>IF(PRESIONES!$C$22="NO","",IF(OR(LINEAS!$D$57="",LINEAS!$U$57=0,ABS(IF(OR(LINEAS!$U$57=1,LINEAS!$U$57=3),1,-1)*LINEAS!$AD$57*DATOS!$C$67)&lt;0.00005),"*",LINEAS!$D$57&amp;" UNI "&amp;IF(LINEAS!$U$57&lt;=2,"GZ","GX")&amp;" "&amp;TEXT(IF(OR(LINEAS!$U$57=1,LINEAS!$U$57=3),1,-1)*LINEAS!$AD$57*DATOS!$C$67,DATOS!$C$68)))</f>
        <v/>
      </c>
      <c r="E507" s="42" t="str">
        <f t="shared" si="15"/>
        <v/>
      </c>
    </row>
    <row r="508" spans="2:5" ht="15" customHeight="1" x14ac:dyDescent="0.3">
      <c r="B508" s="44" t="str">
        <f>IF(OR(LINEAS!$D$58="",LINEAS!$U$58=0,ABS(IF(OR(LINEAS!$U$58=1,LINEAS!$U$58=3),1,-1)*LINEAS!$AD$58*DATOS!$C$67)&lt;0.00005),"*",LINEAS!$D$58&amp;" UNI "&amp;IF(LINEAS!$U$58&lt;=2,"GZ","GX")&amp;" "&amp;TEXT(IF(OR(LINEAS!$U$58=1,LINEAS!$U$58=3),1,-1)*LINEAS!$AD$58*DATOS!$C$67,DATOS!$C$68))</f>
        <v>296 UNI GX -0.0516</v>
      </c>
      <c r="C508" s="42" t="str">
        <f t="shared" si="14"/>
        <v/>
      </c>
      <c r="D508" s="44" t="str">
        <f>IF(PRESIONES!$C$22="NO","",IF(OR(LINEAS!$D$58="",LINEAS!$U$58=0,ABS(IF(OR(LINEAS!$U$58=1,LINEAS!$U$58=3),1,-1)*LINEAS!$AD$58*DATOS!$C$67)&lt;0.00005),"*",LINEAS!$D$58&amp;" UNI "&amp;IF(LINEAS!$U$58&lt;=2,"GZ","GX")&amp;" "&amp;TEXT(IF(OR(LINEAS!$U$58=1,LINEAS!$U$58=3),1,-1)*LINEAS!$AD$58*DATOS!$C$67,DATOS!$C$68)))</f>
        <v/>
      </c>
      <c r="E508" s="42" t="str">
        <f t="shared" si="15"/>
        <v/>
      </c>
    </row>
    <row r="509" spans="2:5" ht="15" customHeight="1" x14ac:dyDescent="0.3">
      <c r="B509" s="44" t="str">
        <f>IF(OR(LINEAS!$D$59="",LINEAS!$U$59=0,ABS(IF(OR(LINEAS!$U$59=1,LINEAS!$U$59=3),1,-1)*LINEAS!$AD$59*DATOS!$C$67)&lt;0.00005),"*",LINEAS!$D$59&amp;" UNI "&amp;IF(LINEAS!$U$59&lt;=2,"GZ","GX")&amp;" "&amp;TEXT(IF(OR(LINEAS!$U$59=1,LINEAS!$U$59=3),1,-1)*LINEAS!$AD$59*DATOS!$C$67,DATOS!$C$68))</f>
        <v>295 UNI GX -0.0516</v>
      </c>
      <c r="C509" s="42" t="str">
        <f t="shared" si="14"/>
        <v/>
      </c>
      <c r="D509" s="44" t="str">
        <f>IF(PRESIONES!$C$22="NO","",IF(OR(LINEAS!$D$59="",LINEAS!$U$59=0,ABS(IF(OR(LINEAS!$U$59=1,LINEAS!$U$59=3),1,-1)*LINEAS!$AD$59*DATOS!$C$67)&lt;0.00005),"*",LINEAS!$D$59&amp;" UNI "&amp;IF(LINEAS!$U$59&lt;=2,"GZ","GX")&amp;" "&amp;TEXT(IF(OR(LINEAS!$U$59=1,LINEAS!$U$59=3),1,-1)*LINEAS!$AD$59*DATOS!$C$67,DATOS!$C$68)))</f>
        <v/>
      </c>
      <c r="E509" s="42" t="str">
        <f t="shared" si="15"/>
        <v/>
      </c>
    </row>
    <row r="510" spans="2:5" ht="15" customHeight="1" x14ac:dyDescent="0.3">
      <c r="B510" s="44" t="str">
        <f>IF(OR(LINEAS!$D$60="",LINEAS!$U$60=0,ABS(IF(OR(LINEAS!$U$60=1,LINEAS!$U$60=3),1,-1)*LINEAS!$AD$60*DATOS!$C$67)&lt;0.00005),"*",LINEAS!$D$60&amp;" UNI "&amp;IF(LINEAS!$U$60&lt;=2,"GZ","GX")&amp;" "&amp;TEXT(IF(OR(LINEAS!$U$60=1,LINEAS!$U$60=3),1,-1)*LINEAS!$AD$60*DATOS!$C$67,DATOS!$C$68))</f>
        <v>305 UNI GX -0.0516</v>
      </c>
      <c r="C510" s="42" t="str">
        <f t="shared" si="14"/>
        <v/>
      </c>
      <c r="D510" s="44" t="str">
        <f>IF(PRESIONES!$C$22="NO","",IF(OR(LINEAS!$D$60="",LINEAS!$U$60=0,ABS(IF(OR(LINEAS!$U$60=1,LINEAS!$U$60=3),1,-1)*LINEAS!$AD$60*DATOS!$C$67)&lt;0.00005),"*",LINEAS!$D$60&amp;" UNI "&amp;IF(LINEAS!$U$60&lt;=2,"GZ","GX")&amp;" "&amp;TEXT(IF(OR(LINEAS!$U$60=1,LINEAS!$U$60=3),1,-1)*LINEAS!$AD$60*DATOS!$C$67,DATOS!$C$68)))</f>
        <v/>
      </c>
      <c r="E510" s="42" t="str">
        <f t="shared" si="15"/>
        <v/>
      </c>
    </row>
    <row r="511" spans="2:5" ht="15" customHeight="1" x14ac:dyDescent="0.3">
      <c r="B511" s="44" t="str">
        <f>IF(OR(LINEAS!$D$61="",LINEAS!$U$61=0,ABS(IF(OR(LINEAS!$U$61=1,LINEAS!$U$61=3),1,-1)*LINEAS!$AD$61*DATOS!$C$67)&lt;0.00005),"*",LINEAS!$D$61&amp;" UNI "&amp;IF(LINEAS!$U$61&lt;=2,"GZ","GX")&amp;" "&amp;TEXT(IF(OR(LINEAS!$U$61=1,LINEAS!$U$61=3),1,-1)*LINEAS!$AD$61*DATOS!$C$67,DATOS!$C$68))</f>
        <v>304 UNI GX -0.0516</v>
      </c>
      <c r="C511" s="42" t="str">
        <f t="shared" si="14"/>
        <v/>
      </c>
      <c r="D511" s="44" t="str">
        <f>IF(PRESIONES!$C$22="NO","",IF(OR(LINEAS!$D$61="",LINEAS!$U$61=0,ABS(IF(OR(LINEAS!$U$61=1,LINEAS!$U$61=3),1,-1)*LINEAS!$AD$61*DATOS!$C$67)&lt;0.00005),"*",LINEAS!$D$61&amp;" UNI "&amp;IF(LINEAS!$U$61&lt;=2,"GZ","GX")&amp;" "&amp;TEXT(IF(OR(LINEAS!$U$61=1,LINEAS!$U$61=3),1,-1)*LINEAS!$AD$61*DATOS!$C$67,DATOS!$C$68)))</f>
        <v/>
      </c>
      <c r="E511" s="42" t="str">
        <f t="shared" si="15"/>
        <v/>
      </c>
    </row>
    <row r="512" spans="2:5" ht="15" customHeight="1" x14ac:dyDescent="0.3">
      <c r="B512" s="44" t="str">
        <f>IF(OR(LINEAS!$D$62="",LINEAS!$U$62=0,ABS(IF(OR(LINEAS!$U$62=1,LINEAS!$U$62=3),1,-1)*LINEAS!$AD$62*DATOS!$C$67)&lt;0.00005),"*",LINEAS!$D$62&amp;" UNI "&amp;IF(LINEAS!$U$62&lt;=2,"GZ","GX")&amp;" "&amp;TEXT(IF(OR(LINEAS!$U$62=1,LINEAS!$U$62=3),1,-1)*LINEAS!$AD$62*DATOS!$C$67,DATOS!$C$68))</f>
        <v>303 UNI GX -0.0516</v>
      </c>
      <c r="C512" s="42" t="str">
        <f t="shared" si="14"/>
        <v/>
      </c>
      <c r="D512" s="44" t="str">
        <f>IF(PRESIONES!$C$22="NO","",IF(OR(LINEAS!$D$62="",LINEAS!$U$62=0,ABS(IF(OR(LINEAS!$U$62=1,LINEAS!$U$62=3),1,-1)*LINEAS!$AD$62*DATOS!$C$67)&lt;0.00005),"*",LINEAS!$D$62&amp;" UNI "&amp;IF(LINEAS!$U$62&lt;=2,"GZ","GX")&amp;" "&amp;TEXT(IF(OR(LINEAS!$U$62=1,LINEAS!$U$62=3),1,-1)*LINEAS!$AD$62*DATOS!$C$67,DATOS!$C$68)))</f>
        <v/>
      </c>
      <c r="E512" s="42" t="str">
        <f t="shared" si="15"/>
        <v/>
      </c>
    </row>
    <row r="513" spans="2:5" ht="15" customHeight="1" x14ac:dyDescent="0.3">
      <c r="B513" s="44" t="str">
        <f>IF(OR(LINEAS!$D$63="",LINEAS!$U$63=0,ABS(IF(OR(LINEAS!$U$63=1,LINEAS!$U$63=3),1,-1)*LINEAS!$AD$63*DATOS!$C$67)&lt;0.00005),"*",LINEAS!$D$63&amp;" UNI "&amp;IF(LINEAS!$U$63&lt;=2,"GZ","GX")&amp;" "&amp;TEXT(IF(OR(LINEAS!$U$63=1,LINEAS!$U$63=3),1,-1)*LINEAS!$AD$63*DATOS!$C$67,DATOS!$C$68))</f>
        <v>314 UNI GX -0.0516</v>
      </c>
      <c r="C513" s="42" t="str">
        <f t="shared" si="14"/>
        <v/>
      </c>
      <c r="D513" s="44" t="str">
        <f>IF(PRESIONES!$C$22="NO","",IF(OR(LINEAS!$D$63="",LINEAS!$U$63=0,ABS(IF(OR(LINEAS!$U$63=1,LINEAS!$U$63=3),1,-1)*LINEAS!$AD$63*DATOS!$C$67)&lt;0.00005),"*",LINEAS!$D$63&amp;" UNI "&amp;IF(LINEAS!$U$63&lt;=2,"GZ","GX")&amp;" "&amp;TEXT(IF(OR(LINEAS!$U$63=1,LINEAS!$U$63=3),1,-1)*LINEAS!$AD$63*DATOS!$C$67,DATOS!$C$68)))</f>
        <v/>
      </c>
      <c r="E513" s="42" t="str">
        <f t="shared" si="15"/>
        <v/>
      </c>
    </row>
    <row r="514" spans="2:5" ht="15" customHeight="1" x14ac:dyDescent="0.3">
      <c r="B514" s="44" t="str">
        <f>IF(OR(LINEAS!$D$64="",LINEAS!$U$64=0,ABS(IF(OR(LINEAS!$U$64=1,LINEAS!$U$64=3),1,-1)*LINEAS!$AD$64*DATOS!$C$67)&lt;0.00005),"*",LINEAS!$D$64&amp;" UNI "&amp;IF(LINEAS!$U$64&lt;=2,"GZ","GX")&amp;" "&amp;TEXT(IF(OR(LINEAS!$U$64=1,LINEAS!$U$64=3),1,-1)*LINEAS!$AD$64*DATOS!$C$67,DATOS!$C$68))</f>
        <v>313 UNI GX -0.0516</v>
      </c>
      <c r="C514" s="42" t="str">
        <f t="shared" si="14"/>
        <v/>
      </c>
      <c r="D514" s="44" t="str">
        <f>IF(PRESIONES!$C$22="NO","",IF(OR(LINEAS!$D$64="",LINEAS!$U$64=0,ABS(IF(OR(LINEAS!$U$64=1,LINEAS!$U$64=3),1,-1)*LINEAS!$AD$64*DATOS!$C$67)&lt;0.00005),"*",LINEAS!$D$64&amp;" UNI "&amp;IF(LINEAS!$U$64&lt;=2,"GZ","GX")&amp;" "&amp;TEXT(IF(OR(LINEAS!$U$64=1,LINEAS!$U$64=3),1,-1)*LINEAS!$AD$64*DATOS!$C$67,DATOS!$C$68)))</f>
        <v/>
      </c>
      <c r="E514" s="42" t="str">
        <f t="shared" si="15"/>
        <v/>
      </c>
    </row>
    <row r="515" spans="2:5" ht="15" customHeight="1" x14ac:dyDescent="0.3">
      <c r="B515" s="44" t="str">
        <f>IF(OR(LINEAS!$D$65="",LINEAS!$U$65=0,ABS(IF(OR(LINEAS!$U$65=1,LINEAS!$U$65=3),1,-1)*LINEAS!$AD$65*DATOS!$C$67)&lt;0.00005),"*",LINEAS!$D$65&amp;" UNI "&amp;IF(LINEAS!$U$65&lt;=2,"GZ","GX")&amp;" "&amp;TEXT(IF(OR(LINEAS!$U$65=1,LINEAS!$U$65=3),1,-1)*LINEAS!$AD$65*DATOS!$C$67,DATOS!$C$68))</f>
        <v>312 UNI GX -0.0516</v>
      </c>
      <c r="C515" s="42" t="str">
        <f t="shared" si="14"/>
        <v/>
      </c>
      <c r="D515" s="44" t="str">
        <f>IF(PRESIONES!$C$22="NO","",IF(OR(LINEAS!$D$65="",LINEAS!$U$65=0,ABS(IF(OR(LINEAS!$U$65=1,LINEAS!$U$65=3),1,-1)*LINEAS!$AD$65*DATOS!$C$67)&lt;0.00005),"*",LINEAS!$D$65&amp;" UNI "&amp;IF(LINEAS!$U$65&lt;=2,"GZ","GX")&amp;" "&amp;TEXT(IF(OR(LINEAS!$U$65=1,LINEAS!$U$65=3),1,-1)*LINEAS!$AD$65*DATOS!$C$67,DATOS!$C$68)))</f>
        <v/>
      </c>
      <c r="E515" s="42" t="str">
        <f t="shared" si="15"/>
        <v/>
      </c>
    </row>
    <row r="516" spans="2:5" ht="15" customHeight="1" x14ac:dyDescent="0.3">
      <c r="B516" s="44" t="str">
        <f>IF(OR(LINEAS!$D$66="",LINEAS!$U$66=0,ABS(IF(OR(LINEAS!$U$66=1,LINEAS!$U$66=3),1,-1)*LINEAS!$AD$66*DATOS!$C$67)&lt;0.00005),"*",LINEAS!$D$66&amp;" UNI "&amp;IF(LINEAS!$U$66&lt;=2,"GZ","GX")&amp;" "&amp;TEXT(IF(OR(LINEAS!$U$66=1,LINEAS!$U$66=3),1,-1)*LINEAS!$AD$66*DATOS!$C$67,DATOS!$C$68))</f>
        <v>317 UNI GX -0.0441</v>
      </c>
      <c r="C516" s="42" t="str">
        <f t="shared" si="14"/>
        <v/>
      </c>
      <c r="D516" s="44" t="str">
        <f>IF(PRESIONES!$C$22="NO","",IF(OR(LINEAS!$D$66="",LINEAS!$U$66=0,ABS(IF(OR(LINEAS!$U$66=1,LINEAS!$U$66=3),1,-1)*LINEAS!$AD$66*DATOS!$C$67)&lt;0.00005),"*",LINEAS!$D$66&amp;" UNI "&amp;IF(LINEAS!$U$66&lt;=2,"GZ","GX")&amp;" "&amp;TEXT(IF(OR(LINEAS!$U$66=1,LINEAS!$U$66=3),1,-1)*LINEAS!$AD$66*DATOS!$C$67,DATOS!$C$68)))</f>
        <v/>
      </c>
      <c r="E516" s="42" t="str">
        <f t="shared" si="15"/>
        <v/>
      </c>
    </row>
    <row r="517" spans="2:5" ht="15" customHeight="1" x14ac:dyDescent="0.3">
      <c r="B517" s="44" t="str">
        <f>IF(OR(LINEAS!$D$67="",LINEAS!$U$67=0,ABS(IF(OR(LINEAS!$U$67=1,LINEAS!$U$67=3),1,-1)*LINEAS!$AD$67*DATOS!$C$67)&lt;0.00005),"*",LINEAS!$D$67&amp;" UNI "&amp;IF(LINEAS!$U$67&lt;=2,"GZ","GX")&amp;" "&amp;TEXT(IF(OR(LINEAS!$U$67=1,LINEAS!$U$67=3),1,-1)*LINEAS!$AD$67*DATOS!$C$67,DATOS!$C$68))</f>
        <v>316 UNI GX -0.0368</v>
      </c>
      <c r="C517" s="42" t="str">
        <f t="shared" si="14"/>
        <v/>
      </c>
      <c r="D517" s="44" t="str">
        <f>IF(PRESIONES!$C$22="NO","",IF(OR(LINEAS!$D$67="",LINEAS!$U$67=0,ABS(IF(OR(LINEAS!$U$67=1,LINEAS!$U$67=3),1,-1)*LINEAS!$AD$67*DATOS!$C$67)&lt;0.00005),"*",LINEAS!$D$67&amp;" UNI "&amp;IF(LINEAS!$U$67&lt;=2,"GZ","GX")&amp;" "&amp;TEXT(IF(OR(LINEAS!$U$67=1,LINEAS!$U$67=3),1,-1)*LINEAS!$AD$67*DATOS!$C$67,DATOS!$C$68)))</f>
        <v/>
      </c>
      <c r="E517" s="42" t="str">
        <f t="shared" si="15"/>
        <v/>
      </c>
    </row>
    <row r="518" spans="2:5" ht="15" customHeight="1" x14ac:dyDescent="0.3">
      <c r="B518" s="44" t="str">
        <f>IF(OR(LINEAS!$D$68="",LINEAS!$U$68=0,ABS(IF(OR(LINEAS!$U$68=1,LINEAS!$U$68=3),1,-1)*LINEAS!$AD$68*DATOS!$C$67)&lt;0.00005),"*",LINEAS!$D$68&amp;" UNI "&amp;IF(LINEAS!$U$68&lt;=2,"GZ","GX")&amp;" "&amp;TEXT(IF(OR(LINEAS!$U$68=1,LINEAS!$U$68=3),1,-1)*LINEAS!$AD$68*DATOS!$C$67,DATOS!$C$68))</f>
        <v>315 UNI GX -0.0318</v>
      </c>
      <c r="C518" s="42" t="str">
        <f t="shared" si="14"/>
        <v/>
      </c>
      <c r="D518" s="44" t="str">
        <f>IF(PRESIONES!$C$22="NO","",IF(OR(LINEAS!$D$68="",LINEAS!$U$68=0,ABS(IF(OR(LINEAS!$U$68=1,LINEAS!$U$68=3),1,-1)*LINEAS!$AD$68*DATOS!$C$67)&lt;0.00005),"*",LINEAS!$D$68&amp;" UNI "&amp;IF(LINEAS!$U$68&lt;=2,"GZ","GX")&amp;" "&amp;TEXT(IF(OR(LINEAS!$U$68=1,LINEAS!$U$68=3),1,-1)*LINEAS!$AD$68*DATOS!$C$67,DATOS!$C$68)))</f>
        <v/>
      </c>
      <c r="E518" s="42" t="str">
        <f t="shared" si="15"/>
        <v/>
      </c>
    </row>
    <row r="519" spans="2:5" ht="15" customHeight="1" x14ac:dyDescent="0.3">
      <c r="B519" s="44" t="str">
        <f>IF(OR(LINEAS!$D$69="",LINEAS!$U$69=0,ABS(IF(OR(LINEAS!$U$69=1,LINEAS!$U$69=3),1,-1)*LINEAS!$AD$69*DATOS!$C$67)&lt;0.00005),"*",LINEAS!$D$69&amp;" UNI "&amp;IF(LINEAS!$U$69&lt;=2,"GZ","GX")&amp;" "&amp;TEXT(IF(OR(LINEAS!$U$69=1,LINEAS!$U$69=3),1,-1)*LINEAS!$AD$69*DATOS!$C$67,DATOS!$C$68))</f>
        <v>265 UNI GX 0.0516</v>
      </c>
      <c r="C519" s="42" t="str">
        <f t="shared" si="14"/>
        <v/>
      </c>
      <c r="D519" s="44" t="str">
        <f>IF(PRESIONES!$C$22="NO","",IF(OR(LINEAS!$D$69="",LINEAS!$U$69=0,ABS(IF(OR(LINEAS!$U$69=1,LINEAS!$U$69=3),1,-1)*LINEAS!$AD$69*DATOS!$C$67)&lt;0.00005),"*",LINEAS!$D$69&amp;" UNI "&amp;IF(LINEAS!$U$69&lt;=2,"GZ","GX")&amp;" "&amp;TEXT(IF(OR(LINEAS!$U$69=1,LINEAS!$U$69=3),1,-1)*LINEAS!$AD$69*DATOS!$C$67,DATOS!$C$68)))</f>
        <v/>
      </c>
      <c r="E519" s="42" t="str">
        <f t="shared" si="15"/>
        <v/>
      </c>
    </row>
    <row r="520" spans="2:5" ht="15" customHeight="1" x14ac:dyDescent="0.3">
      <c r="B520" s="44" t="str">
        <f>IF(OR(LINEAS!$D$70="",LINEAS!$U$70=0,ABS(IF(OR(LINEAS!$U$70=1,LINEAS!$U$70=3),1,-1)*LINEAS!$AD$70*DATOS!$C$67)&lt;0.00005),"*",LINEAS!$D$70&amp;" UNI "&amp;IF(LINEAS!$U$70&lt;=2,"GZ","GX")&amp;" "&amp;TEXT(IF(OR(LINEAS!$U$70=1,LINEAS!$U$70=3),1,-1)*LINEAS!$AD$70*DATOS!$C$67,DATOS!$C$68))</f>
        <v>266 UNI GX 0.0516</v>
      </c>
      <c r="C520" s="42" t="str">
        <f t="shared" si="14"/>
        <v/>
      </c>
      <c r="D520" s="44" t="str">
        <f>IF(PRESIONES!$C$22="NO","",IF(OR(LINEAS!$D$70="",LINEAS!$U$70=0,ABS(IF(OR(LINEAS!$U$70=1,LINEAS!$U$70=3),1,-1)*LINEAS!$AD$70*DATOS!$C$67)&lt;0.00005),"*",LINEAS!$D$70&amp;" UNI "&amp;IF(LINEAS!$U$70&lt;=2,"GZ","GX")&amp;" "&amp;TEXT(IF(OR(LINEAS!$U$70=1,LINEAS!$U$70=3),1,-1)*LINEAS!$AD$70*DATOS!$C$67,DATOS!$C$68)))</f>
        <v/>
      </c>
      <c r="E520" s="42" t="str">
        <f t="shared" si="15"/>
        <v/>
      </c>
    </row>
    <row r="521" spans="2:5" ht="15" customHeight="1" x14ac:dyDescent="0.3">
      <c r="B521" s="44" t="str">
        <f>IF(OR(LINEAS!$D$71="",LINEAS!$U$71=0,ABS(IF(OR(LINEAS!$U$71=1,LINEAS!$U$71=3),1,-1)*LINEAS!$AD$71*DATOS!$C$67)&lt;0.00005),"*",LINEAS!$D$71&amp;" UNI "&amp;IF(LINEAS!$U$71&lt;=2,"GZ","GX")&amp;" "&amp;TEXT(IF(OR(LINEAS!$U$71=1,LINEAS!$U$71=3),1,-1)*LINEAS!$AD$71*DATOS!$C$67,DATOS!$C$68))</f>
        <v>267 UNI GX 0.0516</v>
      </c>
      <c r="C521" s="42" t="str">
        <f t="shared" ref="C521:C584" si="16">IF(LEN($B521)&gt;79,"MÁS DE 79 CARACTERES","")</f>
        <v/>
      </c>
      <c r="D521" s="44" t="str">
        <f>IF(PRESIONES!$C$22="NO","",IF(OR(LINEAS!$D$71="",LINEAS!$U$71=0,ABS(IF(OR(LINEAS!$U$71=1,LINEAS!$U$71=3),1,-1)*LINEAS!$AD$71*DATOS!$C$67)&lt;0.00005),"*",LINEAS!$D$71&amp;" UNI "&amp;IF(LINEAS!$U$71&lt;=2,"GZ","GX")&amp;" "&amp;TEXT(IF(OR(LINEAS!$U$71=1,LINEAS!$U$71=3),1,-1)*LINEAS!$AD$71*DATOS!$C$67,DATOS!$C$68)))</f>
        <v/>
      </c>
      <c r="E521" s="42" t="str">
        <f t="shared" ref="E521:E584" si="17">IF(LEN($D521)&gt;79,"MÁS DE 79 CARACTERES","")</f>
        <v/>
      </c>
    </row>
    <row r="522" spans="2:5" ht="15" customHeight="1" x14ac:dyDescent="0.3">
      <c r="B522" s="44" t="str">
        <f>IF(OR(LINEAS!$D$72="",LINEAS!$U$72=0,ABS(IF(OR(LINEAS!$U$72=1,LINEAS!$U$72=3),1,-1)*LINEAS!$AD$72*DATOS!$C$67)&lt;0.00005),"*",LINEAS!$D$72&amp;" UNI "&amp;IF(LINEAS!$U$72&lt;=2,"GZ","GX")&amp;" "&amp;TEXT(IF(OR(LINEAS!$U$72=1,LINEAS!$U$72=3),1,-1)*LINEAS!$AD$72*DATOS!$C$67,DATOS!$C$68))</f>
        <v>274 UNI GX 0.0516</v>
      </c>
      <c r="C522" s="42" t="str">
        <f t="shared" si="16"/>
        <v/>
      </c>
      <c r="D522" s="44" t="str">
        <f>IF(PRESIONES!$C$22="NO","",IF(OR(LINEAS!$D$72="",LINEAS!$U$72=0,ABS(IF(OR(LINEAS!$U$72=1,LINEAS!$U$72=3),1,-1)*LINEAS!$AD$72*DATOS!$C$67)&lt;0.00005),"*",LINEAS!$D$72&amp;" UNI "&amp;IF(LINEAS!$U$72&lt;=2,"GZ","GX")&amp;" "&amp;TEXT(IF(OR(LINEAS!$U$72=1,LINEAS!$U$72=3),1,-1)*LINEAS!$AD$72*DATOS!$C$67,DATOS!$C$68)))</f>
        <v/>
      </c>
      <c r="E522" s="42" t="str">
        <f t="shared" si="17"/>
        <v/>
      </c>
    </row>
    <row r="523" spans="2:5" ht="15" customHeight="1" x14ac:dyDescent="0.3">
      <c r="B523" s="44" t="str">
        <f>IF(OR(LINEAS!$D$73="",LINEAS!$U$73=0,ABS(IF(OR(LINEAS!$U$73=1,LINEAS!$U$73=3),1,-1)*LINEAS!$AD$73*DATOS!$C$67)&lt;0.00005),"*",LINEAS!$D$73&amp;" UNI "&amp;IF(LINEAS!$U$73&lt;=2,"GZ","GX")&amp;" "&amp;TEXT(IF(OR(LINEAS!$U$73=1,LINEAS!$U$73=3),1,-1)*LINEAS!$AD$73*DATOS!$C$67,DATOS!$C$68))</f>
        <v>275 UNI GX 0.0516</v>
      </c>
      <c r="C523" s="42" t="str">
        <f t="shared" si="16"/>
        <v/>
      </c>
      <c r="D523" s="44" t="str">
        <f>IF(PRESIONES!$C$22="NO","",IF(OR(LINEAS!$D$73="",LINEAS!$U$73=0,ABS(IF(OR(LINEAS!$U$73=1,LINEAS!$U$73=3),1,-1)*LINEAS!$AD$73*DATOS!$C$67)&lt;0.00005),"*",LINEAS!$D$73&amp;" UNI "&amp;IF(LINEAS!$U$73&lt;=2,"GZ","GX")&amp;" "&amp;TEXT(IF(OR(LINEAS!$U$73=1,LINEAS!$U$73=3),1,-1)*LINEAS!$AD$73*DATOS!$C$67,DATOS!$C$68)))</f>
        <v/>
      </c>
      <c r="E523" s="42" t="str">
        <f t="shared" si="17"/>
        <v/>
      </c>
    </row>
    <row r="524" spans="2:5" ht="15" customHeight="1" x14ac:dyDescent="0.3">
      <c r="B524" s="44" t="str">
        <f>IF(OR(LINEAS!$D$74="",LINEAS!$U$74=0,ABS(IF(OR(LINEAS!$U$74=1,LINEAS!$U$74=3),1,-1)*LINEAS!$AD$74*DATOS!$C$67)&lt;0.00005),"*",LINEAS!$D$74&amp;" UNI "&amp;IF(LINEAS!$U$74&lt;=2,"GZ","GX")&amp;" "&amp;TEXT(IF(OR(LINEAS!$U$74=1,LINEAS!$U$74=3),1,-1)*LINEAS!$AD$74*DATOS!$C$67,DATOS!$C$68))</f>
        <v>276 UNI GX 0.0516</v>
      </c>
      <c r="C524" s="42" t="str">
        <f t="shared" si="16"/>
        <v/>
      </c>
      <c r="D524" s="44" t="str">
        <f>IF(PRESIONES!$C$22="NO","",IF(OR(LINEAS!$D$74="",LINEAS!$U$74=0,ABS(IF(OR(LINEAS!$U$74=1,LINEAS!$U$74=3),1,-1)*LINEAS!$AD$74*DATOS!$C$67)&lt;0.00005),"*",LINEAS!$D$74&amp;" UNI "&amp;IF(LINEAS!$U$74&lt;=2,"GZ","GX")&amp;" "&amp;TEXT(IF(OR(LINEAS!$U$74=1,LINEAS!$U$74=3),1,-1)*LINEAS!$AD$74*DATOS!$C$67,DATOS!$C$68)))</f>
        <v/>
      </c>
      <c r="E524" s="42" t="str">
        <f t="shared" si="17"/>
        <v/>
      </c>
    </row>
    <row r="525" spans="2:5" ht="15" customHeight="1" x14ac:dyDescent="0.3">
      <c r="B525" s="44" t="str">
        <f>IF(OR(LINEAS!$D$75="",LINEAS!$U$75=0,ABS(IF(OR(LINEAS!$U$75=1,LINEAS!$U$75=3),1,-1)*LINEAS!$AD$75*DATOS!$C$67)&lt;0.00005),"*",LINEAS!$D$75&amp;" UNI "&amp;IF(LINEAS!$U$75&lt;=2,"GZ","GX")&amp;" "&amp;TEXT(IF(OR(LINEAS!$U$75=1,LINEAS!$U$75=3),1,-1)*LINEAS!$AD$75*DATOS!$C$67,DATOS!$C$68))</f>
        <v>283 UNI GX 0.0516</v>
      </c>
      <c r="C525" s="42" t="str">
        <f t="shared" si="16"/>
        <v/>
      </c>
      <c r="D525" s="44" t="str">
        <f>IF(PRESIONES!$C$22="NO","",IF(OR(LINEAS!$D$75="",LINEAS!$U$75=0,ABS(IF(OR(LINEAS!$U$75=1,LINEAS!$U$75=3),1,-1)*LINEAS!$AD$75*DATOS!$C$67)&lt;0.00005),"*",LINEAS!$D$75&amp;" UNI "&amp;IF(LINEAS!$U$75&lt;=2,"GZ","GX")&amp;" "&amp;TEXT(IF(OR(LINEAS!$U$75=1,LINEAS!$U$75=3),1,-1)*LINEAS!$AD$75*DATOS!$C$67,DATOS!$C$68)))</f>
        <v/>
      </c>
      <c r="E525" s="42" t="str">
        <f t="shared" si="17"/>
        <v/>
      </c>
    </row>
    <row r="526" spans="2:5" ht="15" customHeight="1" x14ac:dyDescent="0.3">
      <c r="B526" s="44" t="str">
        <f>IF(OR(LINEAS!$D$76="",LINEAS!$U$76=0,ABS(IF(OR(LINEAS!$U$76=1,LINEAS!$U$76=3),1,-1)*LINEAS!$AD$76*DATOS!$C$67)&lt;0.00005),"*",LINEAS!$D$76&amp;" UNI "&amp;IF(LINEAS!$U$76&lt;=2,"GZ","GX")&amp;" "&amp;TEXT(IF(OR(LINEAS!$U$76=1,LINEAS!$U$76=3),1,-1)*LINEAS!$AD$76*DATOS!$C$67,DATOS!$C$68))</f>
        <v>284 UNI GX 0.0516</v>
      </c>
      <c r="C526" s="42" t="str">
        <f t="shared" si="16"/>
        <v/>
      </c>
      <c r="D526" s="44" t="str">
        <f>IF(PRESIONES!$C$22="NO","",IF(OR(LINEAS!$D$76="",LINEAS!$U$76=0,ABS(IF(OR(LINEAS!$U$76=1,LINEAS!$U$76=3),1,-1)*LINEAS!$AD$76*DATOS!$C$67)&lt;0.00005),"*",LINEAS!$D$76&amp;" UNI "&amp;IF(LINEAS!$U$76&lt;=2,"GZ","GX")&amp;" "&amp;TEXT(IF(OR(LINEAS!$U$76=1,LINEAS!$U$76=3),1,-1)*LINEAS!$AD$76*DATOS!$C$67,DATOS!$C$68)))</f>
        <v/>
      </c>
      <c r="E526" s="42" t="str">
        <f t="shared" si="17"/>
        <v/>
      </c>
    </row>
    <row r="527" spans="2:5" ht="15" customHeight="1" x14ac:dyDescent="0.3">
      <c r="B527" s="44" t="str">
        <f>IF(OR(LINEAS!$D$77="",LINEAS!$U$77=0,ABS(IF(OR(LINEAS!$U$77=1,LINEAS!$U$77=3),1,-1)*LINEAS!$AD$77*DATOS!$C$67)&lt;0.00005),"*",LINEAS!$D$77&amp;" UNI "&amp;IF(LINEAS!$U$77&lt;=2,"GZ","GX")&amp;" "&amp;TEXT(IF(OR(LINEAS!$U$77=1,LINEAS!$U$77=3),1,-1)*LINEAS!$AD$77*DATOS!$C$67,DATOS!$C$68))</f>
        <v>285 UNI GX 0.0516</v>
      </c>
      <c r="C527" s="42" t="str">
        <f t="shared" si="16"/>
        <v/>
      </c>
      <c r="D527" s="44" t="str">
        <f>IF(PRESIONES!$C$22="NO","",IF(OR(LINEAS!$D$77="",LINEAS!$U$77=0,ABS(IF(OR(LINEAS!$U$77=1,LINEAS!$U$77=3),1,-1)*LINEAS!$AD$77*DATOS!$C$67)&lt;0.00005),"*",LINEAS!$D$77&amp;" UNI "&amp;IF(LINEAS!$U$77&lt;=2,"GZ","GX")&amp;" "&amp;TEXT(IF(OR(LINEAS!$U$77=1,LINEAS!$U$77=3),1,-1)*LINEAS!$AD$77*DATOS!$C$67,DATOS!$C$68)))</f>
        <v/>
      </c>
      <c r="E527" s="42" t="str">
        <f t="shared" si="17"/>
        <v/>
      </c>
    </row>
    <row r="528" spans="2:5" ht="15" customHeight="1" x14ac:dyDescent="0.3">
      <c r="B528" s="44" t="str">
        <f>IF(OR(LINEAS!$D$78="",LINEAS!$U$78=0,ABS(IF(OR(LINEAS!$U$78=1,LINEAS!$U$78=3),1,-1)*LINEAS!$AD$78*DATOS!$C$67)&lt;0.00005),"*",LINEAS!$D$78&amp;" UNI "&amp;IF(LINEAS!$U$78&lt;=2,"GZ","GX")&amp;" "&amp;TEXT(IF(OR(LINEAS!$U$78=1,LINEAS!$U$78=3),1,-1)*LINEAS!$AD$78*DATOS!$C$67,DATOS!$C$68))</f>
        <v>292 UNI GX 0.0516</v>
      </c>
      <c r="C528" s="42" t="str">
        <f t="shared" si="16"/>
        <v/>
      </c>
      <c r="D528" s="44" t="str">
        <f>IF(PRESIONES!$C$22="NO","",IF(OR(LINEAS!$D$78="",LINEAS!$U$78=0,ABS(IF(OR(LINEAS!$U$78=1,LINEAS!$U$78=3),1,-1)*LINEAS!$AD$78*DATOS!$C$67)&lt;0.00005),"*",LINEAS!$D$78&amp;" UNI "&amp;IF(LINEAS!$U$78&lt;=2,"GZ","GX")&amp;" "&amp;TEXT(IF(OR(LINEAS!$U$78=1,LINEAS!$U$78=3),1,-1)*LINEAS!$AD$78*DATOS!$C$67,DATOS!$C$68)))</f>
        <v/>
      </c>
      <c r="E528" s="42" t="str">
        <f t="shared" si="17"/>
        <v/>
      </c>
    </row>
    <row r="529" spans="2:5" ht="15" customHeight="1" x14ac:dyDescent="0.3">
      <c r="B529" s="44" t="str">
        <f>IF(OR(LINEAS!$D$79="",LINEAS!$U$79=0,ABS(IF(OR(LINEAS!$U$79=1,LINEAS!$U$79=3),1,-1)*LINEAS!$AD$79*DATOS!$C$67)&lt;0.00005),"*",LINEAS!$D$79&amp;" UNI "&amp;IF(LINEAS!$U$79&lt;=2,"GZ","GX")&amp;" "&amp;TEXT(IF(OR(LINEAS!$U$79=1,LINEAS!$U$79=3),1,-1)*LINEAS!$AD$79*DATOS!$C$67,DATOS!$C$68))</f>
        <v>293 UNI GX 0.0516</v>
      </c>
      <c r="C529" s="42" t="str">
        <f t="shared" si="16"/>
        <v/>
      </c>
      <c r="D529" s="44" t="str">
        <f>IF(PRESIONES!$C$22="NO","",IF(OR(LINEAS!$D$79="",LINEAS!$U$79=0,ABS(IF(OR(LINEAS!$U$79=1,LINEAS!$U$79=3),1,-1)*LINEAS!$AD$79*DATOS!$C$67)&lt;0.00005),"*",LINEAS!$D$79&amp;" UNI "&amp;IF(LINEAS!$U$79&lt;=2,"GZ","GX")&amp;" "&amp;TEXT(IF(OR(LINEAS!$U$79=1,LINEAS!$U$79=3),1,-1)*LINEAS!$AD$79*DATOS!$C$67,DATOS!$C$68)))</f>
        <v/>
      </c>
      <c r="E529" s="42" t="str">
        <f t="shared" si="17"/>
        <v/>
      </c>
    </row>
    <row r="530" spans="2:5" ht="15" customHeight="1" x14ac:dyDescent="0.3">
      <c r="B530" s="44" t="str">
        <f>IF(OR(LINEAS!$D$80="",LINEAS!$U$80=0,ABS(IF(OR(LINEAS!$U$80=1,LINEAS!$U$80=3),1,-1)*LINEAS!$AD$80*DATOS!$C$67)&lt;0.00005),"*",LINEAS!$D$80&amp;" UNI "&amp;IF(LINEAS!$U$80&lt;=2,"GZ","GX")&amp;" "&amp;TEXT(IF(OR(LINEAS!$U$80=1,LINEAS!$U$80=3),1,-1)*LINEAS!$AD$80*DATOS!$C$67,DATOS!$C$68))</f>
        <v>294 UNI GX 0.0516</v>
      </c>
      <c r="C530" s="42" t="str">
        <f t="shared" si="16"/>
        <v/>
      </c>
      <c r="D530" s="44" t="str">
        <f>IF(PRESIONES!$C$22="NO","",IF(OR(LINEAS!$D$80="",LINEAS!$U$80=0,ABS(IF(OR(LINEAS!$U$80=1,LINEAS!$U$80=3),1,-1)*LINEAS!$AD$80*DATOS!$C$67)&lt;0.00005),"*",LINEAS!$D$80&amp;" UNI "&amp;IF(LINEAS!$U$80&lt;=2,"GZ","GX")&amp;" "&amp;TEXT(IF(OR(LINEAS!$U$80=1,LINEAS!$U$80=3),1,-1)*LINEAS!$AD$80*DATOS!$C$67,DATOS!$C$68)))</f>
        <v/>
      </c>
      <c r="E530" s="42" t="str">
        <f t="shared" si="17"/>
        <v/>
      </c>
    </row>
    <row r="531" spans="2:5" ht="15" customHeight="1" x14ac:dyDescent="0.3">
      <c r="B531" s="44" t="str">
        <f>IF(OR(LINEAS!$D$81="",LINEAS!$U$81=0,ABS(IF(OR(LINEAS!$U$81=1,LINEAS!$U$81=3),1,-1)*LINEAS!$AD$81*DATOS!$C$67)&lt;0.00005),"*",LINEAS!$D$81&amp;" UNI "&amp;IF(LINEAS!$U$81&lt;=2,"GZ","GX")&amp;" "&amp;TEXT(IF(OR(LINEAS!$U$81=1,LINEAS!$U$81=3),1,-1)*LINEAS!$AD$81*DATOS!$C$67,DATOS!$C$68))</f>
        <v>300 UNI GX 0.0516</v>
      </c>
      <c r="C531" s="42" t="str">
        <f t="shared" si="16"/>
        <v/>
      </c>
      <c r="D531" s="44" t="str">
        <f>IF(PRESIONES!$C$22="NO","",IF(OR(LINEAS!$D$81="",LINEAS!$U$81=0,ABS(IF(OR(LINEAS!$U$81=1,LINEAS!$U$81=3),1,-1)*LINEAS!$AD$81*DATOS!$C$67)&lt;0.00005),"*",LINEAS!$D$81&amp;" UNI "&amp;IF(LINEAS!$U$81&lt;=2,"GZ","GX")&amp;" "&amp;TEXT(IF(OR(LINEAS!$U$81=1,LINEAS!$U$81=3),1,-1)*LINEAS!$AD$81*DATOS!$C$67,DATOS!$C$68)))</f>
        <v/>
      </c>
      <c r="E531" s="42" t="str">
        <f t="shared" si="17"/>
        <v/>
      </c>
    </row>
    <row r="532" spans="2:5" ht="15" customHeight="1" x14ac:dyDescent="0.3">
      <c r="B532" s="44" t="str">
        <f>IF(OR(LINEAS!$D$82="",LINEAS!$U$82=0,ABS(IF(OR(LINEAS!$U$82=1,LINEAS!$U$82=3),1,-1)*LINEAS!$AD$82*DATOS!$C$67)&lt;0.00005),"*",LINEAS!$D$82&amp;" UNI "&amp;IF(LINEAS!$U$82&lt;=2,"GZ","GX")&amp;" "&amp;TEXT(IF(OR(LINEAS!$U$82=1,LINEAS!$U$82=3),1,-1)*LINEAS!$AD$82*DATOS!$C$67,DATOS!$C$68))</f>
        <v>301 UNI GX 0.0516</v>
      </c>
      <c r="C532" s="42" t="str">
        <f t="shared" si="16"/>
        <v/>
      </c>
      <c r="D532" s="44" t="str">
        <f>IF(PRESIONES!$C$22="NO","",IF(OR(LINEAS!$D$82="",LINEAS!$U$82=0,ABS(IF(OR(LINEAS!$U$82=1,LINEAS!$U$82=3),1,-1)*LINEAS!$AD$82*DATOS!$C$67)&lt;0.00005),"*",LINEAS!$D$82&amp;" UNI "&amp;IF(LINEAS!$U$82&lt;=2,"GZ","GX")&amp;" "&amp;TEXT(IF(OR(LINEAS!$U$82=1,LINEAS!$U$82=3),1,-1)*LINEAS!$AD$82*DATOS!$C$67,DATOS!$C$68)))</f>
        <v/>
      </c>
      <c r="E532" s="42" t="str">
        <f t="shared" si="17"/>
        <v/>
      </c>
    </row>
    <row r="533" spans="2:5" ht="15" customHeight="1" x14ac:dyDescent="0.3">
      <c r="B533" s="44" t="str">
        <f>IF(OR(LINEAS!$D$83="",LINEAS!$U$83=0,ABS(IF(OR(LINEAS!$U$83=1,LINEAS!$U$83=3),1,-1)*LINEAS!$AD$83*DATOS!$C$67)&lt;0.00005),"*",LINEAS!$D$83&amp;" UNI "&amp;IF(LINEAS!$U$83&lt;=2,"GZ","GX")&amp;" "&amp;TEXT(IF(OR(LINEAS!$U$83=1,LINEAS!$U$83=3),1,-1)*LINEAS!$AD$83*DATOS!$C$67,DATOS!$C$68))</f>
        <v>302 UNI GX 0.0516</v>
      </c>
      <c r="C533" s="42" t="str">
        <f t="shared" si="16"/>
        <v/>
      </c>
      <c r="D533" s="44" t="str">
        <f>IF(PRESIONES!$C$22="NO","",IF(OR(LINEAS!$D$83="",LINEAS!$U$83=0,ABS(IF(OR(LINEAS!$U$83=1,LINEAS!$U$83=3),1,-1)*LINEAS!$AD$83*DATOS!$C$67)&lt;0.00005),"*",LINEAS!$D$83&amp;" UNI "&amp;IF(LINEAS!$U$83&lt;=2,"GZ","GX")&amp;" "&amp;TEXT(IF(OR(LINEAS!$U$83=1,LINEAS!$U$83=3),1,-1)*LINEAS!$AD$83*DATOS!$C$67,DATOS!$C$68)))</f>
        <v/>
      </c>
      <c r="E533" s="42" t="str">
        <f t="shared" si="17"/>
        <v/>
      </c>
    </row>
    <row r="534" spans="2:5" ht="15" customHeight="1" x14ac:dyDescent="0.3">
      <c r="B534" s="44" t="str">
        <f>IF(OR(LINEAS!$D$84="",LINEAS!$U$84=0,ABS(IF(OR(LINEAS!$U$84=1,LINEAS!$U$84=3),1,-1)*LINEAS!$AD$84*DATOS!$C$67)&lt;0.00005),"*",LINEAS!$D$84&amp;" UNI "&amp;IF(LINEAS!$U$84&lt;=2,"GZ","GX")&amp;" "&amp;TEXT(IF(OR(LINEAS!$U$84=1,LINEAS!$U$84=3),1,-1)*LINEAS!$AD$84*DATOS!$C$67,DATOS!$C$68))</f>
        <v>307 UNI GX 0.0516</v>
      </c>
      <c r="C534" s="42" t="str">
        <f t="shared" si="16"/>
        <v/>
      </c>
      <c r="D534" s="44" t="str">
        <f>IF(PRESIONES!$C$22="NO","",IF(OR(LINEAS!$D$84="",LINEAS!$U$84=0,ABS(IF(OR(LINEAS!$U$84=1,LINEAS!$U$84=3),1,-1)*LINEAS!$AD$84*DATOS!$C$67)&lt;0.00005),"*",LINEAS!$D$84&amp;" UNI "&amp;IF(LINEAS!$U$84&lt;=2,"GZ","GX")&amp;" "&amp;TEXT(IF(OR(LINEAS!$U$84=1,LINEAS!$U$84=3),1,-1)*LINEAS!$AD$84*DATOS!$C$67,DATOS!$C$68)))</f>
        <v/>
      </c>
      <c r="E534" s="42" t="str">
        <f t="shared" si="17"/>
        <v/>
      </c>
    </row>
    <row r="535" spans="2:5" ht="15" customHeight="1" x14ac:dyDescent="0.3">
      <c r="B535" s="44" t="str">
        <f>IF(OR(LINEAS!$D$85="",LINEAS!$U$85=0,ABS(IF(OR(LINEAS!$U$85=1,LINEAS!$U$85=3),1,-1)*LINEAS!$AD$85*DATOS!$C$67)&lt;0.00005),"*",LINEAS!$D$85&amp;" UNI "&amp;IF(LINEAS!$U$85&lt;=2,"GZ","GX")&amp;" "&amp;TEXT(IF(OR(LINEAS!$U$85=1,LINEAS!$U$85=3),1,-1)*LINEAS!$AD$85*DATOS!$C$67,DATOS!$C$68))</f>
        <v>308 UNI GX 0.0516</v>
      </c>
      <c r="C535" s="42" t="str">
        <f t="shared" si="16"/>
        <v/>
      </c>
      <c r="D535" s="44" t="str">
        <f>IF(PRESIONES!$C$22="NO","",IF(OR(LINEAS!$D$85="",LINEAS!$U$85=0,ABS(IF(OR(LINEAS!$U$85=1,LINEAS!$U$85=3),1,-1)*LINEAS!$AD$85*DATOS!$C$67)&lt;0.00005),"*",LINEAS!$D$85&amp;" UNI "&amp;IF(LINEAS!$U$85&lt;=2,"GZ","GX")&amp;" "&amp;TEXT(IF(OR(LINEAS!$U$85=1,LINEAS!$U$85=3),1,-1)*LINEAS!$AD$85*DATOS!$C$67,DATOS!$C$68)))</f>
        <v/>
      </c>
      <c r="E535" s="42" t="str">
        <f t="shared" si="17"/>
        <v/>
      </c>
    </row>
    <row r="536" spans="2:5" ht="15" customHeight="1" x14ac:dyDescent="0.3">
      <c r="B536" s="44" t="str">
        <f>IF(OR(LINEAS!$D$86="",LINEAS!$U$86=0,ABS(IF(OR(LINEAS!$U$86=1,LINEAS!$U$86=3),1,-1)*LINEAS!$AD$86*DATOS!$C$67)&lt;0.00005),"*",LINEAS!$D$86&amp;" UNI "&amp;IF(LINEAS!$U$86&lt;=2,"GZ","GX")&amp;" "&amp;TEXT(IF(OR(LINEAS!$U$86=1,LINEAS!$U$86=3),1,-1)*LINEAS!$AD$86*DATOS!$C$67,DATOS!$C$68))</f>
        <v>309 UNI GX 0.0516</v>
      </c>
      <c r="C536" s="42" t="str">
        <f t="shared" si="16"/>
        <v/>
      </c>
      <c r="D536" s="44" t="str">
        <f>IF(PRESIONES!$C$22="NO","",IF(OR(LINEAS!$D$86="",LINEAS!$U$86=0,ABS(IF(OR(LINEAS!$U$86=1,LINEAS!$U$86=3),1,-1)*LINEAS!$AD$86*DATOS!$C$67)&lt;0.00005),"*",LINEAS!$D$86&amp;" UNI "&amp;IF(LINEAS!$U$86&lt;=2,"GZ","GX")&amp;" "&amp;TEXT(IF(OR(LINEAS!$U$86=1,LINEAS!$U$86=3),1,-1)*LINEAS!$AD$86*DATOS!$C$67,DATOS!$C$68)))</f>
        <v/>
      </c>
      <c r="E536" s="42" t="str">
        <f t="shared" si="17"/>
        <v/>
      </c>
    </row>
    <row r="537" spans="2:5" ht="15" customHeight="1" x14ac:dyDescent="0.3">
      <c r="B537" s="44" t="str">
        <f>IF(OR(LINEAS!$D$87="",LINEAS!$U$87=0,ABS(IF(OR(LINEAS!$U$87=1,LINEAS!$U$87=3),1,-1)*LINEAS!$AD$87*DATOS!$C$67)&lt;0.00005),"*",LINEAS!$D$87&amp;" UNI "&amp;IF(LINEAS!$U$87&lt;=2,"GZ","GX")&amp;" "&amp;TEXT(IF(OR(LINEAS!$U$87=1,LINEAS!$U$87=3),1,-1)*LINEAS!$AD$87*DATOS!$C$67,DATOS!$C$68))</f>
        <v>318 UNI GX 0.0516</v>
      </c>
      <c r="C537" s="42" t="str">
        <f t="shared" si="16"/>
        <v/>
      </c>
      <c r="D537" s="44" t="str">
        <f>IF(PRESIONES!$C$22="NO","",IF(OR(LINEAS!$D$87="",LINEAS!$U$87=0,ABS(IF(OR(LINEAS!$U$87=1,LINEAS!$U$87=3),1,-1)*LINEAS!$AD$87*DATOS!$C$67)&lt;0.00005),"*",LINEAS!$D$87&amp;" UNI "&amp;IF(LINEAS!$U$87&lt;=2,"GZ","GX")&amp;" "&amp;TEXT(IF(OR(LINEAS!$U$87=1,LINEAS!$U$87=3),1,-1)*LINEAS!$AD$87*DATOS!$C$67,DATOS!$C$68)))</f>
        <v/>
      </c>
      <c r="E537" s="42" t="str">
        <f t="shared" si="17"/>
        <v/>
      </c>
    </row>
    <row r="538" spans="2:5" ht="15" customHeight="1" x14ac:dyDescent="0.3">
      <c r="B538" s="44" t="str">
        <f>IF(OR(LINEAS!$D$88="",LINEAS!$U$88=0,ABS(IF(OR(LINEAS!$U$88=1,LINEAS!$U$88=3),1,-1)*LINEAS!$AD$88*DATOS!$C$67)&lt;0.00005),"*",LINEAS!$D$88&amp;" UNI "&amp;IF(LINEAS!$U$88&lt;=2,"GZ","GX")&amp;" "&amp;TEXT(IF(OR(LINEAS!$U$88=1,LINEAS!$U$88=3),1,-1)*LINEAS!$AD$88*DATOS!$C$67,DATOS!$C$68))</f>
        <v>311 UNI GX 0.0516</v>
      </c>
      <c r="C538" s="42" t="str">
        <f t="shared" si="16"/>
        <v/>
      </c>
      <c r="D538" s="44" t="str">
        <f>IF(PRESIONES!$C$22="NO","",IF(OR(LINEAS!$D$88="",LINEAS!$U$88=0,ABS(IF(OR(LINEAS!$U$88=1,LINEAS!$U$88=3),1,-1)*LINEAS!$AD$88*DATOS!$C$67)&lt;0.00005),"*",LINEAS!$D$88&amp;" UNI "&amp;IF(LINEAS!$U$88&lt;=2,"GZ","GX")&amp;" "&amp;TEXT(IF(OR(LINEAS!$U$88=1,LINEAS!$U$88=3),1,-1)*LINEAS!$AD$88*DATOS!$C$67,DATOS!$C$68)))</f>
        <v/>
      </c>
      <c r="E538" s="42" t="str">
        <f t="shared" si="17"/>
        <v/>
      </c>
    </row>
    <row r="539" spans="2:5" ht="15" customHeight="1" x14ac:dyDescent="0.3">
      <c r="B539" s="44" t="str">
        <f>IF(OR(LINEAS!$D$89="",LINEAS!$U$89=0,ABS(IF(OR(LINEAS!$U$89=1,LINEAS!$U$89=3),1,-1)*LINEAS!$AD$89*DATOS!$C$67)&lt;0.00005),"*",LINEAS!$D$89&amp;" UNI "&amp;IF(LINEAS!$U$89&lt;=2,"GZ","GX")&amp;" "&amp;TEXT(IF(OR(LINEAS!$U$89=1,LINEAS!$U$89=3),1,-1)*LINEAS!$AD$89*DATOS!$C$67,DATOS!$C$68))</f>
        <v>310 UNI GX 0.0516</v>
      </c>
      <c r="C539" s="42" t="str">
        <f t="shared" si="16"/>
        <v/>
      </c>
      <c r="D539" s="44" t="str">
        <f>IF(PRESIONES!$C$22="NO","",IF(OR(LINEAS!$D$89="",LINEAS!$U$89=0,ABS(IF(OR(LINEAS!$U$89=1,LINEAS!$U$89=3),1,-1)*LINEAS!$AD$89*DATOS!$C$67)&lt;0.00005),"*",LINEAS!$D$89&amp;" UNI "&amp;IF(LINEAS!$U$89&lt;=2,"GZ","GX")&amp;" "&amp;TEXT(IF(OR(LINEAS!$U$89=1,LINEAS!$U$89=3),1,-1)*LINEAS!$AD$89*DATOS!$C$67,DATOS!$C$68)))</f>
        <v/>
      </c>
      <c r="E539" s="42" t="str">
        <f t="shared" si="17"/>
        <v/>
      </c>
    </row>
    <row r="540" spans="2:5" ht="15" customHeight="1" x14ac:dyDescent="0.3">
      <c r="B540" s="44" t="str">
        <f>IF(OR(LINEAS!$D$90="",LINEAS!$U$90=0,ABS(IF(OR(LINEAS!$U$90=1,LINEAS!$U$90=3),1,-1)*LINEAS!$AD$90*DATOS!$C$67)&lt;0.00005),"*",LINEAS!$D$90&amp;" UNI "&amp;IF(LINEAS!$U$90&lt;=2,"GZ","GX")&amp;" "&amp;TEXT(IF(OR(LINEAS!$U$90=1,LINEAS!$U$90=3),1,-1)*LINEAS!$AD$90*DATOS!$C$67,DATOS!$C$68))</f>
        <v>321 UNI GX 0.0441</v>
      </c>
      <c r="C540" s="42" t="str">
        <f t="shared" si="16"/>
        <v/>
      </c>
      <c r="D540" s="44" t="str">
        <f>IF(PRESIONES!$C$22="NO","",IF(OR(LINEAS!$D$90="",LINEAS!$U$90=0,ABS(IF(OR(LINEAS!$U$90=1,LINEAS!$U$90=3),1,-1)*LINEAS!$AD$90*DATOS!$C$67)&lt;0.00005),"*",LINEAS!$D$90&amp;" UNI "&amp;IF(LINEAS!$U$90&lt;=2,"GZ","GX")&amp;" "&amp;TEXT(IF(OR(LINEAS!$U$90=1,LINEAS!$U$90=3),1,-1)*LINEAS!$AD$90*DATOS!$C$67,DATOS!$C$68)))</f>
        <v/>
      </c>
      <c r="E540" s="42" t="str">
        <f t="shared" si="17"/>
        <v/>
      </c>
    </row>
    <row r="541" spans="2:5" ht="15" customHeight="1" x14ac:dyDescent="0.3">
      <c r="B541" s="44" t="str">
        <f>IF(OR(LINEAS!$D$91="",LINEAS!$U$91=0,ABS(IF(OR(LINEAS!$U$91=1,LINEAS!$U$91=3),1,-1)*LINEAS!$AD$91*DATOS!$C$67)&lt;0.00005),"*",LINEAS!$D$91&amp;" UNI "&amp;IF(LINEAS!$U$91&lt;=2,"GZ","GX")&amp;" "&amp;TEXT(IF(OR(LINEAS!$U$91=1,LINEAS!$U$91=3),1,-1)*LINEAS!$AD$91*DATOS!$C$67,DATOS!$C$68))</f>
        <v>320 UNI GX 0.0368</v>
      </c>
      <c r="C541" s="42" t="str">
        <f t="shared" si="16"/>
        <v/>
      </c>
      <c r="D541" s="44" t="str">
        <f>IF(PRESIONES!$C$22="NO","",IF(OR(LINEAS!$D$91="",LINEAS!$U$91=0,ABS(IF(OR(LINEAS!$U$91=1,LINEAS!$U$91=3),1,-1)*LINEAS!$AD$91*DATOS!$C$67)&lt;0.00005),"*",LINEAS!$D$91&amp;" UNI "&amp;IF(LINEAS!$U$91&lt;=2,"GZ","GX")&amp;" "&amp;TEXT(IF(OR(LINEAS!$U$91=1,LINEAS!$U$91=3),1,-1)*LINEAS!$AD$91*DATOS!$C$67,DATOS!$C$68)))</f>
        <v/>
      </c>
      <c r="E541" s="42" t="str">
        <f t="shared" si="17"/>
        <v/>
      </c>
    </row>
    <row r="542" spans="2:5" ht="15" customHeight="1" x14ac:dyDescent="0.3">
      <c r="B542" s="44" t="str">
        <f>IF(OR(LINEAS!$D$92="",LINEAS!$U$92=0,ABS(IF(OR(LINEAS!$U$92=1,LINEAS!$U$92=3),1,-1)*LINEAS!$AD$92*DATOS!$C$67)&lt;0.00005),"*",LINEAS!$D$92&amp;" UNI "&amp;IF(LINEAS!$U$92&lt;=2,"GZ","GX")&amp;" "&amp;TEXT(IF(OR(LINEAS!$U$92=1,LINEAS!$U$92=3),1,-1)*LINEAS!$AD$92*DATOS!$C$67,DATOS!$C$68))</f>
        <v>319 UNI GX 0.0318</v>
      </c>
      <c r="C542" s="42" t="str">
        <f t="shared" si="16"/>
        <v/>
      </c>
      <c r="D542" s="44" t="str">
        <f>IF(PRESIONES!$C$22="NO","",IF(OR(LINEAS!$D$92="",LINEAS!$U$92=0,ABS(IF(OR(LINEAS!$U$92=1,LINEAS!$U$92=3),1,-1)*LINEAS!$AD$92*DATOS!$C$67)&lt;0.00005),"*",LINEAS!$D$92&amp;" UNI "&amp;IF(LINEAS!$U$92&lt;=2,"GZ","GX")&amp;" "&amp;TEXT(IF(OR(LINEAS!$U$92=1,LINEAS!$U$92=3),1,-1)*LINEAS!$AD$92*DATOS!$C$67,DATOS!$C$68)))</f>
        <v/>
      </c>
      <c r="E542" s="42" t="str">
        <f t="shared" si="17"/>
        <v/>
      </c>
    </row>
    <row r="543" spans="2:5" ht="15" customHeight="1" x14ac:dyDescent="0.3">
      <c r="B543" s="44" t="str">
        <f>IF(OR(LINEAS!$D$93="",LINEAS!$U$93=0,ABS(IF(OR(LINEAS!$U$93=1,LINEAS!$U$93=3),1,-1)*LINEAS!$AD$93*DATOS!$C$67)&lt;0.00005),"*",LINEAS!$D$93&amp;" UNI "&amp;IF(LINEAS!$U$93&lt;=2,"GZ","GX")&amp;" "&amp;TEXT(IF(OR(LINEAS!$U$93=1,LINEAS!$U$93=3),1,-1)*LINEAS!$AD$93*DATOS!$C$67,DATOS!$C$68))</f>
        <v>60 UNI GX -0.0212</v>
      </c>
      <c r="C543" s="42" t="str">
        <f t="shared" si="16"/>
        <v/>
      </c>
      <c r="D543" s="44" t="str">
        <f>IF(PRESIONES!$C$22="NO","",IF(OR(LINEAS!$D$93="",LINEAS!$U$93=0,ABS(IF(OR(LINEAS!$U$93=1,LINEAS!$U$93=3),1,-1)*LINEAS!$AD$93*DATOS!$C$67)&lt;0.00005),"*",LINEAS!$D$93&amp;" UNI "&amp;IF(LINEAS!$U$93&lt;=2,"GZ","GX")&amp;" "&amp;TEXT(IF(OR(LINEAS!$U$93=1,LINEAS!$U$93=3),1,-1)*LINEAS!$AD$93*DATOS!$C$67,DATOS!$C$68)))</f>
        <v/>
      </c>
      <c r="E543" s="42" t="str">
        <f t="shared" si="17"/>
        <v/>
      </c>
    </row>
    <row r="544" spans="2:5" ht="15" customHeight="1" x14ac:dyDescent="0.3">
      <c r="B544" s="44" t="str">
        <f>IF(OR(LINEAS!$D$94="",LINEAS!$U$94=0,ABS(IF(OR(LINEAS!$U$94=1,LINEAS!$U$94=3),1,-1)*LINEAS!$AD$94*DATOS!$C$67)&lt;0.00005),"*",LINEAS!$D$94&amp;" UNI "&amp;IF(LINEAS!$U$94&lt;=2,"GZ","GX")&amp;" "&amp;TEXT(IF(OR(LINEAS!$U$94=1,LINEAS!$U$94=3),1,-1)*LINEAS!$AD$94*DATOS!$C$67,DATOS!$C$68))</f>
        <v>59 UNI GX -0.0198</v>
      </c>
      <c r="C544" s="42" t="str">
        <f t="shared" si="16"/>
        <v/>
      </c>
      <c r="D544" s="44" t="str">
        <f>IF(PRESIONES!$C$22="NO","",IF(OR(LINEAS!$D$94="",LINEAS!$U$94=0,ABS(IF(OR(LINEAS!$U$94=1,LINEAS!$U$94=3),1,-1)*LINEAS!$AD$94*DATOS!$C$67)&lt;0.00005),"*",LINEAS!$D$94&amp;" UNI "&amp;IF(LINEAS!$U$94&lt;=2,"GZ","GX")&amp;" "&amp;TEXT(IF(OR(LINEAS!$U$94=1,LINEAS!$U$94=3),1,-1)*LINEAS!$AD$94*DATOS!$C$67,DATOS!$C$68)))</f>
        <v/>
      </c>
      <c r="E544" s="42" t="str">
        <f t="shared" si="17"/>
        <v/>
      </c>
    </row>
    <row r="545" spans="2:5" ht="15" customHeight="1" x14ac:dyDescent="0.3">
      <c r="B545" s="44" t="str">
        <f>IF(OR(LINEAS!$D$95="",LINEAS!$U$95=0,ABS(IF(OR(LINEAS!$U$95=1,LINEAS!$U$95=3),1,-1)*LINEAS!$AD$95*DATOS!$C$67)&lt;0.00005),"*",LINEAS!$D$95&amp;" UNI "&amp;IF(LINEAS!$U$95&lt;=2,"GZ","GX")&amp;" "&amp;TEXT(IF(OR(LINEAS!$U$95=1,LINEAS!$U$95=3),1,-1)*LINEAS!$AD$95*DATOS!$C$67,DATOS!$C$68))</f>
        <v>58 UNI GX -0.0183</v>
      </c>
      <c r="C545" s="42" t="str">
        <f t="shared" si="16"/>
        <v/>
      </c>
      <c r="D545" s="44" t="str">
        <f>IF(PRESIONES!$C$22="NO","",IF(OR(LINEAS!$D$95="",LINEAS!$U$95=0,ABS(IF(OR(LINEAS!$U$95=1,LINEAS!$U$95=3),1,-1)*LINEAS!$AD$95*DATOS!$C$67)&lt;0.00005),"*",LINEAS!$D$95&amp;" UNI "&amp;IF(LINEAS!$U$95&lt;=2,"GZ","GX")&amp;" "&amp;TEXT(IF(OR(LINEAS!$U$95=1,LINEAS!$U$95=3),1,-1)*LINEAS!$AD$95*DATOS!$C$67,DATOS!$C$68)))</f>
        <v/>
      </c>
      <c r="E545" s="42" t="str">
        <f t="shared" si="17"/>
        <v/>
      </c>
    </row>
    <row r="546" spans="2:5" ht="15" customHeight="1" x14ac:dyDescent="0.3">
      <c r="B546" s="44" t="str">
        <f>IF(OR(LINEAS!$D$96="",LINEAS!$U$96=0,ABS(IF(OR(LINEAS!$U$96=1,LINEAS!$U$96=3),1,-1)*LINEAS!$AD$96*DATOS!$C$67)&lt;0.00005),"*",LINEAS!$D$96&amp;" UNI "&amp;IF(LINEAS!$U$96&lt;=2,"GZ","GX")&amp;" "&amp;TEXT(IF(OR(LINEAS!$U$96=1,LINEAS!$U$96=3),1,-1)*LINEAS!$AD$96*DATOS!$C$67,DATOS!$C$68))</f>
        <v>57 UNI GX -0.0169</v>
      </c>
      <c r="C546" s="42" t="str">
        <f t="shared" si="16"/>
        <v/>
      </c>
      <c r="D546" s="44" t="str">
        <f>IF(PRESIONES!$C$22="NO","",IF(OR(LINEAS!$D$96="",LINEAS!$U$96=0,ABS(IF(OR(LINEAS!$U$96=1,LINEAS!$U$96=3),1,-1)*LINEAS!$AD$96*DATOS!$C$67)&lt;0.00005),"*",LINEAS!$D$96&amp;" UNI "&amp;IF(LINEAS!$U$96&lt;=2,"GZ","GX")&amp;" "&amp;TEXT(IF(OR(LINEAS!$U$96=1,LINEAS!$U$96=3),1,-1)*LINEAS!$AD$96*DATOS!$C$67,DATOS!$C$68)))</f>
        <v/>
      </c>
      <c r="E546" s="42" t="str">
        <f t="shared" si="17"/>
        <v/>
      </c>
    </row>
    <row r="547" spans="2:5" ht="15" customHeight="1" x14ac:dyDescent="0.3">
      <c r="B547" s="44" t="str">
        <f>IF(OR(LINEAS!$D$97="",LINEAS!$U$97=0,ABS(IF(OR(LINEAS!$U$97=1,LINEAS!$U$97=3),1,-1)*LINEAS!$AD$97*DATOS!$C$67)&lt;0.00005),"*",LINEAS!$D$97&amp;" UNI "&amp;IF(LINEAS!$U$97&lt;=2,"GZ","GX")&amp;" "&amp;TEXT(IF(OR(LINEAS!$U$97=1,LINEAS!$U$97=3),1,-1)*LINEAS!$AD$97*DATOS!$C$67,DATOS!$C$68))</f>
        <v>10 UNI GX -0.0154</v>
      </c>
      <c r="C547" s="42" t="str">
        <f t="shared" si="16"/>
        <v/>
      </c>
      <c r="D547" s="44" t="str">
        <f>IF(PRESIONES!$C$22="NO","",IF(OR(LINEAS!$D$97="",LINEAS!$U$97=0,ABS(IF(OR(LINEAS!$U$97=1,LINEAS!$U$97=3),1,-1)*LINEAS!$AD$97*DATOS!$C$67)&lt;0.00005),"*",LINEAS!$D$97&amp;" UNI "&amp;IF(LINEAS!$U$97&lt;=2,"GZ","GX")&amp;" "&amp;TEXT(IF(OR(LINEAS!$U$97=1,LINEAS!$U$97=3),1,-1)*LINEAS!$AD$97*DATOS!$C$67,DATOS!$C$68)))</f>
        <v/>
      </c>
      <c r="E547" s="42" t="str">
        <f t="shared" si="17"/>
        <v/>
      </c>
    </row>
    <row r="548" spans="2:5" ht="15" customHeight="1" x14ac:dyDescent="0.3">
      <c r="B548" s="44" t="str">
        <f>IF(OR(LINEAS!$D$98="",LINEAS!$U$98=0,ABS(IF(OR(LINEAS!$U$98=1,LINEAS!$U$98=3),1,-1)*LINEAS!$AD$98*DATOS!$C$67)&lt;0.00005),"*",LINEAS!$D$98&amp;" UNI "&amp;IF(LINEAS!$U$98&lt;=2,"GZ","GX")&amp;" "&amp;TEXT(IF(OR(LINEAS!$U$98=1,LINEAS!$U$98=3),1,-1)*LINEAS!$AD$98*DATOS!$C$67,DATOS!$C$68))</f>
        <v>68 UNI GX -0.0139</v>
      </c>
      <c r="C548" s="42" t="str">
        <f t="shared" si="16"/>
        <v/>
      </c>
      <c r="D548" s="44" t="str">
        <f>IF(PRESIONES!$C$22="NO","",IF(OR(LINEAS!$D$98="",LINEAS!$U$98=0,ABS(IF(OR(LINEAS!$U$98=1,LINEAS!$U$98=3),1,-1)*LINEAS!$AD$98*DATOS!$C$67)&lt;0.00005),"*",LINEAS!$D$98&amp;" UNI "&amp;IF(LINEAS!$U$98&lt;=2,"GZ","GX")&amp;" "&amp;TEXT(IF(OR(LINEAS!$U$98=1,LINEAS!$U$98=3),1,-1)*LINEAS!$AD$98*DATOS!$C$67,DATOS!$C$68)))</f>
        <v/>
      </c>
      <c r="E548" s="42" t="str">
        <f t="shared" si="17"/>
        <v/>
      </c>
    </row>
    <row r="549" spans="2:5" ht="15" customHeight="1" x14ac:dyDescent="0.3">
      <c r="B549" s="44" t="str">
        <f>IF(OR(LINEAS!$D$99="",LINEAS!$U$99=0,ABS(IF(OR(LINEAS!$U$99=1,LINEAS!$U$99=3),1,-1)*LINEAS!$AD$99*DATOS!$C$67)&lt;0.00005),"*",LINEAS!$D$99&amp;" UNI "&amp;IF(LINEAS!$U$99&lt;=2,"GZ","GX")&amp;" "&amp;TEXT(IF(OR(LINEAS!$U$99=1,LINEAS!$U$99=3),1,-1)*LINEAS!$AD$99*DATOS!$C$67,DATOS!$C$68))</f>
        <v>67 UNI GX -0.0125</v>
      </c>
      <c r="C549" s="42" t="str">
        <f t="shared" si="16"/>
        <v/>
      </c>
      <c r="D549" s="44" t="str">
        <f>IF(PRESIONES!$C$22="NO","",IF(OR(LINEAS!$D$99="",LINEAS!$U$99=0,ABS(IF(OR(LINEAS!$U$99=1,LINEAS!$U$99=3),1,-1)*LINEAS!$AD$99*DATOS!$C$67)&lt;0.00005),"*",LINEAS!$D$99&amp;" UNI "&amp;IF(LINEAS!$U$99&lt;=2,"GZ","GX")&amp;" "&amp;TEXT(IF(OR(LINEAS!$U$99=1,LINEAS!$U$99=3),1,-1)*LINEAS!$AD$99*DATOS!$C$67,DATOS!$C$68)))</f>
        <v/>
      </c>
      <c r="E549" s="42" t="str">
        <f t="shared" si="17"/>
        <v/>
      </c>
    </row>
    <row r="550" spans="2:5" ht="15" customHeight="1" x14ac:dyDescent="0.3">
      <c r="B550" s="44" t="str">
        <f>IF(OR(LINEAS!$D$100="",LINEAS!$U$100=0,ABS(IF(OR(LINEAS!$U$100=1,LINEAS!$U$100=3),1,-1)*LINEAS!$AD$100*DATOS!$C$67)&lt;0.00005),"*",LINEAS!$D$100&amp;" UNI "&amp;IF(LINEAS!$U$100&lt;=2,"GZ","GX")&amp;" "&amp;TEXT(IF(OR(LINEAS!$U$100=1,LINEAS!$U$100=3),1,-1)*LINEAS!$AD$100*DATOS!$C$67,DATOS!$C$68))</f>
        <v>66 UNI GX -0.0110</v>
      </c>
      <c r="C550" s="42" t="str">
        <f t="shared" si="16"/>
        <v/>
      </c>
      <c r="D550" s="44" t="str">
        <f>IF(PRESIONES!$C$22="NO","",IF(OR(LINEAS!$D$100="",LINEAS!$U$100=0,ABS(IF(OR(LINEAS!$U$100=1,LINEAS!$U$100=3),1,-1)*LINEAS!$AD$100*DATOS!$C$67)&lt;0.00005),"*",LINEAS!$D$100&amp;" UNI "&amp;IF(LINEAS!$U$100&lt;=2,"GZ","GX")&amp;" "&amp;TEXT(IF(OR(LINEAS!$U$100=1,LINEAS!$U$100=3),1,-1)*LINEAS!$AD$100*DATOS!$C$67,DATOS!$C$68)))</f>
        <v/>
      </c>
      <c r="E550" s="42" t="str">
        <f t="shared" si="17"/>
        <v/>
      </c>
    </row>
    <row r="551" spans="2:5" ht="15" customHeight="1" x14ac:dyDescent="0.3">
      <c r="B551" s="44" t="str">
        <f>IF(OR(LINEAS!$D$101="",LINEAS!$U$101=0,ABS(IF(OR(LINEAS!$U$101=1,LINEAS!$U$101=3),1,-1)*LINEAS!$AD$101*DATOS!$C$67)&lt;0.00005),"*",LINEAS!$D$101&amp;" UNI "&amp;IF(LINEAS!$U$101&lt;=2,"GZ","GX")&amp;" "&amp;TEXT(IF(OR(LINEAS!$U$101=1,LINEAS!$U$101=3),1,-1)*LINEAS!$AD$101*DATOS!$C$67,DATOS!$C$68))</f>
        <v>65 UNI GX -0.0096</v>
      </c>
      <c r="C551" s="42" t="str">
        <f t="shared" si="16"/>
        <v/>
      </c>
      <c r="D551" s="44" t="str">
        <f>IF(PRESIONES!$C$22="NO","",IF(OR(LINEAS!$D$101="",LINEAS!$U$101=0,ABS(IF(OR(LINEAS!$U$101=1,LINEAS!$U$101=3),1,-1)*LINEAS!$AD$101*DATOS!$C$67)&lt;0.00005),"*",LINEAS!$D$101&amp;" UNI "&amp;IF(LINEAS!$U$101&lt;=2,"GZ","GX")&amp;" "&amp;TEXT(IF(OR(LINEAS!$U$101=1,LINEAS!$U$101=3),1,-1)*LINEAS!$AD$101*DATOS!$C$67,DATOS!$C$68)))</f>
        <v/>
      </c>
      <c r="E551" s="42" t="str">
        <f t="shared" si="17"/>
        <v/>
      </c>
    </row>
    <row r="552" spans="2:5" ht="15" customHeight="1" x14ac:dyDescent="0.3">
      <c r="B552" s="44" t="str">
        <f>IF(OR(LINEAS!$D$102="",LINEAS!$U$102=0,ABS(IF(OR(LINEAS!$U$102=1,LINEAS!$U$102=3),1,-1)*LINEAS!$AD$102*DATOS!$C$67)&lt;0.00005),"*",LINEAS!$D$102&amp;" UNI "&amp;IF(LINEAS!$U$102&lt;=2,"GZ","GX")&amp;" "&amp;TEXT(IF(OR(LINEAS!$U$102=1,LINEAS!$U$102=3),1,-1)*LINEAS!$AD$102*DATOS!$C$67,DATOS!$C$68))</f>
        <v>43 UNI GX -0.0081</v>
      </c>
      <c r="C552" s="42" t="str">
        <f t="shared" si="16"/>
        <v/>
      </c>
      <c r="D552" s="44" t="str">
        <f>IF(PRESIONES!$C$22="NO","",IF(OR(LINEAS!$D$102="",LINEAS!$U$102=0,ABS(IF(OR(LINEAS!$U$102=1,LINEAS!$U$102=3),1,-1)*LINEAS!$AD$102*DATOS!$C$67)&lt;0.00005),"*",LINEAS!$D$102&amp;" UNI "&amp;IF(LINEAS!$U$102&lt;=2,"GZ","GX")&amp;" "&amp;TEXT(IF(OR(LINEAS!$U$102=1,LINEAS!$U$102=3),1,-1)*LINEAS!$AD$102*DATOS!$C$67,DATOS!$C$68)))</f>
        <v/>
      </c>
      <c r="E552" s="42" t="str">
        <f t="shared" si="17"/>
        <v/>
      </c>
    </row>
    <row r="553" spans="2:5" ht="15" customHeight="1" x14ac:dyDescent="0.3">
      <c r="B553" s="44" t="str">
        <f>IF(OR(LINEAS!$D$103="",LINEAS!$U$103=0,ABS(IF(OR(LINEAS!$U$103=1,LINEAS!$U$103=3),1,-1)*LINEAS!$AD$103*DATOS!$C$67)&lt;0.00005),"*",LINEAS!$D$103&amp;" UNI "&amp;IF(LINEAS!$U$103&lt;=2,"GZ","GX")&amp;" "&amp;TEXT(IF(OR(LINEAS!$U$103=1,LINEAS!$U$103=3),1,-1)*LINEAS!$AD$103*DATOS!$C$67,DATOS!$C$68))</f>
        <v>47 UNI GX -0.0067</v>
      </c>
      <c r="C553" s="42" t="str">
        <f t="shared" si="16"/>
        <v/>
      </c>
      <c r="D553" s="44" t="str">
        <f>IF(PRESIONES!$C$22="NO","",IF(OR(LINEAS!$D$103="",LINEAS!$U$103=0,ABS(IF(OR(LINEAS!$U$103=1,LINEAS!$U$103=3),1,-1)*LINEAS!$AD$103*DATOS!$C$67)&lt;0.00005),"*",LINEAS!$D$103&amp;" UNI "&amp;IF(LINEAS!$U$103&lt;=2,"GZ","GX")&amp;" "&amp;TEXT(IF(OR(LINEAS!$U$103=1,LINEAS!$U$103=3),1,-1)*LINEAS!$AD$103*DATOS!$C$67,DATOS!$C$68)))</f>
        <v/>
      </c>
      <c r="E553" s="42" t="str">
        <f t="shared" si="17"/>
        <v/>
      </c>
    </row>
    <row r="554" spans="2:5" ht="15" customHeight="1" x14ac:dyDescent="0.3">
      <c r="B554" s="44" t="str">
        <f>IF(OR(LINEAS!$D$104="",LINEAS!$U$104=0,ABS(IF(OR(LINEAS!$U$104=1,LINEAS!$U$104=3),1,-1)*LINEAS!$AD$104*DATOS!$C$67)&lt;0.00005),"*",LINEAS!$D$104&amp;" UNI "&amp;IF(LINEAS!$U$104&lt;=2,"GZ","GX")&amp;" "&amp;TEXT(IF(OR(LINEAS!$U$104=1,LINEAS!$U$104=3),1,-1)*LINEAS!$AD$104*DATOS!$C$67,DATOS!$C$68))</f>
        <v>54 UNI GX -0.0054</v>
      </c>
      <c r="C554" s="42" t="str">
        <f t="shared" si="16"/>
        <v/>
      </c>
      <c r="D554" s="44" t="str">
        <f>IF(PRESIONES!$C$22="NO","",IF(OR(LINEAS!$D$104="",LINEAS!$U$104=0,ABS(IF(OR(LINEAS!$U$104=1,LINEAS!$U$104=3),1,-1)*LINEAS!$AD$104*DATOS!$C$67)&lt;0.00005),"*",LINEAS!$D$104&amp;" UNI "&amp;IF(LINEAS!$U$104&lt;=2,"GZ","GX")&amp;" "&amp;TEXT(IF(OR(LINEAS!$U$104=1,LINEAS!$U$104=3),1,-1)*LINEAS!$AD$104*DATOS!$C$67,DATOS!$C$68)))</f>
        <v/>
      </c>
      <c r="E554" s="42" t="str">
        <f t="shared" si="17"/>
        <v/>
      </c>
    </row>
    <row r="555" spans="2:5" ht="15" customHeight="1" x14ac:dyDescent="0.3">
      <c r="B555" s="44" t="str">
        <f>IF(OR(LINEAS!$D$105="",LINEAS!$U$105=0,ABS(IF(OR(LINEAS!$U$105=1,LINEAS!$U$105=3),1,-1)*LINEAS!$AD$105*DATOS!$C$67)&lt;0.00005),"*",LINEAS!$D$105&amp;" UNI "&amp;IF(LINEAS!$U$105&lt;=2,"GZ","GX")&amp;" "&amp;TEXT(IF(OR(LINEAS!$U$105=1,LINEAS!$U$105=3),1,-1)*LINEAS!$AD$105*DATOS!$C$67,DATOS!$C$68))</f>
        <v>64 UNI GX 0.0212</v>
      </c>
      <c r="C555" s="42" t="str">
        <f t="shared" si="16"/>
        <v/>
      </c>
      <c r="D555" s="44" t="str">
        <f>IF(PRESIONES!$C$22="NO","",IF(OR(LINEAS!$D$105="",LINEAS!$U$105=0,ABS(IF(OR(LINEAS!$U$105=1,LINEAS!$U$105=3),1,-1)*LINEAS!$AD$105*DATOS!$C$67)&lt;0.00005),"*",LINEAS!$D$105&amp;" UNI "&amp;IF(LINEAS!$U$105&lt;=2,"GZ","GX")&amp;" "&amp;TEXT(IF(OR(LINEAS!$U$105=1,LINEAS!$U$105=3),1,-1)*LINEAS!$AD$105*DATOS!$C$67,DATOS!$C$68)))</f>
        <v/>
      </c>
      <c r="E555" s="42" t="str">
        <f t="shared" si="17"/>
        <v/>
      </c>
    </row>
    <row r="556" spans="2:5" ht="15" customHeight="1" x14ac:dyDescent="0.3">
      <c r="B556" s="44" t="str">
        <f>IF(OR(LINEAS!$D$106="",LINEAS!$U$106=0,ABS(IF(OR(LINEAS!$U$106=1,LINEAS!$U$106=3),1,-1)*LINEAS!$AD$106*DATOS!$C$67)&lt;0.00005),"*",LINEAS!$D$106&amp;" UNI "&amp;IF(LINEAS!$U$106&lt;=2,"GZ","GX")&amp;" "&amp;TEXT(IF(OR(LINEAS!$U$106=1,LINEAS!$U$106=3),1,-1)*LINEAS!$AD$106*DATOS!$C$67,DATOS!$C$68))</f>
        <v>63 UNI GX 0.0198</v>
      </c>
      <c r="C556" s="42" t="str">
        <f t="shared" si="16"/>
        <v/>
      </c>
      <c r="D556" s="44" t="str">
        <f>IF(PRESIONES!$C$22="NO","",IF(OR(LINEAS!$D$106="",LINEAS!$U$106=0,ABS(IF(OR(LINEAS!$U$106=1,LINEAS!$U$106=3),1,-1)*LINEAS!$AD$106*DATOS!$C$67)&lt;0.00005),"*",LINEAS!$D$106&amp;" UNI "&amp;IF(LINEAS!$U$106&lt;=2,"GZ","GX")&amp;" "&amp;TEXT(IF(OR(LINEAS!$U$106=1,LINEAS!$U$106=3),1,-1)*LINEAS!$AD$106*DATOS!$C$67,DATOS!$C$68)))</f>
        <v/>
      </c>
      <c r="E556" s="42" t="str">
        <f t="shared" si="17"/>
        <v/>
      </c>
    </row>
    <row r="557" spans="2:5" ht="15" customHeight="1" x14ac:dyDescent="0.3">
      <c r="B557" s="44" t="str">
        <f>IF(OR(LINEAS!$D$107="",LINEAS!$U$107=0,ABS(IF(OR(LINEAS!$U$107=1,LINEAS!$U$107=3),1,-1)*LINEAS!$AD$107*DATOS!$C$67)&lt;0.00005),"*",LINEAS!$D$107&amp;" UNI "&amp;IF(LINEAS!$U$107&lt;=2,"GZ","GX")&amp;" "&amp;TEXT(IF(OR(LINEAS!$U$107=1,LINEAS!$U$107=3),1,-1)*LINEAS!$AD$107*DATOS!$C$67,DATOS!$C$68))</f>
        <v>62 UNI GX 0.0183</v>
      </c>
      <c r="C557" s="42" t="str">
        <f t="shared" si="16"/>
        <v/>
      </c>
      <c r="D557" s="44" t="str">
        <f>IF(PRESIONES!$C$22="NO","",IF(OR(LINEAS!$D$107="",LINEAS!$U$107=0,ABS(IF(OR(LINEAS!$U$107=1,LINEAS!$U$107=3),1,-1)*LINEAS!$AD$107*DATOS!$C$67)&lt;0.00005),"*",LINEAS!$D$107&amp;" UNI "&amp;IF(LINEAS!$U$107&lt;=2,"GZ","GX")&amp;" "&amp;TEXT(IF(OR(LINEAS!$U$107=1,LINEAS!$U$107=3),1,-1)*LINEAS!$AD$107*DATOS!$C$67,DATOS!$C$68)))</f>
        <v/>
      </c>
      <c r="E557" s="42" t="str">
        <f t="shared" si="17"/>
        <v/>
      </c>
    </row>
    <row r="558" spans="2:5" ht="15" customHeight="1" x14ac:dyDescent="0.3">
      <c r="B558" s="44" t="str">
        <f>IF(OR(LINEAS!$D$108="",LINEAS!$U$108=0,ABS(IF(OR(LINEAS!$U$108=1,LINEAS!$U$108=3),1,-1)*LINEAS!$AD$108*DATOS!$C$67)&lt;0.00005),"*",LINEAS!$D$108&amp;" UNI "&amp;IF(LINEAS!$U$108&lt;=2,"GZ","GX")&amp;" "&amp;TEXT(IF(OR(LINEAS!$U$108=1,LINEAS!$U$108=3),1,-1)*LINEAS!$AD$108*DATOS!$C$67,DATOS!$C$68))</f>
        <v>61 UNI GX 0.0169</v>
      </c>
      <c r="C558" s="42" t="str">
        <f t="shared" si="16"/>
        <v/>
      </c>
      <c r="D558" s="44" t="str">
        <f>IF(PRESIONES!$C$22="NO","",IF(OR(LINEAS!$D$108="",LINEAS!$U$108=0,ABS(IF(OR(LINEAS!$U$108=1,LINEAS!$U$108=3),1,-1)*LINEAS!$AD$108*DATOS!$C$67)&lt;0.00005),"*",LINEAS!$D$108&amp;" UNI "&amp;IF(LINEAS!$U$108&lt;=2,"GZ","GX")&amp;" "&amp;TEXT(IF(OR(LINEAS!$U$108=1,LINEAS!$U$108=3),1,-1)*LINEAS!$AD$108*DATOS!$C$67,DATOS!$C$68)))</f>
        <v/>
      </c>
      <c r="E558" s="42" t="str">
        <f t="shared" si="17"/>
        <v/>
      </c>
    </row>
    <row r="559" spans="2:5" ht="15" customHeight="1" x14ac:dyDescent="0.3">
      <c r="B559" s="44" t="str">
        <f>IF(OR(LINEAS!$D$109="",LINEAS!$U$109=0,ABS(IF(OR(LINEAS!$U$109=1,LINEAS!$U$109=3),1,-1)*LINEAS!$AD$109*DATOS!$C$67)&lt;0.00005),"*",LINEAS!$D$109&amp;" UNI "&amp;IF(LINEAS!$U$109&lt;=2,"GZ","GX")&amp;" "&amp;TEXT(IF(OR(LINEAS!$U$109=1,LINEAS!$U$109=3),1,-1)*LINEAS!$AD$109*DATOS!$C$67,DATOS!$C$68))</f>
        <v>12 UNI GX 0.0154</v>
      </c>
      <c r="C559" s="42" t="str">
        <f t="shared" si="16"/>
        <v/>
      </c>
      <c r="D559" s="44" t="str">
        <f>IF(PRESIONES!$C$22="NO","",IF(OR(LINEAS!$D$109="",LINEAS!$U$109=0,ABS(IF(OR(LINEAS!$U$109=1,LINEAS!$U$109=3),1,-1)*LINEAS!$AD$109*DATOS!$C$67)&lt;0.00005),"*",LINEAS!$D$109&amp;" UNI "&amp;IF(LINEAS!$U$109&lt;=2,"GZ","GX")&amp;" "&amp;TEXT(IF(OR(LINEAS!$U$109=1,LINEAS!$U$109=3),1,-1)*LINEAS!$AD$109*DATOS!$C$67,DATOS!$C$68)))</f>
        <v/>
      </c>
      <c r="E559" s="42" t="str">
        <f t="shared" si="17"/>
        <v/>
      </c>
    </row>
    <row r="560" spans="2:5" ht="15" customHeight="1" x14ac:dyDescent="0.3">
      <c r="B560" s="44" t="str">
        <f>IF(OR(LINEAS!$D$110="",LINEAS!$U$110=0,ABS(IF(OR(LINEAS!$U$110=1,LINEAS!$U$110=3),1,-1)*LINEAS!$AD$110*DATOS!$C$67)&lt;0.00005),"*",LINEAS!$D$110&amp;" UNI "&amp;IF(LINEAS!$U$110&lt;=2,"GZ","GX")&amp;" "&amp;TEXT(IF(OR(LINEAS!$U$110=1,LINEAS!$U$110=3),1,-1)*LINEAS!$AD$110*DATOS!$C$67,DATOS!$C$68))</f>
        <v>72 UNI GX 0.0139</v>
      </c>
      <c r="C560" s="42" t="str">
        <f t="shared" si="16"/>
        <v/>
      </c>
      <c r="D560" s="44" t="str">
        <f>IF(PRESIONES!$C$22="NO","",IF(OR(LINEAS!$D$110="",LINEAS!$U$110=0,ABS(IF(OR(LINEAS!$U$110=1,LINEAS!$U$110=3),1,-1)*LINEAS!$AD$110*DATOS!$C$67)&lt;0.00005),"*",LINEAS!$D$110&amp;" UNI "&amp;IF(LINEAS!$U$110&lt;=2,"GZ","GX")&amp;" "&amp;TEXT(IF(OR(LINEAS!$U$110=1,LINEAS!$U$110=3),1,-1)*LINEAS!$AD$110*DATOS!$C$67,DATOS!$C$68)))</f>
        <v/>
      </c>
      <c r="E560" s="42" t="str">
        <f t="shared" si="17"/>
        <v/>
      </c>
    </row>
    <row r="561" spans="2:5" ht="15" customHeight="1" x14ac:dyDescent="0.3">
      <c r="B561" s="44" t="str">
        <f>IF(OR(LINEAS!$D$111="",LINEAS!$U$111=0,ABS(IF(OR(LINEAS!$U$111=1,LINEAS!$U$111=3),1,-1)*LINEAS!$AD$111*DATOS!$C$67)&lt;0.00005),"*",LINEAS!$D$111&amp;" UNI "&amp;IF(LINEAS!$U$111&lt;=2,"GZ","GX")&amp;" "&amp;TEXT(IF(OR(LINEAS!$U$111=1,LINEAS!$U$111=3),1,-1)*LINEAS!$AD$111*DATOS!$C$67,DATOS!$C$68))</f>
        <v>71 UNI GX 0.0125</v>
      </c>
      <c r="C561" s="42" t="str">
        <f t="shared" si="16"/>
        <v/>
      </c>
      <c r="D561" s="44" t="str">
        <f>IF(PRESIONES!$C$22="NO","",IF(OR(LINEAS!$D$111="",LINEAS!$U$111=0,ABS(IF(OR(LINEAS!$U$111=1,LINEAS!$U$111=3),1,-1)*LINEAS!$AD$111*DATOS!$C$67)&lt;0.00005),"*",LINEAS!$D$111&amp;" UNI "&amp;IF(LINEAS!$U$111&lt;=2,"GZ","GX")&amp;" "&amp;TEXT(IF(OR(LINEAS!$U$111=1,LINEAS!$U$111=3),1,-1)*LINEAS!$AD$111*DATOS!$C$67,DATOS!$C$68)))</f>
        <v/>
      </c>
      <c r="E561" s="42" t="str">
        <f t="shared" si="17"/>
        <v/>
      </c>
    </row>
    <row r="562" spans="2:5" ht="15" customHeight="1" x14ac:dyDescent="0.3">
      <c r="B562" s="44" t="str">
        <f>IF(OR(LINEAS!$D$112="",LINEAS!$U$112=0,ABS(IF(OR(LINEAS!$U$112=1,LINEAS!$U$112=3),1,-1)*LINEAS!$AD$112*DATOS!$C$67)&lt;0.00005),"*",LINEAS!$D$112&amp;" UNI "&amp;IF(LINEAS!$U$112&lt;=2,"GZ","GX")&amp;" "&amp;TEXT(IF(OR(LINEAS!$U$112=1,LINEAS!$U$112=3),1,-1)*LINEAS!$AD$112*DATOS!$C$67,DATOS!$C$68))</f>
        <v>70 UNI GX 0.0110</v>
      </c>
      <c r="C562" s="42" t="str">
        <f t="shared" si="16"/>
        <v/>
      </c>
      <c r="D562" s="44" t="str">
        <f>IF(PRESIONES!$C$22="NO","",IF(OR(LINEAS!$D$112="",LINEAS!$U$112=0,ABS(IF(OR(LINEAS!$U$112=1,LINEAS!$U$112=3),1,-1)*LINEAS!$AD$112*DATOS!$C$67)&lt;0.00005),"*",LINEAS!$D$112&amp;" UNI "&amp;IF(LINEAS!$U$112&lt;=2,"GZ","GX")&amp;" "&amp;TEXT(IF(OR(LINEAS!$U$112=1,LINEAS!$U$112=3),1,-1)*LINEAS!$AD$112*DATOS!$C$67,DATOS!$C$68)))</f>
        <v/>
      </c>
      <c r="E562" s="42" t="str">
        <f t="shared" si="17"/>
        <v/>
      </c>
    </row>
    <row r="563" spans="2:5" ht="15" customHeight="1" x14ac:dyDescent="0.3">
      <c r="B563" s="44" t="str">
        <f>IF(OR(LINEAS!$D$113="",LINEAS!$U$113=0,ABS(IF(OR(LINEAS!$U$113=1,LINEAS!$U$113=3),1,-1)*LINEAS!$AD$113*DATOS!$C$67)&lt;0.00005),"*",LINEAS!$D$113&amp;" UNI "&amp;IF(LINEAS!$U$113&lt;=2,"GZ","GX")&amp;" "&amp;TEXT(IF(OR(LINEAS!$U$113=1,LINEAS!$U$113=3),1,-1)*LINEAS!$AD$113*DATOS!$C$67,DATOS!$C$68))</f>
        <v>69 UNI GX 0.0096</v>
      </c>
      <c r="C563" s="42" t="str">
        <f t="shared" si="16"/>
        <v/>
      </c>
      <c r="D563" s="44" t="str">
        <f>IF(PRESIONES!$C$22="NO","",IF(OR(LINEAS!$D$113="",LINEAS!$U$113=0,ABS(IF(OR(LINEAS!$U$113=1,LINEAS!$U$113=3),1,-1)*LINEAS!$AD$113*DATOS!$C$67)&lt;0.00005),"*",LINEAS!$D$113&amp;" UNI "&amp;IF(LINEAS!$U$113&lt;=2,"GZ","GX")&amp;" "&amp;TEXT(IF(OR(LINEAS!$U$113=1,LINEAS!$U$113=3),1,-1)*LINEAS!$AD$113*DATOS!$C$67,DATOS!$C$68)))</f>
        <v/>
      </c>
      <c r="E563" s="42" t="str">
        <f t="shared" si="17"/>
        <v/>
      </c>
    </row>
    <row r="564" spans="2:5" ht="15" customHeight="1" x14ac:dyDescent="0.3">
      <c r="B564" s="44" t="str">
        <f>IF(OR(LINEAS!$D$114="",LINEAS!$U$114=0,ABS(IF(OR(LINEAS!$U$114=1,LINEAS!$U$114=3),1,-1)*LINEAS!$AD$114*DATOS!$C$67)&lt;0.00005),"*",LINEAS!$D$114&amp;" UNI "&amp;IF(LINEAS!$U$114&lt;=2,"GZ","GX")&amp;" "&amp;TEXT(IF(OR(LINEAS!$U$114=1,LINEAS!$U$114=3),1,-1)*LINEAS!$AD$114*DATOS!$C$67,DATOS!$C$68))</f>
        <v>50 UNI GX 0.0081</v>
      </c>
      <c r="C564" s="42" t="str">
        <f t="shared" si="16"/>
        <v/>
      </c>
      <c r="D564" s="44" t="str">
        <f>IF(PRESIONES!$C$22="NO","",IF(OR(LINEAS!$D$114="",LINEAS!$U$114=0,ABS(IF(OR(LINEAS!$U$114=1,LINEAS!$U$114=3),1,-1)*LINEAS!$AD$114*DATOS!$C$67)&lt;0.00005),"*",LINEAS!$D$114&amp;" UNI "&amp;IF(LINEAS!$U$114&lt;=2,"GZ","GX")&amp;" "&amp;TEXT(IF(OR(LINEAS!$U$114=1,LINEAS!$U$114=3),1,-1)*LINEAS!$AD$114*DATOS!$C$67,DATOS!$C$68)))</f>
        <v/>
      </c>
      <c r="E564" s="42" t="str">
        <f t="shared" si="17"/>
        <v/>
      </c>
    </row>
    <row r="565" spans="2:5" ht="15" customHeight="1" x14ac:dyDescent="0.3">
      <c r="B565" s="44" t="str">
        <f>IF(OR(LINEAS!$D$115="",LINEAS!$U$115=0,ABS(IF(OR(LINEAS!$U$115=1,LINEAS!$U$115=3),1,-1)*LINEAS!$AD$115*DATOS!$C$67)&lt;0.00005),"*",LINEAS!$D$115&amp;" UNI "&amp;IF(LINEAS!$U$115&lt;=2,"GZ","GX")&amp;" "&amp;TEXT(IF(OR(LINEAS!$U$115=1,LINEAS!$U$115=3),1,-1)*LINEAS!$AD$115*DATOS!$C$67,DATOS!$C$68))</f>
        <v>53 UNI GX 0.0067</v>
      </c>
      <c r="C565" s="42" t="str">
        <f t="shared" si="16"/>
        <v/>
      </c>
      <c r="D565" s="44" t="str">
        <f>IF(PRESIONES!$C$22="NO","",IF(OR(LINEAS!$D$115="",LINEAS!$U$115=0,ABS(IF(OR(LINEAS!$U$115=1,LINEAS!$U$115=3),1,-1)*LINEAS!$AD$115*DATOS!$C$67)&lt;0.00005),"*",LINEAS!$D$115&amp;" UNI "&amp;IF(LINEAS!$U$115&lt;=2,"GZ","GX")&amp;" "&amp;TEXT(IF(OR(LINEAS!$U$115=1,LINEAS!$U$115=3),1,-1)*LINEAS!$AD$115*DATOS!$C$67,DATOS!$C$68)))</f>
        <v/>
      </c>
      <c r="E565" s="42" t="str">
        <f t="shared" si="17"/>
        <v/>
      </c>
    </row>
    <row r="566" spans="2:5" ht="15" customHeight="1" x14ac:dyDescent="0.3">
      <c r="B566" s="44" t="str">
        <f>IF(OR(LINEAS!$D$116="",LINEAS!$U$116=0,ABS(IF(OR(LINEAS!$U$116=1,LINEAS!$U$116=3),1,-1)*LINEAS!$AD$116*DATOS!$C$67)&lt;0.00005),"*",LINEAS!$D$116&amp;" UNI "&amp;IF(LINEAS!$U$116&lt;=2,"GZ","GX")&amp;" "&amp;TEXT(IF(OR(LINEAS!$U$116=1,LINEAS!$U$116=3),1,-1)*LINEAS!$AD$116*DATOS!$C$67,DATOS!$C$68))</f>
        <v>55 UNI GX 0.0054</v>
      </c>
      <c r="C566" s="42" t="str">
        <f t="shared" si="16"/>
        <v/>
      </c>
      <c r="D566" s="44" t="str">
        <f>IF(PRESIONES!$C$22="NO","",IF(OR(LINEAS!$D$116="",LINEAS!$U$116=0,ABS(IF(OR(LINEAS!$U$116=1,LINEAS!$U$116=3),1,-1)*LINEAS!$AD$116*DATOS!$C$67)&lt;0.00005),"*",LINEAS!$D$116&amp;" UNI "&amp;IF(LINEAS!$U$116&lt;=2,"GZ","GX")&amp;" "&amp;TEXT(IF(OR(LINEAS!$U$116=1,LINEAS!$U$116=3),1,-1)*LINEAS!$AD$116*DATOS!$C$67,DATOS!$C$68)))</f>
        <v/>
      </c>
      <c r="E566" s="42" t="str">
        <f t="shared" si="17"/>
        <v/>
      </c>
    </row>
    <row r="567" spans="2:5" ht="15" customHeight="1" x14ac:dyDescent="0.3">
      <c r="B567" s="44" t="str">
        <f>IF(OR(LINEAS!$D$117="",LINEAS!$U$117=0,ABS(IF(OR(LINEAS!$U$117=1,LINEAS!$U$117=3),1,-1)*LINEAS!$AD$117*DATOS!$C$67)&lt;0.00005),"*",LINEAS!$D$117&amp;" UNI "&amp;IF(LINEAS!$U$117&lt;=2,"GZ","GX")&amp;" "&amp;TEXT(IF(OR(LINEAS!$U$117=1,LINEAS!$U$117=3),1,-1)*LINEAS!$AD$117*DATOS!$C$67,DATOS!$C$68))</f>
        <v>262 UNI GZ 0.8124</v>
      </c>
      <c r="C567" s="42" t="str">
        <f t="shared" si="16"/>
        <v/>
      </c>
      <c r="D567" s="44" t="str">
        <f>IF(PRESIONES!$C$22="NO","",IF(OR(LINEAS!$D$117="",LINEAS!$U$117=0,ABS(IF(OR(LINEAS!$U$117=1,LINEAS!$U$117=3),1,-1)*LINEAS!$AD$117*DATOS!$C$67)&lt;0.00005),"*",LINEAS!$D$117&amp;" UNI "&amp;IF(LINEAS!$U$117&lt;=2,"GZ","GX")&amp;" "&amp;TEXT(IF(OR(LINEAS!$U$117=1,LINEAS!$U$117=3),1,-1)*LINEAS!$AD$117*DATOS!$C$67,DATOS!$C$68)))</f>
        <v/>
      </c>
      <c r="E567" s="42" t="str">
        <f t="shared" si="17"/>
        <v/>
      </c>
    </row>
    <row r="568" spans="2:5" ht="15" customHeight="1" x14ac:dyDescent="0.3">
      <c r="B568" s="44" t="str">
        <f>IF(OR(LINEAS!$D$118="",LINEAS!$U$118=0,ABS(IF(OR(LINEAS!$U$118=1,LINEAS!$U$118=3),1,-1)*LINEAS!$AD$118*DATOS!$C$67)&lt;0.00005),"*",LINEAS!$D$118&amp;" UNI "&amp;IF(LINEAS!$U$118&lt;=2,"GZ","GX")&amp;" "&amp;TEXT(IF(OR(LINEAS!$U$118=1,LINEAS!$U$118=3),1,-1)*LINEAS!$AD$118*DATOS!$C$67,DATOS!$C$68))</f>
        <v>263 UNI GZ 0.8124</v>
      </c>
      <c r="C568" s="42" t="str">
        <f t="shared" si="16"/>
        <v/>
      </c>
      <c r="D568" s="44" t="str">
        <f>IF(PRESIONES!$C$22="NO","",IF(OR(LINEAS!$D$118="",LINEAS!$U$118=0,ABS(IF(OR(LINEAS!$U$118=1,LINEAS!$U$118=3),1,-1)*LINEAS!$AD$118*DATOS!$C$67)&lt;0.00005),"*",LINEAS!$D$118&amp;" UNI "&amp;IF(LINEAS!$U$118&lt;=2,"GZ","GX")&amp;" "&amp;TEXT(IF(OR(LINEAS!$U$118=1,LINEAS!$U$118=3),1,-1)*LINEAS!$AD$118*DATOS!$C$67,DATOS!$C$68)))</f>
        <v/>
      </c>
      <c r="E568" s="42" t="str">
        <f t="shared" si="17"/>
        <v/>
      </c>
    </row>
    <row r="569" spans="2:5" ht="15" customHeight="1" x14ac:dyDescent="0.3">
      <c r="B569" s="44" t="str">
        <f>IF(OR(LINEAS!$D$119="",LINEAS!$U$119=0,ABS(IF(OR(LINEAS!$U$119=1,LINEAS!$U$119=3),1,-1)*LINEAS!$AD$119*DATOS!$C$67)&lt;0.00005),"*",LINEAS!$D$119&amp;" UNI "&amp;IF(LINEAS!$U$119&lt;=2,"GZ","GX")&amp;" "&amp;TEXT(IF(OR(LINEAS!$U$119=1,LINEAS!$U$119=3),1,-1)*LINEAS!$AD$119*DATOS!$C$67,DATOS!$C$68))</f>
        <v>264 UNI GZ 0.8124</v>
      </c>
      <c r="C569" s="42" t="str">
        <f t="shared" si="16"/>
        <v/>
      </c>
      <c r="D569" s="44" t="str">
        <f>IF(PRESIONES!$C$22="NO","",IF(OR(LINEAS!$D$119="",LINEAS!$U$119=0,ABS(IF(OR(LINEAS!$U$119=1,LINEAS!$U$119=3),1,-1)*LINEAS!$AD$119*DATOS!$C$67)&lt;0.00005),"*",LINEAS!$D$119&amp;" UNI "&amp;IF(LINEAS!$U$119&lt;=2,"GZ","GX")&amp;" "&amp;TEXT(IF(OR(LINEAS!$U$119=1,LINEAS!$U$119=3),1,-1)*LINEAS!$AD$119*DATOS!$C$67,DATOS!$C$68)))</f>
        <v/>
      </c>
      <c r="E569" s="42" t="str">
        <f t="shared" si="17"/>
        <v/>
      </c>
    </row>
    <row r="570" spans="2:5" ht="15" customHeight="1" x14ac:dyDescent="0.3">
      <c r="B570" s="44" t="str">
        <f>IF(OR(LINEAS!$D$120="",LINEAS!$U$120=0,ABS(IF(OR(LINEAS!$U$120=1,LINEAS!$U$120=3),1,-1)*LINEAS!$AD$120*DATOS!$C$67)&lt;0.00005),"*",LINEAS!$D$120&amp;" UNI "&amp;IF(LINEAS!$U$120&lt;=2,"GZ","GX")&amp;" "&amp;TEXT(IF(OR(LINEAS!$U$120=1,LINEAS!$U$120=3),1,-1)*LINEAS!$AD$120*DATOS!$C$67,DATOS!$C$68))</f>
        <v>271 UNI GZ 0.8124</v>
      </c>
      <c r="C570" s="42" t="str">
        <f t="shared" si="16"/>
        <v/>
      </c>
      <c r="D570" s="44" t="str">
        <f>IF(PRESIONES!$C$22="NO","",IF(OR(LINEAS!$D$120="",LINEAS!$U$120=0,ABS(IF(OR(LINEAS!$U$120=1,LINEAS!$U$120=3),1,-1)*LINEAS!$AD$120*DATOS!$C$67)&lt;0.00005),"*",LINEAS!$D$120&amp;" UNI "&amp;IF(LINEAS!$U$120&lt;=2,"GZ","GX")&amp;" "&amp;TEXT(IF(OR(LINEAS!$U$120=1,LINEAS!$U$120=3),1,-1)*LINEAS!$AD$120*DATOS!$C$67,DATOS!$C$68)))</f>
        <v/>
      </c>
      <c r="E570" s="42" t="str">
        <f t="shared" si="17"/>
        <v/>
      </c>
    </row>
    <row r="571" spans="2:5" ht="15" customHeight="1" x14ac:dyDescent="0.3">
      <c r="B571" s="44" t="str">
        <f>IF(OR(LINEAS!$D$121="",LINEAS!$U$121=0,ABS(IF(OR(LINEAS!$U$121=1,LINEAS!$U$121=3),1,-1)*LINEAS!$AD$121*DATOS!$C$67)&lt;0.00005),"*",LINEAS!$D$121&amp;" UNI "&amp;IF(LINEAS!$U$121&lt;=2,"GZ","GX")&amp;" "&amp;TEXT(IF(OR(LINEAS!$U$121=1,LINEAS!$U$121=3),1,-1)*LINEAS!$AD$121*DATOS!$C$67,DATOS!$C$68))</f>
        <v>286 UNI GZ 1.2186</v>
      </c>
      <c r="C571" s="42" t="str">
        <f t="shared" si="16"/>
        <v/>
      </c>
      <c r="D571" s="44" t="str">
        <f>IF(PRESIONES!$C$22="NO","",IF(OR(LINEAS!$D$121="",LINEAS!$U$121=0,ABS(IF(OR(LINEAS!$U$121=1,LINEAS!$U$121=3),1,-1)*LINEAS!$AD$121*DATOS!$C$67)&lt;0.00005),"*",LINEAS!$D$121&amp;" UNI "&amp;IF(LINEAS!$U$121&lt;=2,"GZ","GX")&amp;" "&amp;TEXT(IF(OR(LINEAS!$U$121=1,LINEAS!$U$121=3),1,-1)*LINEAS!$AD$121*DATOS!$C$67,DATOS!$C$68)))</f>
        <v/>
      </c>
      <c r="E571" s="42" t="str">
        <f t="shared" si="17"/>
        <v/>
      </c>
    </row>
    <row r="572" spans="2:5" ht="15" customHeight="1" x14ac:dyDescent="0.3">
      <c r="B572" s="44" t="str">
        <f>IF(OR(LINEAS!$D$122="",LINEAS!$U$122=0,ABS(IF(OR(LINEAS!$U$122=1,LINEAS!$U$122=3),1,-1)*LINEAS!$AD$122*DATOS!$C$67)&lt;0.00005),"*",LINEAS!$D$122&amp;" UNI "&amp;IF(LINEAS!$U$122&lt;=2,"GZ","GX")&amp;" "&amp;TEXT(IF(OR(LINEAS!$U$122=1,LINEAS!$U$122=3),1,-1)*LINEAS!$AD$122*DATOS!$C$67,DATOS!$C$68))</f>
        <v>272 UNI GZ 0.8124</v>
      </c>
      <c r="C572" s="42" t="str">
        <f t="shared" si="16"/>
        <v/>
      </c>
      <c r="D572" s="44" t="str">
        <f>IF(PRESIONES!$C$22="NO","",IF(OR(LINEAS!$D$122="",LINEAS!$U$122=0,ABS(IF(OR(LINEAS!$U$122=1,LINEAS!$U$122=3),1,-1)*LINEAS!$AD$122*DATOS!$C$67)&lt;0.00005),"*",LINEAS!$D$122&amp;" UNI "&amp;IF(LINEAS!$U$122&lt;=2,"GZ","GX")&amp;" "&amp;TEXT(IF(OR(LINEAS!$U$122=1,LINEAS!$U$122=3),1,-1)*LINEAS!$AD$122*DATOS!$C$67,DATOS!$C$68)))</f>
        <v/>
      </c>
      <c r="E572" s="42" t="str">
        <f t="shared" si="17"/>
        <v/>
      </c>
    </row>
    <row r="573" spans="2:5" ht="15" customHeight="1" x14ac:dyDescent="0.3">
      <c r="B573" s="44" t="str">
        <f>IF(OR(LINEAS!$D$123="",LINEAS!$U$123=0,ABS(IF(OR(LINEAS!$U$123=1,LINEAS!$U$123=3),1,-1)*LINEAS!$AD$123*DATOS!$C$67)&lt;0.00005),"*",LINEAS!$D$123&amp;" UNI "&amp;IF(LINEAS!$U$123&lt;=2,"GZ","GX")&amp;" "&amp;TEXT(IF(OR(LINEAS!$U$123=1,LINEAS!$U$123=3),1,-1)*LINEAS!$AD$123*DATOS!$C$67,DATOS!$C$68))</f>
        <v>273 UNI GZ 0.8124</v>
      </c>
      <c r="C573" s="42" t="str">
        <f t="shared" si="16"/>
        <v/>
      </c>
      <c r="D573" s="44" t="str">
        <f>IF(PRESIONES!$C$22="NO","",IF(OR(LINEAS!$D$123="",LINEAS!$U$123=0,ABS(IF(OR(LINEAS!$U$123=1,LINEAS!$U$123=3),1,-1)*LINEAS!$AD$123*DATOS!$C$67)&lt;0.00005),"*",LINEAS!$D$123&amp;" UNI "&amp;IF(LINEAS!$U$123&lt;=2,"GZ","GX")&amp;" "&amp;TEXT(IF(OR(LINEAS!$U$123=1,LINEAS!$U$123=3),1,-1)*LINEAS!$AD$123*DATOS!$C$67,DATOS!$C$68)))</f>
        <v/>
      </c>
      <c r="E573" s="42" t="str">
        <f t="shared" si="17"/>
        <v/>
      </c>
    </row>
    <row r="574" spans="2:5" ht="15" customHeight="1" x14ac:dyDescent="0.3">
      <c r="B574" s="44" t="str">
        <f>IF(OR(LINEAS!$D$124="",LINEAS!$U$124=0,ABS(IF(OR(LINEAS!$U$124=1,LINEAS!$U$124=3),1,-1)*LINEAS!$AD$124*DATOS!$C$67)&lt;0.00005),"*",LINEAS!$D$124&amp;" UNI "&amp;IF(LINEAS!$U$124&lt;=2,"GZ","GX")&amp;" "&amp;TEXT(IF(OR(LINEAS!$U$124=1,LINEAS!$U$124=3),1,-1)*LINEAS!$AD$124*DATOS!$C$67,DATOS!$C$68))</f>
        <v>280 UNI GZ 0.8124</v>
      </c>
      <c r="C574" s="42" t="str">
        <f t="shared" si="16"/>
        <v/>
      </c>
      <c r="D574" s="44" t="str">
        <f>IF(PRESIONES!$C$22="NO","",IF(OR(LINEAS!$D$124="",LINEAS!$U$124=0,ABS(IF(OR(LINEAS!$U$124=1,LINEAS!$U$124=3),1,-1)*LINEAS!$AD$124*DATOS!$C$67)&lt;0.00005),"*",LINEAS!$D$124&amp;" UNI "&amp;IF(LINEAS!$U$124&lt;=2,"GZ","GX")&amp;" "&amp;TEXT(IF(OR(LINEAS!$U$124=1,LINEAS!$U$124=3),1,-1)*LINEAS!$AD$124*DATOS!$C$67,DATOS!$C$68)))</f>
        <v/>
      </c>
      <c r="E574" s="42" t="str">
        <f t="shared" si="17"/>
        <v/>
      </c>
    </row>
    <row r="575" spans="2:5" ht="15" customHeight="1" x14ac:dyDescent="0.3">
      <c r="B575" s="44" t="str">
        <f>IF(OR(LINEAS!$D$125="",LINEAS!$U$125=0,ABS(IF(OR(LINEAS!$U$125=1,LINEAS!$U$125=3),1,-1)*LINEAS!$AD$125*DATOS!$C$67)&lt;0.00005),"*",LINEAS!$D$125&amp;" UNI "&amp;IF(LINEAS!$U$125&lt;=2,"GZ","GX")&amp;" "&amp;TEXT(IF(OR(LINEAS!$U$125=1,LINEAS!$U$125=3),1,-1)*LINEAS!$AD$125*DATOS!$C$67,DATOS!$C$68))</f>
        <v>282 UNI GZ 0.8124</v>
      </c>
      <c r="C575" s="42" t="str">
        <f t="shared" si="16"/>
        <v/>
      </c>
      <c r="D575" s="44" t="str">
        <f>IF(PRESIONES!$C$22="NO","",IF(OR(LINEAS!$D$125="",LINEAS!$U$125=0,ABS(IF(OR(LINEAS!$U$125=1,LINEAS!$U$125=3),1,-1)*LINEAS!$AD$125*DATOS!$C$67)&lt;0.00005),"*",LINEAS!$D$125&amp;" UNI "&amp;IF(LINEAS!$U$125&lt;=2,"GZ","GX")&amp;" "&amp;TEXT(IF(OR(LINEAS!$U$125=1,LINEAS!$U$125=3),1,-1)*LINEAS!$AD$125*DATOS!$C$67,DATOS!$C$68)))</f>
        <v/>
      </c>
      <c r="E575" s="42" t="str">
        <f t="shared" si="17"/>
        <v/>
      </c>
    </row>
    <row r="576" spans="2:5" ht="15" customHeight="1" x14ac:dyDescent="0.3">
      <c r="B576" s="44" t="str">
        <f>IF(OR(LINEAS!$D$126="",LINEAS!$U$126=0,ABS(IF(OR(LINEAS!$U$126=1,LINEAS!$U$126=3),1,-1)*LINEAS!$AD$126*DATOS!$C$67)&lt;0.00005),"*",LINEAS!$D$126&amp;" UNI "&amp;IF(LINEAS!$U$126&lt;=2,"GZ","GX")&amp;" "&amp;TEXT(IF(OR(LINEAS!$U$126=1,LINEAS!$U$126=3),1,-1)*LINEAS!$AD$126*DATOS!$C$67,DATOS!$C$68))</f>
        <v>290 UNI GZ 0.8124</v>
      </c>
      <c r="C576" s="42" t="str">
        <f t="shared" si="16"/>
        <v/>
      </c>
      <c r="D576" s="44" t="str">
        <f>IF(PRESIONES!$C$22="NO","",IF(OR(LINEAS!$D$126="",LINEAS!$U$126=0,ABS(IF(OR(LINEAS!$U$126=1,LINEAS!$U$126=3),1,-1)*LINEAS!$AD$126*DATOS!$C$67)&lt;0.00005),"*",LINEAS!$D$126&amp;" UNI "&amp;IF(LINEAS!$U$126&lt;=2,"GZ","GX")&amp;" "&amp;TEXT(IF(OR(LINEAS!$U$126=1,LINEAS!$U$126=3),1,-1)*LINEAS!$AD$126*DATOS!$C$67,DATOS!$C$68)))</f>
        <v/>
      </c>
      <c r="E576" s="42" t="str">
        <f t="shared" si="17"/>
        <v/>
      </c>
    </row>
    <row r="577" spans="2:5" ht="15" customHeight="1" x14ac:dyDescent="0.3">
      <c r="B577" s="44" t="str">
        <f>IF(OR(LINEAS!$D$127="",LINEAS!$U$127=0,ABS(IF(OR(LINEAS!$U$127=1,LINEAS!$U$127=3),1,-1)*LINEAS!$AD$127*DATOS!$C$67)&lt;0.00005),"*",LINEAS!$D$127&amp;" UNI "&amp;IF(LINEAS!$U$127&lt;=2,"GZ","GX")&amp;" "&amp;TEXT(IF(OR(LINEAS!$U$127=1,LINEAS!$U$127=3),1,-1)*LINEAS!$AD$127*DATOS!$C$67,DATOS!$C$68))</f>
        <v>291 UNI GZ 0.8124</v>
      </c>
      <c r="C577" s="42" t="str">
        <f t="shared" si="16"/>
        <v/>
      </c>
      <c r="D577" s="44" t="str">
        <f>IF(PRESIONES!$C$22="NO","",IF(OR(LINEAS!$D$127="",LINEAS!$U$127=0,ABS(IF(OR(LINEAS!$U$127=1,LINEAS!$U$127=3),1,-1)*LINEAS!$AD$127*DATOS!$C$67)&lt;0.00005),"*",LINEAS!$D$127&amp;" UNI "&amp;IF(LINEAS!$U$127&lt;=2,"GZ","GX")&amp;" "&amp;TEXT(IF(OR(LINEAS!$U$127=1,LINEAS!$U$127=3),1,-1)*LINEAS!$AD$127*DATOS!$C$67,DATOS!$C$68)))</f>
        <v/>
      </c>
      <c r="E577" s="42" t="str">
        <f t="shared" si="17"/>
        <v/>
      </c>
    </row>
    <row r="578" spans="2:5" ht="15" customHeight="1" x14ac:dyDescent="0.3">
      <c r="B578" s="44" t="str">
        <f>IF(OR(LINEAS!$D$128="",LINEAS!$U$128=0,ABS(IF(OR(LINEAS!$U$128=1,LINEAS!$U$128=3),1,-1)*LINEAS!$AD$128*DATOS!$C$67)&lt;0.00005),"*",LINEAS!$D$128&amp;" UNI "&amp;IF(LINEAS!$U$128&lt;=2,"GZ","GX")&amp;" "&amp;TEXT(IF(OR(LINEAS!$U$128=1,LINEAS!$U$128=3),1,-1)*LINEAS!$AD$128*DATOS!$C$67,DATOS!$C$68))</f>
        <v>298 UNI GZ 0.5179</v>
      </c>
      <c r="C578" s="42" t="str">
        <f t="shared" si="16"/>
        <v/>
      </c>
      <c r="D578" s="44" t="str">
        <f>IF(PRESIONES!$C$22="NO","",IF(OR(LINEAS!$D$128="",LINEAS!$U$128=0,ABS(IF(OR(LINEAS!$U$128=1,LINEAS!$U$128=3),1,-1)*LINEAS!$AD$128*DATOS!$C$67)&lt;0.00005),"*",LINEAS!$D$128&amp;" UNI "&amp;IF(LINEAS!$U$128&lt;=2,"GZ","GX")&amp;" "&amp;TEXT(IF(OR(LINEAS!$U$128=1,LINEAS!$U$128=3),1,-1)*LINEAS!$AD$128*DATOS!$C$67,DATOS!$C$68)))</f>
        <v/>
      </c>
      <c r="E578" s="42" t="str">
        <f t="shared" si="17"/>
        <v/>
      </c>
    </row>
    <row r="579" spans="2:5" ht="15" customHeight="1" x14ac:dyDescent="0.3">
      <c r="B579" s="44" t="str">
        <f>IF(OR(LINEAS!$D$129="",LINEAS!$U$129=0,ABS(IF(OR(LINEAS!$U$129=1,LINEAS!$U$129=3),1,-1)*LINEAS!$AD$129*DATOS!$C$67)&lt;0.00005),"*",LINEAS!$D$129&amp;" UNI "&amp;IF(LINEAS!$U$129&lt;=2,"GZ","GX")&amp;" "&amp;TEXT(IF(OR(LINEAS!$U$129=1,LINEAS!$U$129=3),1,-1)*LINEAS!$AD$129*DATOS!$C$67,DATOS!$C$68))</f>
        <v>299 UNI GZ 0.5179</v>
      </c>
      <c r="C579" s="42" t="str">
        <f t="shared" si="16"/>
        <v/>
      </c>
      <c r="D579" s="44" t="str">
        <f>IF(PRESIONES!$C$22="NO","",IF(OR(LINEAS!$D$129="",LINEAS!$U$129=0,ABS(IF(OR(LINEAS!$U$129=1,LINEAS!$U$129=3),1,-1)*LINEAS!$AD$129*DATOS!$C$67)&lt;0.00005),"*",LINEAS!$D$129&amp;" UNI "&amp;IF(LINEAS!$U$129&lt;=2,"GZ","GX")&amp;" "&amp;TEXT(IF(OR(LINEAS!$U$129=1,LINEAS!$U$129=3),1,-1)*LINEAS!$AD$129*DATOS!$C$67,DATOS!$C$68)))</f>
        <v/>
      </c>
      <c r="E579" s="42" t="str">
        <f t="shared" si="17"/>
        <v/>
      </c>
    </row>
    <row r="580" spans="2:5" ht="15" customHeight="1" x14ac:dyDescent="0.3">
      <c r="B580" s="44" t="str">
        <f>IF(OR(LINEAS!$D$130="",LINEAS!$U$130=0,ABS(IF(OR(LINEAS!$U$130=1,LINEAS!$U$130=3),1,-1)*LINEAS!$AD$130*DATOS!$C$67)&lt;0.00005),"*",LINEAS!$D$130&amp;" UNI "&amp;IF(LINEAS!$U$130&lt;=2,"GZ","GX")&amp;" "&amp;TEXT(IF(OR(LINEAS!$U$130=1,LINEAS!$U$130=3),1,-1)*LINEAS!$AD$130*DATOS!$C$67,DATOS!$C$68))</f>
        <v>326 UNI GZ 0.4062</v>
      </c>
      <c r="C580" s="42" t="str">
        <f t="shared" si="16"/>
        <v/>
      </c>
      <c r="D580" s="44" t="str">
        <f>IF(PRESIONES!$C$22="NO","",IF(OR(LINEAS!$D$130="",LINEAS!$U$130=0,ABS(IF(OR(LINEAS!$U$130=1,LINEAS!$U$130=3),1,-1)*LINEAS!$AD$130*DATOS!$C$67)&lt;0.00005),"*",LINEAS!$D$130&amp;" UNI "&amp;IF(LINEAS!$U$130&lt;=2,"GZ","GX")&amp;" "&amp;TEXT(IF(OR(LINEAS!$U$130=1,LINEAS!$U$130=3),1,-1)*LINEAS!$AD$130*DATOS!$C$67,DATOS!$C$68)))</f>
        <v/>
      </c>
      <c r="E580" s="42" t="str">
        <f t="shared" si="17"/>
        <v/>
      </c>
    </row>
    <row r="581" spans="2:5" ht="15" customHeight="1" x14ac:dyDescent="0.3">
      <c r="B581" s="44" t="str">
        <f>IF(OR(LINEAS!$D$131="",LINEAS!$U$131=0,ABS(IF(OR(LINEAS!$U$131=1,LINEAS!$U$131=3),1,-1)*LINEAS!$AD$131*DATOS!$C$67)&lt;0.00005),"*",LINEAS!$D$131&amp;" UNI "&amp;IF(LINEAS!$U$131&lt;=2,"GZ","GX")&amp;" "&amp;TEXT(IF(OR(LINEAS!$U$131=1,LINEAS!$U$131=3),1,-1)*LINEAS!$AD$131*DATOS!$C$67,DATOS!$C$68))</f>
        <v>25 UNI GZ 0.2945</v>
      </c>
      <c r="C581" s="42" t="str">
        <f t="shared" si="16"/>
        <v/>
      </c>
      <c r="D581" s="44" t="str">
        <f>IF(PRESIONES!$C$22="NO","",IF(OR(LINEAS!$D$131="",LINEAS!$U$131=0,ABS(IF(OR(LINEAS!$U$131=1,LINEAS!$U$131=3),1,-1)*LINEAS!$AD$131*DATOS!$C$67)&lt;0.00005),"*",LINEAS!$D$131&amp;" UNI "&amp;IF(LINEAS!$U$131&lt;=2,"GZ","GX")&amp;" "&amp;TEXT(IF(OR(LINEAS!$U$131=1,LINEAS!$U$131=3),1,-1)*LINEAS!$AD$131*DATOS!$C$67,DATOS!$C$68)))</f>
        <v/>
      </c>
      <c r="E581" s="42" t="str">
        <f t="shared" si="17"/>
        <v/>
      </c>
    </row>
    <row r="582" spans="2:5" ht="15" customHeight="1" x14ac:dyDescent="0.3">
      <c r="B582" s="44" t="str">
        <f>IF(OR(LINEAS!$D$132="",LINEAS!$U$132=0,ABS(IF(OR(LINEAS!$U$132=1,LINEAS!$U$132=3),1,-1)*LINEAS!$AD$132*DATOS!$C$67)&lt;0.00005),"*",LINEAS!$D$132&amp;" UNI "&amp;IF(LINEAS!$U$132&lt;=2,"GZ","GX")&amp;" "&amp;TEXT(IF(OR(LINEAS!$U$132=1,LINEAS!$U$132=3),1,-1)*LINEAS!$AD$132*DATOS!$C$67,DATOS!$C$68))</f>
        <v>327 UNI GZ 0.4062</v>
      </c>
      <c r="C582" s="42" t="str">
        <f t="shared" si="16"/>
        <v/>
      </c>
      <c r="D582" s="44" t="str">
        <f>IF(PRESIONES!$C$22="NO","",IF(OR(LINEAS!$D$132="",LINEAS!$U$132=0,ABS(IF(OR(LINEAS!$U$132=1,LINEAS!$U$132=3),1,-1)*LINEAS!$AD$132*DATOS!$C$67)&lt;0.00005),"*",LINEAS!$D$132&amp;" UNI "&amp;IF(LINEAS!$U$132&lt;=2,"GZ","GX")&amp;" "&amp;TEXT(IF(OR(LINEAS!$U$132=1,LINEAS!$U$132=3),1,-1)*LINEAS!$AD$132*DATOS!$C$67,DATOS!$C$68)))</f>
        <v/>
      </c>
      <c r="E582" s="42" t="str">
        <f t="shared" si="17"/>
        <v/>
      </c>
    </row>
    <row r="583" spans="2:5" ht="15" customHeight="1" x14ac:dyDescent="0.3">
      <c r="B583" s="44" t="str">
        <f>IF(OR(LINEAS!$D$133="",LINEAS!$U$133=0,ABS(IF(OR(LINEAS!$U$133=1,LINEAS!$U$133=3),1,-1)*LINEAS!$AD$133*DATOS!$C$67)&lt;0.00005),"*",LINEAS!$D$133&amp;" UNI "&amp;IF(LINEAS!$U$133&lt;=2,"GZ","GX")&amp;" "&amp;TEXT(IF(OR(LINEAS!$U$133=1,LINEAS!$U$133=3),1,-1)*LINEAS!$AD$133*DATOS!$C$67,DATOS!$C$68))</f>
        <v>306 UNI GZ 0.7007</v>
      </c>
      <c r="C583" s="42" t="str">
        <f t="shared" si="16"/>
        <v/>
      </c>
      <c r="D583" s="44" t="str">
        <f>IF(PRESIONES!$C$22="NO","",IF(OR(LINEAS!$D$133="",LINEAS!$U$133=0,ABS(IF(OR(LINEAS!$U$133=1,LINEAS!$U$133=3),1,-1)*LINEAS!$AD$133*DATOS!$C$67)&lt;0.00005),"*",LINEAS!$D$133&amp;" UNI "&amp;IF(LINEAS!$U$133&lt;=2,"GZ","GX")&amp;" "&amp;TEXT(IF(OR(LINEAS!$U$133=1,LINEAS!$U$133=3),1,-1)*LINEAS!$AD$133*DATOS!$C$67,DATOS!$C$68)))</f>
        <v/>
      </c>
      <c r="E583" s="42" t="str">
        <f t="shared" si="17"/>
        <v/>
      </c>
    </row>
    <row r="584" spans="2:5" ht="15" customHeight="1" x14ac:dyDescent="0.3">
      <c r="B584" s="44" t="str">
        <f>IF(OR(LINEAS!$D$134="",LINEAS!$U$134=0,ABS(IF(OR(LINEAS!$U$134=1,LINEAS!$U$134=3),1,-1)*LINEAS!$AD$134*DATOS!$C$67)&lt;0.00005),"*",LINEAS!$D$134&amp;" UNI "&amp;IF(LINEAS!$U$134&lt;=2,"GZ","GX")&amp;" "&amp;TEXT(IF(OR(LINEAS!$U$134=1,LINEAS!$U$134=3),1,-1)*LINEAS!$AD$134*DATOS!$C$67,DATOS!$C$68))</f>
        <v>322 UNI GZ 0.8124</v>
      </c>
      <c r="C584" s="42" t="str">
        <f t="shared" si="16"/>
        <v/>
      </c>
      <c r="D584" s="44" t="str">
        <f>IF(PRESIONES!$C$22="NO","",IF(OR(LINEAS!$D$134="",LINEAS!$U$134=0,ABS(IF(OR(LINEAS!$U$134=1,LINEAS!$U$134=3),1,-1)*LINEAS!$AD$134*DATOS!$C$67)&lt;0.00005),"*",LINEAS!$D$134&amp;" UNI "&amp;IF(LINEAS!$U$134&lt;=2,"GZ","GX")&amp;" "&amp;TEXT(IF(OR(LINEAS!$U$134=1,LINEAS!$U$134=3),1,-1)*LINEAS!$AD$134*DATOS!$C$67,DATOS!$C$68)))</f>
        <v/>
      </c>
      <c r="E584" s="42" t="str">
        <f t="shared" si="17"/>
        <v/>
      </c>
    </row>
    <row r="585" spans="2:5" ht="15" customHeight="1" x14ac:dyDescent="0.3">
      <c r="B585" s="44" t="str">
        <f>IF(OR(LINEAS!$D$135="",LINEAS!$U$135=0,ABS(IF(OR(LINEAS!$U$135=1,LINEAS!$U$135=3),1,-1)*LINEAS!$AD$135*DATOS!$C$67)&lt;0.00005),"*",LINEAS!$D$135&amp;" UNI "&amp;IF(LINEAS!$U$135&lt;=2,"GZ","GX")&amp;" "&amp;TEXT(IF(OR(LINEAS!$U$135=1,LINEAS!$U$135=3),1,-1)*LINEAS!$AD$135*DATOS!$C$67,DATOS!$C$68))</f>
        <v>323 UNI GZ 0.7528</v>
      </c>
      <c r="C585" s="42" t="str">
        <f t="shared" ref="C585:C648" si="18">IF(LEN($B585)&gt;79,"MÁS DE 79 CARACTERES","")</f>
        <v/>
      </c>
      <c r="D585" s="44" t="str">
        <f>IF(PRESIONES!$C$22="NO","",IF(OR(LINEAS!$D$135="",LINEAS!$U$135=0,ABS(IF(OR(LINEAS!$U$135=1,LINEAS!$U$135=3),1,-1)*LINEAS!$AD$135*DATOS!$C$67)&lt;0.00005),"*",LINEAS!$D$135&amp;" UNI "&amp;IF(LINEAS!$U$135&lt;=2,"GZ","GX")&amp;" "&amp;TEXT(IF(OR(LINEAS!$U$135=1,LINEAS!$U$135=3),1,-1)*LINEAS!$AD$135*DATOS!$C$67,DATOS!$C$68)))</f>
        <v/>
      </c>
      <c r="E585" s="42" t="str">
        <f t="shared" ref="E585:E648" si="19">IF(LEN($D585)&gt;79,"MÁS DE 79 CARACTERES","")</f>
        <v/>
      </c>
    </row>
    <row r="586" spans="2:5" ht="15" customHeight="1" x14ac:dyDescent="0.3">
      <c r="B586" s="44" t="str">
        <f>IF(OR(LINEAS!$D$136="",LINEAS!$U$136=0,ABS(IF(OR(LINEAS!$U$136=1,LINEAS!$U$136=3),1,-1)*LINEAS!$AD$136*DATOS!$C$67)&lt;0.00005),"*",LINEAS!$D$136&amp;" UNI "&amp;IF(LINEAS!$U$136&lt;=2,"GZ","GX")&amp;" "&amp;TEXT(IF(OR(LINEAS!$U$136=1,LINEAS!$U$136=3),1,-1)*LINEAS!$AD$136*DATOS!$C$67,DATOS!$C$68))</f>
        <v>22 85 TO 88 UNI GZ 0.3487</v>
      </c>
      <c r="C586" s="42" t="str">
        <f t="shared" si="18"/>
        <v/>
      </c>
      <c r="D586" s="44" t="str">
        <f>IF(PRESIONES!$C$22="NO","",IF(OR(LINEAS!$D$136="",LINEAS!$U$136=0,ABS(IF(OR(LINEAS!$U$136=1,LINEAS!$U$136=3),1,-1)*LINEAS!$AD$136*DATOS!$C$67)&lt;0.00005),"*",LINEAS!$D$136&amp;" UNI "&amp;IF(LINEAS!$U$136&lt;=2,"GZ","GX")&amp;" "&amp;TEXT(IF(OR(LINEAS!$U$136=1,LINEAS!$U$136=3),1,-1)*LINEAS!$AD$136*DATOS!$C$67,DATOS!$C$68)))</f>
        <v/>
      </c>
      <c r="E586" s="42" t="str">
        <f t="shared" si="19"/>
        <v/>
      </c>
    </row>
    <row r="587" spans="2:5" ht="15" customHeight="1" x14ac:dyDescent="0.3">
      <c r="B587" s="44" t="str">
        <f>IF(OR(LINEAS!$D$137="",LINEAS!$U$137=0,ABS(IF(OR(LINEAS!$U$137=1,LINEAS!$U$137=3),1,-1)*LINEAS!$AD$137*DATOS!$C$67)&lt;0.00005),"*",LINEAS!$D$137&amp;" UNI "&amp;IF(LINEAS!$U$137&lt;=2,"GZ","GX")&amp;" "&amp;TEXT(IF(OR(LINEAS!$U$137=1,LINEAS!$U$137=3),1,-1)*LINEAS!$AD$137*DATOS!$C$67,DATOS!$C$68))</f>
        <v>17 191 203 213 223 233 UNI GZ 1.7269</v>
      </c>
      <c r="C587" s="42" t="str">
        <f t="shared" si="18"/>
        <v/>
      </c>
      <c r="D587" s="44" t="str">
        <f>IF(PRESIONES!$C$22="NO","",IF(OR(LINEAS!$D$137="",LINEAS!$U$137=0,ABS(IF(OR(LINEAS!$U$137=1,LINEAS!$U$137=3),1,-1)*LINEAS!$AD$137*DATOS!$C$67)&lt;0.00005),"*",LINEAS!$D$137&amp;" UNI "&amp;IF(LINEAS!$U$137&lt;=2,"GZ","GX")&amp;" "&amp;TEXT(IF(OR(LINEAS!$U$137=1,LINEAS!$U$137=3),1,-1)*LINEAS!$AD$137*DATOS!$C$67,DATOS!$C$68)))</f>
        <v/>
      </c>
      <c r="E587" s="42" t="str">
        <f t="shared" si="19"/>
        <v/>
      </c>
    </row>
    <row r="588" spans="2:5" ht="15" customHeight="1" x14ac:dyDescent="0.3">
      <c r="B588" s="44" t="str">
        <f>IF(OR(LINEAS!$D$138="",LINEAS!$U$138=0,ABS(IF(OR(LINEAS!$U$138=1,LINEAS!$U$138=3),1,-1)*LINEAS!$AD$138*DATOS!$C$67)&lt;0.00005),"*",LINEAS!$D$138&amp;" UNI "&amp;IF(LINEAS!$U$138&lt;=2,"GZ","GX")&amp;" "&amp;TEXT(IF(OR(LINEAS!$U$138=1,LINEAS!$U$138=3),1,-1)*LINEAS!$AD$138*DATOS!$C$67,DATOS!$C$68))</f>
        <v>18 192 204 214 224 234 UNI GZ 1.7269</v>
      </c>
      <c r="C588" s="42" t="str">
        <f t="shared" si="18"/>
        <v/>
      </c>
      <c r="D588" s="44" t="str">
        <f>IF(PRESIONES!$C$22="NO","",IF(OR(LINEAS!$D$138="",LINEAS!$U$138=0,ABS(IF(OR(LINEAS!$U$138=1,LINEAS!$U$138=3),1,-1)*LINEAS!$AD$138*DATOS!$C$67)&lt;0.00005),"*",LINEAS!$D$138&amp;" UNI "&amp;IF(LINEAS!$U$138&lt;=2,"GZ","GX")&amp;" "&amp;TEXT(IF(OR(LINEAS!$U$138=1,LINEAS!$U$138=3),1,-1)*LINEAS!$AD$138*DATOS!$C$67,DATOS!$C$68)))</f>
        <v/>
      </c>
      <c r="E588" s="42" t="str">
        <f t="shared" si="19"/>
        <v/>
      </c>
    </row>
    <row r="589" spans="2:5" ht="15" customHeight="1" x14ac:dyDescent="0.3">
      <c r="B589" s="44" t="str">
        <f>IF(OR(LINEAS!$D$139="",LINEAS!$U$139=0,ABS(IF(OR(LINEAS!$U$139=1,LINEAS!$U$139=3),1,-1)*LINEAS!$AD$139*DATOS!$C$67)&lt;0.00005),"*",LINEAS!$D$139&amp;" UNI "&amp;IF(LINEAS!$U$139&lt;=2,"GZ","GX")&amp;" "&amp;TEXT(IF(OR(LINEAS!$U$139=1,LINEAS!$U$139=3),1,-1)*LINEAS!$AD$139*DATOS!$C$67,DATOS!$C$68))</f>
        <v>*</v>
      </c>
      <c r="C589" s="42" t="str">
        <f t="shared" si="18"/>
        <v/>
      </c>
      <c r="D589" s="44" t="str">
        <f>IF(PRESIONES!$C$22="NO","",IF(OR(LINEAS!$D$139="",LINEAS!$U$139=0,ABS(IF(OR(LINEAS!$U$139=1,LINEAS!$U$139=3),1,-1)*LINEAS!$AD$139*DATOS!$C$67)&lt;0.00005),"*",LINEAS!$D$139&amp;" UNI "&amp;IF(LINEAS!$U$139&lt;=2,"GZ","GX")&amp;" "&amp;TEXT(IF(OR(LINEAS!$U$139=1,LINEAS!$U$139=3),1,-1)*LINEAS!$AD$139*DATOS!$C$67,DATOS!$C$68)))</f>
        <v/>
      </c>
      <c r="E589" s="42" t="str">
        <f t="shared" si="19"/>
        <v/>
      </c>
    </row>
    <row r="590" spans="2:5" ht="15" customHeight="1" x14ac:dyDescent="0.3">
      <c r="B590" s="44" t="str">
        <f>IF(OR(LINEAS!$D$140="",LINEAS!$U$140=0,ABS(IF(OR(LINEAS!$U$140=1,LINEAS!$U$140=3),1,-1)*LINEAS!$AD$140*DATOS!$C$67)&lt;0.00005),"*",LINEAS!$D$140&amp;" UNI "&amp;IF(LINEAS!$U$140&lt;=2,"GZ","GX")&amp;" "&amp;TEXT(IF(OR(LINEAS!$U$140=1,LINEAS!$U$140=3),1,-1)*LINEAS!$AD$140*DATOS!$C$67,DATOS!$C$68))</f>
        <v>*</v>
      </c>
      <c r="C590" s="42" t="str">
        <f t="shared" si="18"/>
        <v/>
      </c>
      <c r="D590" s="44" t="str">
        <f>IF(PRESIONES!$C$22="NO","",IF(OR(LINEAS!$D$140="",LINEAS!$U$140=0,ABS(IF(OR(LINEAS!$U$140=1,LINEAS!$U$140=3),1,-1)*LINEAS!$AD$140*DATOS!$C$67)&lt;0.00005),"*",LINEAS!$D$140&amp;" UNI "&amp;IF(LINEAS!$U$140&lt;=2,"GZ","GX")&amp;" "&amp;TEXT(IF(OR(LINEAS!$U$140=1,LINEAS!$U$140=3),1,-1)*LINEAS!$AD$140*DATOS!$C$67,DATOS!$C$68)))</f>
        <v/>
      </c>
      <c r="E590" s="42" t="str">
        <f t="shared" si="19"/>
        <v/>
      </c>
    </row>
    <row r="591" spans="2:5" ht="15" customHeight="1" x14ac:dyDescent="0.3">
      <c r="B591" s="44" t="str">
        <f>IF(OR(LINEAS!$D$141="",LINEAS!$U$141=0,ABS(IF(OR(LINEAS!$U$141=1,LINEAS!$U$141=3),1,-1)*LINEAS!$AD$141*DATOS!$C$67)&lt;0.00005),"*",LINEAS!$D$141&amp;" UNI "&amp;IF(LINEAS!$U$141&lt;=2,"GZ","GX")&amp;" "&amp;TEXT(IF(OR(LINEAS!$U$141=1,LINEAS!$U$141=3),1,-1)*LINEAS!$AD$141*DATOS!$C$67,DATOS!$C$68))</f>
        <v>*</v>
      </c>
      <c r="C591" s="42" t="str">
        <f t="shared" si="18"/>
        <v/>
      </c>
      <c r="D591" s="44" t="str">
        <f>IF(PRESIONES!$C$22="NO","",IF(OR(LINEAS!$D$141="",LINEAS!$U$141=0,ABS(IF(OR(LINEAS!$U$141=1,LINEAS!$U$141=3),1,-1)*LINEAS!$AD$141*DATOS!$C$67)&lt;0.00005),"*",LINEAS!$D$141&amp;" UNI "&amp;IF(LINEAS!$U$141&lt;=2,"GZ","GX")&amp;" "&amp;TEXT(IF(OR(LINEAS!$U$141=1,LINEAS!$U$141=3),1,-1)*LINEAS!$AD$141*DATOS!$C$67,DATOS!$C$68)))</f>
        <v/>
      </c>
      <c r="E591" s="42" t="str">
        <f t="shared" si="19"/>
        <v/>
      </c>
    </row>
    <row r="592" spans="2:5" ht="15" customHeight="1" x14ac:dyDescent="0.3">
      <c r="B592" s="44" t="str">
        <f>IF(OR(LINEAS!$D$142="",LINEAS!$U$142=0,ABS(IF(OR(LINEAS!$U$142=1,LINEAS!$U$142=3),1,-1)*LINEAS!$AD$142*DATOS!$C$67)&lt;0.00005),"*",LINEAS!$D$142&amp;" UNI "&amp;IF(LINEAS!$U$142&lt;=2,"GZ","GX")&amp;" "&amp;TEXT(IF(OR(LINEAS!$U$142=1,LINEAS!$U$142=3),1,-1)*LINEAS!$AD$142*DATOS!$C$67,DATOS!$C$68))</f>
        <v>*</v>
      </c>
      <c r="C592" s="42" t="str">
        <f t="shared" si="18"/>
        <v/>
      </c>
      <c r="D592" s="44" t="str">
        <f>IF(PRESIONES!$C$22="NO","",IF(OR(LINEAS!$D$142="",LINEAS!$U$142=0,ABS(IF(OR(LINEAS!$U$142=1,LINEAS!$U$142=3),1,-1)*LINEAS!$AD$142*DATOS!$C$67)&lt;0.00005),"*",LINEAS!$D$142&amp;" UNI "&amp;IF(LINEAS!$U$142&lt;=2,"GZ","GX")&amp;" "&amp;TEXT(IF(OR(LINEAS!$U$142=1,LINEAS!$U$142=3),1,-1)*LINEAS!$AD$142*DATOS!$C$67,DATOS!$C$68)))</f>
        <v/>
      </c>
      <c r="E592" s="42" t="str">
        <f t="shared" si="19"/>
        <v/>
      </c>
    </row>
    <row r="593" spans="2:5" ht="15" customHeight="1" x14ac:dyDescent="0.3">
      <c r="B593" s="44" t="str">
        <f>IF(OR(LINEAS!$D$143="",LINEAS!$U$143=0,ABS(IF(OR(LINEAS!$U$143=1,LINEAS!$U$143=3),1,-1)*LINEAS!$AD$143*DATOS!$C$67)&lt;0.00005),"*",LINEAS!$D$143&amp;" UNI "&amp;IF(LINEAS!$U$143&lt;=2,"GZ","GX")&amp;" "&amp;TEXT(IF(OR(LINEAS!$U$143=1,LINEAS!$U$143=3),1,-1)*LINEAS!$AD$143*DATOS!$C$67,DATOS!$C$68))</f>
        <v>*</v>
      </c>
      <c r="C593" s="42" t="str">
        <f t="shared" si="18"/>
        <v/>
      </c>
      <c r="D593" s="44" t="str">
        <f>IF(PRESIONES!$C$22="NO","",IF(OR(LINEAS!$D$143="",LINEAS!$U$143=0,ABS(IF(OR(LINEAS!$U$143=1,LINEAS!$U$143=3),1,-1)*LINEAS!$AD$143*DATOS!$C$67)&lt;0.00005),"*",LINEAS!$D$143&amp;" UNI "&amp;IF(LINEAS!$U$143&lt;=2,"GZ","GX")&amp;" "&amp;TEXT(IF(OR(LINEAS!$U$143=1,LINEAS!$U$143=3),1,-1)*LINEAS!$AD$143*DATOS!$C$67,DATOS!$C$68)))</f>
        <v/>
      </c>
      <c r="E593" s="42" t="str">
        <f t="shared" si="19"/>
        <v/>
      </c>
    </row>
    <row r="594" spans="2:5" ht="15" customHeight="1" x14ac:dyDescent="0.3">
      <c r="B594" s="44" t="str">
        <f>IF(OR(LINEAS!$D$144="",LINEAS!$U$144=0,ABS(IF(OR(LINEAS!$U$144=1,LINEAS!$U$144=3),1,-1)*LINEAS!$AD$144*DATOS!$C$67)&lt;0.00005),"*",LINEAS!$D$144&amp;" UNI "&amp;IF(LINEAS!$U$144&lt;=2,"GZ","GX")&amp;" "&amp;TEXT(IF(OR(LINEAS!$U$144=1,LINEAS!$U$144=3),1,-1)*LINEAS!$AD$144*DATOS!$C$67,DATOS!$C$68))</f>
        <v>*</v>
      </c>
      <c r="C594" s="42" t="str">
        <f t="shared" si="18"/>
        <v/>
      </c>
      <c r="D594" s="44" t="str">
        <f>IF(PRESIONES!$C$22="NO","",IF(OR(LINEAS!$D$144="",LINEAS!$U$144=0,ABS(IF(OR(LINEAS!$U$144=1,LINEAS!$U$144=3),1,-1)*LINEAS!$AD$144*DATOS!$C$67)&lt;0.00005),"*",LINEAS!$D$144&amp;" UNI "&amp;IF(LINEAS!$U$144&lt;=2,"GZ","GX")&amp;" "&amp;TEXT(IF(OR(LINEAS!$U$144=1,LINEAS!$U$144=3),1,-1)*LINEAS!$AD$144*DATOS!$C$67,DATOS!$C$68)))</f>
        <v/>
      </c>
      <c r="E594" s="42" t="str">
        <f t="shared" si="19"/>
        <v/>
      </c>
    </row>
    <row r="595" spans="2:5" ht="15" customHeight="1" x14ac:dyDescent="0.3">
      <c r="B595" s="44" t="str">
        <f>IF(OR(LINEAS!$D$145="",LINEAS!$U$145=0,ABS(IF(OR(LINEAS!$U$145=1,LINEAS!$U$145=3),1,-1)*LINEAS!$AD$145*DATOS!$C$67)&lt;0.00005),"*",LINEAS!$D$145&amp;" UNI "&amp;IF(LINEAS!$U$145&lt;=2,"GZ","GX")&amp;" "&amp;TEXT(IF(OR(LINEAS!$U$145=1,LINEAS!$U$145=3),1,-1)*LINEAS!$AD$145*DATOS!$C$67,DATOS!$C$68))</f>
        <v>*</v>
      </c>
      <c r="C595" s="42" t="str">
        <f t="shared" si="18"/>
        <v/>
      </c>
      <c r="D595" s="44" t="str">
        <f>IF(PRESIONES!$C$22="NO","",IF(OR(LINEAS!$D$145="",LINEAS!$U$145=0,ABS(IF(OR(LINEAS!$U$145=1,LINEAS!$U$145=3),1,-1)*LINEAS!$AD$145*DATOS!$C$67)&lt;0.00005),"*",LINEAS!$D$145&amp;" UNI "&amp;IF(LINEAS!$U$145&lt;=2,"GZ","GX")&amp;" "&amp;TEXT(IF(OR(LINEAS!$U$145=1,LINEAS!$U$145=3),1,-1)*LINEAS!$AD$145*DATOS!$C$67,DATOS!$C$68)))</f>
        <v/>
      </c>
      <c r="E595" s="42" t="str">
        <f t="shared" si="19"/>
        <v/>
      </c>
    </row>
    <row r="596" spans="2:5" ht="15" customHeight="1" x14ac:dyDescent="0.3">
      <c r="B596" s="44" t="str">
        <f>IF(OR(LINEAS!$D$146="",LINEAS!$U$146=0,ABS(IF(OR(LINEAS!$U$146=1,LINEAS!$U$146=3),1,-1)*LINEAS!$AD$146*DATOS!$C$67)&lt;0.00005),"*",LINEAS!$D$146&amp;" UNI "&amp;IF(LINEAS!$U$146&lt;=2,"GZ","GX")&amp;" "&amp;TEXT(IF(OR(LINEAS!$U$146=1,LINEAS!$U$146=3),1,-1)*LINEAS!$AD$146*DATOS!$C$67,DATOS!$C$68))</f>
        <v>*</v>
      </c>
      <c r="C596" s="42" t="str">
        <f t="shared" si="18"/>
        <v/>
      </c>
      <c r="D596" s="44" t="str">
        <f>IF(PRESIONES!$C$22="NO","",IF(OR(LINEAS!$D$146="",LINEAS!$U$146=0,ABS(IF(OR(LINEAS!$U$146=1,LINEAS!$U$146=3),1,-1)*LINEAS!$AD$146*DATOS!$C$67)&lt;0.00005),"*",LINEAS!$D$146&amp;" UNI "&amp;IF(LINEAS!$U$146&lt;=2,"GZ","GX")&amp;" "&amp;TEXT(IF(OR(LINEAS!$U$146=1,LINEAS!$U$146=3),1,-1)*LINEAS!$AD$146*DATOS!$C$67,DATOS!$C$68)))</f>
        <v/>
      </c>
      <c r="E596" s="42" t="str">
        <f t="shared" si="19"/>
        <v/>
      </c>
    </row>
    <row r="597" spans="2:5" ht="15" customHeight="1" x14ac:dyDescent="0.3">
      <c r="B597" s="44" t="str">
        <f>IF(OR(LINEAS!$D$147="",LINEAS!$U$147=0,ABS(IF(OR(LINEAS!$U$147=1,LINEAS!$U$147=3),1,-1)*LINEAS!$AD$147*DATOS!$C$67)&lt;0.00005),"*",LINEAS!$D$147&amp;" UNI "&amp;IF(LINEAS!$U$147&lt;=2,"GZ","GX")&amp;" "&amp;TEXT(IF(OR(LINEAS!$U$147=1,LINEAS!$U$147=3),1,-1)*LINEAS!$AD$147*DATOS!$C$67,DATOS!$C$68))</f>
        <v>*</v>
      </c>
      <c r="C597" s="42" t="str">
        <f t="shared" si="18"/>
        <v/>
      </c>
      <c r="D597" s="44" t="str">
        <f>IF(PRESIONES!$C$22="NO","",IF(OR(LINEAS!$D$147="",LINEAS!$U$147=0,ABS(IF(OR(LINEAS!$U$147=1,LINEAS!$U$147=3),1,-1)*LINEAS!$AD$147*DATOS!$C$67)&lt;0.00005),"*",LINEAS!$D$147&amp;" UNI "&amp;IF(LINEAS!$U$147&lt;=2,"GZ","GX")&amp;" "&amp;TEXT(IF(OR(LINEAS!$U$147=1,LINEAS!$U$147=3),1,-1)*LINEAS!$AD$147*DATOS!$C$67,DATOS!$C$68)))</f>
        <v/>
      </c>
      <c r="E597" s="42" t="str">
        <f t="shared" si="19"/>
        <v/>
      </c>
    </row>
    <row r="598" spans="2:5" ht="15" customHeight="1" x14ac:dyDescent="0.3">
      <c r="B598" s="44" t="str">
        <f>IF(OR(LINEAS!$D$148="",LINEAS!$U$148=0,ABS(IF(OR(LINEAS!$U$148=1,LINEAS!$U$148=3),1,-1)*LINEAS!$AD$148*DATOS!$C$67)&lt;0.00005),"*",LINEAS!$D$148&amp;" UNI "&amp;IF(LINEAS!$U$148&lt;=2,"GZ","GX")&amp;" "&amp;TEXT(IF(OR(LINEAS!$U$148=1,LINEAS!$U$148=3),1,-1)*LINEAS!$AD$148*DATOS!$C$67,DATOS!$C$68))</f>
        <v>*</v>
      </c>
      <c r="C598" s="42" t="str">
        <f t="shared" si="18"/>
        <v/>
      </c>
      <c r="D598" s="44" t="str">
        <f>IF(PRESIONES!$C$22="NO","",IF(OR(LINEAS!$D$148="",LINEAS!$U$148=0,ABS(IF(OR(LINEAS!$U$148=1,LINEAS!$U$148=3),1,-1)*LINEAS!$AD$148*DATOS!$C$67)&lt;0.00005),"*",LINEAS!$D$148&amp;" UNI "&amp;IF(LINEAS!$U$148&lt;=2,"GZ","GX")&amp;" "&amp;TEXT(IF(OR(LINEAS!$U$148=1,LINEAS!$U$148=3),1,-1)*LINEAS!$AD$148*DATOS!$C$67,DATOS!$C$68)))</f>
        <v/>
      </c>
      <c r="E598" s="42" t="str">
        <f t="shared" si="19"/>
        <v/>
      </c>
    </row>
    <row r="599" spans="2:5" ht="15" customHeight="1" x14ac:dyDescent="0.3">
      <c r="B599" s="44" t="str">
        <f>IF(OR(LINEAS!$D$149="",LINEAS!$U$149=0,ABS(IF(OR(LINEAS!$U$149=1,LINEAS!$U$149=3),1,-1)*LINEAS!$AD$149*DATOS!$C$67)&lt;0.00005),"*",LINEAS!$D$149&amp;" UNI "&amp;IF(LINEAS!$U$149&lt;=2,"GZ","GX")&amp;" "&amp;TEXT(IF(OR(LINEAS!$U$149=1,LINEAS!$U$149=3),1,-1)*LINEAS!$AD$149*DATOS!$C$67,DATOS!$C$68))</f>
        <v>*</v>
      </c>
      <c r="C599" s="42" t="str">
        <f t="shared" si="18"/>
        <v/>
      </c>
      <c r="D599" s="44" t="str">
        <f>IF(PRESIONES!$C$22="NO","",IF(OR(LINEAS!$D$149="",LINEAS!$U$149=0,ABS(IF(OR(LINEAS!$U$149=1,LINEAS!$U$149=3),1,-1)*LINEAS!$AD$149*DATOS!$C$67)&lt;0.00005),"*",LINEAS!$D$149&amp;" UNI "&amp;IF(LINEAS!$U$149&lt;=2,"GZ","GX")&amp;" "&amp;TEXT(IF(OR(LINEAS!$U$149=1,LINEAS!$U$149=3),1,-1)*LINEAS!$AD$149*DATOS!$C$67,DATOS!$C$68)))</f>
        <v/>
      </c>
      <c r="E599" s="42" t="str">
        <f t="shared" si="19"/>
        <v/>
      </c>
    </row>
    <row r="600" spans="2:5" ht="15" customHeight="1" x14ac:dyDescent="0.3">
      <c r="B600" s="44" t="str">
        <f>IF(OR(LINEAS!$D$150="",LINEAS!$U$150=0,ABS(IF(OR(LINEAS!$U$150=1,LINEAS!$U$150=3),1,-1)*LINEAS!$AD$150*DATOS!$C$67)&lt;0.00005),"*",LINEAS!$D$150&amp;" UNI "&amp;IF(LINEAS!$U$150&lt;=2,"GZ","GX")&amp;" "&amp;TEXT(IF(OR(LINEAS!$U$150=1,LINEAS!$U$150=3),1,-1)*LINEAS!$AD$150*DATOS!$C$67,DATOS!$C$68))</f>
        <v>*</v>
      </c>
      <c r="C600" s="42" t="str">
        <f t="shared" si="18"/>
        <v/>
      </c>
      <c r="D600" s="44" t="str">
        <f>IF(PRESIONES!$C$22="NO","",IF(OR(LINEAS!$D$150="",LINEAS!$U$150=0,ABS(IF(OR(LINEAS!$U$150=1,LINEAS!$U$150=3),1,-1)*LINEAS!$AD$150*DATOS!$C$67)&lt;0.00005),"*",LINEAS!$D$150&amp;" UNI "&amp;IF(LINEAS!$U$150&lt;=2,"GZ","GX")&amp;" "&amp;TEXT(IF(OR(LINEAS!$U$150=1,LINEAS!$U$150=3),1,-1)*LINEAS!$AD$150*DATOS!$C$67,DATOS!$C$68)))</f>
        <v/>
      </c>
      <c r="E600" s="42" t="str">
        <f t="shared" si="19"/>
        <v/>
      </c>
    </row>
    <row r="601" spans="2:5" ht="15" customHeight="1" x14ac:dyDescent="0.3">
      <c r="B601" s="44" t="str">
        <f>IF(OR(LINEAS!$D$151="",LINEAS!$U$151=0,ABS(IF(OR(LINEAS!$U$151=1,LINEAS!$U$151=3),1,-1)*LINEAS!$AD$151*DATOS!$C$67)&lt;0.00005),"*",LINEAS!$D$151&amp;" UNI "&amp;IF(LINEAS!$U$151&lt;=2,"GZ","GX")&amp;" "&amp;TEXT(IF(OR(LINEAS!$U$151=1,LINEAS!$U$151=3),1,-1)*LINEAS!$AD$151*DATOS!$C$67,DATOS!$C$68))</f>
        <v>*</v>
      </c>
      <c r="C601" s="42" t="str">
        <f t="shared" si="18"/>
        <v/>
      </c>
      <c r="D601" s="44" t="str">
        <f>IF(PRESIONES!$C$22="NO","",IF(OR(LINEAS!$D$151="",LINEAS!$U$151=0,ABS(IF(OR(LINEAS!$U$151=1,LINEAS!$U$151=3),1,-1)*LINEAS!$AD$151*DATOS!$C$67)&lt;0.00005),"*",LINEAS!$D$151&amp;" UNI "&amp;IF(LINEAS!$U$151&lt;=2,"GZ","GX")&amp;" "&amp;TEXT(IF(OR(LINEAS!$U$151=1,LINEAS!$U$151=3),1,-1)*LINEAS!$AD$151*DATOS!$C$67,DATOS!$C$68)))</f>
        <v/>
      </c>
      <c r="E601" s="42" t="str">
        <f t="shared" si="19"/>
        <v/>
      </c>
    </row>
    <row r="602" spans="2:5" ht="15" customHeight="1" x14ac:dyDescent="0.3">
      <c r="B602" s="44" t="str">
        <f>IF(OR(LINEAS!$D$152="",LINEAS!$U$152=0,ABS(IF(OR(LINEAS!$U$152=1,LINEAS!$U$152=3),1,-1)*LINEAS!$AD$152*DATOS!$C$67)&lt;0.00005),"*",LINEAS!$D$152&amp;" UNI "&amp;IF(LINEAS!$U$152&lt;=2,"GZ","GX")&amp;" "&amp;TEXT(IF(OR(LINEAS!$U$152=1,LINEAS!$U$152=3),1,-1)*LINEAS!$AD$152*DATOS!$C$67,DATOS!$C$68))</f>
        <v>*</v>
      </c>
      <c r="C602" s="42" t="str">
        <f t="shared" si="18"/>
        <v/>
      </c>
      <c r="D602" s="44" t="str">
        <f>IF(PRESIONES!$C$22="NO","",IF(OR(LINEAS!$D$152="",LINEAS!$U$152=0,ABS(IF(OR(LINEAS!$U$152=1,LINEAS!$U$152=3),1,-1)*LINEAS!$AD$152*DATOS!$C$67)&lt;0.00005),"*",LINEAS!$D$152&amp;" UNI "&amp;IF(LINEAS!$U$152&lt;=2,"GZ","GX")&amp;" "&amp;TEXT(IF(OR(LINEAS!$U$152=1,LINEAS!$U$152=3),1,-1)*LINEAS!$AD$152*DATOS!$C$67,DATOS!$C$68)))</f>
        <v/>
      </c>
      <c r="E602" s="42" t="str">
        <f t="shared" si="19"/>
        <v/>
      </c>
    </row>
    <row r="603" spans="2:5" ht="15" customHeight="1" x14ac:dyDescent="0.3">
      <c r="B603" s="44" t="str">
        <f>IF(OR(LINEAS!$D$153="",LINEAS!$U$153=0,ABS(IF(OR(LINEAS!$U$153=1,LINEAS!$U$153=3),1,-1)*LINEAS!$AD$153*DATOS!$C$67)&lt;0.00005),"*",LINEAS!$D$153&amp;" UNI "&amp;IF(LINEAS!$U$153&lt;=2,"GZ","GX")&amp;" "&amp;TEXT(IF(OR(LINEAS!$U$153=1,LINEAS!$U$153=3),1,-1)*LINEAS!$AD$153*DATOS!$C$67,DATOS!$C$68))</f>
        <v>*</v>
      </c>
      <c r="C603" s="42" t="str">
        <f t="shared" si="18"/>
        <v/>
      </c>
      <c r="D603" s="44" t="str">
        <f>IF(PRESIONES!$C$22="NO","",IF(OR(LINEAS!$D$153="",LINEAS!$U$153=0,ABS(IF(OR(LINEAS!$U$153=1,LINEAS!$U$153=3),1,-1)*LINEAS!$AD$153*DATOS!$C$67)&lt;0.00005),"*",LINEAS!$D$153&amp;" UNI "&amp;IF(LINEAS!$U$153&lt;=2,"GZ","GX")&amp;" "&amp;TEXT(IF(OR(LINEAS!$U$153=1,LINEAS!$U$153=3),1,-1)*LINEAS!$AD$153*DATOS!$C$67,DATOS!$C$68)))</f>
        <v/>
      </c>
      <c r="E603" s="42" t="str">
        <f t="shared" si="19"/>
        <v/>
      </c>
    </row>
    <row r="604" spans="2:5" ht="15" customHeight="1" x14ac:dyDescent="0.3">
      <c r="B604" s="44" t="str">
        <f>IF(OR(LINEAS!$D$154="",LINEAS!$U$154=0,ABS(IF(OR(LINEAS!$U$154=1,LINEAS!$U$154=3),1,-1)*LINEAS!$AD$154*DATOS!$C$67)&lt;0.00005),"*",LINEAS!$D$154&amp;" UNI "&amp;IF(LINEAS!$U$154&lt;=2,"GZ","GX")&amp;" "&amp;TEXT(IF(OR(LINEAS!$U$154=1,LINEAS!$U$154=3),1,-1)*LINEAS!$AD$154*DATOS!$C$67,DATOS!$C$68))</f>
        <v>*</v>
      </c>
      <c r="C604" s="42" t="str">
        <f t="shared" si="18"/>
        <v/>
      </c>
      <c r="D604" s="44" t="str">
        <f>IF(PRESIONES!$C$22="NO","",IF(OR(LINEAS!$D$154="",LINEAS!$U$154=0,ABS(IF(OR(LINEAS!$U$154=1,LINEAS!$U$154=3),1,-1)*LINEAS!$AD$154*DATOS!$C$67)&lt;0.00005),"*",LINEAS!$D$154&amp;" UNI "&amp;IF(LINEAS!$U$154&lt;=2,"GZ","GX")&amp;" "&amp;TEXT(IF(OR(LINEAS!$U$154=1,LINEAS!$U$154=3),1,-1)*LINEAS!$AD$154*DATOS!$C$67,DATOS!$C$68)))</f>
        <v/>
      </c>
      <c r="E604" s="42" t="str">
        <f t="shared" si="19"/>
        <v/>
      </c>
    </row>
    <row r="605" spans="2:5" ht="15" customHeight="1" x14ac:dyDescent="0.3">
      <c r="B605" s="44" t="str">
        <f>IF(OR(LINEAS!$D$155="",LINEAS!$U$155=0,ABS(IF(OR(LINEAS!$U$155=1,LINEAS!$U$155=3),1,-1)*LINEAS!$AD$155*DATOS!$C$67)&lt;0.00005),"*",LINEAS!$D$155&amp;" UNI "&amp;IF(LINEAS!$U$155&lt;=2,"GZ","GX")&amp;" "&amp;TEXT(IF(OR(LINEAS!$U$155=1,LINEAS!$U$155=3),1,-1)*LINEAS!$AD$155*DATOS!$C$67,DATOS!$C$68))</f>
        <v>*</v>
      </c>
      <c r="C605" s="42" t="str">
        <f t="shared" si="18"/>
        <v/>
      </c>
      <c r="D605" s="44" t="str">
        <f>IF(PRESIONES!$C$22="NO","",IF(OR(LINEAS!$D$155="",LINEAS!$U$155=0,ABS(IF(OR(LINEAS!$U$155=1,LINEAS!$U$155=3),1,-1)*LINEAS!$AD$155*DATOS!$C$67)&lt;0.00005),"*",LINEAS!$D$155&amp;" UNI "&amp;IF(LINEAS!$U$155&lt;=2,"GZ","GX")&amp;" "&amp;TEXT(IF(OR(LINEAS!$U$155=1,LINEAS!$U$155=3),1,-1)*LINEAS!$AD$155*DATOS!$C$67,DATOS!$C$68)))</f>
        <v/>
      </c>
      <c r="E605" s="42" t="str">
        <f t="shared" si="19"/>
        <v/>
      </c>
    </row>
    <row r="606" spans="2:5" ht="15" customHeight="1" x14ac:dyDescent="0.3">
      <c r="B606" s="44" t="str">
        <f>IF(OR(LINEAS!$D$156="",LINEAS!$U$156=0,ABS(IF(OR(LINEAS!$U$156=1,LINEAS!$U$156=3),1,-1)*LINEAS!$AD$156*DATOS!$C$67)&lt;0.00005),"*",LINEAS!$D$156&amp;" UNI "&amp;IF(LINEAS!$U$156&lt;=2,"GZ","GX")&amp;" "&amp;TEXT(IF(OR(LINEAS!$U$156=1,LINEAS!$U$156=3),1,-1)*LINEAS!$AD$156*DATOS!$C$67,DATOS!$C$68))</f>
        <v>*</v>
      </c>
      <c r="C606" s="42" t="str">
        <f t="shared" si="18"/>
        <v/>
      </c>
      <c r="D606" s="44" t="str">
        <f>IF(PRESIONES!$C$22="NO","",IF(OR(LINEAS!$D$156="",LINEAS!$U$156=0,ABS(IF(OR(LINEAS!$U$156=1,LINEAS!$U$156=3),1,-1)*LINEAS!$AD$156*DATOS!$C$67)&lt;0.00005),"*",LINEAS!$D$156&amp;" UNI "&amp;IF(LINEAS!$U$156&lt;=2,"GZ","GX")&amp;" "&amp;TEXT(IF(OR(LINEAS!$U$156=1,LINEAS!$U$156=3),1,-1)*LINEAS!$AD$156*DATOS!$C$67,DATOS!$C$68)))</f>
        <v/>
      </c>
      <c r="E606" s="42" t="str">
        <f t="shared" si="19"/>
        <v/>
      </c>
    </row>
    <row r="607" spans="2:5" ht="15" customHeight="1" x14ac:dyDescent="0.3">
      <c r="B607" s="44" t="str">
        <f>IF(OR(LINEAS!$D$157="",LINEAS!$U$157=0,ABS(IF(OR(LINEAS!$U$157=1,LINEAS!$U$157=3),1,-1)*LINEAS!$AD$157*DATOS!$C$67)&lt;0.00005),"*",LINEAS!$D$157&amp;" UNI "&amp;IF(LINEAS!$U$157&lt;=2,"GZ","GX")&amp;" "&amp;TEXT(IF(OR(LINEAS!$U$157=1,LINEAS!$U$157=3),1,-1)*LINEAS!$AD$157*DATOS!$C$67,DATOS!$C$68))</f>
        <v>*</v>
      </c>
      <c r="C607" s="42" t="str">
        <f t="shared" si="18"/>
        <v/>
      </c>
      <c r="D607" s="44" t="str">
        <f>IF(PRESIONES!$C$22="NO","",IF(OR(LINEAS!$D$157="",LINEAS!$U$157=0,ABS(IF(OR(LINEAS!$U$157=1,LINEAS!$U$157=3),1,-1)*LINEAS!$AD$157*DATOS!$C$67)&lt;0.00005),"*",LINEAS!$D$157&amp;" UNI "&amp;IF(LINEAS!$U$157&lt;=2,"GZ","GX")&amp;" "&amp;TEXT(IF(OR(LINEAS!$U$157=1,LINEAS!$U$157=3),1,-1)*LINEAS!$AD$157*DATOS!$C$67,DATOS!$C$68)))</f>
        <v/>
      </c>
      <c r="E607" s="42" t="str">
        <f t="shared" si="19"/>
        <v/>
      </c>
    </row>
    <row r="608" spans="2:5" ht="15" customHeight="1" x14ac:dyDescent="0.3">
      <c r="B608" s="44" t="str">
        <f>IF(OR(LINEAS!$D$158="",LINEAS!$U$158=0,ABS(IF(OR(LINEAS!$U$158=1,LINEAS!$U$158=3),1,-1)*LINEAS!$AD$158*DATOS!$C$67)&lt;0.00005),"*",LINEAS!$D$158&amp;" UNI "&amp;IF(LINEAS!$U$158&lt;=2,"GZ","GX")&amp;" "&amp;TEXT(IF(OR(LINEAS!$U$158=1,LINEAS!$U$158=3),1,-1)*LINEAS!$AD$158*DATOS!$C$67,DATOS!$C$68))</f>
        <v>*</v>
      </c>
      <c r="C608" s="42" t="str">
        <f t="shared" si="18"/>
        <v/>
      </c>
      <c r="D608" s="44" t="str">
        <f>IF(PRESIONES!$C$22="NO","",IF(OR(LINEAS!$D$158="",LINEAS!$U$158=0,ABS(IF(OR(LINEAS!$U$158=1,LINEAS!$U$158=3),1,-1)*LINEAS!$AD$158*DATOS!$C$67)&lt;0.00005),"*",LINEAS!$D$158&amp;" UNI "&amp;IF(LINEAS!$U$158&lt;=2,"GZ","GX")&amp;" "&amp;TEXT(IF(OR(LINEAS!$U$158=1,LINEAS!$U$158=3),1,-1)*LINEAS!$AD$158*DATOS!$C$67,DATOS!$C$68)))</f>
        <v/>
      </c>
      <c r="E608" s="42" t="str">
        <f t="shared" si="19"/>
        <v/>
      </c>
    </row>
    <row r="609" spans="2:5" ht="15" customHeight="1" x14ac:dyDescent="0.3">
      <c r="B609" s="44" t="str">
        <f>IF(OR(LINEAS!$D$159="",LINEAS!$U$159=0,ABS(IF(OR(LINEAS!$U$159=1,LINEAS!$U$159=3),1,-1)*LINEAS!$AD$159*DATOS!$C$67)&lt;0.00005),"*",LINEAS!$D$159&amp;" UNI "&amp;IF(LINEAS!$U$159&lt;=2,"GZ","GX")&amp;" "&amp;TEXT(IF(OR(LINEAS!$U$159=1,LINEAS!$U$159=3),1,-1)*LINEAS!$AD$159*DATOS!$C$67,DATOS!$C$68))</f>
        <v>*</v>
      </c>
      <c r="C609" s="42" t="str">
        <f t="shared" si="18"/>
        <v/>
      </c>
      <c r="D609" s="44" t="str">
        <f>IF(PRESIONES!$C$22="NO","",IF(OR(LINEAS!$D$159="",LINEAS!$U$159=0,ABS(IF(OR(LINEAS!$U$159=1,LINEAS!$U$159=3),1,-1)*LINEAS!$AD$159*DATOS!$C$67)&lt;0.00005),"*",LINEAS!$D$159&amp;" UNI "&amp;IF(LINEAS!$U$159&lt;=2,"GZ","GX")&amp;" "&amp;TEXT(IF(OR(LINEAS!$U$159=1,LINEAS!$U$159=3),1,-1)*LINEAS!$AD$159*DATOS!$C$67,DATOS!$C$68)))</f>
        <v/>
      </c>
      <c r="E609" s="42" t="str">
        <f t="shared" si="19"/>
        <v/>
      </c>
    </row>
    <row r="610" spans="2:5" ht="15" customHeight="1" x14ac:dyDescent="0.3">
      <c r="B610" s="44" t="str">
        <f>IF(OR(LINEAS!$D$160="",LINEAS!$U$160=0,ABS(IF(OR(LINEAS!$U$160=1,LINEAS!$U$160=3),1,-1)*LINEAS!$AD$160*DATOS!$C$67)&lt;0.00005),"*",LINEAS!$D$160&amp;" UNI "&amp;IF(LINEAS!$U$160&lt;=2,"GZ","GX")&amp;" "&amp;TEXT(IF(OR(LINEAS!$U$160=1,LINEAS!$U$160=3),1,-1)*LINEAS!$AD$160*DATOS!$C$67,DATOS!$C$68))</f>
        <v>*</v>
      </c>
      <c r="C610" s="42" t="str">
        <f t="shared" si="18"/>
        <v/>
      </c>
      <c r="D610" s="44" t="str">
        <f>IF(PRESIONES!$C$22="NO","",IF(OR(LINEAS!$D$160="",LINEAS!$U$160=0,ABS(IF(OR(LINEAS!$U$160=1,LINEAS!$U$160=3),1,-1)*LINEAS!$AD$160*DATOS!$C$67)&lt;0.00005),"*",LINEAS!$D$160&amp;" UNI "&amp;IF(LINEAS!$U$160&lt;=2,"GZ","GX")&amp;" "&amp;TEXT(IF(OR(LINEAS!$U$160=1,LINEAS!$U$160=3),1,-1)*LINEAS!$AD$160*DATOS!$C$67,DATOS!$C$68)))</f>
        <v/>
      </c>
      <c r="E610" s="42" t="str">
        <f t="shared" si="19"/>
        <v/>
      </c>
    </row>
    <row r="611" spans="2:5" ht="15" customHeight="1" x14ac:dyDescent="0.3">
      <c r="B611" s="44" t="str">
        <f>IF(OR(LINEAS!$D$161="",LINEAS!$U$161=0,ABS(IF(OR(LINEAS!$U$161=1,LINEAS!$U$161=3),1,-1)*LINEAS!$AD$161*DATOS!$C$67)&lt;0.00005),"*",LINEAS!$D$161&amp;" UNI "&amp;IF(LINEAS!$U$161&lt;=2,"GZ","GX")&amp;" "&amp;TEXT(IF(OR(LINEAS!$U$161=1,LINEAS!$U$161=3),1,-1)*LINEAS!$AD$161*DATOS!$C$67,DATOS!$C$68))</f>
        <v>*</v>
      </c>
      <c r="C611" s="42" t="str">
        <f t="shared" si="18"/>
        <v/>
      </c>
      <c r="D611" s="44" t="str">
        <f>IF(PRESIONES!$C$22="NO","",IF(OR(LINEAS!$D$161="",LINEAS!$U$161=0,ABS(IF(OR(LINEAS!$U$161=1,LINEAS!$U$161=3),1,-1)*LINEAS!$AD$161*DATOS!$C$67)&lt;0.00005),"*",LINEAS!$D$161&amp;" UNI "&amp;IF(LINEAS!$U$161&lt;=2,"GZ","GX")&amp;" "&amp;TEXT(IF(OR(LINEAS!$U$161=1,LINEAS!$U$161=3),1,-1)*LINEAS!$AD$161*DATOS!$C$67,DATOS!$C$68)))</f>
        <v/>
      </c>
      <c r="E611" s="42" t="str">
        <f t="shared" si="19"/>
        <v/>
      </c>
    </row>
    <row r="612" spans="2:5" ht="15" customHeight="1" x14ac:dyDescent="0.3">
      <c r="B612" s="44" t="str">
        <f>IF(OR(LINEAS!$D$162="",LINEAS!$U$162=0,ABS(IF(OR(LINEAS!$U$162=1,LINEAS!$U$162=3),1,-1)*LINEAS!$AD$162*DATOS!$C$67)&lt;0.00005),"*",LINEAS!$D$162&amp;" UNI "&amp;IF(LINEAS!$U$162&lt;=2,"GZ","GX")&amp;" "&amp;TEXT(IF(OR(LINEAS!$U$162=1,LINEAS!$U$162=3),1,-1)*LINEAS!$AD$162*DATOS!$C$67,DATOS!$C$68))</f>
        <v>*</v>
      </c>
      <c r="C612" s="42" t="str">
        <f t="shared" si="18"/>
        <v/>
      </c>
      <c r="D612" s="44" t="str">
        <f>IF(PRESIONES!$C$22="NO","",IF(OR(LINEAS!$D$162="",LINEAS!$U$162=0,ABS(IF(OR(LINEAS!$U$162=1,LINEAS!$U$162=3),1,-1)*LINEAS!$AD$162*DATOS!$C$67)&lt;0.00005),"*",LINEAS!$D$162&amp;" UNI "&amp;IF(LINEAS!$U$162&lt;=2,"GZ","GX")&amp;" "&amp;TEXT(IF(OR(LINEAS!$U$162=1,LINEAS!$U$162=3),1,-1)*LINEAS!$AD$162*DATOS!$C$67,DATOS!$C$68)))</f>
        <v/>
      </c>
      <c r="E612" s="42" t="str">
        <f t="shared" si="19"/>
        <v/>
      </c>
    </row>
    <row r="613" spans="2:5" ht="15" customHeight="1" x14ac:dyDescent="0.3">
      <c r="B613" s="44" t="str">
        <f>IF(OR(LINEAS!$D$163="",LINEAS!$U$163=0,ABS(IF(OR(LINEAS!$U$163=1,LINEAS!$U$163=3),1,-1)*LINEAS!$AD$163*DATOS!$C$67)&lt;0.00005),"*",LINEAS!$D$163&amp;" UNI "&amp;IF(LINEAS!$U$163&lt;=2,"GZ","GX")&amp;" "&amp;TEXT(IF(OR(LINEAS!$U$163=1,LINEAS!$U$163=3),1,-1)*LINEAS!$AD$163*DATOS!$C$67,DATOS!$C$68))</f>
        <v>*</v>
      </c>
      <c r="C613" s="42" t="str">
        <f t="shared" si="18"/>
        <v/>
      </c>
      <c r="D613" s="44" t="str">
        <f>IF(PRESIONES!$C$22="NO","",IF(OR(LINEAS!$D$163="",LINEAS!$U$163=0,ABS(IF(OR(LINEAS!$U$163=1,LINEAS!$U$163=3),1,-1)*LINEAS!$AD$163*DATOS!$C$67)&lt;0.00005),"*",LINEAS!$D$163&amp;" UNI "&amp;IF(LINEAS!$U$163&lt;=2,"GZ","GX")&amp;" "&amp;TEXT(IF(OR(LINEAS!$U$163=1,LINEAS!$U$163=3),1,-1)*LINEAS!$AD$163*DATOS!$C$67,DATOS!$C$68)))</f>
        <v/>
      </c>
      <c r="E613" s="42" t="str">
        <f t="shared" si="19"/>
        <v/>
      </c>
    </row>
    <row r="614" spans="2:5" ht="15" customHeight="1" x14ac:dyDescent="0.3">
      <c r="B614" s="44" t="str">
        <f>IF(OR(LINEAS!$D$164="",LINEAS!$U$164=0,ABS(IF(OR(LINEAS!$U$164=1,LINEAS!$U$164=3),1,-1)*LINEAS!$AD$164*DATOS!$C$67)&lt;0.00005),"*",LINEAS!$D$164&amp;" UNI "&amp;IF(LINEAS!$U$164&lt;=2,"GZ","GX")&amp;" "&amp;TEXT(IF(OR(LINEAS!$U$164=1,LINEAS!$U$164=3),1,-1)*LINEAS!$AD$164*DATOS!$C$67,DATOS!$C$68))</f>
        <v>*</v>
      </c>
      <c r="C614" s="42" t="str">
        <f t="shared" si="18"/>
        <v/>
      </c>
      <c r="D614" s="44" t="str">
        <f>IF(PRESIONES!$C$22="NO","",IF(OR(LINEAS!$D$164="",LINEAS!$U$164=0,ABS(IF(OR(LINEAS!$U$164=1,LINEAS!$U$164=3),1,-1)*LINEAS!$AD$164*DATOS!$C$67)&lt;0.00005),"*",LINEAS!$D$164&amp;" UNI "&amp;IF(LINEAS!$U$164&lt;=2,"GZ","GX")&amp;" "&amp;TEXT(IF(OR(LINEAS!$U$164=1,LINEAS!$U$164=3),1,-1)*LINEAS!$AD$164*DATOS!$C$67,DATOS!$C$68)))</f>
        <v/>
      </c>
      <c r="E614" s="42" t="str">
        <f t="shared" si="19"/>
        <v/>
      </c>
    </row>
    <row r="615" spans="2:5" ht="15" customHeight="1" x14ac:dyDescent="0.3">
      <c r="B615" s="44" t="str">
        <f>IF(OR(LINEAS!$D$165="",LINEAS!$U$165=0,ABS(IF(OR(LINEAS!$U$165=1,LINEAS!$U$165=3),1,-1)*LINEAS!$AD$165*DATOS!$C$67)&lt;0.00005),"*",LINEAS!$D$165&amp;" UNI "&amp;IF(LINEAS!$U$165&lt;=2,"GZ","GX")&amp;" "&amp;TEXT(IF(OR(LINEAS!$U$165=1,LINEAS!$U$165=3),1,-1)*LINEAS!$AD$165*DATOS!$C$67,DATOS!$C$68))</f>
        <v>*</v>
      </c>
      <c r="C615" s="42" t="str">
        <f t="shared" si="18"/>
        <v/>
      </c>
      <c r="D615" s="44" t="str">
        <f>IF(PRESIONES!$C$22="NO","",IF(OR(LINEAS!$D$165="",LINEAS!$U$165=0,ABS(IF(OR(LINEAS!$U$165=1,LINEAS!$U$165=3),1,-1)*LINEAS!$AD$165*DATOS!$C$67)&lt;0.00005),"*",LINEAS!$D$165&amp;" UNI "&amp;IF(LINEAS!$U$165&lt;=2,"GZ","GX")&amp;" "&amp;TEXT(IF(OR(LINEAS!$U$165=1,LINEAS!$U$165=3),1,-1)*LINEAS!$AD$165*DATOS!$C$67,DATOS!$C$68)))</f>
        <v/>
      </c>
      <c r="E615" s="42" t="str">
        <f t="shared" si="19"/>
        <v/>
      </c>
    </row>
    <row r="616" spans="2:5" ht="15" customHeight="1" x14ac:dyDescent="0.3">
      <c r="B616" s="44" t="str">
        <f>IF(OR(LINEAS!$D$166="",LINEAS!$U$166=0,ABS(IF(OR(LINEAS!$U$166=1,LINEAS!$U$166=3),1,-1)*LINEAS!$AD$166*DATOS!$C$67)&lt;0.00005),"*",LINEAS!$D$166&amp;" UNI "&amp;IF(LINEAS!$U$166&lt;=2,"GZ","GX")&amp;" "&amp;TEXT(IF(OR(LINEAS!$U$166=1,LINEAS!$U$166=3),1,-1)*LINEAS!$AD$166*DATOS!$C$67,DATOS!$C$68))</f>
        <v>*</v>
      </c>
      <c r="C616" s="42" t="str">
        <f t="shared" si="18"/>
        <v/>
      </c>
      <c r="D616" s="44" t="str">
        <f>IF(PRESIONES!$C$22="NO","",IF(OR(LINEAS!$D$166="",LINEAS!$U$166=0,ABS(IF(OR(LINEAS!$U$166=1,LINEAS!$U$166=3),1,-1)*LINEAS!$AD$166*DATOS!$C$67)&lt;0.00005),"*",LINEAS!$D$166&amp;" UNI "&amp;IF(LINEAS!$U$166&lt;=2,"GZ","GX")&amp;" "&amp;TEXT(IF(OR(LINEAS!$U$166=1,LINEAS!$U$166=3),1,-1)*LINEAS!$AD$166*DATOS!$C$67,DATOS!$C$68)))</f>
        <v/>
      </c>
      <c r="E616" s="42" t="str">
        <f t="shared" si="19"/>
        <v/>
      </c>
    </row>
    <row r="617" spans="2:5" ht="15" customHeight="1" x14ac:dyDescent="0.3">
      <c r="B617" s="44" t="str">
        <f>IF(OR(LINEAS!$D$167="",LINEAS!$U$167=0,ABS(IF(OR(LINEAS!$U$167=1,LINEAS!$U$167=3),1,-1)*LINEAS!$AD$167*DATOS!$C$67)&lt;0.00005),"*",LINEAS!$D$167&amp;" UNI "&amp;IF(LINEAS!$U$167&lt;=2,"GZ","GX")&amp;" "&amp;TEXT(IF(OR(LINEAS!$U$167=1,LINEAS!$U$167=3),1,-1)*LINEAS!$AD$167*DATOS!$C$67,DATOS!$C$68))</f>
        <v>*</v>
      </c>
      <c r="C617" s="42" t="str">
        <f t="shared" si="18"/>
        <v/>
      </c>
      <c r="D617" s="44" t="str">
        <f>IF(PRESIONES!$C$22="NO","",IF(OR(LINEAS!$D$167="",LINEAS!$U$167=0,ABS(IF(OR(LINEAS!$U$167=1,LINEAS!$U$167=3),1,-1)*LINEAS!$AD$167*DATOS!$C$67)&lt;0.00005),"*",LINEAS!$D$167&amp;" UNI "&amp;IF(LINEAS!$U$167&lt;=2,"GZ","GX")&amp;" "&amp;TEXT(IF(OR(LINEAS!$U$167=1,LINEAS!$U$167=3),1,-1)*LINEAS!$AD$167*DATOS!$C$67,DATOS!$C$68)))</f>
        <v/>
      </c>
      <c r="E617" s="42" t="str">
        <f t="shared" si="19"/>
        <v/>
      </c>
    </row>
    <row r="618" spans="2:5" ht="15" customHeight="1" x14ac:dyDescent="0.3">
      <c r="B618" s="44" t="str">
        <f>IF(OR(LINEAS!$D$168="",LINEAS!$U$168=0,ABS(IF(OR(LINEAS!$U$168=1,LINEAS!$U$168=3),1,-1)*LINEAS!$AD$168*DATOS!$C$67)&lt;0.00005),"*",LINEAS!$D$168&amp;" UNI "&amp;IF(LINEAS!$U$168&lt;=2,"GZ","GX")&amp;" "&amp;TEXT(IF(OR(LINEAS!$U$168=1,LINEAS!$U$168=3),1,-1)*LINEAS!$AD$168*DATOS!$C$67,DATOS!$C$68))</f>
        <v>*</v>
      </c>
      <c r="C618" s="42" t="str">
        <f t="shared" si="18"/>
        <v/>
      </c>
      <c r="D618" s="44" t="str">
        <f>IF(PRESIONES!$C$22="NO","",IF(OR(LINEAS!$D$168="",LINEAS!$U$168=0,ABS(IF(OR(LINEAS!$U$168=1,LINEAS!$U$168=3),1,-1)*LINEAS!$AD$168*DATOS!$C$67)&lt;0.00005),"*",LINEAS!$D$168&amp;" UNI "&amp;IF(LINEAS!$U$168&lt;=2,"GZ","GX")&amp;" "&amp;TEXT(IF(OR(LINEAS!$U$168=1,LINEAS!$U$168=3),1,-1)*LINEAS!$AD$168*DATOS!$C$67,DATOS!$C$68)))</f>
        <v/>
      </c>
      <c r="E618" s="42" t="str">
        <f t="shared" si="19"/>
        <v/>
      </c>
    </row>
    <row r="619" spans="2:5" ht="15" customHeight="1" x14ac:dyDescent="0.3">
      <c r="B619" s="44" t="str">
        <f>IF(OR(LINEAS!$D$169="",LINEAS!$U$169=0,ABS(IF(OR(LINEAS!$U$169=1,LINEAS!$U$169=3),1,-1)*LINEAS!$AD$169*DATOS!$C$67)&lt;0.00005),"*",LINEAS!$D$169&amp;" UNI "&amp;IF(LINEAS!$U$169&lt;=2,"GZ","GX")&amp;" "&amp;TEXT(IF(OR(LINEAS!$U$169=1,LINEAS!$U$169=3),1,-1)*LINEAS!$AD$169*DATOS!$C$67,DATOS!$C$68))</f>
        <v>*</v>
      </c>
      <c r="C619" s="42" t="str">
        <f t="shared" si="18"/>
        <v/>
      </c>
      <c r="D619" s="44" t="str">
        <f>IF(PRESIONES!$C$22="NO","",IF(OR(LINEAS!$D$169="",LINEAS!$U$169=0,ABS(IF(OR(LINEAS!$U$169=1,LINEAS!$U$169=3),1,-1)*LINEAS!$AD$169*DATOS!$C$67)&lt;0.00005),"*",LINEAS!$D$169&amp;" UNI "&amp;IF(LINEAS!$U$169&lt;=2,"GZ","GX")&amp;" "&amp;TEXT(IF(OR(LINEAS!$U$169=1,LINEAS!$U$169=3),1,-1)*LINEAS!$AD$169*DATOS!$C$67,DATOS!$C$68)))</f>
        <v/>
      </c>
      <c r="E619" s="42" t="str">
        <f t="shared" si="19"/>
        <v/>
      </c>
    </row>
    <row r="620" spans="2:5" ht="15" customHeight="1" x14ac:dyDescent="0.3">
      <c r="B620" s="44" t="str">
        <f>IF(OR(LINEAS!$D$170="",LINEAS!$U$170=0,ABS(IF(OR(LINEAS!$U$170=1,LINEAS!$U$170=3),1,-1)*LINEAS!$AD$170*DATOS!$C$67)&lt;0.00005),"*",LINEAS!$D$170&amp;" UNI "&amp;IF(LINEAS!$U$170&lt;=2,"GZ","GX")&amp;" "&amp;TEXT(IF(OR(LINEAS!$U$170=1,LINEAS!$U$170=3),1,-1)*LINEAS!$AD$170*DATOS!$C$67,DATOS!$C$68))</f>
        <v>*</v>
      </c>
      <c r="C620" s="42" t="str">
        <f t="shared" si="18"/>
        <v/>
      </c>
      <c r="D620" s="44" t="str">
        <f>IF(PRESIONES!$C$22="NO","",IF(OR(LINEAS!$D$170="",LINEAS!$U$170=0,ABS(IF(OR(LINEAS!$U$170=1,LINEAS!$U$170=3),1,-1)*LINEAS!$AD$170*DATOS!$C$67)&lt;0.00005),"*",LINEAS!$D$170&amp;" UNI "&amp;IF(LINEAS!$U$170&lt;=2,"GZ","GX")&amp;" "&amp;TEXT(IF(OR(LINEAS!$U$170=1,LINEAS!$U$170=3),1,-1)*LINEAS!$AD$170*DATOS!$C$67,DATOS!$C$68)))</f>
        <v/>
      </c>
      <c r="E620" s="42" t="str">
        <f t="shared" si="19"/>
        <v/>
      </c>
    </row>
    <row r="621" spans="2:5" ht="15" customHeight="1" x14ac:dyDescent="0.3">
      <c r="B621" s="44" t="str">
        <f>IF(OR(LINEAS!$D$171="",LINEAS!$U$171=0,ABS(IF(OR(LINEAS!$U$171=1,LINEAS!$U$171=3),1,-1)*LINEAS!$AD$171*DATOS!$C$67)&lt;0.00005),"*",LINEAS!$D$171&amp;" UNI "&amp;IF(LINEAS!$U$171&lt;=2,"GZ","GX")&amp;" "&amp;TEXT(IF(OR(LINEAS!$U$171=1,LINEAS!$U$171=3),1,-1)*LINEAS!$AD$171*DATOS!$C$67,DATOS!$C$68))</f>
        <v>*</v>
      </c>
      <c r="C621" s="42" t="str">
        <f t="shared" si="18"/>
        <v/>
      </c>
      <c r="D621" s="44" t="str">
        <f>IF(PRESIONES!$C$22="NO","",IF(OR(LINEAS!$D$171="",LINEAS!$U$171=0,ABS(IF(OR(LINEAS!$U$171=1,LINEAS!$U$171=3),1,-1)*LINEAS!$AD$171*DATOS!$C$67)&lt;0.00005),"*",LINEAS!$D$171&amp;" UNI "&amp;IF(LINEAS!$U$171&lt;=2,"GZ","GX")&amp;" "&amp;TEXT(IF(OR(LINEAS!$U$171=1,LINEAS!$U$171=3),1,-1)*LINEAS!$AD$171*DATOS!$C$67,DATOS!$C$68)))</f>
        <v/>
      </c>
      <c r="E621" s="42" t="str">
        <f t="shared" si="19"/>
        <v/>
      </c>
    </row>
    <row r="622" spans="2:5" ht="15" customHeight="1" x14ac:dyDescent="0.3">
      <c r="B622" s="44" t="str">
        <f>IF(OR(LINEAS!$D$172="",LINEAS!$U$172=0,ABS(IF(OR(LINEAS!$U$172=1,LINEAS!$U$172=3),1,-1)*LINEAS!$AD$172*DATOS!$C$67)&lt;0.00005),"*",LINEAS!$D$172&amp;" UNI "&amp;IF(LINEAS!$U$172&lt;=2,"GZ","GX")&amp;" "&amp;TEXT(IF(OR(LINEAS!$U$172=1,LINEAS!$U$172=3),1,-1)*LINEAS!$AD$172*DATOS!$C$67,DATOS!$C$68))</f>
        <v>*</v>
      </c>
      <c r="C622" s="42" t="str">
        <f t="shared" si="18"/>
        <v/>
      </c>
      <c r="D622" s="44" t="str">
        <f>IF(PRESIONES!$C$22="NO","",IF(OR(LINEAS!$D$172="",LINEAS!$U$172=0,ABS(IF(OR(LINEAS!$U$172=1,LINEAS!$U$172=3),1,-1)*LINEAS!$AD$172*DATOS!$C$67)&lt;0.00005),"*",LINEAS!$D$172&amp;" UNI "&amp;IF(LINEAS!$U$172&lt;=2,"GZ","GX")&amp;" "&amp;TEXT(IF(OR(LINEAS!$U$172=1,LINEAS!$U$172=3),1,-1)*LINEAS!$AD$172*DATOS!$C$67,DATOS!$C$68)))</f>
        <v/>
      </c>
      <c r="E622" s="42" t="str">
        <f t="shared" si="19"/>
        <v/>
      </c>
    </row>
    <row r="623" spans="2:5" ht="15" customHeight="1" x14ac:dyDescent="0.3">
      <c r="B623" s="44" t="str">
        <f>IF(OR(LINEAS!$D$173="",LINEAS!$U$173=0,ABS(IF(OR(LINEAS!$U$173=1,LINEAS!$U$173=3),1,-1)*LINEAS!$AD$173*DATOS!$C$67)&lt;0.00005),"*",LINEAS!$D$173&amp;" UNI "&amp;IF(LINEAS!$U$173&lt;=2,"GZ","GX")&amp;" "&amp;TEXT(IF(OR(LINEAS!$U$173=1,LINEAS!$U$173=3),1,-1)*LINEAS!$AD$173*DATOS!$C$67,DATOS!$C$68))</f>
        <v>*</v>
      </c>
      <c r="C623" s="42" t="str">
        <f t="shared" si="18"/>
        <v/>
      </c>
      <c r="D623" s="44" t="str">
        <f>IF(PRESIONES!$C$22="NO","",IF(OR(LINEAS!$D$173="",LINEAS!$U$173=0,ABS(IF(OR(LINEAS!$U$173=1,LINEAS!$U$173=3),1,-1)*LINEAS!$AD$173*DATOS!$C$67)&lt;0.00005),"*",LINEAS!$D$173&amp;" UNI "&amp;IF(LINEAS!$U$173&lt;=2,"GZ","GX")&amp;" "&amp;TEXT(IF(OR(LINEAS!$U$173=1,LINEAS!$U$173=3),1,-1)*LINEAS!$AD$173*DATOS!$C$67,DATOS!$C$68)))</f>
        <v/>
      </c>
      <c r="E623" s="42" t="str">
        <f t="shared" si="19"/>
        <v/>
      </c>
    </row>
    <row r="624" spans="2:5" ht="15" customHeight="1" x14ac:dyDescent="0.3">
      <c r="B624" s="44" t="str">
        <f>IF(OR(LINEAS!$D$174="",LINEAS!$U$174=0,ABS(IF(OR(LINEAS!$U$174=1,LINEAS!$U$174=3),1,-1)*LINEAS!$AD$174*DATOS!$C$67)&lt;0.00005),"*",LINEAS!$D$174&amp;" UNI "&amp;IF(LINEAS!$U$174&lt;=2,"GZ","GX")&amp;" "&amp;TEXT(IF(OR(LINEAS!$U$174=1,LINEAS!$U$174=3),1,-1)*LINEAS!$AD$174*DATOS!$C$67,DATOS!$C$68))</f>
        <v>*</v>
      </c>
      <c r="C624" s="42" t="str">
        <f t="shared" si="18"/>
        <v/>
      </c>
      <c r="D624" s="44" t="str">
        <f>IF(PRESIONES!$C$22="NO","",IF(OR(LINEAS!$D$174="",LINEAS!$U$174=0,ABS(IF(OR(LINEAS!$U$174=1,LINEAS!$U$174=3),1,-1)*LINEAS!$AD$174*DATOS!$C$67)&lt;0.00005),"*",LINEAS!$D$174&amp;" UNI "&amp;IF(LINEAS!$U$174&lt;=2,"GZ","GX")&amp;" "&amp;TEXT(IF(OR(LINEAS!$U$174=1,LINEAS!$U$174=3),1,-1)*LINEAS!$AD$174*DATOS!$C$67,DATOS!$C$68)))</f>
        <v/>
      </c>
      <c r="E624" s="42" t="str">
        <f t="shared" si="19"/>
        <v/>
      </c>
    </row>
    <row r="625" spans="2:5" ht="15" customHeight="1" x14ac:dyDescent="0.3">
      <c r="B625" s="44" t="str">
        <f>IF(OR(LINEAS!$D$175="",LINEAS!$U$175=0,ABS(IF(OR(LINEAS!$U$175=1,LINEAS!$U$175=3),1,-1)*LINEAS!$AD$175*DATOS!$C$67)&lt;0.00005),"*",LINEAS!$D$175&amp;" UNI "&amp;IF(LINEAS!$U$175&lt;=2,"GZ","GX")&amp;" "&amp;TEXT(IF(OR(LINEAS!$U$175=1,LINEAS!$U$175=3),1,-1)*LINEAS!$AD$175*DATOS!$C$67,DATOS!$C$68))</f>
        <v>*</v>
      </c>
      <c r="C625" s="42" t="str">
        <f t="shared" si="18"/>
        <v/>
      </c>
      <c r="D625" s="44" t="str">
        <f>IF(PRESIONES!$C$22="NO","",IF(OR(LINEAS!$D$175="",LINEAS!$U$175=0,ABS(IF(OR(LINEAS!$U$175=1,LINEAS!$U$175=3),1,-1)*LINEAS!$AD$175*DATOS!$C$67)&lt;0.00005),"*",LINEAS!$D$175&amp;" UNI "&amp;IF(LINEAS!$U$175&lt;=2,"GZ","GX")&amp;" "&amp;TEXT(IF(OR(LINEAS!$U$175=1,LINEAS!$U$175=3),1,-1)*LINEAS!$AD$175*DATOS!$C$67,DATOS!$C$68)))</f>
        <v/>
      </c>
      <c r="E625" s="42" t="str">
        <f t="shared" si="19"/>
        <v/>
      </c>
    </row>
    <row r="626" spans="2:5" ht="15" customHeight="1" x14ac:dyDescent="0.3">
      <c r="B626" s="44" t="str">
        <f>IF(OR(LINEAS!$D$176="",LINEAS!$U$176=0,ABS(IF(OR(LINEAS!$U$176=1,LINEAS!$U$176=3),1,-1)*LINEAS!$AD$176*DATOS!$C$67)&lt;0.00005),"*",LINEAS!$D$176&amp;" UNI "&amp;IF(LINEAS!$U$176&lt;=2,"GZ","GX")&amp;" "&amp;TEXT(IF(OR(LINEAS!$U$176=1,LINEAS!$U$176=3),1,-1)*LINEAS!$AD$176*DATOS!$C$67,DATOS!$C$68))</f>
        <v>*</v>
      </c>
      <c r="C626" s="42" t="str">
        <f t="shared" si="18"/>
        <v/>
      </c>
      <c r="D626" s="44" t="str">
        <f>IF(PRESIONES!$C$22="NO","",IF(OR(LINEAS!$D$176="",LINEAS!$U$176=0,ABS(IF(OR(LINEAS!$U$176=1,LINEAS!$U$176=3),1,-1)*LINEAS!$AD$176*DATOS!$C$67)&lt;0.00005),"*",LINEAS!$D$176&amp;" UNI "&amp;IF(LINEAS!$U$176&lt;=2,"GZ","GX")&amp;" "&amp;TEXT(IF(OR(LINEAS!$U$176=1,LINEAS!$U$176=3),1,-1)*LINEAS!$AD$176*DATOS!$C$67,DATOS!$C$68)))</f>
        <v/>
      </c>
      <c r="E626" s="42" t="str">
        <f t="shared" si="19"/>
        <v/>
      </c>
    </row>
    <row r="627" spans="2:5" ht="15" customHeight="1" x14ac:dyDescent="0.3">
      <c r="B627" s="44" t="str">
        <f>IF(OR(LINEAS!$D$177="",LINEAS!$U$177=0,ABS(IF(OR(LINEAS!$U$177=1,LINEAS!$U$177=3),1,-1)*LINEAS!$AD$177*DATOS!$C$67)&lt;0.00005),"*",LINEAS!$D$177&amp;" UNI "&amp;IF(LINEAS!$U$177&lt;=2,"GZ","GX")&amp;" "&amp;TEXT(IF(OR(LINEAS!$U$177=1,LINEAS!$U$177=3),1,-1)*LINEAS!$AD$177*DATOS!$C$67,DATOS!$C$68))</f>
        <v>*</v>
      </c>
      <c r="C627" s="42" t="str">
        <f t="shared" si="18"/>
        <v/>
      </c>
      <c r="D627" s="44" t="str">
        <f>IF(PRESIONES!$C$22="NO","",IF(OR(LINEAS!$D$177="",LINEAS!$U$177=0,ABS(IF(OR(LINEAS!$U$177=1,LINEAS!$U$177=3),1,-1)*LINEAS!$AD$177*DATOS!$C$67)&lt;0.00005),"*",LINEAS!$D$177&amp;" UNI "&amp;IF(LINEAS!$U$177&lt;=2,"GZ","GX")&amp;" "&amp;TEXT(IF(OR(LINEAS!$U$177=1,LINEAS!$U$177=3),1,-1)*LINEAS!$AD$177*DATOS!$C$67,DATOS!$C$68)))</f>
        <v/>
      </c>
      <c r="E627" s="42" t="str">
        <f t="shared" si="19"/>
        <v/>
      </c>
    </row>
    <row r="628" spans="2:5" ht="15" customHeight="1" x14ac:dyDescent="0.3">
      <c r="B628" s="44" t="str">
        <f>IF(OR(LINEAS!$D$178="",LINEAS!$U$178=0,ABS(IF(OR(LINEAS!$U$178=1,LINEAS!$U$178=3),1,-1)*LINEAS!$AD$178*DATOS!$C$67)&lt;0.00005),"*",LINEAS!$D$178&amp;" UNI "&amp;IF(LINEAS!$U$178&lt;=2,"GZ","GX")&amp;" "&amp;TEXT(IF(OR(LINEAS!$U$178=1,LINEAS!$U$178=3),1,-1)*LINEAS!$AD$178*DATOS!$C$67,DATOS!$C$68))</f>
        <v>*</v>
      </c>
      <c r="C628" s="42" t="str">
        <f t="shared" si="18"/>
        <v/>
      </c>
      <c r="D628" s="44" t="str">
        <f>IF(PRESIONES!$C$22="NO","",IF(OR(LINEAS!$D$178="",LINEAS!$U$178=0,ABS(IF(OR(LINEAS!$U$178=1,LINEAS!$U$178=3),1,-1)*LINEAS!$AD$178*DATOS!$C$67)&lt;0.00005),"*",LINEAS!$D$178&amp;" UNI "&amp;IF(LINEAS!$U$178&lt;=2,"GZ","GX")&amp;" "&amp;TEXT(IF(OR(LINEAS!$U$178=1,LINEAS!$U$178=3),1,-1)*LINEAS!$AD$178*DATOS!$C$67,DATOS!$C$68)))</f>
        <v/>
      </c>
      <c r="E628" s="42" t="str">
        <f t="shared" si="19"/>
        <v/>
      </c>
    </row>
    <row r="629" spans="2:5" ht="15" customHeight="1" x14ac:dyDescent="0.3">
      <c r="B629" s="44" t="str">
        <f>IF(OR(LINEAS!$D$179="",LINEAS!$U$179=0,ABS(IF(OR(LINEAS!$U$179=1,LINEAS!$U$179=3),1,-1)*LINEAS!$AD$179*DATOS!$C$67)&lt;0.00005),"*",LINEAS!$D$179&amp;" UNI "&amp;IF(LINEAS!$U$179&lt;=2,"GZ","GX")&amp;" "&amp;TEXT(IF(OR(LINEAS!$U$179=1,LINEAS!$U$179=3),1,-1)*LINEAS!$AD$179*DATOS!$C$67,DATOS!$C$68))</f>
        <v>*</v>
      </c>
      <c r="C629" s="42" t="str">
        <f t="shared" si="18"/>
        <v/>
      </c>
      <c r="D629" s="44" t="str">
        <f>IF(PRESIONES!$C$22="NO","",IF(OR(LINEAS!$D$179="",LINEAS!$U$179=0,ABS(IF(OR(LINEAS!$U$179=1,LINEAS!$U$179=3),1,-1)*LINEAS!$AD$179*DATOS!$C$67)&lt;0.00005),"*",LINEAS!$D$179&amp;" UNI "&amp;IF(LINEAS!$U$179&lt;=2,"GZ","GX")&amp;" "&amp;TEXT(IF(OR(LINEAS!$U$179=1,LINEAS!$U$179=3),1,-1)*LINEAS!$AD$179*DATOS!$C$67,DATOS!$C$68)))</f>
        <v/>
      </c>
      <c r="E629" s="42" t="str">
        <f t="shared" si="19"/>
        <v/>
      </c>
    </row>
    <row r="630" spans="2:5" ht="15" customHeight="1" x14ac:dyDescent="0.3">
      <c r="B630" s="44" t="str">
        <f>IF(OR(LINEAS!$D$180="",LINEAS!$U$180=0,ABS(IF(OR(LINEAS!$U$180=1,LINEAS!$U$180=3),1,-1)*LINEAS!$AD$180*DATOS!$C$67)&lt;0.00005),"*",LINEAS!$D$180&amp;" UNI "&amp;IF(LINEAS!$U$180&lt;=2,"GZ","GX")&amp;" "&amp;TEXT(IF(OR(LINEAS!$U$180=1,LINEAS!$U$180=3),1,-1)*LINEAS!$AD$180*DATOS!$C$67,DATOS!$C$68))</f>
        <v>*</v>
      </c>
      <c r="C630" s="42" t="str">
        <f t="shared" si="18"/>
        <v/>
      </c>
      <c r="D630" s="44" t="str">
        <f>IF(PRESIONES!$C$22="NO","",IF(OR(LINEAS!$D$180="",LINEAS!$U$180=0,ABS(IF(OR(LINEAS!$U$180=1,LINEAS!$U$180=3),1,-1)*LINEAS!$AD$180*DATOS!$C$67)&lt;0.00005),"*",LINEAS!$D$180&amp;" UNI "&amp;IF(LINEAS!$U$180&lt;=2,"GZ","GX")&amp;" "&amp;TEXT(IF(OR(LINEAS!$U$180=1,LINEAS!$U$180=3),1,-1)*LINEAS!$AD$180*DATOS!$C$67,DATOS!$C$68)))</f>
        <v/>
      </c>
      <c r="E630" s="42" t="str">
        <f t="shared" si="19"/>
        <v/>
      </c>
    </row>
    <row r="631" spans="2:5" ht="15" customHeight="1" x14ac:dyDescent="0.3">
      <c r="B631" s="44" t="str">
        <f>IF(OR(LINEAS!$D$181="",LINEAS!$U$181=0,ABS(IF(OR(LINEAS!$U$181=1,LINEAS!$U$181=3),1,-1)*LINEAS!$AD$181*DATOS!$C$67)&lt;0.00005),"*",LINEAS!$D$181&amp;" UNI "&amp;IF(LINEAS!$U$181&lt;=2,"GZ","GX")&amp;" "&amp;TEXT(IF(OR(LINEAS!$U$181=1,LINEAS!$U$181=3),1,-1)*LINEAS!$AD$181*DATOS!$C$67,DATOS!$C$68))</f>
        <v>*</v>
      </c>
      <c r="C631" s="42" t="str">
        <f t="shared" si="18"/>
        <v/>
      </c>
      <c r="D631" s="44" t="str">
        <f>IF(PRESIONES!$C$22="NO","",IF(OR(LINEAS!$D$181="",LINEAS!$U$181=0,ABS(IF(OR(LINEAS!$U$181=1,LINEAS!$U$181=3),1,-1)*LINEAS!$AD$181*DATOS!$C$67)&lt;0.00005),"*",LINEAS!$D$181&amp;" UNI "&amp;IF(LINEAS!$U$181&lt;=2,"GZ","GX")&amp;" "&amp;TEXT(IF(OR(LINEAS!$U$181=1,LINEAS!$U$181=3),1,-1)*LINEAS!$AD$181*DATOS!$C$67,DATOS!$C$68)))</f>
        <v/>
      </c>
      <c r="E631" s="42" t="str">
        <f t="shared" si="19"/>
        <v/>
      </c>
    </row>
    <row r="632" spans="2:5" ht="15" customHeight="1" x14ac:dyDescent="0.3">
      <c r="B632" s="44" t="str">
        <f>IF(OR(LINEAS!$D$182="",LINEAS!$U$182=0,ABS(IF(OR(LINEAS!$U$182=1,LINEAS!$U$182=3),1,-1)*LINEAS!$AD$182*DATOS!$C$67)&lt;0.00005),"*",LINEAS!$D$182&amp;" UNI "&amp;IF(LINEAS!$U$182&lt;=2,"GZ","GX")&amp;" "&amp;TEXT(IF(OR(LINEAS!$U$182=1,LINEAS!$U$182=3),1,-1)*LINEAS!$AD$182*DATOS!$C$67,DATOS!$C$68))</f>
        <v>*</v>
      </c>
      <c r="C632" s="42" t="str">
        <f t="shared" si="18"/>
        <v/>
      </c>
      <c r="D632" s="44" t="str">
        <f>IF(PRESIONES!$C$22="NO","",IF(OR(LINEAS!$D$182="",LINEAS!$U$182=0,ABS(IF(OR(LINEAS!$U$182=1,LINEAS!$U$182=3),1,-1)*LINEAS!$AD$182*DATOS!$C$67)&lt;0.00005),"*",LINEAS!$D$182&amp;" UNI "&amp;IF(LINEAS!$U$182&lt;=2,"GZ","GX")&amp;" "&amp;TEXT(IF(OR(LINEAS!$U$182=1,LINEAS!$U$182=3),1,-1)*LINEAS!$AD$182*DATOS!$C$67,DATOS!$C$68)))</f>
        <v/>
      </c>
      <c r="E632" s="42" t="str">
        <f t="shared" si="19"/>
        <v/>
      </c>
    </row>
    <row r="633" spans="2:5" ht="15" customHeight="1" x14ac:dyDescent="0.3">
      <c r="B633" s="44" t="str">
        <f>IF(OR(LINEAS!$D$183="",LINEAS!$U$183=0,ABS(IF(OR(LINEAS!$U$183=1,LINEAS!$U$183=3),1,-1)*LINEAS!$AD$183*DATOS!$C$67)&lt;0.00005),"*",LINEAS!$D$183&amp;" UNI "&amp;IF(LINEAS!$U$183&lt;=2,"GZ","GX")&amp;" "&amp;TEXT(IF(OR(LINEAS!$U$183=1,LINEAS!$U$183=3),1,-1)*LINEAS!$AD$183*DATOS!$C$67,DATOS!$C$68))</f>
        <v>*</v>
      </c>
      <c r="C633" s="42" t="str">
        <f t="shared" si="18"/>
        <v/>
      </c>
      <c r="D633" s="44" t="str">
        <f>IF(PRESIONES!$C$22="NO","",IF(OR(LINEAS!$D$183="",LINEAS!$U$183=0,ABS(IF(OR(LINEAS!$U$183=1,LINEAS!$U$183=3),1,-1)*LINEAS!$AD$183*DATOS!$C$67)&lt;0.00005),"*",LINEAS!$D$183&amp;" UNI "&amp;IF(LINEAS!$U$183&lt;=2,"GZ","GX")&amp;" "&amp;TEXT(IF(OR(LINEAS!$U$183=1,LINEAS!$U$183=3),1,-1)*LINEAS!$AD$183*DATOS!$C$67,DATOS!$C$68)))</f>
        <v/>
      </c>
      <c r="E633" s="42" t="str">
        <f t="shared" si="19"/>
        <v/>
      </c>
    </row>
    <row r="634" spans="2:5" ht="15" customHeight="1" x14ac:dyDescent="0.3">
      <c r="B634" s="44" t="str">
        <f>IF(OR(LINEAS!$D$184="",LINEAS!$U$184=0,ABS(IF(OR(LINEAS!$U$184=1,LINEAS!$U$184=3),1,-1)*LINEAS!$AD$184*DATOS!$C$67)&lt;0.00005),"*",LINEAS!$D$184&amp;" UNI "&amp;IF(LINEAS!$U$184&lt;=2,"GZ","GX")&amp;" "&amp;TEXT(IF(OR(LINEAS!$U$184=1,LINEAS!$U$184=3),1,-1)*LINEAS!$AD$184*DATOS!$C$67,DATOS!$C$68))</f>
        <v>*</v>
      </c>
      <c r="C634" s="42" t="str">
        <f t="shared" si="18"/>
        <v/>
      </c>
      <c r="D634" s="44" t="str">
        <f>IF(PRESIONES!$C$22="NO","",IF(OR(LINEAS!$D$184="",LINEAS!$U$184=0,ABS(IF(OR(LINEAS!$U$184=1,LINEAS!$U$184=3),1,-1)*LINEAS!$AD$184*DATOS!$C$67)&lt;0.00005),"*",LINEAS!$D$184&amp;" UNI "&amp;IF(LINEAS!$U$184&lt;=2,"GZ","GX")&amp;" "&amp;TEXT(IF(OR(LINEAS!$U$184=1,LINEAS!$U$184=3),1,-1)*LINEAS!$AD$184*DATOS!$C$67,DATOS!$C$68)))</f>
        <v/>
      </c>
      <c r="E634" s="42" t="str">
        <f t="shared" si="19"/>
        <v/>
      </c>
    </row>
    <row r="635" spans="2:5" ht="15" customHeight="1" x14ac:dyDescent="0.3">
      <c r="B635" s="44" t="str">
        <f>IF(OR(LINEAS!$D$185="",LINEAS!$U$185=0,ABS(IF(OR(LINEAS!$U$185=1,LINEAS!$U$185=3),1,-1)*LINEAS!$AD$185*DATOS!$C$67)&lt;0.00005),"*",LINEAS!$D$185&amp;" UNI "&amp;IF(LINEAS!$U$185&lt;=2,"GZ","GX")&amp;" "&amp;TEXT(IF(OR(LINEAS!$U$185=1,LINEAS!$U$185=3),1,-1)*LINEAS!$AD$185*DATOS!$C$67,DATOS!$C$68))</f>
        <v>*</v>
      </c>
      <c r="C635" s="42" t="str">
        <f t="shared" si="18"/>
        <v/>
      </c>
      <c r="D635" s="44" t="str">
        <f>IF(PRESIONES!$C$22="NO","",IF(OR(LINEAS!$D$185="",LINEAS!$U$185=0,ABS(IF(OR(LINEAS!$U$185=1,LINEAS!$U$185=3),1,-1)*LINEAS!$AD$185*DATOS!$C$67)&lt;0.00005),"*",LINEAS!$D$185&amp;" UNI "&amp;IF(LINEAS!$U$185&lt;=2,"GZ","GX")&amp;" "&amp;TEXT(IF(OR(LINEAS!$U$185=1,LINEAS!$U$185=3),1,-1)*LINEAS!$AD$185*DATOS!$C$67,DATOS!$C$68)))</f>
        <v/>
      </c>
      <c r="E635" s="42" t="str">
        <f t="shared" si="19"/>
        <v/>
      </c>
    </row>
    <row r="636" spans="2:5" ht="15" customHeight="1" x14ac:dyDescent="0.3">
      <c r="B636" s="44" t="str">
        <f>IF(OR(LINEAS!$D$186="",LINEAS!$U$186=0,ABS(IF(OR(LINEAS!$U$186=1,LINEAS!$U$186=3),1,-1)*LINEAS!$AD$186*DATOS!$C$67)&lt;0.00005),"*",LINEAS!$D$186&amp;" UNI "&amp;IF(LINEAS!$U$186&lt;=2,"GZ","GX")&amp;" "&amp;TEXT(IF(OR(LINEAS!$U$186=1,LINEAS!$U$186=3),1,-1)*LINEAS!$AD$186*DATOS!$C$67,DATOS!$C$68))</f>
        <v>*</v>
      </c>
      <c r="C636" s="42" t="str">
        <f t="shared" si="18"/>
        <v/>
      </c>
      <c r="D636" s="44" t="str">
        <f>IF(PRESIONES!$C$22="NO","",IF(OR(LINEAS!$D$186="",LINEAS!$U$186=0,ABS(IF(OR(LINEAS!$U$186=1,LINEAS!$U$186=3),1,-1)*LINEAS!$AD$186*DATOS!$C$67)&lt;0.00005),"*",LINEAS!$D$186&amp;" UNI "&amp;IF(LINEAS!$U$186&lt;=2,"GZ","GX")&amp;" "&amp;TEXT(IF(OR(LINEAS!$U$186=1,LINEAS!$U$186=3),1,-1)*LINEAS!$AD$186*DATOS!$C$67,DATOS!$C$68)))</f>
        <v/>
      </c>
      <c r="E636" s="42" t="str">
        <f t="shared" si="19"/>
        <v/>
      </c>
    </row>
    <row r="637" spans="2:5" ht="15" customHeight="1" x14ac:dyDescent="0.3">
      <c r="B637" s="44" t="str">
        <f>IF(OR(LINEAS!$D$187="",LINEAS!$U$187=0,ABS(IF(OR(LINEAS!$U$187=1,LINEAS!$U$187=3),1,-1)*LINEAS!$AD$187*DATOS!$C$67)&lt;0.00005),"*",LINEAS!$D$187&amp;" UNI "&amp;IF(LINEAS!$U$187&lt;=2,"GZ","GX")&amp;" "&amp;TEXT(IF(OR(LINEAS!$U$187=1,LINEAS!$U$187=3),1,-1)*LINEAS!$AD$187*DATOS!$C$67,DATOS!$C$68))</f>
        <v>*</v>
      </c>
      <c r="C637" s="42" t="str">
        <f t="shared" si="18"/>
        <v/>
      </c>
      <c r="D637" s="44" t="str">
        <f>IF(PRESIONES!$C$22="NO","",IF(OR(LINEAS!$D$187="",LINEAS!$U$187=0,ABS(IF(OR(LINEAS!$U$187=1,LINEAS!$U$187=3),1,-1)*LINEAS!$AD$187*DATOS!$C$67)&lt;0.00005),"*",LINEAS!$D$187&amp;" UNI "&amp;IF(LINEAS!$U$187&lt;=2,"GZ","GX")&amp;" "&amp;TEXT(IF(OR(LINEAS!$U$187=1,LINEAS!$U$187=3),1,-1)*LINEAS!$AD$187*DATOS!$C$67,DATOS!$C$68)))</f>
        <v/>
      </c>
      <c r="E637" s="42" t="str">
        <f t="shared" si="19"/>
        <v/>
      </c>
    </row>
    <row r="638" spans="2:5" ht="15" customHeight="1" x14ac:dyDescent="0.3">
      <c r="B638" s="44" t="str">
        <f>IF(OR(LINEAS!$D$188="",LINEAS!$U$188=0,ABS(IF(OR(LINEAS!$U$188=1,LINEAS!$U$188=3),1,-1)*LINEAS!$AD$188*DATOS!$C$67)&lt;0.00005),"*",LINEAS!$D$188&amp;" UNI "&amp;IF(LINEAS!$U$188&lt;=2,"GZ","GX")&amp;" "&amp;TEXT(IF(OR(LINEAS!$U$188=1,LINEAS!$U$188=3),1,-1)*LINEAS!$AD$188*DATOS!$C$67,DATOS!$C$68))</f>
        <v>*</v>
      </c>
      <c r="C638" s="42" t="str">
        <f t="shared" si="18"/>
        <v/>
      </c>
      <c r="D638" s="44" t="str">
        <f>IF(PRESIONES!$C$22="NO","",IF(OR(LINEAS!$D$188="",LINEAS!$U$188=0,ABS(IF(OR(LINEAS!$U$188=1,LINEAS!$U$188=3),1,-1)*LINEAS!$AD$188*DATOS!$C$67)&lt;0.00005),"*",LINEAS!$D$188&amp;" UNI "&amp;IF(LINEAS!$U$188&lt;=2,"GZ","GX")&amp;" "&amp;TEXT(IF(OR(LINEAS!$U$188=1,LINEAS!$U$188=3),1,-1)*LINEAS!$AD$188*DATOS!$C$67,DATOS!$C$68)))</f>
        <v/>
      </c>
      <c r="E638" s="42" t="str">
        <f t="shared" si="19"/>
        <v/>
      </c>
    </row>
    <row r="639" spans="2:5" ht="15" customHeight="1" x14ac:dyDescent="0.3">
      <c r="B639" s="44" t="str">
        <f>IF(OR(LINEAS!$D$189="",LINEAS!$U$189=0,ABS(IF(OR(LINEAS!$U$189=1,LINEAS!$U$189=3),1,-1)*LINEAS!$AD$189*DATOS!$C$67)&lt;0.00005),"*",LINEAS!$D$189&amp;" UNI "&amp;IF(LINEAS!$U$189&lt;=2,"GZ","GX")&amp;" "&amp;TEXT(IF(OR(LINEAS!$U$189=1,LINEAS!$U$189=3),1,-1)*LINEAS!$AD$189*DATOS!$C$67,DATOS!$C$68))</f>
        <v>*</v>
      </c>
      <c r="C639" s="42" t="str">
        <f t="shared" si="18"/>
        <v/>
      </c>
      <c r="D639" s="44" t="str">
        <f>IF(PRESIONES!$C$22="NO","",IF(OR(LINEAS!$D$189="",LINEAS!$U$189=0,ABS(IF(OR(LINEAS!$U$189=1,LINEAS!$U$189=3),1,-1)*LINEAS!$AD$189*DATOS!$C$67)&lt;0.00005),"*",LINEAS!$D$189&amp;" UNI "&amp;IF(LINEAS!$U$189&lt;=2,"GZ","GX")&amp;" "&amp;TEXT(IF(OR(LINEAS!$U$189=1,LINEAS!$U$189=3),1,-1)*LINEAS!$AD$189*DATOS!$C$67,DATOS!$C$68)))</f>
        <v/>
      </c>
      <c r="E639" s="42" t="str">
        <f t="shared" si="19"/>
        <v/>
      </c>
    </row>
    <row r="640" spans="2:5" ht="15" customHeight="1" x14ac:dyDescent="0.3">
      <c r="B640" s="44" t="str">
        <f>IF(OR(LINEAS!$D$190="",LINEAS!$U$190=0,ABS(IF(OR(LINEAS!$U$190=1,LINEAS!$U$190=3),1,-1)*LINEAS!$AD$190*DATOS!$C$67)&lt;0.00005),"*",LINEAS!$D$190&amp;" UNI "&amp;IF(LINEAS!$U$190&lt;=2,"GZ","GX")&amp;" "&amp;TEXT(IF(OR(LINEAS!$U$190=1,LINEAS!$U$190=3),1,-1)*LINEAS!$AD$190*DATOS!$C$67,DATOS!$C$68))</f>
        <v>*</v>
      </c>
      <c r="C640" s="42" t="str">
        <f t="shared" si="18"/>
        <v/>
      </c>
      <c r="D640" s="44" t="str">
        <f>IF(PRESIONES!$C$22="NO","",IF(OR(LINEAS!$D$190="",LINEAS!$U$190=0,ABS(IF(OR(LINEAS!$U$190=1,LINEAS!$U$190=3),1,-1)*LINEAS!$AD$190*DATOS!$C$67)&lt;0.00005),"*",LINEAS!$D$190&amp;" UNI "&amp;IF(LINEAS!$U$190&lt;=2,"GZ","GX")&amp;" "&amp;TEXT(IF(OR(LINEAS!$U$190=1,LINEAS!$U$190=3),1,-1)*LINEAS!$AD$190*DATOS!$C$67,DATOS!$C$68)))</f>
        <v/>
      </c>
      <c r="E640" s="42" t="str">
        <f t="shared" si="19"/>
        <v/>
      </c>
    </row>
    <row r="641" spans="2:5" ht="15" customHeight="1" x14ac:dyDescent="0.3">
      <c r="B641" s="44" t="str">
        <f>IF(OR(LINEAS!$D$191="",LINEAS!$U$191=0,ABS(IF(OR(LINEAS!$U$191=1,LINEAS!$U$191=3),1,-1)*LINEAS!$AD$191*DATOS!$C$67)&lt;0.00005),"*",LINEAS!$D$191&amp;" UNI "&amp;IF(LINEAS!$U$191&lt;=2,"GZ","GX")&amp;" "&amp;TEXT(IF(OR(LINEAS!$U$191=1,LINEAS!$U$191=3),1,-1)*LINEAS!$AD$191*DATOS!$C$67,DATOS!$C$68))</f>
        <v>*</v>
      </c>
      <c r="C641" s="42" t="str">
        <f t="shared" si="18"/>
        <v/>
      </c>
      <c r="D641" s="44" t="str">
        <f>IF(PRESIONES!$C$22="NO","",IF(OR(LINEAS!$D$191="",LINEAS!$U$191=0,ABS(IF(OR(LINEAS!$U$191=1,LINEAS!$U$191=3),1,-1)*LINEAS!$AD$191*DATOS!$C$67)&lt;0.00005),"*",LINEAS!$D$191&amp;" UNI "&amp;IF(LINEAS!$U$191&lt;=2,"GZ","GX")&amp;" "&amp;TEXT(IF(OR(LINEAS!$U$191=1,LINEAS!$U$191=3),1,-1)*LINEAS!$AD$191*DATOS!$C$67,DATOS!$C$68)))</f>
        <v/>
      </c>
      <c r="E641" s="42" t="str">
        <f t="shared" si="19"/>
        <v/>
      </c>
    </row>
    <row r="642" spans="2:5" ht="15" customHeight="1" x14ac:dyDescent="0.3">
      <c r="B642" s="44" t="str">
        <f>IF(OR(LINEAS!$D$192="",LINEAS!$U$192=0,ABS(IF(OR(LINEAS!$U$192=1,LINEAS!$U$192=3),1,-1)*LINEAS!$AD$192*DATOS!$C$67)&lt;0.00005),"*",LINEAS!$D$192&amp;" UNI "&amp;IF(LINEAS!$U$192&lt;=2,"GZ","GX")&amp;" "&amp;TEXT(IF(OR(LINEAS!$U$192=1,LINEAS!$U$192=3),1,-1)*LINEAS!$AD$192*DATOS!$C$67,DATOS!$C$68))</f>
        <v>*</v>
      </c>
      <c r="C642" s="42" t="str">
        <f t="shared" si="18"/>
        <v/>
      </c>
      <c r="D642" s="44" t="str">
        <f>IF(PRESIONES!$C$22="NO","",IF(OR(LINEAS!$D$192="",LINEAS!$U$192=0,ABS(IF(OR(LINEAS!$U$192=1,LINEAS!$U$192=3),1,-1)*LINEAS!$AD$192*DATOS!$C$67)&lt;0.00005),"*",LINEAS!$D$192&amp;" UNI "&amp;IF(LINEAS!$U$192&lt;=2,"GZ","GX")&amp;" "&amp;TEXT(IF(OR(LINEAS!$U$192=1,LINEAS!$U$192=3),1,-1)*LINEAS!$AD$192*DATOS!$C$67,DATOS!$C$68)))</f>
        <v/>
      </c>
      <c r="E642" s="42" t="str">
        <f t="shared" si="19"/>
        <v/>
      </c>
    </row>
    <row r="643" spans="2:5" ht="15" customHeight="1" x14ac:dyDescent="0.3">
      <c r="B643" s="44" t="str">
        <f>IF(OR(LINEAS!$D$193="",LINEAS!$U$193=0,ABS(IF(OR(LINEAS!$U$193=1,LINEAS!$U$193=3),1,-1)*LINEAS!$AD$193*DATOS!$C$67)&lt;0.00005),"*",LINEAS!$D$193&amp;" UNI "&amp;IF(LINEAS!$U$193&lt;=2,"GZ","GX")&amp;" "&amp;TEXT(IF(OR(LINEAS!$U$193=1,LINEAS!$U$193=3),1,-1)*LINEAS!$AD$193*DATOS!$C$67,DATOS!$C$68))</f>
        <v>*</v>
      </c>
      <c r="C643" s="42" t="str">
        <f t="shared" si="18"/>
        <v/>
      </c>
      <c r="D643" s="44" t="str">
        <f>IF(PRESIONES!$C$22="NO","",IF(OR(LINEAS!$D$193="",LINEAS!$U$193=0,ABS(IF(OR(LINEAS!$U$193=1,LINEAS!$U$193=3),1,-1)*LINEAS!$AD$193*DATOS!$C$67)&lt;0.00005),"*",LINEAS!$D$193&amp;" UNI "&amp;IF(LINEAS!$U$193&lt;=2,"GZ","GX")&amp;" "&amp;TEXT(IF(OR(LINEAS!$U$193=1,LINEAS!$U$193=3),1,-1)*LINEAS!$AD$193*DATOS!$C$67,DATOS!$C$68)))</f>
        <v/>
      </c>
      <c r="E643" s="42" t="str">
        <f t="shared" si="19"/>
        <v/>
      </c>
    </row>
    <row r="644" spans="2:5" ht="15" customHeight="1" x14ac:dyDescent="0.3">
      <c r="B644" s="44" t="str">
        <f>IF(OR(LINEAS!$D$194="",LINEAS!$U$194=0,ABS(IF(OR(LINEAS!$U$194=1,LINEAS!$U$194=3),1,-1)*LINEAS!$AD$194*DATOS!$C$67)&lt;0.00005),"*",LINEAS!$D$194&amp;" UNI "&amp;IF(LINEAS!$U$194&lt;=2,"GZ","GX")&amp;" "&amp;TEXT(IF(OR(LINEAS!$U$194=1,LINEAS!$U$194=3),1,-1)*LINEAS!$AD$194*DATOS!$C$67,DATOS!$C$68))</f>
        <v>*</v>
      </c>
      <c r="C644" s="42" t="str">
        <f t="shared" si="18"/>
        <v/>
      </c>
      <c r="D644" s="44" t="str">
        <f>IF(PRESIONES!$C$22="NO","",IF(OR(LINEAS!$D$194="",LINEAS!$U$194=0,ABS(IF(OR(LINEAS!$U$194=1,LINEAS!$U$194=3),1,-1)*LINEAS!$AD$194*DATOS!$C$67)&lt;0.00005),"*",LINEAS!$D$194&amp;" UNI "&amp;IF(LINEAS!$U$194&lt;=2,"GZ","GX")&amp;" "&amp;TEXT(IF(OR(LINEAS!$U$194=1,LINEAS!$U$194=3),1,-1)*LINEAS!$AD$194*DATOS!$C$67,DATOS!$C$68)))</f>
        <v/>
      </c>
      <c r="E644" s="42" t="str">
        <f t="shared" si="19"/>
        <v/>
      </c>
    </row>
    <row r="645" spans="2:5" ht="15" customHeight="1" x14ac:dyDescent="0.3">
      <c r="B645" s="43" t="str">
        <f>"LOAD "&amp;(DATOS!$C$66+3)&amp;" LOADTYPE Wind  TITLE "&amp;DATOS!$E$75</f>
        <v>LOAD 11 LOADTYPE Wind  TITLE VIENTO -Z</v>
      </c>
      <c r="C645" s="42" t="str">
        <f t="shared" si="18"/>
        <v/>
      </c>
      <c r="D645" s="44" t="str">
        <f>IF(PRESIONES!$C$22="NO",IF(4=1,"* CASOS B = CASOS A (SIN ±0.4 NI +0.3 EN EL TECHO): NO HACE FALTA",""),"LOAD "&amp;(DATOS!$C$69+3)&amp;" LOADTYPE Wind  TITLE "&amp;DATOS!$E$75&amp;" B")</f>
        <v/>
      </c>
      <c r="E645" s="42" t="str">
        <f t="shared" si="19"/>
        <v/>
      </c>
    </row>
    <row r="646" spans="2:5" ht="15" customHeight="1" x14ac:dyDescent="0.3">
      <c r="B646" s="44" t="s">
        <v>632</v>
      </c>
      <c r="C646" s="42" t="str">
        <f t="shared" si="18"/>
        <v/>
      </c>
      <c r="D646" s="44" t="str">
        <f>IF(PRESIONES!$C$22="NO","","MEMBER LOAD")</f>
        <v/>
      </c>
      <c r="E646" s="42" t="str">
        <f t="shared" si="19"/>
        <v/>
      </c>
    </row>
    <row r="647" spans="2:5" ht="15" customHeight="1" x14ac:dyDescent="0.3">
      <c r="B647" s="44" t="str">
        <f>IF(OR(LINEAS!$D$9="",ABS(-LINEAS!$AE$9*DATOS!$C$67)&lt;0.00005),"*",LINEAS!$D$9&amp;" UNI GY "&amp;TEXT(-LINEAS!$AE$9*DATOS!$C$67,DATOS!$C$68))</f>
        <v>22 85 TO 88 UNI GY 0.4779</v>
      </c>
      <c r="C647" s="42" t="str">
        <f t="shared" si="18"/>
        <v/>
      </c>
      <c r="D647" s="44" t="str">
        <f>IF(PRESIONES!$C$22="NO","",IF(OR(LINEAS!$D$9="",ABS(-LINEAS!$AU$9*DATOS!$C$67)&lt;0.00005),"*",LINEAS!$D$9&amp;" UNI GY "&amp;TEXT(-LINEAS!$AU$9*DATOS!$C$67,DATOS!$C$68)))</f>
        <v/>
      </c>
      <c r="E647" s="42" t="str">
        <f t="shared" si="19"/>
        <v/>
      </c>
    </row>
    <row r="648" spans="2:5" ht="15" customHeight="1" x14ac:dyDescent="0.3">
      <c r="B648" s="44" t="str">
        <f>IF(OR(LINEAS!$D$9="",DATOS!$C$22="—",ABS(LINEAS!$AM$9*DATOS!$C$67)&lt;0.00005),"*",LINEAS!$D$9&amp;" UNI G"&amp;DATOS!$C$22&amp;" "&amp;TEXT(LINEAS!$AM$9*DATOS!$C$67,DATOS!$C$68))</f>
        <v>22 85 TO 88 UNI GZ 0.0239</v>
      </c>
      <c r="C648" s="42" t="str">
        <f t="shared" si="18"/>
        <v/>
      </c>
      <c r="D648" s="44" t="str">
        <f>IF(PRESIONES!$C$22="NO","",IF(OR(LINEAS!$D$9="",DATOS!$C$22="—",ABS(LINEAS!$BC$9*DATOS!$C$67)&lt;0.00005),"*",LINEAS!$D$9&amp;" UNI G"&amp;DATOS!$C$22&amp;" "&amp;TEXT(LINEAS!$BC$9*DATOS!$C$67,DATOS!$C$68)))</f>
        <v/>
      </c>
      <c r="E648" s="42" t="str">
        <f t="shared" si="19"/>
        <v/>
      </c>
    </row>
    <row r="649" spans="2:5" ht="15" customHeight="1" x14ac:dyDescent="0.3">
      <c r="B649" s="44" t="str">
        <f>IF(OR(LINEAS!$D$10="",ABS(-LINEAS!$AE$10*DATOS!$C$67)&lt;0.00005),"*",LINEAS!$D$10&amp;" UNI GY "&amp;TEXT(-LINEAS!$AE$10*DATOS!$C$67,DATOS!$C$68))</f>
        <v>80 129 TO 132 UNI GY 0.9559</v>
      </c>
      <c r="C649" s="42" t="str">
        <f t="shared" ref="C649:C712" si="20">IF(LEN($B649)&gt;79,"MÁS DE 79 CARACTERES","")</f>
        <v/>
      </c>
      <c r="D649" s="44" t="str">
        <f>IF(PRESIONES!$C$22="NO","",IF(OR(LINEAS!$D$10="",ABS(-LINEAS!$AU$10*DATOS!$C$67)&lt;0.00005),"*",LINEAS!$D$10&amp;" UNI GY "&amp;TEXT(-LINEAS!$AU$10*DATOS!$C$67,DATOS!$C$68)))</f>
        <v/>
      </c>
      <c r="E649" s="42" t="str">
        <f t="shared" ref="E649:E712" si="21">IF(LEN($D649)&gt;79,"MÁS DE 79 CARACTERES","")</f>
        <v/>
      </c>
    </row>
    <row r="650" spans="2:5" ht="15" customHeight="1" x14ac:dyDescent="0.3">
      <c r="B650" s="44" t="str">
        <f>IF(OR(LINEAS!$D$10="",DATOS!$C$22="—",ABS(LINEAS!$AM$10*DATOS!$C$67)&lt;0.00005),"*",LINEAS!$D$10&amp;" UNI G"&amp;DATOS!$C$22&amp;" "&amp;TEXT(LINEAS!$AM$10*DATOS!$C$67,DATOS!$C$68))</f>
        <v>80 129 TO 132 UNI GZ 0.0478</v>
      </c>
      <c r="C650" s="42" t="str">
        <f t="shared" si="20"/>
        <v/>
      </c>
      <c r="D650" s="44" t="str">
        <f>IF(PRESIONES!$C$22="NO","",IF(OR(LINEAS!$D$10="",DATOS!$C$22="—",ABS(LINEAS!$BC$10*DATOS!$C$67)&lt;0.00005),"*",LINEAS!$D$10&amp;" UNI G"&amp;DATOS!$C$22&amp;" "&amp;TEXT(LINEAS!$BC$10*DATOS!$C$67,DATOS!$C$68)))</f>
        <v/>
      </c>
      <c r="E650" s="42" t="str">
        <f t="shared" si="21"/>
        <v/>
      </c>
    </row>
    <row r="651" spans="2:5" ht="15" customHeight="1" x14ac:dyDescent="0.3">
      <c r="B651" s="44" t="str">
        <f>IF(OR(LINEAS!$D$11="",ABS(-LINEAS!$AE$11*DATOS!$C$67)&lt;0.00005),"*",LINEAS!$D$11&amp;" UNI GY "&amp;TEXT(-LINEAS!$AE$11*DATOS!$C$67,DATOS!$C$68))</f>
        <v>79 125 TO 128 UNI GY 0.9559</v>
      </c>
      <c r="C651" s="42" t="str">
        <f t="shared" si="20"/>
        <v/>
      </c>
      <c r="D651" s="44" t="str">
        <f>IF(PRESIONES!$C$22="NO","",IF(OR(LINEAS!$D$11="",ABS(-LINEAS!$AU$11*DATOS!$C$67)&lt;0.00005),"*",LINEAS!$D$11&amp;" UNI GY "&amp;TEXT(-LINEAS!$AU$11*DATOS!$C$67,DATOS!$C$68)))</f>
        <v/>
      </c>
      <c r="E651" s="42" t="str">
        <f t="shared" si="21"/>
        <v/>
      </c>
    </row>
    <row r="652" spans="2:5" ht="15" customHeight="1" x14ac:dyDescent="0.3">
      <c r="B652" s="44" t="str">
        <f>IF(OR(LINEAS!$D$11="",DATOS!$C$22="—",ABS(LINEAS!$AM$11*DATOS!$C$67)&lt;0.00005),"*",LINEAS!$D$11&amp;" UNI G"&amp;DATOS!$C$22&amp;" "&amp;TEXT(LINEAS!$AM$11*DATOS!$C$67,DATOS!$C$68))</f>
        <v>79 125 TO 128 UNI GZ 0.0478</v>
      </c>
      <c r="C652" s="42" t="str">
        <f t="shared" si="20"/>
        <v/>
      </c>
      <c r="D652" s="44" t="str">
        <f>IF(PRESIONES!$C$22="NO","",IF(OR(LINEAS!$D$11="",DATOS!$C$22="—",ABS(LINEAS!$BC$11*DATOS!$C$67)&lt;0.00005),"*",LINEAS!$D$11&amp;" UNI G"&amp;DATOS!$C$22&amp;" "&amp;TEXT(LINEAS!$BC$11*DATOS!$C$67,DATOS!$C$68)))</f>
        <v/>
      </c>
      <c r="E652" s="42" t="str">
        <f t="shared" si="21"/>
        <v/>
      </c>
    </row>
    <row r="653" spans="2:5" ht="15" customHeight="1" x14ac:dyDescent="0.3">
      <c r="B653" s="44" t="str">
        <f>IF(OR(LINEAS!$D$12="",ABS(-LINEAS!$AE$12*DATOS!$C$67)&lt;0.00005),"*",LINEAS!$D$12&amp;" UNI GY "&amp;TEXT(-LINEAS!$AE$12*DATOS!$C$67,DATOS!$C$68))</f>
        <v>78 121 TO 124 UNI GY 0.9559</v>
      </c>
      <c r="C653" s="42" t="str">
        <f t="shared" si="20"/>
        <v/>
      </c>
      <c r="D653" s="44" t="str">
        <f>IF(PRESIONES!$C$22="NO","",IF(OR(LINEAS!$D$12="",ABS(-LINEAS!$AU$12*DATOS!$C$67)&lt;0.00005),"*",LINEAS!$D$12&amp;" UNI GY "&amp;TEXT(-LINEAS!$AU$12*DATOS!$C$67,DATOS!$C$68)))</f>
        <v/>
      </c>
      <c r="E653" s="42" t="str">
        <f t="shared" si="21"/>
        <v/>
      </c>
    </row>
    <row r="654" spans="2:5" ht="15" customHeight="1" x14ac:dyDescent="0.3">
      <c r="B654" s="44" t="str">
        <f>IF(OR(LINEAS!$D$12="",DATOS!$C$22="—",ABS(LINEAS!$AM$12*DATOS!$C$67)&lt;0.00005),"*",LINEAS!$D$12&amp;" UNI G"&amp;DATOS!$C$22&amp;" "&amp;TEXT(LINEAS!$AM$12*DATOS!$C$67,DATOS!$C$68))</f>
        <v>78 121 TO 124 UNI GZ 0.0478</v>
      </c>
      <c r="C654" s="42" t="str">
        <f t="shared" si="20"/>
        <v/>
      </c>
      <c r="D654" s="44" t="str">
        <f>IF(PRESIONES!$C$22="NO","",IF(OR(LINEAS!$D$12="",DATOS!$C$22="—",ABS(LINEAS!$BC$12*DATOS!$C$67)&lt;0.00005),"*",LINEAS!$D$12&amp;" UNI G"&amp;DATOS!$C$22&amp;" "&amp;TEXT(LINEAS!$BC$12*DATOS!$C$67,DATOS!$C$68)))</f>
        <v/>
      </c>
      <c r="E654" s="42" t="str">
        <f t="shared" si="21"/>
        <v/>
      </c>
    </row>
    <row r="655" spans="2:5" ht="15" customHeight="1" x14ac:dyDescent="0.3">
      <c r="B655" s="44" t="str">
        <f>IF(OR(LINEAS!$D$13="",ABS(-LINEAS!$AE$13*DATOS!$C$67)&lt;0.00005),"*",LINEAS!$D$13&amp;" UNI GY "&amp;TEXT(-LINEAS!$AE$13*DATOS!$C$67,DATOS!$C$68))</f>
        <v>77 117 TO 120 UNI GY 0.9559</v>
      </c>
      <c r="C655" s="42" t="str">
        <f t="shared" si="20"/>
        <v/>
      </c>
      <c r="D655" s="44" t="str">
        <f>IF(PRESIONES!$C$22="NO","",IF(OR(LINEAS!$D$13="",ABS(-LINEAS!$AU$13*DATOS!$C$67)&lt;0.00005),"*",LINEAS!$D$13&amp;" UNI GY "&amp;TEXT(-LINEAS!$AU$13*DATOS!$C$67,DATOS!$C$68)))</f>
        <v/>
      </c>
      <c r="E655" s="42" t="str">
        <f t="shared" si="21"/>
        <v/>
      </c>
    </row>
    <row r="656" spans="2:5" ht="15" customHeight="1" x14ac:dyDescent="0.3">
      <c r="B656" s="44" t="str">
        <f>IF(OR(LINEAS!$D$13="",DATOS!$C$22="—",ABS(LINEAS!$AM$13*DATOS!$C$67)&lt;0.00005),"*",LINEAS!$D$13&amp;" UNI G"&amp;DATOS!$C$22&amp;" "&amp;TEXT(LINEAS!$AM$13*DATOS!$C$67,DATOS!$C$68))</f>
        <v>77 117 TO 120 UNI GZ 0.0478</v>
      </c>
      <c r="C656" s="42" t="str">
        <f t="shared" si="20"/>
        <v/>
      </c>
      <c r="D656" s="44" t="str">
        <f>IF(PRESIONES!$C$22="NO","",IF(OR(LINEAS!$D$13="",DATOS!$C$22="—",ABS(LINEAS!$BC$13*DATOS!$C$67)&lt;0.00005),"*",LINEAS!$D$13&amp;" UNI G"&amp;DATOS!$C$22&amp;" "&amp;TEXT(LINEAS!$BC$13*DATOS!$C$67,DATOS!$C$68)))</f>
        <v/>
      </c>
      <c r="E656" s="42" t="str">
        <f t="shared" si="21"/>
        <v/>
      </c>
    </row>
    <row r="657" spans="2:5" ht="15" customHeight="1" x14ac:dyDescent="0.3">
      <c r="B657" s="44" t="str">
        <f>IF(OR(LINEAS!$D$14="",ABS(-LINEAS!$AE$14*DATOS!$C$67)&lt;0.00005),"*",LINEAS!$D$14&amp;" UNI GY "&amp;TEXT(-LINEAS!$AE$14*DATOS!$C$67,DATOS!$C$68))</f>
        <v>9 93 TO 96 UNI GY 0.9559</v>
      </c>
      <c r="C657" s="42" t="str">
        <f t="shared" si="20"/>
        <v/>
      </c>
      <c r="D657" s="44" t="str">
        <f>IF(PRESIONES!$C$22="NO","",IF(OR(LINEAS!$D$14="",ABS(-LINEAS!$AU$14*DATOS!$C$67)&lt;0.00005),"*",LINEAS!$D$14&amp;" UNI GY "&amp;TEXT(-LINEAS!$AU$14*DATOS!$C$67,DATOS!$C$68)))</f>
        <v/>
      </c>
      <c r="E657" s="42" t="str">
        <f t="shared" si="21"/>
        <v/>
      </c>
    </row>
    <row r="658" spans="2:5" ht="15" customHeight="1" x14ac:dyDescent="0.3">
      <c r="B658" s="44" t="str">
        <f>IF(OR(LINEAS!$D$14="",DATOS!$C$22="—",ABS(LINEAS!$AM$14*DATOS!$C$67)&lt;0.00005),"*",LINEAS!$D$14&amp;" UNI G"&amp;DATOS!$C$22&amp;" "&amp;TEXT(LINEAS!$AM$14*DATOS!$C$67,DATOS!$C$68))</f>
        <v>9 93 TO 96 UNI GZ 0.0478</v>
      </c>
      <c r="C658" s="42" t="str">
        <f t="shared" si="20"/>
        <v/>
      </c>
      <c r="D658" s="44" t="str">
        <f>IF(PRESIONES!$C$22="NO","",IF(OR(LINEAS!$D$14="",DATOS!$C$22="—",ABS(LINEAS!$BC$14*DATOS!$C$67)&lt;0.00005),"*",LINEAS!$D$14&amp;" UNI G"&amp;DATOS!$C$22&amp;" "&amp;TEXT(LINEAS!$BC$14*DATOS!$C$67,DATOS!$C$68)))</f>
        <v/>
      </c>
      <c r="E658" s="42" t="str">
        <f t="shared" si="21"/>
        <v/>
      </c>
    </row>
    <row r="659" spans="2:5" ht="15" customHeight="1" x14ac:dyDescent="0.3">
      <c r="B659" s="44" t="str">
        <f>IF(OR(LINEAS!$D$15="",ABS(-LINEAS!$AE$15*DATOS!$C$67)&lt;0.00005),"*",LINEAS!$D$15&amp;" UNI GY "&amp;TEXT(-LINEAS!$AE$15*DATOS!$C$67,DATOS!$C$68))</f>
        <v>76 113 TO 116 UNI GY 0.9559</v>
      </c>
      <c r="C659" s="42" t="str">
        <f t="shared" si="20"/>
        <v/>
      </c>
      <c r="D659" s="44" t="str">
        <f>IF(PRESIONES!$C$22="NO","",IF(OR(LINEAS!$D$15="",ABS(-LINEAS!$AU$15*DATOS!$C$67)&lt;0.00005),"*",LINEAS!$D$15&amp;" UNI GY "&amp;TEXT(-LINEAS!$AU$15*DATOS!$C$67,DATOS!$C$68)))</f>
        <v/>
      </c>
      <c r="E659" s="42" t="str">
        <f t="shared" si="21"/>
        <v/>
      </c>
    </row>
    <row r="660" spans="2:5" ht="15" customHeight="1" x14ac:dyDescent="0.3">
      <c r="B660" s="44" t="str">
        <f>IF(OR(LINEAS!$D$15="",DATOS!$C$22="—",ABS(LINEAS!$AM$15*DATOS!$C$67)&lt;0.00005),"*",LINEAS!$D$15&amp;" UNI G"&amp;DATOS!$C$22&amp;" "&amp;TEXT(LINEAS!$AM$15*DATOS!$C$67,DATOS!$C$68))</f>
        <v>76 113 TO 116 UNI GZ 0.0478</v>
      </c>
      <c r="C660" s="42" t="str">
        <f t="shared" si="20"/>
        <v/>
      </c>
      <c r="D660" s="44" t="str">
        <f>IF(PRESIONES!$C$22="NO","",IF(OR(LINEAS!$D$15="",DATOS!$C$22="—",ABS(LINEAS!$BC$15*DATOS!$C$67)&lt;0.00005),"*",LINEAS!$D$15&amp;" UNI G"&amp;DATOS!$C$22&amp;" "&amp;TEXT(LINEAS!$BC$15*DATOS!$C$67,DATOS!$C$68)))</f>
        <v/>
      </c>
      <c r="E660" s="42" t="str">
        <f t="shared" si="21"/>
        <v/>
      </c>
    </row>
    <row r="661" spans="2:5" ht="15" customHeight="1" x14ac:dyDescent="0.3">
      <c r="B661" s="44" t="str">
        <f>IF(OR(LINEAS!$D$16="",ABS(-LINEAS!$AE$16*DATOS!$C$67)&lt;0.00005),"*",LINEAS!$D$16&amp;" UNI GY "&amp;TEXT(-LINEAS!$AE$16*DATOS!$C$67,DATOS!$C$68))</f>
        <v>75 109 TO 112 UNI GY 0.9559</v>
      </c>
      <c r="C661" s="42" t="str">
        <f t="shared" si="20"/>
        <v/>
      </c>
      <c r="D661" s="44" t="str">
        <f>IF(PRESIONES!$C$22="NO","",IF(OR(LINEAS!$D$16="",ABS(-LINEAS!$AU$16*DATOS!$C$67)&lt;0.00005),"*",LINEAS!$D$16&amp;" UNI GY "&amp;TEXT(-LINEAS!$AU$16*DATOS!$C$67,DATOS!$C$68)))</f>
        <v/>
      </c>
      <c r="E661" s="42" t="str">
        <f t="shared" si="21"/>
        <v/>
      </c>
    </row>
    <row r="662" spans="2:5" ht="15" customHeight="1" x14ac:dyDescent="0.3">
      <c r="B662" s="44" t="str">
        <f>IF(OR(LINEAS!$D$16="",DATOS!$C$22="—",ABS(LINEAS!$AM$16*DATOS!$C$67)&lt;0.00005),"*",LINEAS!$D$16&amp;" UNI G"&amp;DATOS!$C$22&amp;" "&amp;TEXT(LINEAS!$AM$16*DATOS!$C$67,DATOS!$C$68))</f>
        <v>75 109 TO 112 UNI GZ 0.0478</v>
      </c>
      <c r="C662" s="42" t="str">
        <f t="shared" si="20"/>
        <v/>
      </c>
      <c r="D662" s="44" t="str">
        <f>IF(PRESIONES!$C$22="NO","",IF(OR(LINEAS!$D$16="",DATOS!$C$22="—",ABS(LINEAS!$BC$16*DATOS!$C$67)&lt;0.00005),"*",LINEAS!$D$16&amp;" UNI G"&amp;DATOS!$C$22&amp;" "&amp;TEXT(LINEAS!$BC$16*DATOS!$C$67,DATOS!$C$68)))</f>
        <v/>
      </c>
      <c r="E662" s="42" t="str">
        <f t="shared" si="21"/>
        <v/>
      </c>
    </row>
    <row r="663" spans="2:5" ht="15" customHeight="1" x14ac:dyDescent="0.3">
      <c r="B663" s="44" t="str">
        <f>IF(OR(LINEAS!$D$17="",ABS(-LINEAS!$AE$17*DATOS!$C$67)&lt;0.00005),"*",LINEAS!$D$17&amp;" UNI GY "&amp;TEXT(-LINEAS!$AE$17*DATOS!$C$67,DATOS!$C$68))</f>
        <v>74 105 TO 108 UNI GY 0.9559</v>
      </c>
      <c r="C663" s="42" t="str">
        <f t="shared" si="20"/>
        <v/>
      </c>
      <c r="D663" s="44" t="str">
        <f>IF(PRESIONES!$C$22="NO","",IF(OR(LINEAS!$D$17="",ABS(-LINEAS!$AU$17*DATOS!$C$67)&lt;0.00005),"*",LINEAS!$D$17&amp;" UNI GY "&amp;TEXT(-LINEAS!$AU$17*DATOS!$C$67,DATOS!$C$68)))</f>
        <v/>
      </c>
      <c r="E663" s="42" t="str">
        <f t="shared" si="21"/>
        <v/>
      </c>
    </row>
    <row r="664" spans="2:5" ht="15" customHeight="1" x14ac:dyDescent="0.3">
      <c r="B664" s="44" t="str">
        <f>IF(OR(LINEAS!$D$17="",DATOS!$C$22="—",ABS(LINEAS!$AM$17*DATOS!$C$67)&lt;0.00005),"*",LINEAS!$D$17&amp;" UNI G"&amp;DATOS!$C$22&amp;" "&amp;TEXT(LINEAS!$AM$17*DATOS!$C$67,DATOS!$C$68))</f>
        <v>74 105 TO 108 UNI GZ 0.0478</v>
      </c>
      <c r="C664" s="42" t="str">
        <f t="shared" si="20"/>
        <v/>
      </c>
      <c r="D664" s="44" t="str">
        <f>IF(PRESIONES!$C$22="NO","",IF(OR(LINEAS!$D$17="",DATOS!$C$22="—",ABS(LINEAS!$BC$17*DATOS!$C$67)&lt;0.00005),"*",LINEAS!$D$17&amp;" UNI G"&amp;DATOS!$C$22&amp;" "&amp;TEXT(LINEAS!$BC$17*DATOS!$C$67,DATOS!$C$68)))</f>
        <v/>
      </c>
      <c r="E664" s="42" t="str">
        <f t="shared" si="21"/>
        <v/>
      </c>
    </row>
    <row r="665" spans="2:5" ht="15" customHeight="1" x14ac:dyDescent="0.3">
      <c r="B665" s="44" t="str">
        <f>IF(OR(LINEAS!$D$18="",ABS(-LINEAS!$AE$18*DATOS!$C$67)&lt;0.00005),"*",LINEAS!$D$18&amp;" UNI GY "&amp;TEXT(-LINEAS!$AE$18*DATOS!$C$67,DATOS!$C$68))</f>
        <v>73 101 TO 104 UNI GY 0.9559</v>
      </c>
      <c r="C665" s="42" t="str">
        <f t="shared" si="20"/>
        <v/>
      </c>
      <c r="D665" s="44" t="str">
        <f>IF(PRESIONES!$C$22="NO","",IF(OR(LINEAS!$D$18="",ABS(-LINEAS!$AU$18*DATOS!$C$67)&lt;0.00005),"*",LINEAS!$D$18&amp;" UNI GY "&amp;TEXT(-LINEAS!$AU$18*DATOS!$C$67,DATOS!$C$68)))</f>
        <v/>
      </c>
      <c r="E665" s="42" t="str">
        <f t="shared" si="21"/>
        <v/>
      </c>
    </row>
    <row r="666" spans="2:5" ht="15" customHeight="1" x14ac:dyDescent="0.3">
      <c r="B666" s="44" t="str">
        <f>IF(OR(LINEAS!$D$18="",DATOS!$C$22="—",ABS(LINEAS!$AM$18*DATOS!$C$67)&lt;0.00005),"*",LINEAS!$D$18&amp;" UNI G"&amp;DATOS!$C$22&amp;" "&amp;TEXT(LINEAS!$AM$18*DATOS!$C$67,DATOS!$C$68))</f>
        <v>73 101 TO 104 UNI GZ 0.0478</v>
      </c>
      <c r="C666" s="42" t="str">
        <f t="shared" si="20"/>
        <v/>
      </c>
      <c r="D666" s="44" t="str">
        <f>IF(PRESIONES!$C$22="NO","",IF(OR(LINEAS!$D$18="",DATOS!$C$22="—",ABS(LINEAS!$BC$18*DATOS!$C$67)&lt;0.00005),"*",LINEAS!$D$18&amp;" UNI G"&amp;DATOS!$C$22&amp;" "&amp;TEXT(LINEAS!$BC$18*DATOS!$C$67,DATOS!$C$68)))</f>
        <v/>
      </c>
      <c r="E666" s="42" t="str">
        <f t="shared" si="21"/>
        <v/>
      </c>
    </row>
    <row r="667" spans="2:5" ht="15" customHeight="1" x14ac:dyDescent="0.3">
      <c r="B667" s="44" t="str">
        <f>IF(OR(LINEAS!$D$19="",ABS(-LINEAS!$AE$19*DATOS!$C$67)&lt;0.00005),"*",LINEAS!$D$19&amp;" UNI GY "&amp;TEXT(-LINEAS!$AE$19*DATOS!$C$67,DATOS!$C$68))</f>
        <v>8 89 TO 92 UNI GY 0.9205</v>
      </c>
      <c r="C667" s="42" t="str">
        <f t="shared" si="20"/>
        <v/>
      </c>
      <c r="D667" s="44" t="str">
        <f>IF(PRESIONES!$C$22="NO","",IF(OR(LINEAS!$D$19="",ABS(-LINEAS!$AU$19*DATOS!$C$67)&lt;0.00005),"*",LINEAS!$D$19&amp;" UNI GY "&amp;TEXT(-LINEAS!$AU$19*DATOS!$C$67,DATOS!$C$68)))</f>
        <v/>
      </c>
      <c r="E667" s="42" t="str">
        <f t="shared" si="21"/>
        <v/>
      </c>
    </row>
    <row r="668" spans="2:5" ht="15" customHeight="1" x14ac:dyDescent="0.3">
      <c r="B668" s="44" t="str">
        <f>IF(OR(LINEAS!$D$19="",DATOS!$C$22="—",ABS(LINEAS!$AM$19*DATOS!$C$67)&lt;0.00005),"*",LINEAS!$D$19&amp;" UNI G"&amp;DATOS!$C$22&amp;" "&amp;TEXT(LINEAS!$AM$19*DATOS!$C$67,DATOS!$C$68))</f>
        <v>8 89 TO 92 UNI GZ 0.0460</v>
      </c>
      <c r="C668" s="42" t="str">
        <f t="shared" si="20"/>
        <v/>
      </c>
      <c r="D668" s="44" t="str">
        <f>IF(PRESIONES!$C$22="NO","",IF(OR(LINEAS!$D$19="",DATOS!$C$22="—",ABS(LINEAS!$BC$19*DATOS!$C$67)&lt;0.00005),"*",LINEAS!$D$19&amp;" UNI G"&amp;DATOS!$C$22&amp;" "&amp;TEXT(LINEAS!$BC$19*DATOS!$C$67,DATOS!$C$68)))</f>
        <v/>
      </c>
      <c r="E668" s="42" t="str">
        <f t="shared" si="21"/>
        <v/>
      </c>
    </row>
    <row r="669" spans="2:5" ht="15" customHeight="1" x14ac:dyDescent="0.3">
      <c r="B669" s="44" t="str">
        <f>IF(OR(LINEAS!$D$20="",ABS(-LINEAS!$AE$20*DATOS!$C$67)&lt;0.00005),"*",LINEAS!$D$20&amp;" UNI GY "&amp;TEXT(-LINEAS!$AE$20*DATOS!$C$67,DATOS!$C$68))</f>
        <v>56 97 TO 100 UNI GY 0.8851</v>
      </c>
      <c r="C669" s="42" t="str">
        <f t="shared" si="20"/>
        <v/>
      </c>
      <c r="D669" s="44" t="str">
        <f>IF(PRESIONES!$C$22="NO","",IF(OR(LINEAS!$D$20="",ABS(-LINEAS!$AU$20*DATOS!$C$67)&lt;0.00005),"*",LINEAS!$D$20&amp;" UNI GY "&amp;TEXT(-LINEAS!$AU$20*DATOS!$C$67,DATOS!$C$68)))</f>
        <v/>
      </c>
      <c r="E669" s="42" t="str">
        <f t="shared" si="21"/>
        <v/>
      </c>
    </row>
    <row r="670" spans="2:5" ht="15" customHeight="1" x14ac:dyDescent="0.3">
      <c r="B670" s="44" t="str">
        <f>IF(OR(LINEAS!$D$20="",DATOS!$C$22="—",ABS(LINEAS!$AM$20*DATOS!$C$67)&lt;0.00005),"*",LINEAS!$D$20&amp;" UNI G"&amp;DATOS!$C$22&amp;" "&amp;TEXT(LINEAS!$AM$20*DATOS!$C$67,DATOS!$C$68))</f>
        <v>56 97 TO 100 UNI GZ 0.0443</v>
      </c>
      <c r="C670" s="42" t="str">
        <f t="shared" si="20"/>
        <v/>
      </c>
      <c r="D670" s="44" t="str">
        <f>IF(PRESIONES!$C$22="NO","",IF(OR(LINEAS!$D$20="",DATOS!$C$22="—",ABS(LINEAS!$BC$20*DATOS!$C$67)&lt;0.00005),"*",LINEAS!$D$20&amp;" UNI G"&amp;DATOS!$C$22&amp;" "&amp;TEXT(LINEAS!$BC$20*DATOS!$C$67,DATOS!$C$68)))</f>
        <v/>
      </c>
      <c r="E670" s="42" t="str">
        <f t="shared" si="21"/>
        <v/>
      </c>
    </row>
    <row r="671" spans="2:5" ht="15" customHeight="1" x14ac:dyDescent="0.3">
      <c r="B671" s="44" t="str">
        <f>IF(OR(LINEAS!$D$21="",ABS(-LINEAS!$AE$21*DATOS!$C$67)&lt;0.00005),"*",LINEAS!$D$21&amp;" UNI GY "&amp;TEXT(-LINEAS!$AE$21*DATOS!$C$67,DATOS!$C$68))</f>
        <v>7 81 TO 84 UNI GY 0.4425</v>
      </c>
      <c r="C671" s="42" t="str">
        <f t="shared" si="20"/>
        <v/>
      </c>
      <c r="D671" s="44" t="str">
        <f>IF(PRESIONES!$C$22="NO","",IF(OR(LINEAS!$D$21="",ABS(-LINEAS!$AU$21*DATOS!$C$67)&lt;0.00005),"*",LINEAS!$D$21&amp;" UNI GY "&amp;TEXT(-LINEAS!$AU$21*DATOS!$C$67,DATOS!$C$68)))</f>
        <v/>
      </c>
      <c r="E671" s="42" t="str">
        <f t="shared" si="21"/>
        <v/>
      </c>
    </row>
    <row r="672" spans="2:5" ht="15" customHeight="1" x14ac:dyDescent="0.3">
      <c r="B672" s="44" t="str">
        <f>IF(OR(LINEAS!$D$21="",DATOS!$C$22="—",ABS(LINEAS!$AM$21*DATOS!$C$67)&lt;0.00005),"*",LINEAS!$D$21&amp;" UNI G"&amp;DATOS!$C$22&amp;" "&amp;TEXT(LINEAS!$AM$21*DATOS!$C$67,DATOS!$C$68))</f>
        <v>7 81 TO 84 UNI GZ 0.0221</v>
      </c>
      <c r="C672" s="42" t="str">
        <f t="shared" si="20"/>
        <v/>
      </c>
      <c r="D672" s="44" t="str">
        <f>IF(PRESIONES!$C$22="NO","",IF(OR(LINEAS!$D$21="",DATOS!$C$22="—",ABS(LINEAS!$BC$21*DATOS!$C$67)&lt;0.00005),"*",LINEAS!$D$21&amp;" UNI G"&amp;DATOS!$C$22&amp;" "&amp;TEXT(LINEAS!$BC$21*DATOS!$C$67,DATOS!$C$68)))</f>
        <v/>
      </c>
      <c r="E672" s="42" t="str">
        <f t="shared" si="21"/>
        <v/>
      </c>
    </row>
    <row r="673" spans="2:5" ht="15" customHeight="1" x14ac:dyDescent="0.3">
      <c r="B673" s="44" t="str">
        <f>IF(OR(LINEAS!$D$22="",ABS(-LINEAS!$AE$22*DATOS!$C$67)&lt;0.00005),"*",LINEAS!$D$22&amp;" UNI GY "&amp;TEXT(-LINEAS!$AE$22*DATOS!$C$67,DATOS!$C$68))</f>
        <v>*</v>
      </c>
      <c r="C673" s="42" t="str">
        <f t="shared" si="20"/>
        <v/>
      </c>
      <c r="D673" s="44" t="str">
        <f>IF(PRESIONES!$C$22="NO","",IF(OR(LINEAS!$D$22="",ABS(-LINEAS!$AU$22*DATOS!$C$67)&lt;0.00005),"*",LINEAS!$D$22&amp;" UNI GY "&amp;TEXT(-LINEAS!$AU$22*DATOS!$C$67,DATOS!$C$68)))</f>
        <v/>
      </c>
      <c r="E673" s="42" t="str">
        <f t="shared" si="21"/>
        <v/>
      </c>
    </row>
    <row r="674" spans="2:5" ht="15" customHeight="1" x14ac:dyDescent="0.3">
      <c r="B674" s="44" t="str">
        <f>IF(OR(LINEAS!$D$22="",DATOS!$C$22="—",ABS(LINEAS!$AM$22*DATOS!$C$67)&lt;0.00005),"*",LINEAS!$D$22&amp;" UNI G"&amp;DATOS!$C$22&amp;" "&amp;TEXT(LINEAS!$AM$22*DATOS!$C$67,DATOS!$C$68))</f>
        <v>*</v>
      </c>
      <c r="C674" s="42" t="str">
        <f t="shared" si="20"/>
        <v/>
      </c>
      <c r="D674" s="44" t="str">
        <f>IF(PRESIONES!$C$22="NO","",IF(OR(LINEAS!$D$22="",DATOS!$C$22="—",ABS(LINEAS!$BC$22*DATOS!$C$67)&lt;0.00005),"*",LINEAS!$D$22&amp;" UNI G"&amp;DATOS!$C$22&amp;" "&amp;TEXT(LINEAS!$BC$22*DATOS!$C$67,DATOS!$C$68)))</f>
        <v/>
      </c>
      <c r="E674" s="42" t="str">
        <f t="shared" si="21"/>
        <v/>
      </c>
    </row>
    <row r="675" spans="2:5" ht="15" customHeight="1" x14ac:dyDescent="0.3">
      <c r="B675" s="44" t="str">
        <f>IF(OR(LINEAS!$D$23="",ABS(-LINEAS!$AE$23*DATOS!$C$67)&lt;0.00005),"*",LINEAS!$D$23&amp;" UNI GY "&amp;TEXT(-LINEAS!$AE$23*DATOS!$C$67,DATOS!$C$68))</f>
        <v>*</v>
      </c>
      <c r="C675" s="42" t="str">
        <f t="shared" si="20"/>
        <v/>
      </c>
      <c r="D675" s="44" t="str">
        <f>IF(PRESIONES!$C$22="NO","",IF(OR(LINEAS!$D$23="",ABS(-LINEAS!$AU$23*DATOS!$C$67)&lt;0.00005),"*",LINEAS!$D$23&amp;" UNI GY "&amp;TEXT(-LINEAS!$AU$23*DATOS!$C$67,DATOS!$C$68)))</f>
        <v/>
      </c>
      <c r="E675" s="42" t="str">
        <f t="shared" si="21"/>
        <v/>
      </c>
    </row>
    <row r="676" spans="2:5" ht="15" customHeight="1" x14ac:dyDescent="0.3">
      <c r="B676" s="44" t="str">
        <f>IF(OR(LINEAS!$D$23="",DATOS!$C$22="—",ABS(LINEAS!$AM$23*DATOS!$C$67)&lt;0.00005),"*",LINEAS!$D$23&amp;" UNI G"&amp;DATOS!$C$22&amp;" "&amp;TEXT(LINEAS!$AM$23*DATOS!$C$67,DATOS!$C$68))</f>
        <v>*</v>
      </c>
      <c r="C676" s="42" t="str">
        <f t="shared" si="20"/>
        <v/>
      </c>
      <c r="D676" s="44" t="str">
        <f>IF(PRESIONES!$C$22="NO","",IF(OR(LINEAS!$D$23="",DATOS!$C$22="—",ABS(LINEAS!$BC$23*DATOS!$C$67)&lt;0.00005),"*",LINEAS!$D$23&amp;" UNI G"&amp;DATOS!$C$22&amp;" "&amp;TEXT(LINEAS!$BC$23*DATOS!$C$67,DATOS!$C$68)))</f>
        <v/>
      </c>
      <c r="E676" s="42" t="str">
        <f t="shared" si="21"/>
        <v/>
      </c>
    </row>
    <row r="677" spans="2:5" ht="15" customHeight="1" x14ac:dyDescent="0.3">
      <c r="B677" s="44" t="str">
        <f>IF(OR(LINEAS!$D$24="",ABS(-LINEAS!$AE$24*DATOS!$C$67)&lt;0.00005),"*",LINEAS!$D$24&amp;" UNI GY "&amp;TEXT(-LINEAS!$AE$24*DATOS!$C$67,DATOS!$C$68))</f>
        <v>*</v>
      </c>
      <c r="C677" s="42" t="str">
        <f t="shared" si="20"/>
        <v/>
      </c>
      <c r="D677" s="44" t="str">
        <f>IF(PRESIONES!$C$22="NO","",IF(OR(LINEAS!$D$24="",ABS(-LINEAS!$AU$24*DATOS!$C$67)&lt;0.00005),"*",LINEAS!$D$24&amp;" UNI GY "&amp;TEXT(-LINEAS!$AU$24*DATOS!$C$67,DATOS!$C$68)))</f>
        <v/>
      </c>
      <c r="E677" s="42" t="str">
        <f t="shared" si="21"/>
        <v/>
      </c>
    </row>
    <row r="678" spans="2:5" ht="15" customHeight="1" x14ac:dyDescent="0.3">
      <c r="B678" s="44" t="str">
        <f>IF(OR(LINEAS!$D$24="",DATOS!$C$22="—",ABS(LINEAS!$AM$24*DATOS!$C$67)&lt;0.00005),"*",LINEAS!$D$24&amp;" UNI G"&amp;DATOS!$C$22&amp;" "&amp;TEXT(LINEAS!$AM$24*DATOS!$C$67,DATOS!$C$68))</f>
        <v>*</v>
      </c>
      <c r="C678" s="42" t="str">
        <f t="shared" si="20"/>
        <v/>
      </c>
      <c r="D678" s="44" t="str">
        <f>IF(PRESIONES!$C$22="NO","",IF(OR(LINEAS!$D$24="",DATOS!$C$22="—",ABS(LINEAS!$BC$24*DATOS!$C$67)&lt;0.00005),"*",LINEAS!$D$24&amp;" UNI G"&amp;DATOS!$C$22&amp;" "&amp;TEXT(LINEAS!$BC$24*DATOS!$C$67,DATOS!$C$68)))</f>
        <v/>
      </c>
      <c r="E678" s="42" t="str">
        <f t="shared" si="21"/>
        <v/>
      </c>
    </row>
    <row r="679" spans="2:5" ht="15" customHeight="1" x14ac:dyDescent="0.3">
      <c r="B679" s="44" t="str">
        <f>IF(OR(LINEAS!$D$25="",ABS(-LINEAS!$AE$25*DATOS!$C$67)&lt;0.00005),"*",LINEAS!$D$25&amp;" UNI GY "&amp;TEXT(-LINEAS!$AE$25*DATOS!$C$67,DATOS!$C$68))</f>
        <v>*</v>
      </c>
      <c r="C679" s="42" t="str">
        <f t="shared" si="20"/>
        <v/>
      </c>
      <c r="D679" s="44" t="str">
        <f>IF(PRESIONES!$C$22="NO","",IF(OR(LINEAS!$D$25="",ABS(-LINEAS!$AU$25*DATOS!$C$67)&lt;0.00005),"*",LINEAS!$D$25&amp;" UNI GY "&amp;TEXT(-LINEAS!$AU$25*DATOS!$C$67,DATOS!$C$68)))</f>
        <v/>
      </c>
      <c r="E679" s="42" t="str">
        <f t="shared" si="21"/>
        <v/>
      </c>
    </row>
    <row r="680" spans="2:5" ht="15" customHeight="1" x14ac:dyDescent="0.3">
      <c r="B680" s="44" t="str">
        <f>IF(OR(LINEAS!$D$25="",DATOS!$C$22="—",ABS(LINEAS!$AM$25*DATOS!$C$67)&lt;0.00005),"*",LINEAS!$D$25&amp;" UNI G"&amp;DATOS!$C$22&amp;" "&amp;TEXT(LINEAS!$AM$25*DATOS!$C$67,DATOS!$C$68))</f>
        <v>*</v>
      </c>
      <c r="C680" s="42" t="str">
        <f t="shared" si="20"/>
        <v/>
      </c>
      <c r="D680" s="44" t="str">
        <f>IF(PRESIONES!$C$22="NO","",IF(OR(LINEAS!$D$25="",DATOS!$C$22="—",ABS(LINEAS!$BC$25*DATOS!$C$67)&lt;0.00005),"*",LINEAS!$D$25&amp;" UNI G"&amp;DATOS!$C$22&amp;" "&amp;TEXT(LINEAS!$BC$25*DATOS!$C$67,DATOS!$C$68)))</f>
        <v/>
      </c>
      <c r="E680" s="42" t="str">
        <f t="shared" si="21"/>
        <v/>
      </c>
    </row>
    <row r="681" spans="2:5" ht="15" customHeight="1" x14ac:dyDescent="0.3">
      <c r="B681" s="44" t="str">
        <f>IF(OR(LINEAS!$D$26="",ABS(-LINEAS!$AE$26*DATOS!$C$67)&lt;0.00005),"*",LINEAS!$D$26&amp;" UNI GY "&amp;TEXT(-LINEAS!$AE$26*DATOS!$C$67,DATOS!$C$68))</f>
        <v>*</v>
      </c>
      <c r="C681" s="42" t="str">
        <f t="shared" si="20"/>
        <v/>
      </c>
      <c r="D681" s="44" t="str">
        <f>IF(PRESIONES!$C$22="NO","",IF(OR(LINEAS!$D$26="",ABS(-LINEAS!$AU$26*DATOS!$C$67)&lt;0.00005),"*",LINEAS!$D$26&amp;" UNI GY "&amp;TEXT(-LINEAS!$AU$26*DATOS!$C$67,DATOS!$C$68)))</f>
        <v/>
      </c>
      <c r="E681" s="42" t="str">
        <f t="shared" si="21"/>
        <v/>
      </c>
    </row>
    <row r="682" spans="2:5" ht="15" customHeight="1" x14ac:dyDescent="0.3">
      <c r="B682" s="44" t="str">
        <f>IF(OR(LINEAS!$D$26="",DATOS!$C$22="—",ABS(LINEAS!$AM$26*DATOS!$C$67)&lt;0.00005),"*",LINEAS!$D$26&amp;" UNI G"&amp;DATOS!$C$22&amp;" "&amp;TEXT(LINEAS!$AM$26*DATOS!$C$67,DATOS!$C$68))</f>
        <v>*</v>
      </c>
      <c r="C682" s="42" t="str">
        <f t="shared" si="20"/>
        <v/>
      </c>
      <c r="D682" s="44" t="str">
        <f>IF(PRESIONES!$C$22="NO","",IF(OR(LINEAS!$D$26="",DATOS!$C$22="—",ABS(LINEAS!$BC$26*DATOS!$C$67)&lt;0.00005),"*",LINEAS!$D$26&amp;" UNI G"&amp;DATOS!$C$22&amp;" "&amp;TEXT(LINEAS!$BC$26*DATOS!$C$67,DATOS!$C$68)))</f>
        <v/>
      </c>
      <c r="E682" s="42" t="str">
        <f t="shared" si="21"/>
        <v/>
      </c>
    </row>
    <row r="683" spans="2:5" ht="15" customHeight="1" x14ac:dyDescent="0.3">
      <c r="B683" s="44" t="str">
        <f>IF(OR(LINEAS!$D$27="",ABS(-LINEAS!$AE$27*DATOS!$C$67)&lt;0.00005),"*",LINEAS!$D$27&amp;" UNI GY "&amp;TEXT(-LINEAS!$AE$27*DATOS!$C$67,DATOS!$C$68))</f>
        <v>*</v>
      </c>
      <c r="C683" s="42" t="str">
        <f t="shared" si="20"/>
        <v/>
      </c>
      <c r="D683" s="44" t="str">
        <f>IF(PRESIONES!$C$22="NO","",IF(OR(LINEAS!$D$27="",ABS(-LINEAS!$AU$27*DATOS!$C$67)&lt;0.00005),"*",LINEAS!$D$27&amp;" UNI GY "&amp;TEXT(-LINEAS!$AU$27*DATOS!$C$67,DATOS!$C$68)))</f>
        <v/>
      </c>
      <c r="E683" s="42" t="str">
        <f t="shared" si="21"/>
        <v/>
      </c>
    </row>
    <row r="684" spans="2:5" ht="15" customHeight="1" x14ac:dyDescent="0.3">
      <c r="B684" s="44" t="str">
        <f>IF(OR(LINEAS!$D$27="",DATOS!$C$22="—",ABS(LINEAS!$AM$27*DATOS!$C$67)&lt;0.00005),"*",LINEAS!$D$27&amp;" UNI G"&amp;DATOS!$C$22&amp;" "&amp;TEXT(LINEAS!$AM$27*DATOS!$C$67,DATOS!$C$68))</f>
        <v>*</v>
      </c>
      <c r="C684" s="42" t="str">
        <f t="shared" si="20"/>
        <v/>
      </c>
      <c r="D684" s="44" t="str">
        <f>IF(PRESIONES!$C$22="NO","",IF(OR(LINEAS!$D$27="",DATOS!$C$22="—",ABS(LINEAS!$BC$27*DATOS!$C$67)&lt;0.00005),"*",LINEAS!$D$27&amp;" UNI G"&amp;DATOS!$C$22&amp;" "&amp;TEXT(LINEAS!$BC$27*DATOS!$C$67,DATOS!$C$68)))</f>
        <v/>
      </c>
      <c r="E684" s="42" t="str">
        <f t="shared" si="21"/>
        <v/>
      </c>
    </row>
    <row r="685" spans="2:5" ht="15" customHeight="1" x14ac:dyDescent="0.3">
      <c r="B685" s="44" t="str">
        <f>IF(OR(LINEAS!$D$28="",ABS(-LINEAS!$AE$28*DATOS!$C$67)&lt;0.00005),"*",LINEAS!$D$28&amp;" UNI GY "&amp;TEXT(-LINEAS!$AE$28*DATOS!$C$67,DATOS!$C$68))</f>
        <v>*</v>
      </c>
      <c r="C685" s="42" t="str">
        <f t="shared" si="20"/>
        <v/>
      </c>
      <c r="D685" s="44" t="str">
        <f>IF(PRESIONES!$C$22="NO","",IF(OR(LINEAS!$D$28="",ABS(-LINEAS!$AU$28*DATOS!$C$67)&lt;0.00005),"*",LINEAS!$D$28&amp;" UNI GY "&amp;TEXT(-LINEAS!$AU$28*DATOS!$C$67,DATOS!$C$68)))</f>
        <v/>
      </c>
      <c r="E685" s="42" t="str">
        <f t="shared" si="21"/>
        <v/>
      </c>
    </row>
    <row r="686" spans="2:5" ht="15" customHeight="1" x14ac:dyDescent="0.3">
      <c r="B686" s="44" t="str">
        <f>IF(OR(LINEAS!$D$28="",DATOS!$C$22="—",ABS(LINEAS!$AM$28*DATOS!$C$67)&lt;0.00005),"*",LINEAS!$D$28&amp;" UNI G"&amp;DATOS!$C$22&amp;" "&amp;TEXT(LINEAS!$AM$28*DATOS!$C$67,DATOS!$C$68))</f>
        <v>*</v>
      </c>
      <c r="C686" s="42" t="str">
        <f t="shared" si="20"/>
        <v/>
      </c>
      <c r="D686" s="44" t="str">
        <f>IF(PRESIONES!$C$22="NO","",IF(OR(LINEAS!$D$28="",DATOS!$C$22="—",ABS(LINEAS!$BC$28*DATOS!$C$67)&lt;0.00005),"*",LINEAS!$D$28&amp;" UNI G"&amp;DATOS!$C$22&amp;" "&amp;TEXT(LINEAS!$BC$28*DATOS!$C$67,DATOS!$C$68)))</f>
        <v/>
      </c>
      <c r="E686" s="42" t="str">
        <f t="shared" si="21"/>
        <v/>
      </c>
    </row>
    <row r="687" spans="2:5" ht="15" customHeight="1" x14ac:dyDescent="0.3">
      <c r="B687" s="44" t="str">
        <f>IF(OR(LINEAS!$D$29="",ABS(-LINEAS!$AE$29*DATOS!$C$67)&lt;0.00005),"*",LINEAS!$D$29&amp;" UNI GY "&amp;TEXT(-LINEAS!$AE$29*DATOS!$C$67,DATOS!$C$68))</f>
        <v>*</v>
      </c>
      <c r="C687" s="42" t="str">
        <f t="shared" si="20"/>
        <v/>
      </c>
      <c r="D687" s="44" t="str">
        <f>IF(PRESIONES!$C$22="NO","",IF(OR(LINEAS!$D$29="",ABS(-LINEAS!$AU$29*DATOS!$C$67)&lt;0.00005),"*",LINEAS!$D$29&amp;" UNI GY "&amp;TEXT(-LINEAS!$AU$29*DATOS!$C$67,DATOS!$C$68)))</f>
        <v/>
      </c>
      <c r="E687" s="42" t="str">
        <f t="shared" si="21"/>
        <v/>
      </c>
    </row>
    <row r="688" spans="2:5" ht="15" customHeight="1" x14ac:dyDescent="0.3">
      <c r="B688" s="44" t="str">
        <f>IF(OR(LINEAS!$D$29="",DATOS!$C$22="—",ABS(LINEAS!$AM$29*DATOS!$C$67)&lt;0.00005),"*",LINEAS!$D$29&amp;" UNI G"&amp;DATOS!$C$22&amp;" "&amp;TEXT(LINEAS!$AM$29*DATOS!$C$67,DATOS!$C$68))</f>
        <v>*</v>
      </c>
      <c r="C688" s="42" t="str">
        <f t="shared" si="20"/>
        <v/>
      </c>
      <c r="D688" s="44" t="str">
        <f>IF(PRESIONES!$C$22="NO","",IF(OR(LINEAS!$D$29="",DATOS!$C$22="—",ABS(LINEAS!$BC$29*DATOS!$C$67)&lt;0.00005),"*",LINEAS!$D$29&amp;" UNI G"&amp;DATOS!$C$22&amp;" "&amp;TEXT(LINEAS!$BC$29*DATOS!$C$67,DATOS!$C$68)))</f>
        <v/>
      </c>
      <c r="E688" s="42" t="str">
        <f t="shared" si="21"/>
        <v/>
      </c>
    </row>
    <row r="689" spans="2:5" ht="15" customHeight="1" x14ac:dyDescent="0.3">
      <c r="B689" s="44" t="str">
        <f>IF(OR(LINEAS!$D$30="",ABS(-LINEAS!$AE$30*DATOS!$C$67)&lt;0.00005),"*",LINEAS!$D$30&amp;" UNI GY "&amp;TEXT(-LINEAS!$AE$30*DATOS!$C$67,DATOS!$C$68))</f>
        <v>*</v>
      </c>
      <c r="C689" s="42" t="str">
        <f t="shared" si="20"/>
        <v/>
      </c>
      <c r="D689" s="44" t="str">
        <f>IF(PRESIONES!$C$22="NO","",IF(OR(LINEAS!$D$30="",ABS(-LINEAS!$AU$30*DATOS!$C$67)&lt;0.00005),"*",LINEAS!$D$30&amp;" UNI GY "&amp;TEXT(-LINEAS!$AU$30*DATOS!$C$67,DATOS!$C$68)))</f>
        <v/>
      </c>
      <c r="E689" s="42" t="str">
        <f t="shared" si="21"/>
        <v/>
      </c>
    </row>
    <row r="690" spans="2:5" ht="15" customHeight="1" x14ac:dyDescent="0.3">
      <c r="B690" s="44" t="str">
        <f>IF(OR(LINEAS!$D$30="",DATOS!$C$22="—",ABS(LINEAS!$AM$30*DATOS!$C$67)&lt;0.00005),"*",LINEAS!$D$30&amp;" UNI G"&amp;DATOS!$C$22&amp;" "&amp;TEXT(LINEAS!$AM$30*DATOS!$C$67,DATOS!$C$68))</f>
        <v>*</v>
      </c>
      <c r="C690" s="42" t="str">
        <f t="shared" si="20"/>
        <v/>
      </c>
      <c r="D690" s="44" t="str">
        <f>IF(PRESIONES!$C$22="NO","",IF(OR(LINEAS!$D$30="",DATOS!$C$22="—",ABS(LINEAS!$BC$30*DATOS!$C$67)&lt;0.00005),"*",LINEAS!$D$30&amp;" UNI G"&amp;DATOS!$C$22&amp;" "&amp;TEXT(LINEAS!$BC$30*DATOS!$C$67,DATOS!$C$68)))</f>
        <v/>
      </c>
      <c r="E690" s="42" t="str">
        <f t="shared" si="21"/>
        <v/>
      </c>
    </row>
    <row r="691" spans="2:5" ht="15" customHeight="1" x14ac:dyDescent="0.3">
      <c r="B691" s="44" t="str">
        <f>IF(OR(LINEAS!$D$31="",ABS(-LINEAS!$AE$31*DATOS!$C$67)&lt;0.00005),"*",LINEAS!$D$31&amp;" UNI GY "&amp;TEXT(-LINEAS!$AE$31*DATOS!$C$67,DATOS!$C$68))</f>
        <v>*</v>
      </c>
      <c r="C691" s="42" t="str">
        <f t="shared" si="20"/>
        <v/>
      </c>
      <c r="D691" s="44" t="str">
        <f>IF(PRESIONES!$C$22="NO","",IF(OR(LINEAS!$D$31="",ABS(-LINEAS!$AU$31*DATOS!$C$67)&lt;0.00005),"*",LINEAS!$D$31&amp;" UNI GY "&amp;TEXT(-LINEAS!$AU$31*DATOS!$C$67,DATOS!$C$68)))</f>
        <v/>
      </c>
      <c r="E691" s="42" t="str">
        <f t="shared" si="21"/>
        <v/>
      </c>
    </row>
    <row r="692" spans="2:5" ht="15" customHeight="1" x14ac:dyDescent="0.3">
      <c r="B692" s="44" t="str">
        <f>IF(OR(LINEAS!$D$31="",DATOS!$C$22="—",ABS(LINEAS!$AM$31*DATOS!$C$67)&lt;0.00005),"*",LINEAS!$D$31&amp;" UNI G"&amp;DATOS!$C$22&amp;" "&amp;TEXT(LINEAS!$AM$31*DATOS!$C$67,DATOS!$C$68))</f>
        <v>*</v>
      </c>
      <c r="C692" s="42" t="str">
        <f t="shared" si="20"/>
        <v/>
      </c>
      <c r="D692" s="44" t="str">
        <f>IF(PRESIONES!$C$22="NO","",IF(OR(LINEAS!$D$31="",DATOS!$C$22="—",ABS(LINEAS!$BC$31*DATOS!$C$67)&lt;0.00005),"*",LINEAS!$D$31&amp;" UNI G"&amp;DATOS!$C$22&amp;" "&amp;TEXT(LINEAS!$BC$31*DATOS!$C$67,DATOS!$C$68)))</f>
        <v/>
      </c>
      <c r="E692" s="42" t="str">
        <f t="shared" si="21"/>
        <v/>
      </c>
    </row>
    <row r="693" spans="2:5" ht="15" customHeight="1" x14ac:dyDescent="0.3">
      <c r="B693" s="44" t="str">
        <f>IF(OR(LINEAS!$D$32="",ABS(-LINEAS!$AE$32*DATOS!$C$67)&lt;0.00005),"*",LINEAS!$D$32&amp;" UNI GY "&amp;TEXT(-LINEAS!$AE$32*DATOS!$C$67,DATOS!$C$68))</f>
        <v>*</v>
      </c>
      <c r="C693" s="42" t="str">
        <f t="shared" si="20"/>
        <v/>
      </c>
      <c r="D693" s="44" t="str">
        <f>IF(PRESIONES!$C$22="NO","",IF(OR(LINEAS!$D$32="",ABS(-LINEAS!$AU$32*DATOS!$C$67)&lt;0.00005),"*",LINEAS!$D$32&amp;" UNI GY "&amp;TEXT(-LINEAS!$AU$32*DATOS!$C$67,DATOS!$C$68)))</f>
        <v/>
      </c>
      <c r="E693" s="42" t="str">
        <f t="shared" si="21"/>
        <v/>
      </c>
    </row>
    <row r="694" spans="2:5" ht="15" customHeight="1" x14ac:dyDescent="0.3">
      <c r="B694" s="44" t="str">
        <f>IF(OR(LINEAS!$D$32="",DATOS!$C$22="—",ABS(LINEAS!$AM$32*DATOS!$C$67)&lt;0.00005),"*",LINEAS!$D$32&amp;" UNI G"&amp;DATOS!$C$22&amp;" "&amp;TEXT(LINEAS!$AM$32*DATOS!$C$67,DATOS!$C$68))</f>
        <v>*</v>
      </c>
      <c r="C694" s="42" t="str">
        <f t="shared" si="20"/>
        <v/>
      </c>
      <c r="D694" s="44" t="str">
        <f>IF(PRESIONES!$C$22="NO","",IF(OR(LINEAS!$D$32="",DATOS!$C$22="—",ABS(LINEAS!$BC$32*DATOS!$C$67)&lt;0.00005),"*",LINEAS!$D$32&amp;" UNI G"&amp;DATOS!$C$22&amp;" "&amp;TEXT(LINEAS!$BC$32*DATOS!$C$67,DATOS!$C$68)))</f>
        <v/>
      </c>
      <c r="E694" s="42" t="str">
        <f t="shared" si="21"/>
        <v/>
      </c>
    </row>
    <row r="695" spans="2:5" ht="15" customHeight="1" x14ac:dyDescent="0.3">
      <c r="B695" s="44" t="str">
        <f>IF(OR(LINEAS!$D$33="",ABS(-LINEAS!$AE$33*DATOS!$C$67)&lt;0.00005),"*",LINEAS!$D$33&amp;" UNI GY "&amp;TEXT(-LINEAS!$AE$33*DATOS!$C$67,DATOS!$C$68))</f>
        <v>*</v>
      </c>
      <c r="C695" s="42" t="str">
        <f t="shared" si="20"/>
        <v/>
      </c>
      <c r="D695" s="44" t="str">
        <f>IF(PRESIONES!$C$22="NO","",IF(OR(LINEAS!$D$33="",ABS(-LINEAS!$AU$33*DATOS!$C$67)&lt;0.00005),"*",LINEAS!$D$33&amp;" UNI GY "&amp;TEXT(-LINEAS!$AU$33*DATOS!$C$67,DATOS!$C$68)))</f>
        <v/>
      </c>
      <c r="E695" s="42" t="str">
        <f t="shared" si="21"/>
        <v/>
      </c>
    </row>
    <row r="696" spans="2:5" ht="15" customHeight="1" x14ac:dyDescent="0.3">
      <c r="B696" s="44" t="str">
        <f>IF(OR(LINEAS!$D$33="",DATOS!$C$22="—",ABS(LINEAS!$AM$33*DATOS!$C$67)&lt;0.00005),"*",LINEAS!$D$33&amp;" UNI G"&amp;DATOS!$C$22&amp;" "&amp;TEXT(LINEAS!$AM$33*DATOS!$C$67,DATOS!$C$68))</f>
        <v>*</v>
      </c>
      <c r="C696" s="42" t="str">
        <f t="shared" si="20"/>
        <v/>
      </c>
      <c r="D696" s="44" t="str">
        <f>IF(PRESIONES!$C$22="NO","",IF(OR(LINEAS!$D$33="",DATOS!$C$22="—",ABS(LINEAS!$BC$33*DATOS!$C$67)&lt;0.00005),"*",LINEAS!$D$33&amp;" UNI G"&amp;DATOS!$C$22&amp;" "&amp;TEXT(LINEAS!$BC$33*DATOS!$C$67,DATOS!$C$68)))</f>
        <v/>
      </c>
      <c r="E696" s="42" t="str">
        <f t="shared" si="21"/>
        <v/>
      </c>
    </row>
    <row r="697" spans="2:5" ht="15" customHeight="1" x14ac:dyDescent="0.3">
      <c r="B697" s="44" t="str">
        <f>IF(OR(LINEAS!$D$34="",ABS(-LINEAS!$AE$34*DATOS!$C$67)&lt;0.00005),"*",LINEAS!$D$34&amp;" UNI GY "&amp;TEXT(-LINEAS!$AE$34*DATOS!$C$67,DATOS!$C$68))</f>
        <v>*</v>
      </c>
      <c r="C697" s="42" t="str">
        <f t="shared" si="20"/>
        <v/>
      </c>
      <c r="D697" s="44" t="str">
        <f>IF(PRESIONES!$C$22="NO","",IF(OR(LINEAS!$D$34="",ABS(-LINEAS!$AU$34*DATOS!$C$67)&lt;0.00005),"*",LINEAS!$D$34&amp;" UNI GY "&amp;TEXT(-LINEAS!$AU$34*DATOS!$C$67,DATOS!$C$68)))</f>
        <v/>
      </c>
      <c r="E697" s="42" t="str">
        <f t="shared" si="21"/>
        <v/>
      </c>
    </row>
    <row r="698" spans="2:5" ht="15" customHeight="1" x14ac:dyDescent="0.3">
      <c r="B698" s="44" t="str">
        <f>IF(OR(LINEAS!$D$34="",DATOS!$C$22="—",ABS(LINEAS!$AM$34*DATOS!$C$67)&lt;0.00005),"*",LINEAS!$D$34&amp;" UNI G"&amp;DATOS!$C$22&amp;" "&amp;TEXT(LINEAS!$AM$34*DATOS!$C$67,DATOS!$C$68))</f>
        <v>*</v>
      </c>
      <c r="C698" s="42" t="str">
        <f t="shared" si="20"/>
        <v/>
      </c>
      <c r="D698" s="44" t="str">
        <f>IF(PRESIONES!$C$22="NO","",IF(OR(LINEAS!$D$34="",DATOS!$C$22="—",ABS(LINEAS!$BC$34*DATOS!$C$67)&lt;0.00005),"*",LINEAS!$D$34&amp;" UNI G"&amp;DATOS!$C$22&amp;" "&amp;TEXT(LINEAS!$BC$34*DATOS!$C$67,DATOS!$C$68)))</f>
        <v/>
      </c>
      <c r="E698" s="42" t="str">
        <f t="shared" si="21"/>
        <v/>
      </c>
    </row>
    <row r="699" spans="2:5" ht="15" customHeight="1" x14ac:dyDescent="0.3">
      <c r="B699" s="44" t="str">
        <f>IF(OR(LINEAS!$D$35="",ABS(-LINEAS!$AE$35*DATOS!$C$67)&lt;0.00005),"*",LINEAS!$D$35&amp;" UNI GY "&amp;TEXT(-LINEAS!$AE$35*DATOS!$C$67,DATOS!$C$68))</f>
        <v>*</v>
      </c>
      <c r="C699" s="42" t="str">
        <f t="shared" si="20"/>
        <v/>
      </c>
      <c r="D699" s="44" t="str">
        <f>IF(PRESIONES!$C$22="NO","",IF(OR(LINEAS!$D$35="",ABS(-LINEAS!$AU$35*DATOS!$C$67)&lt;0.00005),"*",LINEAS!$D$35&amp;" UNI GY "&amp;TEXT(-LINEAS!$AU$35*DATOS!$C$67,DATOS!$C$68)))</f>
        <v/>
      </c>
      <c r="E699" s="42" t="str">
        <f t="shared" si="21"/>
        <v/>
      </c>
    </row>
    <row r="700" spans="2:5" ht="15" customHeight="1" x14ac:dyDescent="0.3">
      <c r="B700" s="44" t="str">
        <f>IF(OR(LINEAS!$D$35="",DATOS!$C$22="—",ABS(LINEAS!$AM$35*DATOS!$C$67)&lt;0.00005),"*",LINEAS!$D$35&amp;" UNI G"&amp;DATOS!$C$22&amp;" "&amp;TEXT(LINEAS!$AM$35*DATOS!$C$67,DATOS!$C$68))</f>
        <v>*</v>
      </c>
      <c r="C700" s="42" t="str">
        <f t="shared" si="20"/>
        <v/>
      </c>
      <c r="D700" s="44" t="str">
        <f>IF(PRESIONES!$C$22="NO","",IF(OR(LINEAS!$D$35="",DATOS!$C$22="—",ABS(LINEAS!$BC$35*DATOS!$C$67)&lt;0.00005),"*",LINEAS!$D$35&amp;" UNI G"&amp;DATOS!$C$22&amp;" "&amp;TEXT(LINEAS!$BC$35*DATOS!$C$67,DATOS!$C$68)))</f>
        <v/>
      </c>
      <c r="E700" s="42" t="str">
        <f t="shared" si="21"/>
        <v/>
      </c>
    </row>
    <row r="701" spans="2:5" ht="15" customHeight="1" x14ac:dyDescent="0.3">
      <c r="B701" s="44" t="str">
        <f>IF(OR(LINEAS!$D$36="",ABS(-LINEAS!$AE$36*DATOS!$C$67)&lt;0.00005),"*",LINEAS!$D$36&amp;" UNI GY "&amp;TEXT(-LINEAS!$AE$36*DATOS!$C$67,DATOS!$C$68))</f>
        <v>*</v>
      </c>
      <c r="C701" s="42" t="str">
        <f t="shared" si="20"/>
        <v/>
      </c>
      <c r="D701" s="44" t="str">
        <f>IF(PRESIONES!$C$22="NO","",IF(OR(LINEAS!$D$36="",ABS(-LINEAS!$AU$36*DATOS!$C$67)&lt;0.00005),"*",LINEAS!$D$36&amp;" UNI GY "&amp;TEXT(-LINEAS!$AU$36*DATOS!$C$67,DATOS!$C$68)))</f>
        <v/>
      </c>
      <c r="E701" s="42" t="str">
        <f t="shared" si="21"/>
        <v/>
      </c>
    </row>
    <row r="702" spans="2:5" ht="15" customHeight="1" x14ac:dyDescent="0.3">
      <c r="B702" s="44" t="str">
        <f>IF(OR(LINEAS!$D$36="",DATOS!$C$22="—",ABS(LINEAS!$AM$36*DATOS!$C$67)&lt;0.00005),"*",LINEAS!$D$36&amp;" UNI G"&amp;DATOS!$C$22&amp;" "&amp;TEXT(LINEAS!$AM$36*DATOS!$C$67,DATOS!$C$68))</f>
        <v>*</v>
      </c>
      <c r="C702" s="42" t="str">
        <f t="shared" si="20"/>
        <v/>
      </c>
      <c r="D702" s="44" t="str">
        <f>IF(PRESIONES!$C$22="NO","",IF(OR(LINEAS!$D$36="",DATOS!$C$22="—",ABS(LINEAS!$BC$36*DATOS!$C$67)&lt;0.00005),"*",LINEAS!$D$36&amp;" UNI G"&amp;DATOS!$C$22&amp;" "&amp;TEXT(LINEAS!$BC$36*DATOS!$C$67,DATOS!$C$68)))</f>
        <v/>
      </c>
      <c r="E702" s="42" t="str">
        <f t="shared" si="21"/>
        <v/>
      </c>
    </row>
    <row r="703" spans="2:5" ht="15" customHeight="1" x14ac:dyDescent="0.3">
      <c r="B703" s="44" t="str">
        <f>IF(OR(LINEAS!$D$37="",ABS(-LINEAS!$AE$37*DATOS!$C$67)&lt;0.00005),"*",LINEAS!$D$37&amp;" UNI GY "&amp;TEXT(-LINEAS!$AE$37*DATOS!$C$67,DATOS!$C$68))</f>
        <v>*</v>
      </c>
      <c r="C703" s="42" t="str">
        <f t="shared" si="20"/>
        <v/>
      </c>
      <c r="D703" s="44" t="str">
        <f>IF(PRESIONES!$C$22="NO","",IF(OR(LINEAS!$D$37="",ABS(-LINEAS!$AU$37*DATOS!$C$67)&lt;0.00005),"*",LINEAS!$D$37&amp;" UNI GY "&amp;TEXT(-LINEAS!$AU$37*DATOS!$C$67,DATOS!$C$68)))</f>
        <v/>
      </c>
      <c r="E703" s="42" t="str">
        <f t="shared" si="21"/>
        <v/>
      </c>
    </row>
    <row r="704" spans="2:5" ht="15" customHeight="1" x14ac:dyDescent="0.3">
      <c r="B704" s="44" t="str">
        <f>IF(OR(LINEAS!$D$37="",DATOS!$C$22="—",ABS(LINEAS!$AM$37*DATOS!$C$67)&lt;0.00005),"*",LINEAS!$D$37&amp;" UNI G"&amp;DATOS!$C$22&amp;" "&amp;TEXT(LINEAS!$AM$37*DATOS!$C$67,DATOS!$C$68))</f>
        <v>*</v>
      </c>
      <c r="C704" s="42" t="str">
        <f t="shared" si="20"/>
        <v/>
      </c>
      <c r="D704" s="44" t="str">
        <f>IF(PRESIONES!$C$22="NO","",IF(OR(LINEAS!$D$37="",DATOS!$C$22="—",ABS(LINEAS!$BC$37*DATOS!$C$67)&lt;0.00005),"*",LINEAS!$D$37&amp;" UNI G"&amp;DATOS!$C$22&amp;" "&amp;TEXT(LINEAS!$BC$37*DATOS!$C$67,DATOS!$C$68)))</f>
        <v/>
      </c>
      <c r="E704" s="42" t="str">
        <f t="shared" si="21"/>
        <v/>
      </c>
    </row>
    <row r="705" spans="2:5" ht="15" customHeight="1" x14ac:dyDescent="0.3">
      <c r="B705" s="44" t="str">
        <f>IF(OR(LINEAS!$D$38="",ABS(-LINEAS!$AE$38*DATOS!$C$67)&lt;0.00005),"*",LINEAS!$D$38&amp;" UNI GY "&amp;TEXT(-LINEAS!$AE$38*DATOS!$C$67,DATOS!$C$68))</f>
        <v>*</v>
      </c>
      <c r="C705" s="42" t="str">
        <f t="shared" si="20"/>
        <v/>
      </c>
      <c r="D705" s="44" t="str">
        <f>IF(PRESIONES!$C$22="NO","",IF(OR(LINEAS!$D$38="",ABS(-LINEAS!$AU$38*DATOS!$C$67)&lt;0.00005),"*",LINEAS!$D$38&amp;" UNI GY "&amp;TEXT(-LINEAS!$AU$38*DATOS!$C$67,DATOS!$C$68)))</f>
        <v/>
      </c>
      <c r="E705" s="42" t="str">
        <f t="shared" si="21"/>
        <v/>
      </c>
    </row>
    <row r="706" spans="2:5" ht="15" customHeight="1" x14ac:dyDescent="0.3">
      <c r="B706" s="44" t="str">
        <f>IF(OR(LINEAS!$D$38="",DATOS!$C$22="—",ABS(LINEAS!$AM$38*DATOS!$C$67)&lt;0.00005),"*",LINEAS!$D$38&amp;" UNI G"&amp;DATOS!$C$22&amp;" "&amp;TEXT(LINEAS!$AM$38*DATOS!$C$67,DATOS!$C$68))</f>
        <v>*</v>
      </c>
      <c r="C706" s="42" t="str">
        <f t="shared" si="20"/>
        <v/>
      </c>
      <c r="D706" s="44" t="str">
        <f>IF(PRESIONES!$C$22="NO","",IF(OR(LINEAS!$D$38="",DATOS!$C$22="—",ABS(LINEAS!$BC$38*DATOS!$C$67)&lt;0.00005),"*",LINEAS!$D$38&amp;" UNI G"&amp;DATOS!$C$22&amp;" "&amp;TEXT(LINEAS!$BC$38*DATOS!$C$67,DATOS!$C$68)))</f>
        <v/>
      </c>
      <c r="E706" s="42" t="str">
        <f t="shared" si="21"/>
        <v/>
      </c>
    </row>
    <row r="707" spans="2:5" ht="15" customHeight="1" x14ac:dyDescent="0.3">
      <c r="B707" s="44" t="str">
        <f>IF(OR(LINEAS!$D$45="",LINEAS!$U$45=0,ABS(IF(OR(LINEAS!$U$45=1,LINEAS!$U$45=3),1,-1)*LINEAS!$AE$45*DATOS!$C$67)&lt;0.00005),"*",LINEAS!$D$45&amp;" UNI "&amp;IF(LINEAS!$U$45&lt;=2,"GZ","GX")&amp;" "&amp;TEXT(IF(OR(LINEAS!$U$45=1,LINEAS!$U$45=3),1,-1)*LINEAS!$AE$45*DATOS!$C$67,DATOS!$C$68))</f>
        <v>261 UNI GX -0.8427</v>
      </c>
      <c r="C707" s="42" t="str">
        <f t="shared" si="20"/>
        <v/>
      </c>
      <c r="D707" s="44" t="str">
        <f>IF(PRESIONES!$C$22="NO","",IF(OR(LINEAS!$D$45="",LINEAS!$U$45=0,ABS(IF(OR(LINEAS!$U$45=1,LINEAS!$U$45=3),1,-1)*LINEAS!$AE$45*DATOS!$C$67)&lt;0.00005),"*",LINEAS!$D$45&amp;" UNI "&amp;IF(LINEAS!$U$45&lt;=2,"GZ","GX")&amp;" "&amp;TEXT(IF(OR(LINEAS!$U$45=1,LINEAS!$U$45=3),1,-1)*LINEAS!$AE$45*DATOS!$C$67,DATOS!$C$68)))</f>
        <v/>
      </c>
      <c r="E707" s="42" t="str">
        <f t="shared" si="21"/>
        <v/>
      </c>
    </row>
    <row r="708" spans="2:5" ht="15" customHeight="1" x14ac:dyDescent="0.3">
      <c r="B708" s="44" t="str">
        <f>IF(OR(LINEAS!$D$46="",LINEAS!$U$46=0,ABS(IF(OR(LINEAS!$U$46=1,LINEAS!$U$46=3),1,-1)*LINEAS!$AE$46*DATOS!$C$67)&lt;0.00005),"*",LINEAS!$D$46&amp;" UNI "&amp;IF(LINEAS!$U$46&lt;=2,"GZ","GX")&amp;" "&amp;TEXT(IF(OR(LINEAS!$U$46=1,LINEAS!$U$46=3),1,-1)*LINEAS!$AE$46*DATOS!$C$67,DATOS!$C$68))</f>
        <v>260 UNI GX -0.8427</v>
      </c>
      <c r="C708" s="42" t="str">
        <f t="shared" si="20"/>
        <v/>
      </c>
      <c r="D708" s="44" t="str">
        <f>IF(PRESIONES!$C$22="NO","",IF(OR(LINEAS!$D$46="",LINEAS!$U$46=0,ABS(IF(OR(LINEAS!$U$46=1,LINEAS!$U$46=3),1,-1)*LINEAS!$AE$46*DATOS!$C$67)&lt;0.00005),"*",LINEAS!$D$46&amp;" UNI "&amp;IF(LINEAS!$U$46&lt;=2,"GZ","GX")&amp;" "&amp;TEXT(IF(OR(LINEAS!$U$46=1,LINEAS!$U$46=3),1,-1)*LINEAS!$AE$46*DATOS!$C$67,DATOS!$C$68)))</f>
        <v/>
      </c>
      <c r="E708" s="42" t="str">
        <f t="shared" si="21"/>
        <v/>
      </c>
    </row>
    <row r="709" spans="2:5" ht="15" customHeight="1" x14ac:dyDescent="0.3">
      <c r="B709" s="44" t="str">
        <f>IF(OR(LINEAS!$D$47="",LINEAS!$U$47=0,ABS(IF(OR(LINEAS!$U$47=1,LINEAS!$U$47=3),1,-1)*LINEAS!$AE$47*DATOS!$C$67)&lt;0.00005),"*",LINEAS!$D$47&amp;" UNI "&amp;IF(LINEAS!$U$47&lt;=2,"GZ","GX")&amp;" "&amp;TEXT(IF(OR(LINEAS!$U$47=1,LINEAS!$U$47=3),1,-1)*LINEAS!$AE$47*DATOS!$C$67,DATOS!$C$68))</f>
        <v>259 UNI GX -0.8427</v>
      </c>
      <c r="C709" s="42" t="str">
        <f t="shared" si="20"/>
        <v/>
      </c>
      <c r="D709" s="44" t="str">
        <f>IF(PRESIONES!$C$22="NO","",IF(OR(LINEAS!$D$47="",LINEAS!$U$47=0,ABS(IF(OR(LINEAS!$U$47=1,LINEAS!$U$47=3),1,-1)*LINEAS!$AE$47*DATOS!$C$67)&lt;0.00005),"*",LINEAS!$D$47&amp;" UNI "&amp;IF(LINEAS!$U$47&lt;=2,"GZ","GX")&amp;" "&amp;TEXT(IF(OR(LINEAS!$U$47=1,LINEAS!$U$47=3),1,-1)*LINEAS!$AE$47*DATOS!$C$67,DATOS!$C$68)))</f>
        <v/>
      </c>
      <c r="E709" s="42" t="str">
        <f t="shared" si="21"/>
        <v/>
      </c>
    </row>
    <row r="710" spans="2:5" ht="15" customHeight="1" x14ac:dyDescent="0.3">
      <c r="B710" s="44" t="str">
        <f>IF(OR(LINEAS!$D$48="",LINEAS!$U$48=0,ABS(IF(OR(LINEAS!$U$48=1,LINEAS!$U$48=3),1,-1)*LINEAS!$AE$48*DATOS!$C$67)&lt;0.00005),"*",LINEAS!$D$48&amp;" UNI "&amp;IF(LINEAS!$U$48&lt;=2,"GZ","GX")&amp;" "&amp;TEXT(IF(OR(LINEAS!$U$48=1,LINEAS!$U$48=3),1,-1)*LINEAS!$AE$48*DATOS!$C$67,DATOS!$C$68))</f>
        <v>270 UNI GX -0.8427</v>
      </c>
      <c r="C710" s="42" t="str">
        <f t="shared" si="20"/>
        <v/>
      </c>
      <c r="D710" s="44" t="str">
        <f>IF(PRESIONES!$C$22="NO","",IF(OR(LINEAS!$D$48="",LINEAS!$U$48=0,ABS(IF(OR(LINEAS!$U$48=1,LINEAS!$U$48=3),1,-1)*LINEAS!$AE$48*DATOS!$C$67)&lt;0.00005),"*",LINEAS!$D$48&amp;" UNI "&amp;IF(LINEAS!$U$48&lt;=2,"GZ","GX")&amp;" "&amp;TEXT(IF(OR(LINEAS!$U$48=1,LINEAS!$U$48=3),1,-1)*LINEAS!$AE$48*DATOS!$C$67,DATOS!$C$68)))</f>
        <v/>
      </c>
      <c r="E710" s="42" t="str">
        <f t="shared" si="21"/>
        <v/>
      </c>
    </row>
    <row r="711" spans="2:5" ht="15" customHeight="1" x14ac:dyDescent="0.3">
      <c r="B711" s="44" t="str">
        <f>IF(OR(LINEAS!$D$49="",LINEAS!$U$49=0,ABS(IF(OR(LINEAS!$U$49=1,LINEAS!$U$49=3),1,-1)*LINEAS!$AE$49*DATOS!$C$67)&lt;0.00005),"*",LINEAS!$D$49&amp;" UNI "&amp;IF(LINEAS!$U$49&lt;=2,"GZ","GX")&amp;" "&amp;TEXT(IF(OR(LINEAS!$U$49=1,LINEAS!$U$49=3),1,-1)*LINEAS!$AE$49*DATOS!$C$67,DATOS!$C$68))</f>
        <v>269 UNI GX -0.8427</v>
      </c>
      <c r="C711" s="42" t="str">
        <f t="shared" si="20"/>
        <v/>
      </c>
      <c r="D711" s="44" t="str">
        <f>IF(PRESIONES!$C$22="NO","",IF(OR(LINEAS!$D$49="",LINEAS!$U$49=0,ABS(IF(OR(LINEAS!$U$49=1,LINEAS!$U$49=3),1,-1)*LINEAS!$AE$49*DATOS!$C$67)&lt;0.00005),"*",LINEAS!$D$49&amp;" UNI "&amp;IF(LINEAS!$U$49&lt;=2,"GZ","GX")&amp;" "&amp;TEXT(IF(OR(LINEAS!$U$49=1,LINEAS!$U$49=3),1,-1)*LINEAS!$AE$49*DATOS!$C$67,DATOS!$C$68)))</f>
        <v/>
      </c>
      <c r="E711" s="42" t="str">
        <f t="shared" si="21"/>
        <v/>
      </c>
    </row>
    <row r="712" spans="2:5" ht="15" customHeight="1" x14ac:dyDescent="0.3">
      <c r="B712" s="44" t="str">
        <f>IF(OR(LINEAS!$D$50="",LINEAS!$U$50=0,ABS(IF(OR(LINEAS!$U$50=1,LINEAS!$U$50=3),1,-1)*LINEAS!$AE$50*DATOS!$C$67)&lt;0.00005),"*",LINEAS!$D$50&amp;" UNI "&amp;IF(LINEAS!$U$50&lt;=2,"GZ","GX")&amp;" "&amp;TEXT(IF(OR(LINEAS!$U$50=1,LINEAS!$U$50=3),1,-1)*LINEAS!$AE$50*DATOS!$C$67,DATOS!$C$68))</f>
        <v>268 UNI GX -0.8427</v>
      </c>
      <c r="C712" s="42" t="str">
        <f t="shared" si="20"/>
        <v/>
      </c>
      <c r="D712" s="44" t="str">
        <f>IF(PRESIONES!$C$22="NO","",IF(OR(LINEAS!$D$50="",LINEAS!$U$50=0,ABS(IF(OR(LINEAS!$U$50=1,LINEAS!$U$50=3),1,-1)*LINEAS!$AE$50*DATOS!$C$67)&lt;0.00005),"*",LINEAS!$D$50&amp;" UNI "&amp;IF(LINEAS!$U$50&lt;=2,"GZ","GX")&amp;" "&amp;TEXT(IF(OR(LINEAS!$U$50=1,LINEAS!$U$50=3),1,-1)*LINEAS!$AE$50*DATOS!$C$67,DATOS!$C$68)))</f>
        <v/>
      </c>
      <c r="E712" s="42" t="str">
        <f t="shared" si="21"/>
        <v/>
      </c>
    </row>
    <row r="713" spans="2:5" ht="15" customHeight="1" x14ac:dyDescent="0.3">
      <c r="B713" s="44" t="str">
        <f>IF(OR(LINEAS!$D$51="",LINEAS!$U$51=0,ABS(IF(OR(LINEAS!$U$51=1,LINEAS!$U$51=3),1,-1)*LINEAS!$AE$51*DATOS!$C$67)&lt;0.00005),"*",LINEAS!$D$51&amp;" UNI "&amp;IF(LINEAS!$U$51&lt;=2,"GZ","GX")&amp;" "&amp;TEXT(IF(OR(LINEAS!$U$51=1,LINEAS!$U$51=3),1,-1)*LINEAS!$AE$51*DATOS!$C$67,DATOS!$C$68))</f>
        <v>279 UNI GX -0.8427</v>
      </c>
      <c r="C713" s="42" t="str">
        <f t="shared" ref="C713:C776" si="22">IF(LEN($B713)&gt;79,"MÁS DE 79 CARACTERES","")</f>
        <v/>
      </c>
      <c r="D713" s="44" t="str">
        <f>IF(PRESIONES!$C$22="NO","",IF(OR(LINEAS!$D$51="",LINEAS!$U$51=0,ABS(IF(OR(LINEAS!$U$51=1,LINEAS!$U$51=3),1,-1)*LINEAS!$AE$51*DATOS!$C$67)&lt;0.00005),"*",LINEAS!$D$51&amp;" UNI "&amp;IF(LINEAS!$U$51&lt;=2,"GZ","GX")&amp;" "&amp;TEXT(IF(OR(LINEAS!$U$51=1,LINEAS!$U$51=3),1,-1)*LINEAS!$AE$51*DATOS!$C$67,DATOS!$C$68)))</f>
        <v/>
      </c>
      <c r="E713" s="42" t="str">
        <f t="shared" ref="E713:E776" si="23">IF(LEN($D713)&gt;79,"MÁS DE 79 CARACTERES","")</f>
        <v/>
      </c>
    </row>
    <row r="714" spans="2:5" ht="15" customHeight="1" x14ac:dyDescent="0.3">
      <c r="B714" s="44" t="str">
        <f>IF(OR(LINEAS!$D$52="",LINEAS!$U$52=0,ABS(IF(OR(LINEAS!$U$52=1,LINEAS!$U$52=3),1,-1)*LINEAS!$AE$52*DATOS!$C$67)&lt;0.00005),"*",LINEAS!$D$52&amp;" UNI "&amp;IF(LINEAS!$U$52&lt;=2,"GZ","GX")&amp;" "&amp;TEXT(IF(OR(LINEAS!$U$52=1,LINEAS!$U$52=3),1,-1)*LINEAS!$AE$52*DATOS!$C$67,DATOS!$C$68))</f>
        <v>278 UNI GX -0.8427</v>
      </c>
      <c r="C714" s="42" t="str">
        <f t="shared" si="22"/>
        <v/>
      </c>
      <c r="D714" s="44" t="str">
        <f>IF(PRESIONES!$C$22="NO","",IF(OR(LINEAS!$D$52="",LINEAS!$U$52=0,ABS(IF(OR(LINEAS!$U$52=1,LINEAS!$U$52=3),1,-1)*LINEAS!$AE$52*DATOS!$C$67)&lt;0.00005),"*",LINEAS!$D$52&amp;" UNI "&amp;IF(LINEAS!$U$52&lt;=2,"GZ","GX")&amp;" "&amp;TEXT(IF(OR(LINEAS!$U$52=1,LINEAS!$U$52=3),1,-1)*LINEAS!$AE$52*DATOS!$C$67,DATOS!$C$68)))</f>
        <v/>
      </c>
      <c r="E714" s="42" t="str">
        <f t="shared" si="23"/>
        <v/>
      </c>
    </row>
    <row r="715" spans="2:5" ht="15" customHeight="1" x14ac:dyDescent="0.3">
      <c r="B715" s="44" t="str">
        <f>IF(OR(LINEAS!$D$53="",LINEAS!$U$53=0,ABS(IF(OR(LINEAS!$U$53=1,LINEAS!$U$53=3),1,-1)*LINEAS!$AE$53*DATOS!$C$67)&lt;0.00005),"*",LINEAS!$D$53&amp;" UNI "&amp;IF(LINEAS!$U$53&lt;=2,"GZ","GX")&amp;" "&amp;TEXT(IF(OR(LINEAS!$U$53=1,LINEAS!$U$53=3),1,-1)*LINEAS!$AE$53*DATOS!$C$67,DATOS!$C$68))</f>
        <v>277 UNI GX -0.8427</v>
      </c>
      <c r="C715" s="42" t="str">
        <f t="shared" si="22"/>
        <v/>
      </c>
      <c r="D715" s="44" t="str">
        <f>IF(PRESIONES!$C$22="NO","",IF(OR(LINEAS!$D$53="",LINEAS!$U$53=0,ABS(IF(OR(LINEAS!$U$53=1,LINEAS!$U$53=3),1,-1)*LINEAS!$AE$53*DATOS!$C$67)&lt;0.00005),"*",LINEAS!$D$53&amp;" UNI "&amp;IF(LINEAS!$U$53&lt;=2,"GZ","GX")&amp;" "&amp;TEXT(IF(OR(LINEAS!$U$53=1,LINEAS!$U$53=3),1,-1)*LINEAS!$AE$53*DATOS!$C$67,DATOS!$C$68)))</f>
        <v/>
      </c>
      <c r="E715" s="42" t="str">
        <f t="shared" si="23"/>
        <v/>
      </c>
    </row>
    <row r="716" spans="2:5" ht="15" customHeight="1" x14ac:dyDescent="0.3">
      <c r="B716" s="44" t="str">
        <f>IF(OR(LINEAS!$D$54="",LINEAS!$U$54=0,ABS(IF(OR(LINEAS!$U$54=1,LINEAS!$U$54=3),1,-1)*LINEAS!$AE$54*DATOS!$C$67)&lt;0.00005),"*",LINEAS!$D$54&amp;" UNI "&amp;IF(LINEAS!$U$54&lt;=2,"GZ","GX")&amp;" "&amp;TEXT(IF(OR(LINEAS!$U$54=1,LINEAS!$U$54=3),1,-1)*LINEAS!$AE$54*DATOS!$C$67,DATOS!$C$68))</f>
        <v>289 UNI GX -0.8427</v>
      </c>
      <c r="C716" s="42" t="str">
        <f t="shared" si="22"/>
        <v/>
      </c>
      <c r="D716" s="44" t="str">
        <f>IF(PRESIONES!$C$22="NO","",IF(OR(LINEAS!$D$54="",LINEAS!$U$54=0,ABS(IF(OR(LINEAS!$U$54=1,LINEAS!$U$54=3),1,-1)*LINEAS!$AE$54*DATOS!$C$67)&lt;0.00005),"*",LINEAS!$D$54&amp;" UNI "&amp;IF(LINEAS!$U$54&lt;=2,"GZ","GX")&amp;" "&amp;TEXT(IF(OR(LINEAS!$U$54=1,LINEAS!$U$54=3),1,-1)*LINEAS!$AE$54*DATOS!$C$67,DATOS!$C$68)))</f>
        <v/>
      </c>
      <c r="E716" s="42" t="str">
        <f t="shared" si="23"/>
        <v/>
      </c>
    </row>
    <row r="717" spans="2:5" ht="15" customHeight="1" x14ac:dyDescent="0.3">
      <c r="B717" s="44" t="str">
        <f>IF(OR(LINEAS!$D$55="",LINEAS!$U$55=0,ABS(IF(OR(LINEAS!$U$55=1,LINEAS!$U$55=3),1,-1)*LINEAS!$AE$55*DATOS!$C$67)&lt;0.00005),"*",LINEAS!$D$55&amp;" UNI "&amp;IF(LINEAS!$U$55&lt;=2,"GZ","GX")&amp;" "&amp;TEXT(IF(OR(LINEAS!$U$55=1,LINEAS!$U$55=3),1,-1)*LINEAS!$AE$55*DATOS!$C$67,DATOS!$C$68))</f>
        <v>288 UNI GX -0.8427</v>
      </c>
      <c r="C717" s="42" t="str">
        <f t="shared" si="22"/>
        <v/>
      </c>
      <c r="D717" s="44" t="str">
        <f>IF(PRESIONES!$C$22="NO","",IF(OR(LINEAS!$D$55="",LINEAS!$U$55=0,ABS(IF(OR(LINEAS!$U$55=1,LINEAS!$U$55=3),1,-1)*LINEAS!$AE$55*DATOS!$C$67)&lt;0.00005),"*",LINEAS!$D$55&amp;" UNI "&amp;IF(LINEAS!$U$55&lt;=2,"GZ","GX")&amp;" "&amp;TEXT(IF(OR(LINEAS!$U$55=1,LINEAS!$U$55=3),1,-1)*LINEAS!$AE$55*DATOS!$C$67,DATOS!$C$68)))</f>
        <v/>
      </c>
      <c r="E717" s="42" t="str">
        <f t="shared" si="23"/>
        <v/>
      </c>
    </row>
    <row r="718" spans="2:5" ht="15" customHeight="1" x14ac:dyDescent="0.3">
      <c r="B718" s="44" t="str">
        <f>IF(OR(LINEAS!$D$56="",LINEAS!$U$56=0,ABS(IF(OR(LINEAS!$U$56=1,LINEAS!$U$56=3),1,-1)*LINEAS!$AE$56*DATOS!$C$67)&lt;0.00005),"*",LINEAS!$D$56&amp;" UNI "&amp;IF(LINEAS!$U$56&lt;=2,"GZ","GX")&amp;" "&amp;TEXT(IF(OR(LINEAS!$U$56=1,LINEAS!$U$56=3),1,-1)*LINEAS!$AE$56*DATOS!$C$67,DATOS!$C$68))</f>
        <v>287 UNI GX -0.8427</v>
      </c>
      <c r="C718" s="42" t="str">
        <f t="shared" si="22"/>
        <v/>
      </c>
      <c r="D718" s="44" t="str">
        <f>IF(PRESIONES!$C$22="NO","",IF(OR(LINEAS!$D$56="",LINEAS!$U$56=0,ABS(IF(OR(LINEAS!$U$56=1,LINEAS!$U$56=3),1,-1)*LINEAS!$AE$56*DATOS!$C$67)&lt;0.00005),"*",LINEAS!$D$56&amp;" UNI "&amp;IF(LINEAS!$U$56&lt;=2,"GZ","GX")&amp;" "&amp;TEXT(IF(OR(LINEAS!$U$56=1,LINEAS!$U$56=3),1,-1)*LINEAS!$AE$56*DATOS!$C$67,DATOS!$C$68)))</f>
        <v/>
      </c>
      <c r="E718" s="42" t="str">
        <f t="shared" si="23"/>
        <v/>
      </c>
    </row>
    <row r="719" spans="2:5" ht="15" customHeight="1" x14ac:dyDescent="0.3">
      <c r="B719" s="44" t="str">
        <f>IF(OR(LINEAS!$D$57="",LINEAS!$U$57=0,ABS(IF(OR(LINEAS!$U$57=1,LINEAS!$U$57=3),1,-1)*LINEAS!$AE$57*DATOS!$C$67)&lt;0.00005),"*",LINEAS!$D$57&amp;" UNI "&amp;IF(LINEAS!$U$57&lt;=2,"GZ","GX")&amp;" "&amp;TEXT(IF(OR(LINEAS!$U$57=1,LINEAS!$U$57=3),1,-1)*LINEAS!$AE$57*DATOS!$C$67,DATOS!$C$68))</f>
        <v>297 UNI GX -0.8427</v>
      </c>
      <c r="C719" s="42" t="str">
        <f t="shared" si="22"/>
        <v/>
      </c>
      <c r="D719" s="44" t="str">
        <f>IF(PRESIONES!$C$22="NO","",IF(OR(LINEAS!$D$57="",LINEAS!$U$57=0,ABS(IF(OR(LINEAS!$U$57=1,LINEAS!$U$57=3),1,-1)*LINEAS!$AE$57*DATOS!$C$67)&lt;0.00005),"*",LINEAS!$D$57&amp;" UNI "&amp;IF(LINEAS!$U$57&lt;=2,"GZ","GX")&amp;" "&amp;TEXT(IF(OR(LINEAS!$U$57=1,LINEAS!$U$57=3),1,-1)*LINEAS!$AE$57*DATOS!$C$67,DATOS!$C$68)))</f>
        <v/>
      </c>
      <c r="E719" s="42" t="str">
        <f t="shared" si="23"/>
        <v/>
      </c>
    </row>
    <row r="720" spans="2:5" ht="15" customHeight="1" x14ac:dyDescent="0.3">
      <c r="B720" s="44" t="str">
        <f>IF(OR(LINEAS!$D$58="",LINEAS!$U$58=0,ABS(IF(OR(LINEAS!$U$58=1,LINEAS!$U$58=3),1,-1)*LINEAS!$AE$58*DATOS!$C$67)&lt;0.00005),"*",LINEAS!$D$58&amp;" UNI "&amp;IF(LINEAS!$U$58&lt;=2,"GZ","GX")&amp;" "&amp;TEXT(IF(OR(LINEAS!$U$58=1,LINEAS!$U$58=3),1,-1)*LINEAS!$AE$58*DATOS!$C$67,DATOS!$C$68))</f>
        <v>296 UNI GX -0.8427</v>
      </c>
      <c r="C720" s="42" t="str">
        <f t="shared" si="22"/>
        <v/>
      </c>
      <c r="D720" s="44" t="str">
        <f>IF(PRESIONES!$C$22="NO","",IF(OR(LINEAS!$D$58="",LINEAS!$U$58=0,ABS(IF(OR(LINEAS!$U$58=1,LINEAS!$U$58=3),1,-1)*LINEAS!$AE$58*DATOS!$C$67)&lt;0.00005),"*",LINEAS!$D$58&amp;" UNI "&amp;IF(LINEAS!$U$58&lt;=2,"GZ","GX")&amp;" "&amp;TEXT(IF(OR(LINEAS!$U$58=1,LINEAS!$U$58=3),1,-1)*LINEAS!$AE$58*DATOS!$C$67,DATOS!$C$68)))</f>
        <v/>
      </c>
      <c r="E720" s="42" t="str">
        <f t="shared" si="23"/>
        <v/>
      </c>
    </row>
    <row r="721" spans="2:5" ht="15" customHeight="1" x14ac:dyDescent="0.3">
      <c r="B721" s="44" t="str">
        <f>IF(OR(LINEAS!$D$59="",LINEAS!$U$59=0,ABS(IF(OR(LINEAS!$U$59=1,LINEAS!$U$59=3),1,-1)*LINEAS!$AE$59*DATOS!$C$67)&lt;0.00005),"*",LINEAS!$D$59&amp;" UNI "&amp;IF(LINEAS!$U$59&lt;=2,"GZ","GX")&amp;" "&amp;TEXT(IF(OR(LINEAS!$U$59=1,LINEAS!$U$59=3),1,-1)*LINEAS!$AE$59*DATOS!$C$67,DATOS!$C$68))</f>
        <v>295 UNI GX -0.8427</v>
      </c>
      <c r="C721" s="42" t="str">
        <f t="shared" si="22"/>
        <v/>
      </c>
      <c r="D721" s="44" t="str">
        <f>IF(PRESIONES!$C$22="NO","",IF(OR(LINEAS!$D$59="",LINEAS!$U$59=0,ABS(IF(OR(LINEAS!$U$59=1,LINEAS!$U$59=3),1,-1)*LINEAS!$AE$59*DATOS!$C$67)&lt;0.00005),"*",LINEAS!$D$59&amp;" UNI "&amp;IF(LINEAS!$U$59&lt;=2,"GZ","GX")&amp;" "&amp;TEXT(IF(OR(LINEAS!$U$59=1,LINEAS!$U$59=3),1,-1)*LINEAS!$AE$59*DATOS!$C$67,DATOS!$C$68)))</f>
        <v/>
      </c>
      <c r="E721" s="42" t="str">
        <f t="shared" si="23"/>
        <v/>
      </c>
    </row>
    <row r="722" spans="2:5" ht="15" customHeight="1" x14ac:dyDescent="0.3">
      <c r="B722" s="44" t="str">
        <f>IF(OR(LINEAS!$D$60="",LINEAS!$U$60=0,ABS(IF(OR(LINEAS!$U$60=1,LINEAS!$U$60=3),1,-1)*LINEAS!$AE$60*DATOS!$C$67)&lt;0.00005),"*",LINEAS!$D$60&amp;" UNI "&amp;IF(LINEAS!$U$60&lt;=2,"GZ","GX")&amp;" "&amp;TEXT(IF(OR(LINEAS!$U$60=1,LINEAS!$U$60=3),1,-1)*LINEAS!$AE$60*DATOS!$C$67,DATOS!$C$68))</f>
        <v>305 UNI GX -0.8427</v>
      </c>
      <c r="C722" s="42" t="str">
        <f t="shared" si="22"/>
        <v/>
      </c>
      <c r="D722" s="44" t="str">
        <f>IF(PRESIONES!$C$22="NO","",IF(OR(LINEAS!$D$60="",LINEAS!$U$60=0,ABS(IF(OR(LINEAS!$U$60=1,LINEAS!$U$60=3),1,-1)*LINEAS!$AE$60*DATOS!$C$67)&lt;0.00005),"*",LINEAS!$D$60&amp;" UNI "&amp;IF(LINEAS!$U$60&lt;=2,"GZ","GX")&amp;" "&amp;TEXT(IF(OR(LINEAS!$U$60=1,LINEAS!$U$60=3),1,-1)*LINEAS!$AE$60*DATOS!$C$67,DATOS!$C$68)))</f>
        <v/>
      </c>
      <c r="E722" s="42" t="str">
        <f t="shared" si="23"/>
        <v/>
      </c>
    </row>
    <row r="723" spans="2:5" ht="15" customHeight="1" x14ac:dyDescent="0.3">
      <c r="B723" s="44" t="str">
        <f>IF(OR(LINEAS!$D$61="",LINEAS!$U$61=0,ABS(IF(OR(LINEAS!$U$61=1,LINEAS!$U$61=3),1,-1)*LINEAS!$AE$61*DATOS!$C$67)&lt;0.00005),"*",LINEAS!$D$61&amp;" UNI "&amp;IF(LINEAS!$U$61&lt;=2,"GZ","GX")&amp;" "&amp;TEXT(IF(OR(LINEAS!$U$61=1,LINEAS!$U$61=3),1,-1)*LINEAS!$AE$61*DATOS!$C$67,DATOS!$C$68))</f>
        <v>304 UNI GX -0.8427</v>
      </c>
      <c r="C723" s="42" t="str">
        <f t="shared" si="22"/>
        <v/>
      </c>
      <c r="D723" s="44" t="str">
        <f>IF(PRESIONES!$C$22="NO","",IF(OR(LINEAS!$D$61="",LINEAS!$U$61=0,ABS(IF(OR(LINEAS!$U$61=1,LINEAS!$U$61=3),1,-1)*LINEAS!$AE$61*DATOS!$C$67)&lt;0.00005),"*",LINEAS!$D$61&amp;" UNI "&amp;IF(LINEAS!$U$61&lt;=2,"GZ","GX")&amp;" "&amp;TEXT(IF(OR(LINEAS!$U$61=1,LINEAS!$U$61=3),1,-1)*LINEAS!$AE$61*DATOS!$C$67,DATOS!$C$68)))</f>
        <v/>
      </c>
      <c r="E723" s="42" t="str">
        <f t="shared" si="23"/>
        <v/>
      </c>
    </row>
    <row r="724" spans="2:5" ht="15" customHeight="1" x14ac:dyDescent="0.3">
      <c r="B724" s="44" t="str">
        <f>IF(OR(LINEAS!$D$62="",LINEAS!$U$62=0,ABS(IF(OR(LINEAS!$U$62=1,LINEAS!$U$62=3),1,-1)*LINEAS!$AE$62*DATOS!$C$67)&lt;0.00005),"*",LINEAS!$D$62&amp;" UNI "&amp;IF(LINEAS!$U$62&lt;=2,"GZ","GX")&amp;" "&amp;TEXT(IF(OR(LINEAS!$U$62=1,LINEAS!$U$62=3),1,-1)*LINEAS!$AE$62*DATOS!$C$67,DATOS!$C$68))</f>
        <v>303 UNI GX -0.8427</v>
      </c>
      <c r="C724" s="42" t="str">
        <f t="shared" si="22"/>
        <v/>
      </c>
      <c r="D724" s="44" t="str">
        <f>IF(PRESIONES!$C$22="NO","",IF(OR(LINEAS!$D$62="",LINEAS!$U$62=0,ABS(IF(OR(LINEAS!$U$62=1,LINEAS!$U$62=3),1,-1)*LINEAS!$AE$62*DATOS!$C$67)&lt;0.00005),"*",LINEAS!$D$62&amp;" UNI "&amp;IF(LINEAS!$U$62&lt;=2,"GZ","GX")&amp;" "&amp;TEXT(IF(OR(LINEAS!$U$62=1,LINEAS!$U$62=3),1,-1)*LINEAS!$AE$62*DATOS!$C$67,DATOS!$C$68)))</f>
        <v/>
      </c>
      <c r="E724" s="42" t="str">
        <f t="shared" si="23"/>
        <v/>
      </c>
    </row>
    <row r="725" spans="2:5" ht="15" customHeight="1" x14ac:dyDescent="0.3">
      <c r="B725" s="44" t="str">
        <f>IF(OR(LINEAS!$D$63="",LINEAS!$U$63=0,ABS(IF(OR(LINEAS!$U$63=1,LINEAS!$U$63=3),1,-1)*LINEAS!$AE$63*DATOS!$C$67)&lt;0.00005),"*",LINEAS!$D$63&amp;" UNI "&amp;IF(LINEAS!$U$63&lt;=2,"GZ","GX")&amp;" "&amp;TEXT(IF(OR(LINEAS!$U$63=1,LINEAS!$U$63=3),1,-1)*LINEAS!$AE$63*DATOS!$C$67,DATOS!$C$68))</f>
        <v>314 UNI GX -0.8427</v>
      </c>
      <c r="C725" s="42" t="str">
        <f t="shared" si="22"/>
        <v/>
      </c>
      <c r="D725" s="44" t="str">
        <f>IF(PRESIONES!$C$22="NO","",IF(OR(LINEAS!$D$63="",LINEAS!$U$63=0,ABS(IF(OR(LINEAS!$U$63=1,LINEAS!$U$63=3),1,-1)*LINEAS!$AE$63*DATOS!$C$67)&lt;0.00005),"*",LINEAS!$D$63&amp;" UNI "&amp;IF(LINEAS!$U$63&lt;=2,"GZ","GX")&amp;" "&amp;TEXT(IF(OR(LINEAS!$U$63=1,LINEAS!$U$63=3),1,-1)*LINEAS!$AE$63*DATOS!$C$67,DATOS!$C$68)))</f>
        <v/>
      </c>
      <c r="E725" s="42" t="str">
        <f t="shared" si="23"/>
        <v/>
      </c>
    </row>
    <row r="726" spans="2:5" ht="15" customHeight="1" x14ac:dyDescent="0.3">
      <c r="B726" s="44" t="str">
        <f>IF(OR(LINEAS!$D$64="",LINEAS!$U$64=0,ABS(IF(OR(LINEAS!$U$64=1,LINEAS!$U$64=3),1,-1)*LINEAS!$AE$64*DATOS!$C$67)&lt;0.00005),"*",LINEAS!$D$64&amp;" UNI "&amp;IF(LINEAS!$U$64&lt;=2,"GZ","GX")&amp;" "&amp;TEXT(IF(OR(LINEAS!$U$64=1,LINEAS!$U$64=3),1,-1)*LINEAS!$AE$64*DATOS!$C$67,DATOS!$C$68))</f>
        <v>313 UNI GX -0.8427</v>
      </c>
      <c r="C726" s="42" t="str">
        <f t="shared" si="22"/>
        <v/>
      </c>
      <c r="D726" s="44" t="str">
        <f>IF(PRESIONES!$C$22="NO","",IF(OR(LINEAS!$D$64="",LINEAS!$U$64=0,ABS(IF(OR(LINEAS!$U$64=1,LINEAS!$U$64=3),1,-1)*LINEAS!$AE$64*DATOS!$C$67)&lt;0.00005),"*",LINEAS!$D$64&amp;" UNI "&amp;IF(LINEAS!$U$64&lt;=2,"GZ","GX")&amp;" "&amp;TEXT(IF(OR(LINEAS!$U$64=1,LINEAS!$U$64=3),1,-1)*LINEAS!$AE$64*DATOS!$C$67,DATOS!$C$68)))</f>
        <v/>
      </c>
      <c r="E726" s="42" t="str">
        <f t="shared" si="23"/>
        <v/>
      </c>
    </row>
    <row r="727" spans="2:5" ht="15" customHeight="1" x14ac:dyDescent="0.3">
      <c r="B727" s="44" t="str">
        <f>IF(OR(LINEAS!$D$65="",LINEAS!$U$65=0,ABS(IF(OR(LINEAS!$U$65=1,LINEAS!$U$65=3),1,-1)*LINEAS!$AE$65*DATOS!$C$67)&lt;0.00005),"*",LINEAS!$D$65&amp;" UNI "&amp;IF(LINEAS!$U$65&lt;=2,"GZ","GX")&amp;" "&amp;TEXT(IF(OR(LINEAS!$U$65=1,LINEAS!$U$65=3),1,-1)*LINEAS!$AE$65*DATOS!$C$67,DATOS!$C$68))</f>
        <v>312 UNI GX -0.8427</v>
      </c>
      <c r="C727" s="42" t="str">
        <f t="shared" si="22"/>
        <v/>
      </c>
      <c r="D727" s="44" t="str">
        <f>IF(PRESIONES!$C$22="NO","",IF(OR(LINEAS!$D$65="",LINEAS!$U$65=0,ABS(IF(OR(LINEAS!$U$65=1,LINEAS!$U$65=3),1,-1)*LINEAS!$AE$65*DATOS!$C$67)&lt;0.00005),"*",LINEAS!$D$65&amp;" UNI "&amp;IF(LINEAS!$U$65&lt;=2,"GZ","GX")&amp;" "&amp;TEXT(IF(OR(LINEAS!$U$65=1,LINEAS!$U$65=3),1,-1)*LINEAS!$AE$65*DATOS!$C$67,DATOS!$C$68)))</f>
        <v/>
      </c>
      <c r="E727" s="42" t="str">
        <f t="shared" si="23"/>
        <v/>
      </c>
    </row>
    <row r="728" spans="2:5" ht="15" customHeight="1" x14ac:dyDescent="0.3">
      <c r="B728" s="44" t="str">
        <f>IF(OR(LINEAS!$D$66="",LINEAS!$U$66=0,ABS(IF(OR(LINEAS!$U$66=1,LINEAS!$U$66=3),1,-1)*LINEAS!$AE$66*DATOS!$C$67)&lt;0.00005),"*",LINEAS!$D$66&amp;" UNI "&amp;IF(LINEAS!$U$66&lt;=2,"GZ","GX")&amp;" "&amp;TEXT(IF(OR(LINEAS!$U$66=1,LINEAS!$U$66=3),1,-1)*LINEAS!$AE$66*DATOS!$C$67,DATOS!$C$68))</f>
        <v>317 UNI GX -0.7198</v>
      </c>
      <c r="C728" s="42" t="str">
        <f t="shared" si="22"/>
        <v/>
      </c>
      <c r="D728" s="44" t="str">
        <f>IF(PRESIONES!$C$22="NO","",IF(OR(LINEAS!$D$66="",LINEAS!$U$66=0,ABS(IF(OR(LINEAS!$U$66=1,LINEAS!$U$66=3),1,-1)*LINEAS!$AE$66*DATOS!$C$67)&lt;0.00005),"*",LINEAS!$D$66&amp;" UNI "&amp;IF(LINEAS!$U$66&lt;=2,"GZ","GX")&amp;" "&amp;TEXT(IF(OR(LINEAS!$U$66=1,LINEAS!$U$66=3),1,-1)*LINEAS!$AE$66*DATOS!$C$67,DATOS!$C$68)))</f>
        <v/>
      </c>
      <c r="E728" s="42" t="str">
        <f t="shared" si="23"/>
        <v/>
      </c>
    </row>
    <row r="729" spans="2:5" ht="15" customHeight="1" x14ac:dyDescent="0.3">
      <c r="B729" s="44" t="str">
        <f>IF(OR(LINEAS!$D$67="",LINEAS!$U$67=0,ABS(IF(OR(LINEAS!$U$67=1,LINEAS!$U$67=3),1,-1)*LINEAS!$AE$67*DATOS!$C$67)&lt;0.00005),"*",LINEAS!$D$67&amp;" UNI "&amp;IF(LINEAS!$U$67&lt;=2,"GZ","GX")&amp;" "&amp;TEXT(IF(OR(LINEAS!$U$67=1,LINEAS!$U$67=3),1,-1)*LINEAS!$AE$67*DATOS!$C$67,DATOS!$C$68))</f>
        <v>316 UNI GX -0.6004</v>
      </c>
      <c r="C729" s="42" t="str">
        <f t="shared" si="22"/>
        <v/>
      </c>
      <c r="D729" s="44" t="str">
        <f>IF(PRESIONES!$C$22="NO","",IF(OR(LINEAS!$D$67="",LINEAS!$U$67=0,ABS(IF(OR(LINEAS!$U$67=1,LINEAS!$U$67=3),1,-1)*LINEAS!$AE$67*DATOS!$C$67)&lt;0.00005),"*",LINEAS!$D$67&amp;" UNI "&amp;IF(LINEAS!$U$67&lt;=2,"GZ","GX")&amp;" "&amp;TEXT(IF(OR(LINEAS!$U$67=1,LINEAS!$U$67=3),1,-1)*LINEAS!$AE$67*DATOS!$C$67,DATOS!$C$68)))</f>
        <v/>
      </c>
      <c r="E729" s="42" t="str">
        <f t="shared" si="23"/>
        <v/>
      </c>
    </row>
    <row r="730" spans="2:5" ht="15" customHeight="1" x14ac:dyDescent="0.3">
      <c r="B730" s="44" t="str">
        <f>IF(OR(LINEAS!$D$68="",LINEAS!$U$68=0,ABS(IF(OR(LINEAS!$U$68=1,LINEAS!$U$68=3),1,-1)*LINEAS!$AE$68*DATOS!$C$67)&lt;0.00005),"*",LINEAS!$D$68&amp;" UNI "&amp;IF(LINEAS!$U$68&lt;=2,"GZ","GX")&amp;" "&amp;TEXT(IF(OR(LINEAS!$U$68=1,LINEAS!$U$68=3),1,-1)*LINEAS!$AE$68*DATOS!$C$67,DATOS!$C$68))</f>
        <v>315 UNI GX -0.5197</v>
      </c>
      <c r="C730" s="42" t="str">
        <f t="shared" si="22"/>
        <v/>
      </c>
      <c r="D730" s="44" t="str">
        <f>IF(PRESIONES!$C$22="NO","",IF(OR(LINEAS!$D$68="",LINEAS!$U$68=0,ABS(IF(OR(LINEAS!$U$68=1,LINEAS!$U$68=3),1,-1)*LINEAS!$AE$68*DATOS!$C$67)&lt;0.00005),"*",LINEAS!$D$68&amp;" UNI "&amp;IF(LINEAS!$U$68&lt;=2,"GZ","GX")&amp;" "&amp;TEXT(IF(OR(LINEAS!$U$68=1,LINEAS!$U$68=3),1,-1)*LINEAS!$AE$68*DATOS!$C$67,DATOS!$C$68)))</f>
        <v/>
      </c>
      <c r="E730" s="42" t="str">
        <f t="shared" si="23"/>
        <v/>
      </c>
    </row>
    <row r="731" spans="2:5" ht="15" customHeight="1" x14ac:dyDescent="0.3">
      <c r="B731" s="44" t="str">
        <f>IF(OR(LINEAS!$D$69="",LINEAS!$U$69=0,ABS(IF(OR(LINEAS!$U$69=1,LINEAS!$U$69=3),1,-1)*LINEAS!$AE$69*DATOS!$C$67)&lt;0.00005),"*",LINEAS!$D$69&amp;" UNI "&amp;IF(LINEAS!$U$69&lt;=2,"GZ","GX")&amp;" "&amp;TEXT(IF(OR(LINEAS!$U$69=1,LINEAS!$U$69=3),1,-1)*LINEAS!$AE$69*DATOS!$C$67,DATOS!$C$68))</f>
        <v>265 UNI GX 0.8427</v>
      </c>
      <c r="C731" s="42" t="str">
        <f t="shared" si="22"/>
        <v/>
      </c>
      <c r="D731" s="44" t="str">
        <f>IF(PRESIONES!$C$22="NO","",IF(OR(LINEAS!$D$69="",LINEAS!$U$69=0,ABS(IF(OR(LINEAS!$U$69=1,LINEAS!$U$69=3),1,-1)*LINEAS!$AE$69*DATOS!$C$67)&lt;0.00005),"*",LINEAS!$D$69&amp;" UNI "&amp;IF(LINEAS!$U$69&lt;=2,"GZ","GX")&amp;" "&amp;TEXT(IF(OR(LINEAS!$U$69=1,LINEAS!$U$69=3),1,-1)*LINEAS!$AE$69*DATOS!$C$67,DATOS!$C$68)))</f>
        <v/>
      </c>
      <c r="E731" s="42" t="str">
        <f t="shared" si="23"/>
        <v/>
      </c>
    </row>
    <row r="732" spans="2:5" ht="15" customHeight="1" x14ac:dyDescent="0.3">
      <c r="B732" s="44" t="str">
        <f>IF(OR(LINEAS!$D$70="",LINEAS!$U$70=0,ABS(IF(OR(LINEAS!$U$70=1,LINEAS!$U$70=3),1,-1)*LINEAS!$AE$70*DATOS!$C$67)&lt;0.00005),"*",LINEAS!$D$70&amp;" UNI "&amp;IF(LINEAS!$U$70&lt;=2,"GZ","GX")&amp;" "&amp;TEXT(IF(OR(LINEAS!$U$70=1,LINEAS!$U$70=3),1,-1)*LINEAS!$AE$70*DATOS!$C$67,DATOS!$C$68))</f>
        <v>266 UNI GX 0.8427</v>
      </c>
      <c r="C732" s="42" t="str">
        <f t="shared" si="22"/>
        <v/>
      </c>
      <c r="D732" s="44" t="str">
        <f>IF(PRESIONES!$C$22="NO","",IF(OR(LINEAS!$D$70="",LINEAS!$U$70=0,ABS(IF(OR(LINEAS!$U$70=1,LINEAS!$U$70=3),1,-1)*LINEAS!$AE$70*DATOS!$C$67)&lt;0.00005),"*",LINEAS!$D$70&amp;" UNI "&amp;IF(LINEAS!$U$70&lt;=2,"GZ","GX")&amp;" "&amp;TEXT(IF(OR(LINEAS!$U$70=1,LINEAS!$U$70=3),1,-1)*LINEAS!$AE$70*DATOS!$C$67,DATOS!$C$68)))</f>
        <v/>
      </c>
      <c r="E732" s="42" t="str">
        <f t="shared" si="23"/>
        <v/>
      </c>
    </row>
    <row r="733" spans="2:5" ht="15" customHeight="1" x14ac:dyDescent="0.3">
      <c r="B733" s="44" t="str">
        <f>IF(OR(LINEAS!$D$71="",LINEAS!$U$71=0,ABS(IF(OR(LINEAS!$U$71=1,LINEAS!$U$71=3),1,-1)*LINEAS!$AE$71*DATOS!$C$67)&lt;0.00005),"*",LINEAS!$D$71&amp;" UNI "&amp;IF(LINEAS!$U$71&lt;=2,"GZ","GX")&amp;" "&amp;TEXT(IF(OR(LINEAS!$U$71=1,LINEAS!$U$71=3),1,-1)*LINEAS!$AE$71*DATOS!$C$67,DATOS!$C$68))</f>
        <v>267 UNI GX 0.8427</v>
      </c>
      <c r="C733" s="42" t="str">
        <f t="shared" si="22"/>
        <v/>
      </c>
      <c r="D733" s="44" t="str">
        <f>IF(PRESIONES!$C$22="NO","",IF(OR(LINEAS!$D$71="",LINEAS!$U$71=0,ABS(IF(OR(LINEAS!$U$71=1,LINEAS!$U$71=3),1,-1)*LINEAS!$AE$71*DATOS!$C$67)&lt;0.00005),"*",LINEAS!$D$71&amp;" UNI "&amp;IF(LINEAS!$U$71&lt;=2,"GZ","GX")&amp;" "&amp;TEXT(IF(OR(LINEAS!$U$71=1,LINEAS!$U$71=3),1,-1)*LINEAS!$AE$71*DATOS!$C$67,DATOS!$C$68)))</f>
        <v/>
      </c>
      <c r="E733" s="42" t="str">
        <f t="shared" si="23"/>
        <v/>
      </c>
    </row>
    <row r="734" spans="2:5" ht="15" customHeight="1" x14ac:dyDescent="0.3">
      <c r="B734" s="44" t="str">
        <f>IF(OR(LINEAS!$D$72="",LINEAS!$U$72=0,ABS(IF(OR(LINEAS!$U$72=1,LINEAS!$U$72=3),1,-1)*LINEAS!$AE$72*DATOS!$C$67)&lt;0.00005),"*",LINEAS!$D$72&amp;" UNI "&amp;IF(LINEAS!$U$72&lt;=2,"GZ","GX")&amp;" "&amp;TEXT(IF(OR(LINEAS!$U$72=1,LINEAS!$U$72=3),1,-1)*LINEAS!$AE$72*DATOS!$C$67,DATOS!$C$68))</f>
        <v>274 UNI GX 0.8427</v>
      </c>
      <c r="C734" s="42" t="str">
        <f t="shared" si="22"/>
        <v/>
      </c>
      <c r="D734" s="44" t="str">
        <f>IF(PRESIONES!$C$22="NO","",IF(OR(LINEAS!$D$72="",LINEAS!$U$72=0,ABS(IF(OR(LINEAS!$U$72=1,LINEAS!$U$72=3),1,-1)*LINEAS!$AE$72*DATOS!$C$67)&lt;0.00005),"*",LINEAS!$D$72&amp;" UNI "&amp;IF(LINEAS!$U$72&lt;=2,"GZ","GX")&amp;" "&amp;TEXT(IF(OR(LINEAS!$U$72=1,LINEAS!$U$72=3),1,-1)*LINEAS!$AE$72*DATOS!$C$67,DATOS!$C$68)))</f>
        <v/>
      </c>
      <c r="E734" s="42" t="str">
        <f t="shared" si="23"/>
        <v/>
      </c>
    </row>
    <row r="735" spans="2:5" ht="15" customHeight="1" x14ac:dyDescent="0.3">
      <c r="B735" s="44" t="str">
        <f>IF(OR(LINEAS!$D$73="",LINEAS!$U$73=0,ABS(IF(OR(LINEAS!$U$73=1,LINEAS!$U$73=3),1,-1)*LINEAS!$AE$73*DATOS!$C$67)&lt;0.00005),"*",LINEAS!$D$73&amp;" UNI "&amp;IF(LINEAS!$U$73&lt;=2,"GZ","GX")&amp;" "&amp;TEXT(IF(OR(LINEAS!$U$73=1,LINEAS!$U$73=3),1,-1)*LINEAS!$AE$73*DATOS!$C$67,DATOS!$C$68))</f>
        <v>275 UNI GX 0.8427</v>
      </c>
      <c r="C735" s="42" t="str">
        <f t="shared" si="22"/>
        <v/>
      </c>
      <c r="D735" s="44" t="str">
        <f>IF(PRESIONES!$C$22="NO","",IF(OR(LINEAS!$D$73="",LINEAS!$U$73=0,ABS(IF(OR(LINEAS!$U$73=1,LINEAS!$U$73=3),1,-1)*LINEAS!$AE$73*DATOS!$C$67)&lt;0.00005),"*",LINEAS!$D$73&amp;" UNI "&amp;IF(LINEAS!$U$73&lt;=2,"GZ","GX")&amp;" "&amp;TEXT(IF(OR(LINEAS!$U$73=1,LINEAS!$U$73=3),1,-1)*LINEAS!$AE$73*DATOS!$C$67,DATOS!$C$68)))</f>
        <v/>
      </c>
      <c r="E735" s="42" t="str">
        <f t="shared" si="23"/>
        <v/>
      </c>
    </row>
    <row r="736" spans="2:5" ht="15" customHeight="1" x14ac:dyDescent="0.3">
      <c r="B736" s="44" t="str">
        <f>IF(OR(LINEAS!$D$74="",LINEAS!$U$74=0,ABS(IF(OR(LINEAS!$U$74=1,LINEAS!$U$74=3),1,-1)*LINEAS!$AE$74*DATOS!$C$67)&lt;0.00005),"*",LINEAS!$D$74&amp;" UNI "&amp;IF(LINEAS!$U$74&lt;=2,"GZ","GX")&amp;" "&amp;TEXT(IF(OR(LINEAS!$U$74=1,LINEAS!$U$74=3),1,-1)*LINEAS!$AE$74*DATOS!$C$67,DATOS!$C$68))</f>
        <v>276 UNI GX 0.8427</v>
      </c>
      <c r="C736" s="42" t="str">
        <f t="shared" si="22"/>
        <v/>
      </c>
      <c r="D736" s="44" t="str">
        <f>IF(PRESIONES!$C$22="NO","",IF(OR(LINEAS!$D$74="",LINEAS!$U$74=0,ABS(IF(OR(LINEAS!$U$74=1,LINEAS!$U$74=3),1,-1)*LINEAS!$AE$74*DATOS!$C$67)&lt;0.00005),"*",LINEAS!$D$74&amp;" UNI "&amp;IF(LINEAS!$U$74&lt;=2,"GZ","GX")&amp;" "&amp;TEXT(IF(OR(LINEAS!$U$74=1,LINEAS!$U$74=3),1,-1)*LINEAS!$AE$74*DATOS!$C$67,DATOS!$C$68)))</f>
        <v/>
      </c>
      <c r="E736" s="42" t="str">
        <f t="shared" si="23"/>
        <v/>
      </c>
    </row>
    <row r="737" spans="2:5" ht="15" customHeight="1" x14ac:dyDescent="0.3">
      <c r="B737" s="44" t="str">
        <f>IF(OR(LINEAS!$D$75="",LINEAS!$U$75=0,ABS(IF(OR(LINEAS!$U$75=1,LINEAS!$U$75=3),1,-1)*LINEAS!$AE$75*DATOS!$C$67)&lt;0.00005),"*",LINEAS!$D$75&amp;" UNI "&amp;IF(LINEAS!$U$75&lt;=2,"GZ","GX")&amp;" "&amp;TEXT(IF(OR(LINEAS!$U$75=1,LINEAS!$U$75=3),1,-1)*LINEAS!$AE$75*DATOS!$C$67,DATOS!$C$68))</f>
        <v>283 UNI GX 0.8427</v>
      </c>
      <c r="C737" s="42" t="str">
        <f t="shared" si="22"/>
        <v/>
      </c>
      <c r="D737" s="44" t="str">
        <f>IF(PRESIONES!$C$22="NO","",IF(OR(LINEAS!$D$75="",LINEAS!$U$75=0,ABS(IF(OR(LINEAS!$U$75=1,LINEAS!$U$75=3),1,-1)*LINEAS!$AE$75*DATOS!$C$67)&lt;0.00005),"*",LINEAS!$D$75&amp;" UNI "&amp;IF(LINEAS!$U$75&lt;=2,"GZ","GX")&amp;" "&amp;TEXT(IF(OR(LINEAS!$U$75=1,LINEAS!$U$75=3),1,-1)*LINEAS!$AE$75*DATOS!$C$67,DATOS!$C$68)))</f>
        <v/>
      </c>
      <c r="E737" s="42" t="str">
        <f t="shared" si="23"/>
        <v/>
      </c>
    </row>
    <row r="738" spans="2:5" ht="15" customHeight="1" x14ac:dyDescent="0.3">
      <c r="B738" s="44" t="str">
        <f>IF(OR(LINEAS!$D$76="",LINEAS!$U$76=0,ABS(IF(OR(LINEAS!$U$76=1,LINEAS!$U$76=3),1,-1)*LINEAS!$AE$76*DATOS!$C$67)&lt;0.00005),"*",LINEAS!$D$76&amp;" UNI "&amp;IF(LINEAS!$U$76&lt;=2,"GZ","GX")&amp;" "&amp;TEXT(IF(OR(LINEAS!$U$76=1,LINEAS!$U$76=3),1,-1)*LINEAS!$AE$76*DATOS!$C$67,DATOS!$C$68))</f>
        <v>284 UNI GX 0.8427</v>
      </c>
      <c r="C738" s="42" t="str">
        <f t="shared" si="22"/>
        <v/>
      </c>
      <c r="D738" s="44" t="str">
        <f>IF(PRESIONES!$C$22="NO","",IF(OR(LINEAS!$D$76="",LINEAS!$U$76=0,ABS(IF(OR(LINEAS!$U$76=1,LINEAS!$U$76=3),1,-1)*LINEAS!$AE$76*DATOS!$C$67)&lt;0.00005),"*",LINEAS!$D$76&amp;" UNI "&amp;IF(LINEAS!$U$76&lt;=2,"GZ","GX")&amp;" "&amp;TEXT(IF(OR(LINEAS!$U$76=1,LINEAS!$U$76=3),1,-1)*LINEAS!$AE$76*DATOS!$C$67,DATOS!$C$68)))</f>
        <v/>
      </c>
      <c r="E738" s="42" t="str">
        <f t="shared" si="23"/>
        <v/>
      </c>
    </row>
    <row r="739" spans="2:5" ht="15" customHeight="1" x14ac:dyDescent="0.3">
      <c r="B739" s="44" t="str">
        <f>IF(OR(LINEAS!$D$77="",LINEAS!$U$77=0,ABS(IF(OR(LINEAS!$U$77=1,LINEAS!$U$77=3),1,-1)*LINEAS!$AE$77*DATOS!$C$67)&lt;0.00005),"*",LINEAS!$D$77&amp;" UNI "&amp;IF(LINEAS!$U$77&lt;=2,"GZ","GX")&amp;" "&amp;TEXT(IF(OR(LINEAS!$U$77=1,LINEAS!$U$77=3),1,-1)*LINEAS!$AE$77*DATOS!$C$67,DATOS!$C$68))</f>
        <v>285 UNI GX 0.8427</v>
      </c>
      <c r="C739" s="42" t="str">
        <f t="shared" si="22"/>
        <v/>
      </c>
      <c r="D739" s="44" t="str">
        <f>IF(PRESIONES!$C$22="NO","",IF(OR(LINEAS!$D$77="",LINEAS!$U$77=0,ABS(IF(OR(LINEAS!$U$77=1,LINEAS!$U$77=3),1,-1)*LINEAS!$AE$77*DATOS!$C$67)&lt;0.00005),"*",LINEAS!$D$77&amp;" UNI "&amp;IF(LINEAS!$U$77&lt;=2,"GZ","GX")&amp;" "&amp;TEXT(IF(OR(LINEAS!$U$77=1,LINEAS!$U$77=3),1,-1)*LINEAS!$AE$77*DATOS!$C$67,DATOS!$C$68)))</f>
        <v/>
      </c>
      <c r="E739" s="42" t="str">
        <f t="shared" si="23"/>
        <v/>
      </c>
    </row>
    <row r="740" spans="2:5" ht="15" customHeight="1" x14ac:dyDescent="0.3">
      <c r="B740" s="44" t="str">
        <f>IF(OR(LINEAS!$D$78="",LINEAS!$U$78=0,ABS(IF(OR(LINEAS!$U$78=1,LINEAS!$U$78=3),1,-1)*LINEAS!$AE$78*DATOS!$C$67)&lt;0.00005),"*",LINEAS!$D$78&amp;" UNI "&amp;IF(LINEAS!$U$78&lt;=2,"GZ","GX")&amp;" "&amp;TEXT(IF(OR(LINEAS!$U$78=1,LINEAS!$U$78=3),1,-1)*LINEAS!$AE$78*DATOS!$C$67,DATOS!$C$68))</f>
        <v>292 UNI GX 0.8427</v>
      </c>
      <c r="C740" s="42" t="str">
        <f t="shared" si="22"/>
        <v/>
      </c>
      <c r="D740" s="44" t="str">
        <f>IF(PRESIONES!$C$22="NO","",IF(OR(LINEAS!$D$78="",LINEAS!$U$78=0,ABS(IF(OR(LINEAS!$U$78=1,LINEAS!$U$78=3),1,-1)*LINEAS!$AE$78*DATOS!$C$67)&lt;0.00005),"*",LINEAS!$D$78&amp;" UNI "&amp;IF(LINEAS!$U$78&lt;=2,"GZ","GX")&amp;" "&amp;TEXT(IF(OR(LINEAS!$U$78=1,LINEAS!$U$78=3),1,-1)*LINEAS!$AE$78*DATOS!$C$67,DATOS!$C$68)))</f>
        <v/>
      </c>
      <c r="E740" s="42" t="str">
        <f t="shared" si="23"/>
        <v/>
      </c>
    </row>
    <row r="741" spans="2:5" ht="15" customHeight="1" x14ac:dyDescent="0.3">
      <c r="B741" s="44" t="str">
        <f>IF(OR(LINEAS!$D$79="",LINEAS!$U$79=0,ABS(IF(OR(LINEAS!$U$79=1,LINEAS!$U$79=3),1,-1)*LINEAS!$AE$79*DATOS!$C$67)&lt;0.00005),"*",LINEAS!$D$79&amp;" UNI "&amp;IF(LINEAS!$U$79&lt;=2,"GZ","GX")&amp;" "&amp;TEXT(IF(OR(LINEAS!$U$79=1,LINEAS!$U$79=3),1,-1)*LINEAS!$AE$79*DATOS!$C$67,DATOS!$C$68))</f>
        <v>293 UNI GX 0.8427</v>
      </c>
      <c r="C741" s="42" t="str">
        <f t="shared" si="22"/>
        <v/>
      </c>
      <c r="D741" s="44" t="str">
        <f>IF(PRESIONES!$C$22="NO","",IF(OR(LINEAS!$D$79="",LINEAS!$U$79=0,ABS(IF(OR(LINEAS!$U$79=1,LINEAS!$U$79=3),1,-1)*LINEAS!$AE$79*DATOS!$C$67)&lt;0.00005),"*",LINEAS!$D$79&amp;" UNI "&amp;IF(LINEAS!$U$79&lt;=2,"GZ","GX")&amp;" "&amp;TEXT(IF(OR(LINEAS!$U$79=1,LINEAS!$U$79=3),1,-1)*LINEAS!$AE$79*DATOS!$C$67,DATOS!$C$68)))</f>
        <v/>
      </c>
      <c r="E741" s="42" t="str">
        <f t="shared" si="23"/>
        <v/>
      </c>
    </row>
    <row r="742" spans="2:5" ht="15" customHeight="1" x14ac:dyDescent="0.3">
      <c r="B742" s="44" t="str">
        <f>IF(OR(LINEAS!$D$80="",LINEAS!$U$80=0,ABS(IF(OR(LINEAS!$U$80=1,LINEAS!$U$80=3),1,-1)*LINEAS!$AE$80*DATOS!$C$67)&lt;0.00005),"*",LINEAS!$D$80&amp;" UNI "&amp;IF(LINEAS!$U$80&lt;=2,"GZ","GX")&amp;" "&amp;TEXT(IF(OR(LINEAS!$U$80=1,LINEAS!$U$80=3),1,-1)*LINEAS!$AE$80*DATOS!$C$67,DATOS!$C$68))</f>
        <v>294 UNI GX 0.8427</v>
      </c>
      <c r="C742" s="42" t="str">
        <f t="shared" si="22"/>
        <v/>
      </c>
      <c r="D742" s="44" t="str">
        <f>IF(PRESIONES!$C$22="NO","",IF(OR(LINEAS!$D$80="",LINEAS!$U$80=0,ABS(IF(OR(LINEAS!$U$80=1,LINEAS!$U$80=3),1,-1)*LINEAS!$AE$80*DATOS!$C$67)&lt;0.00005),"*",LINEAS!$D$80&amp;" UNI "&amp;IF(LINEAS!$U$80&lt;=2,"GZ","GX")&amp;" "&amp;TEXT(IF(OR(LINEAS!$U$80=1,LINEAS!$U$80=3),1,-1)*LINEAS!$AE$80*DATOS!$C$67,DATOS!$C$68)))</f>
        <v/>
      </c>
      <c r="E742" s="42" t="str">
        <f t="shared" si="23"/>
        <v/>
      </c>
    </row>
    <row r="743" spans="2:5" ht="15" customHeight="1" x14ac:dyDescent="0.3">
      <c r="B743" s="44" t="str">
        <f>IF(OR(LINEAS!$D$81="",LINEAS!$U$81=0,ABS(IF(OR(LINEAS!$U$81=1,LINEAS!$U$81=3),1,-1)*LINEAS!$AE$81*DATOS!$C$67)&lt;0.00005),"*",LINEAS!$D$81&amp;" UNI "&amp;IF(LINEAS!$U$81&lt;=2,"GZ","GX")&amp;" "&amp;TEXT(IF(OR(LINEAS!$U$81=1,LINEAS!$U$81=3),1,-1)*LINEAS!$AE$81*DATOS!$C$67,DATOS!$C$68))</f>
        <v>300 UNI GX 0.8427</v>
      </c>
      <c r="C743" s="42" t="str">
        <f t="shared" si="22"/>
        <v/>
      </c>
      <c r="D743" s="44" t="str">
        <f>IF(PRESIONES!$C$22="NO","",IF(OR(LINEAS!$D$81="",LINEAS!$U$81=0,ABS(IF(OR(LINEAS!$U$81=1,LINEAS!$U$81=3),1,-1)*LINEAS!$AE$81*DATOS!$C$67)&lt;0.00005),"*",LINEAS!$D$81&amp;" UNI "&amp;IF(LINEAS!$U$81&lt;=2,"GZ","GX")&amp;" "&amp;TEXT(IF(OR(LINEAS!$U$81=1,LINEAS!$U$81=3),1,-1)*LINEAS!$AE$81*DATOS!$C$67,DATOS!$C$68)))</f>
        <v/>
      </c>
      <c r="E743" s="42" t="str">
        <f t="shared" si="23"/>
        <v/>
      </c>
    </row>
    <row r="744" spans="2:5" ht="15" customHeight="1" x14ac:dyDescent="0.3">
      <c r="B744" s="44" t="str">
        <f>IF(OR(LINEAS!$D$82="",LINEAS!$U$82=0,ABS(IF(OR(LINEAS!$U$82=1,LINEAS!$U$82=3),1,-1)*LINEAS!$AE$82*DATOS!$C$67)&lt;0.00005),"*",LINEAS!$D$82&amp;" UNI "&amp;IF(LINEAS!$U$82&lt;=2,"GZ","GX")&amp;" "&amp;TEXT(IF(OR(LINEAS!$U$82=1,LINEAS!$U$82=3),1,-1)*LINEAS!$AE$82*DATOS!$C$67,DATOS!$C$68))</f>
        <v>301 UNI GX 0.8427</v>
      </c>
      <c r="C744" s="42" t="str">
        <f t="shared" si="22"/>
        <v/>
      </c>
      <c r="D744" s="44" t="str">
        <f>IF(PRESIONES!$C$22="NO","",IF(OR(LINEAS!$D$82="",LINEAS!$U$82=0,ABS(IF(OR(LINEAS!$U$82=1,LINEAS!$U$82=3),1,-1)*LINEAS!$AE$82*DATOS!$C$67)&lt;0.00005),"*",LINEAS!$D$82&amp;" UNI "&amp;IF(LINEAS!$U$82&lt;=2,"GZ","GX")&amp;" "&amp;TEXT(IF(OR(LINEAS!$U$82=1,LINEAS!$U$82=3),1,-1)*LINEAS!$AE$82*DATOS!$C$67,DATOS!$C$68)))</f>
        <v/>
      </c>
      <c r="E744" s="42" t="str">
        <f t="shared" si="23"/>
        <v/>
      </c>
    </row>
    <row r="745" spans="2:5" ht="15" customHeight="1" x14ac:dyDescent="0.3">
      <c r="B745" s="44" t="str">
        <f>IF(OR(LINEAS!$D$83="",LINEAS!$U$83=0,ABS(IF(OR(LINEAS!$U$83=1,LINEAS!$U$83=3),1,-1)*LINEAS!$AE$83*DATOS!$C$67)&lt;0.00005),"*",LINEAS!$D$83&amp;" UNI "&amp;IF(LINEAS!$U$83&lt;=2,"GZ","GX")&amp;" "&amp;TEXT(IF(OR(LINEAS!$U$83=1,LINEAS!$U$83=3),1,-1)*LINEAS!$AE$83*DATOS!$C$67,DATOS!$C$68))</f>
        <v>302 UNI GX 0.8427</v>
      </c>
      <c r="C745" s="42" t="str">
        <f t="shared" si="22"/>
        <v/>
      </c>
      <c r="D745" s="44" t="str">
        <f>IF(PRESIONES!$C$22="NO","",IF(OR(LINEAS!$D$83="",LINEAS!$U$83=0,ABS(IF(OR(LINEAS!$U$83=1,LINEAS!$U$83=3),1,-1)*LINEAS!$AE$83*DATOS!$C$67)&lt;0.00005),"*",LINEAS!$D$83&amp;" UNI "&amp;IF(LINEAS!$U$83&lt;=2,"GZ","GX")&amp;" "&amp;TEXT(IF(OR(LINEAS!$U$83=1,LINEAS!$U$83=3),1,-1)*LINEAS!$AE$83*DATOS!$C$67,DATOS!$C$68)))</f>
        <v/>
      </c>
      <c r="E745" s="42" t="str">
        <f t="shared" si="23"/>
        <v/>
      </c>
    </row>
    <row r="746" spans="2:5" ht="15" customHeight="1" x14ac:dyDescent="0.3">
      <c r="B746" s="44" t="str">
        <f>IF(OR(LINEAS!$D$84="",LINEAS!$U$84=0,ABS(IF(OR(LINEAS!$U$84=1,LINEAS!$U$84=3),1,-1)*LINEAS!$AE$84*DATOS!$C$67)&lt;0.00005),"*",LINEAS!$D$84&amp;" UNI "&amp;IF(LINEAS!$U$84&lt;=2,"GZ","GX")&amp;" "&amp;TEXT(IF(OR(LINEAS!$U$84=1,LINEAS!$U$84=3),1,-1)*LINEAS!$AE$84*DATOS!$C$67,DATOS!$C$68))</f>
        <v>307 UNI GX 0.8427</v>
      </c>
      <c r="C746" s="42" t="str">
        <f t="shared" si="22"/>
        <v/>
      </c>
      <c r="D746" s="44" t="str">
        <f>IF(PRESIONES!$C$22="NO","",IF(OR(LINEAS!$D$84="",LINEAS!$U$84=0,ABS(IF(OR(LINEAS!$U$84=1,LINEAS!$U$84=3),1,-1)*LINEAS!$AE$84*DATOS!$C$67)&lt;0.00005),"*",LINEAS!$D$84&amp;" UNI "&amp;IF(LINEAS!$U$84&lt;=2,"GZ","GX")&amp;" "&amp;TEXT(IF(OR(LINEAS!$U$84=1,LINEAS!$U$84=3),1,-1)*LINEAS!$AE$84*DATOS!$C$67,DATOS!$C$68)))</f>
        <v/>
      </c>
      <c r="E746" s="42" t="str">
        <f t="shared" si="23"/>
        <v/>
      </c>
    </row>
    <row r="747" spans="2:5" ht="15" customHeight="1" x14ac:dyDescent="0.3">
      <c r="B747" s="44" t="str">
        <f>IF(OR(LINEAS!$D$85="",LINEAS!$U$85=0,ABS(IF(OR(LINEAS!$U$85=1,LINEAS!$U$85=3),1,-1)*LINEAS!$AE$85*DATOS!$C$67)&lt;0.00005),"*",LINEAS!$D$85&amp;" UNI "&amp;IF(LINEAS!$U$85&lt;=2,"GZ","GX")&amp;" "&amp;TEXT(IF(OR(LINEAS!$U$85=1,LINEAS!$U$85=3),1,-1)*LINEAS!$AE$85*DATOS!$C$67,DATOS!$C$68))</f>
        <v>308 UNI GX 0.8427</v>
      </c>
      <c r="C747" s="42" t="str">
        <f t="shared" si="22"/>
        <v/>
      </c>
      <c r="D747" s="44" t="str">
        <f>IF(PRESIONES!$C$22="NO","",IF(OR(LINEAS!$D$85="",LINEAS!$U$85=0,ABS(IF(OR(LINEAS!$U$85=1,LINEAS!$U$85=3),1,-1)*LINEAS!$AE$85*DATOS!$C$67)&lt;0.00005),"*",LINEAS!$D$85&amp;" UNI "&amp;IF(LINEAS!$U$85&lt;=2,"GZ","GX")&amp;" "&amp;TEXT(IF(OR(LINEAS!$U$85=1,LINEAS!$U$85=3),1,-1)*LINEAS!$AE$85*DATOS!$C$67,DATOS!$C$68)))</f>
        <v/>
      </c>
      <c r="E747" s="42" t="str">
        <f t="shared" si="23"/>
        <v/>
      </c>
    </row>
    <row r="748" spans="2:5" ht="15" customHeight="1" x14ac:dyDescent="0.3">
      <c r="B748" s="44" t="str">
        <f>IF(OR(LINEAS!$D$86="",LINEAS!$U$86=0,ABS(IF(OR(LINEAS!$U$86=1,LINEAS!$U$86=3),1,-1)*LINEAS!$AE$86*DATOS!$C$67)&lt;0.00005),"*",LINEAS!$D$86&amp;" UNI "&amp;IF(LINEAS!$U$86&lt;=2,"GZ","GX")&amp;" "&amp;TEXT(IF(OR(LINEAS!$U$86=1,LINEAS!$U$86=3),1,-1)*LINEAS!$AE$86*DATOS!$C$67,DATOS!$C$68))</f>
        <v>309 UNI GX 0.8427</v>
      </c>
      <c r="C748" s="42" t="str">
        <f t="shared" si="22"/>
        <v/>
      </c>
      <c r="D748" s="44" t="str">
        <f>IF(PRESIONES!$C$22="NO","",IF(OR(LINEAS!$D$86="",LINEAS!$U$86=0,ABS(IF(OR(LINEAS!$U$86=1,LINEAS!$U$86=3),1,-1)*LINEAS!$AE$86*DATOS!$C$67)&lt;0.00005),"*",LINEAS!$D$86&amp;" UNI "&amp;IF(LINEAS!$U$86&lt;=2,"GZ","GX")&amp;" "&amp;TEXT(IF(OR(LINEAS!$U$86=1,LINEAS!$U$86=3),1,-1)*LINEAS!$AE$86*DATOS!$C$67,DATOS!$C$68)))</f>
        <v/>
      </c>
      <c r="E748" s="42" t="str">
        <f t="shared" si="23"/>
        <v/>
      </c>
    </row>
    <row r="749" spans="2:5" ht="15" customHeight="1" x14ac:dyDescent="0.3">
      <c r="B749" s="44" t="str">
        <f>IF(OR(LINEAS!$D$87="",LINEAS!$U$87=0,ABS(IF(OR(LINEAS!$U$87=1,LINEAS!$U$87=3),1,-1)*LINEAS!$AE$87*DATOS!$C$67)&lt;0.00005),"*",LINEAS!$D$87&amp;" UNI "&amp;IF(LINEAS!$U$87&lt;=2,"GZ","GX")&amp;" "&amp;TEXT(IF(OR(LINEAS!$U$87=1,LINEAS!$U$87=3),1,-1)*LINEAS!$AE$87*DATOS!$C$67,DATOS!$C$68))</f>
        <v>318 UNI GX 0.8427</v>
      </c>
      <c r="C749" s="42" t="str">
        <f t="shared" si="22"/>
        <v/>
      </c>
      <c r="D749" s="44" t="str">
        <f>IF(PRESIONES!$C$22="NO","",IF(OR(LINEAS!$D$87="",LINEAS!$U$87=0,ABS(IF(OR(LINEAS!$U$87=1,LINEAS!$U$87=3),1,-1)*LINEAS!$AE$87*DATOS!$C$67)&lt;0.00005),"*",LINEAS!$D$87&amp;" UNI "&amp;IF(LINEAS!$U$87&lt;=2,"GZ","GX")&amp;" "&amp;TEXT(IF(OR(LINEAS!$U$87=1,LINEAS!$U$87=3),1,-1)*LINEAS!$AE$87*DATOS!$C$67,DATOS!$C$68)))</f>
        <v/>
      </c>
      <c r="E749" s="42" t="str">
        <f t="shared" si="23"/>
        <v/>
      </c>
    </row>
    <row r="750" spans="2:5" ht="15" customHeight="1" x14ac:dyDescent="0.3">
      <c r="B750" s="44" t="str">
        <f>IF(OR(LINEAS!$D$88="",LINEAS!$U$88=0,ABS(IF(OR(LINEAS!$U$88=1,LINEAS!$U$88=3),1,-1)*LINEAS!$AE$88*DATOS!$C$67)&lt;0.00005),"*",LINEAS!$D$88&amp;" UNI "&amp;IF(LINEAS!$U$88&lt;=2,"GZ","GX")&amp;" "&amp;TEXT(IF(OR(LINEAS!$U$88=1,LINEAS!$U$88=3),1,-1)*LINEAS!$AE$88*DATOS!$C$67,DATOS!$C$68))</f>
        <v>311 UNI GX 0.8427</v>
      </c>
      <c r="C750" s="42" t="str">
        <f t="shared" si="22"/>
        <v/>
      </c>
      <c r="D750" s="44" t="str">
        <f>IF(PRESIONES!$C$22="NO","",IF(OR(LINEAS!$D$88="",LINEAS!$U$88=0,ABS(IF(OR(LINEAS!$U$88=1,LINEAS!$U$88=3),1,-1)*LINEAS!$AE$88*DATOS!$C$67)&lt;0.00005),"*",LINEAS!$D$88&amp;" UNI "&amp;IF(LINEAS!$U$88&lt;=2,"GZ","GX")&amp;" "&amp;TEXT(IF(OR(LINEAS!$U$88=1,LINEAS!$U$88=3),1,-1)*LINEAS!$AE$88*DATOS!$C$67,DATOS!$C$68)))</f>
        <v/>
      </c>
      <c r="E750" s="42" t="str">
        <f t="shared" si="23"/>
        <v/>
      </c>
    </row>
    <row r="751" spans="2:5" ht="15" customHeight="1" x14ac:dyDescent="0.3">
      <c r="B751" s="44" t="str">
        <f>IF(OR(LINEAS!$D$89="",LINEAS!$U$89=0,ABS(IF(OR(LINEAS!$U$89=1,LINEAS!$U$89=3),1,-1)*LINEAS!$AE$89*DATOS!$C$67)&lt;0.00005),"*",LINEAS!$D$89&amp;" UNI "&amp;IF(LINEAS!$U$89&lt;=2,"GZ","GX")&amp;" "&amp;TEXT(IF(OR(LINEAS!$U$89=1,LINEAS!$U$89=3),1,-1)*LINEAS!$AE$89*DATOS!$C$67,DATOS!$C$68))</f>
        <v>310 UNI GX 0.8427</v>
      </c>
      <c r="C751" s="42" t="str">
        <f t="shared" si="22"/>
        <v/>
      </c>
      <c r="D751" s="44" t="str">
        <f>IF(PRESIONES!$C$22="NO","",IF(OR(LINEAS!$D$89="",LINEAS!$U$89=0,ABS(IF(OR(LINEAS!$U$89=1,LINEAS!$U$89=3),1,-1)*LINEAS!$AE$89*DATOS!$C$67)&lt;0.00005),"*",LINEAS!$D$89&amp;" UNI "&amp;IF(LINEAS!$U$89&lt;=2,"GZ","GX")&amp;" "&amp;TEXT(IF(OR(LINEAS!$U$89=1,LINEAS!$U$89=3),1,-1)*LINEAS!$AE$89*DATOS!$C$67,DATOS!$C$68)))</f>
        <v/>
      </c>
      <c r="E751" s="42" t="str">
        <f t="shared" si="23"/>
        <v/>
      </c>
    </row>
    <row r="752" spans="2:5" ht="15" customHeight="1" x14ac:dyDescent="0.3">
      <c r="B752" s="44" t="str">
        <f>IF(OR(LINEAS!$D$90="",LINEAS!$U$90=0,ABS(IF(OR(LINEAS!$U$90=1,LINEAS!$U$90=3),1,-1)*LINEAS!$AE$90*DATOS!$C$67)&lt;0.00005),"*",LINEAS!$D$90&amp;" UNI "&amp;IF(LINEAS!$U$90&lt;=2,"GZ","GX")&amp;" "&amp;TEXT(IF(OR(LINEAS!$U$90=1,LINEAS!$U$90=3),1,-1)*LINEAS!$AE$90*DATOS!$C$67,DATOS!$C$68))</f>
        <v>321 UNI GX 0.7198</v>
      </c>
      <c r="C752" s="42" t="str">
        <f t="shared" si="22"/>
        <v/>
      </c>
      <c r="D752" s="44" t="str">
        <f>IF(PRESIONES!$C$22="NO","",IF(OR(LINEAS!$D$90="",LINEAS!$U$90=0,ABS(IF(OR(LINEAS!$U$90=1,LINEAS!$U$90=3),1,-1)*LINEAS!$AE$90*DATOS!$C$67)&lt;0.00005),"*",LINEAS!$D$90&amp;" UNI "&amp;IF(LINEAS!$U$90&lt;=2,"GZ","GX")&amp;" "&amp;TEXT(IF(OR(LINEAS!$U$90=1,LINEAS!$U$90=3),1,-1)*LINEAS!$AE$90*DATOS!$C$67,DATOS!$C$68)))</f>
        <v/>
      </c>
      <c r="E752" s="42" t="str">
        <f t="shared" si="23"/>
        <v/>
      </c>
    </row>
    <row r="753" spans="2:5" ht="15" customHeight="1" x14ac:dyDescent="0.3">
      <c r="B753" s="44" t="str">
        <f>IF(OR(LINEAS!$D$91="",LINEAS!$U$91=0,ABS(IF(OR(LINEAS!$U$91=1,LINEAS!$U$91=3),1,-1)*LINEAS!$AE$91*DATOS!$C$67)&lt;0.00005),"*",LINEAS!$D$91&amp;" UNI "&amp;IF(LINEAS!$U$91&lt;=2,"GZ","GX")&amp;" "&amp;TEXT(IF(OR(LINEAS!$U$91=1,LINEAS!$U$91=3),1,-1)*LINEAS!$AE$91*DATOS!$C$67,DATOS!$C$68))</f>
        <v>320 UNI GX 0.6004</v>
      </c>
      <c r="C753" s="42" t="str">
        <f t="shared" si="22"/>
        <v/>
      </c>
      <c r="D753" s="44" t="str">
        <f>IF(PRESIONES!$C$22="NO","",IF(OR(LINEAS!$D$91="",LINEAS!$U$91=0,ABS(IF(OR(LINEAS!$U$91=1,LINEAS!$U$91=3),1,-1)*LINEAS!$AE$91*DATOS!$C$67)&lt;0.00005),"*",LINEAS!$D$91&amp;" UNI "&amp;IF(LINEAS!$U$91&lt;=2,"GZ","GX")&amp;" "&amp;TEXT(IF(OR(LINEAS!$U$91=1,LINEAS!$U$91=3),1,-1)*LINEAS!$AE$91*DATOS!$C$67,DATOS!$C$68)))</f>
        <v/>
      </c>
      <c r="E753" s="42" t="str">
        <f t="shared" si="23"/>
        <v/>
      </c>
    </row>
    <row r="754" spans="2:5" ht="15" customHeight="1" x14ac:dyDescent="0.3">
      <c r="B754" s="44" t="str">
        <f>IF(OR(LINEAS!$D$92="",LINEAS!$U$92=0,ABS(IF(OR(LINEAS!$U$92=1,LINEAS!$U$92=3),1,-1)*LINEAS!$AE$92*DATOS!$C$67)&lt;0.00005),"*",LINEAS!$D$92&amp;" UNI "&amp;IF(LINEAS!$U$92&lt;=2,"GZ","GX")&amp;" "&amp;TEXT(IF(OR(LINEAS!$U$92=1,LINEAS!$U$92=3),1,-1)*LINEAS!$AE$92*DATOS!$C$67,DATOS!$C$68))</f>
        <v>319 UNI GX 0.5197</v>
      </c>
      <c r="C754" s="42" t="str">
        <f t="shared" si="22"/>
        <v/>
      </c>
      <c r="D754" s="44" t="str">
        <f>IF(PRESIONES!$C$22="NO","",IF(OR(LINEAS!$D$92="",LINEAS!$U$92=0,ABS(IF(OR(LINEAS!$U$92=1,LINEAS!$U$92=3),1,-1)*LINEAS!$AE$92*DATOS!$C$67)&lt;0.00005),"*",LINEAS!$D$92&amp;" UNI "&amp;IF(LINEAS!$U$92&lt;=2,"GZ","GX")&amp;" "&amp;TEXT(IF(OR(LINEAS!$U$92=1,LINEAS!$U$92=3),1,-1)*LINEAS!$AE$92*DATOS!$C$67,DATOS!$C$68)))</f>
        <v/>
      </c>
      <c r="E754" s="42" t="str">
        <f t="shared" si="23"/>
        <v/>
      </c>
    </row>
    <row r="755" spans="2:5" ht="15" customHeight="1" x14ac:dyDescent="0.3">
      <c r="B755" s="44" t="str">
        <f>IF(OR(LINEAS!$D$93="",LINEAS!$U$93=0,ABS(IF(OR(LINEAS!$U$93=1,LINEAS!$U$93=3),1,-1)*LINEAS!$AE$93*DATOS!$C$67)&lt;0.00005),"*",LINEAS!$D$93&amp;" UNI "&amp;IF(LINEAS!$U$93&lt;=2,"GZ","GX")&amp;" "&amp;TEXT(IF(OR(LINEAS!$U$93=1,LINEAS!$U$93=3),1,-1)*LINEAS!$AE$93*DATOS!$C$67,DATOS!$C$68))</f>
        <v>60 UNI GX -0.3463</v>
      </c>
      <c r="C755" s="42" t="str">
        <f t="shared" si="22"/>
        <v/>
      </c>
      <c r="D755" s="44" t="str">
        <f>IF(PRESIONES!$C$22="NO","",IF(OR(LINEAS!$D$93="",LINEAS!$U$93=0,ABS(IF(OR(LINEAS!$U$93=1,LINEAS!$U$93=3),1,-1)*LINEAS!$AE$93*DATOS!$C$67)&lt;0.00005),"*",LINEAS!$D$93&amp;" UNI "&amp;IF(LINEAS!$U$93&lt;=2,"GZ","GX")&amp;" "&amp;TEXT(IF(OR(LINEAS!$U$93=1,LINEAS!$U$93=3),1,-1)*LINEAS!$AE$93*DATOS!$C$67,DATOS!$C$68)))</f>
        <v/>
      </c>
      <c r="E755" s="42" t="str">
        <f t="shared" si="23"/>
        <v/>
      </c>
    </row>
    <row r="756" spans="2:5" ht="15" customHeight="1" x14ac:dyDescent="0.3">
      <c r="B756" s="44" t="str">
        <f>IF(OR(LINEAS!$D$94="",LINEAS!$U$94=0,ABS(IF(OR(LINEAS!$U$94=1,LINEAS!$U$94=3),1,-1)*LINEAS!$AE$94*DATOS!$C$67)&lt;0.00005),"*",LINEAS!$D$94&amp;" UNI "&amp;IF(LINEAS!$U$94&lt;=2,"GZ","GX")&amp;" "&amp;TEXT(IF(OR(LINEAS!$U$94=1,LINEAS!$U$94=3),1,-1)*LINEAS!$AE$94*DATOS!$C$67,DATOS!$C$68))</f>
        <v>59 UNI GX -0.3226</v>
      </c>
      <c r="C756" s="42" t="str">
        <f t="shared" si="22"/>
        <v/>
      </c>
      <c r="D756" s="44" t="str">
        <f>IF(PRESIONES!$C$22="NO","",IF(OR(LINEAS!$D$94="",LINEAS!$U$94=0,ABS(IF(OR(LINEAS!$U$94=1,LINEAS!$U$94=3),1,-1)*LINEAS!$AE$94*DATOS!$C$67)&lt;0.00005),"*",LINEAS!$D$94&amp;" UNI "&amp;IF(LINEAS!$U$94&lt;=2,"GZ","GX")&amp;" "&amp;TEXT(IF(OR(LINEAS!$U$94=1,LINEAS!$U$94=3),1,-1)*LINEAS!$AE$94*DATOS!$C$67,DATOS!$C$68)))</f>
        <v/>
      </c>
      <c r="E756" s="42" t="str">
        <f t="shared" si="23"/>
        <v/>
      </c>
    </row>
    <row r="757" spans="2:5" ht="15" customHeight="1" x14ac:dyDescent="0.3">
      <c r="B757" s="44" t="str">
        <f>IF(OR(LINEAS!$D$95="",LINEAS!$U$95=0,ABS(IF(OR(LINEAS!$U$95=1,LINEAS!$U$95=3),1,-1)*LINEAS!$AE$95*DATOS!$C$67)&lt;0.00005),"*",LINEAS!$D$95&amp;" UNI "&amp;IF(LINEAS!$U$95&lt;=2,"GZ","GX")&amp;" "&amp;TEXT(IF(OR(LINEAS!$U$95=1,LINEAS!$U$95=3),1,-1)*LINEAS!$AE$95*DATOS!$C$67,DATOS!$C$68))</f>
        <v>58 UNI GX -0.2989</v>
      </c>
      <c r="C757" s="42" t="str">
        <f t="shared" si="22"/>
        <v/>
      </c>
      <c r="D757" s="44" t="str">
        <f>IF(PRESIONES!$C$22="NO","",IF(OR(LINEAS!$D$95="",LINEAS!$U$95=0,ABS(IF(OR(LINEAS!$U$95=1,LINEAS!$U$95=3),1,-1)*LINEAS!$AE$95*DATOS!$C$67)&lt;0.00005),"*",LINEAS!$D$95&amp;" UNI "&amp;IF(LINEAS!$U$95&lt;=2,"GZ","GX")&amp;" "&amp;TEXT(IF(OR(LINEAS!$U$95=1,LINEAS!$U$95=3),1,-1)*LINEAS!$AE$95*DATOS!$C$67,DATOS!$C$68)))</f>
        <v/>
      </c>
      <c r="E757" s="42" t="str">
        <f t="shared" si="23"/>
        <v/>
      </c>
    </row>
    <row r="758" spans="2:5" ht="15" customHeight="1" x14ac:dyDescent="0.3">
      <c r="B758" s="44" t="str">
        <f>IF(OR(LINEAS!$D$96="",LINEAS!$U$96=0,ABS(IF(OR(LINEAS!$U$96=1,LINEAS!$U$96=3),1,-1)*LINEAS!$AE$96*DATOS!$C$67)&lt;0.00005),"*",LINEAS!$D$96&amp;" UNI "&amp;IF(LINEAS!$U$96&lt;=2,"GZ","GX")&amp;" "&amp;TEXT(IF(OR(LINEAS!$U$96=1,LINEAS!$U$96=3),1,-1)*LINEAS!$AE$96*DATOS!$C$67,DATOS!$C$68))</f>
        <v>57 UNI GX -0.2752</v>
      </c>
      <c r="C758" s="42" t="str">
        <f t="shared" si="22"/>
        <v/>
      </c>
      <c r="D758" s="44" t="str">
        <f>IF(PRESIONES!$C$22="NO","",IF(OR(LINEAS!$D$96="",LINEAS!$U$96=0,ABS(IF(OR(LINEAS!$U$96=1,LINEAS!$U$96=3),1,-1)*LINEAS!$AE$96*DATOS!$C$67)&lt;0.00005),"*",LINEAS!$D$96&amp;" UNI "&amp;IF(LINEAS!$U$96&lt;=2,"GZ","GX")&amp;" "&amp;TEXT(IF(OR(LINEAS!$U$96=1,LINEAS!$U$96=3),1,-1)*LINEAS!$AE$96*DATOS!$C$67,DATOS!$C$68)))</f>
        <v/>
      </c>
      <c r="E758" s="42" t="str">
        <f t="shared" si="23"/>
        <v/>
      </c>
    </row>
    <row r="759" spans="2:5" ht="15" customHeight="1" x14ac:dyDescent="0.3">
      <c r="B759" s="44" t="str">
        <f>IF(OR(LINEAS!$D$97="",LINEAS!$U$97=0,ABS(IF(OR(LINEAS!$U$97=1,LINEAS!$U$97=3),1,-1)*LINEAS!$AE$97*DATOS!$C$67)&lt;0.00005),"*",LINEAS!$D$97&amp;" UNI "&amp;IF(LINEAS!$U$97&lt;=2,"GZ","GX")&amp;" "&amp;TEXT(IF(OR(LINEAS!$U$97=1,LINEAS!$U$97=3),1,-1)*LINEAS!$AE$97*DATOS!$C$67,DATOS!$C$68))</f>
        <v>10 UNI GX -0.2515</v>
      </c>
      <c r="C759" s="42" t="str">
        <f t="shared" si="22"/>
        <v/>
      </c>
      <c r="D759" s="44" t="str">
        <f>IF(PRESIONES!$C$22="NO","",IF(OR(LINEAS!$D$97="",LINEAS!$U$97=0,ABS(IF(OR(LINEAS!$U$97=1,LINEAS!$U$97=3),1,-1)*LINEAS!$AE$97*DATOS!$C$67)&lt;0.00005),"*",LINEAS!$D$97&amp;" UNI "&amp;IF(LINEAS!$U$97&lt;=2,"GZ","GX")&amp;" "&amp;TEXT(IF(OR(LINEAS!$U$97=1,LINEAS!$U$97=3),1,-1)*LINEAS!$AE$97*DATOS!$C$67,DATOS!$C$68)))</f>
        <v/>
      </c>
      <c r="E759" s="42" t="str">
        <f t="shared" si="23"/>
        <v/>
      </c>
    </row>
    <row r="760" spans="2:5" ht="15" customHeight="1" x14ac:dyDescent="0.3">
      <c r="B760" s="44" t="str">
        <f>IF(OR(LINEAS!$D$98="",LINEAS!$U$98=0,ABS(IF(OR(LINEAS!$U$98=1,LINEAS!$U$98=3),1,-1)*LINEAS!$AE$98*DATOS!$C$67)&lt;0.00005),"*",LINEAS!$D$98&amp;" UNI "&amp;IF(LINEAS!$U$98&lt;=2,"GZ","GX")&amp;" "&amp;TEXT(IF(OR(LINEAS!$U$98=1,LINEAS!$U$98=3),1,-1)*LINEAS!$AE$98*DATOS!$C$67,DATOS!$C$68))</f>
        <v>68 UNI GX -0.2278</v>
      </c>
      <c r="C760" s="42" t="str">
        <f t="shared" si="22"/>
        <v/>
      </c>
      <c r="D760" s="44" t="str">
        <f>IF(PRESIONES!$C$22="NO","",IF(OR(LINEAS!$D$98="",LINEAS!$U$98=0,ABS(IF(OR(LINEAS!$U$98=1,LINEAS!$U$98=3),1,-1)*LINEAS!$AE$98*DATOS!$C$67)&lt;0.00005),"*",LINEAS!$D$98&amp;" UNI "&amp;IF(LINEAS!$U$98&lt;=2,"GZ","GX")&amp;" "&amp;TEXT(IF(OR(LINEAS!$U$98=1,LINEAS!$U$98=3),1,-1)*LINEAS!$AE$98*DATOS!$C$67,DATOS!$C$68)))</f>
        <v/>
      </c>
      <c r="E760" s="42" t="str">
        <f t="shared" si="23"/>
        <v/>
      </c>
    </row>
    <row r="761" spans="2:5" ht="15" customHeight="1" x14ac:dyDescent="0.3">
      <c r="B761" s="44" t="str">
        <f>IF(OR(LINEAS!$D$99="",LINEAS!$U$99=0,ABS(IF(OR(LINEAS!$U$99=1,LINEAS!$U$99=3),1,-1)*LINEAS!$AE$99*DATOS!$C$67)&lt;0.00005),"*",LINEAS!$D$99&amp;" UNI "&amp;IF(LINEAS!$U$99&lt;=2,"GZ","GX")&amp;" "&amp;TEXT(IF(OR(LINEAS!$U$99=1,LINEAS!$U$99=3),1,-1)*LINEAS!$AE$99*DATOS!$C$67,DATOS!$C$68))</f>
        <v>67 UNI GX -0.2041</v>
      </c>
      <c r="C761" s="42" t="str">
        <f t="shared" si="22"/>
        <v/>
      </c>
      <c r="D761" s="44" t="str">
        <f>IF(PRESIONES!$C$22="NO","",IF(OR(LINEAS!$D$99="",LINEAS!$U$99=0,ABS(IF(OR(LINEAS!$U$99=1,LINEAS!$U$99=3),1,-1)*LINEAS!$AE$99*DATOS!$C$67)&lt;0.00005),"*",LINEAS!$D$99&amp;" UNI "&amp;IF(LINEAS!$U$99&lt;=2,"GZ","GX")&amp;" "&amp;TEXT(IF(OR(LINEAS!$U$99=1,LINEAS!$U$99=3),1,-1)*LINEAS!$AE$99*DATOS!$C$67,DATOS!$C$68)))</f>
        <v/>
      </c>
      <c r="E761" s="42" t="str">
        <f t="shared" si="23"/>
        <v/>
      </c>
    </row>
    <row r="762" spans="2:5" ht="15" customHeight="1" x14ac:dyDescent="0.3">
      <c r="B762" s="44" t="str">
        <f>IF(OR(LINEAS!$D$100="",LINEAS!$U$100=0,ABS(IF(OR(LINEAS!$U$100=1,LINEAS!$U$100=3),1,-1)*LINEAS!$AE$100*DATOS!$C$67)&lt;0.00005),"*",LINEAS!$D$100&amp;" UNI "&amp;IF(LINEAS!$U$100&lt;=2,"GZ","GX")&amp;" "&amp;TEXT(IF(OR(LINEAS!$U$100=1,LINEAS!$U$100=3),1,-1)*LINEAS!$AE$100*DATOS!$C$67,DATOS!$C$68))</f>
        <v>66 UNI GX -0.1804</v>
      </c>
      <c r="C762" s="42" t="str">
        <f t="shared" si="22"/>
        <v/>
      </c>
      <c r="D762" s="44" t="str">
        <f>IF(PRESIONES!$C$22="NO","",IF(OR(LINEAS!$D$100="",LINEAS!$U$100=0,ABS(IF(OR(LINEAS!$U$100=1,LINEAS!$U$100=3),1,-1)*LINEAS!$AE$100*DATOS!$C$67)&lt;0.00005),"*",LINEAS!$D$100&amp;" UNI "&amp;IF(LINEAS!$U$100&lt;=2,"GZ","GX")&amp;" "&amp;TEXT(IF(OR(LINEAS!$U$100=1,LINEAS!$U$100=3),1,-1)*LINEAS!$AE$100*DATOS!$C$67,DATOS!$C$68)))</f>
        <v/>
      </c>
      <c r="E762" s="42" t="str">
        <f t="shared" si="23"/>
        <v/>
      </c>
    </row>
    <row r="763" spans="2:5" ht="15" customHeight="1" x14ac:dyDescent="0.3">
      <c r="B763" s="44" t="str">
        <f>IF(OR(LINEAS!$D$101="",LINEAS!$U$101=0,ABS(IF(OR(LINEAS!$U$101=1,LINEAS!$U$101=3),1,-1)*LINEAS!$AE$101*DATOS!$C$67)&lt;0.00005),"*",LINEAS!$D$101&amp;" UNI "&amp;IF(LINEAS!$U$101&lt;=2,"GZ","GX")&amp;" "&amp;TEXT(IF(OR(LINEAS!$U$101=1,LINEAS!$U$101=3),1,-1)*LINEAS!$AE$101*DATOS!$C$67,DATOS!$C$68))</f>
        <v>65 UNI GX -0.1567</v>
      </c>
      <c r="C763" s="42" t="str">
        <f t="shared" si="22"/>
        <v/>
      </c>
      <c r="D763" s="44" t="str">
        <f>IF(PRESIONES!$C$22="NO","",IF(OR(LINEAS!$D$101="",LINEAS!$U$101=0,ABS(IF(OR(LINEAS!$U$101=1,LINEAS!$U$101=3),1,-1)*LINEAS!$AE$101*DATOS!$C$67)&lt;0.00005),"*",LINEAS!$D$101&amp;" UNI "&amp;IF(LINEAS!$U$101&lt;=2,"GZ","GX")&amp;" "&amp;TEXT(IF(OR(LINEAS!$U$101=1,LINEAS!$U$101=3),1,-1)*LINEAS!$AE$101*DATOS!$C$67,DATOS!$C$68)))</f>
        <v/>
      </c>
      <c r="E763" s="42" t="str">
        <f t="shared" si="23"/>
        <v/>
      </c>
    </row>
    <row r="764" spans="2:5" ht="15" customHeight="1" x14ac:dyDescent="0.3">
      <c r="B764" s="44" t="str">
        <f>IF(OR(LINEAS!$D$102="",LINEAS!$U$102=0,ABS(IF(OR(LINEAS!$U$102=1,LINEAS!$U$102=3),1,-1)*LINEAS!$AE$102*DATOS!$C$67)&lt;0.00005),"*",LINEAS!$D$102&amp;" UNI "&amp;IF(LINEAS!$U$102&lt;=2,"GZ","GX")&amp;" "&amp;TEXT(IF(OR(LINEAS!$U$102=1,LINEAS!$U$102=3),1,-1)*LINEAS!$AE$102*DATOS!$C$67,DATOS!$C$68))</f>
        <v>43 UNI GX -0.1330</v>
      </c>
      <c r="C764" s="42" t="str">
        <f t="shared" si="22"/>
        <v/>
      </c>
      <c r="D764" s="44" t="str">
        <f>IF(PRESIONES!$C$22="NO","",IF(OR(LINEAS!$D$102="",LINEAS!$U$102=0,ABS(IF(OR(LINEAS!$U$102=1,LINEAS!$U$102=3),1,-1)*LINEAS!$AE$102*DATOS!$C$67)&lt;0.00005),"*",LINEAS!$D$102&amp;" UNI "&amp;IF(LINEAS!$U$102&lt;=2,"GZ","GX")&amp;" "&amp;TEXT(IF(OR(LINEAS!$U$102=1,LINEAS!$U$102=3),1,-1)*LINEAS!$AE$102*DATOS!$C$67,DATOS!$C$68)))</f>
        <v/>
      </c>
      <c r="E764" s="42" t="str">
        <f t="shared" si="23"/>
        <v/>
      </c>
    </row>
    <row r="765" spans="2:5" ht="15" customHeight="1" x14ac:dyDescent="0.3">
      <c r="B765" s="44" t="str">
        <f>IF(OR(LINEAS!$D$103="",LINEAS!$U$103=0,ABS(IF(OR(LINEAS!$U$103=1,LINEAS!$U$103=3),1,-1)*LINEAS!$AE$103*DATOS!$C$67)&lt;0.00005),"*",LINEAS!$D$103&amp;" UNI "&amp;IF(LINEAS!$U$103&lt;=2,"GZ","GX")&amp;" "&amp;TEXT(IF(OR(LINEAS!$U$103=1,LINEAS!$U$103=3),1,-1)*LINEAS!$AE$103*DATOS!$C$67,DATOS!$C$68))</f>
        <v>47 UNI GX -0.1101</v>
      </c>
      <c r="C765" s="42" t="str">
        <f t="shared" si="22"/>
        <v/>
      </c>
      <c r="D765" s="44" t="str">
        <f>IF(PRESIONES!$C$22="NO","",IF(OR(LINEAS!$D$103="",LINEAS!$U$103=0,ABS(IF(OR(LINEAS!$U$103=1,LINEAS!$U$103=3),1,-1)*LINEAS!$AE$103*DATOS!$C$67)&lt;0.00005),"*",LINEAS!$D$103&amp;" UNI "&amp;IF(LINEAS!$U$103&lt;=2,"GZ","GX")&amp;" "&amp;TEXT(IF(OR(LINEAS!$U$103=1,LINEAS!$U$103=3),1,-1)*LINEAS!$AE$103*DATOS!$C$67,DATOS!$C$68)))</f>
        <v/>
      </c>
      <c r="E765" s="42" t="str">
        <f t="shared" si="23"/>
        <v/>
      </c>
    </row>
    <row r="766" spans="2:5" ht="15" customHeight="1" x14ac:dyDescent="0.3">
      <c r="B766" s="44" t="str">
        <f>IF(OR(LINEAS!$D$104="",LINEAS!$U$104=0,ABS(IF(OR(LINEAS!$U$104=1,LINEAS!$U$104=3),1,-1)*LINEAS!$AE$104*DATOS!$C$67)&lt;0.00005),"*",LINEAS!$D$104&amp;" UNI "&amp;IF(LINEAS!$U$104&lt;=2,"GZ","GX")&amp;" "&amp;TEXT(IF(OR(LINEAS!$U$104=1,LINEAS!$U$104=3),1,-1)*LINEAS!$AE$104*DATOS!$C$67,DATOS!$C$68))</f>
        <v>54 UNI GX -0.0882</v>
      </c>
      <c r="C766" s="42" t="str">
        <f t="shared" si="22"/>
        <v/>
      </c>
      <c r="D766" s="44" t="str">
        <f>IF(PRESIONES!$C$22="NO","",IF(OR(LINEAS!$D$104="",LINEAS!$U$104=0,ABS(IF(OR(LINEAS!$U$104=1,LINEAS!$U$104=3),1,-1)*LINEAS!$AE$104*DATOS!$C$67)&lt;0.00005),"*",LINEAS!$D$104&amp;" UNI "&amp;IF(LINEAS!$U$104&lt;=2,"GZ","GX")&amp;" "&amp;TEXT(IF(OR(LINEAS!$U$104=1,LINEAS!$U$104=3),1,-1)*LINEAS!$AE$104*DATOS!$C$67,DATOS!$C$68)))</f>
        <v/>
      </c>
      <c r="E766" s="42" t="str">
        <f t="shared" si="23"/>
        <v/>
      </c>
    </row>
    <row r="767" spans="2:5" ht="15" customHeight="1" x14ac:dyDescent="0.3">
      <c r="B767" s="44" t="str">
        <f>IF(OR(LINEAS!$D$105="",LINEAS!$U$105=0,ABS(IF(OR(LINEAS!$U$105=1,LINEAS!$U$105=3),1,-1)*LINEAS!$AE$105*DATOS!$C$67)&lt;0.00005),"*",LINEAS!$D$105&amp;" UNI "&amp;IF(LINEAS!$U$105&lt;=2,"GZ","GX")&amp;" "&amp;TEXT(IF(OR(LINEAS!$U$105=1,LINEAS!$U$105=3),1,-1)*LINEAS!$AE$105*DATOS!$C$67,DATOS!$C$68))</f>
        <v>64 UNI GX 0.3463</v>
      </c>
      <c r="C767" s="42" t="str">
        <f t="shared" si="22"/>
        <v/>
      </c>
      <c r="D767" s="44" t="str">
        <f>IF(PRESIONES!$C$22="NO","",IF(OR(LINEAS!$D$105="",LINEAS!$U$105=0,ABS(IF(OR(LINEAS!$U$105=1,LINEAS!$U$105=3),1,-1)*LINEAS!$AE$105*DATOS!$C$67)&lt;0.00005),"*",LINEAS!$D$105&amp;" UNI "&amp;IF(LINEAS!$U$105&lt;=2,"GZ","GX")&amp;" "&amp;TEXT(IF(OR(LINEAS!$U$105=1,LINEAS!$U$105=3),1,-1)*LINEAS!$AE$105*DATOS!$C$67,DATOS!$C$68)))</f>
        <v/>
      </c>
      <c r="E767" s="42" t="str">
        <f t="shared" si="23"/>
        <v/>
      </c>
    </row>
    <row r="768" spans="2:5" ht="15" customHeight="1" x14ac:dyDescent="0.3">
      <c r="B768" s="44" t="str">
        <f>IF(OR(LINEAS!$D$106="",LINEAS!$U$106=0,ABS(IF(OR(LINEAS!$U$106=1,LINEAS!$U$106=3),1,-1)*LINEAS!$AE$106*DATOS!$C$67)&lt;0.00005),"*",LINEAS!$D$106&amp;" UNI "&amp;IF(LINEAS!$U$106&lt;=2,"GZ","GX")&amp;" "&amp;TEXT(IF(OR(LINEAS!$U$106=1,LINEAS!$U$106=3),1,-1)*LINEAS!$AE$106*DATOS!$C$67,DATOS!$C$68))</f>
        <v>63 UNI GX 0.3226</v>
      </c>
      <c r="C768" s="42" t="str">
        <f t="shared" si="22"/>
        <v/>
      </c>
      <c r="D768" s="44" t="str">
        <f>IF(PRESIONES!$C$22="NO","",IF(OR(LINEAS!$D$106="",LINEAS!$U$106=0,ABS(IF(OR(LINEAS!$U$106=1,LINEAS!$U$106=3),1,-1)*LINEAS!$AE$106*DATOS!$C$67)&lt;0.00005),"*",LINEAS!$D$106&amp;" UNI "&amp;IF(LINEAS!$U$106&lt;=2,"GZ","GX")&amp;" "&amp;TEXT(IF(OR(LINEAS!$U$106=1,LINEAS!$U$106=3),1,-1)*LINEAS!$AE$106*DATOS!$C$67,DATOS!$C$68)))</f>
        <v/>
      </c>
      <c r="E768" s="42" t="str">
        <f t="shared" si="23"/>
        <v/>
      </c>
    </row>
    <row r="769" spans="2:5" ht="15" customHeight="1" x14ac:dyDescent="0.3">
      <c r="B769" s="44" t="str">
        <f>IF(OR(LINEAS!$D$107="",LINEAS!$U$107=0,ABS(IF(OR(LINEAS!$U$107=1,LINEAS!$U$107=3),1,-1)*LINEAS!$AE$107*DATOS!$C$67)&lt;0.00005),"*",LINEAS!$D$107&amp;" UNI "&amp;IF(LINEAS!$U$107&lt;=2,"GZ","GX")&amp;" "&amp;TEXT(IF(OR(LINEAS!$U$107=1,LINEAS!$U$107=3),1,-1)*LINEAS!$AE$107*DATOS!$C$67,DATOS!$C$68))</f>
        <v>62 UNI GX 0.2989</v>
      </c>
      <c r="C769" s="42" t="str">
        <f t="shared" si="22"/>
        <v/>
      </c>
      <c r="D769" s="44" t="str">
        <f>IF(PRESIONES!$C$22="NO","",IF(OR(LINEAS!$D$107="",LINEAS!$U$107=0,ABS(IF(OR(LINEAS!$U$107=1,LINEAS!$U$107=3),1,-1)*LINEAS!$AE$107*DATOS!$C$67)&lt;0.00005),"*",LINEAS!$D$107&amp;" UNI "&amp;IF(LINEAS!$U$107&lt;=2,"GZ","GX")&amp;" "&amp;TEXT(IF(OR(LINEAS!$U$107=1,LINEAS!$U$107=3),1,-1)*LINEAS!$AE$107*DATOS!$C$67,DATOS!$C$68)))</f>
        <v/>
      </c>
      <c r="E769" s="42" t="str">
        <f t="shared" si="23"/>
        <v/>
      </c>
    </row>
    <row r="770" spans="2:5" ht="15" customHeight="1" x14ac:dyDescent="0.3">
      <c r="B770" s="44" t="str">
        <f>IF(OR(LINEAS!$D$108="",LINEAS!$U$108=0,ABS(IF(OR(LINEAS!$U$108=1,LINEAS!$U$108=3),1,-1)*LINEAS!$AE$108*DATOS!$C$67)&lt;0.00005),"*",LINEAS!$D$108&amp;" UNI "&amp;IF(LINEAS!$U$108&lt;=2,"GZ","GX")&amp;" "&amp;TEXT(IF(OR(LINEAS!$U$108=1,LINEAS!$U$108=3),1,-1)*LINEAS!$AE$108*DATOS!$C$67,DATOS!$C$68))</f>
        <v>61 UNI GX 0.2752</v>
      </c>
      <c r="C770" s="42" t="str">
        <f t="shared" si="22"/>
        <v/>
      </c>
      <c r="D770" s="44" t="str">
        <f>IF(PRESIONES!$C$22="NO","",IF(OR(LINEAS!$D$108="",LINEAS!$U$108=0,ABS(IF(OR(LINEAS!$U$108=1,LINEAS!$U$108=3),1,-1)*LINEAS!$AE$108*DATOS!$C$67)&lt;0.00005),"*",LINEAS!$D$108&amp;" UNI "&amp;IF(LINEAS!$U$108&lt;=2,"GZ","GX")&amp;" "&amp;TEXT(IF(OR(LINEAS!$U$108=1,LINEAS!$U$108=3),1,-1)*LINEAS!$AE$108*DATOS!$C$67,DATOS!$C$68)))</f>
        <v/>
      </c>
      <c r="E770" s="42" t="str">
        <f t="shared" si="23"/>
        <v/>
      </c>
    </row>
    <row r="771" spans="2:5" ht="15" customHeight="1" x14ac:dyDescent="0.3">
      <c r="B771" s="44" t="str">
        <f>IF(OR(LINEAS!$D$109="",LINEAS!$U$109=0,ABS(IF(OR(LINEAS!$U$109=1,LINEAS!$U$109=3),1,-1)*LINEAS!$AE$109*DATOS!$C$67)&lt;0.00005),"*",LINEAS!$D$109&amp;" UNI "&amp;IF(LINEAS!$U$109&lt;=2,"GZ","GX")&amp;" "&amp;TEXT(IF(OR(LINEAS!$U$109=1,LINEAS!$U$109=3),1,-1)*LINEAS!$AE$109*DATOS!$C$67,DATOS!$C$68))</f>
        <v>12 UNI GX 0.2515</v>
      </c>
      <c r="C771" s="42" t="str">
        <f t="shared" si="22"/>
        <v/>
      </c>
      <c r="D771" s="44" t="str">
        <f>IF(PRESIONES!$C$22="NO","",IF(OR(LINEAS!$D$109="",LINEAS!$U$109=0,ABS(IF(OR(LINEAS!$U$109=1,LINEAS!$U$109=3),1,-1)*LINEAS!$AE$109*DATOS!$C$67)&lt;0.00005),"*",LINEAS!$D$109&amp;" UNI "&amp;IF(LINEAS!$U$109&lt;=2,"GZ","GX")&amp;" "&amp;TEXT(IF(OR(LINEAS!$U$109=1,LINEAS!$U$109=3),1,-1)*LINEAS!$AE$109*DATOS!$C$67,DATOS!$C$68)))</f>
        <v/>
      </c>
      <c r="E771" s="42" t="str">
        <f t="shared" si="23"/>
        <v/>
      </c>
    </row>
    <row r="772" spans="2:5" ht="15" customHeight="1" x14ac:dyDescent="0.3">
      <c r="B772" s="44" t="str">
        <f>IF(OR(LINEAS!$D$110="",LINEAS!$U$110=0,ABS(IF(OR(LINEAS!$U$110=1,LINEAS!$U$110=3),1,-1)*LINEAS!$AE$110*DATOS!$C$67)&lt;0.00005),"*",LINEAS!$D$110&amp;" UNI "&amp;IF(LINEAS!$U$110&lt;=2,"GZ","GX")&amp;" "&amp;TEXT(IF(OR(LINEAS!$U$110=1,LINEAS!$U$110=3),1,-1)*LINEAS!$AE$110*DATOS!$C$67,DATOS!$C$68))</f>
        <v>72 UNI GX 0.2278</v>
      </c>
      <c r="C772" s="42" t="str">
        <f t="shared" si="22"/>
        <v/>
      </c>
      <c r="D772" s="44" t="str">
        <f>IF(PRESIONES!$C$22="NO","",IF(OR(LINEAS!$D$110="",LINEAS!$U$110=0,ABS(IF(OR(LINEAS!$U$110=1,LINEAS!$U$110=3),1,-1)*LINEAS!$AE$110*DATOS!$C$67)&lt;0.00005),"*",LINEAS!$D$110&amp;" UNI "&amp;IF(LINEAS!$U$110&lt;=2,"GZ","GX")&amp;" "&amp;TEXT(IF(OR(LINEAS!$U$110=1,LINEAS!$U$110=3),1,-1)*LINEAS!$AE$110*DATOS!$C$67,DATOS!$C$68)))</f>
        <v/>
      </c>
      <c r="E772" s="42" t="str">
        <f t="shared" si="23"/>
        <v/>
      </c>
    </row>
    <row r="773" spans="2:5" ht="15" customHeight="1" x14ac:dyDescent="0.3">
      <c r="B773" s="44" t="str">
        <f>IF(OR(LINEAS!$D$111="",LINEAS!$U$111=0,ABS(IF(OR(LINEAS!$U$111=1,LINEAS!$U$111=3),1,-1)*LINEAS!$AE$111*DATOS!$C$67)&lt;0.00005),"*",LINEAS!$D$111&amp;" UNI "&amp;IF(LINEAS!$U$111&lt;=2,"GZ","GX")&amp;" "&amp;TEXT(IF(OR(LINEAS!$U$111=1,LINEAS!$U$111=3),1,-1)*LINEAS!$AE$111*DATOS!$C$67,DATOS!$C$68))</f>
        <v>71 UNI GX 0.2041</v>
      </c>
      <c r="C773" s="42" t="str">
        <f t="shared" si="22"/>
        <v/>
      </c>
      <c r="D773" s="44" t="str">
        <f>IF(PRESIONES!$C$22="NO","",IF(OR(LINEAS!$D$111="",LINEAS!$U$111=0,ABS(IF(OR(LINEAS!$U$111=1,LINEAS!$U$111=3),1,-1)*LINEAS!$AE$111*DATOS!$C$67)&lt;0.00005),"*",LINEAS!$D$111&amp;" UNI "&amp;IF(LINEAS!$U$111&lt;=2,"GZ","GX")&amp;" "&amp;TEXT(IF(OR(LINEAS!$U$111=1,LINEAS!$U$111=3),1,-1)*LINEAS!$AE$111*DATOS!$C$67,DATOS!$C$68)))</f>
        <v/>
      </c>
      <c r="E773" s="42" t="str">
        <f t="shared" si="23"/>
        <v/>
      </c>
    </row>
    <row r="774" spans="2:5" ht="15" customHeight="1" x14ac:dyDescent="0.3">
      <c r="B774" s="44" t="str">
        <f>IF(OR(LINEAS!$D$112="",LINEAS!$U$112=0,ABS(IF(OR(LINEAS!$U$112=1,LINEAS!$U$112=3),1,-1)*LINEAS!$AE$112*DATOS!$C$67)&lt;0.00005),"*",LINEAS!$D$112&amp;" UNI "&amp;IF(LINEAS!$U$112&lt;=2,"GZ","GX")&amp;" "&amp;TEXT(IF(OR(LINEAS!$U$112=1,LINEAS!$U$112=3),1,-1)*LINEAS!$AE$112*DATOS!$C$67,DATOS!$C$68))</f>
        <v>70 UNI GX 0.1804</v>
      </c>
      <c r="C774" s="42" t="str">
        <f t="shared" si="22"/>
        <v/>
      </c>
      <c r="D774" s="44" t="str">
        <f>IF(PRESIONES!$C$22="NO","",IF(OR(LINEAS!$D$112="",LINEAS!$U$112=0,ABS(IF(OR(LINEAS!$U$112=1,LINEAS!$U$112=3),1,-1)*LINEAS!$AE$112*DATOS!$C$67)&lt;0.00005),"*",LINEAS!$D$112&amp;" UNI "&amp;IF(LINEAS!$U$112&lt;=2,"GZ","GX")&amp;" "&amp;TEXT(IF(OR(LINEAS!$U$112=1,LINEAS!$U$112=3),1,-1)*LINEAS!$AE$112*DATOS!$C$67,DATOS!$C$68)))</f>
        <v/>
      </c>
      <c r="E774" s="42" t="str">
        <f t="shared" si="23"/>
        <v/>
      </c>
    </row>
    <row r="775" spans="2:5" ht="15" customHeight="1" x14ac:dyDescent="0.3">
      <c r="B775" s="44" t="str">
        <f>IF(OR(LINEAS!$D$113="",LINEAS!$U$113=0,ABS(IF(OR(LINEAS!$U$113=1,LINEAS!$U$113=3),1,-1)*LINEAS!$AE$113*DATOS!$C$67)&lt;0.00005),"*",LINEAS!$D$113&amp;" UNI "&amp;IF(LINEAS!$U$113&lt;=2,"GZ","GX")&amp;" "&amp;TEXT(IF(OR(LINEAS!$U$113=1,LINEAS!$U$113=3),1,-1)*LINEAS!$AE$113*DATOS!$C$67,DATOS!$C$68))</f>
        <v>69 UNI GX 0.1567</v>
      </c>
      <c r="C775" s="42" t="str">
        <f t="shared" si="22"/>
        <v/>
      </c>
      <c r="D775" s="44" t="str">
        <f>IF(PRESIONES!$C$22="NO","",IF(OR(LINEAS!$D$113="",LINEAS!$U$113=0,ABS(IF(OR(LINEAS!$U$113=1,LINEAS!$U$113=3),1,-1)*LINEAS!$AE$113*DATOS!$C$67)&lt;0.00005),"*",LINEAS!$D$113&amp;" UNI "&amp;IF(LINEAS!$U$113&lt;=2,"GZ","GX")&amp;" "&amp;TEXT(IF(OR(LINEAS!$U$113=1,LINEAS!$U$113=3),1,-1)*LINEAS!$AE$113*DATOS!$C$67,DATOS!$C$68)))</f>
        <v/>
      </c>
      <c r="E775" s="42" t="str">
        <f t="shared" si="23"/>
        <v/>
      </c>
    </row>
    <row r="776" spans="2:5" ht="15" customHeight="1" x14ac:dyDescent="0.3">
      <c r="B776" s="44" t="str">
        <f>IF(OR(LINEAS!$D$114="",LINEAS!$U$114=0,ABS(IF(OR(LINEAS!$U$114=1,LINEAS!$U$114=3),1,-1)*LINEAS!$AE$114*DATOS!$C$67)&lt;0.00005),"*",LINEAS!$D$114&amp;" UNI "&amp;IF(LINEAS!$U$114&lt;=2,"GZ","GX")&amp;" "&amp;TEXT(IF(OR(LINEAS!$U$114=1,LINEAS!$U$114=3),1,-1)*LINEAS!$AE$114*DATOS!$C$67,DATOS!$C$68))</f>
        <v>50 UNI GX 0.1330</v>
      </c>
      <c r="C776" s="42" t="str">
        <f t="shared" si="22"/>
        <v/>
      </c>
      <c r="D776" s="44" t="str">
        <f>IF(PRESIONES!$C$22="NO","",IF(OR(LINEAS!$D$114="",LINEAS!$U$114=0,ABS(IF(OR(LINEAS!$U$114=1,LINEAS!$U$114=3),1,-1)*LINEAS!$AE$114*DATOS!$C$67)&lt;0.00005),"*",LINEAS!$D$114&amp;" UNI "&amp;IF(LINEAS!$U$114&lt;=2,"GZ","GX")&amp;" "&amp;TEXT(IF(OR(LINEAS!$U$114=1,LINEAS!$U$114=3),1,-1)*LINEAS!$AE$114*DATOS!$C$67,DATOS!$C$68)))</f>
        <v/>
      </c>
      <c r="E776" s="42" t="str">
        <f t="shared" si="23"/>
        <v/>
      </c>
    </row>
    <row r="777" spans="2:5" ht="15" customHeight="1" x14ac:dyDescent="0.3">
      <c r="B777" s="44" t="str">
        <f>IF(OR(LINEAS!$D$115="",LINEAS!$U$115=0,ABS(IF(OR(LINEAS!$U$115=1,LINEAS!$U$115=3),1,-1)*LINEAS!$AE$115*DATOS!$C$67)&lt;0.00005),"*",LINEAS!$D$115&amp;" UNI "&amp;IF(LINEAS!$U$115&lt;=2,"GZ","GX")&amp;" "&amp;TEXT(IF(OR(LINEAS!$U$115=1,LINEAS!$U$115=3),1,-1)*LINEAS!$AE$115*DATOS!$C$67,DATOS!$C$68))</f>
        <v>53 UNI GX 0.1101</v>
      </c>
      <c r="C777" s="42" t="str">
        <f t="shared" ref="C777:C840" si="24">IF(LEN($B777)&gt;79,"MÁS DE 79 CARACTERES","")</f>
        <v/>
      </c>
      <c r="D777" s="44" t="str">
        <f>IF(PRESIONES!$C$22="NO","",IF(OR(LINEAS!$D$115="",LINEAS!$U$115=0,ABS(IF(OR(LINEAS!$U$115=1,LINEAS!$U$115=3),1,-1)*LINEAS!$AE$115*DATOS!$C$67)&lt;0.00005),"*",LINEAS!$D$115&amp;" UNI "&amp;IF(LINEAS!$U$115&lt;=2,"GZ","GX")&amp;" "&amp;TEXT(IF(OR(LINEAS!$U$115=1,LINEAS!$U$115=3),1,-1)*LINEAS!$AE$115*DATOS!$C$67,DATOS!$C$68)))</f>
        <v/>
      </c>
      <c r="E777" s="42" t="str">
        <f t="shared" ref="E777:E840" si="25">IF(LEN($D777)&gt;79,"MÁS DE 79 CARACTERES","")</f>
        <v/>
      </c>
    </row>
    <row r="778" spans="2:5" ht="15" customHeight="1" x14ac:dyDescent="0.3">
      <c r="B778" s="44" t="str">
        <f>IF(OR(LINEAS!$D$116="",LINEAS!$U$116=0,ABS(IF(OR(LINEAS!$U$116=1,LINEAS!$U$116=3),1,-1)*LINEAS!$AE$116*DATOS!$C$67)&lt;0.00005),"*",LINEAS!$D$116&amp;" UNI "&amp;IF(LINEAS!$U$116&lt;=2,"GZ","GX")&amp;" "&amp;TEXT(IF(OR(LINEAS!$U$116=1,LINEAS!$U$116=3),1,-1)*LINEAS!$AE$116*DATOS!$C$67,DATOS!$C$68))</f>
        <v>55 UNI GX 0.0882</v>
      </c>
      <c r="C778" s="42" t="str">
        <f t="shared" si="24"/>
        <v/>
      </c>
      <c r="D778" s="44" t="str">
        <f>IF(PRESIONES!$C$22="NO","",IF(OR(LINEAS!$D$116="",LINEAS!$U$116=0,ABS(IF(OR(LINEAS!$U$116=1,LINEAS!$U$116=3),1,-1)*LINEAS!$AE$116*DATOS!$C$67)&lt;0.00005),"*",LINEAS!$D$116&amp;" UNI "&amp;IF(LINEAS!$U$116&lt;=2,"GZ","GX")&amp;" "&amp;TEXT(IF(OR(LINEAS!$U$116=1,LINEAS!$U$116=3),1,-1)*LINEAS!$AE$116*DATOS!$C$67,DATOS!$C$68)))</f>
        <v/>
      </c>
      <c r="E778" s="42" t="str">
        <f t="shared" si="25"/>
        <v/>
      </c>
    </row>
    <row r="779" spans="2:5" ht="15" customHeight="1" x14ac:dyDescent="0.3">
      <c r="B779" s="44" t="str">
        <f>IF(OR(LINEAS!$D$117="",LINEAS!$U$117=0,ABS(IF(OR(LINEAS!$U$117=1,LINEAS!$U$117=3),1,-1)*LINEAS!$AE$117*DATOS!$C$67)&lt;0.00005),"*",LINEAS!$D$117&amp;" UNI "&amp;IF(LINEAS!$U$117&lt;=2,"GZ","GX")&amp;" "&amp;TEXT(IF(OR(LINEAS!$U$117=1,LINEAS!$U$117=3),1,-1)*LINEAS!$AE$117*DATOS!$C$67,DATOS!$C$68))</f>
        <v>262 UNI GZ -0.7275</v>
      </c>
      <c r="C779" s="42" t="str">
        <f t="shared" si="24"/>
        <v/>
      </c>
      <c r="D779" s="44" t="str">
        <f>IF(PRESIONES!$C$22="NO","",IF(OR(LINEAS!$D$117="",LINEAS!$U$117=0,ABS(IF(OR(LINEAS!$U$117=1,LINEAS!$U$117=3),1,-1)*LINEAS!$AE$117*DATOS!$C$67)&lt;0.00005),"*",LINEAS!$D$117&amp;" UNI "&amp;IF(LINEAS!$U$117&lt;=2,"GZ","GX")&amp;" "&amp;TEXT(IF(OR(LINEAS!$U$117=1,LINEAS!$U$117=3),1,-1)*LINEAS!$AE$117*DATOS!$C$67,DATOS!$C$68)))</f>
        <v/>
      </c>
      <c r="E779" s="42" t="str">
        <f t="shared" si="25"/>
        <v/>
      </c>
    </row>
    <row r="780" spans="2:5" ht="15" customHeight="1" x14ac:dyDescent="0.3">
      <c r="B780" s="44" t="str">
        <f>IF(OR(LINEAS!$D$118="",LINEAS!$U$118=0,ABS(IF(OR(LINEAS!$U$118=1,LINEAS!$U$118=3),1,-1)*LINEAS!$AE$118*DATOS!$C$67)&lt;0.00005),"*",LINEAS!$D$118&amp;" UNI "&amp;IF(LINEAS!$U$118&lt;=2,"GZ","GX")&amp;" "&amp;TEXT(IF(OR(LINEAS!$U$118=1,LINEAS!$U$118=3),1,-1)*LINEAS!$AE$118*DATOS!$C$67,DATOS!$C$68))</f>
        <v>263 UNI GZ -0.7275</v>
      </c>
      <c r="C780" s="42" t="str">
        <f t="shared" si="24"/>
        <v/>
      </c>
      <c r="D780" s="44" t="str">
        <f>IF(PRESIONES!$C$22="NO","",IF(OR(LINEAS!$D$118="",LINEAS!$U$118=0,ABS(IF(OR(LINEAS!$U$118=1,LINEAS!$U$118=3),1,-1)*LINEAS!$AE$118*DATOS!$C$67)&lt;0.00005),"*",LINEAS!$D$118&amp;" UNI "&amp;IF(LINEAS!$U$118&lt;=2,"GZ","GX")&amp;" "&amp;TEXT(IF(OR(LINEAS!$U$118=1,LINEAS!$U$118=3),1,-1)*LINEAS!$AE$118*DATOS!$C$67,DATOS!$C$68)))</f>
        <v/>
      </c>
      <c r="E780" s="42" t="str">
        <f t="shared" si="25"/>
        <v/>
      </c>
    </row>
    <row r="781" spans="2:5" ht="15" customHeight="1" x14ac:dyDescent="0.3">
      <c r="B781" s="44" t="str">
        <f>IF(OR(LINEAS!$D$119="",LINEAS!$U$119=0,ABS(IF(OR(LINEAS!$U$119=1,LINEAS!$U$119=3),1,-1)*LINEAS!$AE$119*DATOS!$C$67)&lt;0.00005),"*",LINEAS!$D$119&amp;" UNI "&amp;IF(LINEAS!$U$119&lt;=2,"GZ","GX")&amp;" "&amp;TEXT(IF(OR(LINEAS!$U$119=1,LINEAS!$U$119=3),1,-1)*LINEAS!$AE$119*DATOS!$C$67,DATOS!$C$68))</f>
        <v>264 UNI GZ -0.7275</v>
      </c>
      <c r="C781" s="42" t="str">
        <f t="shared" si="24"/>
        <v/>
      </c>
      <c r="D781" s="44" t="str">
        <f>IF(PRESIONES!$C$22="NO","",IF(OR(LINEAS!$D$119="",LINEAS!$U$119=0,ABS(IF(OR(LINEAS!$U$119=1,LINEAS!$U$119=3),1,-1)*LINEAS!$AE$119*DATOS!$C$67)&lt;0.00005),"*",LINEAS!$D$119&amp;" UNI "&amp;IF(LINEAS!$U$119&lt;=2,"GZ","GX")&amp;" "&amp;TEXT(IF(OR(LINEAS!$U$119=1,LINEAS!$U$119=3),1,-1)*LINEAS!$AE$119*DATOS!$C$67,DATOS!$C$68)))</f>
        <v/>
      </c>
      <c r="E781" s="42" t="str">
        <f t="shared" si="25"/>
        <v/>
      </c>
    </row>
    <row r="782" spans="2:5" ht="15" customHeight="1" x14ac:dyDescent="0.3">
      <c r="B782" s="44" t="str">
        <f>IF(OR(LINEAS!$D$120="",LINEAS!$U$120=0,ABS(IF(OR(LINEAS!$U$120=1,LINEAS!$U$120=3),1,-1)*LINEAS!$AE$120*DATOS!$C$67)&lt;0.00005),"*",LINEAS!$D$120&amp;" UNI "&amp;IF(LINEAS!$U$120&lt;=2,"GZ","GX")&amp;" "&amp;TEXT(IF(OR(LINEAS!$U$120=1,LINEAS!$U$120=3),1,-1)*LINEAS!$AE$120*DATOS!$C$67,DATOS!$C$68))</f>
        <v>271 UNI GZ -0.7275</v>
      </c>
      <c r="C782" s="42" t="str">
        <f t="shared" si="24"/>
        <v/>
      </c>
      <c r="D782" s="44" t="str">
        <f>IF(PRESIONES!$C$22="NO","",IF(OR(LINEAS!$D$120="",LINEAS!$U$120=0,ABS(IF(OR(LINEAS!$U$120=1,LINEAS!$U$120=3),1,-1)*LINEAS!$AE$120*DATOS!$C$67)&lt;0.00005),"*",LINEAS!$D$120&amp;" UNI "&amp;IF(LINEAS!$U$120&lt;=2,"GZ","GX")&amp;" "&amp;TEXT(IF(OR(LINEAS!$U$120=1,LINEAS!$U$120=3),1,-1)*LINEAS!$AE$120*DATOS!$C$67,DATOS!$C$68)))</f>
        <v/>
      </c>
      <c r="E782" s="42" t="str">
        <f t="shared" si="25"/>
        <v/>
      </c>
    </row>
    <row r="783" spans="2:5" ht="15" customHeight="1" x14ac:dyDescent="0.3">
      <c r="B783" s="44" t="str">
        <f>IF(OR(LINEAS!$D$121="",LINEAS!$U$121=0,ABS(IF(OR(LINEAS!$U$121=1,LINEAS!$U$121=3),1,-1)*LINEAS!$AE$121*DATOS!$C$67)&lt;0.00005),"*",LINEAS!$D$121&amp;" UNI "&amp;IF(LINEAS!$U$121&lt;=2,"GZ","GX")&amp;" "&amp;TEXT(IF(OR(LINEAS!$U$121=1,LINEAS!$U$121=3),1,-1)*LINEAS!$AE$121*DATOS!$C$67,DATOS!$C$68))</f>
        <v>286 UNI GZ -1.0912</v>
      </c>
      <c r="C783" s="42" t="str">
        <f t="shared" si="24"/>
        <v/>
      </c>
      <c r="D783" s="44" t="str">
        <f>IF(PRESIONES!$C$22="NO","",IF(OR(LINEAS!$D$121="",LINEAS!$U$121=0,ABS(IF(OR(LINEAS!$U$121=1,LINEAS!$U$121=3),1,-1)*LINEAS!$AE$121*DATOS!$C$67)&lt;0.00005),"*",LINEAS!$D$121&amp;" UNI "&amp;IF(LINEAS!$U$121&lt;=2,"GZ","GX")&amp;" "&amp;TEXT(IF(OR(LINEAS!$U$121=1,LINEAS!$U$121=3),1,-1)*LINEAS!$AE$121*DATOS!$C$67,DATOS!$C$68)))</f>
        <v/>
      </c>
      <c r="E783" s="42" t="str">
        <f t="shared" si="25"/>
        <v/>
      </c>
    </row>
    <row r="784" spans="2:5" ht="15" customHeight="1" x14ac:dyDescent="0.3">
      <c r="B784" s="44" t="str">
        <f>IF(OR(LINEAS!$D$122="",LINEAS!$U$122=0,ABS(IF(OR(LINEAS!$U$122=1,LINEAS!$U$122=3),1,-1)*LINEAS!$AE$122*DATOS!$C$67)&lt;0.00005),"*",LINEAS!$D$122&amp;" UNI "&amp;IF(LINEAS!$U$122&lt;=2,"GZ","GX")&amp;" "&amp;TEXT(IF(OR(LINEAS!$U$122=1,LINEAS!$U$122=3),1,-1)*LINEAS!$AE$122*DATOS!$C$67,DATOS!$C$68))</f>
        <v>272 UNI GZ -0.7275</v>
      </c>
      <c r="C784" s="42" t="str">
        <f t="shared" si="24"/>
        <v/>
      </c>
      <c r="D784" s="44" t="str">
        <f>IF(PRESIONES!$C$22="NO","",IF(OR(LINEAS!$D$122="",LINEAS!$U$122=0,ABS(IF(OR(LINEAS!$U$122=1,LINEAS!$U$122=3),1,-1)*LINEAS!$AE$122*DATOS!$C$67)&lt;0.00005),"*",LINEAS!$D$122&amp;" UNI "&amp;IF(LINEAS!$U$122&lt;=2,"GZ","GX")&amp;" "&amp;TEXT(IF(OR(LINEAS!$U$122=1,LINEAS!$U$122=3),1,-1)*LINEAS!$AE$122*DATOS!$C$67,DATOS!$C$68)))</f>
        <v/>
      </c>
      <c r="E784" s="42" t="str">
        <f t="shared" si="25"/>
        <v/>
      </c>
    </row>
    <row r="785" spans="2:5" ht="15" customHeight="1" x14ac:dyDescent="0.3">
      <c r="B785" s="44" t="str">
        <f>IF(OR(LINEAS!$D$123="",LINEAS!$U$123=0,ABS(IF(OR(LINEAS!$U$123=1,LINEAS!$U$123=3),1,-1)*LINEAS!$AE$123*DATOS!$C$67)&lt;0.00005),"*",LINEAS!$D$123&amp;" UNI "&amp;IF(LINEAS!$U$123&lt;=2,"GZ","GX")&amp;" "&amp;TEXT(IF(OR(LINEAS!$U$123=1,LINEAS!$U$123=3),1,-1)*LINEAS!$AE$123*DATOS!$C$67,DATOS!$C$68))</f>
        <v>273 UNI GZ -0.7275</v>
      </c>
      <c r="C785" s="42" t="str">
        <f t="shared" si="24"/>
        <v/>
      </c>
      <c r="D785" s="44" t="str">
        <f>IF(PRESIONES!$C$22="NO","",IF(OR(LINEAS!$D$123="",LINEAS!$U$123=0,ABS(IF(OR(LINEAS!$U$123=1,LINEAS!$U$123=3),1,-1)*LINEAS!$AE$123*DATOS!$C$67)&lt;0.00005),"*",LINEAS!$D$123&amp;" UNI "&amp;IF(LINEAS!$U$123&lt;=2,"GZ","GX")&amp;" "&amp;TEXT(IF(OR(LINEAS!$U$123=1,LINEAS!$U$123=3),1,-1)*LINEAS!$AE$123*DATOS!$C$67,DATOS!$C$68)))</f>
        <v/>
      </c>
      <c r="E785" s="42" t="str">
        <f t="shared" si="25"/>
        <v/>
      </c>
    </row>
    <row r="786" spans="2:5" ht="15" customHeight="1" x14ac:dyDescent="0.3">
      <c r="B786" s="44" t="str">
        <f>IF(OR(LINEAS!$D$124="",LINEAS!$U$124=0,ABS(IF(OR(LINEAS!$U$124=1,LINEAS!$U$124=3),1,-1)*LINEAS!$AE$124*DATOS!$C$67)&lt;0.00005),"*",LINEAS!$D$124&amp;" UNI "&amp;IF(LINEAS!$U$124&lt;=2,"GZ","GX")&amp;" "&amp;TEXT(IF(OR(LINEAS!$U$124=1,LINEAS!$U$124=3),1,-1)*LINEAS!$AE$124*DATOS!$C$67,DATOS!$C$68))</f>
        <v>280 UNI GZ -0.7275</v>
      </c>
      <c r="C786" s="42" t="str">
        <f t="shared" si="24"/>
        <v/>
      </c>
      <c r="D786" s="44" t="str">
        <f>IF(PRESIONES!$C$22="NO","",IF(OR(LINEAS!$D$124="",LINEAS!$U$124=0,ABS(IF(OR(LINEAS!$U$124=1,LINEAS!$U$124=3),1,-1)*LINEAS!$AE$124*DATOS!$C$67)&lt;0.00005),"*",LINEAS!$D$124&amp;" UNI "&amp;IF(LINEAS!$U$124&lt;=2,"GZ","GX")&amp;" "&amp;TEXT(IF(OR(LINEAS!$U$124=1,LINEAS!$U$124=3),1,-1)*LINEAS!$AE$124*DATOS!$C$67,DATOS!$C$68)))</f>
        <v/>
      </c>
      <c r="E786" s="42" t="str">
        <f t="shared" si="25"/>
        <v/>
      </c>
    </row>
    <row r="787" spans="2:5" ht="15" customHeight="1" x14ac:dyDescent="0.3">
      <c r="B787" s="44" t="str">
        <f>IF(OR(LINEAS!$D$125="",LINEAS!$U$125=0,ABS(IF(OR(LINEAS!$U$125=1,LINEAS!$U$125=3),1,-1)*LINEAS!$AE$125*DATOS!$C$67)&lt;0.00005),"*",LINEAS!$D$125&amp;" UNI "&amp;IF(LINEAS!$U$125&lt;=2,"GZ","GX")&amp;" "&amp;TEXT(IF(OR(LINEAS!$U$125=1,LINEAS!$U$125=3),1,-1)*LINEAS!$AE$125*DATOS!$C$67,DATOS!$C$68))</f>
        <v>282 UNI GZ -0.7275</v>
      </c>
      <c r="C787" s="42" t="str">
        <f t="shared" si="24"/>
        <v/>
      </c>
      <c r="D787" s="44" t="str">
        <f>IF(PRESIONES!$C$22="NO","",IF(OR(LINEAS!$D$125="",LINEAS!$U$125=0,ABS(IF(OR(LINEAS!$U$125=1,LINEAS!$U$125=3),1,-1)*LINEAS!$AE$125*DATOS!$C$67)&lt;0.00005),"*",LINEAS!$D$125&amp;" UNI "&amp;IF(LINEAS!$U$125&lt;=2,"GZ","GX")&amp;" "&amp;TEXT(IF(OR(LINEAS!$U$125=1,LINEAS!$U$125=3),1,-1)*LINEAS!$AE$125*DATOS!$C$67,DATOS!$C$68)))</f>
        <v/>
      </c>
      <c r="E787" s="42" t="str">
        <f t="shared" si="25"/>
        <v/>
      </c>
    </row>
    <row r="788" spans="2:5" ht="15" customHeight="1" x14ac:dyDescent="0.3">
      <c r="B788" s="44" t="str">
        <f>IF(OR(LINEAS!$D$126="",LINEAS!$U$126=0,ABS(IF(OR(LINEAS!$U$126=1,LINEAS!$U$126=3),1,-1)*LINEAS!$AE$126*DATOS!$C$67)&lt;0.00005),"*",LINEAS!$D$126&amp;" UNI "&amp;IF(LINEAS!$U$126&lt;=2,"GZ","GX")&amp;" "&amp;TEXT(IF(OR(LINEAS!$U$126=1,LINEAS!$U$126=3),1,-1)*LINEAS!$AE$126*DATOS!$C$67,DATOS!$C$68))</f>
        <v>290 UNI GZ -0.7275</v>
      </c>
      <c r="C788" s="42" t="str">
        <f t="shared" si="24"/>
        <v/>
      </c>
      <c r="D788" s="44" t="str">
        <f>IF(PRESIONES!$C$22="NO","",IF(OR(LINEAS!$D$126="",LINEAS!$U$126=0,ABS(IF(OR(LINEAS!$U$126=1,LINEAS!$U$126=3),1,-1)*LINEAS!$AE$126*DATOS!$C$67)&lt;0.00005),"*",LINEAS!$D$126&amp;" UNI "&amp;IF(LINEAS!$U$126&lt;=2,"GZ","GX")&amp;" "&amp;TEXT(IF(OR(LINEAS!$U$126=1,LINEAS!$U$126=3),1,-1)*LINEAS!$AE$126*DATOS!$C$67,DATOS!$C$68)))</f>
        <v/>
      </c>
      <c r="E788" s="42" t="str">
        <f t="shared" si="25"/>
        <v/>
      </c>
    </row>
    <row r="789" spans="2:5" ht="15" customHeight="1" x14ac:dyDescent="0.3">
      <c r="B789" s="44" t="str">
        <f>IF(OR(LINEAS!$D$127="",LINEAS!$U$127=0,ABS(IF(OR(LINEAS!$U$127=1,LINEAS!$U$127=3),1,-1)*LINEAS!$AE$127*DATOS!$C$67)&lt;0.00005),"*",LINEAS!$D$127&amp;" UNI "&amp;IF(LINEAS!$U$127&lt;=2,"GZ","GX")&amp;" "&amp;TEXT(IF(OR(LINEAS!$U$127=1,LINEAS!$U$127=3),1,-1)*LINEAS!$AE$127*DATOS!$C$67,DATOS!$C$68))</f>
        <v>291 UNI GZ -0.7275</v>
      </c>
      <c r="C789" s="42" t="str">
        <f t="shared" si="24"/>
        <v/>
      </c>
      <c r="D789" s="44" t="str">
        <f>IF(PRESIONES!$C$22="NO","",IF(OR(LINEAS!$D$127="",LINEAS!$U$127=0,ABS(IF(OR(LINEAS!$U$127=1,LINEAS!$U$127=3),1,-1)*LINEAS!$AE$127*DATOS!$C$67)&lt;0.00005),"*",LINEAS!$D$127&amp;" UNI "&amp;IF(LINEAS!$U$127&lt;=2,"GZ","GX")&amp;" "&amp;TEXT(IF(OR(LINEAS!$U$127=1,LINEAS!$U$127=3),1,-1)*LINEAS!$AE$127*DATOS!$C$67,DATOS!$C$68)))</f>
        <v/>
      </c>
      <c r="E789" s="42" t="str">
        <f t="shared" si="25"/>
        <v/>
      </c>
    </row>
    <row r="790" spans="2:5" ht="15" customHeight="1" x14ac:dyDescent="0.3">
      <c r="B790" s="44" t="str">
        <f>IF(OR(LINEAS!$D$128="",LINEAS!$U$128=0,ABS(IF(OR(LINEAS!$U$128=1,LINEAS!$U$128=3),1,-1)*LINEAS!$AE$128*DATOS!$C$67)&lt;0.00005),"*",LINEAS!$D$128&amp;" UNI "&amp;IF(LINEAS!$U$128&lt;=2,"GZ","GX")&amp;" "&amp;TEXT(IF(OR(LINEAS!$U$128=1,LINEAS!$U$128=3),1,-1)*LINEAS!$AE$128*DATOS!$C$67,DATOS!$C$68))</f>
        <v>298 UNI GZ -0.4638</v>
      </c>
      <c r="C790" s="42" t="str">
        <f t="shared" si="24"/>
        <v/>
      </c>
      <c r="D790" s="44" t="str">
        <f>IF(PRESIONES!$C$22="NO","",IF(OR(LINEAS!$D$128="",LINEAS!$U$128=0,ABS(IF(OR(LINEAS!$U$128=1,LINEAS!$U$128=3),1,-1)*LINEAS!$AE$128*DATOS!$C$67)&lt;0.00005),"*",LINEAS!$D$128&amp;" UNI "&amp;IF(LINEAS!$U$128&lt;=2,"GZ","GX")&amp;" "&amp;TEXT(IF(OR(LINEAS!$U$128=1,LINEAS!$U$128=3),1,-1)*LINEAS!$AE$128*DATOS!$C$67,DATOS!$C$68)))</f>
        <v/>
      </c>
      <c r="E790" s="42" t="str">
        <f t="shared" si="25"/>
        <v/>
      </c>
    </row>
    <row r="791" spans="2:5" ht="15" customHeight="1" x14ac:dyDescent="0.3">
      <c r="B791" s="44" t="str">
        <f>IF(OR(LINEAS!$D$129="",LINEAS!$U$129=0,ABS(IF(OR(LINEAS!$U$129=1,LINEAS!$U$129=3),1,-1)*LINEAS!$AE$129*DATOS!$C$67)&lt;0.00005),"*",LINEAS!$D$129&amp;" UNI "&amp;IF(LINEAS!$U$129&lt;=2,"GZ","GX")&amp;" "&amp;TEXT(IF(OR(LINEAS!$U$129=1,LINEAS!$U$129=3),1,-1)*LINEAS!$AE$129*DATOS!$C$67,DATOS!$C$68))</f>
        <v>299 UNI GZ -0.4638</v>
      </c>
      <c r="C791" s="42" t="str">
        <f t="shared" si="24"/>
        <v/>
      </c>
      <c r="D791" s="44" t="str">
        <f>IF(PRESIONES!$C$22="NO","",IF(OR(LINEAS!$D$129="",LINEAS!$U$129=0,ABS(IF(OR(LINEAS!$U$129=1,LINEAS!$U$129=3),1,-1)*LINEAS!$AE$129*DATOS!$C$67)&lt;0.00005),"*",LINEAS!$D$129&amp;" UNI "&amp;IF(LINEAS!$U$129&lt;=2,"GZ","GX")&amp;" "&amp;TEXT(IF(OR(LINEAS!$U$129=1,LINEAS!$U$129=3),1,-1)*LINEAS!$AE$129*DATOS!$C$67,DATOS!$C$68)))</f>
        <v/>
      </c>
      <c r="E791" s="42" t="str">
        <f t="shared" si="25"/>
        <v/>
      </c>
    </row>
    <row r="792" spans="2:5" ht="15" customHeight="1" x14ac:dyDescent="0.3">
      <c r="B792" s="44" t="str">
        <f>IF(OR(LINEAS!$D$130="",LINEAS!$U$130=0,ABS(IF(OR(LINEAS!$U$130=1,LINEAS!$U$130=3),1,-1)*LINEAS!$AE$130*DATOS!$C$67)&lt;0.00005),"*",LINEAS!$D$130&amp;" UNI "&amp;IF(LINEAS!$U$130&lt;=2,"GZ","GX")&amp;" "&amp;TEXT(IF(OR(LINEAS!$U$130=1,LINEAS!$U$130=3),1,-1)*LINEAS!$AE$130*DATOS!$C$67,DATOS!$C$68))</f>
        <v>326 UNI GZ -0.3637</v>
      </c>
      <c r="C792" s="42" t="str">
        <f t="shared" si="24"/>
        <v/>
      </c>
      <c r="D792" s="44" t="str">
        <f>IF(PRESIONES!$C$22="NO","",IF(OR(LINEAS!$D$130="",LINEAS!$U$130=0,ABS(IF(OR(LINEAS!$U$130=1,LINEAS!$U$130=3),1,-1)*LINEAS!$AE$130*DATOS!$C$67)&lt;0.00005),"*",LINEAS!$D$130&amp;" UNI "&amp;IF(LINEAS!$U$130&lt;=2,"GZ","GX")&amp;" "&amp;TEXT(IF(OR(LINEAS!$U$130=1,LINEAS!$U$130=3),1,-1)*LINEAS!$AE$130*DATOS!$C$67,DATOS!$C$68)))</f>
        <v/>
      </c>
      <c r="E792" s="42" t="str">
        <f t="shared" si="25"/>
        <v/>
      </c>
    </row>
    <row r="793" spans="2:5" ht="15" customHeight="1" x14ac:dyDescent="0.3">
      <c r="B793" s="44" t="str">
        <f>IF(OR(LINEAS!$D$131="",LINEAS!$U$131=0,ABS(IF(OR(LINEAS!$U$131=1,LINEAS!$U$131=3),1,-1)*LINEAS!$AE$131*DATOS!$C$67)&lt;0.00005),"*",LINEAS!$D$131&amp;" UNI "&amp;IF(LINEAS!$U$131&lt;=2,"GZ","GX")&amp;" "&amp;TEXT(IF(OR(LINEAS!$U$131=1,LINEAS!$U$131=3),1,-1)*LINEAS!$AE$131*DATOS!$C$67,DATOS!$C$68))</f>
        <v>25 UNI GZ -0.2637</v>
      </c>
      <c r="C793" s="42" t="str">
        <f t="shared" si="24"/>
        <v/>
      </c>
      <c r="D793" s="44" t="str">
        <f>IF(PRESIONES!$C$22="NO","",IF(OR(LINEAS!$D$131="",LINEAS!$U$131=0,ABS(IF(OR(LINEAS!$U$131=1,LINEAS!$U$131=3),1,-1)*LINEAS!$AE$131*DATOS!$C$67)&lt;0.00005),"*",LINEAS!$D$131&amp;" UNI "&amp;IF(LINEAS!$U$131&lt;=2,"GZ","GX")&amp;" "&amp;TEXT(IF(OR(LINEAS!$U$131=1,LINEAS!$U$131=3),1,-1)*LINEAS!$AE$131*DATOS!$C$67,DATOS!$C$68)))</f>
        <v/>
      </c>
      <c r="E793" s="42" t="str">
        <f t="shared" si="25"/>
        <v/>
      </c>
    </row>
    <row r="794" spans="2:5" ht="15" customHeight="1" x14ac:dyDescent="0.3">
      <c r="B794" s="44" t="str">
        <f>IF(OR(LINEAS!$D$132="",LINEAS!$U$132=0,ABS(IF(OR(LINEAS!$U$132=1,LINEAS!$U$132=3),1,-1)*LINEAS!$AE$132*DATOS!$C$67)&lt;0.00005),"*",LINEAS!$D$132&amp;" UNI "&amp;IF(LINEAS!$U$132&lt;=2,"GZ","GX")&amp;" "&amp;TEXT(IF(OR(LINEAS!$U$132=1,LINEAS!$U$132=3),1,-1)*LINEAS!$AE$132*DATOS!$C$67,DATOS!$C$68))</f>
        <v>327 UNI GZ -0.3637</v>
      </c>
      <c r="C794" s="42" t="str">
        <f t="shared" si="24"/>
        <v/>
      </c>
      <c r="D794" s="44" t="str">
        <f>IF(PRESIONES!$C$22="NO","",IF(OR(LINEAS!$D$132="",LINEAS!$U$132=0,ABS(IF(OR(LINEAS!$U$132=1,LINEAS!$U$132=3),1,-1)*LINEAS!$AE$132*DATOS!$C$67)&lt;0.00005),"*",LINEAS!$D$132&amp;" UNI "&amp;IF(LINEAS!$U$132&lt;=2,"GZ","GX")&amp;" "&amp;TEXT(IF(OR(LINEAS!$U$132=1,LINEAS!$U$132=3),1,-1)*LINEAS!$AE$132*DATOS!$C$67,DATOS!$C$68)))</f>
        <v/>
      </c>
      <c r="E794" s="42" t="str">
        <f t="shared" si="25"/>
        <v/>
      </c>
    </row>
    <row r="795" spans="2:5" ht="15" customHeight="1" x14ac:dyDescent="0.3">
      <c r="B795" s="44" t="str">
        <f>IF(OR(LINEAS!$D$133="",LINEAS!$U$133=0,ABS(IF(OR(LINEAS!$U$133=1,LINEAS!$U$133=3),1,-1)*LINEAS!$AE$133*DATOS!$C$67)&lt;0.00005),"*",LINEAS!$D$133&amp;" UNI "&amp;IF(LINEAS!$U$133&lt;=2,"GZ","GX")&amp;" "&amp;TEXT(IF(OR(LINEAS!$U$133=1,LINEAS!$U$133=3),1,-1)*LINEAS!$AE$133*DATOS!$C$67,DATOS!$C$68))</f>
        <v>306 UNI GZ -0.6275</v>
      </c>
      <c r="C795" s="42" t="str">
        <f t="shared" si="24"/>
        <v/>
      </c>
      <c r="D795" s="44" t="str">
        <f>IF(PRESIONES!$C$22="NO","",IF(OR(LINEAS!$D$133="",LINEAS!$U$133=0,ABS(IF(OR(LINEAS!$U$133=1,LINEAS!$U$133=3),1,-1)*LINEAS!$AE$133*DATOS!$C$67)&lt;0.00005),"*",LINEAS!$D$133&amp;" UNI "&amp;IF(LINEAS!$U$133&lt;=2,"GZ","GX")&amp;" "&amp;TEXT(IF(OR(LINEAS!$U$133=1,LINEAS!$U$133=3),1,-1)*LINEAS!$AE$133*DATOS!$C$67,DATOS!$C$68)))</f>
        <v/>
      </c>
      <c r="E795" s="42" t="str">
        <f t="shared" si="25"/>
        <v/>
      </c>
    </row>
    <row r="796" spans="2:5" ht="15" customHeight="1" x14ac:dyDescent="0.3">
      <c r="B796" s="44" t="str">
        <f>IF(OR(LINEAS!$D$134="",LINEAS!$U$134=0,ABS(IF(OR(LINEAS!$U$134=1,LINEAS!$U$134=3),1,-1)*LINEAS!$AE$134*DATOS!$C$67)&lt;0.00005),"*",LINEAS!$D$134&amp;" UNI "&amp;IF(LINEAS!$U$134&lt;=2,"GZ","GX")&amp;" "&amp;TEXT(IF(OR(LINEAS!$U$134=1,LINEAS!$U$134=3),1,-1)*LINEAS!$AE$134*DATOS!$C$67,DATOS!$C$68))</f>
        <v>322 UNI GZ -0.7275</v>
      </c>
      <c r="C796" s="42" t="str">
        <f t="shared" si="24"/>
        <v/>
      </c>
      <c r="D796" s="44" t="str">
        <f>IF(PRESIONES!$C$22="NO","",IF(OR(LINEAS!$D$134="",LINEAS!$U$134=0,ABS(IF(OR(LINEAS!$U$134=1,LINEAS!$U$134=3),1,-1)*LINEAS!$AE$134*DATOS!$C$67)&lt;0.00005),"*",LINEAS!$D$134&amp;" UNI "&amp;IF(LINEAS!$U$134&lt;=2,"GZ","GX")&amp;" "&amp;TEXT(IF(OR(LINEAS!$U$134=1,LINEAS!$U$134=3),1,-1)*LINEAS!$AE$134*DATOS!$C$67,DATOS!$C$68)))</f>
        <v/>
      </c>
      <c r="E796" s="42" t="str">
        <f t="shared" si="25"/>
        <v/>
      </c>
    </row>
    <row r="797" spans="2:5" ht="15" customHeight="1" x14ac:dyDescent="0.3">
      <c r="B797" s="44" t="str">
        <f>IF(OR(LINEAS!$D$135="",LINEAS!$U$135=0,ABS(IF(OR(LINEAS!$U$135=1,LINEAS!$U$135=3),1,-1)*LINEAS!$AE$135*DATOS!$C$67)&lt;0.00005),"*",LINEAS!$D$135&amp;" UNI "&amp;IF(LINEAS!$U$135&lt;=2,"GZ","GX")&amp;" "&amp;TEXT(IF(OR(LINEAS!$U$135=1,LINEAS!$U$135=3),1,-1)*LINEAS!$AE$135*DATOS!$C$67,DATOS!$C$68))</f>
        <v>323 UNI GZ -0.6729</v>
      </c>
      <c r="C797" s="42" t="str">
        <f t="shared" si="24"/>
        <v/>
      </c>
      <c r="D797" s="44" t="str">
        <f>IF(PRESIONES!$C$22="NO","",IF(OR(LINEAS!$D$135="",LINEAS!$U$135=0,ABS(IF(OR(LINEAS!$U$135=1,LINEAS!$U$135=3),1,-1)*LINEAS!$AE$135*DATOS!$C$67)&lt;0.00005),"*",LINEAS!$D$135&amp;" UNI "&amp;IF(LINEAS!$U$135&lt;=2,"GZ","GX")&amp;" "&amp;TEXT(IF(OR(LINEAS!$U$135=1,LINEAS!$U$135=3),1,-1)*LINEAS!$AE$135*DATOS!$C$67,DATOS!$C$68)))</f>
        <v/>
      </c>
      <c r="E797" s="42" t="str">
        <f t="shared" si="25"/>
        <v/>
      </c>
    </row>
    <row r="798" spans="2:5" ht="15" customHeight="1" x14ac:dyDescent="0.3">
      <c r="B798" s="44" t="str">
        <f>IF(OR(LINEAS!$D$136="",LINEAS!$U$136=0,ABS(IF(OR(LINEAS!$U$136=1,LINEAS!$U$136=3),1,-1)*LINEAS!$AE$136*DATOS!$C$67)&lt;0.00005),"*",LINEAS!$D$136&amp;" UNI "&amp;IF(LINEAS!$U$136&lt;=2,"GZ","GX")&amp;" "&amp;TEXT(IF(OR(LINEAS!$U$136=1,LINEAS!$U$136=3),1,-1)*LINEAS!$AE$136*DATOS!$C$67,DATOS!$C$68))</f>
        <v>22 85 TO 88 UNI GZ -0.3092</v>
      </c>
      <c r="C798" s="42" t="str">
        <f t="shared" si="24"/>
        <v/>
      </c>
      <c r="D798" s="44" t="str">
        <f>IF(PRESIONES!$C$22="NO","",IF(OR(LINEAS!$D$136="",LINEAS!$U$136=0,ABS(IF(OR(LINEAS!$U$136=1,LINEAS!$U$136=3),1,-1)*LINEAS!$AE$136*DATOS!$C$67)&lt;0.00005),"*",LINEAS!$D$136&amp;" UNI "&amp;IF(LINEAS!$U$136&lt;=2,"GZ","GX")&amp;" "&amp;TEXT(IF(OR(LINEAS!$U$136=1,LINEAS!$U$136=3),1,-1)*LINEAS!$AE$136*DATOS!$C$67,DATOS!$C$68)))</f>
        <v/>
      </c>
      <c r="E798" s="42" t="str">
        <f t="shared" si="25"/>
        <v/>
      </c>
    </row>
    <row r="799" spans="2:5" ht="15" customHeight="1" x14ac:dyDescent="0.3">
      <c r="B799" s="44" t="str">
        <f>IF(OR(LINEAS!$D$137="",LINEAS!$U$137=0,ABS(IF(OR(LINEAS!$U$137=1,LINEAS!$U$137=3),1,-1)*LINEAS!$AE$137*DATOS!$C$67)&lt;0.00005),"*",LINEAS!$D$137&amp;" UNI "&amp;IF(LINEAS!$U$137&lt;=2,"GZ","GX")&amp;" "&amp;TEXT(IF(OR(LINEAS!$U$137=1,LINEAS!$U$137=3),1,-1)*LINEAS!$AE$137*DATOS!$C$67,DATOS!$C$68))</f>
        <v>17 191 203 213 223 233 UNI GZ -1.5464</v>
      </c>
      <c r="C799" s="42" t="str">
        <f t="shared" si="24"/>
        <v/>
      </c>
      <c r="D799" s="44" t="str">
        <f>IF(PRESIONES!$C$22="NO","",IF(OR(LINEAS!$D$137="",LINEAS!$U$137=0,ABS(IF(OR(LINEAS!$U$137=1,LINEAS!$U$137=3),1,-1)*LINEAS!$AE$137*DATOS!$C$67)&lt;0.00005),"*",LINEAS!$D$137&amp;" UNI "&amp;IF(LINEAS!$U$137&lt;=2,"GZ","GX")&amp;" "&amp;TEXT(IF(OR(LINEAS!$U$137=1,LINEAS!$U$137=3),1,-1)*LINEAS!$AE$137*DATOS!$C$67,DATOS!$C$68)))</f>
        <v/>
      </c>
      <c r="E799" s="42" t="str">
        <f t="shared" si="25"/>
        <v/>
      </c>
    </row>
    <row r="800" spans="2:5" ht="15" customHeight="1" x14ac:dyDescent="0.3">
      <c r="B800" s="44" t="str">
        <f>IF(OR(LINEAS!$D$138="",LINEAS!$U$138=0,ABS(IF(OR(LINEAS!$U$138=1,LINEAS!$U$138=3),1,-1)*LINEAS!$AE$138*DATOS!$C$67)&lt;0.00005),"*",LINEAS!$D$138&amp;" UNI "&amp;IF(LINEAS!$U$138&lt;=2,"GZ","GX")&amp;" "&amp;TEXT(IF(OR(LINEAS!$U$138=1,LINEAS!$U$138=3),1,-1)*LINEAS!$AE$138*DATOS!$C$67,DATOS!$C$68))</f>
        <v>18 192 204 214 224 234 UNI GZ -1.5464</v>
      </c>
      <c r="C800" s="42" t="str">
        <f t="shared" si="24"/>
        <v/>
      </c>
      <c r="D800" s="44" t="str">
        <f>IF(PRESIONES!$C$22="NO","",IF(OR(LINEAS!$D$138="",LINEAS!$U$138=0,ABS(IF(OR(LINEAS!$U$138=1,LINEAS!$U$138=3),1,-1)*LINEAS!$AE$138*DATOS!$C$67)&lt;0.00005),"*",LINEAS!$D$138&amp;" UNI "&amp;IF(LINEAS!$U$138&lt;=2,"GZ","GX")&amp;" "&amp;TEXT(IF(OR(LINEAS!$U$138=1,LINEAS!$U$138=3),1,-1)*LINEAS!$AE$138*DATOS!$C$67,DATOS!$C$68)))</f>
        <v/>
      </c>
      <c r="E800" s="42" t="str">
        <f t="shared" si="25"/>
        <v/>
      </c>
    </row>
    <row r="801" spans="2:5" ht="15" customHeight="1" x14ac:dyDescent="0.3">
      <c r="B801" s="44" t="str">
        <f>IF(OR(LINEAS!$D$139="",LINEAS!$U$139=0,ABS(IF(OR(LINEAS!$U$139=1,LINEAS!$U$139=3),1,-1)*LINEAS!$AE$139*DATOS!$C$67)&lt;0.00005),"*",LINEAS!$D$139&amp;" UNI "&amp;IF(LINEAS!$U$139&lt;=2,"GZ","GX")&amp;" "&amp;TEXT(IF(OR(LINEAS!$U$139=1,LINEAS!$U$139=3),1,-1)*LINEAS!$AE$139*DATOS!$C$67,DATOS!$C$68))</f>
        <v>*</v>
      </c>
      <c r="C801" s="42" t="str">
        <f t="shared" si="24"/>
        <v/>
      </c>
      <c r="D801" s="44" t="str">
        <f>IF(PRESIONES!$C$22="NO","",IF(OR(LINEAS!$D$139="",LINEAS!$U$139=0,ABS(IF(OR(LINEAS!$U$139=1,LINEAS!$U$139=3),1,-1)*LINEAS!$AE$139*DATOS!$C$67)&lt;0.00005),"*",LINEAS!$D$139&amp;" UNI "&amp;IF(LINEAS!$U$139&lt;=2,"GZ","GX")&amp;" "&amp;TEXT(IF(OR(LINEAS!$U$139=1,LINEAS!$U$139=3),1,-1)*LINEAS!$AE$139*DATOS!$C$67,DATOS!$C$68)))</f>
        <v/>
      </c>
      <c r="E801" s="42" t="str">
        <f t="shared" si="25"/>
        <v/>
      </c>
    </row>
    <row r="802" spans="2:5" ht="15" customHeight="1" x14ac:dyDescent="0.3">
      <c r="B802" s="44" t="str">
        <f>IF(OR(LINEAS!$D$140="",LINEAS!$U$140=0,ABS(IF(OR(LINEAS!$U$140=1,LINEAS!$U$140=3),1,-1)*LINEAS!$AE$140*DATOS!$C$67)&lt;0.00005),"*",LINEAS!$D$140&amp;" UNI "&amp;IF(LINEAS!$U$140&lt;=2,"GZ","GX")&amp;" "&amp;TEXT(IF(OR(LINEAS!$U$140=1,LINEAS!$U$140=3),1,-1)*LINEAS!$AE$140*DATOS!$C$67,DATOS!$C$68))</f>
        <v>*</v>
      </c>
      <c r="C802" s="42" t="str">
        <f t="shared" si="24"/>
        <v/>
      </c>
      <c r="D802" s="44" t="str">
        <f>IF(PRESIONES!$C$22="NO","",IF(OR(LINEAS!$D$140="",LINEAS!$U$140=0,ABS(IF(OR(LINEAS!$U$140=1,LINEAS!$U$140=3),1,-1)*LINEAS!$AE$140*DATOS!$C$67)&lt;0.00005),"*",LINEAS!$D$140&amp;" UNI "&amp;IF(LINEAS!$U$140&lt;=2,"GZ","GX")&amp;" "&amp;TEXT(IF(OR(LINEAS!$U$140=1,LINEAS!$U$140=3),1,-1)*LINEAS!$AE$140*DATOS!$C$67,DATOS!$C$68)))</f>
        <v/>
      </c>
      <c r="E802" s="42" t="str">
        <f t="shared" si="25"/>
        <v/>
      </c>
    </row>
    <row r="803" spans="2:5" ht="15" customHeight="1" x14ac:dyDescent="0.3">
      <c r="B803" s="44" t="str">
        <f>IF(OR(LINEAS!$D$141="",LINEAS!$U$141=0,ABS(IF(OR(LINEAS!$U$141=1,LINEAS!$U$141=3),1,-1)*LINEAS!$AE$141*DATOS!$C$67)&lt;0.00005),"*",LINEAS!$D$141&amp;" UNI "&amp;IF(LINEAS!$U$141&lt;=2,"GZ","GX")&amp;" "&amp;TEXT(IF(OR(LINEAS!$U$141=1,LINEAS!$U$141=3),1,-1)*LINEAS!$AE$141*DATOS!$C$67,DATOS!$C$68))</f>
        <v>*</v>
      </c>
      <c r="C803" s="42" t="str">
        <f t="shared" si="24"/>
        <v/>
      </c>
      <c r="D803" s="44" t="str">
        <f>IF(PRESIONES!$C$22="NO","",IF(OR(LINEAS!$D$141="",LINEAS!$U$141=0,ABS(IF(OR(LINEAS!$U$141=1,LINEAS!$U$141=3),1,-1)*LINEAS!$AE$141*DATOS!$C$67)&lt;0.00005),"*",LINEAS!$D$141&amp;" UNI "&amp;IF(LINEAS!$U$141&lt;=2,"GZ","GX")&amp;" "&amp;TEXT(IF(OR(LINEAS!$U$141=1,LINEAS!$U$141=3),1,-1)*LINEAS!$AE$141*DATOS!$C$67,DATOS!$C$68)))</f>
        <v/>
      </c>
      <c r="E803" s="42" t="str">
        <f t="shared" si="25"/>
        <v/>
      </c>
    </row>
    <row r="804" spans="2:5" ht="15" customHeight="1" x14ac:dyDescent="0.3">
      <c r="B804" s="44" t="str">
        <f>IF(OR(LINEAS!$D$142="",LINEAS!$U$142=0,ABS(IF(OR(LINEAS!$U$142=1,LINEAS!$U$142=3),1,-1)*LINEAS!$AE$142*DATOS!$C$67)&lt;0.00005),"*",LINEAS!$D$142&amp;" UNI "&amp;IF(LINEAS!$U$142&lt;=2,"GZ","GX")&amp;" "&amp;TEXT(IF(OR(LINEAS!$U$142=1,LINEAS!$U$142=3),1,-1)*LINEAS!$AE$142*DATOS!$C$67,DATOS!$C$68))</f>
        <v>*</v>
      </c>
      <c r="C804" s="42" t="str">
        <f t="shared" si="24"/>
        <v/>
      </c>
      <c r="D804" s="44" t="str">
        <f>IF(PRESIONES!$C$22="NO","",IF(OR(LINEAS!$D$142="",LINEAS!$U$142=0,ABS(IF(OR(LINEAS!$U$142=1,LINEAS!$U$142=3),1,-1)*LINEAS!$AE$142*DATOS!$C$67)&lt;0.00005),"*",LINEAS!$D$142&amp;" UNI "&amp;IF(LINEAS!$U$142&lt;=2,"GZ","GX")&amp;" "&amp;TEXT(IF(OR(LINEAS!$U$142=1,LINEAS!$U$142=3),1,-1)*LINEAS!$AE$142*DATOS!$C$67,DATOS!$C$68)))</f>
        <v/>
      </c>
      <c r="E804" s="42" t="str">
        <f t="shared" si="25"/>
        <v/>
      </c>
    </row>
    <row r="805" spans="2:5" ht="15" customHeight="1" x14ac:dyDescent="0.3">
      <c r="B805" s="44" t="str">
        <f>IF(OR(LINEAS!$D$143="",LINEAS!$U$143=0,ABS(IF(OR(LINEAS!$U$143=1,LINEAS!$U$143=3),1,-1)*LINEAS!$AE$143*DATOS!$C$67)&lt;0.00005),"*",LINEAS!$D$143&amp;" UNI "&amp;IF(LINEAS!$U$143&lt;=2,"GZ","GX")&amp;" "&amp;TEXT(IF(OR(LINEAS!$U$143=1,LINEAS!$U$143=3),1,-1)*LINEAS!$AE$143*DATOS!$C$67,DATOS!$C$68))</f>
        <v>*</v>
      </c>
      <c r="C805" s="42" t="str">
        <f t="shared" si="24"/>
        <v/>
      </c>
      <c r="D805" s="44" t="str">
        <f>IF(PRESIONES!$C$22="NO","",IF(OR(LINEAS!$D$143="",LINEAS!$U$143=0,ABS(IF(OR(LINEAS!$U$143=1,LINEAS!$U$143=3),1,-1)*LINEAS!$AE$143*DATOS!$C$67)&lt;0.00005),"*",LINEAS!$D$143&amp;" UNI "&amp;IF(LINEAS!$U$143&lt;=2,"GZ","GX")&amp;" "&amp;TEXT(IF(OR(LINEAS!$U$143=1,LINEAS!$U$143=3),1,-1)*LINEAS!$AE$143*DATOS!$C$67,DATOS!$C$68)))</f>
        <v/>
      </c>
      <c r="E805" s="42" t="str">
        <f t="shared" si="25"/>
        <v/>
      </c>
    </row>
    <row r="806" spans="2:5" ht="15" customHeight="1" x14ac:dyDescent="0.3">
      <c r="B806" s="44" t="str">
        <f>IF(OR(LINEAS!$D$144="",LINEAS!$U$144=0,ABS(IF(OR(LINEAS!$U$144=1,LINEAS!$U$144=3),1,-1)*LINEAS!$AE$144*DATOS!$C$67)&lt;0.00005),"*",LINEAS!$D$144&amp;" UNI "&amp;IF(LINEAS!$U$144&lt;=2,"GZ","GX")&amp;" "&amp;TEXT(IF(OR(LINEAS!$U$144=1,LINEAS!$U$144=3),1,-1)*LINEAS!$AE$144*DATOS!$C$67,DATOS!$C$68))</f>
        <v>*</v>
      </c>
      <c r="C806" s="42" t="str">
        <f t="shared" si="24"/>
        <v/>
      </c>
      <c r="D806" s="44" t="str">
        <f>IF(PRESIONES!$C$22="NO","",IF(OR(LINEAS!$D$144="",LINEAS!$U$144=0,ABS(IF(OR(LINEAS!$U$144=1,LINEAS!$U$144=3),1,-1)*LINEAS!$AE$144*DATOS!$C$67)&lt;0.00005),"*",LINEAS!$D$144&amp;" UNI "&amp;IF(LINEAS!$U$144&lt;=2,"GZ","GX")&amp;" "&amp;TEXT(IF(OR(LINEAS!$U$144=1,LINEAS!$U$144=3),1,-1)*LINEAS!$AE$144*DATOS!$C$67,DATOS!$C$68)))</f>
        <v/>
      </c>
      <c r="E806" s="42" t="str">
        <f t="shared" si="25"/>
        <v/>
      </c>
    </row>
    <row r="807" spans="2:5" ht="15" customHeight="1" x14ac:dyDescent="0.3">
      <c r="B807" s="44" t="str">
        <f>IF(OR(LINEAS!$D$145="",LINEAS!$U$145=0,ABS(IF(OR(LINEAS!$U$145=1,LINEAS!$U$145=3),1,-1)*LINEAS!$AE$145*DATOS!$C$67)&lt;0.00005),"*",LINEAS!$D$145&amp;" UNI "&amp;IF(LINEAS!$U$145&lt;=2,"GZ","GX")&amp;" "&amp;TEXT(IF(OR(LINEAS!$U$145=1,LINEAS!$U$145=3),1,-1)*LINEAS!$AE$145*DATOS!$C$67,DATOS!$C$68))</f>
        <v>*</v>
      </c>
      <c r="C807" s="42" t="str">
        <f t="shared" si="24"/>
        <v/>
      </c>
      <c r="D807" s="44" t="str">
        <f>IF(PRESIONES!$C$22="NO","",IF(OR(LINEAS!$D$145="",LINEAS!$U$145=0,ABS(IF(OR(LINEAS!$U$145=1,LINEAS!$U$145=3),1,-1)*LINEAS!$AE$145*DATOS!$C$67)&lt;0.00005),"*",LINEAS!$D$145&amp;" UNI "&amp;IF(LINEAS!$U$145&lt;=2,"GZ","GX")&amp;" "&amp;TEXT(IF(OR(LINEAS!$U$145=1,LINEAS!$U$145=3),1,-1)*LINEAS!$AE$145*DATOS!$C$67,DATOS!$C$68)))</f>
        <v/>
      </c>
      <c r="E807" s="42" t="str">
        <f t="shared" si="25"/>
        <v/>
      </c>
    </row>
    <row r="808" spans="2:5" ht="15" customHeight="1" x14ac:dyDescent="0.3">
      <c r="B808" s="44" t="str">
        <f>IF(OR(LINEAS!$D$146="",LINEAS!$U$146=0,ABS(IF(OR(LINEAS!$U$146=1,LINEAS!$U$146=3),1,-1)*LINEAS!$AE$146*DATOS!$C$67)&lt;0.00005),"*",LINEAS!$D$146&amp;" UNI "&amp;IF(LINEAS!$U$146&lt;=2,"GZ","GX")&amp;" "&amp;TEXT(IF(OR(LINEAS!$U$146=1,LINEAS!$U$146=3),1,-1)*LINEAS!$AE$146*DATOS!$C$67,DATOS!$C$68))</f>
        <v>*</v>
      </c>
      <c r="C808" s="42" t="str">
        <f t="shared" si="24"/>
        <v/>
      </c>
      <c r="D808" s="44" t="str">
        <f>IF(PRESIONES!$C$22="NO","",IF(OR(LINEAS!$D$146="",LINEAS!$U$146=0,ABS(IF(OR(LINEAS!$U$146=1,LINEAS!$U$146=3),1,-1)*LINEAS!$AE$146*DATOS!$C$67)&lt;0.00005),"*",LINEAS!$D$146&amp;" UNI "&amp;IF(LINEAS!$U$146&lt;=2,"GZ","GX")&amp;" "&amp;TEXT(IF(OR(LINEAS!$U$146=1,LINEAS!$U$146=3),1,-1)*LINEAS!$AE$146*DATOS!$C$67,DATOS!$C$68)))</f>
        <v/>
      </c>
      <c r="E808" s="42" t="str">
        <f t="shared" si="25"/>
        <v/>
      </c>
    </row>
    <row r="809" spans="2:5" ht="15" customHeight="1" x14ac:dyDescent="0.3">
      <c r="B809" s="44" t="str">
        <f>IF(OR(LINEAS!$D$147="",LINEAS!$U$147=0,ABS(IF(OR(LINEAS!$U$147=1,LINEAS!$U$147=3),1,-1)*LINEAS!$AE$147*DATOS!$C$67)&lt;0.00005),"*",LINEAS!$D$147&amp;" UNI "&amp;IF(LINEAS!$U$147&lt;=2,"GZ","GX")&amp;" "&amp;TEXT(IF(OR(LINEAS!$U$147=1,LINEAS!$U$147=3),1,-1)*LINEAS!$AE$147*DATOS!$C$67,DATOS!$C$68))</f>
        <v>*</v>
      </c>
      <c r="C809" s="42" t="str">
        <f t="shared" si="24"/>
        <v/>
      </c>
      <c r="D809" s="44" t="str">
        <f>IF(PRESIONES!$C$22="NO","",IF(OR(LINEAS!$D$147="",LINEAS!$U$147=0,ABS(IF(OR(LINEAS!$U$147=1,LINEAS!$U$147=3),1,-1)*LINEAS!$AE$147*DATOS!$C$67)&lt;0.00005),"*",LINEAS!$D$147&amp;" UNI "&amp;IF(LINEAS!$U$147&lt;=2,"GZ","GX")&amp;" "&amp;TEXT(IF(OR(LINEAS!$U$147=1,LINEAS!$U$147=3),1,-1)*LINEAS!$AE$147*DATOS!$C$67,DATOS!$C$68)))</f>
        <v/>
      </c>
      <c r="E809" s="42" t="str">
        <f t="shared" si="25"/>
        <v/>
      </c>
    </row>
    <row r="810" spans="2:5" ht="15" customHeight="1" x14ac:dyDescent="0.3">
      <c r="B810" s="44" t="str">
        <f>IF(OR(LINEAS!$D$148="",LINEAS!$U$148=0,ABS(IF(OR(LINEAS!$U$148=1,LINEAS!$U$148=3),1,-1)*LINEAS!$AE$148*DATOS!$C$67)&lt;0.00005),"*",LINEAS!$D$148&amp;" UNI "&amp;IF(LINEAS!$U$148&lt;=2,"GZ","GX")&amp;" "&amp;TEXT(IF(OR(LINEAS!$U$148=1,LINEAS!$U$148=3),1,-1)*LINEAS!$AE$148*DATOS!$C$67,DATOS!$C$68))</f>
        <v>*</v>
      </c>
      <c r="C810" s="42" t="str">
        <f t="shared" si="24"/>
        <v/>
      </c>
      <c r="D810" s="44" t="str">
        <f>IF(PRESIONES!$C$22="NO","",IF(OR(LINEAS!$D$148="",LINEAS!$U$148=0,ABS(IF(OR(LINEAS!$U$148=1,LINEAS!$U$148=3),1,-1)*LINEAS!$AE$148*DATOS!$C$67)&lt;0.00005),"*",LINEAS!$D$148&amp;" UNI "&amp;IF(LINEAS!$U$148&lt;=2,"GZ","GX")&amp;" "&amp;TEXT(IF(OR(LINEAS!$U$148=1,LINEAS!$U$148=3),1,-1)*LINEAS!$AE$148*DATOS!$C$67,DATOS!$C$68)))</f>
        <v/>
      </c>
      <c r="E810" s="42" t="str">
        <f t="shared" si="25"/>
        <v/>
      </c>
    </row>
    <row r="811" spans="2:5" ht="15" customHeight="1" x14ac:dyDescent="0.3">
      <c r="B811" s="44" t="str">
        <f>IF(OR(LINEAS!$D$149="",LINEAS!$U$149=0,ABS(IF(OR(LINEAS!$U$149=1,LINEAS!$U$149=3),1,-1)*LINEAS!$AE$149*DATOS!$C$67)&lt;0.00005),"*",LINEAS!$D$149&amp;" UNI "&amp;IF(LINEAS!$U$149&lt;=2,"GZ","GX")&amp;" "&amp;TEXT(IF(OR(LINEAS!$U$149=1,LINEAS!$U$149=3),1,-1)*LINEAS!$AE$149*DATOS!$C$67,DATOS!$C$68))</f>
        <v>*</v>
      </c>
      <c r="C811" s="42" t="str">
        <f t="shared" si="24"/>
        <v/>
      </c>
      <c r="D811" s="44" t="str">
        <f>IF(PRESIONES!$C$22="NO","",IF(OR(LINEAS!$D$149="",LINEAS!$U$149=0,ABS(IF(OR(LINEAS!$U$149=1,LINEAS!$U$149=3),1,-1)*LINEAS!$AE$149*DATOS!$C$67)&lt;0.00005),"*",LINEAS!$D$149&amp;" UNI "&amp;IF(LINEAS!$U$149&lt;=2,"GZ","GX")&amp;" "&amp;TEXT(IF(OR(LINEAS!$U$149=1,LINEAS!$U$149=3),1,-1)*LINEAS!$AE$149*DATOS!$C$67,DATOS!$C$68)))</f>
        <v/>
      </c>
      <c r="E811" s="42" t="str">
        <f t="shared" si="25"/>
        <v/>
      </c>
    </row>
    <row r="812" spans="2:5" ht="15" customHeight="1" x14ac:dyDescent="0.3">
      <c r="B812" s="44" t="str">
        <f>IF(OR(LINEAS!$D$150="",LINEAS!$U$150=0,ABS(IF(OR(LINEAS!$U$150=1,LINEAS!$U$150=3),1,-1)*LINEAS!$AE$150*DATOS!$C$67)&lt;0.00005),"*",LINEAS!$D$150&amp;" UNI "&amp;IF(LINEAS!$U$150&lt;=2,"GZ","GX")&amp;" "&amp;TEXT(IF(OR(LINEAS!$U$150=1,LINEAS!$U$150=3),1,-1)*LINEAS!$AE$150*DATOS!$C$67,DATOS!$C$68))</f>
        <v>*</v>
      </c>
      <c r="C812" s="42" t="str">
        <f t="shared" si="24"/>
        <v/>
      </c>
      <c r="D812" s="44" t="str">
        <f>IF(PRESIONES!$C$22="NO","",IF(OR(LINEAS!$D$150="",LINEAS!$U$150=0,ABS(IF(OR(LINEAS!$U$150=1,LINEAS!$U$150=3),1,-1)*LINEAS!$AE$150*DATOS!$C$67)&lt;0.00005),"*",LINEAS!$D$150&amp;" UNI "&amp;IF(LINEAS!$U$150&lt;=2,"GZ","GX")&amp;" "&amp;TEXT(IF(OR(LINEAS!$U$150=1,LINEAS!$U$150=3),1,-1)*LINEAS!$AE$150*DATOS!$C$67,DATOS!$C$68)))</f>
        <v/>
      </c>
      <c r="E812" s="42" t="str">
        <f t="shared" si="25"/>
        <v/>
      </c>
    </row>
    <row r="813" spans="2:5" ht="15" customHeight="1" x14ac:dyDescent="0.3">
      <c r="B813" s="44" t="str">
        <f>IF(OR(LINEAS!$D$151="",LINEAS!$U$151=0,ABS(IF(OR(LINEAS!$U$151=1,LINEAS!$U$151=3),1,-1)*LINEAS!$AE$151*DATOS!$C$67)&lt;0.00005),"*",LINEAS!$D$151&amp;" UNI "&amp;IF(LINEAS!$U$151&lt;=2,"GZ","GX")&amp;" "&amp;TEXT(IF(OR(LINEAS!$U$151=1,LINEAS!$U$151=3),1,-1)*LINEAS!$AE$151*DATOS!$C$67,DATOS!$C$68))</f>
        <v>*</v>
      </c>
      <c r="C813" s="42" t="str">
        <f t="shared" si="24"/>
        <v/>
      </c>
      <c r="D813" s="44" t="str">
        <f>IF(PRESIONES!$C$22="NO","",IF(OR(LINEAS!$D$151="",LINEAS!$U$151=0,ABS(IF(OR(LINEAS!$U$151=1,LINEAS!$U$151=3),1,-1)*LINEAS!$AE$151*DATOS!$C$67)&lt;0.00005),"*",LINEAS!$D$151&amp;" UNI "&amp;IF(LINEAS!$U$151&lt;=2,"GZ","GX")&amp;" "&amp;TEXT(IF(OR(LINEAS!$U$151=1,LINEAS!$U$151=3),1,-1)*LINEAS!$AE$151*DATOS!$C$67,DATOS!$C$68)))</f>
        <v/>
      </c>
      <c r="E813" s="42" t="str">
        <f t="shared" si="25"/>
        <v/>
      </c>
    </row>
    <row r="814" spans="2:5" ht="15" customHeight="1" x14ac:dyDescent="0.3">
      <c r="B814" s="44" t="str">
        <f>IF(OR(LINEAS!$D$152="",LINEAS!$U$152=0,ABS(IF(OR(LINEAS!$U$152=1,LINEAS!$U$152=3),1,-1)*LINEAS!$AE$152*DATOS!$C$67)&lt;0.00005),"*",LINEAS!$D$152&amp;" UNI "&amp;IF(LINEAS!$U$152&lt;=2,"GZ","GX")&amp;" "&amp;TEXT(IF(OR(LINEAS!$U$152=1,LINEAS!$U$152=3),1,-1)*LINEAS!$AE$152*DATOS!$C$67,DATOS!$C$68))</f>
        <v>*</v>
      </c>
      <c r="C814" s="42" t="str">
        <f t="shared" si="24"/>
        <v/>
      </c>
      <c r="D814" s="44" t="str">
        <f>IF(PRESIONES!$C$22="NO","",IF(OR(LINEAS!$D$152="",LINEAS!$U$152=0,ABS(IF(OR(LINEAS!$U$152=1,LINEAS!$U$152=3),1,-1)*LINEAS!$AE$152*DATOS!$C$67)&lt;0.00005),"*",LINEAS!$D$152&amp;" UNI "&amp;IF(LINEAS!$U$152&lt;=2,"GZ","GX")&amp;" "&amp;TEXT(IF(OR(LINEAS!$U$152=1,LINEAS!$U$152=3),1,-1)*LINEAS!$AE$152*DATOS!$C$67,DATOS!$C$68)))</f>
        <v/>
      </c>
      <c r="E814" s="42" t="str">
        <f t="shared" si="25"/>
        <v/>
      </c>
    </row>
    <row r="815" spans="2:5" ht="15" customHeight="1" x14ac:dyDescent="0.3">
      <c r="B815" s="44" t="str">
        <f>IF(OR(LINEAS!$D$153="",LINEAS!$U$153=0,ABS(IF(OR(LINEAS!$U$153=1,LINEAS!$U$153=3),1,-1)*LINEAS!$AE$153*DATOS!$C$67)&lt;0.00005),"*",LINEAS!$D$153&amp;" UNI "&amp;IF(LINEAS!$U$153&lt;=2,"GZ","GX")&amp;" "&amp;TEXT(IF(OR(LINEAS!$U$153=1,LINEAS!$U$153=3),1,-1)*LINEAS!$AE$153*DATOS!$C$67,DATOS!$C$68))</f>
        <v>*</v>
      </c>
      <c r="C815" s="42" t="str">
        <f t="shared" si="24"/>
        <v/>
      </c>
      <c r="D815" s="44" t="str">
        <f>IF(PRESIONES!$C$22="NO","",IF(OR(LINEAS!$D$153="",LINEAS!$U$153=0,ABS(IF(OR(LINEAS!$U$153=1,LINEAS!$U$153=3),1,-1)*LINEAS!$AE$153*DATOS!$C$67)&lt;0.00005),"*",LINEAS!$D$153&amp;" UNI "&amp;IF(LINEAS!$U$153&lt;=2,"GZ","GX")&amp;" "&amp;TEXT(IF(OR(LINEAS!$U$153=1,LINEAS!$U$153=3),1,-1)*LINEAS!$AE$153*DATOS!$C$67,DATOS!$C$68)))</f>
        <v/>
      </c>
      <c r="E815" s="42" t="str">
        <f t="shared" si="25"/>
        <v/>
      </c>
    </row>
    <row r="816" spans="2:5" ht="15" customHeight="1" x14ac:dyDescent="0.3">
      <c r="B816" s="44" t="str">
        <f>IF(OR(LINEAS!$D$154="",LINEAS!$U$154=0,ABS(IF(OR(LINEAS!$U$154=1,LINEAS!$U$154=3),1,-1)*LINEAS!$AE$154*DATOS!$C$67)&lt;0.00005),"*",LINEAS!$D$154&amp;" UNI "&amp;IF(LINEAS!$U$154&lt;=2,"GZ","GX")&amp;" "&amp;TEXT(IF(OR(LINEAS!$U$154=1,LINEAS!$U$154=3),1,-1)*LINEAS!$AE$154*DATOS!$C$67,DATOS!$C$68))</f>
        <v>*</v>
      </c>
      <c r="C816" s="42" t="str">
        <f t="shared" si="24"/>
        <v/>
      </c>
      <c r="D816" s="44" t="str">
        <f>IF(PRESIONES!$C$22="NO","",IF(OR(LINEAS!$D$154="",LINEAS!$U$154=0,ABS(IF(OR(LINEAS!$U$154=1,LINEAS!$U$154=3),1,-1)*LINEAS!$AE$154*DATOS!$C$67)&lt;0.00005),"*",LINEAS!$D$154&amp;" UNI "&amp;IF(LINEAS!$U$154&lt;=2,"GZ","GX")&amp;" "&amp;TEXT(IF(OR(LINEAS!$U$154=1,LINEAS!$U$154=3),1,-1)*LINEAS!$AE$154*DATOS!$C$67,DATOS!$C$68)))</f>
        <v/>
      </c>
      <c r="E816" s="42" t="str">
        <f t="shared" si="25"/>
        <v/>
      </c>
    </row>
    <row r="817" spans="2:5" ht="15" customHeight="1" x14ac:dyDescent="0.3">
      <c r="B817" s="44" t="str">
        <f>IF(OR(LINEAS!$D$155="",LINEAS!$U$155=0,ABS(IF(OR(LINEAS!$U$155=1,LINEAS!$U$155=3),1,-1)*LINEAS!$AE$155*DATOS!$C$67)&lt;0.00005),"*",LINEAS!$D$155&amp;" UNI "&amp;IF(LINEAS!$U$155&lt;=2,"GZ","GX")&amp;" "&amp;TEXT(IF(OR(LINEAS!$U$155=1,LINEAS!$U$155=3),1,-1)*LINEAS!$AE$155*DATOS!$C$67,DATOS!$C$68))</f>
        <v>*</v>
      </c>
      <c r="C817" s="42" t="str">
        <f t="shared" si="24"/>
        <v/>
      </c>
      <c r="D817" s="44" t="str">
        <f>IF(PRESIONES!$C$22="NO","",IF(OR(LINEAS!$D$155="",LINEAS!$U$155=0,ABS(IF(OR(LINEAS!$U$155=1,LINEAS!$U$155=3),1,-1)*LINEAS!$AE$155*DATOS!$C$67)&lt;0.00005),"*",LINEAS!$D$155&amp;" UNI "&amp;IF(LINEAS!$U$155&lt;=2,"GZ","GX")&amp;" "&amp;TEXT(IF(OR(LINEAS!$U$155=1,LINEAS!$U$155=3),1,-1)*LINEAS!$AE$155*DATOS!$C$67,DATOS!$C$68)))</f>
        <v/>
      </c>
      <c r="E817" s="42" t="str">
        <f t="shared" si="25"/>
        <v/>
      </c>
    </row>
    <row r="818" spans="2:5" ht="15" customHeight="1" x14ac:dyDescent="0.3">
      <c r="B818" s="44" t="str">
        <f>IF(OR(LINEAS!$D$156="",LINEAS!$U$156=0,ABS(IF(OR(LINEAS!$U$156=1,LINEAS!$U$156=3),1,-1)*LINEAS!$AE$156*DATOS!$C$67)&lt;0.00005),"*",LINEAS!$D$156&amp;" UNI "&amp;IF(LINEAS!$U$156&lt;=2,"GZ","GX")&amp;" "&amp;TEXT(IF(OR(LINEAS!$U$156=1,LINEAS!$U$156=3),1,-1)*LINEAS!$AE$156*DATOS!$C$67,DATOS!$C$68))</f>
        <v>*</v>
      </c>
      <c r="C818" s="42" t="str">
        <f t="shared" si="24"/>
        <v/>
      </c>
      <c r="D818" s="44" t="str">
        <f>IF(PRESIONES!$C$22="NO","",IF(OR(LINEAS!$D$156="",LINEAS!$U$156=0,ABS(IF(OR(LINEAS!$U$156=1,LINEAS!$U$156=3),1,-1)*LINEAS!$AE$156*DATOS!$C$67)&lt;0.00005),"*",LINEAS!$D$156&amp;" UNI "&amp;IF(LINEAS!$U$156&lt;=2,"GZ","GX")&amp;" "&amp;TEXT(IF(OR(LINEAS!$U$156=1,LINEAS!$U$156=3),1,-1)*LINEAS!$AE$156*DATOS!$C$67,DATOS!$C$68)))</f>
        <v/>
      </c>
      <c r="E818" s="42" t="str">
        <f t="shared" si="25"/>
        <v/>
      </c>
    </row>
    <row r="819" spans="2:5" ht="15" customHeight="1" x14ac:dyDescent="0.3">
      <c r="B819" s="44" t="str">
        <f>IF(OR(LINEAS!$D$157="",LINEAS!$U$157=0,ABS(IF(OR(LINEAS!$U$157=1,LINEAS!$U$157=3),1,-1)*LINEAS!$AE$157*DATOS!$C$67)&lt;0.00005),"*",LINEAS!$D$157&amp;" UNI "&amp;IF(LINEAS!$U$157&lt;=2,"GZ","GX")&amp;" "&amp;TEXT(IF(OR(LINEAS!$U$157=1,LINEAS!$U$157=3),1,-1)*LINEAS!$AE$157*DATOS!$C$67,DATOS!$C$68))</f>
        <v>*</v>
      </c>
      <c r="C819" s="42" t="str">
        <f t="shared" si="24"/>
        <v/>
      </c>
      <c r="D819" s="44" t="str">
        <f>IF(PRESIONES!$C$22="NO","",IF(OR(LINEAS!$D$157="",LINEAS!$U$157=0,ABS(IF(OR(LINEAS!$U$157=1,LINEAS!$U$157=3),1,-1)*LINEAS!$AE$157*DATOS!$C$67)&lt;0.00005),"*",LINEAS!$D$157&amp;" UNI "&amp;IF(LINEAS!$U$157&lt;=2,"GZ","GX")&amp;" "&amp;TEXT(IF(OR(LINEAS!$U$157=1,LINEAS!$U$157=3),1,-1)*LINEAS!$AE$157*DATOS!$C$67,DATOS!$C$68)))</f>
        <v/>
      </c>
      <c r="E819" s="42" t="str">
        <f t="shared" si="25"/>
        <v/>
      </c>
    </row>
    <row r="820" spans="2:5" ht="15" customHeight="1" x14ac:dyDescent="0.3">
      <c r="B820" s="44" t="str">
        <f>IF(OR(LINEAS!$D$158="",LINEAS!$U$158=0,ABS(IF(OR(LINEAS!$U$158=1,LINEAS!$U$158=3),1,-1)*LINEAS!$AE$158*DATOS!$C$67)&lt;0.00005),"*",LINEAS!$D$158&amp;" UNI "&amp;IF(LINEAS!$U$158&lt;=2,"GZ","GX")&amp;" "&amp;TEXT(IF(OR(LINEAS!$U$158=1,LINEAS!$U$158=3),1,-1)*LINEAS!$AE$158*DATOS!$C$67,DATOS!$C$68))</f>
        <v>*</v>
      </c>
      <c r="C820" s="42" t="str">
        <f t="shared" si="24"/>
        <v/>
      </c>
      <c r="D820" s="44" t="str">
        <f>IF(PRESIONES!$C$22="NO","",IF(OR(LINEAS!$D$158="",LINEAS!$U$158=0,ABS(IF(OR(LINEAS!$U$158=1,LINEAS!$U$158=3),1,-1)*LINEAS!$AE$158*DATOS!$C$67)&lt;0.00005),"*",LINEAS!$D$158&amp;" UNI "&amp;IF(LINEAS!$U$158&lt;=2,"GZ","GX")&amp;" "&amp;TEXT(IF(OR(LINEAS!$U$158=1,LINEAS!$U$158=3),1,-1)*LINEAS!$AE$158*DATOS!$C$67,DATOS!$C$68)))</f>
        <v/>
      </c>
      <c r="E820" s="42" t="str">
        <f t="shared" si="25"/>
        <v/>
      </c>
    </row>
    <row r="821" spans="2:5" ht="15" customHeight="1" x14ac:dyDescent="0.3">
      <c r="B821" s="44" t="str">
        <f>IF(OR(LINEAS!$D$159="",LINEAS!$U$159=0,ABS(IF(OR(LINEAS!$U$159=1,LINEAS!$U$159=3),1,-1)*LINEAS!$AE$159*DATOS!$C$67)&lt;0.00005),"*",LINEAS!$D$159&amp;" UNI "&amp;IF(LINEAS!$U$159&lt;=2,"GZ","GX")&amp;" "&amp;TEXT(IF(OR(LINEAS!$U$159=1,LINEAS!$U$159=3),1,-1)*LINEAS!$AE$159*DATOS!$C$67,DATOS!$C$68))</f>
        <v>*</v>
      </c>
      <c r="C821" s="42" t="str">
        <f t="shared" si="24"/>
        <v/>
      </c>
      <c r="D821" s="44" t="str">
        <f>IF(PRESIONES!$C$22="NO","",IF(OR(LINEAS!$D$159="",LINEAS!$U$159=0,ABS(IF(OR(LINEAS!$U$159=1,LINEAS!$U$159=3),1,-1)*LINEAS!$AE$159*DATOS!$C$67)&lt;0.00005),"*",LINEAS!$D$159&amp;" UNI "&amp;IF(LINEAS!$U$159&lt;=2,"GZ","GX")&amp;" "&amp;TEXT(IF(OR(LINEAS!$U$159=1,LINEAS!$U$159=3),1,-1)*LINEAS!$AE$159*DATOS!$C$67,DATOS!$C$68)))</f>
        <v/>
      </c>
      <c r="E821" s="42" t="str">
        <f t="shared" si="25"/>
        <v/>
      </c>
    </row>
    <row r="822" spans="2:5" ht="15" customHeight="1" x14ac:dyDescent="0.3">
      <c r="B822" s="44" t="str">
        <f>IF(OR(LINEAS!$D$160="",LINEAS!$U$160=0,ABS(IF(OR(LINEAS!$U$160=1,LINEAS!$U$160=3),1,-1)*LINEAS!$AE$160*DATOS!$C$67)&lt;0.00005),"*",LINEAS!$D$160&amp;" UNI "&amp;IF(LINEAS!$U$160&lt;=2,"GZ","GX")&amp;" "&amp;TEXT(IF(OR(LINEAS!$U$160=1,LINEAS!$U$160=3),1,-1)*LINEAS!$AE$160*DATOS!$C$67,DATOS!$C$68))</f>
        <v>*</v>
      </c>
      <c r="C822" s="42" t="str">
        <f t="shared" si="24"/>
        <v/>
      </c>
      <c r="D822" s="44" t="str">
        <f>IF(PRESIONES!$C$22="NO","",IF(OR(LINEAS!$D$160="",LINEAS!$U$160=0,ABS(IF(OR(LINEAS!$U$160=1,LINEAS!$U$160=3),1,-1)*LINEAS!$AE$160*DATOS!$C$67)&lt;0.00005),"*",LINEAS!$D$160&amp;" UNI "&amp;IF(LINEAS!$U$160&lt;=2,"GZ","GX")&amp;" "&amp;TEXT(IF(OR(LINEAS!$U$160=1,LINEAS!$U$160=3),1,-1)*LINEAS!$AE$160*DATOS!$C$67,DATOS!$C$68)))</f>
        <v/>
      </c>
      <c r="E822" s="42" t="str">
        <f t="shared" si="25"/>
        <v/>
      </c>
    </row>
    <row r="823" spans="2:5" ht="15" customHeight="1" x14ac:dyDescent="0.3">
      <c r="B823" s="44" t="str">
        <f>IF(OR(LINEAS!$D$161="",LINEAS!$U$161=0,ABS(IF(OR(LINEAS!$U$161=1,LINEAS!$U$161=3),1,-1)*LINEAS!$AE$161*DATOS!$C$67)&lt;0.00005),"*",LINEAS!$D$161&amp;" UNI "&amp;IF(LINEAS!$U$161&lt;=2,"GZ","GX")&amp;" "&amp;TEXT(IF(OR(LINEAS!$U$161=1,LINEAS!$U$161=3),1,-1)*LINEAS!$AE$161*DATOS!$C$67,DATOS!$C$68))</f>
        <v>*</v>
      </c>
      <c r="C823" s="42" t="str">
        <f t="shared" si="24"/>
        <v/>
      </c>
      <c r="D823" s="44" t="str">
        <f>IF(PRESIONES!$C$22="NO","",IF(OR(LINEAS!$D$161="",LINEAS!$U$161=0,ABS(IF(OR(LINEAS!$U$161=1,LINEAS!$U$161=3),1,-1)*LINEAS!$AE$161*DATOS!$C$67)&lt;0.00005),"*",LINEAS!$D$161&amp;" UNI "&amp;IF(LINEAS!$U$161&lt;=2,"GZ","GX")&amp;" "&amp;TEXT(IF(OR(LINEAS!$U$161=1,LINEAS!$U$161=3),1,-1)*LINEAS!$AE$161*DATOS!$C$67,DATOS!$C$68)))</f>
        <v/>
      </c>
      <c r="E823" s="42" t="str">
        <f t="shared" si="25"/>
        <v/>
      </c>
    </row>
    <row r="824" spans="2:5" ht="15" customHeight="1" x14ac:dyDescent="0.3">
      <c r="B824" s="44" t="str">
        <f>IF(OR(LINEAS!$D$162="",LINEAS!$U$162=0,ABS(IF(OR(LINEAS!$U$162=1,LINEAS!$U$162=3),1,-1)*LINEAS!$AE$162*DATOS!$C$67)&lt;0.00005),"*",LINEAS!$D$162&amp;" UNI "&amp;IF(LINEAS!$U$162&lt;=2,"GZ","GX")&amp;" "&amp;TEXT(IF(OR(LINEAS!$U$162=1,LINEAS!$U$162=3),1,-1)*LINEAS!$AE$162*DATOS!$C$67,DATOS!$C$68))</f>
        <v>*</v>
      </c>
      <c r="C824" s="42" t="str">
        <f t="shared" si="24"/>
        <v/>
      </c>
      <c r="D824" s="44" t="str">
        <f>IF(PRESIONES!$C$22="NO","",IF(OR(LINEAS!$D$162="",LINEAS!$U$162=0,ABS(IF(OR(LINEAS!$U$162=1,LINEAS!$U$162=3),1,-1)*LINEAS!$AE$162*DATOS!$C$67)&lt;0.00005),"*",LINEAS!$D$162&amp;" UNI "&amp;IF(LINEAS!$U$162&lt;=2,"GZ","GX")&amp;" "&amp;TEXT(IF(OR(LINEAS!$U$162=1,LINEAS!$U$162=3),1,-1)*LINEAS!$AE$162*DATOS!$C$67,DATOS!$C$68)))</f>
        <v/>
      </c>
      <c r="E824" s="42" t="str">
        <f t="shared" si="25"/>
        <v/>
      </c>
    </row>
    <row r="825" spans="2:5" ht="15" customHeight="1" x14ac:dyDescent="0.3">
      <c r="B825" s="44" t="str">
        <f>IF(OR(LINEAS!$D$163="",LINEAS!$U$163=0,ABS(IF(OR(LINEAS!$U$163=1,LINEAS!$U$163=3),1,-1)*LINEAS!$AE$163*DATOS!$C$67)&lt;0.00005),"*",LINEAS!$D$163&amp;" UNI "&amp;IF(LINEAS!$U$163&lt;=2,"GZ","GX")&amp;" "&amp;TEXT(IF(OR(LINEAS!$U$163=1,LINEAS!$U$163=3),1,-1)*LINEAS!$AE$163*DATOS!$C$67,DATOS!$C$68))</f>
        <v>*</v>
      </c>
      <c r="C825" s="42" t="str">
        <f t="shared" si="24"/>
        <v/>
      </c>
      <c r="D825" s="44" t="str">
        <f>IF(PRESIONES!$C$22="NO","",IF(OR(LINEAS!$D$163="",LINEAS!$U$163=0,ABS(IF(OR(LINEAS!$U$163=1,LINEAS!$U$163=3),1,-1)*LINEAS!$AE$163*DATOS!$C$67)&lt;0.00005),"*",LINEAS!$D$163&amp;" UNI "&amp;IF(LINEAS!$U$163&lt;=2,"GZ","GX")&amp;" "&amp;TEXT(IF(OR(LINEAS!$U$163=1,LINEAS!$U$163=3),1,-1)*LINEAS!$AE$163*DATOS!$C$67,DATOS!$C$68)))</f>
        <v/>
      </c>
      <c r="E825" s="42" t="str">
        <f t="shared" si="25"/>
        <v/>
      </c>
    </row>
    <row r="826" spans="2:5" ht="15" customHeight="1" x14ac:dyDescent="0.3">
      <c r="B826" s="44" t="str">
        <f>IF(OR(LINEAS!$D$164="",LINEAS!$U$164=0,ABS(IF(OR(LINEAS!$U$164=1,LINEAS!$U$164=3),1,-1)*LINEAS!$AE$164*DATOS!$C$67)&lt;0.00005),"*",LINEAS!$D$164&amp;" UNI "&amp;IF(LINEAS!$U$164&lt;=2,"GZ","GX")&amp;" "&amp;TEXT(IF(OR(LINEAS!$U$164=1,LINEAS!$U$164=3),1,-1)*LINEAS!$AE$164*DATOS!$C$67,DATOS!$C$68))</f>
        <v>*</v>
      </c>
      <c r="C826" s="42" t="str">
        <f t="shared" si="24"/>
        <v/>
      </c>
      <c r="D826" s="44" t="str">
        <f>IF(PRESIONES!$C$22="NO","",IF(OR(LINEAS!$D$164="",LINEAS!$U$164=0,ABS(IF(OR(LINEAS!$U$164=1,LINEAS!$U$164=3),1,-1)*LINEAS!$AE$164*DATOS!$C$67)&lt;0.00005),"*",LINEAS!$D$164&amp;" UNI "&amp;IF(LINEAS!$U$164&lt;=2,"GZ","GX")&amp;" "&amp;TEXT(IF(OR(LINEAS!$U$164=1,LINEAS!$U$164=3),1,-1)*LINEAS!$AE$164*DATOS!$C$67,DATOS!$C$68)))</f>
        <v/>
      </c>
      <c r="E826" s="42" t="str">
        <f t="shared" si="25"/>
        <v/>
      </c>
    </row>
    <row r="827" spans="2:5" ht="15" customHeight="1" x14ac:dyDescent="0.3">
      <c r="B827" s="44" t="str">
        <f>IF(OR(LINEAS!$D$165="",LINEAS!$U$165=0,ABS(IF(OR(LINEAS!$U$165=1,LINEAS!$U$165=3),1,-1)*LINEAS!$AE$165*DATOS!$C$67)&lt;0.00005),"*",LINEAS!$D$165&amp;" UNI "&amp;IF(LINEAS!$U$165&lt;=2,"GZ","GX")&amp;" "&amp;TEXT(IF(OR(LINEAS!$U$165=1,LINEAS!$U$165=3),1,-1)*LINEAS!$AE$165*DATOS!$C$67,DATOS!$C$68))</f>
        <v>*</v>
      </c>
      <c r="C827" s="42" t="str">
        <f t="shared" si="24"/>
        <v/>
      </c>
      <c r="D827" s="44" t="str">
        <f>IF(PRESIONES!$C$22="NO","",IF(OR(LINEAS!$D$165="",LINEAS!$U$165=0,ABS(IF(OR(LINEAS!$U$165=1,LINEAS!$U$165=3),1,-1)*LINEAS!$AE$165*DATOS!$C$67)&lt;0.00005),"*",LINEAS!$D$165&amp;" UNI "&amp;IF(LINEAS!$U$165&lt;=2,"GZ","GX")&amp;" "&amp;TEXT(IF(OR(LINEAS!$U$165=1,LINEAS!$U$165=3),1,-1)*LINEAS!$AE$165*DATOS!$C$67,DATOS!$C$68)))</f>
        <v/>
      </c>
      <c r="E827" s="42" t="str">
        <f t="shared" si="25"/>
        <v/>
      </c>
    </row>
    <row r="828" spans="2:5" ht="15" customHeight="1" x14ac:dyDescent="0.3">
      <c r="B828" s="44" t="str">
        <f>IF(OR(LINEAS!$D$166="",LINEAS!$U$166=0,ABS(IF(OR(LINEAS!$U$166=1,LINEAS!$U$166=3),1,-1)*LINEAS!$AE$166*DATOS!$C$67)&lt;0.00005),"*",LINEAS!$D$166&amp;" UNI "&amp;IF(LINEAS!$U$166&lt;=2,"GZ","GX")&amp;" "&amp;TEXT(IF(OR(LINEAS!$U$166=1,LINEAS!$U$166=3),1,-1)*LINEAS!$AE$166*DATOS!$C$67,DATOS!$C$68))</f>
        <v>*</v>
      </c>
      <c r="C828" s="42" t="str">
        <f t="shared" si="24"/>
        <v/>
      </c>
      <c r="D828" s="44" t="str">
        <f>IF(PRESIONES!$C$22="NO","",IF(OR(LINEAS!$D$166="",LINEAS!$U$166=0,ABS(IF(OR(LINEAS!$U$166=1,LINEAS!$U$166=3),1,-1)*LINEAS!$AE$166*DATOS!$C$67)&lt;0.00005),"*",LINEAS!$D$166&amp;" UNI "&amp;IF(LINEAS!$U$166&lt;=2,"GZ","GX")&amp;" "&amp;TEXT(IF(OR(LINEAS!$U$166=1,LINEAS!$U$166=3),1,-1)*LINEAS!$AE$166*DATOS!$C$67,DATOS!$C$68)))</f>
        <v/>
      </c>
      <c r="E828" s="42" t="str">
        <f t="shared" si="25"/>
        <v/>
      </c>
    </row>
    <row r="829" spans="2:5" ht="15" customHeight="1" x14ac:dyDescent="0.3">
      <c r="B829" s="44" t="str">
        <f>IF(OR(LINEAS!$D$167="",LINEAS!$U$167=0,ABS(IF(OR(LINEAS!$U$167=1,LINEAS!$U$167=3),1,-1)*LINEAS!$AE$167*DATOS!$C$67)&lt;0.00005),"*",LINEAS!$D$167&amp;" UNI "&amp;IF(LINEAS!$U$167&lt;=2,"GZ","GX")&amp;" "&amp;TEXT(IF(OR(LINEAS!$U$167=1,LINEAS!$U$167=3),1,-1)*LINEAS!$AE$167*DATOS!$C$67,DATOS!$C$68))</f>
        <v>*</v>
      </c>
      <c r="C829" s="42" t="str">
        <f t="shared" si="24"/>
        <v/>
      </c>
      <c r="D829" s="44" t="str">
        <f>IF(PRESIONES!$C$22="NO","",IF(OR(LINEAS!$D$167="",LINEAS!$U$167=0,ABS(IF(OR(LINEAS!$U$167=1,LINEAS!$U$167=3),1,-1)*LINEAS!$AE$167*DATOS!$C$67)&lt;0.00005),"*",LINEAS!$D$167&amp;" UNI "&amp;IF(LINEAS!$U$167&lt;=2,"GZ","GX")&amp;" "&amp;TEXT(IF(OR(LINEAS!$U$167=1,LINEAS!$U$167=3),1,-1)*LINEAS!$AE$167*DATOS!$C$67,DATOS!$C$68)))</f>
        <v/>
      </c>
      <c r="E829" s="42" t="str">
        <f t="shared" si="25"/>
        <v/>
      </c>
    </row>
    <row r="830" spans="2:5" ht="15" customHeight="1" x14ac:dyDescent="0.3">
      <c r="B830" s="44" t="str">
        <f>IF(OR(LINEAS!$D$168="",LINEAS!$U$168=0,ABS(IF(OR(LINEAS!$U$168=1,LINEAS!$U$168=3),1,-1)*LINEAS!$AE$168*DATOS!$C$67)&lt;0.00005),"*",LINEAS!$D$168&amp;" UNI "&amp;IF(LINEAS!$U$168&lt;=2,"GZ","GX")&amp;" "&amp;TEXT(IF(OR(LINEAS!$U$168=1,LINEAS!$U$168=3),1,-1)*LINEAS!$AE$168*DATOS!$C$67,DATOS!$C$68))</f>
        <v>*</v>
      </c>
      <c r="C830" s="42" t="str">
        <f t="shared" si="24"/>
        <v/>
      </c>
      <c r="D830" s="44" t="str">
        <f>IF(PRESIONES!$C$22="NO","",IF(OR(LINEAS!$D$168="",LINEAS!$U$168=0,ABS(IF(OR(LINEAS!$U$168=1,LINEAS!$U$168=3),1,-1)*LINEAS!$AE$168*DATOS!$C$67)&lt;0.00005),"*",LINEAS!$D$168&amp;" UNI "&amp;IF(LINEAS!$U$168&lt;=2,"GZ","GX")&amp;" "&amp;TEXT(IF(OR(LINEAS!$U$168=1,LINEAS!$U$168=3),1,-1)*LINEAS!$AE$168*DATOS!$C$67,DATOS!$C$68)))</f>
        <v/>
      </c>
      <c r="E830" s="42" t="str">
        <f t="shared" si="25"/>
        <v/>
      </c>
    </row>
    <row r="831" spans="2:5" ht="15" customHeight="1" x14ac:dyDescent="0.3">
      <c r="B831" s="44" t="str">
        <f>IF(OR(LINEAS!$D$169="",LINEAS!$U$169=0,ABS(IF(OR(LINEAS!$U$169=1,LINEAS!$U$169=3),1,-1)*LINEAS!$AE$169*DATOS!$C$67)&lt;0.00005),"*",LINEAS!$D$169&amp;" UNI "&amp;IF(LINEAS!$U$169&lt;=2,"GZ","GX")&amp;" "&amp;TEXT(IF(OR(LINEAS!$U$169=1,LINEAS!$U$169=3),1,-1)*LINEAS!$AE$169*DATOS!$C$67,DATOS!$C$68))</f>
        <v>*</v>
      </c>
      <c r="C831" s="42" t="str">
        <f t="shared" si="24"/>
        <v/>
      </c>
      <c r="D831" s="44" t="str">
        <f>IF(PRESIONES!$C$22="NO","",IF(OR(LINEAS!$D$169="",LINEAS!$U$169=0,ABS(IF(OR(LINEAS!$U$169=1,LINEAS!$U$169=3),1,-1)*LINEAS!$AE$169*DATOS!$C$67)&lt;0.00005),"*",LINEAS!$D$169&amp;" UNI "&amp;IF(LINEAS!$U$169&lt;=2,"GZ","GX")&amp;" "&amp;TEXT(IF(OR(LINEAS!$U$169=1,LINEAS!$U$169=3),1,-1)*LINEAS!$AE$169*DATOS!$C$67,DATOS!$C$68)))</f>
        <v/>
      </c>
      <c r="E831" s="42" t="str">
        <f t="shared" si="25"/>
        <v/>
      </c>
    </row>
    <row r="832" spans="2:5" ht="15" customHeight="1" x14ac:dyDescent="0.3">
      <c r="B832" s="44" t="str">
        <f>IF(OR(LINEAS!$D$170="",LINEAS!$U$170=0,ABS(IF(OR(LINEAS!$U$170=1,LINEAS!$U$170=3),1,-1)*LINEAS!$AE$170*DATOS!$C$67)&lt;0.00005),"*",LINEAS!$D$170&amp;" UNI "&amp;IF(LINEAS!$U$170&lt;=2,"GZ","GX")&amp;" "&amp;TEXT(IF(OR(LINEAS!$U$170=1,LINEAS!$U$170=3),1,-1)*LINEAS!$AE$170*DATOS!$C$67,DATOS!$C$68))</f>
        <v>*</v>
      </c>
      <c r="C832" s="42" t="str">
        <f t="shared" si="24"/>
        <v/>
      </c>
      <c r="D832" s="44" t="str">
        <f>IF(PRESIONES!$C$22="NO","",IF(OR(LINEAS!$D$170="",LINEAS!$U$170=0,ABS(IF(OR(LINEAS!$U$170=1,LINEAS!$U$170=3),1,-1)*LINEAS!$AE$170*DATOS!$C$67)&lt;0.00005),"*",LINEAS!$D$170&amp;" UNI "&amp;IF(LINEAS!$U$170&lt;=2,"GZ","GX")&amp;" "&amp;TEXT(IF(OR(LINEAS!$U$170=1,LINEAS!$U$170=3),1,-1)*LINEAS!$AE$170*DATOS!$C$67,DATOS!$C$68)))</f>
        <v/>
      </c>
      <c r="E832" s="42" t="str">
        <f t="shared" si="25"/>
        <v/>
      </c>
    </row>
    <row r="833" spans="2:5" ht="15" customHeight="1" x14ac:dyDescent="0.3">
      <c r="B833" s="44" t="str">
        <f>IF(OR(LINEAS!$D$171="",LINEAS!$U$171=0,ABS(IF(OR(LINEAS!$U$171=1,LINEAS!$U$171=3),1,-1)*LINEAS!$AE$171*DATOS!$C$67)&lt;0.00005),"*",LINEAS!$D$171&amp;" UNI "&amp;IF(LINEAS!$U$171&lt;=2,"GZ","GX")&amp;" "&amp;TEXT(IF(OR(LINEAS!$U$171=1,LINEAS!$U$171=3),1,-1)*LINEAS!$AE$171*DATOS!$C$67,DATOS!$C$68))</f>
        <v>*</v>
      </c>
      <c r="C833" s="42" t="str">
        <f t="shared" si="24"/>
        <v/>
      </c>
      <c r="D833" s="44" t="str">
        <f>IF(PRESIONES!$C$22="NO","",IF(OR(LINEAS!$D$171="",LINEAS!$U$171=0,ABS(IF(OR(LINEAS!$U$171=1,LINEAS!$U$171=3),1,-1)*LINEAS!$AE$171*DATOS!$C$67)&lt;0.00005),"*",LINEAS!$D$171&amp;" UNI "&amp;IF(LINEAS!$U$171&lt;=2,"GZ","GX")&amp;" "&amp;TEXT(IF(OR(LINEAS!$U$171=1,LINEAS!$U$171=3),1,-1)*LINEAS!$AE$171*DATOS!$C$67,DATOS!$C$68)))</f>
        <v/>
      </c>
      <c r="E833" s="42" t="str">
        <f t="shared" si="25"/>
        <v/>
      </c>
    </row>
    <row r="834" spans="2:5" ht="15" customHeight="1" x14ac:dyDescent="0.3">
      <c r="B834" s="44" t="str">
        <f>IF(OR(LINEAS!$D$172="",LINEAS!$U$172=0,ABS(IF(OR(LINEAS!$U$172=1,LINEAS!$U$172=3),1,-1)*LINEAS!$AE$172*DATOS!$C$67)&lt;0.00005),"*",LINEAS!$D$172&amp;" UNI "&amp;IF(LINEAS!$U$172&lt;=2,"GZ","GX")&amp;" "&amp;TEXT(IF(OR(LINEAS!$U$172=1,LINEAS!$U$172=3),1,-1)*LINEAS!$AE$172*DATOS!$C$67,DATOS!$C$68))</f>
        <v>*</v>
      </c>
      <c r="C834" s="42" t="str">
        <f t="shared" si="24"/>
        <v/>
      </c>
      <c r="D834" s="44" t="str">
        <f>IF(PRESIONES!$C$22="NO","",IF(OR(LINEAS!$D$172="",LINEAS!$U$172=0,ABS(IF(OR(LINEAS!$U$172=1,LINEAS!$U$172=3),1,-1)*LINEAS!$AE$172*DATOS!$C$67)&lt;0.00005),"*",LINEAS!$D$172&amp;" UNI "&amp;IF(LINEAS!$U$172&lt;=2,"GZ","GX")&amp;" "&amp;TEXT(IF(OR(LINEAS!$U$172=1,LINEAS!$U$172=3),1,-1)*LINEAS!$AE$172*DATOS!$C$67,DATOS!$C$68)))</f>
        <v/>
      </c>
      <c r="E834" s="42" t="str">
        <f t="shared" si="25"/>
        <v/>
      </c>
    </row>
    <row r="835" spans="2:5" ht="15" customHeight="1" x14ac:dyDescent="0.3">
      <c r="B835" s="44" t="str">
        <f>IF(OR(LINEAS!$D$173="",LINEAS!$U$173=0,ABS(IF(OR(LINEAS!$U$173=1,LINEAS!$U$173=3),1,-1)*LINEAS!$AE$173*DATOS!$C$67)&lt;0.00005),"*",LINEAS!$D$173&amp;" UNI "&amp;IF(LINEAS!$U$173&lt;=2,"GZ","GX")&amp;" "&amp;TEXT(IF(OR(LINEAS!$U$173=1,LINEAS!$U$173=3),1,-1)*LINEAS!$AE$173*DATOS!$C$67,DATOS!$C$68))</f>
        <v>*</v>
      </c>
      <c r="C835" s="42" t="str">
        <f t="shared" si="24"/>
        <v/>
      </c>
      <c r="D835" s="44" t="str">
        <f>IF(PRESIONES!$C$22="NO","",IF(OR(LINEAS!$D$173="",LINEAS!$U$173=0,ABS(IF(OR(LINEAS!$U$173=1,LINEAS!$U$173=3),1,-1)*LINEAS!$AE$173*DATOS!$C$67)&lt;0.00005),"*",LINEAS!$D$173&amp;" UNI "&amp;IF(LINEAS!$U$173&lt;=2,"GZ","GX")&amp;" "&amp;TEXT(IF(OR(LINEAS!$U$173=1,LINEAS!$U$173=3),1,-1)*LINEAS!$AE$173*DATOS!$C$67,DATOS!$C$68)))</f>
        <v/>
      </c>
      <c r="E835" s="42" t="str">
        <f t="shared" si="25"/>
        <v/>
      </c>
    </row>
    <row r="836" spans="2:5" ht="15" customHeight="1" x14ac:dyDescent="0.3">
      <c r="B836" s="44" t="str">
        <f>IF(OR(LINEAS!$D$174="",LINEAS!$U$174=0,ABS(IF(OR(LINEAS!$U$174=1,LINEAS!$U$174=3),1,-1)*LINEAS!$AE$174*DATOS!$C$67)&lt;0.00005),"*",LINEAS!$D$174&amp;" UNI "&amp;IF(LINEAS!$U$174&lt;=2,"GZ","GX")&amp;" "&amp;TEXT(IF(OR(LINEAS!$U$174=1,LINEAS!$U$174=3),1,-1)*LINEAS!$AE$174*DATOS!$C$67,DATOS!$C$68))</f>
        <v>*</v>
      </c>
      <c r="C836" s="42" t="str">
        <f t="shared" si="24"/>
        <v/>
      </c>
      <c r="D836" s="44" t="str">
        <f>IF(PRESIONES!$C$22="NO","",IF(OR(LINEAS!$D$174="",LINEAS!$U$174=0,ABS(IF(OR(LINEAS!$U$174=1,LINEAS!$U$174=3),1,-1)*LINEAS!$AE$174*DATOS!$C$67)&lt;0.00005),"*",LINEAS!$D$174&amp;" UNI "&amp;IF(LINEAS!$U$174&lt;=2,"GZ","GX")&amp;" "&amp;TEXT(IF(OR(LINEAS!$U$174=1,LINEAS!$U$174=3),1,-1)*LINEAS!$AE$174*DATOS!$C$67,DATOS!$C$68)))</f>
        <v/>
      </c>
      <c r="E836" s="42" t="str">
        <f t="shared" si="25"/>
        <v/>
      </c>
    </row>
    <row r="837" spans="2:5" ht="15" customHeight="1" x14ac:dyDescent="0.3">
      <c r="B837" s="44" t="str">
        <f>IF(OR(LINEAS!$D$175="",LINEAS!$U$175=0,ABS(IF(OR(LINEAS!$U$175=1,LINEAS!$U$175=3),1,-1)*LINEAS!$AE$175*DATOS!$C$67)&lt;0.00005),"*",LINEAS!$D$175&amp;" UNI "&amp;IF(LINEAS!$U$175&lt;=2,"GZ","GX")&amp;" "&amp;TEXT(IF(OR(LINEAS!$U$175=1,LINEAS!$U$175=3),1,-1)*LINEAS!$AE$175*DATOS!$C$67,DATOS!$C$68))</f>
        <v>*</v>
      </c>
      <c r="C837" s="42" t="str">
        <f t="shared" si="24"/>
        <v/>
      </c>
      <c r="D837" s="44" t="str">
        <f>IF(PRESIONES!$C$22="NO","",IF(OR(LINEAS!$D$175="",LINEAS!$U$175=0,ABS(IF(OR(LINEAS!$U$175=1,LINEAS!$U$175=3),1,-1)*LINEAS!$AE$175*DATOS!$C$67)&lt;0.00005),"*",LINEAS!$D$175&amp;" UNI "&amp;IF(LINEAS!$U$175&lt;=2,"GZ","GX")&amp;" "&amp;TEXT(IF(OR(LINEAS!$U$175=1,LINEAS!$U$175=3),1,-1)*LINEAS!$AE$175*DATOS!$C$67,DATOS!$C$68)))</f>
        <v/>
      </c>
      <c r="E837" s="42" t="str">
        <f t="shared" si="25"/>
        <v/>
      </c>
    </row>
    <row r="838" spans="2:5" ht="15" customHeight="1" x14ac:dyDescent="0.3">
      <c r="B838" s="44" t="str">
        <f>IF(OR(LINEAS!$D$176="",LINEAS!$U$176=0,ABS(IF(OR(LINEAS!$U$176=1,LINEAS!$U$176=3),1,-1)*LINEAS!$AE$176*DATOS!$C$67)&lt;0.00005),"*",LINEAS!$D$176&amp;" UNI "&amp;IF(LINEAS!$U$176&lt;=2,"GZ","GX")&amp;" "&amp;TEXT(IF(OR(LINEAS!$U$176=1,LINEAS!$U$176=3),1,-1)*LINEAS!$AE$176*DATOS!$C$67,DATOS!$C$68))</f>
        <v>*</v>
      </c>
      <c r="C838" s="42" t="str">
        <f t="shared" si="24"/>
        <v/>
      </c>
      <c r="D838" s="44" t="str">
        <f>IF(PRESIONES!$C$22="NO","",IF(OR(LINEAS!$D$176="",LINEAS!$U$176=0,ABS(IF(OR(LINEAS!$U$176=1,LINEAS!$U$176=3),1,-1)*LINEAS!$AE$176*DATOS!$C$67)&lt;0.00005),"*",LINEAS!$D$176&amp;" UNI "&amp;IF(LINEAS!$U$176&lt;=2,"GZ","GX")&amp;" "&amp;TEXT(IF(OR(LINEAS!$U$176=1,LINEAS!$U$176=3),1,-1)*LINEAS!$AE$176*DATOS!$C$67,DATOS!$C$68)))</f>
        <v/>
      </c>
      <c r="E838" s="42" t="str">
        <f t="shared" si="25"/>
        <v/>
      </c>
    </row>
    <row r="839" spans="2:5" ht="15" customHeight="1" x14ac:dyDescent="0.3">
      <c r="B839" s="44" t="str">
        <f>IF(OR(LINEAS!$D$177="",LINEAS!$U$177=0,ABS(IF(OR(LINEAS!$U$177=1,LINEAS!$U$177=3),1,-1)*LINEAS!$AE$177*DATOS!$C$67)&lt;0.00005),"*",LINEAS!$D$177&amp;" UNI "&amp;IF(LINEAS!$U$177&lt;=2,"GZ","GX")&amp;" "&amp;TEXT(IF(OR(LINEAS!$U$177=1,LINEAS!$U$177=3),1,-1)*LINEAS!$AE$177*DATOS!$C$67,DATOS!$C$68))</f>
        <v>*</v>
      </c>
      <c r="C839" s="42" t="str">
        <f t="shared" si="24"/>
        <v/>
      </c>
      <c r="D839" s="44" t="str">
        <f>IF(PRESIONES!$C$22="NO","",IF(OR(LINEAS!$D$177="",LINEAS!$U$177=0,ABS(IF(OR(LINEAS!$U$177=1,LINEAS!$U$177=3),1,-1)*LINEAS!$AE$177*DATOS!$C$67)&lt;0.00005),"*",LINEAS!$D$177&amp;" UNI "&amp;IF(LINEAS!$U$177&lt;=2,"GZ","GX")&amp;" "&amp;TEXT(IF(OR(LINEAS!$U$177=1,LINEAS!$U$177=3),1,-1)*LINEAS!$AE$177*DATOS!$C$67,DATOS!$C$68)))</f>
        <v/>
      </c>
      <c r="E839" s="42" t="str">
        <f t="shared" si="25"/>
        <v/>
      </c>
    </row>
    <row r="840" spans="2:5" ht="15" customHeight="1" x14ac:dyDescent="0.3">
      <c r="B840" s="44" t="str">
        <f>IF(OR(LINEAS!$D$178="",LINEAS!$U$178=0,ABS(IF(OR(LINEAS!$U$178=1,LINEAS!$U$178=3),1,-1)*LINEAS!$AE$178*DATOS!$C$67)&lt;0.00005),"*",LINEAS!$D$178&amp;" UNI "&amp;IF(LINEAS!$U$178&lt;=2,"GZ","GX")&amp;" "&amp;TEXT(IF(OR(LINEAS!$U$178=1,LINEAS!$U$178=3),1,-1)*LINEAS!$AE$178*DATOS!$C$67,DATOS!$C$68))</f>
        <v>*</v>
      </c>
      <c r="C840" s="42" t="str">
        <f t="shared" si="24"/>
        <v/>
      </c>
      <c r="D840" s="44" t="str">
        <f>IF(PRESIONES!$C$22="NO","",IF(OR(LINEAS!$D$178="",LINEAS!$U$178=0,ABS(IF(OR(LINEAS!$U$178=1,LINEAS!$U$178=3),1,-1)*LINEAS!$AE$178*DATOS!$C$67)&lt;0.00005),"*",LINEAS!$D$178&amp;" UNI "&amp;IF(LINEAS!$U$178&lt;=2,"GZ","GX")&amp;" "&amp;TEXT(IF(OR(LINEAS!$U$178=1,LINEAS!$U$178=3),1,-1)*LINEAS!$AE$178*DATOS!$C$67,DATOS!$C$68)))</f>
        <v/>
      </c>
      <c r="E840" s="42" t="str">
        <f t="shared" si="25"/>
        <v/>
      </c>
    </row>
    <row r="841" spans="2:5" ht="15" customHeight="1" x14ac:dyDescent="0.3">
      <c r="B841" s="44" t="str">
        <f>IF(OR(LINEAS!$D$179="",LINEAS!$U$179=0,ABS(IF(OR(LINEAS!$U$179=1,LINEAS!$U$179=3),1,-1)*LINEAS!$AE$179*DATOS!$C$67)&lt;0.00005),"*",LINEAS!$D$179&amp;" UNI "&amp;IF(LINEAS!$U$179&lt;=2,"GZ","GX")&amp;" "&amp;TEXT(IF(OR(LINEAS!$U$179=1,LINEAS!$U$179=3),1,-1)*LINEAS!$AE$179*DATOS!$C$67,DATOS!$C$68))</f>
        <v>*</v>
      </c>
      <c r="C841" s="42" t="str">
        <f t="shared" ref="C841:C904" si="26">IF(LEN($B841)&gt;79,"MÁS DE 79 CARACTERES","")</f>
        <v/>
      </c>
      <c r="D841" s="44" t="str">
        <f>IF(PRESIONES!$C$22="NO","",IF(OR(LINEAS!$D$179="",LINEAS!$U$179=0,ABS(IF(OR(LINEAS!$U$179=1,LINEAS!$U$179=3),1,-1)*LINEAS!$AE$179*DATOS!$C$67)&lt;0.00005),"*",LINEAS!$D$179&amp;" UNI "&amp;IF(LINEAS!$U$179&lt;=2,"GZ","GX")&amp;" "&amp;TEXT(IF(OR(LINEAS!$U$179=1,LINEAS!$U$179=3),1,-1)*LINEAS!$AE$179*DATOS!$C$67,DATOS!$C$68)))</f>
        <v/>
      </c>
      <c r="E841" s="42" t="str">
        <f t="shared" ref="E841:E904" si="27">IF(LEN($D841)&gt;79,"MÁS DE 79 CARACTERES","")</f>
        <v/>
      </c>
    </row>
    <row r="842" spans="2:5" ht="15" customHeight="1" x14ac:dyDescent="0.3">
      <c r="B842" s="44" t="str">
        <f>IF(OR(LINEAS!$D$180="",LINEAS!$U$180=0,ABS(IF(OR(LINEAS!$U$180=1,LINEAS!$U$180=3),1,-1)*LINEAS!$AE$180*DATOS!$C$67)&lt;0.00005),"*",LINEAS!$D$180&amp;" UNI "&amp;IF(LINEAS!$U$180&lt;=2,"GZ","GX")&amp;" "&amp;TEXT(IF(OR(LINEAS!$U$180=1,LINEAS!$U$180=3),1,-1)*LINEAS!$AE$180*DATOS!$C$67,DATOS!$C$68))</f>
        <v>*</v>
      </c>
      <c r="C842" s="42" t="str">
        <f t="shared" si="26"/>
        <v/>
      </c>
      <c r="D842" s="44" t="str">
        <f>IF(PRESIONES!$C$22="NO","",IF(OR(LINEAS!$D$180="",LINEAS!$U$180=0,ABS(IF(OR(LINEAS!$U$180=1,LINEAS!$U$180=3),1,-1)*LINEAS!$AE$180*DATOS!$C$67)&lt;0.00005),"*",LINEAS!$D$180&amp;" UNI "&amp;IF(LINEAS!$U$180&lt;=2,"GZ","GX")&amp;" "&amp;TEXT(IF(OR(LINEAS!$U$180=1,LINEAS!$U$180=3),1,-1)*LINEAS!$AE$180*DATOS!$C$67,DATOS!$C$68)))</f>
        <v/>
      </c>
      <c r="E842" s="42" t="str">
        <f t="shared" si="27"/>
        <v/>
      </c>
    </row>
    <row r="843" spans="2:5" ht="15" customHeight="1" x14ac:dyDescent="0.3">
      <c r="B843" s="44" t="str">
        <f>IF(OR(LINEAS!$D$181="",LINEAS!$U$181=0,ABS(IF(OR(LINEAS!$U$181=1,LINEAS!$U$181=3),1,-1)*LINEAS!$AE$181*DATOS!$C$67)&lt;0.00005),"*",LINEAS!$D$181&amp;" UNI "&amp;IF(LINEAS!$U$181&lt;=2,"GZ","GX")&amp;" "&amp;TEXT(IF(OR(LINEAS!$U$181=1,LINEAS!$U$181=3),1,-1)*LINEAS!$AE$181*DATOS!$C$67,DATOS!$C$68))</f>
        <v>*</v>
      </c>
      <c r="C843" s="42" t="str">
        <f t="shared" si="26"/>
        <v/>
      </c>
      <c r="D843" s="44" t="str">
        <f>IF(PRESIONES!$C$22="NO","",IF(OR(LINEAS!$D$181="",LINEAS!$U$181=0,ABS(IF(OR(LINEAS!$U$181=1,LINEAS!$U$181=3),1,-1)*LINEAS!$AE$181*DATOS!$C$67)&lt;0.00005),"*",LINEAS!$D$181&amp;" UNI "&amp;IF(LINEAS!$U$181&lt;=2,"GZ","GX")&amp;" "&amp;TEXT(IF(OR(LINEAS!$U$181=1,LINEAS!$U$181=3),1,-1)*LINEAS!$AE$181*DATOS!$C$67,DATOS!$C$68)))</f>
        <v/>
      </c>
      <c r="E843" s="42" t="str">
        <f t="shared" si="27"/>
        <v/>
      </c>
    </row>
    <row r="844" spans="2:5" ht="15" customHeight="1" x14ac:dyDescent="0.3">
      <c r="B844" s="44" t="str">
        <f>IF(OR(LINEAS!$D$182="",LINEAS!$U$182=0,ABS(IF(OR(LINEAS!$U$182=1,LINEAS!$U$182=3),1,-1)*LINEAS!$AE$182*DATOS!$C$67)&lt;0.00005),"*",LINEAS!$D$182&amp;" UNI "&amp;IF(LINEAS!$U$182&lt;=2,"GZ","GX")&amp;" "&amp;TEXT(IF(OR(LINEAS!$U$182=1,LINEAS!$U$182=3),1,-1)*LINEAS!$AE$182*DATOS!$C$67,DATOS!$C$68))</f>
        <v>*</v>
      </c>
      <c r="C844" s="42" t="str">
        <f t="shared" si="26"/>
        <v/>
      </c>
      <c r="D844" s="44" t="str">
        <f>IF(PRESIONES!$C$22="NO","",IF(OR(LINEAS!$D$182="",LINEAS!$U$182=0,ABS(IF(OR(LINEAS!$U$182=1,LINEAS!$U$182=3),1,-1)*LINEAS!$AE$182*DATOS!$C$67)&lt;0.00005),"*",LINEAS!$D$182&amp;" UNI "&amp;IF(LINEAS!$U$182&lt;=2,"GZ","GX")&amp;" "&amp;TEXT(IF(OR(LINEAS!$U$182=1,LINEAS!$U$182=3),1,-1)*LINEAS!$AE$182*DATOS!$C$67,DATOS!$C$68)))</f>
        <v/>
      </c>
      <c r="E844" s="42" t="str">
        <f t="shared" si="27"/>
        <v/>
      </c>
    </row>
    <row r="845" spans="2:5" ht="15" customHeight="1" x14ac:dyDescent="0.3">
      <c r="B845" s="44" t="str">
        <f>IF(OR(LINEAS!$D$183="",LINEAS!$U$183=0,ABS(IF(OR(LINEAS!$U$183=1,LINEAS!$U$183=3),1,-1)*LINEAS!$AE$183*DATOS!$C$67)&lt;0.00005),"*",LINEAS!$D$183&amp;" UNI "&amp;IF(LINEAS!$U$183&lt;=2,"GZ","GX")&amp;" "&amp;TEXT(IF(OR(LINEAS!$U$183=1,LINEAS!$U$183=3),1,-1)*LINEAS!$AE$183*DATOS!$C$67,DATOS!$C$68))</f>
        <v>*</v>
      </c>
      <c r="C845" s="42" t="str">
        <f t="shared" si="26"/>
        <v/>
      </c>
      <c r="D845" s="44" t="str">
        <f>IF(PRESIONES!$C$22="NO","",IF(OR(LINEAS!$D$183="",LINEAS!$U$183=0,ABS(IF(OR(LINEAS!$U$183=1,LINEAS!$U$183=3),1,-1)*LINEAS!$AE$183*DATOS!$C$67)&lt;0.00005),"*",LINEAS!$D$183&amp;" UNI "&amp;IF(LINEAS!$U$183&lt;=2,"GZ","GX")&amp;" "&amp;TEXT(IF(OR(LINEAS!$U$183=1,LINEAS!$U$183=3),1,-1)*LINEAS!$AE$183*DATOS!$C$67,DATOS!$C$68)))</f>
        <v/>
      </c>
      <c r="E845" s="42" t="str">
        <f t="shared" si="27"/>
        <v/>
      </c>
    </row>
    <row r="846" spans="2:5" ht="15" customHeight="1" x14ac:dyDescent="0.3">
      <c r="B846" s="44" t="str">
        <f>IF(OR(LINEAS!$D$184="",LINEAS!$U$184=0,ABS(IF(OR(LINEAS!$U$184=1,LINEAS!$U$184=3),1,-1)*LINEAS!$AE$184*DATOS!$C$67)&lt;0.00005),"*",LINEAS!$D$184&amp;" UNI "&amp;IF(LINEAS!$U$184&lt;=2,"GZ","GX")&amp;" "&amp;TEXT(IF(OR(LINEAS!$U$184=1,LINEAS!$U$184=3),1,-1)*LINEAS!$AE$184*DATOS!$C$67,DATOS!$C$68))</f>
        <v>*</v>
      </c>
      <c r="C846" s="42" t="str">
        <f t="shared" si="26"/>
        <v/>
      </c>
      <c r="D846" s="44" t="str">
        <f>IF(PRESIONES!$C$22="NO","",IF(OR(LINEAS!$D$184="",LINEAS!$U$184=0,ABS(IF(OR(LINEAS!$U$184=1,LINEAS!$U$184=3),1,-1)*LINEAS!$AE$184*DATOS!$C$67)&lt;0.00005),"*",LINEAS!$D$184&amp;" UNI "&amp;IF(LINEAS!$U$184&lt;=2,"GZ","GX")&amp;" "&amp;TEXT(IF(OR(LINEAS!$U$184=1,LINEAS!$U$184=3),1,-1)*LINEAS!$AE$184*DATOS!$C$67,DATOS!$C$68)))</f>
        <v/>
      </c>
      <c r="E846" s="42" t="str">
        <f t="shared" si="27"/>
        <v/>
      </c>
    </row>
    <row r="847" spans="2:5" ht="15" customHeight="1" x14ac:dyDescent="0.3">
      <c r="B847" s="44" t="str">
        <f>IF(OR(LINEAS!$D$185="",LINEAS!$U$185=0,ABS(IF(OR(LINEAS!$U$185=1,LINEAS!$U$185=3),1,-1)*LINEAS!$AE$185*DATOS!$C$67)&lt;0.00005),"*",LINEAS!$D$185&amp;" UNI "&amp;IF(LINEAS!$U$185&lt;=2,"GZ","GX")&amp;" "&amp;TEXT(IF(OR(LINEAS!$U$185=1,LINEAS!$U$185=3),1,-1)*LINEAS!$AE$185*DATOS!$C$67,DATOS!$C$68))</f>
        <v>*</v>
      </c>
      <c r="C847" s="42" t="str">
        <f t="shared" si="26"/>
        <v/>
      </c>
      <c r="D847" s="44" t="str">
        <f>IF(PRESIONES!$C$22="NO","",IF(OR(LINEAS!$D$185="",LINEAS!$U$185=0,ABS(IF(OR(LINEAS!$U$185=1,LINEAS!$U$185=3),1,-1)*LINEAS!$AE$185*DATOS!$C$67)&lt;0.00005),"*",LINEAS!$D$185&amp;" UNI "&amp;IF(LINEAS!$U$185&lt;=2,"GZ","GX")&amp;" "&amp;TEXT(IF(OR(LINEAS!$U$185=1,LINEAS!$U$185=3),1,-1)*LINEAS!$AE$185*DATOS!$C$67,DATOS!$C$68)))</f>
        <v/>
      </c>
      <c r="E847" s="42" t="str">
        <f t="shared" si="27"/>
        <v/>
      </c>
    </row>
    <row r="848" spans="2:5" ht="15" customHeight="1" x14ac:dyDescent="0.3">
      <c r="B848" s="44" t="str">
        <f>IF(OR(LINEAS!$D$186="",LINEAS!$U$186=0,ABS(IF(OR(LINEAS!$U$186=1,LINEAS!$U$186=3),1,-1)*LINEAS!$AE$186*DATOS!$C$67)&lt;0.00005),"*",LINEAS!$D$186&amp;" UNI "&amp;IF(LINEAS!$U$186&lt;=2,"GZ","GX")&amp;" "&amp;TEXT(IF(OR(LINEAS!$U$186=1,LINEAS!$U$186=3),1,-1)*LINEAS!$AE$186*DATOS!$C$67,DATOS!$C$68))</f>
        <v>*</v>
      </c>
      <c r="C848" s="42" t="str">
        <f t="shared" si="26"/>
        <v/>
      </c>
      <c r="D848" s="44" t="str">
        <f>IF(PRESIONES!$C$22="NO","",IF(OR(LINEAS!$D$186="",LINEAS!$U$186=0,ABS(IF(OR(LINEAS!$U$186=1,LINEAS!$U$186=3),1,-1)*LINEAS!$AE$186*DATOS!$C$67)&lt;0.00005),"*",LINEAS!$D$186&amp;" UNI "&amp;IF(LINEAS!$U$186&lt;=2,"GZ","GX")&amp;" "&amp;TEXT(IF(OR(LINEAS!$U$186=1,LINEAS!$U$186=3),1,-1)*LINEAS!$AE$186*DATOS!$C$67,DATOS!$C$68)))</f>
        <v/>
      </c>
      <c r="E848" s="42" t="str">
        <f t="shared" si="27"/>
        <v/>
      </c>
    </row>
    <row r="849" spans="2:5" ht="15" customHeight="1" x14ac:dyDescent="0.3">
      <c r="B849" s="44" t="str">
        <f>IF(OR(LINEAS!$D$187="",LINEAS!$U$187=0,ABS(IF(OR(LINEAS!$U$187=1,LINEAS!$U$187=3),1,-1)*LINEAS!$AE$187*DATOS!$C$67)&lt;0.00005),"*",LINEAS!$D$187&amp;" UNI "&amp;IF(LINEAS!$U$187&lt;=2,"GZ","GX")&amp;" "&amp;TEXT(IF(OR(LINEAS!$U$187=1,LINEAS!$U$187=3),1,-1)*LINEAS!$AE$187*DATOS!$C$67,DATOS!$C$68))</f>
        <v>*</v>
      </c>
      <c r="C849" s="42" t="str">
        <f t="shared" si="26"/>
        <v/>
      </c>
      <c r="D849" s="44" t="str">
        <f>IF(PRESIONES!$C$22="NO","",IF(OR(LINEAS!$D$187="",LINEAS!$U$187=0,ABS(IF(OR(LINEAS!$U$187=1,LINEAS!$U$187=3),1,-1)*LINEAS!$AE$187*DATOS!$C$67)&lt;0.00005),"*",LINEAS!$D$187&amp;" UNI "&amp;IF(LINEAS!$U$187&lt;=2,"GZ","GX")&amp;" "&amp;TEXT(IF(OR(LINEAS!$U$187=1,LINEAS!$U$187=3),1,-1)*LINEAS!$AE$187*DATOS!$C$67,DATOS!$C$68)))</f>
        <v/>
      </c>
      <c r="E849" s="42" t="str">
        <f t="shared" si="27"/>
        <v/>
      </c>
    </row>
    <row r="850" spans="2:5" ht="15" customHeight="1" x14ac:dyDescent="0.3">
      <c r="B850" s="44" t="str">
        <f>IF(OR(LINEAS!$D$188="",LINEAS!$U$188=0,ABS(IF(OR(LINEAS!$U$188=1,LINEAS!$U$188=3),1,-1)*LINEAS!$AE$188*DATOS!$C$67)&lt;0.00005),"*",LINEAS!$D$188&amp;" UNI "&amp;IF(LINEAS!$U$188&lt;=2,"GZ","GX")&amp;" "&amp;TEXT(IF(OR(LINEAS!$U$188=1,LINEAS!$U$188=3),1,-1)*LINEAS!$AE$188*DATOS!$C$67,DATOS!$C$68))</f>
        <v>*</v>
      </c>
      <c r="C850" s="42" t="str">
        <f t="shared" si="26"/>
        <v/>
      </c>
      <c r="D850" s="44" t="str">
        <f>IF(PRESIONES!$C$22="NO","",IF(OR(LINEAS!$D$188="",LINEAS!$U$188=0,ABS(IF(OR(LINEAS!$U$188=1,LINEAS!$U$188=3),1,-1)*LINEAS!$AE$188*DATOS!$C$67)&lt;0.00005),"*",LINEAS!$D$188&amp;" UNI "&amp;IF(LINEAS!$U$188&lt;=2,"GZ","GX")&amp;" "&amp;TEXT(IF(OR(LINEAS!$U$188=1,LINEAS!$U$188=3),1,-1)*LINEAS!$AE$188*DATOS!$C$67,DATOS!$C$68)))</f>
        <v/>
      </c>
      <c r="E850" s="42" t="str">
        <f t="shared" si="27"/>
        <v/>
      </c>
    </row>
    <row r="851" spans="2:5" ht="15" customHeight="1" x14ac:dyDescent="0.3">
      <c r="B851" s="44" t="str">
        <f>IF(OR(LINEAS!$D$189="",LINEAS!$U$189=0,ABS(IF(OR(LINEAS!$U$189=1,LINEAS!$U$189=3),1,-1)*LINEAS!$AE$189*DATOS!$C$67)&lt;0.00005),"*",LINEAS!$D$189&amp;" UNI "&amp;IF(LINEAS!$U$189&lt;=2,"GZ","GX")&amp;" "&amp;TEXT(IF(OR(LINEAS!$U$189=1,LINEAS!$U$189=3),1,-1)*LINEAS!$AE$189*DATOS!$C$67,DATOS!$C$68))</f>
        <v>*</v>
      </c>
      <c r="C851" s="42" t="str">
        <f t="shared" si="26"/>
        <v/>
      </c>
      <c r="D851" s="44" t="str">
        <f>IF(PRESIONES!$C$22="NO","",IF(OR(LINEAS!$D$189="",LINEAS!$U$189=0,ABS(IF(OR(LINEAS!$U$189=1,LINEAS!$U$189=3),1,-1)*LINEAS!$AE$189*DATOS!$C$67)&lt;0.00005),"*",LINEAS!$D$189&amp;" UNI "&amp;IF(LINEAS!$U$189&lt;=2,"GZ","GX")&amp;" "&amp;TEXT(IF(OR(LINEAS!$U$189=1,LINEAS!$U$189=3),1,-1)*LINEAS!$AE$189*DATOS!$C$67,DATOS!$C$68)))</f>
        <v/>
      </c>
      <c r="E851" s="42" t="str">
        <f t="shared" si="27"/>
        <v/>
      </c>
    </row>
    <row r="852" spans="2:5" ht="15" customHeight="1" x14ac:dyDescent="0.3">
      <c r="B852" s="44" t="str">
        <f>IF(OR(LINEAS!$D$190="",LINEAS!$U$190=0,ABS(IF(OR(LINEAS!$U$190=1,LINEAS!$U$190=3),1,-1)*LINEAS!$AE$190*DATOS!$C$67)&lt;0.00005),"*",LINEAS!$D$190&amp;" UNI "&amp;IF(LINEAS!$U$190&lt;=2,"GZ","GX")&amp;" "&amp;TEXT(IF(OR(LINEAS!$U$190=1,LINEAS!$U$190=3),1,-1)*LINEAS!$AE$190*DATOS!$C$67,DATOS!$C$68))</f>
        <v>*</v>
      </c>
      <c r="C852" s="42" t="str">
        <f t="shared" si="26"/>
        <v/>
      </c>
      <c r="D852" s="44" t="str">
        <f>IF(PRESIONES!$C$22="NO","",IF(OR(LINEAS!$D$190="",LINEAS!$U$190=0,ABS(IF(OR(LINEAS!$U$190=1,LINEAS!$U$190=3),1,-1)*LINEAS!$AE$190*DATOS!$C$67)&lt;0.00005),"*",LINEAS!$D$190&amp;" UNI "&amp;IF(LINEAS!$U$190&lt;=2,"GZ","GX")&amp;" "&amp;TEXT(IF(OR(LINEAS!$U$190=1,LINEAS!$U$190=3),1,-1)*LINEAS!$AE$190*DATOS!$C$67,DATOS!$C$68)))</f>
        <v/>
      </c>
      <c r="E852" s="42" t="str">
        <f t="shared" si="27"/>
        <v/>
      </c>
    </row>
    <row r="853" spans="2:5" ht="15" customHeight="1" x14ac:dyDescent="0.3">
      <c r="B853" s="44" t="str">
        <f>IF(OR(LINEAS!$D$191="",LINEAS!$U$191=0,ABS(IF(OR(LINEAS!$U$191=1,LINEAS!$U$191=3),1,-1)*LINEAS!$AE$191*DATOS!$C$67)&lt;0.00005),"*",LINEAS!$D$191&amp;" UNI "&amp;IF(LINEAS!$U$191&lt;=2,"GZ","GX")&amp;" "&amp;TEXT(IF(OR(LINEAS!$U$191=1,LINEAS!$U$191=3),1,-1)*LINEAS!$AE$191*DATOS!$C$67,DATOS!$C$68))</f>
        <v>*</v>
      </c>
      <c r="C853" s="42" t="str">
        <f t="shared" si="26"/>
        <v/>
      </c>
      <c r="D853" s="44" t="str">
        <f>IF(PRESIONES!$C$22="NO","",IF(OR(LINEAS!$D$191="",LINEAS!$U$191=0,ABS(IF(OR(LINEAS!$U$191=1,LINEAS!$U$191=3),1,-1)*LINEAS!$AE$191*DATOS!$C$67)&lt;0.00005),"*",LINEAS!$D$191&amp;" UNI "&amp;IF(LINEAS!$U$191&lt;=2,"GZ","GX")&amp;" "&amp;TEXT(IF(OR(LINEAS!$U$191=1,LINEAS!$U$191=3),1,-1)*LINEAS!$AE$191*DATOS!$C$67,DATOS!$C$68)))</f>
        <v/>
      </c>
      <c r="E853" s="42" t="str">
        <f t="shared" si="27"/>
        <v/>
      </c>
    </row>
    <row r="854" spans="2:5" ht="15" customHeight="1" x14ac:dyDescent="0.3">
      <c r="B854" s="44" t="str">
        <f>IF(OR(LINEAS!$D$192="",LINEAS!$U$192=0,ABS(IF(OR(LINEAS!$U$192=1,LINEAS!$U$192=3),1,-1)*LINEAS!$AE$192*DATOS!$C$67)&lt;0.00005),"*",LINEAS!$D$192&amp;" UNI "&amp;IF(LINEAS!$U$192&lt;=2,"GZ","GX")&amp;" "&amp;TEXT(IF(OR(LINEAS!$U$192=1,LINEAS!$U$192=3),1,-1)*LINEAS!$AE$192*DATOS!$C$67,DATOS!$C$68))</f>
        <v>*</v>
      </c>
      <c r="C854" s="42" t="str">
        <f t="shared" si="26"/>
        <v/>
      </c>
      <c r="D854" s="44" t="str">
        <f>IF(PRESIONES!$C$22="NO","",IF(OR(LINEAS!$D$192="",LINEAS!$U$192=0,ABS(IF(OR(LINEAS!$U$192=1,LINEAS!$U$192=3),1,-1)*LINEAS!$AE$192*DATOS!$C$67)&lt;0.00005),"*",LINEAS!$D$192&amp;" UNI "&amp;IF(LINEAS!$U$192&lt;=2,"GZ","GX")&amp;" "&amp;TEXT(IF(OR(LINEAS!$U$192=1,LINEAS!$U$192=3),1,-1)*LINEAS!$AE$192*DATOS!$C$67,DATOS!$C$68)))</f>
        <v/>
      </c>
      <c r="E854" s="42" t="str">
        <f t="shared" si="27"/>
        <v/>
      </c>
    </row>
    <row r="855" spans="2:5" ht="15" customHeight="1" x14ac:dyDescent="0.3">
      <c r="B855" s="44" t="str">
        <f>IF(OR(LINEAS!$D$193="",LINEAS!$U$193=0,ABS(IF(OR(LINEAS!$U$193=1,LINEAS!$U$193=3),1,-1)*LINEAS!$AE$193*DATOS!$C$67)&lt;0.00005),"*",LINEAS!$D$193&amp;" UNI "&amp;IF(LINEAS!$U$193&lt;=2,"GZ","GX")&amp;" "&amp;TEXT(IF(OR(LINEAS!$U$193=1,LINEAS!$U$193=3),1,-1)*LINEAS!$AE$193*DATOS!$C$67,DATOS!$C$68))</f>
        <v>*</v>
      </c>
      <c r="C855" s="42" t="str">
        <f t="shared" si="26"/>
        <v/>
      </c>
      <c r="D855" s="44" t="str">
        <f>IF(PRESIONES!$C$22="NO","",IF(OR(LINEAS!$D$193="",LINEAS!$U$193=0,ABS(IF(OR(LINEAS!$U$193=1,LINEAS!$U$193=3),1,-1)*LINEAS!$AE$193*DATOS!$C$67)&lt;0.00005),"*",LINEAS!$D$193&amp;" UNI "&amp;IF(LINEAS!$U$193&lt;=2,"GZ","GX")&amp;" "&amp;TEXT(IF(OR(LINEAS!$U$193=1,LINEAS!$U$193=3),1,-1)*LINEAS!$AE$193*DATOS!$C$67,DATOS!$C$68)))</f>
        <v/>
      </c>
      <c r="E855" s="42" t="str">
        <f t="shared" si="27"/>
        <v/>
      </c>
    </row>
    <row r="856" spans="2:5" ht="15" customHeight="1" x14ac:dyDescent="0.3">
      <c r="B856" s="44" t="str">
        <f>IF(OR(LINEAS!$D$194="",LINEAS!$U$194=0,ABS(IF(OR(LINEAS!$U$194=1,LINEAS!$U$194=3),1,-1)*LINEAS!$AE$194*DATOS!$C$67)&lt;0.00005),"*",LINEAS!$D$194&amp;" UNI "&amp;IF(LINEAS!$U$194&lt;=2,"GZ","GX")&amp;" "&amp;TEXT(IF(OR(LINEAS!$U$194=1,LINEAS!$U$194=3),1,-1)*LINEAS!$AE$194*DATOS!$C$67,DATOS!$C$68))</f>
        <v>*</v>
      </c>
      <c r="C856" s="42" t="str">
        <f t="shared" si="26"/>
        <v/>
      </c>
      <c r="D856" s="44" t="str">
        <f>IF(PRESIONES!$C$22="NO","",IF(OR(LINEAS!$D$194="",LINEAS!$U$194=0,ABS(IF(OR(LINEAS!$U$194=1,LINEAS!$U$194=3),1,-1)*LINEAS!$AE$194*DATOS!$C$67)&lt;0.00005),"*",LINEAS!$D$194&amp;" UNI "&amp;IF(LINEAS!$U$194&lt;=2,"GZ","GX")&amp;" "&amp;TEXT(IF(OR(LINEAS!$U$194=1,LINEAS!$U$194=3),1,-1)*LINEAS!$AE$194*DATOS!$C$67,DATOS!$C$68)))</f>
        <v/>
      </c>
      <c r="E856" s="42" t="str">
        <f t="shared" si="27"/>
        <v/>
      </c>
    </row>
    <row r="857" spans="2:5" ht="15" customHeight="1" x14ac:dyDescent="0.3">
      <c r="B857" s="43" t="str">
        <f>"LOAD "&amp;(DATOS!$C$66+4)&amp;" LOADTYPE Wind  TITLE "&amp;DATOS!$E$76</f>
        <v>LOAD 12 LOADTYPE Wind  TITLE VIENTO X PA</v>
      </c>
      <c r="C857" s="42" t="str">
        <f t="shared" si="26"/>
        <v/>
      </c>
      <c r="D857" s="44" t="str">
        <f>IF(PRESIONES!$C$22="NO",IF(5=1,"* CASOS B = CASOS A (SIN ±0.4 NI +0.3 EN EL TECHO): NO HACE FALTA",""),"LOAD "&amp;(DATOS!$C$69+4)&amp;" LOADTYPE Wind  TITLE "&amp;DATOS!$E$76&amp;" B")</f>
        <v/>
      </c>
      <c r="E857" s="42" t="str">
        <f t="shared" si="27"/>
        <v/>
      </c>
    </row>
    <row r="858" spans="2:5" ht="15" customHeight="1" x14ac:dyDescent="0.3">
      <c r="B858" s="44" t="s">
        <v>632</v>
      </c>
      <c r="C858" s="42" t="str">
        <f t="shared" si="26"/>
        <v/>
      </c>
      <c r="D858" s="44" t="str">
        <f>IF(PRESIONES!$C$22="NO","","MEMBER LOAD")</f>
        <v/>
      </c>
      <c r="E858" s="42" t="str">
        <f t="shared" si="27"/>
        <v/>
      </c>
    </row>
    <row r="859" spans="2:5" ht="15" customHeight="1" x14ac:dyDescent="0.3">
      <c r="B859" s="44" t="str">
        <f>IF(OR(LINEAS!$D$9="",ABS(-LINEAS!$AF$9*DATOS!$C$67)&lt;0.00005),"*",LINEAS!$D$9&amp;" UNI GY "&amp;TEXT(-LINEAS!$AF$9*DATOS!$C$67,DATOS!$C$68))</f>
        <v>22 85 TO 88 UNI GY 0.0659</v>
      </c>
      <c r="C859" s="42" t="str">
        <f t="shared" si="26"/>
        <v/>
      </c>
      <c r="D859" s="44" t="str">
        <f>IF(PRESIONES!$C$22="NO","",IF(OR(LINEAS!$D$9="",ABS(-LINEAS!$AV$9*DATOS!$C$67)&lt;0.00005),"*",LINEAS!$D$9&amp;" UNI GY "&amp;TEXT(-LINEAS!$AV$9*DATOS!$C$67,DATOS!$C$68)))</f>
        <v/>
      </c>
      <c r="E859" s="42" t="str">
        <f t="shared" si="27"/>
        <v/>
      </c>
    </row>
    <row r="860" spans="2:5" ht="15" customHeight="1" x14ac:dyDescent="0.3">
      <c r="B860" s="44" t="str">
        <f>IF(OR(LINEAS!$D$9="",DATOS!$C$22="—",ABS(LINEAS!$AN$9*DATOS!$C$67)&lt;0.00005),"*",LINEAS!$D$9&amp;" UNI G"&amp;DATOS!$C$22&amp;" "&amp;TEXT(LINEAS!$AN$9*DATOS!$C$67,DATOS!$C$68))</f>
        <v>22 85 TO 88 UNI GZ 0.0033</v>
      </c>
      <c r="C860" s="42" t="str">
        <f t="shared" si="26"/>
        <v/>
      </c>
      <c r="D860" s="44" t="str">
        <f>IF(PRESIONES!$C$22="NO","",IF(OR(LINEAS!$D$9="",DATOS!$C$22="—",ABS(LINEAS!$BD$9*DATOS!$C$67)&lt;0.00005),"*",LINEAS!$D$9&amp;" UNI G"&amp;DATOS!$C$22&amp;" "&amp;TEXT(LINEAS!$BD$9*DATOS!$C$67,DATOS!$C$68)))</f>
        <v/>
      </c>
      <c r="E860" s="42" t="str">
        <f t="shared" si="27"/>
        <v/>
      </c>
    </row>
    <row r="861" spans="2:5" ht="15" customHeight="1" x14ac:dyDescent="0.3">
      <c r="B861" s="44" t="str">
        <f>IF(OR(LINEAS!$D$10="",ABS(-LINEAS!$AF$10*DATOS!$C$67)&lt;0.00005),"*",LINEAS!$D$10&amp;" UNI GY "&amp;TEXT(-LINEAS!$AF$10*DATOS!$C$67,DATOS!$C$68))</f>
        <v>80 129 TO 132 UNI GY 0.1318</v>
      </c>
      <c r="C861" s="42" t="str">
        <f t="shared" si="26"/>
        <v/>
      </c>
      <c r="D861" s="44" t="str">
        <f>IF(PRESIONES!$C$22="NO","",IF(OR(LINEAS!$D$10="",ABS(-LINEAS!$AV$10*DATOS!$C$67)&lt;0.00005),"*",LINEAS!$D$10&amp;" UNI GY "&amp;TEXT(-LINEAS!$AV$10*DATOS!$C$67,DATOS!$C$68)))</f>
        <v/>
      </c>
      <c r="E861" s="42" t="str">
        <f t="shared" si="27"/>
        <v/>
      </c>
    </row>
    <row r="862" spans="2:5" ht="15" customHeight="1" x14ac:dyDescent="0.3">
      <c r="B862" s="44" t="str">
        <f>IF(OR(LINEAS!$D$10="",DATOS!$C$22="—",ABS(LINEAS!$AN$10*DATOS!$C$67)&lt;0.00005),"*",LINEAS!$D$10&amp;" UNI G"&amp;DATOS!$C$22&amp;" "&amp;TEXT(LINEAS!$AN$10*DATOS!$C$67,DATOS!$C$68))</f>
        <v>80 129 TO 132 UNI GZ 0.0066</v>
      </c>
      <c r="C862" s="42" t="str">
        <f t="shared" si="26"/>
        <v/>
      </c>
      <c r="D862" s="44" t="str">
        <f>IF(PRESIONES!$C$22="NO","",IF(OR(LINEAS!$D$10="",DATOS!$C$22="—",ABS(LINEAS!$BD$10*DATOS!$C$67)&lt;0.00005),"*",LINEAS!$D$10&amp;" UNI G"&amp;DATOS!$C$22&amp;" "&amp;TEXT(LINEAS!$BD$10*DATOS!$C$67,DATOS!$C$68)))</f>
        <v/>
      </c>
      <c r="E862" s="42" t="str">
        <f t="shared" si="27"/>
        <v/>
      </c>
    </row>
    <row r="863" spans="2:5" ht="15" customHeight="1" x14ac:dyDescent="0.3">
      <c r="B863" s="44" t="str">
        <f>IF(OR(LINEAS!$D$11="",ABS(-LINEAS!$AF$11*DATOS!$C$67)&lt;0.00005),"*",LINEAS!$D$11&amp;" UNI GY "&amp;TEXT(-LINEAS!$AF$11*DATOS!$C$67,DATOS!$C$68))</f>
        <v>79 125 TO 128 UNI GY 0.1318</v>
      </c>
      <c r="C863" s="42" t="str">
        <f t="shared" si="26"/>
        <v/>
      </c>
      <c r="D863" s="44" t="str">
        <f>IF(PRESIONES!$C$22="NO","",IF(OR(LINEAS!$D$11="",ABS(-LINEAS!$AV$11*DATOS!$C$67)&lt;0.00005),"*",LINEAS!$D$11&amp;" UNI GY "&amp;TEXT(-LINEAS!$AV$11*DATOS!$C$67,DATOS!$C$68)))</f>
        <v/>
      </c>
      <c r="E863" s="42" t="str">
        <f t="shared" si="27"/>
        <v/>
      </c>
    </row>
    <row r="864" spans="2:5" ht="15" customHeight="1" x14ac:dyDescent="0.3">
      <c r="B864" s="44" t="str">
        <f>IF(OR(LINEAS!$D$11="",DATOS!$C$22="—",ABS(LINEAS!$AN$11*DATOS!$C$67)&lt;0.00005),"*",LINEAS!$D$11&amp;" UNI G"&amp;DATOS!$C$22&amp;" "&amp;TEXT(LINEAS!$AN$11*DATOS!$C$67,DATOS!$C$68))</f>
        <v>79 125 TO 128 UNI GZ 0.0066</v>
      </c>
      <c r="C864" s="42" t="str">
        <f t="shared" si="26"/>
        <v/>
      </c>
      <c r="D864" s="44" t="str">
        <f>IF(PRESIONES!$C$22="NO","",IF(OR(LINEAS!$D$11="",DATOS!$C$22="—",ABS(LINEAS!$BD$11*DATOS!$C$67)&lt;0.00005),"*",LINEAS!$D$11&amp;" UNI G"&amp;DATOS!$C$22&amp;" "&amp;TEXT(LINEAS!$BD$11*DATOS!$C$67,DATOS!$C$68)))</f>
        <v/>
      </c>
      <c r="E864" s="42" t="str">
        <f t="shared" si="27"/>
        <v/>
      </c>
    </row>
    <row r="865" spans="2:5" ht="15" customHeight="1" x14ac:dyDescent="0.3">
      <c r="B865" s="44" t="str">
        <f>IF(OR(LINEAS!$D$12="",ABS(-LINEAS!$AF$12*DATOS!$C$67)&lt;0.00005),"*",LINEAS!$D$12&amp;" UNI GY "&amp;TEXT(-LINEAS!$AF$12*DATOS!$C$67,DATOS!$C$68))</f>
        <v>78 121 TO 124 UNI GY 0.1318</v>
      </c>
      <c r="C865" s="42" t="str">
        <f t="shared" si="26"/>
        <v/>
      </c>
      <c r="D865" s="44" t="str">
        <f>IF(PRESIONES!$C$22="NO","",IF(OR(LINEAS!$D$12="",ABS(-LINEAS!$AV$12*DATOS!$C$67)&lt;0.00005),"*",LINEAS!$D$12&amp;" UNI GY "&amp;TEXT(-LINEAS!$AV$12*DATOS!$C$67,DATOS!$C$68)))</f>
        <v/>
      </c>
      <c r="E865" s="42" t="str">
        <f t="shared" si="27"/>
        <v/>
      </c>
    </row>
    <row r="866" spans="2:5" ht="15" customHeight="1" x14ac:dyDescent="0.3">
      <c r="B866" s="44" t="str">
        <f>IF(OR(LINEAS!$D$12="",DATOS!$C$22="—",ABS(LINEAS!$AN$12*DATOS!$C$67)&lt;0.00005),"*",LINEAS!$D$12&amp;" UNI G"&amp;DATOS!$C$22&amp;" "&amp;TEXT(LINEAS!$AN$12*DATOS!$C$67,DATOS!$C$68))</f>
        <v>78 121 TO 124 UNI GZ 0.0066</v>
      </c>
      <c r="C866" s="42" t="str">
        <f t="shared" si="26"/>
        <v/>
      </c>
      <c r="D866" s="44" t="str">
        <f>IF(PRESIONES!$C$22="NO","",IF(OR(LINEAS!$D$12="",DATOS!$C$22="—",ABS(LINEAS!$BD$12*DATOS!$C$67)&lt;0.00005),"*",LINEAS!$D$12&amp;" UNI G"&amp;DATOS!$C$22&amp;" "&amp;TEXT(LINEAS!$BD$12*DATOS!$C$67,DATOS!$C$68)))</f>
        <v/>
      </c>
      <c r="E866" s="42" t="str">
        <f t="shared" si="27"/>
        <v/>
      </c>
    </row>
    <row r="867" spans="2:5" ht="15" customHeight="1" x14ac:dyDescent="0.3">
      <c r="B867" s="44" t="str">
        <f>IF(OR(LINEAS!$D$13="",ABS(-LINEAS!$AF$13*DATOS!$C$67)&lt;0.00005),"*",LINEAS!$D$13&amp;" UNI GY "&amp;TEXT(-LINEAS!$AF$13*DATOS!$C$67,DATOS!$C$68))</f>
        <v>77 117 TO 120 UNI GY 0.1318</v>
      </c>
      <c r="C867" s="42" t="str">
        <f t="shared" si="26"/>
        <v/>
      </c>
      <c r="D867" s="44" t="str">
        <f>IF(PRESIONES!$C$22="NO","",IF(OR(LINEAS!$D$13="",ABS(-LINEAS!$AV$13*DATOS!$C$67)&lt;0.00005),"*",LINEAS!$D$13&amp;" UNI GY "&amp;TEXT(-LINEAS!$AV$13*DATOS!$C$67,DATOS!$C$68)))</f>
        <v/>
      </c>
      <c r="E867" s="42" t="str">
        <f t="shared" si="27"/>
        <v/>
      </c>
    </row>
    <row r="868" spans="2:5" ht="15" customHeight="1" x14ac:dyDescent="0.3">
      <c r="B868" s="44" t="str">
        <f>IF(OR(LINEAS!$D$13="",DATOS!$C$22="—",ABS(LINEAS!$AN$13*DATOS!$C$67)&lt;0.00005),"*",LINEAS!$D$13&amp;" UNI G"&amp;DATOS!$C$22&amp;" "&amp;TEXT(LINEAS!$AN$13*DATOS!$C$67,DATOS!$C$68))</f>
        <v>77 117 TO 120 UNI GZ 0.0066</v>
      </c>
      <c r="C868" s="42" t="str">
        <f t="shared" si="26"/>
        <v/>
      </c>
      <c r="D868" s="44" t="str">
        <f>IF(PRESIONES!$C$22="NO","",IF(OR(LINEAS!$D$13="",DATOS!$C$22="—",ABS(LINEAS!$BD$13*DATOS!$C$67)&lt;0.00005),"*",LINEAS!$D$13&amp;" UNI G"&amp;DATOS!$C$22&amp;" "&amp;TEXT(LINEAS!$BD$13*DATOS!$C$67,DATOS!$C$68)))</f>
        <v/>
      </c>
      <c r="E868" s="42" t="str">
        <f t="shared" si="27"/>
        <v/>
      </c>
    </row>
    <row r="869" spans="2:5" ht="15" customHeight="1" x14ac:dyDescent="0.3">
      <c r="B869" s="44" t="str">
        <f>IF(OR(LINEAS!$D$14="",ABS(-LINEAS!$AF$14*DATOS!$C$67)&lt;0.00005),"*",LINEAS!$D$14&amp;" UNI GY "&amp;TEXT(-LINEAS!$AF$14*DATOS!$C$67,DATOS!$C$68))</f>
        <v>9 93 TO 96 UNI GY 0.1318</v>
      </c>
      <c r="C869" s="42" t="str">
        <f t="shared" si="26"/>
        <v/>
      </c>
      <c r="D869" s="44" t="str">
        <f>IF(PRESIONES!$C$22="NO","",IF(OR(LINEAS!$D$14="",ABS(-LINEAS!$AV$14*DATOS!$C$67)&lt;0.00005),"*",LINEAS!$D$14&amp;" UNI GY "&amp;TEXT(-LINEAS!$AV$14*DATOS!$C$67,DATOS!$C$68)))</f>
        <v/>
      </c>
      <c r="E869" s="42" t="str">
        <f t="shared" si="27"/>
        <v/>
      </c>
    </row>
    <row r="870" spans="2:5" ht="15" customHeight="1" x14ac:dyDescent="0.3">
      <c r="B870" s="44" t="str">
        <f>IF(OR(LINEAS!$D$14="",DATOS!$C$22="—",ABS(LINEAS!$AN$14*DATOS!$C$67)&lt;0.00005),"*",LINEAS!$D$14&amp;" UNI G"&amp;DATOS!$C$22&amp;" "&amp;TEXT(LINEAS!$AN$14*DATOS!$C$67,DATOS!$C$68))</f>
        <v>9 93 TO 96 UNI GZ 0.0066</v>
      </c>
      <c r="C870" s="42" t="str">
        <f t="shared" si="26"/>
        <v/>
      </c>
      <c r="D870" s="44" t="str">
        <f>IF(PRESIONES!$C$22="NO","",IF(OR(LINEAS!$D$14="",DATOS!$C$22="—",ABS(LINEAS!$BD$14*DATOS!$C$67)&lt;0.00005),"*",LINEAS!$D$14&amp;" UNI G"&amp;DATOS!$C$22&amp;" "&amp;TEXT(LINEAS!$BD$14*DATOS!$C$67,DATOS!$C$68)))</f>
        <v/>
      </c>
      <c r="E870" s="42" t="str">
        <f t="shared" si="27"/>
        <v/>
      </c>
    </row>
    <row r="871" spans="2:5" ht="15" customHeight="1" x14ac:dyDescent="0.3">
      <c r="B871" s="44" t="str">
        <f>IF(OR(LINEAS!$D$15="",ABS(-LINEAS!$AF$15*DATOS!$C$67)&lt;0.00005),"*",LINEAS!$D$15&amp;" UNI GY "&amp;TEXT(-LINEAS!$AF$15*DATOS!$C$67,DATOS!$C$68))</f>
        <v>76 113 TO 116 UNI GY 0.1318</v>
      </c>
      <c r="C871" s="42" t="str">
        <f t="shared" si="26"/>
        <v/>
      </c>
      <c r="D871" s="44" t="str">
        <f>IF(PRESIONES!$C$22="NO","",IF(OR(LINEAS!$D$15="",ABS(-LINEAS!$AV$15*DATOS!$C$67)&lt;0.00005),"*",LINEAS!$D$15&amp;" UNI GY "&amp;TEXT(-LINEAS!$AV$15*DATOS!$C$67,DATOS!$C$68)))</f>
        <v/>
      </c>
      <c r="E871" s="42" t="str">
        <f t="shared" si="27"/>
        <v/>
      </c>
    </row>
    <row r="872" spans="2:5" ht="15" customHeight="1" x14ac:dyDescent="0.3">
      <c r="B872" s="44" t="str">
        <f>IF(OR(LINEAS!$D$15="",DATOS!$C$22="—",ABS(LINEAS!$AN$15*DATOS!$C$67)&lt;0.00005),"*",LINEAS!$D$15&amp;" UNI G"&amp;DATOS!$C$22&amp;" "&amp;TEXT(LINEAS!$AN$15*DATOS!$C$67,DATOS!$C$68))</f>
        <v>76 113 TO 116 UNI GZ 0.0066</v>
      </c>
      <c r="C872" s="42" t="str">
        <f t="shared" si="26"/>
        <v/>
      </c>
      <c r="D872" s="44" t="str">
        <f>IF(PRESIONES!$C$22="NO","",IF(OR(LINEAS!$D$15="",DATOS!$C$22="—",ABS(LINEAS!$BD$15*DATOS!$C$67)&lt;0.00005),"*",LINEAS!$D$15&amp;" UNI G"&amp;DATOS!$C$22&amp;" "&amp;TEXT(LINEAS!$BD$15*DATOS!$C$67,DATOS!$C$68)))</f>
        <v/>
      </c>
      <c r="E872" s="42" t="str">
        <f t="shared" si="27"/>
        <v/>
      </c>
    </row>
    <row r="873" spans="2:5" ht="15" customHeight="1" x14ac:dyDescent="0.3">
      <c r="B873" s="44" t="str">
        <f>IF(OR(LINEAS!$D$16="",ABS(-LINEAS!$AF$16*DATOS!$C$67)&lt;0.00005),"*",LINEAS!$D$16&amp;" UNI GY "&amp;TEXT(-LINEAS!$AF$16*DATOS!$C$67,DATOS!$C$68))</f>
        <v>75 109 TO 112 UNI GY 0.1318</v>
      </c>
      <c r="C873" s="42" t="str">
        <f t="shared" si="26"/>
        <v/>
      </c>
      <c r="D873" s="44" t="str">
        <f>IF(PRESIONES!$C$22="NO","",IF(OR(LINEAS!$D$16="",ABS(-LINEAS!$AV$16*DATOS!$C$67)&lt;0.00005),"*",LINEAS!$D$16&amp;" UNI GY "&amp;TEXT(-LINEAS!$AV$16*DATOS!$C$67,DATOS!$C$68)))</f>
        <v/>
      </c>
      <c r="E873" s="42" t="str">
        <f t="shared" si="27"/>
        <v/>
      </c>
    </row>
    <row r="874" spans="2:5" ht="15" customHeight="1" x14ac:dyDescent="0.3">
      <c r="B874" s="44" t="str">
        <f>IF(OR(LINEAS!$D$16="",DATOS!$C$22="—",ABS(LINEAS!$AN$16*DATOS!$C$67)&lt;0.00005),"*",LINEAS!$D$16&amp;" UNI G"&amp;DATOS!$C$22&amp;" "&amp;TEXT(LINEAS!$AN$16*DATOS!$C$67,DATOS!$C$68))</f>
        <v>75 109 TO 112 UNI GZ 0.0066</v>
      </c>
      <c r="C874" s="42" t="str">
        <f t="shared" si="26"/>
        <v/>
      </c>
      <c r="D874" s="44" t="str">
        <f>IF(PRESIONES!$C$22="NO","",IF(OR(LINEAS!$D$16="",DATOS!$C$22="—",ABS(LINEAS!$BD$16*DATOS!$C$67)&lt;0.00005),"*",LINEAS!$D$16&amp;" UNI G"&amp;DATOS!$C$22&amp;" "&amp;TEXT(LINEAS!$BD$16*DATOS!$C$67,DATOS!$C$68)))</f>
        <v/>
      </c>
      <c r="E874" s="42" t="str">
        <f t="shared" si="27"/>
        <v/>
      </c>
    </row>
    <row r="875" spans="2:5" ht="15" customHeight="1" x14ac:dyDescent="0.3">
      <c r="B875" s="44" t="str">
        <f>IF(OR(LINEAS!$D$17="",ABS(-LINEAS!$AF$17*DATOS!$C$67)&lt;0.00005),"*",LINEAS!$D$17&amp;" UNI GY "&amp;TEXT(-LINEAS!$AF$17*DATOS!$C$67,DATOS!$C$68))</f>
        <v>74 105 TO 108 UNI GY 0.1318</v>
      </c>
      <c r="C875" s="42" t="str">
        <f t="shared" si="26"/>
        <v/>
      </c>
      <c r="D875" s="44" t="str">
        <f>IF(PRESIONES!$C$22="NO","",IF(OR(LINEAS!$D$17="",ABS(-LINEAS!$AV$17*DATOS!$C$67)&lt;0.00005),"*",LINEAS!$D$17&amp;" UNI GY "&amp;TEXT(-LINEAS!$AV$17*DATOS!$C$67,DATOS!$C$68)))</f>
        <v/>
      </c>
      <c r="E875" s="42" t="str">
        <f t="shared" si="27"/>
        <v/>
      </c>
    </row>
    <row r="876" spans="2:5" ht="15" customHeight="1" x14ac:dyDescent="0.3">
      <c r="B876" s="44" t="str">
        <f>IF(OR(LINEAS!$D$17="",DATOS!$C$22="—",ABS(LINEAS!$AN$17*DATOS!$C$67)&lt;0.00005),"*",LINEAS!$D$17&amp;" UNI G"&amp;DATOS!$C$22&amp;" "&amp;TEXT(LINEAS!$AN$17*DATOS!$C$67,DATOS!$C$68))</f>
        <v>74 105 TO 108 UNI GZ 0.0066</v>
      </c>
      <c r="C876" s="42" t="str">
        <f t="shared" si="26"/>
        <v/>
      </c>
      <c r="D876" s="44" t="str">
        <f>IF(PRESIONES!$C$22="NO","",IF(OR(LINEAS!$D$17="",DATOS!$C$22="—",ABS(LINEAS!$BD$17*DATOS!$C$67)&lt;0.00005),"*",LINEAS!$D$17&amp;" UNI G"&amp;DATOS!$C$22&amp;" "&amp;TEXT(LINEAS!$BD$17*DATOS!$C$67,DATOS!$C$68)))</f>
        <v/>
      </c>
      <c r="E876" s="42" t="str">
        <f t="shared" si="27"/>
        <v/>
      </c>
    </row>
    <row r="877" spans="2:5" ht="15" customHeight="1" x14ac:dyDescent="0.3">
      <c r="B877" s="44" t="str">
        <f>IF(OR(LINEAS!$D$18="",ABS(-LINEAS!$AF$18*DATOS!$C$67)&lt;0.00005),"*",LINEAS!$D$18&amp;" UNI GY "&amp;TEXT(-LINEAS!$AF$18*DATOS!$C$67,DATOS!$C$68))</f>
        <v>73 101 TO 104 UNI GY 0.1318</v>
      </c>
      <c r="C877" s="42" t="str">
        <f t="shared" si="26"/>
        <v/>
      </c>
      <c r="D877" s="44" t="str">
        <f>IF(PRESIONES!$C$22="NO","",IF(OR(LINEAS!$D$18="",ABS(-LINEAS!$AV$18*DATOS!$C$67)&lt;0.00005),"*",LINEAS!$D$18&amp;" UNI GY "&amp;TEXT(-LINEAS!$AV$18*DATOS!$C$67,DATOS!$C$68)))</f>
        <v/>
      </c>
      <c r="E877" s="42" t="str">
        <f t="shared" si="27"/>
        <v/>
      </c>
    </row>
    <row r="878" spans="2:5" ht="15" customHeight="1" x14ac:dyDescent="0.3">
      <c r="B878" s="44" t="str">
        <f>IF(OR(LINEAS!$D$18="",DATOS!$C$22="—",ABS(LINEAS!$AN$18*DATOS!$C$67)&lt;0.00005),"*",LINEAS!$D$18&amp;" UNI G"&amp;DATOS!$C$22&amp;" "&amp;TEXT(LINEAS!$AN$18*DATOS!$C$67,DATOS!$C$68))</f>
        <v>73 101 TO 104 UNI GZ 0.0066</v>
      </c>
      <c r="C878" s="42" t="str">
        <f t="shared" si="26"/>
        <v/>
      </c>
      <c r="D878" s="44" t="str">
        <f>IF(PRESIONES!$C$22="NO","",IF(OR(LINEAS!$D$18="",DATOS!$C$22="—",ABS(LINEAS!$BD$18*DATOS!$C$67)&lt;0.00005),"*",LINEAS!$D$18&amp;" UNI G"&amp;DATOS!$C$22&amp;" "&amp;TEXT(LINEAS!$BD$18*DATOS!$C$67,DATOS!$C$68)))</f>
        <v/>
      </c>
      <c r="E878" s="42" t="str">
        <f t="shared" si="27"/>
        <v/>
      </c>
    </row>
    <row r="879" spans="2:5" ht="15" customHeight="1" x14ac:dyDescent="0.3">
      <c r="B879" s="44" t="str">
        <f>IF(OR(LINEAS!$D$19="",ABS(-LINEAS!$AF$19*DATOS!$C$67)&lt;0.00005),"*",LINEAS!$D$19&amp;" UNI GY "&amp;TEXT(-LINEAS!$AF$19*DATOS!$C$67,DATOS!$C$68))</f>
        <v>8 89 TO 92 UNI GY 0.1270</v>
      </c>
      <c r="C879" s="42" t="str">
        <f t="shared" si="26"/>
        <v/>
      </c>
      <c r="D879" s="44" t="str">
        <f>IF(PRESIONES!$C$22="NO","",IF(OR(LINEAS!$D$19="",ABS(-LINEAS!$AV$19*DATOS!$C$67)&lt;0.00005),"*",LINEAS!$D$19&amp;" UNI GY "&amp;TEXT(-LINEAS!$AV$19*DATOS!$C$67,DATOS!$C$68)))</f>
        <v/>
      </c>
      <c r="E879" s="42" t="str">
        <f t="shared" si="27"/>
        <v/>
      </c>
    </row>
    <row r="880" spans="2:5" ht="15" customHeight="1" x14ac:dyDescent="0.3">
      <c r="B880" s="44" t="str">
        <f>IF(OR(LINEAS!$D$19="",DATOS!$C$22="—",ABS(LINEAS!$AN$19*DATOS!$C$67)&lt;0.00005),"*",LINEAS!$D$19&amp;" UNI G"&amp;DATOS!$C$22&amp;" "&amp;TEXT(LINEAS!$AN$19*DATOS!$C$67,DATOS!$C$68))</f>
        <v>8 89 TO 92 UNI GZ 0.0063</v>
      </c>
      <c r="C880" s="42" t="str">
        <f t="shared" si="26"/>
        <v/>
      </c>
      <c r="D880" s="44" t="str">
        <f>IF(PRESIONES!$C$22="NO","",IF(OR(LINEAS!$D$19="",DATOS!$C$22="—",ABS(LINEAS!$BD$19*DATOS!$C$67)&lt;0.00005),"*",LINEAS!$D$19&amp;" UNI G"&amp;DATOS!$C$22&amp;" "&amp;TEXT(LINEAS!$BD$19*DATOS!$C$67,DATOS!$C$68)))</f>
        <v/>
      </c>
      <c r="E880" s="42" t="str">
        <f t="shared" si="27"/>
        <v/>
      </c>
    </row>
    <row r="881" spans="2:5" ht="15" customHeight="1" x14ac:dyDescent="0.3">
      <c r="B881" s="44" t="str">
        <f>IF(OR(LINEAS!$D$20="",ABS(-LINEAS!$AF$20*DATOS!$C$67)&lt;0.00005),"*",LINEAS!$D$20&amp;" UNI GY "&amp;TEXT(-LINEAS!$AF$20*DATOS!$C$67,DATOS!$C$68))</f>
        <v>56 97 TO 100 UNI GY 0.1221</v>
      </c>
      <c r="C881" s="42" t="str">
        <f t="shared" si="26"/>
        <v/>
      </c>
      <c r="D881" s="44" t="str">
        <f>IF(PRESIONES!$C$22="NO","",IF(OR(LINEAS!$D$20="",ABS(-LINEAS!$AV$20*DATOS!$C$67)&lt;0.00005),"*",LINEAS!$D$20&amp;" UNI GY "&amp;TEXT(-LINEAS!$AV$20*DATOS!$C$67,DATOS!$C$68)))</f>
        <v/>
      </c>
      <c r="E881" s="42" t="str">
        <f t="shared" si="27"/>
        <v/>
      </c>
    </row>
    <row r="882" spans="2:5" ht="15" customHeight="1" x14ac:dyDescent="0.3">
      <c r="B882" s="44" t="str">
        <f>IF(OR(LINEAS!$D$20="",DATOS!$C$22="—",ABS(LINEAS!$AN$20*DATOS!$C$67)&lt;0.00005),"*",LINEAS!$D$20&amp;" UNI G"&amp;DATOS!$C$22&amp;" "&amp;TEXT(LINEAS!$AN$20*DATOS!$C$67,DATOS!$C$68))</f>
        <v>56 97 TO 100 UNI GZ 0.0061</v>
      </c>
      <c r="C882" s="42" t="str">
        <f t="shared" si="26"/>
        <v/>
      </c>
      <c r="D882" s="44" t="str">
        <f>IF(PRESIONES!$C$22="NO","",IF(OR(LINEAS!$D$20="",DATOS!$C$22="—",ABS(LINEAS!$BD$20*DATOS!$C$67)&lt;0.00005),"*",LINEAS!$D$20&amp;" UNI G"&amp;DATOS!$C$22&amp;" "&amp;TEXT(LINEAS!$BD$20*DATOS!$C$67,DATOS!$C$68)))</f>
        <v/>
      </c>
      <c r="E882" s="42" t="str">
        <f t="shared" si="27"/>
        <v/>
      </c>
    </row>
    <row r="883" spans="2:5" ht="15" customHeight="1" x14ac:dyDescent="0.3">
      <c r="B883" s="44" t="str">
        <f>IF(OR(LINEAS!$D$21="",ABS(-LINEAS!$AF$21*DATOS!$C$67)&lt;0.00005),"*",LINEAS!$D$21&amp;" UNI GY "&amp;TEXT(-LINEAS!$AF$21*DATOS!$C$67,DATOS!$C$68))</f>
        <v>7 81 TO 84 UNI GY 0.0610</v>
      </c>
      <c r="C883" s="42" t="str">
        <f t="shared" si="26"/>
        <v/>
      </c>
      <c r="D883" s="44" t="str">
        <f>IF(PRESIONES!$C$22="NO","",IF(OR(LINEAS!$D$21="",ABS(-LINEAS!$AV$21*DATOS!$C$67)&lt;0.00005),"*",LINEAS!$D$21&amp;" UNI GY "&amp;TEXT(-LINEAS!$AV$21*DATOS!$C$67,DATOS!$C$68)))</f>
        <v/>
      </c>
      <c r="E883" s="42" t="str">
        <f t="shared" si="27"/>
        <v/>
      </c>
    </row>
    <row r="884" spans="2:5" ht="15" customHeight="1" x14ac:dyDescent="0.3">
      <c r="B884" s="44" t="str">
        <f>IF(OR(LINEAS!$D$21="",DATOS!$C$22="—",ABS(LINEAS!$AN$21*DATOS!$C$67)&lt;0.00005),"*",LINEAS!$D$21&amp;" UNI G"&amp;DATOS!$C$22&amp;" "&amp;TEXT(LINEAS!$AN$21*DATOS!$C$67,DATOS!$C$68))</f>
        <v>7 81 TO 84 UNI GZ 0.0031</v>
      </c>
      <c r="C884" s="42" t="str">
        <f t="shared" si="26"/>
        <v/>
      </c>
      <c r="D884" s="44" t="str">
        <f>IF(PRESIONES!$C$22="NO","",IF(OR(LINEAS!$D$21="",DATOS!$C$22="—",ABS(LINEAS!$BD$21*DATOS!$C$67)&lt;0.00005),"*",LINEAS!$D$21&amp;" UNI G"&amp;DATOS!$C$22&amp;" "&amp;TEXT(LINEAS!$BD$21*DATOS!$C$67,DATOS!$C$68)))</f>
        <v/>
      </c>
      <c r="E884" s="42" t="str">
        <f t="shared" si="27"/>
        <v/>
      </c>
    </row>
    <row r="885" spans="2:5" ht="15" customHeight="1" x14ac:dyDescent="0.3">
      <c r="B885" s="44" t="str">
        <f>IF(OR(LINEAS!$D$22="",ABS(-LINEAS!$AF$22*DATOS!$C$67)&lt;0.00005),"*",LINEAS!$D$22&amp;" UNI GY "&amp;TEXT(-LINEAS!$AF$22*DATOS!$C$67,DATOS!$C$68))</f>
        <v>*</v>
      </c>
      <c r="C885" s="42" t="str">
        <f t="shared" si="26"/>
        <v/>
      </c>
      <c r="D885" s="44" t="str">
        <f>IF(PRESIONES!$C$22="NO","",IF(OR(LINEAS!$D$22="",ABS(-LINEAS!$AV$22*DATOS!$C$67)&lt;0.00005),"*",LINEAS!$D$22&amp;" UNI GY "&amp;TEXT(-LINEAS!$AV$22*DATOS!$C$67,DATOS!$C$68)))</f>
        <v/>
      </c>
      <c r="E885" s="42" t="str">
        <f t="shared" si="27"/>
        <v/>
      </c>
    </row>
    <row r="886" spans="2:5" ht="15" customHeight="1" x14ac:dyDescent="0.3">
      <c r="B886" s="44" t="str">
        <f>IF(OR(LINEAS!$D$22="",DATOS!$C$22="—",ABS(LINEAS!$AN$22*DATOS!$C$67)&lt;0.00005),"*",LINEAS!$D$22&amp;" UNI G"&amp;DATOS!$C$22&amp;" "&amp;TEXT(LINEAS!$AN$22*DATOS!$C$67,DATOS!$C$68))</f>
        <v>*</v>
      </c>
      <c r="C886" s="42" t="str">
        <f t="shared" si="26"/>
        <v/>
      </c>
      <c r="D886" s="44" t="str">
        <f>IF(PRESIONES!$C$22="NO","",IF(OR(LINEAS!$D$22="",DATOS!$C$22="—",ABS(LINEAS!$BD$22*DATOS!$C$67)&lt;0.00005),"*",LINEAS!$D$22&amp;" UNI G"&amp;DATOS!$C$22&amp;" "&amp;TEXT(LINEAS!$BD$22*DATOS!$C$67,DATOS!$C$68)))</f>
        <v/>
      </c>
      <c r="E886" s="42" t="str">
        <f t="shared" si="27"/>
        <v/>
      </c>
    </row>
    <row r="887" spans="2:5" ht="15" customHeight="1" x14ac:dyDescent="0.3">
      <c r="B887" s="44" t="str">
        <f>IF(OR(LINEAS!$D$23="",ABS(-LINEAS!$AF$23*DATOS!$C$67)&lt;0.00005),"*",LINEAS!$D$23&amp;" UNI GY "&amp;TEXT(-LINEAS!$AF$23*DATOS!$C$67,DATOS!$C$68))</f>
        <v>*</v>
      </c>
      <c r="C887" s="42" t="str">
        <f t="shared" si="26"/>
        <v/>
      </c>
      <c r="D887" s="44" t="str">
        <f>IF(PRESIONES!$C$22="NO","",IF(OR(LINEAS!$D$23="",ABS(-LINEAS!$AV$23*DATOS!$C$67)&lt;0.00005),"*",LINEAS!$D$23&amp;" UNI GY "&amp;TEXT(-LINEAS!$AV$23*DATOS!$C$67,DATOS!$C$68)))</f>
        <v/>
      </c>
      <c r="E887" s="42" t="str">
        <f t="shared" si="27"/>
        <v/>
      </c>
    </row>
    <row r="888" spans="2:5" ht="15" customHeight="1" x14ac:dyDescent="0.3">
      <c r="B888" s="44" t="str">
        <f>IF(OR(LINEAS!$D$23="",DATOS!$C$22="—",ABS(LINEAS!$AN$23*DATOS!$C$67)&lt;0.00005),"*",LINEAS!$D$23&amp;" UNI G"&amp;DATOS!$C$22&amp;" "&amp;TEXT(LINEAS!$AN$23*DATOS!$C$67,DATOS!$C$68))</f>
        <v>*</v>
      </c>
      <c r="C888" s="42" t="str">
        <f t="shared" si="26"/>
        <v/>
      </c>
      <c r="D888" s="44" t="str">
        <f>IF(PRESIONES!$C$22="NO","",IF(OR(LINEAS!$D$23="",DATOS!$C$22="—",ABS(LINEAS!$BD$23*DATOS!$C$67)&lt;0.00005),"*",LINEAS!$D$23&amp;" UNI G"&amp;DATOS!$C$22&amp;" "&amp;TEXT(LINEAS!$BD$23*DATOS!$C$67,DATOS!$C$68)))</f>
        <v/>
      </c>
      <c r="E888" s="42" t="str">
        <f t="shared" si="27"/>
        <v/>
      </c>
    </row>
    <row r="889" spans="2:5" ht="15" customHeight="1" x14ac:dyDescent="0.3">
      <c r="B889" s="44" t="str">
        <f>IF(OR(LINEAS!$D$24="",ABS(-LINEAS!$AF$24*DATOS!$C$67)&lt;0.00005),"*",LINEAS!$D$24&amp;" UNI GY "&amp;TEXT(-LINEAS!$AF$24*DATOS!$C$67,DATOS!$C$68))</f>
        <v>*</v>
      </c>
      <c r="C889" s="42" t="str">
        <f t="shared" si="26"/>
        <v/>
      </c>
      <c r="D889" s="44" t="str">
        <f>IF(PRESIONES!$C$22="NO","",IF(OR(LINEAS!$D$24="",ABS(-LINEAS!$AV$24*DATOS!$C$67)&lt;0.00005),"*",LINEAS!$D$24&amp;" UNI GY "&amp;TEXT(-LINEAS!$AV$24*DATOS!$C$67,DATOS!$C$68)))</f>
        <v/>
      </c>
      <c r="E889" s="42" t="str">
        <f t="shared" si="27"/>
        <v/>
      </c>
    </row>
    <row r="890" spans="2:5" ht="15" customHeight="1" x14ac:dyDescent="0.3">
      <c r="B890" s="44" t="str">
        <f>IF(OR(LINEAS!$D$24="",DATOS!$C$22="—",ABS(LINEAS!$AN$24*DATOS!$C$67)&lt;0.00005),"*",LINEAS!$D$24&amp;" UNI G"&amp;DATOS!$C$22&amp;" "&amp;TEXT(LINEAS!$AN$24*DATOS!$C$67,DATOS!$C$68))</f>
        <v>*</v>
      </c>
      <c r="C890" s="42" t="str">
        <f t="shared" si="26"/>
        <v/>
      </c>
      <c r="D890" s="44" t="str">
        <f>IF(PRESIONES!$C$22="NO","",IF(OR(LINEAS!$D$24="",DATOS!$C$22="—",ABS(LINEAS!$BD$24*DATOS!$C$67)&lt;0.00005),"*",LINEAS!$D$24&amp;" UNI G"&amp;DATOS!$C$22&amp;" "&amp;TEXT(LINEAS!$BD$24*DATOS!$C$67,DATOS!$C$68)))</f>
        <v/>
      </c>
      <c r="E890" s="42" t="str">
        <f t="shared" si="27"/>
        <v/>
      </c>
    </row>
    <row r="891" spans="2:5" ht="15" customHeight="1" x14ac:dyDescent="0.3">
      <c r="B891" s="44" t="str">
        <f>IF(OR(LINEAS!$D$25="",ABS(-LINEAS!$AF$25*DATOS!$C$67)&lt;0.00005),"*",LINEAS!$D$25&amp;" UNI GY "&amp;TEXT(-LINEAS!$AF$25*DATOS!$C$67,DATOS!$C$68))</f>
        <v>*</v>
      </c>
      <c r="C891" s="42" t="str">
        <f t="shared" si="26"/>
        <v/>
      </c>
      <c r="D891" s="44" t="str">
        <f>IF(PRESIONES!$C$22="NO","",IF(OR(LINEAS!$D$25="",ABS(-LINEAS!$AV$25*DATOS!$C$67)&lt;0.00005),"*",LINEAS!$D$25&amp;" UNI GY "&amp;TEXT(-LINEAS!$AV$25*DATOS!$C$67,DATOS!$C$68)))</f>
        <v/>
      </c>
      <c r="E891" s="42" t="str">
        <f t="shared" si="27"/>
        <v/>
      </c>
    </row>
    <row r="892" spans="2:5" ht="15" customHeight="1" x14ac:dyDescent="0.3">
      <c r="B892" s="44" t="str">
        <f>IF(OR(LINEAS!$D$25="",DATOS!$C$22="—",ABS(LINEAS!$AN$25*DATOS!$C$67)&lt;0.00005),"*",LINEAS!$D$25&amp;" UNI G"&amp;DATOS!$C$22&amp;" "&amp;TEXT(LINEAS!$AN$25*DATOS!$C$67,DATOS!$C$68))</f>
        <v>*</v>
      </c>
      <c r="C892" s="42" t="str">
        <f t="shared" si="26"/>
        <v/>
      </c>
      <c r="D892" s="44" t="str">
        <f>IF(PRESIONES!$C$22="NO","",IF(OR(LINEAS!$D$25="",DATOS!$C$22="—",ABS(LINEAS!$BD$25*DATOS!$C$67)&lt;0.00005),"*",LINEAS!$D$25&amp;" UNI G"&amp;DATOS!$C$22&amp;" "&amp;TEXT(LINEAS!$BD$25*DATOS!$C$67,DATOS!$C$68)))</f>
        <v/>
      </c>
      <c r="E892" s="42" t="str">
        <f t="shared" si="27"/>
        <v/>
      </c>
    </row>
    <row r="893" spans="2:5" ht="15" customHeight="1" x14ac:dyDescent="0.3">
      <c r="B893" s="44" t="str">
        <f>IF(OR(LINEAS!$D$26="",ABS(-LINEAS!$AF$26*DATOS!$C$67)&lt;0.00005),"*",LINEAS!$D$26&amp;" UNI GY "&amp;TEXT(-LINEAS!$AF$26*DATOS!$C$67,DATOS!$C$68))</f>
        <v>*</v>
      </c>
      <c r="C893" s="42" t="str">
        <f t="shared" si="26"/>
        <v/>
      </c>
      <c r="D893" s="44" t="str">
        <f>IF(PRESIONES!$C$22="NO","",IF(OR(LINEAS!$D$26="",ABS(-LINEAS!$AV$26*DATOS!$C$67)&lt;0.00005),"*",LINEAS!$D$26&amp;" UNI GY "&amp;TEXT(-LINEAS!$AV$26*DATOS!$C$67,DATOS!$C$68)))</f>
        <v/>
      </c>
      <c r="E893" s="42" t="str">
        <f t="shared" si="27"/>
        <v/>
      </c>
    </row>
    <row r="894" spans="2:5" ht="15" customHeight="1" x14ac:dyDescent="0.3">
      <c r="B894" s="44" t="str">
        <f>IF(OR(LINEAS!$D$26="",DATOS!$C$22="—",ABS(LINEAS!$AN$26*DATOS!$C$67)&lt;0.00005),"*",LINEAS!$D$26&amp;" UNI G"&amp;DATOS!$C$22&amp;" "&amp;TEXT(LINEAS!$AN$26*DATOS!$C$67,DATOS!$C$68))</f>
        <v>*</v>
      </c>
      <c r="C894" s="42" t="str">
        <f t="shared" si="26"/>
        <v/>
      </c>
      <c r="D894" s="44" t="str">
        <f>IF(PRESIONES!$C$22="NO","",IF(OR(LINEAS!$D$26="",DATOS!$C$22="—",ABS(LINEAS!$BD$26*DATOS!$C$67)&lt;0.00005),"*",LINEAS!$D$26&amp;" UNI G"&amp;DATOS!$C$22&amp;" "&amp;TEXT(LINEAS!$BD$26*DATOS!$C$67,DATOS!$C$68)))</f>
        <v/>
      </c>
      <c r="E894" s="42" t="str">
        <f t="shared" si="27"/>
        <v/>
      </c>
    </row>
    <row r="895" spans="2:5" ht="15" customHeight="1" x14ac:dyDescent="0.3">
      <c r="B895" s="44" t="str">
        <f>IF(OR(LINEAS!$D$27="",ABS(-LINEAS!$AF$27*DATOS!$C$67)&lt;0.00005),"*",LINEAS!$D$27&amp;" UNI GY "&amp;TEXT(-LINEAS!$AF$27*DATOS!$C$67,DATOS!$C$68))</f>
        <v>*</v>
      </c>
      <c r="C895" s="42" t="str">
        <f t="shared" si="26"/>
        <v/>
      </c>
      <c r="D895" s="44" t="str">
        <f>IF(PRESIONES!$C$22="NO","",IF(OR(LINEAS!$D$27="",ABS(-LINEAS!$AV$27*DATOS!$C$67)&lt;0.00005),"*",LINEAS!$D$27&amp;" UNI GY "&amp;TEXT(-LINEAS!$AV$27*DATOS!$C$67,DATOS!$C$68)))</f>
        <v/>
      </c>
      <c r="E895" s="42" t="str">
        <f t="shared" si="27"/>
        <v/>
      </c>
    </row>
    <row r="896" spans="2:5" ht="15" customHeight="1" x14ac:dyDescent="0.3">
      <c r="B896" s="44" t="str">
        <f>IF(OR(LINEAS!$D$27="",DATOS!$C$22="—",ABS(LINEAS!$AN$27*DATOS!$C$67)&lt;0.00005),"*",LINEAS!$D$27&amp;" UNI G"&amp;DATOS!$C$22&amp;" "&amp;TEXT(LINEAS!$AN$27*DATOS!$C$67,DATOS!$C$68))</f>
        <v>*</v>
      </c>
      <c r="C896" s="42" t="str">
        <f t="shared" si="26"/>
        <v/>
      </c>
      <c r="D896" s="44" t="str">
        <f>IF(PRESIONES!$C$22="NO","",IF(OR(LINEAS!$D$27="",DATOS!$C$22="—",ABS(LINEAS!$BD$27*DATOS!$C$67)&lt;0.00005),"*",LINEAS!$D$27&amp;" UNI G"&amp;DATOS!$C$22&amp;" "&amp;TEXT(LINEAS!$BD$27*DATOS!$C$67,DATOS!$C$68)))</f>
        <v/>
      </c>
      <c r="E896" s="42" t="str">
        <f t="shared" si="27"/>
        <v/>
      </c>
    </row>
    <row r="897" spans="2:5" ht="15" customHeight="1" x14ac:dyDescent="0.3">
      <c r="B897" s="44" t="str">
        <f>IF(OR(LINEAS!$D$28="",ABS(-LINEAS!$AF$28*DATOS!$C$67)&lt;0.00005),"*",LINEAS!$D$28&amp;" UNI GY "&amp;TEXT(-LINEAS!$AF$28*DATOS!$C$67,DATOS!$C$68))</f>
        <v>*</v>
      </c>
      <c r="C897" s="42" t="str">
        <f t="shared" si="26"/>
        <v/>
      </c>
      <c r="D897" s="44" t="str">
        <f>IF(PRESIONES!$C$22="NO","",IF(OR(LINEAS!$D$28="",ABS(-LINEAS!$AV$28*DATOS!$C$67)&lt;0.00005),"*",LINEAS!$D$28&amp;" UNI GY "&amp;TEXT(-LINEAS!$AV$28*DATOS!$C$67,DATOS!$C$68)))</f>
        <v/>
      </c>
      <c r="E897" s="42" t="str">
        <f t="shared" si="27"/>
        <v/>
      </c>
    </row>
    <row r="898" spans="2:5" ht="15" customHeight="1" x14ac:dyDescent="0.3">
      <c r="B898" s="44" t="str">
        <f>IF(OR(LINEAS!$D$28="",DATOS!$C$22="—",ABS(LINEAS!$AN$28*DATOS!$C$67)&lt;0.00005),"*",LINEAS!$D$28&amp;" UNI G"&amp;DATOS!$C$22&amp;" "&amp;TEXT(LINEAS!$AN$28*DATOS!$C$67,DATOS!$C$68))</f>
        <v>*</v>
      </c>
      <c r="C898" s="42" t="str">
        <f t="shared" si="26"/>
        <v/>
      </c>
      <c r="D898" s="44" t="str">
        <f>IF(PRESIONES!$C$22="NO","",IF(OR(LINEAS!$D$28="",DATOS!$C$22="—",ABS(LINEAS!$BD$28*DATOS!$C$67)&lt;0.00005),"*",LINEAS!$D$28&amp;" UNI G"&amp;DATOS!$C$22&amp;" "&amp;TEXT(LINEAS!$BD$28*DATOS!$C$67,DATOS!$C$68)))</f>
        <v/>
      </c>
      <c r="E898" s="42" t="str">
        <f t="shared" si="27"/>
        <v/>
      </c>
    </row>
    <row r="899" spans="2:5" ht="15" customHeight="1" x14ac:dyDescent="0.3">
      <c r="B899" s="44" t="str">
        <f>IF(OR(LINEAS!$D$29="",ABS(-LINEAS!$AF$29*DATOS!$C$67)&lt;0.00005),"*",LINEAS!$D$29&amp;" UNI GY "&amp;TEXT(-LINEAS!$AF$29*DATOS!$C$67,DATOS!$C$68))</f>
        <v>*</v>
      </c>
      <c r="C899" s="42" t="str">
        <f t="shared" si="26"/>
        <v/>
      </c>
      <c r="D899" s="44" t="str">
        <f>IF(PRESIONES!$C$22="NO","",IF(OR(LINEAS!$D$29="",ABS(-LINEAS!$AV$29*DATOS!$C$67)&lt;0.00005),"*",LINEAS!$D$29&amp;" UNI GY "&amp;TEXT(-LINEAS!$AV$29*DATOS!$C$67,DATOS!$C$68)))</f>
        <v/>
      </c>
      <c r="E899" s="42" t="str">
        <f t="shared" si="27"/>
        <v/>
      </c>
    </row>
    <row r="900" spans="2:5" ht="15" customHeight="1" x14ac:dyDescent="0.3">
      <c r="B900" s="44" t="str">
        <f>IF(OR(LINEAS!$D$29="",DATOS!$C$22="—",ABS(LINEAS!$AN$29*DATOS!$C$67)&lt;0.00005),"*",LINEAS!$D$29&amp;" UNI G"&amp;DATOS!$C$22&amp;" "&amp;TEXT(LINEAS!$AN$29*DATOS!$C$67,DATOS!$C$68))</f>
        <v>*</v>
      </c>
      <c r="C900" s="42" t="str">
        <f t="shared" si="26"/>
        <v/>
      </c>
      <c r="D900" s="44" t="str">
        <f>IF(PRESIONES!$C$22="NO","",IF(OR(LINEAS!$D$29="",DATOS!$C$22="—",ABS(LINEAS!$BD$29*DATOS!$C$67)&lt;0.00005),"*",LINEAS!$D$29&amp;" UNI G"&amp;DATOS!$C$22&amp;" "&amp;TEXT(LINEAS!$BD$29*DATOS!$C$67,DATOS!$C$68)))</f>
        <v/>
      </c>
      <c r="E900" s="42" t="str">
        <f t="shared" si="27"/>
        <v/>
      </c>
    </row>
    <row r="901" spans="2:5" ht="15" customHeight="1" x14ac:dyDescent="0.3">
      <c r="B901" s="44" t="str">
        <f>IF(OR(LINEAS!$D$30="",ABS(-LINEAS!$AF$30*DATOS!$C$67)&lt;0.00005),"*",LINEAS!$D$30&amp;" UNI GY "&amp;TEXT(-LINEAS!$AF$30*DATOS!$C$67,DATOS!$C$68))</f>
        <v>*</v>
      </c>
      <c r="C901" s="42" t="str">
        <f t="shared" si="26"/>
        <v/>
      </c>
      <c r="D901" s="44" t="str">
        <f>IF(PRESIONES!$C$22="NO","",IF(OR(LINEAS!$D$30="",ABS(-LINEAS!$AV$30*DATOS!$C$67)&lt;0.00005),"*",LINEAS!$D$30&amp;" UNI GY "&amp;TEXT(-LINEAS!$AV$30*DATOS!$C$67,DATOS!$C$68)))</f>
        <v/>
      </c>
      <c r="E901" s="42" t="str">
        <f t="shared" si="27"/>
        <v/>
      </c>
    </row>
    <row r="902" spans="2:5" ht="15" customHeight="1" x14ac:dyDescent="0.3">
      <c r="B902" s="44" t="str">
        <f>IF(OR(LINEAS!$D$30="",DATOS!$C$22="—",ABS(LINEAS!$AN$30*DATOS!$C$67)&lt;0.00005),"*",LINEAS!$D$30&amp;" UNI G"&amp;DATOS!$C$22&amp;" "&amp;TEXT(LINEAS!$AN$30*DATOS!$C$67,DATOS!$C$68))</f>
        <v>*</v>
      </c>
      <c r="C902" s="42" t="str">
        <f t="shared" si="26"/>
        <v/>
      </c>
      <c r="D902" s="44" t="str">
        <f>IF(PRESIONES!$C$22="NO","",IF(OR(LINEAS!$D$30="",DATOS!$C$22="—",ABS(LINEAS!$BD$30*DATOS!$C$67)&lt;0.00005),"*",LINEAS!$D$30&amp;" UNI G"&amp;DATOS!$C$22&amp;" "&amp;TEXT(LINEAS!$BD$30*DATOS!$C$67,DATOS!$C$68)))</f>
        <v/>
      </c>
      <c r="E902" s="42" t="str">
        <f t="shared" si="27"/>
        <v/>
      </c>
    </row>
    <row r="903" spans="2:5" ht="15" customHeight="1" x14ac:dyDescent="0.3">
      <c r="B903" s="44" t="str">
        <f>IF(OR(LINEAS!$D$31="",ABS(-LINEAS!$AF$31*DATOS!$C$67)&lt;0.00005),"*",LINEAS!$D$31&amp;" UNI GY "&amp;TEXT(-LINEAS!$AF$31*DATOS!$C$67,DATOS!$C$68))</f>
        <v>*</v>
      </c>
      <c r="C903" s="42" t="str">
        <f t="shared" si="26"/>
        <v/>
      </c>
      <c r="D903" s="44" t="str">
        <f>IF(PRESIONES!$C$22="NO","",IF(OR(LINEAS!$D$31="",ABS(-LINEAS!$AV$31*DATOS!$C$67)&lt;0.00005),"*",LINEAS!$D$31&amp;" UNI GY "&amp;TEXT(-LINEAS!$AV$31*DATOS!$C$67,DATOS!$C$68)))</f>
        <v/>
      </c>
      <c r="E903" s="42" t="str">
        <f t="shared" si="27"/>
        <v/>
      </c>
    </row>
    <row r="904" spans="2:5" ht="15" customHeight="1" x14ac:dyDescent="0.3">
      <c r="B904" s="44" t="str">
        <f>IF(OR(LINEAS!$D$31="",DATOS!$C$22="—",ABS(LINEAS!$AN$31*DATOS!$C$67)&lt;0.00005),"*",LINEAS!$D$31&amp;" UNI G"&amp;DATOS!$C$22&amp;" "&amp;TEXT(LINEAS!$AN$31*DATOS!$C$67,DATOS!$C$68))</f>
        <v>*</v>
      </c>
      <c r="C904" s="42" t="str">
        <f t="shared" si="26"/>
        <v/>
      </c>
      <c r="D904" s="44" t="str">
        <f>IF(PRESIONES!$C$22="NO","",IF(OR(LINEAS!$D$31="",DATOS!$C$22="—",ABS(LINEAS!$BD$31*DATOS!$C$67)&lt;0.00005),"*",LINEAS!$D$31&amp;" UNI G"&amp;DATOS!$C$22&amp;" "&amp;TEXT(LINEAS!$BD$31*DATOS!$C$67,DATOS!$C$68)))</f>
        <v/>
      </c>
      <c r="E904" s="42" t="str">
        <f t="shared" si="27"/>
        <v/>
      </c>
    </row>
    <row r="905" spans="2:5" ht="15" customHeight="1" x14ac:dyDescent="0.3">
      <c r="B905" s="44" t="str">
        <f>IF(OR(LINEAS!$D$32="",ABS(-LINEAS!$AF$32*DATOS!$C$67)&lt;0.00005),"*",LINEAS!$D$32&amp;" UNI GY "&amp;TEXT(-LINEAS!$AF$32*DATOS!$C$67,DATOS!$C$68))</f>
        <v>*</v>
      </c>
      <c r="C905" s="42" t="str">
        <f t="shared" ref="C905:C968" si="28">IF(LEN($B905)&gt;79,"MÁS DE 79 CARACTERES","")</f>
        <v/>
      </c>
      <c r="D905" s="44" t="str">
        <f>IF(PRESIONES!$C$22="NO","",IF(OR(LINEAS!$D$32="",ABS(-LINEAS!$AV$32*DATOS!$C$67)&lt;0.00005),"*",LINEAS!$D$32&amp;" UNI GY "&amp;TEXT(-LINEAS!$AV$32*DATOS!$C$67,DATOS!$C$68)))</f>
        <v/>
      </c>
      <c r="E905" s="42" t="str">
        <f t="shared" ref="E905:E968" si="29">IF(LEN($D905)&gt;79,"MÁS DE 79 CARACTERES","")</f>
        <v/>
      </c>
    </row>
    <row r="906" spans="2:5" ht="15" customHeight="1" x14ac:dyDescent="0.3">
      <c r="B906" s="44" t="str">
        <f>IF(OR(LINEAS!$D$32="",DATOS!$C$22="—",ABS(LINEAS!$AN$32*DATOS!$C$67)&lt;0.00005),"*",LINEAS!$D$32&amp;" UNI G"&amp;DATOS!$C$22&amp;" "&amp;TEXT(LINEAS!$AN$32*DATOS!$C$67,DATOS!$C$68))</f>
        <v>*</v>
      </c>
      <c r="C906" s="42" t="str">
        <f t="shared" si="28"/>
        <v/>
      </c>
      <c r="D906" s="44" t="str">
        <f>IF(PRESIONES!$C$22="NO","",IF(OR(LINEAS!$D$32="",DATOS!$C$22="—",ABS(LINEAS!$BD$32*DATOS!$C$67)&lt;0.00005),"*",LINEAS!$D$32&amp;" UNI G"&amp;DATOS!$C$22&amp;" "&amp;TEXT(LINEAS!$BD$32*DATOS!$C$67,DATOS!$C$68)))</f>
        <v/>
      </c>
      <c r="E906" s="42" t="str">
        <f t="shared" si="29"/>
        <v/>
      </c>
    </row>
    <row r="907" spans="2:5" ht="15" customHeight="1" x14ac:dyDescent="0.3">
      <c r="B907" s="44" t="str">
        <f>IF(OR(LINEAS!$D$33="",ABS(-LINEAS!$AF$33*DATOS!$C$67)&lt;0.00005),"*",LINEAS!$D$33&amp;" UNI GY "&amp;TEXT(-LINEAS!$AF$33*DATOS!$C$67,DATOS!$C$68))</f>
        <v>*</v>
      </c>
      <c r="C907" s="42" t="str">
        <f t="shared" si="28"/>
        <v/>
      </c>
      <c r="D907" s="44" t="str">
        <f>IF(PRESIONES!$C$22="NO","",IF(OR(LINEAS!$D$33="",ABS(-LINEAS!$AV$33*DATOS!$C$67)&lt;0.00005),"*",LINEAS!$D$33&amp;" UNI GY "&amp;TEXT(-LINEAS!$AV$33*DATOS!$C$67,DATOS!$C$68)))</f>
        <v/>
      </c>
      <c r="E907" s="42" t="str">
        <f t="shared" si="29"/>
        <v/>
      </c>
    </row>
    <row r="908" spans="2:5" ht="15" customHeight="1" x14ac:dyDescent="0.3">
      <c r="B908" s="44" t="str">
        <f>IF(OR(LINEAS!$D$33="",DATOS!$C$22="—",ABS(LINEAS!$AN$33*DATOS!$C$67)&lt;0.00005),"*",LINEAS!$D$33&amp;" UNI G"&amp;DATOS!$C$22&amp;" "&amp;TEXT(LINEAS!$AN$33*DATOS!$C$67,DATOS!$C$68))</f>
        <v>*</v>
      </c>
      <c r="C908" s="42" t="str">
        <f t="shared" si="28"/>
        <v/>
      </c>
      <c r="D908" s="44" t="str">
        <f>IF(PRESIONES!$C$22="NO","",IF(OR(LINEAS!$D$33="",DATOS!$C$22="—",ABS(LINEAS!$BD$33*DATOS!$C$67)&lt;0.00005),"*",LINEAS!$D$33&amp;" UNI G"&amp;DATOS!$C$22&amp;" "&amp;TEXT(LINEAS!$BD$33*DATOS!$C$67,DATOS!$C$68)))</f>
        <v/>
      </c>
      <c r="E908" s="42" t="str">
        <f t="shared" si="29"/>
        <v/>
      </c>
    </row>
    <row r="909" spans="2:5" ht="15" customHeight="1" x14ac:dyDescent="0.3">
      <c r="B909" s="44" t="str">
        <f>IF(OR(LINEAS!$D$34="",ABS(-LINEAS!$AF$34*DATOS!$C$67)&lt;0.00005),"*",LINEAS!$D$34&amp;" UNI GY "&amp;TEXT(-LINEAS!$AF$34*DATOS!$C$67,DATOS!$C$68))</f>
        <v>*</v>
      </c>
      <c r="C909" s="42" t="str">
        <f t="shared" si="28"/>
        <v/>
      </c>
      <c r="D909" s="44" t="str">
        <f>IF(PRESIONES!$C$22="NO","",IF(OR(LINEAS!$D$34="",ABS(-LINEAS!$AV$34*DATOS!$C$67)&lt;0.00005),"*",LINEAS!$D$34&amp;" UNI GY "&amp;TEXT(-LINEAS!$AV$34*DATOS!$C$67,DATOS!$C$68)))</f>
        <v/>
      </c>
      <c r="E909" s="42" t="str">
        <f t="shared" si="29"/>
        <v/>
      </c>
    </row>
    <row r="910" spans="2:5" ht="15" customHeight="1" x14ac:dyDescent="0.3">
      <c r="B910" s="44" t="str">
        <f>IF(OR(LINEAS!$D$34="",DATOS!$C$22="—",ABS(LINEAS!$AN$34*DATOS!$C$67)&lt;0.00005),"*",LINEAS!$D$34&amp;" UNI G"&amp;DATOS!$C$22&amp;" "&amp;TEXT(LINEAS!$AN$34*DATOS!$C$67,DATOS!$C$68))</f>
        <v>*</v>
      </c>
      <c r="C910" s="42" t="str">
        <f t="shared" si="28"/>
        <v/>
      </c>
      <c r="D910" s="44" t="str">
        <f>IF(PRESIONES!$C$22="NO","",IF(OR(LINEAS!$D$34="",DATOS!$C$22="—",ABS(LINEAS!$BD$34*DATOS!$C$67)&lt;0.00005),"*",LINEAS!$D$34&amp;" UNI G"&amp;DATOS!$C$22&amp;" "&amp;TEXT(LINEAS!$BD$34*DATOS!$C$67,DATOS!$C$68)))</f>
        <v/>
      </c>
      <c r="E910" s="42" t="str">
        <f t="shared" si="29"/>
        <v/>
      </c>
    </row>
    <row r="911" spans="2:5" ht="15" customHeight="1" x14ac:dyDescent="0.3">
      <c r="B911" s="44" t="str">
        <f>IF(OR(LINEAS!$D$35="",ABS(-LINEAS!$AF$35*DATOS!$C$67)&lt;0.00005),"*",LINEAS!$D$35&amp;" UNI GY "&amp;TEXT(-LINEAS!$AF$35*DATOS!$C$67,DATOS!$C$68))</f>
        <v>*</v>
      </c>
      <c r="C911" s="42" t="str">
        <f t="shared" si="28"/>
        <v/>
      </c>
      <c r="D911" s="44" t="str">
        <f>IF(PRESIONES!$C$22="NO","",IF(OR(LINEAS!$D$35="",ABS(-LINEAS!$AV$35*DATOS!$C$67)&lt;0.00005),"*",LINEAS!$D$35&amp;" UNI GY "&amp;TEXT(-LINEAS!$AV$35*DATOS!$C$67,DATOS!$C$68)))</f>
        <v/>
      </c>
      <c r="E911" s="42" t="str">
        <f t="shared" si="29"/>
        <v/>
      </c>
    </row>
    <row r="912" spans="2:5" ht="15" customHeight="1" x14ac:dyDescent="0.3">
      <c r="B912" s="44" t="str">
        <f>IF(OR(LINEAS!$D$35="",DATOS!$C$22="—",ABS(LINEAS!$AN$35*DATOS!$C$67)&lt;0.00005),"*",LINEAS!$D$35&amp;" UNI G"&amp;DATOS!$C$22&amp;" "&amp;TEXT(LINEAS!$AN$35*DATOS!$C$67,DATOS!$C$68))</f>
        <v>*</v>
      </c>
      <c r="C912" s="42" t="str">
        <f t="shared" si="28"/>
        <v/>
      </c>
      <c r="D912" s="44" t="str">
        <f>IF(PRESIONES!$C$22="NO","",IF(OR(LINEAS!$D$35="",DATOS!$C$22="—",ABS(LINEAS!$BD$35*DATOS!$C$67)&lt;0.00005),"*",LINEAS!$D$35&amp;" UNI G"&amp;DATOS!$C$22&amp;" "&amp;TEXT(LINEAS!$BD$35*DATOS!$C$67,DATOS!$C$68)))</f>
        <v/>
      </c>
      <c r="E912" s="42" t="str">
        <f t="shared" si="29"/>
        <v/>
      </c>
    </row>
    <row r="913" spans="2:5" ht="15" customHeight="1" x14ac:dyDescent="0.3">
      <c r="B913" s="44" t="str">
        <f>IF(OR(LINEAS!$D$36="",ABS(-LINEAS!$AF$36*DATOS!$C$67)&lt;0.00005),"*",LINEAS!$D$36&amp;" UNI GY "&amp;TEXT(-LINEAS!$AF$36*DATOS!$C$67,DATOS!$C$68))</f>
        <v>*</v>
      </c>
      <c r="C913" s="42" t="str">
        <f t="shared" si="28"/>
        <v/>
      </c>
      <c r="D913" s="44" t="str">
        <f>IF(PRESIONES!$C$22="NO","",IF(OR(LINEAS!$D$36="",ABS(-LINEAS!$AV$36*DATOS!$C$67)&lt;0.00005),"*",LINEAS!$D$36&amp;" UNI GY "&amp;TEXT(-LINEAS!$AV$36*DATOS!$C$67,DATOS!$C$68)))</f>
        <v/>
      </c>
      <c r="E913" s="42" t="str">
        <f t="shared" si="29"/>
        <v/>
      </c>
    </row>
    <row r="914" spans="2:5" ht="15" customHeight="1" x14ac:dyDescent="0.3">
      <c r="B914" s="44" t="str">
        <f>IF(OR(LINEAS!$D$36="",DATOS!$C$22="—",ABS(LINEAS!$AN$36*DATOS!$C$67)&lt;0.00005),"*",LINEAS!$D$36&amp;" UNI G"&amp;DATOS!$C$22&amp;" "&amp;TEXT(LINEAS!$AN$36*DATOS!$C$67,DATOS!$C$68))</f>
        <v>*</v>
      </c>
      <c r="C914" s="42" t="str">
        <f t="shared" si="28"/>
        <v/>
      </c>
      <c r="D914" s="44" t="str">
        <f>IF(PRESIONES!$C$22="NO","",IF(OR(LINEAS!$D$36="",DATOS!$C$22="—",ABS(LINEAS!$BD$36*DATOS!$C$67)&lt;0.00005),"*",LINEAS!$D$36&amp;" UNI G"&amp;DATOS!$C$22&amp;" "&amp;TEXT(LINEAS!$BD$36*DATOS!$C$67,DATOS!$C$68)))</f>
        <v/>
      </c>
      <c r="E914" s="42" t="str">
        <f t="shared" si="29"/>
        <v/>
      </c>
    </row>
    <row r="915" spans="2:5" ht="15" customHeight="1" x14ac:dyDescent="0.3">
      <c r="B915" s="44" t="str">
        <f>IF(OR(LINEAS!$D$37="",ABS(-LINEAS!$AF$37*DATOS!$C$67)&lt;0.00005),"*",LINEAS!$D$37&amp;" UNI GY "&amp;TEXT(-LINEAS!$AF$37*DATOS!$C$67,DATOS!$C$68))</f>
        <v>*</v>
      </c>
      <c r="C915" s="42" t="str">
        <f t="shared" si="28"/>
        <v/>
      </c>
      <c r="D915" s="44" t="str">
        <f>IF(PRESIONES!$C$22="NO","",IF(OR(LINEAS!$D$37="",ABS(-LINEAS!$AV$37*DATOS!$C$67)&lt;0.00005),"*",LINEAS!$D$37&amp;" UNI GY "&amp;TEXT(-LINEAS!$AV$37*DATOS!$C$67,DATOS!$C$68)))</f>
        <v/>
      </c>
      <c r="E915" s="42" t="str">
        <f t="shared" si="29"/>
        <v/>
      </c>
    </row>
    <row r="916" spans="2:5" ht="15" customHeight="1" x14ac:dyDescent="0.3">
      <c r="B916" s="44" t="str">
        <f>IF(OR(LINEAS!$D$37="",DATOS!$C$22="—",ABS(LINEAS!$AN$37*DATOS!$C$67)&lt;0.00005),"*",LINEAS!$D$37&amp;" UNI G"&amp;DATOS!$C$22&amp;" "&amp;TEXT(LINEAS!$AN$37*DATOS!$C$67,DATOS!$C$68))</f>
        <v>*</v>
      </c>
      <c r="C916" s="42" t="str">
        <f t="shared" si="28"/>
        <v/>
      </c>
      <c r="D916" s="44" t="str">
        <f>IF(PRESIONES!$C$22="NO","",IF(OR(LINEAS!$D$37="",DATOS!$C$22="—",ABS(LINEAS!$BD$37*DATOS!$C$67)&lt;0.00005),"*",LINEAS!$D$37&amp;" UNI G"&amp;DATOS!$C$22&amp;" "&amp;TEXT(LINEAS!$BD$37*DATOS!$C$67,DATOS!$C$68)))</f>
        <v/>
      </c>
      <c r="E916" s="42" t="str">
        <f t="shared" si="29"/>
        <v/>
      </c>
    </row>
    <row r="917" spans="2:5" ht="15" customHeight="1" x14ac:dyDescent="0.3">
      <c r="B917" s="44" t="str">
        <f>IF(OR(LINEAS!$D$38="",ABS(-LINEAS!$AF$38*DATOS!$C$67)&lt;0.00005),"*",LINEAS!$D$38&amp;" UNI GY "&amp;TEXT(-LINEAS!$AF$38*DATOS!$C$67,DATOS!$C$68))</f>
        <v>*</v>
      </c>
      <c r="C917" s="42" t="str">
        <f t="shared" si="28"/>
        <v/>
      </c>
      <c r="D917" s="44" t="str">
        <f>IF(PRESIONES!$C$22="NO","",IF(OR(LINEAS!$D$38="",ABS(-LINEAS!$AV$38*DATOS!$C$67)&lt;0.00005),"*",LINEAS!$D$38&amp;" UNI GY "&amp;TEXT(-LINEAS!$AV$38*DATOS!$C$67,DATOS!$C$68)))</f>
        <v/>
      </c>
      <c r="E917" s="42" t="str">
        <f t="shared" si="29"/>
        <v/>
      </c>
    </row>
    <row r="918" spans="2:5" ht="15" customHeight="1" x14ac:dyDescent="0.3">
      <c r="B918" s="44" t="str">
        <f>IF(OR(LINEAS!$D$38="",DATOS!$C$22="—",ABS(LINEAS!$AN$38*DATOS!$C$67)&lt;0.00005),"*",LINEAS!$D$38&amp;" UNI G"&amp;DATOS!$C$22&amp;" "&amp;TEXT(LINEAS!$AN$38*DATOS!$C$67,DATOS!$C$68))</f>
        <v>*</v>
      </c>
      <c r="C918" s="42" t="str">
        <f t="shared" si="28"/>
        <v/>
      </c>
      <c r="D918" s="44" t="str">
        <f>IF(PRESIONES!$C$22="NO","",IF(OR(LINEAS!$D$38="",DATOS!$C$22="—",ABS(LINEAS!$BD$38*DATOS!$C$67)&lt;0.00005),"*",LINEAS!$D$38&amp;" UNI G"&amp;DATOS!$C$22&amp;" "&amp;TEXT(LINEAS!$BD$38*DATOS!$C$67,DATOS!$C$68)))</f>
        <v/>
      </c>
      <c r="E918" s="42" t="str">
        <f t="shared" si="29"/>
        <v/>
      </c>
    </row>
    <row r="919" spans="2:5" ht="15" customHeight="1" x14ac:dyDescent="0.3">
      <c r="B919" s="44" t="str">
        <f>IF(OR(LINEAS!$D$45="",LINEAS!$U$45=0,ABS(IF(OR(LINEAS!$U$45=1,LINEAS!$U$45=3),1,-1)*LINEAS!$AF$45*DATOS!$C$67)&lt;0.00005),"*",LINEAS!$D$45&amp;" UNI "&amp;IF(LINEAS!$U$45&lt;=2,"GZ","GX")&amp;" "&amp;TEXT(IF(OR(LINEAS!$U$45=1,LINEAS!$U$45=3),1,-1)*LINEAS!$AF$45*DATOS!$C$67,DATOS!$C$68))</f>
        <v>261 UNI GX 0.7538</v>
      </c>
      <c r="C919" s="42" t="str">
        <f t="shared" si="28"/>
        <v/>
      </c>
      <c r="D919" s="44" t="str">
        <f>IF(PRESIONES!$C$22="NO","",IF(OR(LINEAS!$D$45="",LINEAS!$U$45=0,ABS(IF(OR(LINEAS!$U$45=1,LINEAS!$U$45=3),1,-1)*LINEAS!$AF$45*DATOS!$C$67)&lt;0.00005),"*",LINEAS!$D$45&amp;" UNI "&amp;IF(LINEAS!$U$45&lt;=2,"GZ","GX")&amp;" "&amp;TEXT(IF(OR(LINEAS!$U$45=1,LINEAS!$U$45=3),1,-1)*LINEAS!$AF$45*DATOS!$C$67,DATOS!$C$68)))</f>
        <v/>
      </c>
      <c r="E919" s="42" t="str">
        <f t="shared" si="29"/>
        <v/>
      </c>
    </row>
    <row r="920" spans="2:5" ht="15" customHeight="1" x14ac:dyDescent="0.3">
      <c r="B920" s="44" t="str">
        <f>IF(OR(LINEAS!$D$46="",LINEAS!$U$46=0,ABS(IF(OR(LINEAS!$U$46=1,LINEAS!$U$46=3),1,-1)*LINEAS!$AF$46*DATOS!$C$67)&lt;0.00005),"*",LINEAS!$D$46&amp;" UNI "&amp;IF(LINEAS!$U$46&lt;=2,"GZ","GX")&amp;" "&amp;TEXT(IF(OR(LINEAS!$U$46=1,LINEAS!$U$46=3),1,-1)*LINEAS!$AF$46*DATOS!$C$67,DATOS!$C$68))</f>
        <v>260 UNI GX 0.7538</v>
      </c>
      <c r="C920" s="42" t="str">
        <f t="shared" si="28"/>
        <v/>
      </c>
      <c r="D920" s="44" t="str">
        <f>IF(PRESIONES!$C$22="NO","",IF(OR(LINEAS!$D$46="",LINEAS!$U$46=0,ABS(IF(OR(LINEAS!$U$46=1,LINEAS!$U$46=3),1,-1)*LINEAS!$AF$46*DATOS!$C$67)&lt;0.00005),"*",LINEAS!$D$46&amp;" UNI "&amp;IF(LINEAS!$U$46&lt;=2,"GZ","GX")&amp;" "&amp;TEXT(IF(OR(LINEAS!$U$46=1,LINEAS!$U$46=3),1,-1)*LINEAS!$AF$46*DATOS!$C$67,DATOS!$C$68)))</f>
        <v/>
      </c>
      <c r="E920" s="42" t="str">
        <f t="shared" si="29"/>
        <v/>
      </c>
    </row>
    <row r="921" spans="2:5" ht="15" customHeight="1" x14ac:dyDescent="0.3">
      <c r="B921" s="44" t="str">
        <f>IF(OR(LINEAS!$D$47="",LINEAS!$U$47=0,ABS(IF(OR(LINEAS!$U$47=1,LINEAS!$U$47=3),1,-1)*LINEAS!$AF$47*DATOS!$C$67)&lt;0.00005),"*",LINEAS!$D$47&amp;" UNI "&amp;IF(LINEAS!$U$47&lt;=2,"GZ","GX")&amp;" "&amp;TEXT(IF(OR(LINEAS!$U$47=1,LINEAS!$U$47=3),1,-1)*LINEAS!$AF$47*DATOS!$C$67,DATOS!$C$68))</f>
        <v>259 UNI GX 0.7538</v>
      </c>
      <c r="C921" s="42" t="str">
        <f t="shared" si="28"/>
        <v/>
      </c>
      <c r="D921" s="44" t="str">
        <f>IF(PRESIONES!$C$22="NO","",IF(OR(LINEAS!$D$47="",LINEAS!$U$47=0,ABS(IF(OR(LINEAS!$U$47=1,LINEAS!$U$47=3),1,-1)*LINEAS!$AF$47*DATOS!$C$67)&lt;0.00005),"*",LINEAS!$D$47&amp;" UNI "&amp;IF(LINEAS!$U$47&lt;=2,"GZ","GX")&amp;" "&amp;TEXT(IF(OR(LINEAS!$U$47=1,LINEAS!$U$47=3),1,-1)*LINEAS!$AF$47*DATOS!$C$67,DATOS!$C$68)))</f>
        <v/>
      </c>
      <c r="E921" s="42" t="str">
        <f t="shared" si="29"/>
        <v/>
      </c>
    </row>
    <row r="922" spans="2:5" ht="15" customHeight="1" x14ac:dyDescent="0.3">
      <c r="B922" s="44" t="str">
        <f>IF(OR(LINEAS!$D$48="",LINEAS!$U$48=0,ABS(IF(OR(LINEAS!$U$48=1,LINEAS!$U$48=3),1,-1)*LINEAS!$AF$48*DATOS!$C$67)&lt;0.00005),"*",LINEAS!$D$48&amp;" UNI "&amp;IF(LINEAS!$U$48&lt;=2,"GZ","GX")&amp;" "&amp;TEXT(IF(OR(LINEAS!$U$48=1,LINEAS!$U$48=3),1,-1)*LINEAS!$AF$48*DATOS!$C$67,DATOS!$C$68))</f>
        <v>270 UNI GX 0.7538</v>
      </c>
      <c r="C922" s="42" t="str">
        <f t="shared" si="28"/>
        <v/>
      </c>
      <c r="D922" s="44" t="str">
        <f>IF(PRESIONES!$C$22="NO","",IF(OR(LINEAS!$D$48="",LINEAS!$U$48=0,ABS(IF(OR(LINEAS!$U$48=1,LINEAS!$U$48=3),1,-1)*LINEAS!$AF$48*DATOS!$C$67)&lt;0.00005),"*",LINEAS!$D$48&amp;" UNI "&amp;IF(LINEAS!$U$48&lt;=2,"GZ","GX")&amp;" "&amp;TEXT(IF(OR(LINEAS!$U$48=1,LINEAS!$U$48=3),1,-1)*LINEAS!$AF$48*DATOS!$C$67,DATOS!$C$68)))</f>
        <v/>
      </c>
      <c r="E922" s="42" t="str">
        <f t="shared" si="29"/>
        <v/>
      </c>
    </row>
    <row r="923" spans="2:5" ht="15" customHeight="1" x14ac:dyDescent="0.3">
      <c r="B923" s="44" t="str">
        <f>IF(OR(LINEAS!$D$49="",LINEAS!$U$49=0,ABS(IF(OR(LINEAS!$U$49=1,LINEAS!$U$49=3),1,-1)*LINEAS!$AF$49*DATOS!$C$67)&lt;0.00005),"*",LINEAS!$D$49&amp;" UNI "&amp;IF(LINEAS!$U$49&lt;=2,"GZ","GX")&amp;" "&amp;TEXT(IF(OR(LINEAS!$U$49=1,LINEAS!$U$49=3),1,-1)*LINEAS!$AF$49*DATOS!$C$67,DATOS!$C$68))</f>
        <v>269 UNI GX 0.7538</v>
      </c>
      <c r="C923" s="42" t="str">
        <f t="shared" si="28"/>
        <v/>
      </c>
      <c r="D923" s="44" t="str">
        <f>IF(PRESIONES!$C$22="NO","",IF(OR(LINEAS!$D$49="",LINEAS!$U$49=0,ABS(IF(OR(LINEAS!$U$49=1,LINEAS!$U$49=3),1,-1)*LINEAS!$AF$49*DATOS!$C$67)&lt;0.00005),"*",LINEAS!$D$49&amp;" UNI "&amp;IF(LINEAS!$U$49&lt;=2,"GZ","GX")&amp;" "&amp;TEXT(IF(OR(LINEAS!$U$49=1,LINEAS!$U$49=3),1,-1)*LINEAS!$AF$49*DATOS!$C$67,DATOS!$C$68)))</f>
        <v/>
      </c>
      <c r="E923" s="42" t="str">
        <f t="shared" si="29"/>
        <v/>
      </c>
    </row>
    <row r="924" spans="2:5" ht="15" customHeight="1" x14ac:dyDescent="0.3">
      <c r="B924" s="44" t="str">
        <f>IF(OR(LINEAS!$D$50="",LINEAS!$U$50=0,ABS(IF(OR(LINEAS!$U$50=1,LINEAS!$U$50=3),1,-1)*LINEAS!$AF$50*DATOS!$C$67)&lt;0.00005),"*",LINEAS!$D$50&amp;" UNI "&amp;IF(LINEAS!$U$50&lt;=2,"GZ","GX")&amp;" "&amp;TEXT(IF(OR(LINEAS!$U$50=1,LINEAS!$U$50=3),1,-1)*LINEAS!$AF$50*DATOS!$C$67,DATOS!$C$68))</f>
        <v>268 UNI GX 0.7538</v>
      </c>
      <c r="C924" s="42" t="str">
        <f t="shared" si="28"/>
        <v/>
      </c>
      <c r="D924" s="44" t="str">
        <f>IF(PRESIONES!$C$22="NO","",IF(OR(LINEAS!$D$50="",LINEAS!$U$50=0,ABS(IF(OR(LINEAS!$U$50=1,LINEAS!$U$50=3),1,-1)*LINEAS!$AF$50*DATOS!$C$67)&lt;0.00005),"*",LINEAS!$D$50&amp;" UNI "&amp;IF(LINEAS!$U$50&lt;=2,"GZ","GX")&amp;" "&amp;TEXT(IF(OR(LINEAS!$U$50=1,LINEAS!$U$50=3),1,-1)*LINEAS!$AF$50*DATOS!$C$67,DATOS!$C$68)))</f>
        <v/>
      </c>
      <c r="E924" s="42" t="str">
        <f t="shared" si="29"/>
        <v/>
      </c>
    </row>
    <row r="925" spans="2:5" ht="15" customHeight="1" x14ac:dyDescent="0.3">
      <c r="B925" s="44" t="str">
        <f>IF(OR(LINEAS!$D$51="",LINEAS!$U$51=0,ABS(IF(OR(LINEAS!$U$51=1,LINEAS!$U$51=3),1,-1)*LINEAS!$AF$51*DATOS!$C$67)&lt;0.00005),"*",LINEAS!$D$51&amp;" UNI "&amp;IF(LINEAS!$U$51&lt;=2,"GZ","GX")&amp;" "&amp;TEXT(IF(OR(LINEAS!$U$51=1,LINEAS!$U$51=3),1,-1)*LINEAS!$AF$51*DATOS!$C$67,DATOS!$C$68))</f>
        <v>279 UNI GX 0.7538</v>
      </c>
      <c r="C925" s="42" t="str">
        <f t="shared" si="28"/>
        <v/>
      </c>
      <c r="D925" s="44" t="str">
        <f>IF(PRESIONES!$C$22="NO","",IF(OR(LINEAS!$D$51="",LINEAS!$U$51=0,ABS(IF(OR(LINEAS!$U$51=1,LINEAS!$U$51=3),1,-1)*LINEAS!$AF$51*DATOS!$C$67)&lt;0.00005),"*",LINEAS!$D$51&amp;" UNI "&amp;IF(LINEAS!$U$51&lt;=2,"GZ","GX")&amp;" "&amp;TEXT(IF(OR(LINEAS!$U$51=1,LINEAS!$U$51=3),1,-1)*LINEAS!$AF$51*DATOS!$C$67,DATOS!$C$68)))</f>
        <v/>
      </c>
      <c r="E925" s="42" t="str">
        <f t="shared" si="29"/>
        <v/>
      </c>
    </row>
    <row r="926" spans="2:5" ht="15" customHeight="1" x14ac:dyDescent="0.3">
      <c r="B926" s="44" t="str">
        <f>IF(OR(LINEAS!$D$52="",LINEAS!$U$52=0,ABS(IF(OR(LINEAS!$U$52=1,LINEAS!$U$52=3),1,-1)*LINEAS!$AF$52*DATOS!$C$67)&lt;0.00005),"*",LINEAS!$D$52&amp;" UNI "&amp;IF(LINEAS!$U$52&lt;=2,"GZ","GX")&amp;" "&amp;TEXT(IF(OR(LINEAS!$U$52=1,LINEAS!$U$52=3),1,-1)*LINEAS!$AF$52*DATOS!$C$67,DATOS!$C$68))</f>
        <v>278 UNI GX 0.7538</v>
      </c>
      <c r="C926" s="42" t="str">
        <f t="shared" si="28"/>
        <v/>
      </c>
      <c r="D926" s="44" t="str">
        <f>IF(PRESIONES!$C$22="NO","",IF(OR(LINEAS!$D$52="",LINEAS!$U$52=0,ABS(IF(OR(LINEAS!$U$52=1,LINEAS!$U$52=3),1,-1)*LINEAS!$AF$52*DATOS!$C$67)&lt;0.00005),"*",LINEAS!$D$52&amp;" UNI "&amp;IF(LINEAS!$U$52&lt;=2,"GZ","GX")&amp;" "&amp;TEXT(IF(OR(LINEAS!$U$52=1,LINEAS!$U$52=3),1,-1)*LINEAS!$AF$52*DATOS!$C$67,DATOS!$C$68)))</f>
        <v/>
      </c>
      <c r="E926" s="42" t="str">
        <f t="shared" si="29"/>
        <v/>
      </c>
    </row>
    <row r="927" spans="2:5" ht="15" customHeight="1" x14ac:dyDescent="0.3">
      <c r="B927" s="44" t="str">
        <f>IF(OR(LINEAS!$D$53="",LINEAS!$U$53=0,ABS(IF(OR(LINEAS!$U$53=1,LINEAS!$U$53=3),1,-1)*LINEAS!$AF$53*DATOS!$C$67)&lt;0.00005),"*",LINEAS!$D$53&amp;" UNI "&amp;IF(LINEAS!$U$53&lt;=2,"GZ","GX")&amp;" "&amp;TEXT(IF(OR(LINEAS!$U$53=1,LINEAS!$U$53=3),1,-1)*LINEAS!$AF$53*DATOS!$C$67,DATOS!$C$68))</f>
        <v>277 UNI GX 0.7538</v>
      </c>
      <c r="C927" s="42" t="str">
        <f t="shared" si="28"/>
        <v/>
      </c>
      <c r="D927" s="44" t="str">
        <f>IF(PRESIONES!$C$22="NO","",IF(OR(LINEAS!$D$53="",LINEAS!$U$53=0,ABS(IF(OR(LINEAS!$U$53=1,LINEAS!$U$53=3),1,-1)*LINEAS!$AF$53*DATOS!$C$67)&lt;0.00005),"*",LINEAS!$D$53&amp;" UNI "&amp;IF(LINEAS!$U$53&lt;=2,"GZ","GX")&amp;" "&amp;TEXT(IF(OR(LINEAS!$U$53=1,LINEAS!$U$53=3),1,-1)*LINEAS!$AF$53*DATOS!$C$67,DATOS!$C$68)))</f>
        <v/>
      </c>
      <c r="E927" s="42" t="str">
        <f t="shared" si="29"/>
        <v/>
      </c>
    </row>
    <row r="928" spans="2:5" ht="15" customHeight="1" x14ac:dyDescent="0.3">
      <c r="B928" s="44" t="str">
        <f>IF(OR(LINEAS!$D$54="",LINEAS!$U$54=0,ABS(IF(OR(LINEAS!$U$54=1,LINEAS!$U$54=3),1,-1)*LINEAS!$AF$54*DATOS!$C$67)&lt;0.00005),"*",LINEAS!$D$54&amp;" UNI "&amp;IF(LINEAS!$U$54&lt;=2,"GZ","GX")&amp;" "&amp;TEXT(IF(OR(LINEAS!$U$54=1,LINEAS!$U$54=3),1,-1)*LINEAS!$AF$54*DATOS!$C$67,DATOS!$C$68))</f>
        <v>289 UNI GX 0.7538</v>
      </c>
      <c r="C928" s="42" t="str">
        <f t="shared" si="28"/>
        <v/>
      </c>
      <c r="D928" s="44" t="str">
        <f>IF(PRESIONES!$C$22="NO","",IF(OR(LINEAS!$D$54="",LINEAS!$U$54=0,ABS(IF(OR(LINEAS!$U$54=1,LINEAS!$U$54=3),1,-1)*LINEAS!$AF$54*DATOS!$C$67)&lt;0.00005),"*",LINEAS!$D$54&amp;" UNI "&amp;IF(LINEAS!$U$54&lt;=2,"GZ","GX")&amp;" "&amp;TEXT(IF(OR(LINEAS!$U$54=1,LINEAS!$U$54=3),1,-1)*LINEAS!$AF$54*DATOS!$C$67,DATOS!$C$68)))</f>
        <v/>
      </c>
      <c r="E928" s="42" t="str">
        <f t="shared" si="29"/>
        <v/>
      </c>
    </row>
    <row r="929" spans="2:5" ht="15" customHeight="1" x14ac:dyDescent="0.3">
      <c r="B929" s="44" t="str">
        <f>IF(OR(LINEAS!$D$55="",LINEAS!$U$55=0,ABS(IF(OR(LINEAS!$U$55=1,LINEAS!$U$55=3),1,-1)*LINEAS!$AF$55*DATOS!$C$67)&lt;0.00005),"*",LINEAS!$D$55&amp;" UNI "&amp;IF(LINEAS!$U$55&lt;=2,"GZ","GX")&amp;" "&amp;TEXT(IF(OR(LINEAS!$U$55=1,LINEAS!$U$55=3),1,-1)*LINEAS!$AF$55*DATOS!$C$67,DATOS!$C$68))</f>
        <v>288 UNI GX 0.7538</v>
      </c>
      <c r="C929" s="42" t="str">
        <f t="shared" si="28"/>
        <v/>
      </c>
      <c r="D929" s="44" t="str">
        <f>IF(PRESIONES!$C$22="NO","",IF(OR(LINEAS!$D$55="",LINEAS!$U$55=0,ABS(IF(OR(LINEAS!$U$55=1,LINEAS!$U$55=3),1,-1)*LINEAS!$AF$55*DATOS!$C$67)&lt;0.00005),"*",LINEAS!$D$55&amp;" UNI "&amp;IF(LINEAS!$U$55&lt;=2,"GZ","GX")&amp;" "&amp;TEXT(IF(OR(LINEAS!$U$55=1,LINEAS!$U$55=3),1,-1)*LINEAS!$AF$55*DATOS!$C$67,DATOS!$C$68)))</f>
        <v/>
      </c>
      <c r="E929" s="42" t="str">
        <f t="shared" si="29"/>
        <v/>
      </c>
    </row>
    <row r="930" spans="2:5" ht="15" customHeight="1" x14ac:dyDescent="0.3">
      <c r="B930" s="44" t="str">
        <f>IF(OR(LINEAS!$D$56="",LINEAS!$U$56=0,ABS(IF(OR(LINEAS!$U$56=1,LINEAS!$U$56=3),1,-1)*LINEAS!$AF$56*DATOS!$C$67)&lt;0.00005),"*",LINEAS!$D$56&amp;" UNI "&amp;IF(LINEAS!$U$56&lt;=2,"GZ","GX")&amp;" "&amp;TEXT(IF(OR(LINEAS!$U$56=1,LINEAS!$U$56=3),1,-1)*LINEAS!$AF$56*DATOS!$C$67,DATOS!$C$68))</f>
        <v>287 UNI GX 0.7538</v>
      </c>
      <c r="C930" s="42" t="str">
        <f t="shared" si="28"/>
        <v/>
      </c>
      <c r="D930" s="44" t="str">
        <f>IF(PRESIONES!$C$22="NO","",IF(OR(LINEAS!$D$56="",LINEAS!$U$56=0,ABS(IF(OR(LINEAS!$U$56=1,LINEAS!$U$56=3),1,-1)*LINEAS!$AF$56*DATOS!$C$67)&lt;0.00005),"*",LINEAS!$D$56&amp;" UNI "&amp;IF(LINEAS!$U$56&lt;=2,"GZ","GX")&amp;" "&amp;TEXT(IF(OR(LINEAS!$U$56=1,LINEAS!$U$56=3),1,-1)*LINEAS!$AF$56*DATOS!$C$67,DATOS!$C$68)))</f>
        <v/>
      </c>
      <c r="E930" s="42" t="str">
        <f t="shared" si="29"/>
        <v/>
      </c>
    </row>
    <row r="931" spans="2:5" ht="15" customHeight="1" x14ac:dyDescent="0.3">
      <c r="B931" s="44" t="str">
        <f>IF(OR(LINEAS!$D$57="",LINEAS!$U$57=0,ABS(IF(OR(LINEAS!$U$57=1,LINEAS!$U$57=3),1,-1)*LINEAS!$AF$57*DATOS!$C$67)&lt;0.00005),"*",LINEAS!$D$57&amp;" UNI "&amp;IF(LINEAS!$U$57&lt;=2,"GZ","GX")&amp;" "&amp;TEXT(IF(OR(LINEAS!$U$57=1,LINEAS!$U$57=3),1,-1)*LINEAS!$AF$57*DATOS!$C$67,DATOS!$C$68))</f>
        <v>297 UNI GX 0.7538</v>
      </c>
      <c r="C931" s="42" t="str">
        <f t="shared" si="28"/>
        <v/>
      </c>
      <c r="D931" s="44" t="str">
        <f>IF(PRESIONES!$C$22="NO","",IF(OR(LINEAS!$D$57="",LINEAS!$U$57=0,ABS(IF(OR(LINEAS!$U$57=1,LINEAS!$U$57=3),1,-1)*LINEAS!$AF$57*DATOS!$C$67)&lt;0.00005),"*",LINEAS!$D$57&amp;" UNI "&amp;IF(LINEAS!$U$57&lt;=2,"GZ","GX")&amp;" "&amp;TEXT(IF(OR(LINEAS!$U$57=1,LINEAS!$U$57=3),1,-1)*LINEAS!$AF$57*DATOS!$C$67,DATOS!$C$68)))</f>
        <v/>
      </c>
      <c r="E931" s="42" t="str">
        <f t="shared" si="29"/>
        <v/>
      </c>
    </row>
    <row r="932" spans="2:5" ht="15" customHeight="1" x14ac:dyDescent="0.3">
      <c r="B932" s="44" t="str">
        <f>IF(OR(LINEAS!$D$58="",LINEAS!$U$58=0,ABS(IF(OR(LINEAS!$U$58=1,LINEAS!$U$58=3),1,-1)*LINEAS!$AF$58*DATOS!$C$67)&lt;0.00005),"*",LINEAS!$D$58&amp;" UNI "&amp;IF(LINEAS!$U$58&lt;=2,"GZ","GX")&amp;" "&amp;TEXT(IF(OR(LINEAS!$U$58=1,LINEAS!$U$58=3),1,-1)*LINEAS!$AF$58*DATOS!$C$67,DATOS!$C$68))</f>
        <v>296 UNI GX 0.7538</v>
      </c>
      <c r="C932" s="42" t="str">
        <f t="shared" si="28"/>
        <v/>
      </c>
      <c r="D932" s="44" t="str">
        <f>IF(PRESIONES!$C$22="NO","",IF(OR(LINEAS!$D$58="",LINEAS!$U$58=0,ABS(IF(OR(LINEAS!$U$58=1,LINEAS!$U$58=3),1,-1)*LINEAS!$AF$58*DATOS!$C$67)&lt;0.00005),"*",LINEAS!$D$58&amp;" UNI "&amp;IF(LINEAS!$U$58&lt;=2,"GZ","GX")&amp;" "&amp;TEXT(IF(OR(LINEAS!$U$58=1,LINEAS!$U$58=3),1,-1)*LINEAS!$AF$58*DATOS!$C$67,DATOS!$C$68)))</f>
        <v/>
      </c>
      <c r="E932" s="42" t="str">
        <f t="shared" si="29"/>
        <v/>
      </c>
    </row>
    <row r="933" spans="2:5" ht="15" customHeight="1" x14ac:dyDescent="0.3">
      <c r="B933" s="44" t="str">
        <f>IF(OR(LINEAS!$D$59="",LINEAS!$U$59=0,ABS(IF(OR(LINEAS!$U$59=1,LINEAS!$U$59=3),1,-1)*LINEAS!$AF$59*DATOS!$C$67)&lt;0.00005),"*",LINEAS!$D$59&amp;" UNI "&amp;IF(LINEAS!$U$59&lt;=2,"GZ","GX")&amp;" "&amp;TEXT(IF(OR(LINEAS!$U$59=1,LINEAS!$U$59=3),1,-1)*LINEAS!$AF$59*DATOS!$C$67,DATOS!$C$68))</f>
        <v>295 UNI GX 0.7538</v>
      </c>
      <c r="C933" s="42" t="str">
        <f t="shared" si="28"/>
        <v/>
      </c>
      <c r="D933" s="44" t="str">
        <f>IF(PRESIONES!$C$22="NO","",IF(OR(LINEAS!$D$59="",LINEAS!$U$59=0,ABS(IF(OR(LINEAS!$U$59=1,LINEAS!$U$59=3),1,-1)*LINEAS!$AF$59*DATOS!$C$67)&lt;0.00005),"*",LINEAS!$D$59&amp;" UNI "&amp;IF(LINEAS!$U$59&lt;=2,"GZ","GX")&amp;" "&amp;TEXT(IF(OR(LINEAS!$U$59=1,LINEAS!$U$59=3),1,-1)*LINEAS!$AF$59*DATOS!$C$67,DATOS!$C$68)))</f>
        <v/>
      </c>
      <c r="E933" s="42" t="str">
        <f t="shared" si="29"/>
        <v/>
      </c>
    </row>
    <row r="934" spans="2:5" ht="15" customHeight="1" x14ac:dyDescent="0.3">
      <c r="B934" s="44" t="str">
        <f>IF(OR(LINEAS!$D$60="",LINEAS!$U$60=0,ABS(IF(OR(LINEAS!$U$60=1,LINEAS!$U$60=3),1,-1)*LINEAS!$AF$60*DATOS!$C$67)&lt;0.00005),"*",LINEAS!$D$60&amp;" UNI "&amp;IF(LINEAS!$U$60&lt;=2,"GZ","GX")&amp;" "&amp;TEXT(IF(OR(LINEAS!$U$60=1,LINEAS!$U$60=3),1,-1)*LINEAS!$AF$60*DATOS!$C$67,DATOS!$C$68))</f>
        <v>305 UNI GX 0.7538</v>
      </c>
      <c r="C934" s="42" t="str">
        <f t="shared" si="28"/>
        <v/>
      </c>
      <c r="D934" s="44" t="str">
        <f>IF(PRESIONES!$C$22="NO","",IF(OR(LINEAS!$D$60="",LINEAS!$U$60=0,ABS(IF(OR(LINEAS!$U$60=1,LINEAS!$U$60=3),1,-1)*LINEAS!$AF$60*DATOS!$C$67)&lt;0.00005),"*",LINEAS!$D$60&amp;" UNI "&amp;IF(LINEAS!$U$60&lt;=2,"GZ","GX")&amp;" "&amp;TEXT(IF(OR(LINEAS!$U$60=1,LINEAS!$U$60=3),1,-1)*LINEAS!$AF$60*DATOS!$C$67,DATOS!$C$68)))</f>
        <v/>
      </c>
      <c r="E934" s="42" t="str">
        <f t="shared" si="29"/>
        <v/>
      </c>
    </row>
    <row r="935" spans="2:5" ht="15" customHeight="1" x14ac:dyDescent="0.3">
      <c r="B935" s="44" t="str">
        <f>IF(OR(LINEAS!$D$61="",LINEAS!$U$61=0,ABS(IF(OR(LINEAS!$U$61=1,LINEAS!$U$61=3),1,-1)*LINEAS!$AF$61*DATOS!$C$67)&lt;0.00005),"*",LINEAS!$D$61&amp;" UNI "&amp;IF(LINEAS!$U$61&lt;=2,"GZ","GX")&amp;" "&amp;TEXT(IF(OR(LINEAS!$U$61=1,LINEAS!$U$61=3),1,-1)*LINEAS!$AF$61*DATOS!$C$67,DATOS!$C$68))</f>
        <v>304 UNI GX 0.7538</v>
      </c>
      <c r="C935" s="42" t="str">
        <f t="shared" si="28"/>
        <v/>
      </c>
      <c r="D935" s="44" t="str">
        <f>IF(PRESIONES!$C$22="NO","",IF(OR(LINEAS!$D$61="",LINEAS!$U$61=0,ABS(IF(OR(LINEAS!$U$61=1,LINEAS!$U$61=3),1,-1)*LINEAS!$AF$61*DATOS!$C$67)&lt;0.00005),"*",LINEAS!$D$61&amp;" UNI "&amp;IF(LINEAS!$U$61&lt;=2,"GZ","GX")&amp;" "&amp;TEXT(IF(OR(LINEAS!$U$61=1,LINEAS!$U$61=3),1,-1)*LINEAS!$AF$61*DATOS!$C$67,DATOS!$C$68)))</f>
        <v/>
      </c>
      <c r="E935" s="42" t="str">
        <f t="shared" si="29"/>
        <v/>
      </c>
    </row>
    <row r="936" spans="2:5" ht="15" customHeight="1" x14ac:dyDescent="0.3">
      <c r="B936" s="44" t="str">
        <f>IF(OR(LINEAS!$D$62="",LINEAS!$U$62=0,ABS(IF(OR(LINEAS!$U$62=1,LINEAS!$U$62=3),1,-1)*LINEAS!$AF$62*DATOS!$C$67)&lt;0.00005),"*",LINEAS!$D$62&amp;" UNI "&amp;IF(LINEAS!$U$62&lt;=2,"GZ","GX")&amp;" "&amp;TEXT(IF(OR(LINEAS!$U$62=1,LINEAS!$U$62=3),1,-1)*LINEAS!$AF$62*DATOS!$C$67,DATOS!$C$68))</f>
        <v>303 UNI GX 0.7538</v>
      </c>
      <c r="C936" s="42" t="str">
        <f t="shared" si="28"/>
        <v/>
      </c>
      <c r="D936" s="44" t="str">
        <f>IF(PRESIONES!$C$22="NO","",IF(OR(LINEAS!$D$62="",LINEAS!$U$62=0,ABS(IF(OR(LINEAS!$U$62=1,LINEAS!$U$62=3),1,-1)*LINEAS!$AF$62*DATOS!$C$67)&lt;0.00005),"*",LINEAS!$D$62&amp;" UNI "&amp;IF(LINEAS!$U$62&lt;=2,"GZ","GX")&amp;" "&amp;TEXT(IF(OR(LINEAS!$U$62=1,LINEAS!$U$62=3),1,-1)*LINEAS!$AF$62*DATOS!$C$67,DATOS!$C$68)))</f>
        <v/>
      </c>
      <c r="E936" s="42" t="str">
        <f t="shared" si="29"/>
        <v/>
      </c>
    </row>
    <row r="937" spans="2:5" ht="15" customHeight="1" x14ac:dyDescent="0.3">
      <c r="B937" s="44" t="str">
        <f>IF(OR(LINEAS!$D$63="",LINEAS!$U$63=0,ABS(IF(OR(LINEAS!$U$63=1,LINEAS!$U$63=3),1,-1)*LINEAS!$AF$63*DATOS!$C$67)&lt;0.00005),"*",LINEAS!$D$63&amp;" UNI "&amp;IF(LINEAS!$U$63&lt;=2,"GZ","GX")&amp;" "&amp;TEXT(IF(OR(LINEAS!$U$63=1,LINEAS!$U$63=3),1,-1)*LINEAS!$AF$63*DATOS!$C$67,DATOS!$C$68))</f>
        <v>314 UNI GX 0.7538</v>
      </c>
      <c r="C937" s="42" t="str">
        <f t="shared" si="28"/>
        <v/>
      </c>
      <c r="D937" s="44" t="str">
        <f>IF(PRESIONES!$C$22="NO","",IF(OR(LINEAS!$D$63="",LINEAS!$U$63=0,ABS(IF(OR(LINEAS!$U$63=1,LINEAS!$U$63=3),1,-1)*LINEAS!$AF$63*DATOS!$C$67)&lt;0.00005),"*",LINEAS!$D$63&amp;" UNI "&amp;IF(LINEAS!$U$63&lt;=2,"GZ","GX")&amp;" "&amp;TEXT(IF(OR(LINEAS!$U$63=1,LINEAS!$U$63=3),1,-1)*LINEAS!$AF$63*DATOS!$C$67,DATOS!$C$68)))</f>
        <v/>
      </c>
      <c r="E937" s="42" t="str">
        <f t="shared" si="29"/>
        <v/>
      </c>
    </row>
    <row r="938" spans="2:5" ht="15" customHeight="1" x14ac:dyDescent="0.3">
      <c r="B938" s="44" t="str">
        <f>IF(OR(LINEAS!$D$64="",LINEAS!$U$64=0,ABS(IF(OR(LINEAS!$U$64=1,LINEAS!$U$64=3),1,-1)*LINEAS!$AF$64*DATOS!$C$67)&lt;0.00005),"*",LINEAS!$D$64&amp;" UNI "&amp;IF(LINEAS!$U$64&lt;=2,"GZ","GX")&amp;" "&amp;TEXT(IF(OR(LINEAS!$U$64=1,LINEAS!$U$64=3),1,-1)*LINEAS!$AF$64*DATOS!$C$67,DATOS!$C$68))</f>
        <v>313 UNI GX 0.7538</v>
      </c>
      <c r="C938" s="42" t="str">
        <f t="shared" si="28"/>
        <v/>
      </c>
      <c r="D938" s="44" t="str">
        <f>IF(PRESIONES!$C$22="NO","",IF(OR(LINEAS!$D$64="",LINEAS!$U$64=0,ABS(IF(OR(LINEAS!$U$64=1,LINEAS!$U$64=3),1,-1)*LINEAS!$AF$64*DATOS!$C$67)&lt;0.00005),"*",LINEAS!$D$64&amp;" UNI "&amp;IF(LINEAS!$U$64&lt;=2,"GZ","GX")&amp;" "&amp;TEXT(IF(OR(LINEAS!$U$64=1,LINEAS!$U$64=3),1,-1)*LINEAS!$AF$64*DATOS!$C$67,DATOS!$C$68)))</f>
        <v/>
      </c>
      <c r="E938" s="42" t="str">
        <f t="shared" si="29"/>
        <v/>
      </c>
    </row>
    <row r="939" spans="2:5" ht="15" customHeight="1" x14ac:dyDescent="0.3">
      <c r="B939" s="44" t="str">
        <f>IF(OR(LINEAS!$D$65="",LINEAS!$U$65=0,ABS(IF(OR(LINEAS!$U$65=1,LINEAS!$U$65=3),1,-1)*LINEAS!$AF$65*DATOS!$C$67)&lt;0.00005),"*",LINEAS!$D$65&amp;" UNI "&amp;IF(LINEAS!$U$65&lt;=2,"GZ","GX")&amp;" "&amp;TEXT(IF(OR(LINEAS!$U$65=1,LINEAS!$U$65=3),1,-1)*LINEAS!$AF$65*DATOS!$C$67,DATOS!$C$68))</f>
        <v>312 UNI GX 0.7538</v>
      </c>
      <c r="C939" s="42" t="str">
        <f t="shared" si="28"/>
        <v/>
      </c>
      <c r="D939" s="44" t="str">
        <f>IF(PRESIONES!$C$22="NO","",IF(OR(LINEAS!$D$65="",LINEAS!$U$65=0,ABS(IF(OR(LINEAS!$U$65=1,LINEAS!$U$65=3),1,-1)*LINEAS!$AF$65*DATOS!$C$67)&lt;0.00005),"*",LINEAS!$D$65&amp;" UNI "&amp;IF(LINEAS!$U$65&lt;=2,"GZ","GX")&amp;" "&amp;TEXT(IF(OR(LINEAS!$U$65=1,LINEAS!$U$65=3),1,-1)*LINEAS!$AF$65*DATOS!$C$67,DATOS!$C$68)))</f>
        <v/>
      </c>
      <c r="E939" s="42" t="str">
        <f t="shared" si="29"/>
        <v/>
      </c>
    </row>
    <row r="940" spans="2:5" ht="15" customHeight="1" x14ac:dyDescent="0.3">
      <c r="B940" s="44" t="str">
        <f>IF(OR(LINEAS!$D$66="",LINEAS!$U$66=0,ABS(IF(OR(LINEAS!$U$66=1,LINEAS!$U$66=3),1,-1)*LINEAS!$AF$66*DATOS!$C$67)&lt;0.00005),"*",LINEAS!$D$66&amp;" UNI "&amp;IF(LINEAS!$U$66&lt;=2,"GZ","GX")&amp;" "&amp;TEXT(IF(OR(LINEAS!$U$66=1,LINEAS!$U$66=3),1,-1)*LINEAS!$AF$66*DATOS!$C$67,DATOS!$C$68))</f>
        <v>317 UNI GX 0.6451</v>
      </c>
      <c r="C940" s="42" t="str">
        <f t="shared" si="28"/>
        <v/>
      </c>
      <c r="D940" s="44" t="str">
        <f>IF(PRESIONES!$C$22="NO","",IF(OR(LINEAS!$D$66="",LINEAS!$U$66=0,ABS(IF(OR(LINEAS!$U$66=1,LINEAS!$U$66=3),1,-1)*LINEAS!$AF$66*DATOS!$C$67)&lt;0.00005),"*",LINEAS!$D$66&amp;" UNI "&amp;IF(LINEAS!$U$66&lt;=2,"GZ","GX")&amp;" "&amp;TEXT(IF(OR(LINEAS!$U$66=1,LINEAS!$U$66=3),1,-1)*LINEAS!$AF$66*DATOS!$C$67,DATOS!$C$68)))</f>
        <v/>
      </c>
      <c r="E940" s="42" t="str">
        <f t="shared" si="29"/>
        <v/>
      </c>
    </row>
    <row r="941" spans="2:5" ht="15" customHeight="1" x14ac:dyDescent="0.3">
      <c r="B941" s="44" t="str">
        <f>IF(OR(LINEAS!$D$67="",LINEAS!$U$67=0,ABS(IF(OR(LINEAS!$U$67=1,LINEAS!$U$67=3),1,-1)*LINEAS!$AF$67*DATOS!$C$67)&lt;0.00005),"*",LINEAS!$D$67&amp;" UNI "&amp;IF(LINEAS!$U$67&lt;=2,"GZ","GX")&amp;" "&amp;TEXT(IF(OR(LINEAS!$U$67=1,LINEAS!$U$67=3),1,-1)*LINEAS!$AF$67*DATOS!$C$67,DATOS!$C$68))</f>
        <v>316 UNI GX 0.5371</v>
      </c>
      <c r="C941" s="42" t="str">
        <f t="shared" si="28"/>
        <v/>
      </c>
      <c r="D941" s="44" t="str">
        <f>IF(PRESIONES!$C$22="NO","",IF(OR(LINEAS!$D$67="",LINEAS!$U$67=0,ABS(IF(OR(LINEAS!$U$67=1,LINEAS!$U$67=3),1,-1)*LINEAS!$AF$67*DATOS!$C$67)&lt;0.00005),"*",LINEAS!$D$67&amp;" UNI "&amp;IF(LINEAS!$U$67&lt;=2,"GZ","GX")&amp;" "&amp;TEXT(IF(OR(LINEAS!$U$67=1,LINEAS!$U$67=3),1,-1)*LINEAS!$AF$67*DATOS!$C$67,DATOS!$C$68)))</f>
        <v/>
      </c>
      <c r="E941" s="42" t="str">
        <f t="shared" si="29"/>
        <v/>
      </c>
    </row>
    <row r="942" spans="2:5" ht="15" customHeight="1" x14ac:dyDescent="0.3">
      <c r="B942" s="44" t="str">
        <f>IF(OR(LINEAS!$D$68="",LINEAS!$U$68=0,ABS(IF(OR(LINEAS!$U$68=1,LINEAS!$U$68=3),1,-1)*LINEAS!$AF$68*DATOS!$C$67)&lt;0.00005),"*",LINEAS!$D$68&amp;" UNI "&amp;IF(LINEAS!$U$68&lt;=2,"GZ","GX")&amp;" "&amp;TEXT(IF(OR(LINEAS!$U$68=1,LINEAS!$U$68=3),1,-1)*LINEAS!$AF$68*DATOS!$C$67,DATOS!$C$68))</f>
        <v>315 UNI GX 0.4648</v>
      </c>
      <c r="C942" s="42" t="str">
        <f t="shared" si="28"/>
        <v/>
      </c>
      <c r="D942" s="44" t="str">
        <f>IF(PRESIONES!$C$22="NO","",IF(OR(LINEAS!$D$68="",LINEAS!$U$68=0,ABS(IF(OR(LINEAS!$U$68=1,LINEAS!$U$68=3),1,-1)*LINEAS!$AF$68*DATOS!$C$67)&lt;0.00005),"*",LINEAS!$D$68&amp;" UNI "&amp;IF(LINEAS!$U$68&lt;=2,"GZ","GX")&amp;" "&amp;TEXT(IF(OR(LINEAS!$U$68=1,LINEAS!$U$68=3),1,-1)*LINEAS!$AF$68*DATOS!$C$67,DATOS!$C$68)))</f>
        <v/>
      </c>
      <c r="E942" s="42" t="str">
        <f t="shared" si="29"/>
        <v/>
      </c>
    </row>
    <row r="943" spans="2:5" ht="15" customHeight="1" x14ac:dyDescent="0.3">
      <c r="B943" s="44" t="str">
        <f>IF(OR(LINEAS!$D$69="",LINEAS!$U$69=0,ABS(IF(OR(LINEAS!$U$69=1,LINEAS!$U$69=3),1,-1)*LINEAS!$AF$69*DATOS!$C$67)&lt;0.00005),"*",LINEAS!$D$69&amp;" UNI "&amp;IF(LINEAS!$U$69&lt;=2,"GZ","GX")&amp;" "&amp;TEXT(IF(OR(LINEAS!$U$69=1,LINEAS!$U$69=3),1,-1)*LINEAS!$AF$69*DATOS!$C$67,DATOS!$C$68))</f>
        <v>265 UNI GX -0.0050</v>
      </c>
      <c r="C943" s="42" t="str">
        <f t="shared" si="28"/>
        <v/>
      </c>
      <c r="D943" s="44" t="str">
        <f>IF(PRESIONES!$C$22="NO","",IF(OR(LINEAS!$D$69="",LINEAS!$U$69=0,ABS(IF(OR(LINEAS!$U$69=1,LINEAS!$U$69=3),1,-1)*LINEAS!$AF$69*DATOS!$C$67)&lt;0.00005),"*",LINEAS!$D$69&amp;" UNI "&amp;IF(LINEAS!$U$69&lt;=2,"GZ","GX")&amp;" "&amp;TEXT(IF(OR(LINEAS!$U$69=1,LINEAS!$U$69=3),1,-1)*LINEAS!$AF$69*DATOS!$C$67,DATOS!$C$68)))</f>
        <v/>
      </c>
      <c r="E943" s="42" t="str">
        <f t="shared" si="29"/>
        <v/>
      </c>
    </row>
    <row r="944" spans="2:5" ht="15" customHeight="1" x14ac:dyDescent="0.3">
      <c r="B944" s="44" t="str">
        <f>IF(OR(LINEAS!$D$70="",LINEAS!$U$70=0,ABS(IF(OR(LINEAS!$U$70=1,LINEAS!$U$70=3),1,-1)*LINEAS!$AF$70*DATOS!$C$67)&lt;0.00005),"*",LINEAS!$D$70&amp;" UNI "&amp;IF(LINEAS!$U$70&lt;=2,"GZ","GX")&amp;" "&amp;TEXT(IF(OR(LINEAS!$U$70=1,LINEAS!$U$70=3),1,-1)*LINEAS!$AF$70*DATOS!$C$67,DATOS!$C$68))</f>
        <v>266 UNI GX -0.0050</v>
      </c>
      <c r="C944" s="42" t="str">
        <f t="shared" si="28"/>
        <v/>
      </c>
      <c r="D944" s="44" t="str">
        <f>IF(PRESIONES!$C$22="NO","",IF(OR(LINEAS!$D$70="",LINEAS!$U$70=0,ABS(IF(OR(LINEAS!$U$70=1,LINEAS!$U$70=3),1,-1)*LINEAS!$AF$70*DATOS!$C$67)&lt;0.00005),"*",LINEAS!$D$70&amp;" UNI "&amp;IF(LINEAS!$U$70&lt;=2,"GZ","GX")&amp;" "&amp;TEXT(IF(OR(LINEAS!$U$70=1,LINEAS!$U$70=3),1,-1)*LINEAS!$AF$70*DATOS!$C$67,DATOS!$C$68)))</f>
        <v/>
      </c>
      <c r="E944" s="42" t="str">
        <f t="shared" si="29"/>
        <v/>
      </c>
    </row>
    <row r="945" spans="2:5" ht="15" customHeight="1" x14ac:dyDescent="0.3">
      <c r="B945" s="44" t="str">
        <f>IF(OR(LINEAS!$D$71="",LINEAS!$U$71=0,ABS(IF(OR(LINEAS!$U$71=1,LINEAS!$U$71=3),1,-1)*LINEAS!$AF$71*DATOS!$C$67)&lt;0.00005),"*",LINEAS!$D$71&amp;" UNI "&amp;IF(LINEAS!$U$71&lt;=2,"GZ","GX")&amp;" "&amp;TEXT(IF(OR(LINEAS!$U$71=1,LINEAS!$U$71=3),1,-1)*LINEAS!$AF$71*DATOS!$C$67,DATOS!$C$68))</f>
        <v>267 UNI GX -0.0050</v>
      </c>
      <c r="C945" s="42" t="str">
        <f t="shared" si="28"/>
        <v/>
      </c>
      <c r="D945" s="44" t="str">
        <f>IF(PRESIONES!$C$22="NO","",IF(OR(LINEAS!$D$71="",LINEAS!$U$71=0,ABS(IF(OR(LINEAS!$U$71=1,LINEAS!$U$71=3),1,-1)*LINEAS!$AF$71*DATOS!$C$67)&lt;0.00005),"*",LINEAS!$D$71&amp;" UNI "&amp;IF(LINEAS!$U$71&lt;=2,"GZ","GX")&amp;" "&amp;TEXT(IF(OR(LINEAS!$U$71=1,LINEAS!$U$71=3),1,-1)*LINEAS!$AF$71*DATOS!$C$67,DATOS!$C$68)))</f>
        <v/>
      </c>
      <c r="E945" s="42" t="str">
        <f t="shared" si="29"/>
        <v/>
      </c>
    </row>
    <row r="946" spans="2:5" ht="15" customHeight="1" x14ac:dyDescent="0.3">
      <c r="B946" s="44" t="str">
        <f>IF(OR(LINEAS!$D$72="",LINEAS!$U$72=0,ABS(IF(OR(LINEAS!$U$72=1,LINEAS!$U$72=3),1,-1)*LINEAS!$AF$72*DATOS!$C$67)&lt;0.00005),"*",LINEAS!$D$72&amp;" UNI "&amp;IF(LINEAS!$U$72&lt;=2,"GZ","GX")&amp;" "&amp;TEXT(IF(OR(LINEAS!$U$72=1,LINEAS!$U$72=3),1,-1)*LINEAS!$AF$72*DATOS!$C$67,DATOS!$C$68))</f>
        <v>274 UNI GX -0.0050</v>
      </c>
      <c r="C946" s="42" t="str">
        <f t="shared" si="28"/>
        <v/>
      </c>
      <c r="D946" s="44" t="str">
        <f>IF(PRESIONES!$C$22="NO","",IF(OR(LINEAS!$D$72="",LINEAS!$U$72=0,ABS(IF(OR(LINEAS!$U$72=1,LINEAS!$U$72=3),1,-1)*LINEAS!$AF$72*DATOS!$C$67)&lt;0.00005),"*",LINEAS!$D$72&amp;" UNI "&amp;IF(LINEAS!$U$72&lt;=2,"GZ","GX")&amp;" "&amp;TEXT(IF(OR(LINEAS!$U$72=1,LINEAS!$U$72=3),1,-1)*LINEAS!$AF$72*DATOS!$C$67,DATOS!$C$68)))</f>
        <v/>
      </c>
      <c r="E946" s="42" t="str">
        <f t="shared" si="29"/>
        <v/>
      </c>
    </row>
    <row r="947" spans="2:5" ht="15" customHeight="1" x14ac:dyDescent="0.3">
      <c r="B947" s="44" t="str">
        <f>IF(OR(LINEAS!$D$73="",LINEAS!$U$73=0,ABS(IF(OR(LINEAS!$U$73=1,LINEAS!$U$73=3),1,-1)*LINEAS!$AF$73*DATOS!$C$67)&lt;0.00005),"*",LINEAS!$D$73&amp;" UNI "&amp;IF(LINEAS!$U$73&lt;=2,"GZ","GX")&amp;" "&amp;TEXT(IF(OR(LINEAS!$U$73=1,LINEAS!$U$73=3),1,-1)*LINEAS!$AF$73*DATOS!$C$67,DATOS!$C$68))</f>
        <v>275 UNI GX -0.0050</v>
      </c>
      <c r="C947" s="42" t="str">
        <f t="shared" si="28"/>
        <v/>
      </c>
      <c r="D947" s="44" t="str">
        <f>IF(PRESIONES!$C$22="NO","",IF(OR(LINEAS!$D$73="",LINEAS!$U$73=0,ABS(IF(OR(LINEAS!$U$73=1,LINEAS!$U$73=3),1,-1)*LINEAS!$AF$73*DATOS!$C$67)&lt;0.00005),"*",LINEAS!$D$73&amp;" UNI "&amp;IF(LINEAS!$U$73&lt;=2,"GZ","GX")&amp;" "&amp;TEXT(IF(OR(LINEAS!$U$73=1,LINEAS!$U$73=3),1,-1)*LINEAS!$AF$73*DATOS!$C$67,DATOS!$C$68)))</f>
        <v/>
      </c>
      <c r="E947" s="42" t="str">
        <f t="shared" si="29"/>
        <v/>
      </c>
    </row>
    <row r="948" spans="2:5" ht="15" customHeight="1" x14ac:dyDescent="0.3">
      <c r="B948" s="44" t="str">
        <f>IF(OR(LINEAS!$D$74="",LINEAS!$U$74=0,ABS(IF(OR(LINEAS!$U$74=1,LINEAS!$U$74=3),1,-1)*LINEAS!$AF$74*DATOS!$C$67)&lt;0.00005),"*",LINEAS!$D$74&amp;" UNI "&amp;IF(LINEAS!$U$74&lt;=2,"GZ","GX")&amp;" "&amp;TEXT(IF(OR(LINEAS!$U$74=1,LINEAS!$U$74=3),1,-1)*LINEAS!$AF$74*DATOS!$C$67,DATOS!$C$68))</f>
        <v>276 UNI GX -0.0050</v>
      </c>
      <c r="C948" s="42" t="str">
        <f t="shared" si="28"/>
        <v/>
      </c>
      <c r="D948" s="44" t="str">
        <f>IF(PRESIONES!$C$22="NO","",IF(OR(LINEAS!$D$74="",LINEAS!$U$74=0,ABS(IF(OR(LINEAS!$U$74=1,LINEAS!$U$74=3),1,-1)*LINEAS!$AF$74*DATOS!$C$67)&lt;0.00005),"*",LINEAS!$D$74&amp;" UNI "&amp;IF(LINEAS!$U$74&lt;=2,"GZ","GX")&amp;" "&amp;TEXT(IF(OR(LINEAS!$U$74=1,LINEAS!$U$74=3),1,-1)*LINEAS!$AF$74*DATOS!$C$67,DATOS!$C$68)))</f>
        <v/>
      </c>
      <c r="E948" s="42" t="str">
        <f t="shared" si="29"/>
        <v/>
      </c>
    </row>
    <row r="949" spans="2:5" ht="15" customHeight="1" x14ac:dyDescent="0.3">
      <c r="B949" s="44" t="str">
        <f>IF(OR(LINEAS!$D$75="",LINEAS!$U$75=0,ABS(IF(OR(LINEAS!$U$75=1,LINEAS!$U$75=3),1,-1)*LINEAS!$AF$75*DATOS!$C$67)&lt;0.00005),"*",LINEAS!$D$75&amp;" UNI "&amp;IF(LINEAS!$U$75&lt;=2,"GZ","GX")&amp;" "&amp;TEXT(IF(OR(LINEAS!$U$75=1,LINEAS!$U$75=3),1,-1)*LINEAS!$AF$75*DATOS!$C$67,DATOS!$C$68))</f>
        <v>283 UNI GX -0.0050</v>
      </c>
      <c r="C949" s="42" t="str">
        <f t="shared" si="28"/>
        <v/>
      </c>
      <c r="D949" s="44" t="str">
        <f>IF(PRESIONES!$C$22="NO","",IF(OR(LINEAS!$D$75="",LINEAS!$U$75=0,ABS(IF(OR(LINEAS!$U$75=1,LINEAS!$U$75=3),1,-1)*LINEAS!$AF$75*DATOS!$C$67)&lt;0.00005),"*",LINEAS!$D$75&amp;" UNI "&amp;IF(LINEAS!$U$75&lt;=2,"GZ","GX")&amp;" "&amp;TEXT(IF(OR(LINEAS!$U$75=1,LINEAS!$U$75=3),1,-1)*LINEAS!$AF$75*DATOS!$C$67,DATOS!$C$68)))</f>
        <v/>
      </c>
      <c r="E949" s="42" t="str">
        <f t="shared" si="29"/>
        <v/>
      </c>
    </row>
    <row r="950" spans="2:5" ht="15" customHeight="1" x14ac:dyDescent="0.3">
      <c r="B950" s="44" t="str">
        <f>IF(OR(LINEAS!$D$76="",LINEAS!$U$76=0,ABS(IF(OR(LINEAS!$U$76=1,LINEAS!$U$76=3),1,-1)*LINEAS!$AF$76*DATOS!$C$67)&lt;0.00005),"*",LINEAS!$D$76&amp;" UNI "&amp;IF(LINEAS!$U$76&lt;=2,"GZ","GX")&amp;" "&amp;TEXT(IF(OR(LINEAS!$U$76=1,LINEAS!$U$76=3),1,-1)*LINEAS!$AF$76*DATOS!$C$67,DATOS!$C$68))</f>
        <v>284 UNI GX -0.0050</v>
      </c>
      <c r="C950" s="42" t="str">
        <f t="shared" si="28"/>
        <v/>
      </c>
      <c r="D950" s="44" t="str">
        <f>IF(PRESIONES!$C$22="NO","",IF(OR(LINEAS!$D$76="",LINEAS!$U$76=0,ABS(IF(OR(LINEAS!$U$76=1,LINEAS!$U$76=3),1,-1)*LINEAS!$AF$76*DATOS!$C$67)&lt;0.00005),"*",LINEAS!$D$76&amp;" UNI "&amp;IF(LINEAS!$U$76&lt;=2,"GZ","GX")&amp;" "&amp;TEXT(IF(OR(LINEAS!$U$76=1,LINEAS!$U$76=3),1,-1)*LINEAS!$AF$76*DATOS!$C$67,DATOS!$C$68)))</f>
        <v/>
      </c>
      <c r="E950" s="42" t="str">
        <f t="shared" si="29"/>
        <v/>
      </c>
    </row>
    <row r="951" spans="2:5" ht="15" customHeight="1" x14ac:dyDescent="0.3">
      <c r="B951" s="44" t="str">
        <f>IF(OR(LINEAS!$D$77="",LINEAS!$U$77=0,ABS(IF(OR(LINEAS!$U$77=1,LINEAS!$U$77=3),1,-1)*LINEAS!$AF$77*DATOS!$C$67)&lt;0.00005),"*",LINEAS!$D$77&amp;" UNI "&amp;IF(LINEAS!$U$77&lt;=2,"GZ","GX")&amp;" "&amp;TEXT(IF(OR(LINEAS!$U$77=1,LINEAS!$U$77=3),1,-1)*LINEAS!$AF$77*DATOS!$C$67,DATOS!$C$68))</f>
        <v>285 UNI GX -0.0050</v>
      </c>
      <c r="C951" s="42" t="str">
        <f t="shared" si="28"/>
        <v/>
      </c>
      <c r="D951" s="44" t="str">
        <f>IF(PRESIONES!$C$22="NO","",IF(OR(LINEAS!$D$77="",LINEAS!$U$77=0,ABS(IF(OR(LINEAS!$U$77=1,LINEAS!$U$77=3),1,-1)*LINEAS!$AF$77*DATOS!$C$67)&lt;0.00005),"*",LINEAS!$D$77&amp;" UNI "&amp;IF(LINEAS!$U$77&lt;=2,"GZ","GX")&amp;" "&amp;TEXT(IF(OR(LINEAS!$U$77=1,LINEAS!$U$77=3),1,-1)*LINEAS!$AF$77*DATOS!$C$67,DATOS!$C$68)))</f>
        <v/>
      </c>
      <c r="E951" s="42" t="str">
        <f t="shared" si="29"/>
        <v/>
      </c>
    </row>
    <row r="952" spans="2:5" ht="15" customHeight="1" x14ac:dyDescent="0.3">
      <c r="B952" s="44" t="str">
        <f>IF(OR(LINEAS!$D$78="",LINEAS!$U$78=0,ABS(IF(OR(LINEAS!$U$78=1,LINEAS!$U$78=3),1,-1)*LINEAS!$AF$78*DATOS!$C$67)&lt;0.00005),"*",LINEAS!$D$78&amp;" UNI "&amp;IF(LINEAS!$U$78&lt;=2,"GZ","GX")&amp;" "&amp;TEXT(IF(OR(LINEAS!$U$78=1,LINEAS!$U$78=3),1,-1)*LINEAS!$AF$78*DATOS!$C$67,DATOS!$C$68))</f>
        <v>292 UNI GX -0.0050</v>
      </c>
      <c r="C952" s="42" t="str">
        <f t="shared" si="28"/>
        <v/>
      </c>
      <c r="D952" s="44" t="str">
        <f>IF(PRESIONES!$C$22="NO","",IF(OR(LINEAS!$D$78="",LINEAS!$U$78=0,ABS(IF(OR(LINEAS!$U$78=1,LINEAS!$U$78=3),1,-1)*LINEAS!$AF$78*DATOS!$C$67)&lt;0.00005),"*",LINEAS!$D$78&amp;" UNI "&amp;IF(LINEAS!$U$78&lt;=2,"GZ","GX")&amp;" "&amp;TEXT(IF(OR(LINEAS!$U$78=1,LINEAS!$U$78=3),1,-1)*LINEAS!$AF$78*DATOS!$C$67,DATOS!$C$68)))</f>
        <v/>
      </c>
      <c r="E952" s="42" t="str">
        <f t="shared" si="29"/>
        <v/>
      </c>
    </row>
    <row r="953" spans="2:5" ht="15" customHeight="1" x14ac:dyDescent="0.3">
      <c r="B953" s="44" t="str">
        <f>IF(OR(LINEAS!$D$79="",LINEAS!$U$79=0,ABS(IF(OR(LINEAS!$U$79=1,LINEAS!$U$79=3),1,-1)*LINEAS!$AF$79*DATOS!$C$67)&lt;0.00005),"*",LINEAS!$D$79&amp;" UNI "&amp;IF(LINEAS!$U$79&lt;=2,"GZ","GX")&amp;" "&amp;TEXT(IF(OR(LINEAS!$U$79=1,LINEAS!$U$79=3),1,-1)*LINEAS!$AF$79*DATOS!$C$67,DATOS!$C$68))</f>
        <v>293 UNI GX -0.0050</v>
      </c>
      <c r="C953" s="42" t="str">
        <f t="shared" si="28"/>
        <v/>
      </c>
      <c r="D953" s="44" t="str">
        <f>IF(PRESIONES!$C$22="NO","",IF(OR(LINEAS!$D$79="",LINEAS!$U$79=0,ABS(IF(OR(LINEAS!$U$79=1,LINEAS!$U$79=3),1,-1)*LINEAS!$AF$79*DATOS!$C$67)&lt;0.00005),"*",LINEAS!$D$79&amp;" UNI "&amp;IF(LINEAS!$U$79&lt;=2,"GZ","GX")&amp;" "&amp;TEXT(IF(OR(LINEAS!$U$79=1,LINEAS!$U$79=3),1,-1)*LINEAS!$AF$79*DATOS!$C$67,DATOS!$C$68)))</f>
        <v/>
      </c>
      <c r="E953" s="42" t="str">
        <f t="shared" si="29"/>
        <v/>
      </c>
    </row>
    <row r="954" spans="2:5" ht="15" customHeight="1" x14ac:dyDescent="0.3">
      <c r="B954" s="44" t="str">
        <f>IF(OR(LINEAS!$D$80="",LINEAS!$U$80=0,ABS(IF(OR(LINEAS!$U$80=1,LINEAS!$U$80=3),1,-1)*LINEAS!$AF$80*DATOS!$C$67)&lt;0.00005),"*",LINEAS!$D$80&amp;" UNI "&amp;IF(LINEAS!$U$80&lt;=2,"GZ","GX")&amp;" "&amp;TEXT(IF(OR(LINEAS!$U$80=1,LINEAS!$U$80=3),1,-1)*LINEAS!$AF$80*DATOS!$C$67,DATOS!$C$68))</f>
        <v>294 UNI GX -0.0050</v>
      </c>
      <c r="C954" s="42" t="str">
        <f t="shared" si="28"/>
        <v/>
      </c>
      <c r="D954" s="44" t="str">
        <f>IF(PRESIONES!$C$22="NO","",IF(OR(LINEAS!$D$80="",LINEAS!$U$80=0,ABS(IF(OR(LINEAS!$U$80=1,LINEAS!$U$80=3),1,-1)*LINEAS!$AF$80*DATOS!$C$67)&lt;0.00005),"*",LINEAS!$D$80&amp;" UNI "&amp;IF(LINEAS!$U$80&lt;=2,"GZ","GX")&amp;" "&amp;TEXT(IF(OR(LINEAS!$U$80=1,LINEAS!$U$80=3),1,-1)*LINEAS!$AF$80*DATOS!$C$67,DATOS!$C$68)))</f>
        <v/>
      </c>
      <c r="E954" s="42" t="str">
        <f t="shared" si="29"/>
        <v/>
      </c>
    </row>
    <row r="955" spans="2:5" ht="15" customHeight="1" x14ac:dyDescent="0.3">
      <c r="B955" s="44" t="str">
        <f>IF(OR(LINEAS!$D$81="",LINEAS!$U$81=0,ABS(IF(OR(LINEAS!$U$81=1,LINEAS!$U$81=3),1,-1)*LINEAS!$AF$81*DATOS!$C$67)&lt;0.00005),"*",LINEAS!$D$81&amp;" UNI "&amp;IF(LINEAS!$U$81&lt;=2,"GZ","GX")&amp;" "&amp;TEXT(IF(OR(LINEAS!$U$81=1,LINEAS!$U$81=3),1,-1)*LINEAS!$AF$81*DATOS!$C$67,DATOS!$C$68))</f>
        <v>300 UNI GX -0.0050</v>
      </c>
      <c r="C955" s="42" t="str">
        <f t="shared" si="28"/>
        <v/>
      </c>
      <c r="D955" s="44" t="str">
        <f>IF(PRESIONES!$C$22="NO","",IF(OR(LINEAS!$D$81="",LINEAS!$U$81=0,ABS(IF(OR(LINEAS!$U$81=1,LINEAS!$U$81=3),1,-1)*LINEAS!$AF$81*DATOS!$C$67)&lt;0.00005),"*",LINEAS!$D$81&amp;" UNI "&amp;IF(LINEAS!$U$81&lt;=2,"GZ","GX")&amp;" "&amp;TEXT(IF(OR(LINEAS!$U$81=1,LINEAS!$U$81=3),1,-1)*LINEAS!$AF$81*DATOS!$C$67,DATOS!$C$68)))</f>
        <v/>
      </c>
      <c r="E955" s="42" t="str">
        <f t="shared" si="29"/>
        <v/>
      </c>
    </row>
    <row r="956" spans="2:5" ht="15" customHeight="1" x14ac:dyDescent="0.3">
      <c r="B956" s="44" t="str">
        <f>IF(OR(LINEAS!$D$82="",LINEAS!$U$82=0,ABS(IF(OR(LINEAS!$U$82=1,LINEAS!$U$82=3),1,-1)*LINEAS!$AF$82*DATOS!$C$67)&lt;0.00005),"*",LINEAS!$D$82&amp;" UNI "&amp;IF(LINEAS!$U$82&lt;=2,"GZ","GX")&amp;" "&amp;TEXT(IF(OR(LINEAS!$U$82=1,LINEAS!$U$82=3),1,-1)*LINEAS!$AF$82*DATOS!$C$67,DATOS!$C$68))</f>
        <v>301 UNI GX -0.0050</v>
      </c>
      <c r="C956" s="42" t="str">
        <f t="shared" si="28"/>
        <v/>
      </c>
      <c r="D956" s="44" t="str">
        <f>IF(PRESIONES!$C$22="NO","",IF(OR(LINEAS!$D$82="",LINEAS!$U$82=0,ABS(IF(OR(LINEAS!$U$82=1,LINEAS!$U$82=3),1,-1)*LINEAS!$AF$82*DATOS!$C$67)&lt;0.00005),"*",LINEAS!$D$82&amp;" UNI "&amp;IF(LINEAS!$U$82&lt;=2,"GZ","GX")&amp;" "&amp;TEXT(IF(OR(LINEAS!$U$82=1,LINEAS!$U$82=3),1,-1)*LINEAS!$AF$82*DATOS!$C$67,DATOS!$C$68)))</f>
        <v/>
      </c>
      <c r="E956" s="42" t="str">
        <f t="shared" si="29"/>
        <v/>
      </c>
    </row>
    <row r="957" spans="2:5" ht="15" customHeight="1" x14ac:dyDescent="0.3">
      <c r="B957" s="44" t="str">
        <f>IF(OR(LINEAS!$D$83="",LINEAS!$U$83=0,ABS(IF(OR(LINEAS!$U$83=1,LINEAS!$U$83=3),1,-1)*LINEAS!$AF$83*DATOS!$C$67)&lt;0.00005),"*",LINEAS!$D$83&amp;" UNI "&amp;IF(LINEAS!$U$83&lt;=2,"GZ","GX")&amp;" "&amp;TEXT(IF(OR(LINEAS!$U$83=1,LINEAS!$U$83=3),1,-1)*LINEAS!$AF$83*DATOS!$C$67,DATOS!$C$68))</f>
        <v>302 UNI GX -0.0050</v>
      </c>
      <c r="C957" s="42" t="str">
        <f t="shared" si="28"/>
        <v/>
      </c>
      <c r="D957" s="44" t="str">
        <f>IF(PRESIONES!$C$22="NO","",IF(OR(LINEAS!$D$83="",LINEAS!$U$83=0,ABS(IF(OR(LINEAS!$U$83=1,LINEAS!$U$83=3),1,-1)*LINEAS!$AF$83*DATOS!$C$67)&lt;0.00005),"*",LINEAS!$D$83&amp;" UNI "&amp;IF(LINEAS!$U$83&lt;=2,"GZ","GX")&amp;" "&amp;TEXT(IF(OR(LINEAS!$U$83=1,LINEAS!$U$83=3),1,-1)*LINEAS!$AF$83*DATOS!$C$67,DATOS!$C$68)))</f>
        <v/>
      </c>
      <c r="E957" s="42" t="str">
        <f t="shared" si="29"/>
        <v/>
      </c>
    </row>
    <row r="958" spans="2:5" ht="15" customHeight="1" x14ac:dyDescent="0.3">
      <c r="B958" s="44" t="str">
        <f>IF(OR(LINEAS!$D$84="",LINEAS!$U$84=0,ABS(IF(OR(LINEAS!$U$84=1,LINEAS!$U$84=3),1,-1)*LINEAS!$AF$84*DATOS!$C$67)&lt;0.00005),"*",LINEAS!$D$84&amp;" UNI "&amp;IF(LINEAS!$U$84&lt;=2,"GZ","GX")&amp;" "&amp;TEXT(IF(OR(LINEAS!$U$84=1,LINEAS!$U$84=3),1,-1)*LINEAS!$AF$84*DATOS!$C$67,DATOS!$C$68))</f>
        <v>307 UNI GX -0.0050</v>
      </c>
      <c r="C958" s="42" t="str">
        <f t="shared" si="28"/>
        <v/>
      </c>
      <c r="D958" s="44" t="str">
        <f>IF(PRESIONES!$C$22="NO","",IF(OR(LINEAS!$D$84="",LINEAS!$U$84=0,ABS(IF(OR(LINEAS!$U$84=1,LINEAS!$U$84=3),1,-1)*LINEAS!$AF$84*DATOS!$C$67)&lt;0.00005),"*",LINEAS!$D$84&amp;" UNI "&amp;IF(LINEAS!$U$84&lt;=2,"GZ","GX")&amp;" "&amp;TEXT(IF(OR(LINEAS!$U$84=1,LINEAS!$U$84=3),1,-1)*LINEAS!$AF$84*DATOS!$C$67,DATOS!$C$68)))</f>
        <v/>
      </c>
      <c r="E958" s="42" t="str">
        <f t="shared" si="29"/>
        <v/>
      </c>
    </row>
    <row r="959" spans="2:5" ht="15" customHeight="1" x14ac:dyDescent="0.3">
      <c r="B959" s="44" t="str">
        <f>IF(OR(LINEAS!$D$85="",LINEAS!$U$85=0,ABS(IF(OR(LINEAS!$U$85=1,LINEAS!$U$85=3),1,-1)*LINEAS!$AF$85*DATOS!$C$67)&lt;0.00005),"*",LINEAS!$D$85&amp;" UNI "&amp;IF(LINEAS!$U$85&lt;=2,"GZ","GX")&amp;" "&amp;TEXT(IF(OR(LINEAS!$U$85=1,LINEAS!$U$85=3),1,-1)*LINEAS!$AF$85*DATOS!$C$67,DATOS!$C$68))</f>
        <v>308 UNI GX -0.0050</v>
      </c>
      <c r="C959" s="42" t="str">
        <f t="shared" si="28"/>
        <v/>
      </c>
      <c r="D959" s="44" t="str">
        <f>IF(PRESIONES!$C$22="NO","",IF(OR(LINEAS!$D$85="",LINEAS!$U$85=0,ABS(IF(OR(LINEAS!$U$85=1,LINEAS!$U$85=3),1,-1)*LINEAS!$AF$85*DATOS!$C$67)&lt;0.00005),"*",LINEAS!$D$85&amp;" UNI "&amp;IF(LINEAS!$U$85&lt;=2,"GZ","GX")&amp;" "&amp;TEXT(IF(OR(LINEAS!$U$85=1,LINEAS!$U$85=3),1,-1)*LINEAS!$AF$85*DATOS!$C$67,DATOS!$C$68)))</f>
        <v/>
      </c>
      <c r="E959" s="42" t="str">
        <f t="shared" si="29"/>
        <v/>
      </c>
    </row>
    <row r="960" spans="2:5" ht="15" customHeight="1" x14ac:dyDescent="0.3">
      <c r="B960" s="44" t="str">
        <f>IF(OR(LINEAS!$D$86="",LINEAS!$U$86=0,ABS(IF(OR(LINEAS!$U$86=1,LINEAS!$U$86=3),1,-1)*LINEAS!$AF$86*DATOS!$C$67)&lt;0.00005),"*",LINEAS!$D$86&amp;" UNI "&amp;IF(LINEAS!$U$86&lt;=2,"GZ","GX")&amp;" "&amp;TEXT(IF(OR(LINEAS!$U$86=1,LINEAS!$U$86=3),1,-1)*LINEAS!$AF$86*DATOS!$C$67,DATOS!$C$68))</f>
        <v>309 UNI GX -0.0050</v>
      </c>
      <c r="C960" s="42" t="str">
        <f t="shared" si="28"/>
        <v/>
      </c>
      <c r="D960" s="44" t="str">
        <f>IF(PRESIONES!$C$22="NO","",IF(OR(LINEAS!$D$86="",LINEAS!$U$86=0,ABS(IF(OR(LINEAS!$U$86=1,LINEAS!$U$86=3),1,-1)*LINEAS!$AF$86*DATOS!$C$67)&lt;0.00005),"*",LINEAS!$D$86&amp;" UNI "&amp;IF(LINEAS!$U$86&lt;=2,"GZ","GX")&amp;" "&amp;TEXT(IF(OR(LINEAS!$U$86=1,LINEAS!$U$86=3),1,-1)*LINEAS!$AF$86*DATOS!$C$67,DATOS!$C$68)))</f>
        <v/>
      </c>
      <c r="E960" s="42" t="str">
        <f t="shared" si="29"/>
        <v/>
      </c>
    </row>
    <row r="961" spans="2:5" ht="15" customHeight="1" x14ac:dyDescent="0.3">
      <c r="B961" s="44" t="str">
        <f>IF(OR(LINEAS!$D$87="",LINEAS!$U$87=0,ABS(IF(OR(LINEAS!$U$87=1,LINEAS!$U$87=3),1,-1)*LINEAS!$AF$87*DATOS!$C$67)&lt;0.00005),"*",LINEAS!$D$87&amp;" UNI "&amp;IF(LINEAS!$U$87&lt;=2,"GZ","GX")&amp;" "&amp;TEXT(IF(OR(LINEAS!$U$87=1,LINEAS!$U$87=3),1,-1)*LINEAS!$AF$87*DATOS!$C$67,DATOS!$C$68))</f>
        <v>318 UNI GX -0.0050</v>
      </c>
      <c r="C961" s="42" t="str">
        <f t="shared" si="28"/>
        <v/>
      </c>
      <c r="D961" s="44" t="str">
        <f>IF(PRESIONES!$C$22="NO","",IF(OR(LINEAS!$D$87="",LINEAS!$U$87=0,ABS(IF(OR(LINEAS!$U$87=1,LINEAS!$U$87=3),1,-1)*LINEAS!$AF$87*DATOS!$C$67)&lt;0.00005),"*",LINEAS!$D$87&amp;" UNI "&amp;IF(LINEAS!$U$87&lt;=2,"GZ","GX")&amp;" "&amp;TEXT(IF(OR(LINEAS!$U$87=1,LINEAS!$U$87=3),1,-1)*LINEAS!$AF$87*DATOS!$C$67,DATOS!$C$68)))</f>
        <v/>
      </c>
      <c r="E961" s="42" t="str">
        <f t="shared" si="29"/>
        <v/>
      </c>
    </row>
    <row r="962" spans="2:5" ht="15" customHeight="1" x14ac:dyDescent="0.3">
      <c r="B962" s="44" t="str">
        <f>IF(OR(LINEAS!$D$88="",LINEAS!$U$88=0,ABS(IF(OR(LINEAS!$U$88=1,LINEAS!$U$88=3),1,-1)*LINEAS!$AF$88*DATOS!$C$67)&lt;0.00005),"*",LINEAS!$D$88&amp;" UNI "&amp;IF(LINEAS!$U$88&lt;=2,"GZ","GX")&amp;" "&amp;TEXT(IF(OR(LINEAS!$U$88=1,LINEAS!$U$88=3),1,-1)*LINEAS!$AF$88*DATOS!$C$67,DATOS!$C$68))</f>
        <v>311 UNI GX -0.0050</v>
      </c>
      <c r="C962" s="42" t="str">
        <f t="shared" si="28"/>
        <v/>
      </c>
      <c r="D962" s="44" t="str">
        <f>IF(PRESIONES!$C$22="NO","",IF(OR(LINEAS!$D$88="",LINEAS!$U$88=0,ABS(IF(OR(LINEAS!$U$88=1,LINEAS!$U$88=3),1,-1)*LINEAS!$AF$88*DATOS!$C$67)&lt;0.00005),"*",LINEAS!$D$88&amp;" UNI "&amp;IF(LINEAS!$U$88&lt;=2,"GZ","GX")&amp;" "&amp;TEXT(IF(OR(LINEAS!$U$88=1,LINEAS!$U$88=3),1,-1)*LINEAS!$AF$88*DATOS!$C$67,DATOS!$C$68)))</f>
        <v/>
      </c>
      <c r="E962" s="42" t="str">
        <f t="shared" si="29"/>
        <v/>
      </c>
    </row>
    <row r="963" spans="2:5" ht="15" customHeight="1" x14ac:dyDescent="0.3">
      <c r="B963" s="44" t="str">
        <f>IF(OR(LINEAS!$D$89="",LINEAS!$U$89=0,ABS(IF(OR(LINEAS!$U$89=1,LINEAS!$U$89=3),1,-1)*LINEAS!$AF$89*DATOS!$C$67)&lt;0.00005),"*",LINEAS!$D$89&amp;" UNI "&amp;IF(LINEAS!$U$89&lt;=2,"GZ","GX")&amp;" "&amp;TEXT(IF(OR(LINEAS!$U$89=1,LINEAS!$U$89=3),1,-1)*LINEAS!$AF$89*DATOS!$C$67,DATOS!$C$68))</f>
        <v>310 UNI GX -0.0050</v>
      </c>
      <c r="C963" s="42" t="str">
        <f t="shared" si="28"/>
        <v/>
      </c>
      <c r="D963" s="44" t="str">
        <f>IF(PRESIONES!$C$22="NO","",IF(OR(LINEAS!$D$89="",LINEAS!$U$89=0,ABS(IF(OR(LINEAS!$U$89=1,LINEAS!$U$89=3),1,-1)*LINEAS!$AF$89*DATOS!$C$67)&lt;0.00005),"*",LINEAS!$D$89&amp;" UNI "&amp;IF(LINEAS!$U$89&lt;=2,"GZ","GX")&amp;" "&amp;TEXT(IF(OR(LINEAS!$U$89=1,LINEAS!$U$89=3),1,-1)*LINEAS!$AF$89*DATOS!$C$67,DATOS!$C$68)))</f>
        <v/>
      </c>
      <c r="E963" s="42" t="str">
        <f t="shared" si="29"/>
        <v/>
      </c>
    </row>
    <row r="964" spans="2:5" ht="15" customHeight="1" x14ac:dyDescent="0.3">
      <c r="B964" s="44" t="str">
        <f>IF(OR(LINEAS!$D$90="",LINEAS!$U$90=0,ABS(IF(OR(LINEAS!$U$90=1,LINEAS!$U$90=3),1,-1)*LINEAS!$AF$90*DATOS!$C$67)&lt;0.00005),"*",LINEAS!$D$90&amp;" UNI "&amp;IF(LINEAS!$U$90&lt;=2,"GZ","GX")&amp;" "&amp;TEXT(IF(OR(LINEAS!$U$90=1,LINEAS!$U$90=3),1,-1)*LINEAS!$AF$90*DATOS!$C$67,DATOS!$C$68))</f>
        <v>321 UNI GX -0.0043</v>
      </c>
      <c r="C964" s="42" t="str">
        <f t="shared" si="28"/>
        <v/>
      </c>
      <c r="D964" s="44" t="str">
        <f>IF(PRESIONES!$C$22="NO","",IF(OR(LINEAS!$D$90="",LINEAS!$U$90=0,ABS(IF(OR(LINEAS!$U$90=1,LINEAS!$U$90=3),1,-1)*LINEAS!$AF$90*DATOS!$C$67)&lt;0.00005),"*",LINEAS!$D$90&amp;" UNI "&amp;IF(LINEAS!$U$90&lt;=2,"GZ","GX")&amp;" "&amp;TEXT(IF(OR(LINEAS!$U$90=1,LINEAS!$U$90=3),1,-1)*LINEAS!$AF$90*DATOS!$C$67,DATOS!$C$68)))</f>
        <v/>
      </c>
      <c r="E964" s="42" t="str">
        <f t="shared" si="29"/>
        <v/>
      </c>
    </row>
    <row r="965" spans="2:5" ht="15" customHeight="1" x14ac:dyDescent="0.3">
      <c r="B965" s="44" t="str">
        <f>IF(OR(LINEAS!$D$91="",LINEAS!$U$91=0,ABS(IF(OR(LINEAS!$U$91=1,LINEAS!$U$91=3),1,-1)*LINEAS!$AF$91*DATOS!$C$67)&lt;0.00005),"*",LINEAS!$D$91&amp;" UNI "&amp;IF(LINEAS!$U$91&lt;=2,"GZ","GX")&amp;" "&amp;TEXT(IF(OR(LINEAS!$U$91=1,LINEAS!$U$91=3),1,-1)*LINEAS!$AF$91*DATOS!$C$67,DATOS!$C$68))</f>
        <v>320 UNI GX -0.0036</v>
      </c>
      <c r="C965" s="42" t="str">
        <f t="shared" si="28"/>
        <v/>
      </c>
      <c r="D965" s="44" t="str">
        <f>IF(PRESIONES!$C$22="NO","",IF(OR(LINEAS!$D$91="",LINEAS!$U$91=0,ABS(IF(OR(LINEAS!$U$91=1,LINEAS!$U$91=3),1,-1)*LINEAS!$AF$91*DATOS!$C$67)&lt;0.00005),"*",LINEAS!$D$91&amp;" UNI "&amp;IF(LINEAS!$U$91&lt;=2,"GZ","GX")&amp;" "&amp;TEXT(IF(OR(LINEAS!$U$91=1,LINEAS!$U$91=3),1,-1)*LINEAS!$AF$91*DATOS!$C$67,DATOS!$C$68)))</f>
        <v/>
      </c>
      <c r="E965" s="42" t="str">
        <f t="shared" si="29"/>
        <v/>
      </c>
    </row>
    <row r="966" spans="2:5" ht="15" customHeight="1" x14ac:dyDescent="0.3">
      <c r="B966" s="44" t="str">
        <f>IF(OR(LINEAS!$D$92="",LINEAS!$U$92=0,ABS(IF(OR(LINEAS!$U$92=1,LINEAS!$U$92=3),1,-1)*LINEAS!$AF$92*DATOS!$C$67)&lt;0.00005),"*",LINEAS!$D$92&amp;" UNI "&amp;IF(LINEAS!$U$92&lt;=2,"GZ","GX")&amp;" "&amp;TEXT(IF(OR(LINEAS!$U$92=1,LINEAS!$U$92=3),1,-1)*LINEAS!$AF$92*DATOS!$C$67,DATOS!$C$68))</f>
        <v>319 UNI GX -0.0031</v>
      </c>
      <c r="C966" s="42" t="str">
        <f t="shared" si="28"/>
        <v/>
      </c>
      <c r="D966" s="44" t="str">
        <f>IF(PRESIONES!$C$22="NO","",IF(OR(LINEAS!$D$92="",LINEAS!$U$92=0,ABS(IF(OR(LINEAS!$U$92=1,LINEAS!$U$92=3),1,-1)*LINEAS!$AF$92*DATOS!$C$67)&lt;0.00005),"*",LINEAS!$D$92&amp;" UNI "&amp;IF(LINEAS!$U$92&lt;=2,"GZ","GX")&amp;" "&amp;TEXT(IF(OR(LINEAS!$U$92=1,LINEAS!$U$92=3),1,-1)*LINEAS!$AF$92*DATOS!$C$67,DATOS!$C$68)))</f>
        <v/>
      </c>
      <c r="E966" s="42" t="str">
        <f t="shared" si="29"/>
        <v/>
      </c>
    </row>
    <row r="967" spans="2:5" ht="15" customHeight="1" x14ac:dyDescent="0.3">
      <c r="B967" s="44" t="str">
        <f>IF(OR(LINEAS!$D$93="",LINEAS!$U$93=0,ABS(IF(OR(LINEAS!$U$93=1,LINEAS!$U$93=3),1,-1)*LINEAS!$AF$93*DATOS!$C$67)&lt;0.00005),"*",LINEAS!$D$93&amp;" UNI "&amp;IF(LINEAS!$U$93&lt;=2,"GZ","GX")&amp;" "&amp;TEXT(IF(OR(LINEAS!$U$93=1,LINEAS!$U$93=3),1,-1)*LINEAS!$AF$93*DATOS!$C$67,DATOS!$C$68))</f>
        <v>60 UNI GX 0.3130</v>
      </c>
      <c r="C967" s="42" t="str">
        <f t="shared" si="28"/>
        <v/>
      </c>
      <c r="D967" s="44" t="str">
        <f>IF(PRESIONES!$C$22="NO","",IF(OR(LINEAS!$D$93="",LINEAS!$U$93=0,ABS(IF(OR(LINEAS!$U$93=1,LINEAS!$U$93=3),1,-1)*LINEAS!$AF$93*DATOS!$C$67)&lt;0.00005),"*",LINEAS!$D$93&amp;" UNI "&amp;IF(LINEAS!$U$93&lt;=2,"GZ","GX")&amp;" "&amp;TEXT(IF(OR(LINEAS!$U$93=1,LINEAS!$U$93=3),1,-1)*LINEAS!$AF$93*DATOS!$C$67,DATOS!$C$68)))</f>
        <v/>
      </c>
      <c r="E967" s="42" t="str">
        <f t="shared" si="29"/>
        <v/>
      </c>
    </row>
    <row r="968" spans="2:5" ht="15" customHeight="1" x14ac:dyDescent="0.3">
      <c r="B968" s="44" t="str">
        <f>IF(OR(LINEAS!$D$94="",LINEAS!$U$94=0,ABS(IF(OR(LINEAS!$U$94=1,LINEAS!$U$94=3),1,-1)*LINEAS!$AF$94*DATOS!$C$67)&lt;0.00005),"*",LINEAS!$D$94&amp;" UNI "&amp;IF(LINEAS!$U$94&lt;=2,"GZ","GX")&amp;" "&amp;TEXT(IF(OR(LINEAS!$U$94=1,LINEAS!$U$94=3),1,-1)*LINEAS!$AF$94*DATOS!$C$67,DATOS!$C$68))</f>
        <v>59 UNI GX 0.2913</v>
      </c>
      <c r="C968" s="42" t="str">
        <f t="shared" si="28"/>
        <v/>
      </c>
      <c r="D968" s="44" t="str">
        <f>IF(PRESIONES!$C$22="NO","",IF(OR(LINEAS!$D$94="",LINEAS!$U$94=0,ABS(IF(OR(LINEAS!$U$94=1,LINEAS!$U$94=3),1,-1)*LINEAS!$AF$94*DATOS!$C$67)&lt;0.00005),"*",LINEAS!$D$94&amp;" UNI "&amp;IF(LINEAS!$U$94&lt;=2,"GZ","GX")&amp;" "&amp;TEXT(IF(OR(LINEAS!$U$94=1,LINEAS!$U$94=3),1,-1)*LINEAS!$AF$94*DATOS!$C$67,DATOS!$C$68)))</f>
        <v/>
      </c>
      <c r="E968" s="42" t="str">
        <f t="shared" si="29"/>
        <v/>
      </c>
    </row>
    <row r="969" spans="2:5" ht="15" customHeight="1" x14ac:dyDescent="0.3">
      <c r="B969" s="44" t="str">
        <f>IF(OR(LINEAS!$D$95="",LINEAS!$U$95=0,ABS(IF(OR(LINEAS!$U$95=1,LINEAS!$U$95=3),1,-1)*LINEAS!$AF$95*DATOS!$C$67)&lt;0.00005),"*",LINEAS!$D$95&amp;" UNI "&amp;IF(LINEAS!$U$95&lt;=2,"GZ","GX")&amp;" "&amp;TEXT(IF(OR(LINEAS!$U$95=1,LINEAS!$U$95=3),1,-1)*LINEAS!$AF$95*DATOS!$C$67,DATOS!$C$68))</f>
        <v>58 UNI GX 0.2696</v>
      </c>
      <c r="C969" s="42" t="str">
        <f t="shared" ref="C969:C1032" si="30">IF(LEN($B969)&gt;79,"MÁS DE 79 CARACTERES","")</f>
        <v/>
      </c>
      <c r="D969" s="44" t="str">
        <f>IF(PRESIONES!$C$22="NO","",IF(OR(LINEAS!$D$95="",LINEAS!$U$95=0,ABS(IF(OR(LINEAS!$U$95=1,LINEAS!$U$95=3),1,-1)*LINEAS!$AF$95*DATOS!$C$67)&lt;0.00005),"*",LINEAS!$D$95&amp;" UNI "&amp;IF(LINEAS!$U$95&lt;=2,"GZ","GX")&amp;" "&amp;TEXT(IF(OR(LINEAS!$U$95=1,LINEAS!$U$95=3),1,-1)*LINEAS!$AF$95*DATOS!$C$67,DATOS!$C$68)))</f>
        <v/>
      </c>
      <c r="E969" s="42" t="str">
        <f t="shared" ref="E969:E1032" si="31">IF(LEN($D969)&gt;79,"MÁS DE 79 CARACTERES","")</f>
        <v/>
      </c>
    </row>
    <row r="970" spans="2:5" ht="15" customHeight="1" x14ac:dyDescent="0.3">
      <c r="B970" s="44" t="str">
        <f>IF(OR(LINEAS!$D$96="",LINEAS!$U$96=0,ABS(IF(OR(LINEAS!$U$96=1,LINEAS!$U$96=3),1,-1)*LINEAS!$AF$96*DATOS!$C$67)&lt;0.00005),"*",LINEAS!$D$96&amp;" UNI "&amp;IF(LINEAS!$U$96&lt;=2,"GZ","GX")&amp;" "&amp;TEXT(IF(OR(LINEAS!$U$96=1,LINEAS!$U$96=3),1,-1)*LINEAS!$AF$96*DATOS!$C$67,DATOS!$C$68))</f>
        <v>57 UNI GX 0.2479</v>
      </c>
      <c r="C970" s="42" t="str">
        <f t="shared" si="30"/>
        <v/>
      </c>
      <c r="D970" s="44" t="str">
        <f>IF(PRESIONES!$C$22="NO","",IF(OR(LINEAS!$D$96="",LINEAS!$U$96=0,ABS(IF(OR(LINEAS!$U$96=1,LINEAS!$U$96=3),1,-1)*LINEAS!$AF$96*DATOS!$C$67)&lt;0.00005),"*",LINEAS!$D$96&amp;" UNI "&amp;IF(LINEAS!$U$96&lt;=2,"GZ","GX")&amp;" "&amp;TEXT(IF(OR(LINEAS!$U$96=1,LINEAS!$U$96=3),1,-1)*LINEAS!$AF$96*DATOS!$C$67,DATOS!$C$68)))</f>
        <v/>
      </c>
      <c r="E970" s="42" t="str">
        <f t="shared" si="31"/>
        <v/>
      </c>
    </row>
    <row r="971" spans="2:5" ht="15" customHeight="1" x14ac:dyDescent="0.3">
      <c r="B971" s="44" t="str">
        <f>IF(OR(LINEAS!$D$97="",LINEAS!$U$97=0,ABS(IF(OR(LINEAS!$U$97=1,LINEAS!$U$97=3),1,-1)*LINEAS!$AF$97*DATOS!$C$67)&lt;0.00005),"*",LINEAS!$D$97&amp;" UNI "&amp;IF(LINEAS!$U$97&lt;=2,"GZ","GX")&amp;" "&amp;TEXT(IF(OR(LINEAS!$U$97=1,LINEAS!$U$97=3),1,-1)*LINEAS!$AF$97*DATOS!$C$67,DATOS!$C$68))</f>
        <v>10 UNI GX 0.2263</v>
      </c>
      <c r="C971" s="42" t="str">
        <f t="shared" si="30"/>
        <v/>
      </c>
      <c r="D971" s="44" t="str">
        <f>IF(PRESIONES!$C$22="NO","",IF(OR(LINEAS!$D$97="",LINEAS!$U$97=0,ABS(IF(OR(LINEAS!$U$97=1,LINEAS!$U$97=3),1,-1)*LINEAS!$AF$97*DATOS!$C$67)&lt;0.00005),"*",LINEAS!$D$97&amp;" UNI "&amp;IF(LINEAS!$U$97&lt;=2,"GZ","GX")&amp;" "&amp;TEXT(IF(OR(LINEAS!$U$97=1,LINEAS!$U$97=3),1,-1)*LINEAS!$AF$97*DATOS!$C$67,DATOS!$C$68)))</f>
        <v/>
      </c>
      <c r="E971" s="42" t="str">
        <f t="shared" si="31"/>
        <v/>
      </c>
    </row>
    <row r="972" spans="2:5" ht="15" customHeight="1" x14ac:dyDescent="0.3">
      <c r="B972" s="44" t="str">
        <f>IF(OR(LINEAS!$D$98="",LINEAS!$U$98=0,ABS(IF(OR(LINEAS!$U$98=1,LINEAS!$U$98=3),1,-1)*LINEAS!$AF$98*DATOS!$C$67)&lt;0.00005),"*",LINEAS!$D$98&amp;" UNI "&amp;IF(LINEAS!$U$98&lt;=2,"GZ","GX")&amp;" "&amp;TEXT(IF(OR(LINEAS!$U$98=1,LINEAS!$U$98=3),1,-1)*LINEAS!$AF$98*DATOS!$C$67,DATOS!$C$68))</f>
        <v>68 UNI GX 0.2047</v>
      </c>
      <c r="C972" s="42" t="str">
        <f t="shared" si="30"/>
        <v/>
      </c>
      <c r="D972" s="44" t="str">
        <f>IF(PRESIONES!$C$22="NO","",IF(OR(LINEAS!$D$98="",LINEAS!$U$98=0,ABS(IF(OR(LINEAS!$U$98=1,LINEAS!$U$98=3),1,-1)*LINEAS!$AF$98*DATOS!$C$67)&lt;0.00005),"*",LINEAS!$D$98&amp;" UNI "&amp;IF(LINEAS!$U$98&lt;=2,"GZ","GX")&amp;" "&amp;TEXT(IF(OR(LINEAS!$U$98=1,LINEAS!$U$98=3),1,-1)*LINEAS!$AF$98*DATOS!$C$67,DATOS!$C$68)))</f>
        <v/>
      </c>
      <c r="E972" s="42" t="str">
        <f t="shared" si="31"/>
        <v/>
      </c>
    </row>
    <row r="973" spans="2:5" ht="15" customHeight="1" x14ac:dyDescent="0.3">
      <c r="B973" s="44" t="str">
        <f>IF(OR(LINEAS!$D$99="",LINEAS!$U$99=0,ABS(IF(OR(LINEAS!$U$99=1,LINEAS!$U$99=3),1,-1)*LINEAS!$AF$99*DATOS!$C$67)&lt;0.00005),"*",LINEAS!$D$99&amp;" UNI "&amp;IF(LINEAS!$U$99&lt;=2,"GZ","GX")&amp;" "&amp;TEXT(IF(OR(LINEAS!$U$99=1,LINEAS!$U$99=3),1,-1)*LINEAS!$AF$99*DATOS!$C$67,DATOS!$C$68))</f>
        <v>67 UNI GX 0.1832</v>
      </c>
      <c r="C973" s="42" t="str">
        <f t="shared" si="30"/>
        <v/>
      </c>
      <c r="D973" s="44" t="str">
        <f>IF(PRESIONES!$C$22="NO","",IF(OR(LINEAS!$D$99="",LINEAS!$U$99=0,ABS(IF(OR(LINEAS!$U$99=1,LINEAS!$U$99=3),1,-1)*LINEAS!$AF$99*DATOS!$C$67)&lt;0.00005),"*",LINEAS!$D$99&amp;" UNI "&amp;IF(LINEAS!$U$99&lt;=2,"GZ","GX")&amp;" "&amp;TEXT(IF(OR(LINEAS!$U$99=1,LINEAS!$U$99=3),1,-1)*LINEAS!$AF$99*DATOS!$C$67,DATOS!$C$68)))</f>
        <v/>
      </c>
      <c r="E973" s="42" t="str">
        <f t="shared" si="31"/>
        <v/>
      </c>
    </row>
    <row r="974" spans="2:5" ht="15" customHeight="1" x14ac:dyDescent="0.3">
      <c r="B974" s="44" t="str">
        <f>IF(OR(LINEAS!$D$100="",LINEAS!$U$100=0,ABS(IF(OR(LINEAS!$U$100=1,LINEAS!$U$100=3),1,-1)*LINEAS!$AF$100*DATOS!$C$67)&lt;0.00005),"*",LINEAS!$D$100&amp;" UNI "&amp;IF(LINEAS!$U$100&lt;=2,"GZ","GX")&amp;" "&amp;TEXT(IF(OR(LINEAS!$U$100=1,LINEAS!$U$100=3),1,-1)*LINEAS!$AF$100*DATOS!$C$67,DATOS!$C$68))</f>
        <v>66 UNI GX 0.1618</v>
      </c>
      <c r="C974" s="42" t="str">
        <f t="shared" si="30"/>
        <v/>
      </c>
      <c r="D974" s="44" t="str">
        <f>IF(PRESIONES!$C$22="NO","",IF(OR(LINEAS!$D$100="",LINEAS!$U$100=0,ABS(IF(OR(LINEAS!$U$100=1,LINEAS!$U$100=3),1,-1)*LINEAS!$AF$100*DATOS!$C$67)&lt;0.00005),"*",LINEAS!$D$100&amp;" UNI "&amp;IF(LINEAS!$U$100&lt;=2,"GZ","GX")&amp;" "&amp;TEXT(IF(OR(LINEAS!$U$100=1,LINEAS!$U$100=3),1,-1)*LINEAS!$AF$100*DATOS!$C$67,DATOS!$C$68)))</f>
        <v/>
      </c>
      <c r="E974" s="42" t="str">
        <f t="shared" si="31"/>
        <v/>
      </c>
    </row>
    <row r="975" spans="2:5" ht="15" customHeight="1" x14ac:dyDescent="0.3">
      <c r="B975" s="44" t="str">
        <f>IF(OR(LINEAS!$D$101="",LINEAS!$U$101=0,ABS(IF(OR(LINEAS!$U$101=1,LINEAS!$U$101=3),1,-1)*LINEAS!$AF$101*DATOS!$C$67)&lt;0.00005),"*",LINEAS!$D$101&amp;" UNI "&amp;IF(LINEAS!$U$101&lt;=2,"GZ","GX")&amp;" "&amp;TEXT(IF(OR(LINEAS!$U$101=1,LINEAS!$U$101=3),1,-1)*LINEAS!$AF$101*DATOS!$C$67,DATOS!$C$68))</f>
        <v>65 UNI GX 0.1403</v>
      </c>
      <c r="C975" s="42" t="str">
        <f t="shared" si="30"/>
        <v/>
      </c>
      <c r="D975" s="44" t="str">
        <f>IF(PRESIONES!$C$22="NO","",IF(OR(LINEAS!$D$101="",LINEAS!$U$101=0,ABS(IF(OR(LINEAS!$U$101=1,LINEAS!$U$101=3),1,-1)*LINEAS!$AF$101*DATOS!$C$67)&lt;0.00005),"*",LINEAS!$D$101&amp;" UNI "&amp;IF(LINEAS!$U$101&lt;=2,"GZ","GX")&amp;" "&amp;TEXT(IF(OR(LINEAS!$U$101=1,LINEAS!$U$101=3),1,-1)*LINEAS!$AF$101*DATOS!$C$67,DATOS!$C$68)))</f>
        <v/>
      </c>
      <c r="E975" s="42" t="str">
        <f t="shared" si="31"/>
        <v/>
      </c>
    </row>
    <row r="976" spans="2:5" ht="15" customHeight="1" x14ac:dyDescent="0.3">
      <c r="B976" s="44" t="str">
        <f>IF(OR(LINEAS!$D$102="",LINEAS!$U$102=0,ABS(IF(OR(LINEAS!$U$102=1,LINEAS!$U$102=3),1,-1)*LINEAS!$AF$102*DATOS!$C$67)&lt;0.00005),"*",LINEAS!$D$102&amp;" UNI "&amp;IF(LINEAS!$U$102&lt;=2,"GZ","GX")&amp;" "&amp;TEXT(IF(OR(LINEAS!$U$102=1,LINEAS!$U$102=3),1,-1)*LINEAS!$AF$102*DATOS!$C$67,DATOS!$C$68))</f>
        <v>43 UNI GX 0.1190</v>
      </c>
      <c r="C976" s="42" t="str">
        <f t="shared" si="30"/>
        <v/>
      </c>
      <c r="D976" s="44" t="str">
        <f>IF(PRESIONES!$C$22="NO","",IF(OR(LINEAS!$D$102="",LINEAS!$U$102=0,ABS(IF(OR(LINEAS!$U$102=1,LINEAS!$U$102=3),1,-1)*LINEAS!$AF$102*DATOS!$C$67)&lt;0.00005),"*",LINEAS!$D$102&amp;" UNI "&amp;IF(LINEAS!$U$102&lt;=2,"GZ","GX")&amp;" "&amp;TEXT(IF(OR(LINEAS!$U$102=1,LINEAS!$U$102=3),1,-1)*LINEAS!$AF$102*DATOS!$C$67,DATOS!$C$68)))</f>
        <v/>
      </c>
      <c r="E976" s="42" t="str">
        <f t="shared" si="31"/>
        <v/>
      </c>
    </row>
    <row r="977" spans="2:5" ht="15" customHeight="1" x14ac:dyDescent="0.3">
      <c r="B977" s="44" t="str">
        <f>IF(OR(LINEAS!$D$103="",LINEAS!$U$103=0,ABS(IF(OR(LINEAS!$U$103=1,LINEAS!$U$103=3),1,-1)*LINEAS!$AF$103*DATOS!$C$67)&lt;0.00005),"*",LINEAS!$D$103&amp;" UNI "&amp;IF(LINEAS!$U$103&lt;=2,"GZ","GX")&amp;" "&amp;TEXT(IF(OR(LINEAS!$U$103=1,LINEAS!$U$103=3),1,-1)*LINEAS!$AF$103*DATOS!$C$67,DATOS!$C$68))</f>
        <v>47 UNI GX 0.0985</v>
      </c>
      <c r="C977" s="42" t="str">
        <f t="shared" si="30"/>
        <v/>
      </c>
      <c r="D977" s="44" t="str">
        <f>IF(PRESIONES!$C$22="NO","",IF(OR(LINEAS!$D$103="",LINEAS!$U$103=0,ABS(IF(OR(LINEAS!$U$103=1,LINEAS!$U$103=3),1,-1)*LINEAS!$AF$103*DATOS!$C$67)&lt;0.00005),"*",LINEAS!$D$103&amp;" UNI "&amp;IF(LINEAS!$U$103&lt;=2,"GZ","GX")&amp;" "&amp;TEXT(IF(OR(LINEAS!$U$103=1,LINEAS!$U$103=3),1,-1)*LINEAS!$AF$103*DATOS!$C$67,DATOS!$C$68)))</f>
        <v/>
      </c>
      <c r="E977" s="42" t="str">
        <f t="shared" si="31"/>
        <v/>
      </c>
    </row>
    <row r="978" spans="2:5" ht="15" customHeight="1" x14ac:dyDescent="0.3">
      <c r="B978" s="44" t="str">
        <f>IF(OR(LINEAS!$D$104="",LINEAS!$U$104=0,ABS(IF(OR(LINEAS!$U$104=1,LINEAS!$U$104=3),1,-1)*LINEAS!$AF$104*DATOS!$C$67)&lt;0.00005),"*",LINEAS!$D$104&amp;" UNI "&amp;IF(LINEAS!$U$104&lt;=2,"GZ","GX")&amp;" "&amp;TEXT(IF(OR(LINEAS!$U$104=1,LINEAS!$U$104=3),1,-1)*LINEAS!$AF$104*DATOS!$C$67,DATOS!$C$68))</f>
        <v>54 UNI GX 0.0789</v>
      </c>
      <c r="C978" s="42" t="str">
        <f t="shared" si="30"/>
        <v/>
      </c>
      <c r="D978" s="44" t="str">
        <f>IF(PRESIONES!$C$22="NO","",IF(OR(LINEAS!$D$104="",LINEAS!$U$104=0,ABS(IF(OR(LINEAS!$U$104=1,LINEAS!$U$104=3),1,-1)*LINEAS!$AF$104*DATOS!$C$67)&lt;0.00005),"*",LINEAS!$D$104&amp;" UNI "&amp;IF(LINEAS!$U$104&lt;=2,"GZ","GX")&amp;" "&amp;TEXT(IF(OR(LINEAS!$U$104=1,LINEAS!$U$104=3),1,-1)*LINEAS!$AF$104*DATOS!$C$67,DATOS!$C$68)))</f>
        <v/>
      </c>
      <c r="E978" s="42" t="str">
        <f t="shared" si="31"/>
        <v/>
      </c>
    </row>
    <row r="979" spans="2:5" ht="15" customHeight="1" x14ac:dyDescent="0.3">
      <c r="B979" s="44" t="str">
        <f>IF(OR(LINEAS!$D$105="",LINEAS!$U$105=0,ABS(IF(OR(LINEAS!$U$105=1,LINEAS!$U$105=3),1,-1)*LINEAS!$AF$105*DATOS!$C$67)&lt;0.00005),"*",LINEAS!$D$105&amp;" UNI "&amp;IF(LINEAS!$U$105&lt;=2,"GZ","GX")&amp;" "&amp;TEXT(IF(OR(LINEAS!$U$105=1,LINEAS!$U$105=3),1,-1)*LINEAS!$AF$105*DATOS!$C$67,DATOS!$C$68))</f>
        <v>64 UNI GX -0.0021</v>
      </c>
      <c r="C979" s="42" t="str">
        <f t="shared" si="30"/>
        <v/>
      </c>
      <c r="D979" s="44" t="str">
        <f>IF(PRESIONES!$C$22="NO","",IF(OR(LINEAS!$D$105="",LINEAS!$U$105=0,ABS(IF(OR(LINEAS!$U$105=1,LINEAS!$U$105=3),1,-1)*LINEAS!$AF$105*DATOS!$C$67)&lt;0.00005),"*",LINEAS!$D$105&amp;" UNI "&amp;IF(LINEAS!$U$105&lt;=2,"GZ","GX")&amp;" "&amp;TEXT(IF(OR(LINEAS!$U$105=1,LINEAS!$U$105=3),1,-1)*LINEAS!$AF$105*DATOS!$C$67,DATOS!$C$68)))</f>
        <v/>
      </c>
      <c r="E979" s="42" t="str">
        <f t="shared" si="31"/>
        <v/>
      </c>
    </row>
    <row r="980" spans="2:5" ht="15" customHeight="1" x14ac:dyDescent="0.3">
      <c r="B980" s="44" t="str">
        <f>IF(OR(LINEAS!$D$106="",LINEAS!$U$106=0,ABS(IF(OR(LINEAS!$U$106=1,LINEAS!$U$106=3),1,-1)*LINEAS!$AF$106*DATOS!$C$67)&lt;0.00005),"*",LINEAS!$D$106&amp;" UNI "&amp;IF(LINEAS!$U$106&lt;=2,"GZ","GX")&amp;" "&amp;TEXT(IF(OR(LINEAS!$U$106=1,LINEAS!$U$106=3),1,-1)*LINEAS!$AF$106*DATOS!$C$67,DATOS!$C$68))</f>
        <v>63 UNI GX -0.0019</v>
      </c>
      <c r="C980" s="42" t="str">
        <f t="shared" si="30"/>
        <v/>
      </c>
      <c r="D980" s="44" t="str">
        <f>IF(PRESIONES!$C$22="NO","",IF(OR(LINEAS!$D$106="",LINEAS!$U$106=0,ABS(IF(OR(LINEAS!$U$106=1,LINEAS!$U$106=3),1,-1)*LINEAS!$AF$106*DATOS!$C$67)&lt;0.00005),"*",LINEAS!$D$106&amp;" UNI "&amp;IF(LINEAS!$U$106&lt;=2,"GZ","GX")&amp;" "&amp;TEXT(IF(OR(LINEAS!$U$106=1,LINEAS!$U$106=3),1,-1)*LINEAS!$AF$106*DATOS!$C$67,DATOS!$C$68)))</f>
        <v/>
      </c>
      <c r="E980" s="42" t="str">
        <f t="shared" si="31"/>
        <v/>
      </c>
    </row>
    <row r="981" spans="2:5" ht="15" customHeight="1" x14ac:dyDescent="0.3">
      <c r="B981" s="44" t="str">
        <f>IF(OR(LINEAS!$D$107="",LINEAS!$U$107=0,ABS(IF(OR(LINEAS!$U$107=1,LINEAS!$U$107=3),1,-1)*LINEAS!$AF$107*DATOS!$C$67)&lt;0.00005),"*",LINEAS!$D$107&amp;" UNI "&amp;IF(LINEAS!$U$107&lt;=2,"GZ","GX")&amp;" "&amp;TEXT(IF(OR(LINEAS!$U$107=1,LINEAS!$U$107=3),1,-1)*LINEAS!$AF$107*DATOS!$C$67,DATOS!$C$68))</f>
        <v>62 UNI GX -0.0018</v>
      </c>
      <c r="C981" s="42" t="str">
        <f t="shared" si="30"/>
        <v/>
      </c>
      <c r="D981" s="44" t="str">
        <f>IF(PRESIONES!$C$22="NO","",IF(OR(LINEAS!$D$107="",LINEAS!$U$107=0,ABS(IF(OR(LINEAS!$U$107=1,LINEAS!$U$107=3),1,-1)*LINEAS!$AF$107*DATOS!$C$67)&lt;0.00005),"*",LINEAS!$D$107&amp;" UNI "&amp;IF(LINEAS!$U$107&lt;=2,"GZ","GX")&amp;" "&amp;TEXT(IF(OR(LINEAS!$U$107=1,LINEAS!$U$107=3),1,-1)*LINEAS!$AF$107*DATOS!$C$67,DATOS!$C$68)))</f>
        <v/>
      </c>
      <c r="E981" s="42" t="str">
        <f t="shared" si="31"/>
        <v/>
      </c>
    </row>
    <row r="982" spans="2:5" ht="15" customHeight="1" x14ac:dyDescent="0.3">
      <c r="B982" s="44" t="str">
        <f>IF(OR(LINEAS!$D$108="",LINEAS!$U$108=0,ABS(IF(OR(LINEAS!$U$108=1,LINEAS!$U$108=3),1,-1)*LINEAS!$AF$108*DATOS!$C$67)&lt;0.00005),"*",LINEAS!$D$108&amp;" UNI "&amp;IF(LINEAS!$U$108&lt;=2,"GZ","GX")&amp;" "&amp;TEXT(IF(OR(LINEAS!$U$108=1,LINEAS!$U$108=3),1,-1)*LINEAS!$AF$108*DATOS!$C$67,DATOS!$C$68))</f>
        <v>61 UNI GX -0.0016</v>
      </c>
      <c r="C982" s="42" t="str">
        <f t="shared" si="30"/>
        <v/>
      </c>
      <c r="D982" s="44" t="str">
        <f>IF(PRESIONES!$C$22="NO","",IF(OR(LINEAS!$D$108="",LINEAS!$U$108=0,ABS(IF(OR(LINEAS!$U$108=1,LINEAS!$U$108=3),1,-1)*LINEAS!$AF$108*DATOS!$C$67)&lt;0.00005),"*",LINEAS!$D$108&amp;" UNI "&amp;IF(LINEAS!$U$108&lt;=2,"GZ","GX")&amp;" "&amp;TEXT(IF(OR(LINEAS!$U$108=1,LINEAS!$U$108=3),1,-1)*LINEAS!$AF$108*DATOS!$C$67,DATOS!$C$68)))</f>
        <v/>
      </c>
      <c r="E982" s="42" t="str">
        <f t="shared" si="31"/>
        <v/>
      </c>
    </row>
    <row r="983" spans="2:5" ht="15" customHeight="1" x14ac:dyDescent="0.3">
      <c r="B983" s="44" t="str">
        <f>IF(OR(LINEAS!$D$109="",LINEAS!$U$109=0,ABS(IF(OR(LINEAS!$U$109=1,LINEAS!$U$109=3),1,-1)*LINEAS!$AF$109*DATOS!$C$67)&lt;0.00005),"*",LINEAS!$D$109&amp;" UNI "&amp;IF(LINEAS!$U$109&lt;=2,"GZ","GX")&amp;" "&amp;TEXT(IF(OR(LINEAS!$U$109=1,LINEAS!$U$109=3),1,-1)*LINEAS!$AF$109*DATOS!$C$67,DATOS!$C$68))</f>
        <v>12 UNI GX -0.0015</v>
      </c>
      <c r="C983" s="42" t="str">
        <f t="shared" si="30"/>
        <v/>
      </c>
      <c r="D983" s="44" t="str">
        <f>IF(PRESIONES!$C$22="NO","",IF(OR(LINEAS!$D$109="",LINEAS!$U$109=0,ABS(IF(OR(LINEAS!$U$109=1,LINEAS!$U$109=3),1,-1)*LINEAS!$AF$109*DATOS!$C$67)&lt;0.00005),"*",LINEAS!$D$109&amp;" UNI "&amp;IF(LINEAS!$U$109&lt;=2,"GZ","GX")&amp;" "&amp;TEXT(IF(OR(LINEAS!$U$109=1,LINEAS!$U$109=3),1,-1)*LINEAS!$AF$109*DATOS!$C$67,DATOS!$C$68)))</f>
        <v/>
      </c>
      <c r="E983" s="42" t="str">
        <f t="shared" si="31"/>
        <v/>
      </c>
    </row>
    <row r="984" spans="2:5" ht="15" customHeight="1" x14ac:dyDescent="0.3">
      <c r="B984" s="44" t="str">
        <f>IF(OR(LINEAS!$D$110="",LINEAS!$U$110=0,ABS(IF(OR(LINEAS!$U$110=1,LINEAS!$U$110=3),1,-1)*LINEAS!$AF$110*DATOS!$C$67)&lt;0.00005),"*",LINEAS!$D$110&amp;" UNI "&amp;IF(LINEAS!$U$110&lt;=2,"GZ","GX")&amp;" "&amp;TEXT(IF(OR(LINEAS!$U$110=1,LINEAS!$U$110=3),1,-1)*LINEAS!$AF$110*DATOS!$C$67,DATOS!$C$68))</f>
        <v>72 UNI GX -0.0013</v>
      </c>
      <c r="C984" s="42" t="str">
        <f t="shared" si="30"/>
        <v/>
      </c>
      <c r="D984" s="44" t="str">
        <f>IF(PRESIONES!$C$22="NO","",IF(OR(LINEAS!$D$110="",LINEAS!$U$110=0,ABS(IF(OR(LINEAS!$U$110=1,LINEAS!$U$110=3),1,-1)*LINEAS!$AF$110*DATOS!$C$67)&lt;0.00005),"*",LINEAS!$D$110&amp;" UNI "&amp;IF(LINEAS!$U$110&lt;=2,"GZ","GX")&amp;" "&amp;TEXT(IF(OR(LINEAS!$U$110=1,LINEAS!$U$110=3),1,-1)*LINEAS!$AF$110*DATOS!$C$67,DATOS!$C$68)))</f>
        <v/>
      </c>
      <c r="E984" s="42" t="str">
        <f t="shared" si="31"/>
        <v/>
      </c>
    </row>
    <row r="985" spans="2:5" ht="15" customHeight="1" x14ac:dyDescent="0.3">
      <c r="B985" s="44" t="str">
        <f>IF(OR(LINEAS!$D$111="",LINEAS!$U$111=0,ABS(IF(OR(LINEAS!$U$111=1,LINEAS!$U$111=3),1,-1)*LINEAS!$AF$111*DATOS!$C$67)&lt;0.00005),"*",LINEAS!$D$111&amp;" UNI "&amp;IF(LINEAS!$U$111&lt;=2,"GZ","GX")&amp;" "&amp;TEXT(IF(OR(LINEAS!$U$111=1,LINEAS!$U$111=3),1,-1)*LINEAS!$AF$111*DATOS!$C$67,DATOS!$C$68))</f>
        <v>71 UNI GX -0.0012</v>
      </c>
      <c r="C985" s="42" t="str">
        <f t="shared" si="30"/>
        <v/>
      </c>
      <c r="D985" s="44" t="str">
        <f>IF(PRESIONES!$C$22="NO","",IF(OR(LINEAS!$D$111="",LINEAS!$U$111=0,ABS(IF(OR(LINEAS!$U$111=1,LINEAS!$U$111=3),1,-1)*LINEAS!$AF$111*DATOS!$C$67)&lt;0.00005),"*",LINEAS!$D$111&amp;" UNI "&amp;IF(LINEAS!$U$111&lt;=2,"GZ","GX")&amp;" "&amp;TEXT(IF(OR(LINEAS!$U$111=1,LINEAS!$U$111=3),1,-1)*LINEAS!$AF$111*DATOS!$C$67,DATOS!$C$68)))</f>
        <v/>
      </c>
      <c r="E985" s="42" t="str">
        <f t="shared" si="31"/>
        <v/>
      </c>
    </row>
    <row r="986" spans="2:5" ht="15" customHeight="1" x14ac:dyDescent="0.3">
      <c r="B986" s="44" t="str">
        <f>IF(OR(LINEAS!$D$112="",LINEAS!$U$112=0,ABS(IF(OR(LINEAS!$U$112=1,LINEAS!$U$112=3),1,-1)*LINEAS!$AF$112*DATOS!$C$67)&lt;0.00005),"*",LINEAS!$D$112&amp;" UNI "&amp;IF(LINEAS!$U$112&lt;=2,"GZ","GX")&amp;" "&amp;TEXT(IF(OR(LINEAS!$U$112=1,LINEAS!$U$112=3),1,-1)*LINEAS!$AF$112*DATOS!$C$67,DATOS!$C$68))</f>
        <v>70 UNI GX -0.0011</v>
      </c>
      <c r="C986" s="42" t="str">
        <f t="shared" si="30"/>
        <v/>
      </c>
      <c r="D986" s="44" t="str">
        <f>IF(PRESIONES!$C$22="NO","",IF(OR(LINEAS!$D$112="",LINEAS!$U$112=0,ABS(IF(OR(LINEAS!$U$112=1,LINEAS!$U$112=3),1,-1)*LINEAS!$AF$112*DATOS!$C$67)&lt;0.00005),"*",LINEAS!$D$112&amp;" UNI "&amp;IF(LINEAS!$U$112&lt;=2,"GZ","GX")&amp;" "&amp;TEXT(IF(OR(LINEAS!$U$112=1,LINEAS!$U$112=3),1,-1)*LINEAS!$AF$112*DATOS!$C$67,DATOS!$C$68)))</f>
        <v/>
      </c>
      <c r="E986" s="42" t="str">
        <f t="shared" si="31"/>
        <v/>
      </c>
    </row>
    <row r="987" spans="2:5" ht="15" customHeight="1" x14ac:dyDescent="0.3">
      <c r="B987" s="44" t="str">
        <f>IF(OR(LINEAS!$D$113="",LINEAS!$U$113=0,ABS(IF(OR(LINEAS!$U$113=1,LINEAS!$U$113=3),1,-1)*LINEAS!$AF$113*DATOS!$C$67)&lt;0.00005),"*",LINEAS!$D$113&amp;" UNI "&amp;IF(LINEAS!$U$113&lt;=2,"GZ","GX")&amp;" "&amp;TEXT(IF(OR(LINEAS!$U$113=1,LINEAS!$U$113=3),1,-1)*LINEAS!$AF$113*DATOS!$C$67,DATOS!$C$68))</f>
        <v>69 UNI GX -0.0009</v>
      </c>
      <c r="C987" s="42" t="str">
        <f t="shared" si="30"/>
        <v/>
      </c>
      <c r="D987" s="44" t="str">
        <f>IF(PRESIONES!$C$22="NO","",IF(OR(LINEAS!$D$113="",LINEAS!$U$113=0,ABS(IF(OR(LINEAS!$U$113=1,LINEAS!$U$113=3),1,-1)*LINEAS!$AF$113*DATOS!$C$67)&lt;0.00005),"*",LINEAS!$D$113&amp;" UNI "&amp;IF(LINEAS!$U$113&lt;=2,"GZ","GX")&amp;" "&amp;TEXT(IF(OR(LINEAS!$U$113=1,LINEAS!$U$113=3),1,-1)*LINEAS!$AF$113*DATOS!$C$67,DATOS!$C$68)))</f>
        <v/>
      </c>
      <c r="E987" s="42" t="str">
        <f t="shared" si="31"/>
        <v/>
      </c>
    </row>
    <row r="988" spans="2:5" ht="15" customHeight="1" x14ac:dyDescent="0.3">
      <c r="B988" s="44" t="str">
        <f>IF(OR(LINEAS!$D$114="",LINEAS!$U$114=0,ABS(IF(OR(LINEAS!$U$114=1,LINEAS!$U$114=3),1,-1)*LINEAS!$AF$114*DATOS!$C$67)&lt;0.00005),"*",LINEAS!$D$114&amp;" UNI "&amp;IF(LINEAS!$U$114&lt;=2,"GZ","GX")&amp;" "&amp;TEXT(IF(OR(LINEAS!$U$114=1,LINEAS!$U$114=3),1,-1)*LINEAS!$AF$114*DATOS!$C$67,DATOS!$C$68))</f>
        <v>50 UNI GX -0.0008</v>
      </c>
      <c r="C988" s="42" t="str">
        <f t="shared" si="30"/>
        <v/>
      </c>
      <c r="D988" s="44" t="str">
        <f>IF(PRESIONES!$C$22="NO","",IF(OR(LINEAS!$D$114="",LINEAS!$U$114=0,ABS(IF(OR(LINEAS!$U$114=1,LINEAS!$U$114=3),1,-1)*LINEAS!$AF$114*DATOS!$C$67)&lt;0.00005),"*",LINEAS!$D$114&amp;" UNI "&amp;IF(LINEAS!$U$114&lt;=2,"GZ","GX")&amp;" "&amp;TEXT(IF(OR(LINEAS!$U$114=1,LINEAS!$U$114=3),1,-1)*LINEAS!$AF$114*DATOS!$C$67,DATOS!$C$68)))</f>
        <v/>
      </c>
      <c r="E988" s="42" t="str">
        <f t="shared" si="31"/>
        <v/>
      </c>
    </row>
    <row r="989" spans="2:5" ht="15" customHeight="1" x14ac:dyDescent="0.3">
      <c r="B989" s="44" t="str">
        <f>IF(OR(LINEAS!$D$115="",LINEAS!$U$115=0,ABS(IF(OR(LINEAS!$U$115=1,LINEAS!$U$115=3),1,-1)*LINEAS!$AF$115*DATOS!$C$67)&lt;0.00005),"*",LINEAS!$D$115&amp;" UNI "&amp;IF(LINEAS!$U$115&lt;=2,"GZ","GX")&amp;" "&amp;TEXT(IF(OR(LINEAS!$U$115=1,LINEAS!$U$115=3),1,-1)*LINEAS!$AF$115*DATOS!$C$67,DATOS!$C$68))</f>
        <v>53 UNI GX -0.0007</v>
      </c>
      <c r="C989" s="42" t="str">
        <f t="shared" si="30"/>
        <v/>
      </c>
      <c r="D989" s="44" t="str">
        <f>IF(PRESIONES!$C$22="NO","",IF(OR(LINEAS!$D$115="",LINEAS!$U$115=0,ABS(IF(OR(LINEAS!$U$115=1,LINEAS!$U$115=3),1,-1)*LINEAS!$AF$115*DATOS!$C$67)&lt;0.00005),"*",LINEAS!$D$115&amp;" UNI "&amp;IF(LINEAS!$U$115&lt;=2,"GZ","GX")&amp;" "&amp;TEXT(IF(OR(LINEAS!$U$115=1,LINEAS!$U$115=3),1,-1)*LINEAS!$AF$115*DATOS!$C$67,DATOS!$C$68)))</f>
        <v/>
      </c>
      <c r="E989" s="42" t="str">
        <f t="shared" si="31"/>
        <v/>
      </c>
    </row>
    <row r="990" spans="2:5" ht="15" customHeight="1" x14ac:dyDescent="0.3">
      <c r="B990" s="44" t="str">
        <f>IF(OR(LINEAS!$D$116="",LINEAS!$U$116=0,ABS(IF(OR(LINEAS!$U$116=1,LINEAS!$U$116=3),1,-1)*LINEAS!$AF$116*DATOS!$C$67)&lt;0.00005),"*",LINEAS!$D$116&amp;" UNI "&amp;IF(LINEAS!$U$116&lt;=2,"GZ","GX")&amp;" "&amp;TEXT(IF(OR(LINEAS!$U$116=1,LINEAS!$U$116=3),1,-1)*LINEAS!$AF$116*DATOS!$C$67,DATOS!$C$68))</f>
        <v>55 UNI GX -0.0005</v>
      </c>
      <c r="C990" s="42" t="str">
        <f t="shared" si="30"/>
        <v/>
      </c>
      <c r="D990" s="44" t="str">
        <f>IF(PRESIONES!$C$22="NO","",IF(OR(LINEAS!$D$116="",LINEAS!$U$116=0,ABS(IF(OR(LINEAS!$U$116=1,LINEAS!$U$116=3),1,-1)*LINEAS!$AF$116*DATOS!$C$67)&lt;0.00005),"*",LINEAS!$D$116&amp;" UNI "&amp;IF(LINEAS!$U$116&lt;=2,"GZ","GX")&amp;" "&amp;TEXT(IF(OR(LINEAS!$U$116=1,LINEAS!$U$116=3),1,-1)*LINEAS!$AF$116*DATOS!$C$67,DATOS!$C$68)))</f>
        <v/>
      </c>
      <c r="E990" s="42" t="str">
        <f t="shared" si="31"/>
        <v/>
      </c>
    </row>
    <row r="991" spans="2:5" ht="15" customHeight="1" x14ac:dyDescent="0.3">
      <c r="B991" s="44" t="str">
        <f>IF(OR(LINEAS!$D$117="",LINEAS!$U$117=0,ABS(IF(OR(LINEAS!$U$117=1,LINEAS!$U$117=3),1,-1)*LINEAS!$AF$117*DATOS!$C$67)&lt;0.00005),"*",LINEAS!$D$117&amp;" UNI "&amp;IF(LINEAS!$U$117&lt;=2,"GZ","GX")&amp;" "&amp;TEXT(IF(OR(LINEAS!$U$117=1,LINEAS!$U$117=3),1,-1)*LINEAS!$AF$117*DATOS!$C$67,DATOS!$C$68))</f>
        <v>262 UNI GZ -0.1102</v>
      </c>
      <c r="C991" s="42" t="str">
        <f t="shared" si="30"/>
        <v/>
      </c>
      <c r="D991" s="44" t="str">
        <f>IF(PRESIONES!$C$22="NO","",IF(OR(LINEAS!$D$117="",LINEAS!$U$117=0,ABS(IF(OR(LINEAS!$U$117=1,LINEAS!$U$117=3),1,-1)*LINEAS!$AF$117*DATOS!$C$67)&lt;0.00005),"*",LINEAS!$D$117&amp;" UNI "&amp;IF(LINEAS!$U$117&lt;=2,"GZ","GX")&amp;" "&amp;TEXT(IF(OR(LINEAS!$U$117=1,LINEAS!$U$117=3),1,-1)*LINEAS!$AF$117*DATOS!$C$67,DATOS!$C$68)))</f>
        <v/>
      </c>
      <c r="E991" s="42" t="str">
        <f t="shared" si="31"/>
        <v/>
      </c>
    </row>
    <row r="992" spans="2:5" ht="15" customHeight="1" x14ac:dyDescent="0.3">
      <c r="B992" s="44" t="str">
        <f>IF(OR(LINEAS!$D$118="",LINEAS!$U$118=0,ABS(IF(OR(LINEAS!$U$118=1,LINEAS!$U$118=3),1,-1)*LINEAS!$AF$118*DATOS!$C$67)&lt;0.00005),"*",LINEAS!$D$118&amp;" UNI "&amp;IF(LINEAS!$U$118&lt;=2,"GZ","GX")&amp;" "&amp;TEXT(IF(OR(LINEAS!$U$118=1,LINEAS!$U$118=3),1,-1)*LINEAS!$AF$118*DATOS!$C$67,DATOS!$C$68))</f>
        <v>263 UNI GZ -0.1102</v>
      </c>
      <c r="C992" s="42" t="str">
        <f t="shared" si="30"/>
        <v/>
      </c>
      <c r="D992" s="44" t="str">
        <f>IF(PRESIONES!$C$22="NO","",IF(OR(LINEAS!$D$118="",LINEAS!$U$118=0,ABS(IF(OR(LINEAS!$U$118=1,LINEAS!$U$118=3),1,-1)*LINEAS!$AF$118*DATOS!$C$67)&lt;0.00005),"*",LINEAS!$D$118&amp;" UNI "&amp;IF(LINEAS!$U$118&lt;=2,"GZ","GX")&amp;" "&amp;TEXT(IF(OR(LINEAS!$U$118=1,LINEAS!$U$118=3),1,-1)*LINEAS!$AF$118*DATOS!$C$67,DATOS!$C$68)))</f>
        <v/>
      </c>
      <c r="E992" s="42" t="str">
        <f t="shared" si="31"/>
        <v/>
      </c>
    </row>
    <row r="993" spans="2:5" ht="15" customHeight="1" x14ac:dyDescent="0.3">
      <c r="B993" s="44" t="str">
        <f>IF(OR(LINEAS!$D$119="",LINEAS!$U$119=0,ABS(IF(OR(LINEAS!$U$119=1,LINEAS!$U$119=3),1,-1)*LINEAS!$AF$119*DATOS!$C$67)&lt;0.00005),"*",LINEAS!$D$119&amp;" UNI "&amp;IF(LINEAS!$U$119&lt;=2,"GZ","GX")&amp;" "&amp;TEXT(IF(OR(LINEAS!$U$119=1,LINEAS!$U$119=3),1,-1)*LINEAS!$AF$119*DATOS!$C$67,DATOS!$C$68))</f>
        <v>264 UNI GZ -0.1102</v>
      </c>
      <c r="C993" s="42" t="str">
        <f t="shared" si="30"/>
        <v/>
      </c>
      <c r="D993" s="44" t="str">
        <f>IF(PRESIONES!$C$22="NO","",IF(OR(LINEAS!$D$119="",LINEAS!$U$119=0,ABS(IF(OR(LINEAS!$U$119=1,LINEAS!$U$119=3),1,-1)*LINEAS!$AF$119*DATOS!$C$67)&lt;0.00005),"*",LINEAS!$D$119&amp;" UNI "&amp;IF(LINEAS!$U$119&lt;=2,"GZ","GX")&amp;" "&amp;TEXT(IF(OR(LINEAS!$U$119=1,LINEAS!$U$119=3),1,-1)*LINEAS!$AF$119*DATOS!$C$67,DATOS!$C$68)))</f>
        <v/>
      </c>
      <c r="E993" s="42" t="str">
        <f t="shared" si="31"/>
        <v/>
      </c>
    </row>
    <row r="994" spans="2:5" ht="15" customHeight="1" x14ac:dyDescent="0.3">
      <c r="B994" s="44" t="str">
        <f>IF(OR(LINEAS!$D$120="",LINEAS!$U$120=0,ABS(IF(OR(LINEAS!$U$120=1,LINEAS!$U$120=3),1,-1)*LINEAS!$AF$120*DATOS!$C$67)&lt;0.00005),"*",LINEAS!$D$120&amp;" UNI "&amp;IF(LINEAS!$U$120&lt;=2,"GZ","GX")&amp;" "&amp;TEXT(IF(OR(LINEAS!$U$120=1,LINEAS!$U$120=3),1,-1)*LINEAS!$AF$120*DATOS!$C$67,DATOS!$C$68))</f>
        <v>271 UNI GZ -0.1102</v>
      </c>
      <c r="C994" s="42" t="str">
        <f t="shared" si="30"/>
        <v/>
      </c>
      <c r="D994" s="44" t="str">
        <f>IF(PRESIONES!$C$22="NO","",IF(OR(LINEAS!$D$120="",LINEAS!$U$120=0,ABS(IF(OR(LINEAS!$U$120=1,LINEAS!$U$120=3),1,-1)*LINEAS!$AF$120*DATOS!$C$67)&lt;0.00005),"*",LINEAS!$D$120&amp;" UNI "&amp;IF(LINEAS!$U$120&lt;=2,"GZ","GX")&amp;" "&amp;TEXT(IF(OR(LINEAS!$U$120=1,LINEAS!$U$120=3),1,-1)*LINEAS!$AF$120*DATOS!$C$67,DATOS!$C$68)))</f>
        <v/>
      </c>
      <c r="E994" s="42" t="str">
        <f t="shared" si="31"/>
        <v/>
      </c>
    </row>
    <row r="995" spans="2:5" ht="15" customHeight="1" x14ac:dyDescent="0.3">
      <c r="B995" s="44" t="str">
        <f>IF(OR(LINEAS!$D$121="",LINEAS!$U$121=0,ABS(IF(OR(LINEAS!$U$121=1,LINEAS!$U$121=3),1,-1)*LINEAS!$AF$121*DATOS!$C$67)&lt;0.00005),"*",LINEAS!$D$121&amp;" UNI "&amp;IF(LINEAS!$U$121&lt;=2,"GZ","GX")&amp;" "&amp;TEXT(IF(OR(LINEAS!$U$121=1,LINEAS!$U$121=3),1,-1)*LINEAS!$AF$121*DATOS!$C$67,DATOS!$C$68))</f>
        <v>286 UNI GZ -0.0551</v>
      </c>
      <c r="C995" s="42" t="str">
        <f t="shared" si="30"/>
        <v/>
      </c>
      <c r="D995" s="44" t="str">
        <f>IF(PRESIONES!$C$22="NO","",IF(OR(LINEAS!$D$121="",LINEAS!$U$121=0,ABS(IF(OR(LINEAS!$U$121=1,LINEAS!$U$121=3),1,-1)*LINEAS!$AF$121*DATOS!$C$67)&lt;0.00005),"*",LINEAS!$D$121&amp;" UNI "&amp;IF(LINEAS!$U$121&lt;=2,"GZ","GX")&amp;" "&amp;TEXT(IF(OR(LINEAS!$U$121=1,LINEAS!$U$121=3),1,-1)*LINEAS!$AF$121*DATOS!$C$67,DATOS!$C$68)))</f>
        <v/>
      </c>
      <c r="E995" s="42" t="str">
        <f t="shared" si="31"/>
        <v/>
      </c>
    </row>
    <row r="996" spans="2:5" ht="15" customHeight="1" x14ac:dyDescent="0.3">
      <c r="B996" s="44" t="str">
        <f>IF(OR(LINEAS!$D$122="",LINEAS!$U$122=0,ABS(IF(OR(LINEAS!$U$122=1,LINEAS!$U$122=3),1,-1)*LINEAS!$AF$122*DATOS!$C$67)&lt;0.00005),"*",LINEAS!$D$122&amp;" UNI "&amp;IF(LINEAS!$U$122&lt;=2,"GZ","GX")&amp;" "&amp;TEXT(IF(OR(LINEAS!$U$122=1,LINEAS!$U$122=3),1,-1)*LINEAS!$AF$122*DATOS!$C$67,DATOS!$C$68))</f>
        <v>272 UNI GZ -0.1102</v>
      </c>
      <c r="C996" s="42" t="str">
        <f t="shared" si="30"/>
        <v/>
      </c>
      <c r="D996" s="44" t="str">
        <f>IF(PRESIONES!$C$22="NO","",IF(OR(LINEAS!$D$122="",LINEAS!$U$122=0,ABS(IF(OR(LINEAS!$U$122=1,LINEAS!$U$122=3),1,-1)*LINEAS!$AF$122*DATOS!$C$67)&lt;0.00005),"*",LINEAS!$D$122&amp;" UNI "&amp;IF(LINEAS!$U$122&lt;=2,"GZ","GX")&amp;" "&amp;TEXT(IF(OR(LINEAS!$U$122=1,LINEAS!$U$122=3),1,-1)*LINEAS!$AF$122*DATOS!$C$67,DATOS!$C$68)))</f>
        <v/>
      </c>
      <c r="E996" s="42" t="str">
        <f t="shared" si="31"/>
        <v/>
      </c>
    </row>
    <row r="997" spans="2:5" ht="15" customHeight="1" x14ac:dyDescent="0.3">
      <c r="B997" s="44" t="str">
        <f>IF(OR(LINEAS!$D$123="",LINEAS!$U$123=0,ABS(IF(OR(LINEAS!$U$123=1,LINEAS!$U$123=3),1,-1)*LINEAS!$AF$123*DATOS!$C$67)&lt;0.00005),"*",LINEAS!$D$123&amp;" UNI "&amp;IF(LINEAS!$U$123&lt;=2,"GZ","GX")&amp;" "&amp;TEXT(IF(OR(LINEAS!$U$123=1,LINEAS!$U$123=3),1,-1)*LINEAS!$AF$123*DATOS!$C$67,DATOS!$C$68))</f>
        <v>273 UNI GZ -0.1102</v>
      </c>
      <c r="C997" s="42" t="str">
        <f t="shared" si="30"/>
        <v/>
      </c>
      <c r="D997" s="44" t="str">
        <f>IF(PRESIONES!$C$22="NO","",IF(OR(LINEAS!$D$123="",LINEAS!$U$123=0,ABS(IF(OR(LINEAS!$U$123=1,LINEAS!$U$123=3),1,-1)*LINEAS!$AF$123*DATOS!$C$67)&lt;0.00005),"*",LINEAS!$D$123&amp;" UNI "&amp;IF(LINEAS!$U$123&lt;=2,"GZ","GX")&amp;" "&amp;TEXT(IF(OR(LINEAS!$U$123=1,LINEAS!$U$123=3),1,-1)*LINEAS!$AF$123*DATOS!$C$67,DATOS!$C$68)))</f>
        <v/>
      </c>
      <c r="E997" s="42" t="str">
        <f t="shared" si="31"/>
        <v/>
      </c>
    </row>
    <row r="998" spans="2:5" ht="15" customHeight="1" x14ac:dyDescent="0.3">
      <c r="B998" s="44" t="str">
        <f>IF(OR(LINEAS!$D$124="",LINEAS!$U$124=0,ABS(IF(OR(LINEAS!$U$124=1,LINEAS!$U$124=3),1,-1)*LINEAS!$AF$124*DATOS!$C$67)&lt;0.00005),"*",LINEAS!$D$124&amp;" UNI "&amp;IF(LINEAS!$U$124&lt;=2,"GZ","GX")&amp;" "&amp;TEXT(IF(OR(LINEAS!$U$124=1,LINEAS!$U$124=3),1,-1)*LINEAS!$AF$124*DATOS!$C$67,DATOS!$C$68))</f>
        <v>280 UNI GZ -0.1102</v>
      </c>
      <c r="C998" s="42" t="str">
        <f t="shared" si="30"/>
        <v/>
      </c>
      <c r="D998" s="44" t="str">
        <f>IF(PRESIONES!$C$22="NO","",IF(OR(LINEAS!$D$124="",LINEAS!$U$124=0,ABS(IF(OR(LINEAS!$U$124=1,LINEAS!$U$124=3),1,-1)*LINEAS!$AF$124*DATOS!$C$67)&lt;0.00005),"*",LINEAS!$D$124&amp;" UNI "&amp;IF(LINEAS!$U$124&lt;=2,"GZ","GX")&amp;" "&amp;TEXT(IF(OR(LINEAS!$U$124=1,LINEAS!$U$124=3),1,-1)*LINEAS!$AF$124*DATOS!$C$67,DATOS!$C$68)))</f>
        <v/>
      </c>
      <c r="E998" s="42" t="str">
        <f t="shared" si="31"/>
        <v/>
      </c>
    </row>
    <row r="999" spans="2:5" ht="15" customHeight="1" x14ac:dyDescent="0.3">
      <c r="B999" s="44" t="str">
        <f>IF(OR(LINEAS!$D$125="",LINEAS!$U$125=0,ABS(IF(OR(LINEAS!$U$125=1,LINEAS!$U$125=3),1,-1)*LINEAS!$AF$125*DATOS!$C$67)&lt;0.00005),"*",LINEAS!$D$125&amp;" UNI "&amp;IF(LINEAS!$U$125&lt;=2,"GZ","GX")&amp;" "&amp;TEXT(IF(OR(LINEAS!$U$125=1,LINEAS!$U$125=3),1,-1)*LINEAS!$AF$125*DATOS!$C$67,DATOS!$C$68))</f>
        <v>282 UNI GZ -0.1102</v>
      </c>
      <c r="C999" s="42" t="str">
        <f t="shared" si="30"/>
        <v/>
      </c>
      <c r="D999" s="44" t="str">
        <f>IF(PRESIONES!$C$22="NO","",IF(OR(LINEAS!$D$125="",LINEAS!$U$125=0,ABS(IF(OR(LINEAS!$U$125=1,LINEAS!$U$125=3),1,-1)*LINEAS!$AF$125*DATOS!$C$67)&lt;0.00005),"*",LINEAS!$D$125&amp;" UNI "&amp;IF(LINEAS!$U$125&lt;=2,"GZ","GX")&amp;" "&amp;TEXT(IF(OR(LINEAS!$U$125=1,LINEAS!$U$125=3),1,-1)*LINEAS!$AF$125*DATOS!$C$67,DATOS!$C$68)))</f>
        <v/>
      </c>
      <c r="E999" s="42" t="str">
        <f t="shared" si="31"/>
        <v/>
      </c>
    </row>
    <row r="1000" spans="2:5" ht="15" customHeight="1" x14ac:dyDescent="0.3">
      <c r="B1000" s="44" t="str">
        <f>IF(OR(LINEAS!$D$126="",LINEAS!$U$126=0,ABS(IF(OR(LINEAS!$U$126=1,LINEAS!$U$126=3),1,-1)*LINEAS!$AF$126*DATOS!$C$67)&lt;0.00005),"*",LINEAS!$D$126&amp;" UNI "&amp;IF(LINEAS!$U$126&lt;=2,"GZ","GX")&amp;" "&amp;TEXT(IF(OR(LINEAS!$U$126=1,LINEAS!$U$126=3),1,-1)*LINEAS!$AF$126*DATOS!$C$67,DATOS!$C$68))</f>
        <v>290 UNI GZ -0.1102</v>
      </c>
      <c r="C1000" s="42" t="str">
        <f t="shared" si="30"/>
        <v/>
      </c>
      <c r="D1000" s="44" t="str">
        <f>IF(PRESIONES!$C$22="NO","",IF(OR(LINEAS!$D$126="",LINEAS!$U$126=0,ABS(IF(OR(LINEAS!$U$126=1,LINEAS!$U$126=3),1,-1)*LINEAS!$AF$126*DATOS!$C$67)&lt;0.00005),"*",LINEAS!$D$126&amp;" UNI "&amp;IF(LINEAS!$U$126&lt;=2,"GZ","GX")&amp;" "&amp;TEXT(IF(OR(LINEAS!$U$126=1,LINEAS!$U$126=3),1,-1)*LINEAS!$AF$126*DATOS!$C$67,DATOS!$C$68)))</f>
        <v/>
      </c>
      <c r="E1000" s="42" t="str">
        <f t="shared" si="31"/>
        <v/>
      </c>
    </row>
    <row r="1001" spans="2:5" ht="15" customHeight="1" x14ac:dyDescent="0.3">
      <c r="B1001" s="44" t="str">
        <f>IF(OR(LINEAS!$D$127="",LINEAS!$U$127=0,ABS(IF(OR(LINEAS!$U$127=1,LINEAS!$U$127=3),1,-1)*LINEAS!$AF$127*DATOS!$C$67)&lt;0.00005),"*",LINEAS!$D$127&amp;" UNI "&amp;IF(LINEAS!$U$127&lt;=2,"GZ","GX")&amp;" "&amp;TEXT(IF(OR(LINEAS!$U$127=1,LINEAS!$U$127=3),1,-1)*LINEAS!$AF$127*DATOS!$C$67,DATOS!$C$68))</f>
        <v>291 UNI GZ -0.1102</v>
      </c>
      <c r="C1001" s="42" t="str">
        <f t="shared" si="30"/>
        <v/>
      </c>
      <c r="D1001" s="44" t="str">
        <f>IF(PRESIONES!$C$22="NO","",IF(OR(LINEAS!$D$127="",LINEAS!$U$127=0,ABS(IF(OR(LINEAS!$U$127=1,LINEAS!$U$127=3),1,-1)*LINEAS!$AF$127*DATOS!$C$67)&lt;0.00005),"*",LINEAS!$D$127&amp;" UNI "&amp;IF(LINEAS!$U$127&lt;=2,"GZ","GX")&amp;" "&amp;TEXT(IF(OR(LINEAS!$U$127=1,LINEAS!$U$127=3),1,-1)*LINEAS!$AF$127*DATOS!$C$67,DATOS!$C$68)))</f>
        <v/>
      </c>
      <c r="E1001" s="42" t="str">
        <f t="shared" si="31"/>
        <v/>
      </c>
    </row>
    <row r="1002" spans="2:5" ht="15" customHeight="1" x14ac:dyDescent="0.3">
      <c r="B1002" s="44" t="str">
        <f>IF(OR(LINEAS!$D$128="",LINEAS!$U$128=0,ABS(IF(OR(LINEAS!$U$128=1,LINEAS!$U$128=3),1,-1)*LINEAS!$AF$128*DATOS!$C$67)&lt;0.00005),"*",LINEAS!$D$128&amp;" UNI "&amp;IF(LINEAS!$U$128&lt;=2,"GZ","GX")&amp;" "&amp;TEXT(IF(OR(LINEAS!$U$128=1,LINEAS!$U$128=3),1,-1)*LINEAS!$AF$128*DATOS!$C$67,DATOS!$C$68))</f>
        <v>298 UNI GZ -0.0703</v>
      </c>
      <c r="C1002" s="42" t="str">
        <f t="shared" si="30"/>
        <v/>
      </c>
      <c r="D1002" s="44" t="str">
        <f>IF(PRESIONES!$C$22="NO","",IF(OR(LINEAS!$D$128="",LINEAS!$U$128=0,ABS(IF(OR(LINEAS!$U$128=1,LINEAS!$U$128=3),1,-1)*LINEAS!$AF$128*DATOS!$C$67)&lt;0.00005),"*",LINEAS!$D$128&amp;" UNI "&amp;IF(LINEAS!$U$128&lt;=2,"GZ","GX")&amp;" "&amp;TEXT(IF(OR(LINEAS!$U$128=1,LINEAS!$U$128=3),1,-1)*LINEAS!$AF$128*DATOS!$C$67,DATOS!$C$68)))</f>
        <v/>
      </c>
      <c r="E1002" s="42" t="str">
        <f t="shared" si="31"/>
        <v/>
      </c>
    </row>
    <row r="1003" spans="2:5" ht="15" customHeight="1" x14ac:dyDescent="0.3">
      <c r="B1003" s="44" t="str">
        <f>IF(OR(LINEAS!$D$129="",LINEAS!$U$129=0,ABS(IF(OR(LINEAS!$U$129=1,LINEAS!$U$129=3),1,-1)*LINEAS!$AF$129*DATOS!$C$67)&lt;0.00005),"*",LINEAS!$D$129&amp;" UNI "&amp;IF(LINEAS!$U$129&lt;=2,"GZ","GX")&amp;" "&amp;TEXT(IF(OR(LINEAS!$U$129=1,LINEAS!$U$129=3),1,-1)*LINEAS!$AF$129*DATOS!$C$67,DATOS!$C$68))</f>
        <v>299 UNI GZ -0.0703</v>
      </c>
      <c r="C1003" s="42" t="str">
        <f t="shared" si="30"/>
        <v/>
      </c>
      <c r="D1003" s="44" t="str">
        <f>IF(PRESIONES!$C$22="NO","",IF(OR(LINEAS!$D$129="",LINEAS!$U$129=0,ABS(IF(OR(LINEAS!$U$129=1,LINEAS!$U$129=3),1,-1)*LINEAS!$AF$129*DATOS!$C$67)&lt;0.00005),"*",LINEAS!$D$129&amp;" UNI "&amp;IF(LINEAS!$U$129&lt;=2,"GZ","GX")&amp;" "&amp;TEXT(IF(OR(LINEAS!$U$129=1,LINEAS!$U$129=3),1,-1)*LINEAS!$AF$129*DATOS!$C$67,DATOS!$C$68)))</f>
        <v/>
      </c>
      <c r="E1003" s="42" t="str">
        <f t="shared" si="31"/>
        <v/>
      </c>
    </row>
    <row r="1004" spans="2:5" ht="15" customHeight="1" x14ac:dyDescent="0.3">
      <c r="B1004" s="44" t="str">
        <f>IF(OR(LINEAS!$D$130="",LINEAS!$U$130=0,ABS(IF(OR(LINEAS!$U$130=1,LINEAS!$U$130=3),1,-1)*LINEAS!$AF$130*DATOS!$C$67)&lt;0.00005),"*",LINEAS!$D$130&amp;" UNI "&amp;IF(LINEAS!$U$130&lt;=2,"GZ","GX")&amp;" "&amp;TEXT(IF(OR(LINEAS!$U$130=1,LINEAS!$U$130=3),1,-1)*LINEAS!$AF$130*DATOS!$C$67,DATOS!$C$68))</f>
        <v>326 UNI GZ -0.0551</v>
      </c>
      <c r="C1004" s="42" t="str">
        <f t="shared" si="30"/>
        <v/>
      </c>
      <c r="D1004" s="44" t="str">
        <f>IF(PRESIONES!$C$22="NO","",IF(OR(LINEAS!$D$130="",LINEAS!$U$130=0,ABS(IF(OR(LINEAS!$U$130=1,LINEAS!$U$130=3),1,-1)*LINEAS!$AF$130*DATOS!$C$67)&lt;0.00005),"*",LINEAS!$D$130&amp;" UNI "&amp;IF(LINEAS!$U$130&lt;=2,"GZ","GX")&amp;" "&amp;TEXT(IF(OR(LINEAS!$U$130=1,LINEAS!$U$130=3),1,-1)*LINEAS!$AF$130*DATOS!$C$67,DATOS!$C$68)))</f>
        <v/>
      </c>
      <c r="E1004" s="42" t="str">
        <f t="shared" si="31"/>
        <v/>
      </c>
    </row>
    <row r="1005" spans="2:5" ht="15" customHeight="1" x14ac:dyDescent="0.3">
      <c r="B1005" s="44" t="str">
        <f>IF(OR(LINEAS!$D$131="",LINEAS!$U$131=0,ABS(IF(OR(LINEAS!$U$131=1,LINEAS!$U$131=3),1,-1)*LINEAS!$AF$131*DATOS!$C$67)&lt;0.00005),"*",LINEAS!$D$131&amp;" UNI "&amp;IF(LINEAS!$U$131&lt;=2,"GZ","GX")&amp;" "&amp;TEXT(IF(OR(LINEAS!$U$131=1,LINEAS!$U$131=3),1,-1)*LINEAS!$AF$131*DATOS!$C$67,DATOS!$C$68))</f>
        <v>25 UNI GZ -0.0400</v>
      </c>
      <c r="C1005" s="42" t="str">
        <f t="shared" si="30"/>
        <v/>
      </c>
      <c r="D1005" s="44" t="str">
        <f>IF(PRESIONES!$C$22="NO","",IF(OR(LINEAS!$D$131="",LINEAS!$U$131=0,ABS(IF(OR(LINEAS!$U$131=1,LINEAS!$U$131=3),1,-1)*LINEAS!$AF$131*DATOS!$C$67)&lt;0.00005),"*",LINEAS!$D$131&amp;" UNI "&amp;IF(LINEAS!$U$131&lt;=2,"GZ","GX")&amp;" "&amp;TEXT(IF(OR(LINEAS!$U$131=1,LINEAS!$U$131=3),1,-1)*LINEAS!$AF$131*DATOS!$C$67,DATOS!$C$68)))</f>
        <v/>
      </c>
      <c r="E1005" s="42" t="str">
        <f t="shared" si="31"/>
        <v/>
      </c>
    </row>
    <row r="1006" spans="2:5" ht="15" customHeight="1" x14ac:dyDescent="0.3">
      <c r="B1006" s="44" t="str">
        <f>IF(OR(LINEAS!$D$132="",LINEAS!$U$132=0,ABS(IF(OR(LINEAS!$U$132=1,LINEAS!$U$132=3),1,-1)*LINEAS!$AF$132*DATOS!$C$67)&lt;0.00005),"*",LINEAS!$D$132&amp;" UNI "&amp;IF(LINEAS!$U$132&lt;=2,"GZ","GX")&amp;" "&amp;TEXT(IF(OR(LINEAS!$U$132=1,LINEAS!$U$132=3),1,-1)*LINEAS!$AF$132*DATOS!$C$67,DATOS!$C$68))</f>
        <v>327 UNI GZ -0.0551</v>
      </c>
      <c r="C1006" s="42" t="str">
        <f t="shared" si="30"/>
        <v/>
      </c>
      <c r="D1006" s="44" t="str">
        <f>IF(PRESIONES!$C$22="NO","",IF(OR(LINEAS!$D$132="",LINEAS!$U$132=0,ABS(IF(OR(LINEAS!$U$132=1,LINEAS!$U$132=3),1,-1)*LINEAS!$AF$132*DATOS!$C$67)&lt;0.00005),"*",LINEAS!$D$132&amp;" UNI "&amp;IF(LINEAS!$U$132&lt;=2,"GZ","GX")&amp;" "&amp;TEXT(IF(OR(LINEAS!$U$132=1,LINEAS!$U$132=3),1,-1)*LINEAS!$AF$132*DATOS!$C$67,DATOS!$C$68)))</f>
        <v/>
      </c>
      <c r="E1006" s="42" t="str">
        <f t="shared" si="31"/>
        <v/>
      </c>
    </row>
    <row r="1007" spans="2:5" ht="15" customHeight="1" x14ac:dyDescent="0.3">
      <c r="B1007" s="44" t="str">
        <f>IF(OR(LINEAS!$D$133="",LINEAS!$U$133=0,ABS(IF(OR(LINEAS!$U$133=1,LINEAS!$U$133=3),1,-1)*LINEAS!$AF$133*DATOS!$C$67)&lt;0.00005),"*",LINEAS!$D$133&amp;" UNI "&amp;IF(LINEAS!$U$133&lt;=2,"GZ","GX")&amp;" "&amp;TEXT(IF(OR(LINEAS!$U$133=1,LINEAS!$U$133=3),1,-1)*LINEAS!$AF$133*DATOS!$C$67,DATOS!$C$68))</f>
        <v>306 UNI GZ -0.0951</v>
      </c>
      <c r="C1007" s="42" t="str">
        <f t="shared" si="30"/>
        <v/>
      </c>
      <c r="D1007" s="44" t="str">
        <f>IF(PRESIONES!$C$22="NO","",IF(OR(LINEAS!$D$133="",LINEAS!$U$133=0,ABS(IF(OR(LINEAS!$U$133=1,LINEAS!$U$133=3),1,-1)*LINEAS!$AF$133*DATOS!$C$67)&lt;0.00005),"*",LINEAS!$D$133&amp;" UNI "&amp;IF(LINEAS!$U$133&lt;=2,"GZ","GX")&amp;" "&amp;TEXT(IF(OR(LINEAS!$U$133=1,LINEAS!$U$133=3),1,-1)*LINEAS!$AF$133*DATOS!$C$67,DATOS!$C$68)))</f>
        <v/>
      </c>
      <c r="E1007" s="42" t="str">
        <f t="shared" si="31"/>
        <v/>
      </c>
    </row>
    <row r="1008" spans="2:5" ht="15" customHeight="1" x14ac:dyDescent="0.3">
      <c r="B1008" s="44" t="str">
        <f>IF(OR(LINEAS!$D$134="",LINEAS!$U$134=0,ABS(IF(OR(LINEAS!$U$134=1,LINEAS!$U$134=3),1,-1)*LINEAS!$AF$134*DATOS!$C$67)&lt;0.00005),"*",LINEAS!$D$134&amp;" UNI "&amp;IF(LINEAS!$U$134&lt;=2,"GZ","GX")&amp;" "&amp;TEXT(IF(OR(LINEAS!$U$134=1,LINEAS!$U$134=3),1,-1)*LINEAS!$AF$134*DATOS!$C$67,DATOS!$C$68))</f>
        <v>322 UNI GZ -0.1102</v>
      </c>
      <c r="C1008" s="42" t="str">
        <f t="shared" si="30"/>
        <v/>
      </c>
      <c r="D1008" s="44" t="str">
        <f>IF(PRESIONES!$C$22="NO","",IF(OR(LINEAS!$D$134="",LINEAS!$U$134=0,ABS(IF(OR(LINEAS!$U$134=1,LINEAS!$U$134=3),1,-1)*LINEAS!$AF$134*DATOS!$C$67)&lt;0.00005),"*",LINEAS!$D$134&amp;" UNI "&amp;IF(LINEAS!$U$134&lt;=2,"GZ","GX")&amp;" "&amp;TEXT(IF(OR(LINEAS!$U$134=1,LINEAS!$U$134=3),1,-1)*LINEAS!$AF$134*DATOS!$C$67,DATOS!$C$68)))</f>
        <v/>
      </c>
      <c r="E1008" s="42" t="str">
        <f t="shared" si="31"/>
        <v/>
      </c>
    </row>
    <row r="1009" spans="2:5" ht="15" customHeight="1" x14ac:dyDescent="0.3">
      <c r="B1009" s="44" t="str">
        <f>IF(OR(LINEAS!$D$135="",LINEAS!$U$135=0,ABS(IF(OR(LINEAS!$U$135=1,LINEAS!$U$135=3),1,-1)*LINEAS!$AF$135*DATOS!$C$67)&lt;0.00005),"*",LINEAS!$D$135&amp;" UNI "&amp;IF(LINEAS!$U$135&lt;=2,"GZ","GX")&amp;" "&amp;TEXT(IF(OR(LINEAS!$U$135=1,LINEAS!$U$135=3),1,-1)*LINEAS!$AF$135*DATOS!$C$67,DATOS!$C$68))</f>
        <v>323 UNI GZ -0.1019</v>
      </c>
      <c r="C1009" s="42" t="str">
        <f t="shared" si="30"/>
        <v/>
      </c>
      <c r="D1009" s="44" t="str">
        <f>IF(PRESIONES!$C$22="NO","",IF(OR(LINEAS!$D$135="",LINEAS!$U$135=0,ABS(IF(OR(LINEAS!$U$135=1,LINEAS!$U$135=3),1,-1)*LINEAS!$AF$135*DATOS!$C$67)&lt;0.00005),"*",LINEAS!$D$135&amp;" UNI "&amp;IF(LINEAS!$U$135&lt;=2,"GZ","GX")&amp;" "&amp;TEXT(IF(OR(LINEAS!$U$135=1,LINEAS!$U$135=3),1,-1)*LINEAS!$AF$135*DATOS!$C$67,DATOS!$C$68)))</f>
        <v/>
      </c>
      <c r="E1009" s="42" t="str">
        <f t="shared" si="31"/>
        <v/>
      </c>
    </row>
    <row r="1010" spans="2:5" ht="15" customHeight="1" x14ac:dyDescent="0.3">
      <c r="B1010" s="44" t="str">
        <f>IF(OR(LINEAS!$D$136="",LINEAS!$U$136=0,ABS(IF(OR(LINEAS!$U$136=1,LINEAS!$U$136=3),1,-1)*LINEAS!$AF$136*DATOS!$C$67)&lt;0.00005),"*",LINEAS!$D$136&amp;" UNI "&amp;IF(LINEAS!$U$136&lt;=2,"GZ","GX")&amp;" "&amp;TEXT(IF(OR(LINEAS!$U$136=1,LINEAS!$U$136=3),1,-1)*LINEAS!$AF$136*DATOS!$C$67,DATOS!$C$68))</f>
        <v>22 85 TO 88 UNI GZ -0.0468</v>
      </c>
      <c r="C1010" s="42" t="str">
        <f t="shared" si="30"/>
        <v/>
      </c>
      <c r="D1010" s="44" t="str">
        <f>IF(PRESIONES!$C$22="NO","",IF(OR(LINEAS!$D$136="",LINEAS!$U$136=0,ABS(IF(OR(LINEAS!$U$136=1,LINEAS!$U$136=3),1,-1)*LINEAS!$AF$136*DATOS!$C$67)&lt;0.00005),"*",LINEAS!$D$136&amp;" UNI "&amp;IF(LINEAS!$U$136&lt;=2,"GZ","GX")&amp;" "&amp;TEXT(IF(OR(LINEAS!$U$136=1,LINEAS!$U$136=3),1,-1)*LINEAS!$AF$136*DATOS!$C$67,DATOS!$C$68)))</f>
        <v/>
      </c>
      <c r="E1010" s="42" t="str">
        <f t="shared" si="31"/>
        <v/>
      </c>
    </row>
    <row r="1011" spans="2:5" ht="15" customHeight="1" x14ac:dyDescent="0.3">
      <c r="B1011" s="44" t="str">
        <f>IF(OR(LINEAS!$D$137="",LINEAS!$U$137=0,ABS(IF(OR(LINEAS!$U$137=1,LINEAS!$U$137=3),1,-1)*LINEAS!$AF$137*DATOS!$C$67)&lt;0.00005),"*",LINEAS!$D$137&amp;" UNI "&amp;IF(LINEAS!$U$137&lt;=2,"GZ","GX")&amp;" "&amp;TEXT(IF(OR(LINEAS!$U$137=1,LINEAS!$U$137=3),1,-1)*LINEAS!$AF$137*DATOS!$C$67,DATOS!$C$68))</f>
        <v>*</v>
      </c>
      <c r="C1011" s="42" t="str">
        <f t="shared" si="30"/>
        <v/>
      </c>
      <c r="D1011" s="44" t="str">
        <f>IF(PRESIONES!$C$22="NO","",IF(OR(LINEAS!$D$137="",LINEAS!$U$137=0,ABS(IF(OR(LINEAS!$U$137=1,LINEAS!$U$137=3),1,-1)*LINEAS!$AF$137*DATOS!$C$67)&lt;0.00005),"*",LINEAS!$D$137&amp;" UNI "&amp;IF(LINEAS!$U$137&lt;=2,"GZ","GX")&amp;" "&amp;TEXT(IF(OR(LINEAS!$U$137=1,LINEAS!$U$137=3),1,-1)*LINEAS!$AF$137*DATOS!$C$67,DATOS!$C$68)))</f>
        <v/>
      </c>
      <c r="E1011" s="42" t="str">
        <f t="shared" si="31"/>
        <v/>
      </c>
    </row>
    <row r="1012" spans="2:5" ht="15" customHeight="1" x14ac:dyDescent="0.3">
      <c r="B1012" s="44" t="str">
        <f>IF(OR(LINEAS!$D$138="",LINEAS!$U$138=0,ABS(IF(OR(LINEAS!$U$138=1,LINEAS!$U$138=3),1,-1)*LINEAS!$AF$138*DATOS!$C$67)&lt;0.00005),"*",LINEAS!$D$138&amp;" UNI "&amp;IF(LINEAS!$U$138&lt;=2,"GZ","GX")&amp;" "&amp;TEXT(IF(OR(LINEAS!$U$138=1,LINEAS!$U$138=3),1,-1)*LINEAS!$AF$138*DATOS!$C$67,DATOS!$C$68))</f>
        <v>*</v>
      </c>
      <c r="C1012" s="42" t="str">
        <f t="shared" si="30"/>
        <v/>
      </c>
      <c r="D1012" s="44" t="str">
        <f>IF(PRESIONES!$C$22="NO","",IF(OR(LINEAS!$D$138="",LINEAS!$U$138=0,ABS(IF(OR(LINEAS!$U$138=1,LINEAS!$U$138=3),1,-1)*LINEAS!$AF$138*DATOS!$C$67)&lt;0.00005),"*",LINEAS!$D$138&amp;" UNI "&amp;IF(LINEAS!$U$138&lt;=2,"GZ","GX")&amp;" "&amp;TEXT(IF(OR(LINEAS!$U$138=1,LINEAS!$U$138=3),1,-1)*LINEAS!$AF$138*DATOS!$C$67,DATOS!$C$68)))</f>
        <v/>
      </c>
      <c r="E1012" s="42" t="str">
        <f t="shared" si="31"/>
        <v/>
      </c>
    </row>
    <row r="1013" spans="2:5" ht="15" customHeight="1" x14ac:dyDescent="0.3">
      <c r="B1013" s="44" t="str">
        <f>IF(OR(LINEAS!$D$139="",LINEAS!$U$139=0,ABS(IF(OR(LINEAS!$U$139=1,LINEAS!$U$139=3),1,-1)*LINEAS!$AF$139*DATOS!$C$67)&lt;0.00005),"*",LINEAS!$D$139&amp;" UNI "&amp;IF(LINEAS!$U$139&lt;=2,"GZ","GX")&amp;" "&amp;TEXT(IF(OR(LINEAS!$U$139=1,LINEAS!$U$139=3),1,-1)*LINEAS!$AF$139*DATOS!$C$67,DATOS!$C$68))</f>
        <v>*</v>
      </c>
      <c r="C1013" s="42" t="str">
        <f t="shared" si="30"/>
        <v/>
      </c>
      <c r="D1013" s="44" t="str">
        <f>IF(PRESIONES!$C$22="NO","",IF(OR(LINEAS!$D$139="",LINEAS!$U$139=0,ABS(IF(OR(LINEAS!$U$139=1,LINEAS!$U$139=3),1,-1)*LINEAS!$AF$139*DATOS!$C$67)&lt;0.00005),"*",LINEAS!$D$139&amp;" UNI "&amp;IF(LINEAS!$U$139&lt;=2,"GZ","GX")&amp;" "&amp;TEXT(IF(OR(LINEAS!$U$139=1,LINEAS!$U$139=3),1,-1)*LINEAS!$AF$139*DATOS!$C$67,DATOS!$C$68)))</f>
        <v/>
      </c>
      <c r="E1013" s="42" t="str">
        <f t="shared" si="31"/>
        <v/>
      </c>
    </row>
    <row r="1014" spans="2:5" ht="15" customHeight="1" x14ac:dyDescent="0.3">
      <c r="B1014" s="44" t="str">
        <f>IF(OR(LINEAS!$D$140="",LINEAS!$U$140=0,ABS(IF(OR(LINEAS!$U$140=1,LINEAS!$U$140=3),1,-1)*LINEAS!$AF$140*DATOS!$C$67)&lt;0.00005),"*",LINEAS!$D$140&amp;" UNI "&amp;IF(LINEAS!$U$140&lt;=2,"GZ","GX")&amp;" "&amp;TEXT(IF(OR(LINEAS!$U$140=1,LINEAS!$U$140=3),1,-1)*LINEAS!$AF$140*DATOS!$C$67,DATOS!$C$68))</f>
        <v>*</v>
      </c>
      <c r="C1014" s="42" t="str">
        <f t="shared" si="30"/>
        <v/>
      </c>
      <c r="D1014" s="44" t="str">
        <f>IF(PRESIONES!$C$22="NO","",IF(OR(LINEAS!$D$140="",LINEAS!$U$140=0,ABS(IF(OR(LINEAS!$U$140=1,LINEAS!$U$140=3),1,-1)*LINEAS!$AF$140*DATOS!$C$67)&lt;0.00005),"*",LINEAS!$D$140&amp;" UNI "&amp;IF(LINEAS!$U$140&lt;=2,"GZ","GX")&amp;" "&amp;TEXT(IF(OR(LINEAS!$U$140=1,LINEAS!$U$140=3),1,-1)*LINEAS!$AF$140*DATOS!$C$67,DATOS!$C$68)))</f>
        <v/>
      </c>
      <c r="E1014" s="42" t="str">
        <f t="shared" si="31"/>
        <v/>
      </c>
    </row>
    <row r="1015" spans="2:5" ht="15" customHeight="1" x14ac:dyDescent="0.3">
      <c r="B1015" s="44" t="str">
        <f>IF(OR(LINEAS!$D$141="",LINEAS!$U$141=0,ABS(IF(OR(LINEAS!$U$141=1,LINEAS!$U$141=3),1,-1)*LINEAS!$AF$141*DATOS!$C$67)&lt;0.00005),"*",LINEAS!$D$141&amp;" UNI "&amp;IF(LINEAS!$U$141&lt;=2,"GZ","GX")&amp;" "&amp;TEXT(IF(OR(LINEAS!$U$141=1,LINEAS!$U$141=3),1,-1)*LINEAS!$AF$141*DATOS!$C$67,DATOS!$C$68))</f>
        <v>*</v>
      </c>
      <c r="C1015" s="42" t="str">
        <f t="shared" si="30"/>
        <v/>
      </c>
      <c r="D1015" s="44" t="str">
        <f>IF(PRESIONES!$C$22="NO","",IF(OR(LINEAS!$D$141="",LINEAS!$U$141=0,ABS(IF(OR(LINEAS!$U$141=1,LINEAS!$U$141=3),1,-1)*LINEAS!$AF$141*DATOS!$C$67)&lt;0.00005),"*",LINEAS!$D$141&amp;" UNI "&amp;IF(LINEAS!$U$141&lt;=2,"GZ","GX")&amp;" "&amp;TEXT(IF(OR(LINEAS!$U$141=1,LINEAS!$U$141=3),1,-1)*LINEAS!$AF$141*DATOS!$C$67,DATOS!$C$68)))</f>
        <v/>
      </c>
      <c r="E1015" s="42" t="str">
        <f t="shared" si="31"/>
        <v/>
      </c>
    </row>
    <row r="1016" spans="2:5" ht="15" customHeight="1" x14ac:dyDescent="0.3">
      <c r="B1016" s="44" t="str">
        <f>IF(OR(LINEAS!$D$142="",LINEAS!$U$142=0,ABS(IF(OR(LINEAS!$U$142=1,LINEAS!$U$142=3),1,-1)*LINEAS!$AF$142*DATOS!$C$67)&lt;0.00005),"*",LINEAS!$D$142&amp;" UNI "&amp;IF(LINEAS!$U$142&lt;=2,"GZ","GX")&amp;" "&amp;TEXT(IF(OR(LINEAS!$U$142=1,LINEAS!$U$142=3),1,-1)*LINEAS!$AF$142*DATOS!$C$67,DATOS!$C$68))</f>
        <v>*</v>
      </c>
      <c r="C1016" s="42" t="str">
        <f t="shared" si="30"/>
        <v/>
      </c>
      <c r="D1016" s="44" t="str">
        <f>IF(PRESIONES!$C$22="NO","",IF(OR(LINEAS!$D$142="",LINEAS!$U$142=0,ABS(IF(OR(LINEAS!$U$142=1,LINEAS!$U$142=3),1,-1)*LINEAS!$AF$142*DATOS!$C$67)&lt;0.00005),"*",LINEAS!$D$142&amp;" UNI "&amp;IF(LINEAS!$U$142&lt;=2,"GZ","GX")&amp;" "&amp;TEXT(IF(OR(LINEAS!$U$142=1,LINEAS!$U$142=3),1,-1)*LINEAS!$AF$142*DATOS!$C$67,DATOS!$C$68)))</f>
        <v/>
      </c>
      <c r="E1016" s="42" t="str">
        <f t="shared" si="31"/>
        <v/>
      </c>
    </row>
    <row r="1017" spans="2:5" ht="15" customHeight="1" x14ac:dyDescent="0.3">
      <c r="B1017" s="44" t="str">
        <f>IF(OR(LINEAS!$D$143="",LINEAS!$U$143=0,ABS(IF(OR(LINEAS!$U$143=1,LINEAS!$U$143=3),1,-1)*LINEAS!$AF$143*DATOS!$C$67)&lt;0.00005),"*",LINEAS!$D$143&amp;" UNI "&amp;IF(LINEAS!$U$143&lt;=2,"GZ","GX")&amp;" "&amp;TEXT(IF(OR(LINEAS!$U$143=1,LINEAS!$U$143=3),1,-1)*LINEAS!$AF$143*DATOS!$C$67,DATOS!$C$68))</f>
        <v>*</v>
      </c>
      <c r="C1017" s="42" t="str">
        <f t="shared" si="30"/>
        <v/>
      </c>
      <c r="D1017" s="44" t="str">
        <f>IF(PRESIONES!$C$22="NO","",IF(OR(LINEAS!$D$143="",LINEAS!$U$143=0,ABS(IF(OR(LINEAS!$U$143=1,LINEAS!$U$143=3),1,-1)*LINEAS!$AF$143*DATOS!$C$67)&lt;0.00005),"*",LINEAS!$D$143&amp;" UNI "&amp;IF(LINEAS!$U$143&lt;=2,"GZ","GX")&amp;" "&amp;TEXT(IF(OR(LINEAS!$U$143=1,LINEAS!$U$143=3),1,-1)*LINEAS!$AF$143*DATOS!$C$67,DATOS!$C$68)))</f>
        <v/>
      </c>
      <c r="E1017" s="42" t="str">
        <f t="shared" si="31"/>
        <v/>
      </c>
    </row>
    <row r="1018" spans="2:5" ht="15" customHeight="1" x14ac:dyDescent="0.3">
      <c r="B1018" s="44" t="str">
        <f>IF(OR(LINEAS!$D$144="",LINEAS!$U$144=0,ABS(IF(OR(LINEAS!$U$144=1,LINEAS!$U$144=3),1,-1)*LINEAS!$AF$144*DATOS!$C$67)&lt;0.00005),"*",LINEAS!$D$144&amp;" UNI "&amp;IF(LINEAS!$U$144&lt;=2,"GZ","GX")&amp;" "&amp;TEXT(IF(OR(LINEAS!$U$144=1,LINEAS!$U$144=3),1,-1)*LINEAS!$AF$144*DATOS!$C$67,DATOS!$C$68))</f>
        <v>*</v>
      </c>
      <c r="C1018" s="42" t="str">
        <f t="shared" si="30"/>
        <v/>
      </c>
      <c r="D1018" s="44" t="str">
        <f>IF(PRESIONES!$C$22="NO","",IF(OR(LINEAS!$D$144="",LINEAS!$U$144=0,ABS(IF(OR(LINEAS!$U$144=1,LINEAS!$U$144=3),1,-1)*LINEAS!$AF$144*DATOS!$C$67)&lt;0.00005),"*",LINEAS!$D$144&amp;" UNI "&amp;IF(LINEAS!$U$144&lt;=2,"GZ","GX")&amp;" "&amp;TEXT(IF(OR(LINEAS!$U$144=1,LINEAS!$U$144=3),1,-1)*LINEAS!$AF$144*DATOS!$C$67,DATOS!$C$68)))</f>
        <v/>
      </c>
      <c r="E1018" s="42" t="str">
        <f t="shared" si="31"/>
        <v/>
      </c>
    </row>
    <row r="1019" spans="2:5" ht="15" customHeight="1" x14ac:dyDescent="0.3">
      <c r="B1019" s="44" t="str">
        <f>IF(OR(LINEAS!$D$145="",LINEAS!$U$145=0,ABS(IF(OR(LINEAS!$U$145=1,LINEAS!$U$145=3),1,-1)*LINEAS!$AF$145*DATOS!$C$67)&lt;0.00005),"*",LINEAS!$D$145&amp;" UNI "&amp;IF(LINEAS!$U$145&lt;=2,"GZ","GX")&amp;" "&amp;TEXT(IF(OR(LINEAS!$U$145=1,LINEAS!$U$145=3),1,-1)*LINEAS!$AF$145*DATOS!$C$67,DATOS!$C$68))</f>
        <v>*</v>
      </c>
      <c r="C1019" s="42" t="str">
        <f t="shared" si="30"/>
        <v/>
      </c>
      <c r="D1019" s="44" t="str">
        <f>IF(PRESIONES!$C$22="NO","",IF(OR(LINEAS!$D$145="",LINEAS!$U$145=0,ABS(IF(OR(LINEAS!$U$145=1,LINEAS!$U$145=3),1,-1)*LINEAS!$AF$145*DATOS!$C$67)&lt;0.00005),"*",LINEAS!$D$145&amp;" UNI "&amp;IF(LINEAS!$U$145&lt;=2,"GZ","GX")&amp;" "&amp;TEXT(IF(OR(LINEAS!$U$145=1,LINEAS!$U$145=3),1,-1)*LINEAS!$AF$145*DATOS!$C$67,DATOS!$C$68)))</f>
        <v/>
      </c>
      <c r="E1019" s="42" t="str">
        <f t="shared" si="31"/>
        <v/>
      </c>
    </row>
    <row r="1020" spans="2:5" ht="15" customHeight="1" x14ac:dyDescent="0.3">
      <c r="B1020" s="44" t="str">
        <f>IF(OR(LINEAS!$D$146="",LINEAS!$U$146=0,ABS(IF(OR(LINEAS!$U$146=1,LINEAS!$U$146=3),1,-1)*LINEAS!$AF$146*DATOS!$C$67)&lt;0.00005),"*",LINEAS!$D$146&amp;" UNI "&amp;IF(LINEAS!$U$146&lt;=2,"GZ","GX")&amp;" "&amp;TEXT(IF(OR(LINEAS!$U$146=1,LINEAS!$U$146=3),1,-1)*LINEAS!$AF$146*DATOS!$C$67,DATOS!$C$68))</f>
        <v>*</v>
      </c>
      <c r="C1020" s="42" t="str">
        <f t="shared" si="30"/>
        <v/>
      </c>
      <c r="D1020" s="44" t="str">
        <f>IF(PRESIONES!$C$22="NO","",IF(OR(LINEAS!$D$146="",LINEAS!$U$146=0,ABS(IF(OR(LINEAS!$U$146=1,LINEAS!$U$146=3),1,-1)*LINEAS!$AF$146*DATOS!$C$67)&lt;0.00005),"*",LINEAS!$D$146&amp;" UNI "&amp;IF(LINEAS!$U$146&lt;=2,"GZ","GX")&amp;" "&amp;TEXT(IF(OR(LINEAS!$U$146=1,LINEAS!$U$146=3),1,-1)*LINEAS!$AF$146*DATOS!$C$67,DATOS!$C$68)))</f>
        <v/>
      </c>
      <c r="E1020" s="42" t="str">
        <f t="shared" si="31"/>
        <v/>
      </c>
    </row>
    <row r="1021" spans="2:5" ht="15" customHeight="1" x14ac:dyDescent="0.3">
      <c r="B1021" s="44" t="str">
        <f>IF(OR(LINEAS!$D$147="",LINEAS!$U$147=0,ABS(IF(OR(LINEAS!$U$147=1,LINEAS!$U$147=3),1,-1)*LINEAS!$AF$147*DATOS!$C$67)&lt;0.00005),"*",LINEAS!$D$147&amp;" UNI "&amp;IF(LINEAS!$U$147&lt;=2,"GZ","GX")&amp;" "&amp;TEXT(IF(OR(LINEAS!$U$147=1,LINEAS!$U$147=3),1,-1)*LINEAS!$AF$147*DATOS!$C$67,DATOS!$C$68))</f>
        <v>*</v>
      </c>
      <c r="C1021" s="42" t="str">
        <f t="shared" si="30"/>
        <v/>
      </c>
      <c r="D1021" s="44" t="str">
        <f>IF(PRESIONES!$C$22="NO","",IF(OR(LINEAS!$D$147="",LINEAS!$U$147=0,ABS(IF(OR(LINEAS!$U$147=1,LINEAS!$U$147=3),1,-1)*LINEAS!$AF$147*DATOS!$C$67)&lt;0.00005),"*",LINEAS!$D$147&amp;" UNI "&amp;IF(LINEAS!$U$147&lt;=2,"GZ","GX")&amp;" "&amp;TEXT(IF(OR(LINEAS!$U$147=1,LINEAS!$U$147=3),1,-1)*LINEAS!$AF$147*DATOS!$C$67,DATOS!$C$68)))</f>
        <v/>
      </c>
      <c r="E1021" s="42" t="str">
        <f t="shared" si="31"/>
        <v/>
      </c>
    </row>
    <row r="1022" spans="2:5" ht="15" customHeight="1" x14ac:dyDescent="0.3">
      <c r="B1022" s="44" t="str">
        <f>IF(OR(LINEAS!$D$148="",LINEAS!$U$148=0,ABS(IF(OR(LINEAS!$U$148=1,LINEAS!$U$148=3),1,-1)*LINEAS!$AF$148*DATOS!$C$67)&lt;0.00005),"*",LINEAS!$D$148&amp;" UNI "&amp;IF(LINEAS!$U$148&lt;=2,"GZ","GX")&amp;" "&amp;TEXT(IF(OR(LINEAS!$U$148=1,LINEAS!$U$148=3),1,-1)*LINEAS!$AF$148*DATOS!$C$67,DATOS!$C$68))</f>
        <v>*</v>
      </c>
      <c r="C1022" s="42" t="str">
        <f t="shared" si="30"/>
        <v/>
      </c>
      <c r="D1022" s="44" t="str">
        <f>IF(PRESIONES!$C$22="NO","",IF(OR(LINEAS!$D$148="",LINEAS!$U$148=0,ABS(IF(OR(LINEAS!$U$148=1,LINEAS!$U$148=3),1,-1)*LINEAS!$AF$148*DATOS!$C$67)&lt;0.00005),"*",LINEAS!$D$148&amp;" UNI "&amp;IF(LINEAS!$U$148&lt;=2,"GZ","GX")&amp;" "&amp;TEXT(IF(OR(LINEAS!$U$148=1,LINEAS!$U$148=3),1,-1)*LINEAS!$AF$148*DATOS!$C$67,DATOS!$C$68)))</f>
        <v/>
      </c>
      <c r="E1022" s="42" t="str">
        <f t="shared" si="31"/>
        <v/>
      </c>
    </row>
    <row r="1023" spans="2:5" ht="15" customHeight="1" x14ac:dyDescent="0.3">
      <c r="B1023" s="44" t="str">
        <f>IF(OR(LINEAS!$D$149="",LINEAS!$U$149=0,ABS(IF(OR(LINEAS!$U$149=1,LINEAS!$U$149=3),1,-1)*LINEAS!$AF$149*DATOS!$C$67)&lt;0.00005),"*",LINEAS!$D$149&amp;" UNI "&amp;IF(LINEAS!$U$149&lt;=2,"GZ","GX")&amp;" "&amp;TEXT(IF(OR(LINEAS!$U$149=1,LINEAS!$U$149=3),1,-1)*LINEAS!$AF$149*DATOS!$C$67,DATOS!$C$68))</f>
        <v>*</v>
      </c>
      <c r="C1023" s="42" t="str">
        <f t="shared" si="30"/>
        <v/>
      </c>
      <c r="D1023" s="44" t="str">
        <f>IF(PRESIONES!$C$22="NO","",IF(OR(LINEAS!$D$149="",LINEAS!$U$149=0,ABS(IF(OR(LINEAS!$U$149=1,LINEAS!$U$149=3),1,-1)*LINEAS!$AF$149*DATOS!$C$67)&lt;0.00005),"*",LINEAS!$D$149&amp;" UNI "&amp;IF(LINEAS!$U$149&lt;=2,"GZ","GX")&amp;" "&amp;TEXT(IF(OR(LINEAS!$U$149=1,LINEAS!$U$149=3),1,-1)*LINEAS!$AF$149*DATOS!$C$67,DATOS!$C$68)))</f>
        <v/>
      </c>
      <c r="E1023" s="42" t="str">
        <f t="shared" si="31"/>
        <v/>
      </c>
    </row>
    <row r="1024" spans="2:5" ht="15" customHeight="1" x14ac:dyDescent="0.3">
      <c r="B1024" s="44" t="str">
        <f>IF(OR(LINEAS!$D$150="",LINEAS!$U$150=0,ABS(IF(OR(LINEAS!$U$150=1,LINEAS!$U$150=3),1,-1)*LINEAS!$AF$150*DATOS!$C$67)&lt;0.00005),"*",LINEAS!$D$150&amp;" UNI "&amp;IF(LINEAS!$U$150&lt;=2,"GZ","GX")&amp;" "&amp;TEXT(IF(OR(LINEAS!$U$150=1,LINEAS!$U$150=3),1,-1)*LINEAS!$AF$150*DATOS!$C$67,DATOS!$C$68))</f>
        <v>*</v>
      </c>
      <c r="C1024" s="42" t="str">
        <f t="shared" si="30"/>
        <v/>
      </c>
      <c r="D1024" s="44" t="str">
        <f>IF(PRESIONES!$C$22="NO","",IF(OR(LINEAS!$D$150="",LINEAS!$U$150=0,ABS(IF(OR(LINEAS!$U$150=1,LINEAS!$U$150=3),1,-1)*LINEAS!$AF$150*DATOS!$C$67)&lt;0.00005),"*",LINEAS!$D$150&amp;" UNI "&amp;IF(LINEAS!$U$150&lt;=2,"GZ","GX")&amp;" "&amp;TEXT(IF(OR(LINEAS!$U$150=1,LINEAS!$U$150=3),1,-1)*LINEAS!$AF$150*DATOS!$C$67,DATOS!$C$68)))</f>
        <v/>
      </c>
      <c r="E1024" s="42" t="str">
        <f t="shared" si="31"/>
        <v/>
      </c>
    </row>
    <row r="1025" spans="2:5" ht="15" customHeight="1" x14ac:dyDescent="0.3">
      <c r="B1025" s="44" t="str">
        <f>IF(OR(LINEAS!$D$151="",LINEAS!$U$151=0,ABS(IF(OR(LINEAS!$U$151=1,LINEAS!$U$151=3),1,-1)*LINEAS!$AF$151*DATOS!$C$67)&lt;0.00005),"*",LINEAS!$D$151&amp;" UNI "&amp;IF(LINEAS!$U$151&lt;=2,"GZ","GX")&amp;" "&amp;TEXT(IF(OR(LINEAS!$U$151=1,LINEAS!$U$151=3),1,-1)*LINEAS!$AF$151*DATOS!$C$67,DATOS!$C$68))</f>
        <v>*</v>
      </c>
      <c r="C1025" s="42" t="str">
        <f t="shared" si="30"/>
        <v/>
      </c>
      <c r="D1025" s="44" t="str">
        <f>IF(PRESIONES!$C$22="NO","",IF(OR(LINEAS!$D$151="",LINEAS!$U$151=0,ABS(IF(OR(LINEAS!$U$151=1,LINEAS!$U$151=3),1,-1)*LINEAS!$AF$151*DATOS!$C$67)&lt;0.00005),"*",LINEAS!$D$151&amp;" UNI "&amp;IF(LINEAS!$U$151&lt;=2,"GZ","GX")&amp;" "&amp;TEXT(IF(OR(LINEAS!$U$151=1,LINEAS!$U$151=3),1,-1)*LINEAS!$AF$151*DATOS!$C$67,DATOS!$C$68)))</f>
        <v/>
      </c>
      <c r="E1025" s="42" t="str">
        <f t="shared" si="31"/>
        <v/>
      </c>
    </row>
    <row r="1026" spans="2:5" ht="15" customHeight="1" x14ac:dyDescent="0.3">
      <c r="B1026" s="44" t="str">
        <f>IF(OR(LINEAS!$D$152="",LINEAS!$U$152=0,ABS(IF(OR(LINEAS!$U$152=1,LINEAS!$U$152=3),1,-1)*LINEAS!$AF$152*DATOS!$C$67)&lt;0.00005),"*",LINEAS!$D$152&amp;" UNI "&amp;IF(LINEAS!$U$152&lt;=2,"GZ","GX")&amp;" "&amp;TEXT(IF(OR(LINEAS!$U$152=1,LINEAS!$U$152=3),1,-1)*LINEAS!$AF$152*DATOS!$C$67,DATOS!$C$68))</f>
        <v>*</v>
      </c>
      <c r="C1026" s="42" t="str">
        <f t="shared" si="30"/>
        <v/>
      </c>
      <c r="D1026" s="44" t="str">
        <f>IF(PRESIONES!$C$22="NO","",IF(OR(LINEAS!$D$152="",LINEAS!$U$152=0,ABS(IF(OR(LINEAS!$U$152=1,LINEAS!$U$152=3),1,-1)*LINEAS!$AF$152*DATOS!$C$67)&lt;0.00005),"*",LINEAS!$D$152&amp;" UNI "&amp;IF(LINEAS!$U$152&lt;=2,"GZ","GX")&amp;" "&amp;TEXT(IF(OR(LINEAS!$U$152=1,LINEAS!$U$152=3),1,-1)*LINEAS!$AF$152*DATOS!$C$67,DATOS!$C$68)))</f>
        <v/>
      </c>
      <c r="E1026" s="42" t="str">
        <f t="shared" si="31"/>
        <v/>
      </c>
    </row>
    <row r="1027" spans="2:5" ht="15" customHeight="1" x14ac:dyDescent="0.3">
      <c r="B1027" s="44" t="str">
        <f>IF(OR(LINEAS!$D$153="",LINEAS!$U$153=0,ABS(IF(OR(LINEAS!$U$153=1,LINEAS!$U$153=3),1,-1)*LINEAS!$AF$153*DATOS!$C$67)&lt;0.00005),"*",LINEAS!$D$153&amp;" UNI "&amp;IF(LINEAS!$U$153&lt;=2,"GZ","GX")&amp;" "&amp;TEXT(IF(OR(LINEAS!$U$153=1,LINEAS!$U$153=3),1,-1)*LINEAS!$AF$153*DATOS!$C$67,DATOS!$C$68))</f>
        <v>*</v>
      </c>
      <c r="C1027" s="42" t="str">
        <f t="shared" si="30"/>
        <v/>
      </c>
      <c r="D1027" s="44" t="str">
        <f>IF(PRESIONES!$C$22="NO","",IF(OR(LINEAS!$D$153="",LINEAS!$U$153=0,ABS(IF(OR(LINEAS!$U$153=1,LINEAS!$U$153=3),1,-1)*LINEAS!$AF$153*DATOS!$C$67)&lt;0.00005),"*",LINEAS!$D$153&amp;" UNI "&amp;IF(LINEAS!$U$153&lt;=2,"GZ","GX")&amp;" "&amp;TEXT(IF(OR(LINEAS!$U$153=1,LINEAS!$U$153=3),1,-1)*LINEAS!$AF$153*DATOS!$C$67,DATOS!$C$68)))</f>
        <v/>
      </c>
      <c r="E1027" s="42" t="str">
        <f t="shared" si="31"/>
        <v/>
      </c>
    </row>
    <row r="1028" spans="2:5" ht="15" customHeight="1" x14ac:dyDescent="0.3">
      <c r="B1028" s="44" t="str">
        <f>IF(OR(LINEAS!$D$154="",LINEAS!$U$154=0,ABS(IF(OR(LINEAS!$U$154=1,LINEAS!$U$154=3),1,-1)*LINEAS!$AF$154*DATOS!$C$67)&lt;0.00005),"*",LINEAS!$D$154&amp;" UNI "&amp;IF(LINEAS!$U$154&lt;=2,"GZ","GX")&amp;" "&amp;TEXT(IF(OR(LINEAS!$U$154=1,LINEAS!$U$154=3),1,-1)*LINEAS!$AF$154*DATOS!$C$67,DATOS!$C$68))</f>
        <v>*</v>
      </c>
      <c r="C1028" s="42" t="str">
        <f t="shared" si="30"/>
        <v/>
      </c>
      <c r="D1028" s="44" t="str">
        <f>IF(PRESIONES!$C$22="NO","",IF(OR(LINEAS!$D$154="",LINEAS!$U$154=0,ABS(IF(OR(LINEAS!$U$154=1,LINEAS!$U$154=3),1,-1)*LINEAS!$AF$154*DATOS!$C$67)&lt;0.00005),"*",LINEAS!$D$154&amp;" UNI "&amp;IF(LINEAS!$U$154&lt;=2,"GZ","GX")&amp;" "&amp;TEXT(IF(OR(LINEAS!$U$154=1,LINEAS!$U$154=3),1,-1)*LINEAS!$AF$154*DATOS!$C$67,DATOS!$C$68)))</f>
        <v/>
      </c>
      <c r="E1028" s="42" t="str">
        <f t="shared" si="31"/>
        <v/>
      </c>
    </row>
    <row r="1029" spans="2:5" ht="15" customHeight="1" x14ac:dyDescent="0.3">
      <c r="B1029" s="44" t="str">
        <f>IF(OR(LINEAS!$D$155="",LINEAS!$U$155=0,ABS(IF(OR(LINEAS!$U$155=1,LINEAS!$U$155=3),1,-1)*LINEAS!$AF$155*DATOS!$C$67)&lt;0.00005),"*",LINEAS!$D$155&amp;" UNI "&amp;IF(LINEAS!$U$155&lt;=2,"GZ","GX")&amp;" "&amp;TEXT(IF(OR(LINEAS!$U$155=1,LINEAS!$U$155=3),1,-1)*LINEAS!$AF$155*DATOS!$C$67,DATOS!$C$68))</f>
        <v>*</v>
      </c>
      <c r="C1029" s="42" t="str">
        <f t="shared" si="30"/>
        <v/>
      </c>
      <c r="D1029" s="44" t="str">
        <f>IF(PRESIONES!$C$22="NO","",IF(OR(LINEAS!$D$155="",LINEAS!$U$155=0,ABS(IF(OR(LINEAS!$U$155=1,LINEAS!$U$155=3),1,-1)*LINEAS!$AF$155*DATOS!$C$67)&lt;0.00005),"*",LINEAS!$D$155&amp;" UNI "&amp;IF(LINEAS!$U$155&lt;=2,"GZ","GX")&amp;" "&amp;TEXT(IF(OR(LINEAS!$U$155=1,LINEAS!$U$155=3),1,-1)*LINEAS!$AF$155*DATOS!$C$67,DATOS!$C$68)))</f>
        <v/>
      </c>
      <c r="E1029" s="42" t="str">
        <f t="shared" si="31"/>
        <v/>
      </c>
    </row>
    <row r="1030" spans="2:5" ht="15" customHeight="1" x14ac:dyDescent="0.3">
      <c r="B1030" s="44" t="str">
        <f>IF(OR(LINEAS!$D$156="",LINEAS!$U$156=0,ABS(IF(OR(LINEAS!$U$156=1,LINEAS!$U$156=3),1,-1)*LINEAS!$AF$156*DATOS!$C$67)&lt;0.00005),"*",LINEAS!$D$156&amp;" UNI "&amp;IF(LINEAS!$U$156&lt;=2,"GZ","GX")&amp;" "&amp;TEXT(IF(OR(LINEAS!$U$156=1,LINEAS!$U$156=3),1,-1)*LINEAS!$AF$156*DATOS!$C$67,DATOS!$C$68))</f>
        <v>*</v>
      </c>
      <c r="C1030" s="42" t="str">
        <f t="shared" si="30"/>
        <v/>
      </c>
      <c r="D1030" s="44" t="str">
        <f>IF(PRESIONES!$C$22="NO","",IF(OR(LINEAS!$D$156="",LINEAS!$U$156=0,ABS(IF(OR(LINEAS!$U$156=1,LINEAS!$U$156=3),1,-1)*LINEAS!$AF$156*DATOS!$C$67)&lt;0.00005),"*",LINEAS!$D$156&amp;" UNI "&amp;IF(LINEAS!$U$156&lt;=2,"GZ","GX")&amp;" "&amp;TEXT(IF(OR(LINEAS!$U$156=1,LINEAS!$U$156=3),1,-1)*LINEAS!$AF$156*DATOS!$C$67,DATOS!$C$68)))</f>
        <v/>
      </c>
      <c r="E1030" s="42" t="str">
        <f t="shared" si="31"/>
        <v/>
      </c>
    </row>
    <row r="1031" spans="2:5" ht="15" customHeight="1" x14ac:dyDescent="0.3">
      <c r="B1031" s="44" t="str">
        <f>IF(OR(LINEAS!$D$157="",LINEAS!$U$157=0,ABS(IF(OR(LINEAS!$U$157=1,LINEAS!$U$157=3),1,-1)*LINEAS!$AF$157*DATOS!$C$67)&lt;0.00005),"*",LINEAS!$D$157&amp;" UNI "&amp;IF(LINEAS!$U$157&lt;=2,"GZ","GX")&amp;" "&amp;TEXT(IF(OR(LINEAS!$U$157=1,LINEAS!$U$157=3),1,-1)*LINEAS!$AF$157*DATOS!$C$67,DATOS!$C$68))</f>
        <v>*</v>
      </c>
      <c r="C1031" s="42" t="str">
        <f t="shared" si="30"/>
        <v/>
      </c>
      <c r="D1031" s="44" t="str">
        <f>IF(PRESIONES!$C$22="NO","",IF(OR(LINEAS!$D$157="",LINEAS!$U$157=0,ABS(IF(OR(LINEAS!$U$157=1,LINEAS!$U$157=3),1,-1)*LINEAS!$AF$157*DATOS!$C$67)&lt;0.00005),"*",LINEAS!$D$157&amp;" UNI "&amp;IF(LINEAS!$U$157&lt;=2,"GZ","GX")&amp;" "&amp;TEXT(IF(OR(LINEAS!$U$157=1,LINEAS!$U$157=3),1,-1)*LINEAS!$AF$157*DATOS!$C$67,DATOS!$C$68)))</f>
        <v/>
      </c>
      <c r="E1031" s="42" t="str">
        <f t="shared" si="31"/>
        <v/>
      </c>
    </row>
    <row r="1032" spans="2:5" ht="15" customHeight="1" x14ac:dyDescent="0.3">
      <c r="B1032" s="44" t="str">
        <f>IF(OR(LINEAS!$D$158="",LINEAS!$U$158=0,ABS(IF(OR(LINEAS!$U$158=1,LINEAS!$U$158=3),1,-1)*LINEAS!$AF$158*DATOS!$C$67)&lt;0.00005),"*",LINEAS!$D$158&amp;" UNI "&amp;IF(LINEAS!$U$158&lt;=2,"GZ","GX")&amp;" "&amp;TEXT(IF(OR(LINEAS!$U$158=1,LINEAS!$U$158=3),1,-1)*LINEAS!$AF$158*DATOS!$C$67,DATOS!$C$68))</f>
        <v>*</v>
      </c>
      <c r="C1032" s="42" t="str">
        <f t="shared" si="30"/>
        <v/>
      </c>
      <c r="D1032" s="44" t="str">
        <f>IF(PRESIONES!$C$22="NO","",IF(OR(LINEAS!$D$158="",LINEAS!$U$158=0,ABS(IF(OR(LINEAS!$U$158=1,LINEAS!$U$158=3),1,-1)*LINEAS!$AF$158*DATOS!$C$67)&lt;0.00005),"*",LINEAS!$D$158&amp;" UNI "&amp;IF(LINEAS!$U$158&lt;=2,"GZ","GX")&amp;" "&amp;TEXT(IF(OR(LINEAS!$U$158=1,LINEAS!$U$158=3),1,-1)*LINEAS!$AF$158*DATOS!$C$67,DATOS!$C$68)))</f>
        <v/>
      </c>
      <c r="E1032" s="42" t="str">
        <f t="shared" si="31"/>
        <v/>
      </c>
    </row>
    <row r="1033" spans="2:5" ht="15" customHeight="1" x14ac:dyDescent="0.3">
      <c r="B1033" s="44" t="str">
        <f>IF(OR(LINEAS!$D$159="",LINEAS!$U$159=0,ABS(IF(OR(LINEAS!$U$159=1,LINEAS!$U$159=3),1,-1)*LINEAS!$AF$159*DATOS!$C$67)&lt;0.00005),"*",LINEAS!$D$159&amp;" UNI "&amp;IF(LINEAS!$U$159&lt;=2,"GZ","GX")&amp;" "&amp;TEXT(IF(OR(LINEAS!$U$159=1,LINEAS!$U$159=3),1,-1)*LINEAS!$AF$159*DATOS!$C$67,DATOS!$C$68))</f>
        <v>*</v>
      </c>
      <c r="C1033" s="42" t="str">
        <f t="shared" ref="C1033:C1096" si="32">IF(LEN($B1033)&gt;79,"MÁS DE 79 CARACTERES","")</f>
        <v/>
      </c>
      <c r="D1033" s="44" t="str">
        <f>IF(PRESIONES!$C$22="NO","",IF(OR(LINEAS!$D$159="",LINEAS!$U$159=0,ABS(IF(OR(LINEAS!$U$159=1,LINEAS!$U$159=3),1,-1)*LINEAS!$AF$159*DATOS!$C$67)&lt;0.00005),"*",LINEAS!$D$159&amp;" UNI "&amp;IF(LINEAS!$U$159&lt;=2,"GZ","GX")&amp;" "&amp;TEXT(IF(OR(LINEAS!$U$159=1,LINEAS!$U$159=3),1,-1)*LINEAS!$AF$159*DATOS!$C$67,DATOS!$C$68)))</f>
        <v/>
      </c>
      <c r="E1033" s="42" t="str">
        <f t="shared" ref="E1033:E1096" si="33">IF(LEN($D1033)&gt;79,"MÁS DE 79 CARACTERES","")</f>
        <v/>
      </c>
    </row>
    <row r="1034" spans="2:5" ht="15" customHeight="1" x14ac:dyDescent="0.3">
      <c r="B1034" s="44" t="str">
        <f>IF(OR(LINEAS!$D$160="",LINEAS!$U$160=0,ABS(IF(OR(LINEAS!$U$160=1,LINEAS!$U$160=3),1,-1)*LINEAS!$AF$160*DATOS!$C$67)&lt;0.00005),"*",LINEAS!$D$160&amp;" UNI "&amp;IF(LINEAS!$U$160&lt;=2,"GZ","GX")&amp;" "&amp;TEXT(IF(OR(LINEAS!$U$160=1,LINEAS!$U$160=3),1,-1)*LINEAS!$AF$160*DATOS!$C$67,DATOS!$C$68))</f>
        <v>*</v>
      </c>
      <c r="C1034" s="42" t="str">
        <f t="shared" si="32"/>
        <v/>
      </c>
      <c r="D1034" s="44" t="str">
        <f>IF(PRESIONES!$C$22="NO","",IF(OR(LINEAS!$D$160="",LINEAS!$U$160=0,ABS(IF(OR(LINEAS!$U$160=1,LINEAS!$U$160=3),1,-1)*LINEAS!$AF$160*DATOS!$C$67)&lt;0.00005),"*",LINEAS!$D$160&amp;" UNI "&amp;IF(LINEAS!$U$160&lt;=2,"GZ","GX")&amp;" "&amp;TEXT(IF(OR(LINEAS!$U$160=1,LINEAS!$U$160=3),1,-1)*LINEAS!$AF$160*DATOS!$C$67,DATOS!$C$68)))</f>
        <v/>
      </c>
      <c r="E1034" s="42" t="str">
        <f t="shared" si="33"/>
        <v/>
      </c>
    </row>
    <row r="1035" spans="2:5" ht="15" customHeight="1" x14ac:dyDescent="0.3">
      <c r="B1035" s="44" t="str">
        <f>IF(OR(LINEAS!$D$161="",LINEAS!$U$161=0,ABS(IF(OR(LINEAS!$U$161=1,LINEAS!$U$161=3),1,-1)*LINEAS!$AF$161*DATOS!$C$67)&lt;0.00005),"*",LINEAS!$D$161&amp;" UNI "&amp;IF(LINEAS!$U$161&lt;=2,"GZ","GX")&amp;" "&amp;TEXT(IF(OR(LINEAS!$U$161=1,LINEAS!$U$161=3),1,-1)*LINEAS!$AF$161*DATOS!$C$67,DATOS!$C$68))</f>
        <v>*</v>
      </c>
      <c r="C1035" s="42" t="str">
        <f t="shared" si="32"/>
        <v/>
      </c>
      <c r="D1035" s="44" t="str">
        <f>IF(PRESIONES!$C$22="NO","",IF(OR(LINEAS!$D$161="",LINEAS!$U$161=0,ABS(IF(OR(LINEAS!$U$161=1,LINEAS!$U$161=3),1,-1)*LINEAS!$AF$161*DATOS!$C$67)&lt;0.00005),"*",LINEAS!$D$161&amp;" UNI "&amp;IF(LINEAS!$U$161&lt;=2,"GZ","GX")&amp;" "&amp;TEXT(IF(OR(LINEAS!$U$161=1,LINEAS!$U$161=3),1,-1)*LINEAS!$AF$161*DATOS!$C$67,DATOS!$C$68)))</f>
        <v/>
      </c>
      <c r="E1035" s="42" t="str">
        <f t="shared" si="33"/>
        <v/>
      </c>
    </row>
    <row r="1036" spans="2:5" ht="15" customHeight="1" x14ac:dyDescent="0.3">
      <c r="B1036" s="44" t="str">
        <f>IF(OR(LINEAS!$D$162="",LINEAS!$U$162=0,ABS(IF(OR(LINEAS!$U$162=1,LINEAS!$U$162=3),1,-1)*LINEAS!$AF$162*DATOS!$C$67)&lt;0.00005),"*",LINEAS!$D$162&amp;" UNI "&amp;IF(LINEAS!$U$162&lt;=2,"GZ","GX")&amp;" "&amp;TEXT(IF(OR(LINEAS!$U$162=1,LINEAS!$U$162=3),1,-1)*LINEAS!$AF$162*DATOS!$C$67,DATOS!$C$68))</f>
        <v>*</v>
      </c>
      <c r="C1036" s="42" t="str">
        <f t="shared" si="32"/>
        <v/>
      </c>
      <c r="D1036" s="44" t="str">
        <f>IF(PRESIONES!$C$22="NO","",IF(OR(LINEAS!$D$162="",LINEAS!$U$162=0,ABS(IF(OR(LINEAS!$U$162=1,LINEAS!$U$162=3),1,-1)*LINEAS!$AF$162*DATOS!$C$67)&lt;0.00005),"*",LINEAS!$D$162&amp;" UNI "&amp;IF(LINEAS!$U$162&lt;=2,"GZ","GX")&amp;" "&amp;TEXT(IF(OR(LINEAS!$U$162=1,LINEAS!$U$162=3),1,-1)*LINEAS!$AF$162*DATOS!$C$67,DATOS!$C$68)))</f>
        <v/>
      </c>
      <c r="E1036" s="42" t="str">
        <f t="shared" si="33"/>
        <v/>
      </c>
    </row>
    <row r="1037" spans="2:5" ht="15" customHeight="1" x14ac:dyDescent="0.3">
      <c r="B1037" s="44" t="str">
        <f>IF(OR(LINEAS!$D$163="",LINEAS!$U$163=0,ABS(IF(OR(LINEAS!$U$163=1,LINEAS!$U$163=3),1,-1)*LINEAS!$AF$163*DATOS!$C$67)&lt;0.00005),"*",LINEAS!$D$163&amp;" UNI "&amp;IF(LINEAS!$U$163&lt;=2,"GZ","GX")&amp;" "&amp;TEXT(IF(OR(LINEAS!$U$163=1,LINEAS!$U$163=3),1,-1)*LINEAS!$AF$163*DATOS!$C$67,DATOS!$C$68))</f>
        <v>*</v>
      </c>
      <c r="C1037" s="42" t="str">
        <f t="shared" si="32"/>
        <v/>
      </c>
      <c r="D1037" s="44" t="str">
        <f>IF(PRESIONES!$C$22="NO","",IF(OR(LINEAS!$D$163="",LINEAS!$U$163=0,ABS(IF(OR(LINEAS!$U$163=1,LINEAS!$U$163=3),1,-1)*LINEAS!$AF$163*DATOS!$C$67)&lt;0.00005),"*",LINEAS!$D$163&amp;" UNI "&amp;IF(LINEAS!$U$163&lt;=2,"GZ","GX")&amp;" "&amp;TEXT(IF(OR(LINEAS!$U$163=1,LINEAS!$U$163=3),1,-1)*LINEAS!$AF$163*DATOS!$C$67,DATOS!$C$68)))</f>
        <v/>
      </c>
      <c r="E1037" s="42" t="str">
        <f t="shared" si="33"/>
        <v/>
      </c>
    </row>
    <row r="1038" spans="2:5" ht="15" customHeight="1" x14ac:dyDescent="0.3">
      <c r="B1038" s="44" t="str">
        <f>IF(OR(LINEAS!$D$164="",LINEAS!$U$164=0,ABS(IF(OR(LINEAS!$U$164=1,LINEAS!$U$164=3),1,-1)*LINEAS!$AF$164*DATOS!$C$67)&lt;0.00005),"*",LINEAS!$D$164&amp;" UNI "&amp;IF(LINEAS!$U$164&lt;=2,"GZ","GX")&amp;" "&amp;TEXT(IF(OR(LINEAS!$U$164=1,LINEAS!$U$164=3),1,-1)*LINEAS!$AF$164*DATOS!$C$67,DATOS!$C$68))</f>
        <v>*</v>
      </c>
      <c r="C1038" s="42" t="str">
        <f t="shared" si="32"/>
        <v/>
      </c>
      <c r="D1038" s="44" t="str">
        <f>IF(PRESIONES!$C$22="NO","",IF(OR(LINEAS!$D$164="",LINEAS!$U$164=0,ABS(IF(OR(LINEAS!$U$164=1,LINEAS!$U$164=3),1,-1)*LINEAS!$AF$164*DATOS!$C$67)&lt;0.00005),"*",LINEAS!$D$164&amp;" UNI "&amp;IF(LINEAS!$U$164&lt;=2,"GZ","GX")&amp;" "&amp;TEXT(IF(OR(LINEAS!$U$164=1,LINEAS!$U$164=3),1,-1)*LINEAS!$AF$164*DATOS!$C$67,DATOS!$C$68)))</f>
        <v/>
      </c>
      <c r="E1038" s="42" t="str">
        <f t="shared" si="33"/>
        <v/>
      </c>
    </row>
    <row r="1039" spans="2:5" ht="15" customHeight="1" x14ac:dyDescent="0.3">
      <c r="B1039" s="44" t="str">
        <f>IF(OR(LINEAS!$D$165="",LINEAS!$U$165=0,ABS(IF(OR(LINEAS!$U$165=1,LINEAS!$U$165=3),1,-1)*LINEAS!$AF$165*DATOS!$C$67)&lt;0.00005),"*",LINEAS!$D$165&amp;" UNI "&amp;IF(LINEAS!$U$165&lt;=2,"GZ","GX")&amp;" "&amp;TEXT(IF(OR(LINEAS!$U$165=1,LINEAS!$U$165=3),1,-1)*LINEAS!$AF$165*DATOS!$C$67,DATOS!$C$68))</f>
        <v>*</v>
      </c>
      <c r="C1039" s="42" t="str">
        <f t="shared" si="32"/>
        <v/>
      </c>
      <c r="D1039" s="44" t="str">
        <f>IF(PRESIONES!$C$22="NO","",IF(OR(LINEAS!$D$165="",LINEAS!$U$165=0,ABS(IF(OR(LINEAS!$U$165=1,LINEAS!$U$165=3),1,-1)*LINEAS!$AF$165*DATOS!$C$67)&lt;0.00005),"*",LINEAS!$D$165&amp;" UNI "&amp;IF(LINEAS!$U$165&lt;=2,"GZ","GX")&amp;" "&amp;TEXT(IF(OR(LINEAS!$U$165=1,LINEAS!$U$165=3),1,-1)*LINEAS!$AF$165*DATOS!$C$67,DATOS!$C$68)))</f>
        <v/>
      </c>
      <c r="E1039" s="42" t="str">
        <f t="shared" si="33"/>
        <v/>
      </c>
    </row>
    <row r="1040" spans="2:5" ht="15" customHeight="1" x14ac:dyDescent="0.3">
      <c r="B1040" s="44" t="str">
        <f>IF(OR(LINEAS!$D$166="",LINEAS!$U$166=0,ABS(IF(OR(LINEAS!$U$166=1,LINEAS!$U$166=3),1,-1)*LINEAS!$AF$166*DATOS!$C$67)&lt;0.00005),"*",LINEAS!$D$166&amp;" UNI "&amp;IF(LINEAS!$U$166&lt;=2,"GZ","GX")&amp;" "&amp;TEXT(IF(OR(LINEAS!$U$166=1,LINEAS!$U$166=3),1,-1)*LINEAS!$AF$166*DATOS!$C$67,DATOS!$C$68))</f>
        <v>*</v>
      </c>
      <c r="C1040" s="42" t="str">
        <f t="shared" si="32"/>
        <v/>
      </c>
      <c r="D1040" s="44" t="str">
        <f>IF(PRESIONES!$C$22="NO","",IF(OR(LINEAS!$D$166="",LINEAS!$U$166=0,ABS(IF(OR(LINEAS!$U$166=1,LINEAS!$U$166=3),1,-1)*LINEAS!$AF$166*DATOS!$C$67)&lt;0.00005),"*",LINEAS!$D$166&amp;" UNI "&amp;IF(LINEAS!$U$166&lt;=2,"GZ","GX")&amp;" "&amp;TEXT(IF(OR(LINEAS!$U$166=1,LINEAS!$U$166=3),1,-1)*LINEAS!$AF$166*DATOS!$C$67,DATOS!$C$68)))</f>
        <v/>
      </c>
      <c r="E1040" s="42" t="str">
        <f t="shared" si="33"/>
        <v/>
      </c>
    </row>
    <row r="1041" spans="2:5" ht="15" customHeight="1" x14ac:dyDescent="0.3">
      <c r="B1041" s="44" t="str">
        <f>IF(OR(LINEAS!$D$167="",LINEAS!$U$167=0,ABS(IF(OR(LINEAS!$U$167=1,LINEAS!$U$167=3),1,-1)*LINEAS!$AF$167*DATOS!$C$67)&lt;0.00005),"*",LINEAS!$D$167&amp;" UNI "&amp;IF(LINEAS!$U$167&lt;=2,"GZ","GX")&amp;" "&amp;TEXT(IF(OR(LINEAS!$U$167=1,LINEAS!$U$167=3),1,-1)*LINEAS!$AF$167*DATOS!$C$67,DATOS!$C$68))</f>
        <v>*</v>
      </c>
      <c r="C1041" s="42" t="str">
        <f t="shared" si="32"/>
        <v/>
      </c>
      <c r="D1041" s="44" t="str">
        <f>IF(PRESIONES!$C$22="NO","",IF(OR(LINEAS!$D$167="",LINEAS!$U$167=0,ABS(IF(OR(LINEAS!$U$167=1,LINEAS!$U$167=3),1,-1)*LINEAS!$AF$167*DATOS!$C$67)&lt;0.00005),"*",LINEAS!$D$167&amp;" UNI "&amp;IF(LINEAS!$U$167&lt;=2,"GZ","GX")&amp;" "&amp;TEXT(IF(OR(LINEAS!$U$167=1,LINEAS!$U$167=3),1,-1)*LINEAS!$AF$167*DATOS!$C$67,DATOS!$C$68)))</f>
        <v/>
      </c>
      <c r="E1041" s="42" t="str">
        <f t="shared" si="33"/>
        <v/>
      </c>
    </row>
    <row r="1042" spans="2:5" ht="15" customHeight="1" x14ac:dyDescent="0.3">
      <c r="B1042" s="44" t="str">
        <f>IF(OR(LINEAS!$D$168="",LINEAS!$U$168=0,ABS(IF(OR(LINEAS!$U$168=1,LINEAS!$U$168=3),1,-1)*LINEAS!$AF$168*DATOS!$C$67)&lt;0.00005),"*",LINEAS!$D$168&amp;" UNI "&amp;IF(LINEAS!$U$168&lt;=2,"GZ","GX")&amp;" "&amp;TEXT(IF(OR(LINEAS!$U$168=1,LINEAS!$U$168=3),1,-1)*LINEAS!$AF$168*DATOS!$C$67,DATOS!$C$68))</f>
        <v>*</v>
      </c>
      <c r="C1042" s="42" t="str">
        <f t="shared" si="32"/>
        <v/>
      </c>
      <c r="D1042" s="44" t="str">
        <f>IF(PRESIONES!$C$22="NO","",IF(OR(LINEAS!$D$168="",LINEAS!$U$168=0,ABS(IF(OR(LINEAS!$U$168=1,LINEAS!$U$168=3),1,-1)*LINEAS!$AF$168*DATOS!$C$67)&lt;0.00005),"*",LINEAS!$D$168&amp;" UNI "&amp;IF(LINEAS!$U$168&lt;=2,"GZ","GX")&amp;" "&amp;TEXT(IF(OR(LINEAS!$U$168=1,LINEAS!$U$168=3),1,-1)*LINEAS!$AF$168*DATOS!$C$67,DATOS!$C$68)))</f>
        <v/>
      </c>
      <c r="E1042" s="42" t="str">
        <f t="shared" si="33"/>
        <v/>
      </c>
    </row>
    <row r="1043" spans="2:5" ht="15" customHeight="1" x14ac:dyDescent="0.3">
      <c r="B1043" s="44" t="str">
        <f>IF(OR(LINEAS!$D$169="",LINEAS!$U$169=0,ABS(IF(OR(LINEAS!$U$169=1,LINEAS!$U$169=3),1,-1)*LINEAS!$AF$169*DATOS!$C$67)&lt;0.00005),"*",LINEAS!$D$169&amp;" UNI "&amp;IF(LINEAS!$U$169&lt;=2,"GZ","GX")&amp;" "&amp;TEXT(IF(OR(LINEAS!$U$169=1,LINEAS!$U$169=3),1,-1)*LINEAS!$AF$169*DATOS!$C$67,DATOS!$C$68))</f>
        <v>*</v>
      </c>
      <c r="C1043" s="42" t="str">
        <f t="shared" si="32"/>
        <v/>
      </c>
      <c r="D1043" s="44" t="str">
        <f>IF(PRESIONES!$C$22="NO","",IF(OR(LINEAS!$D$169="",LINEAS!$U$169=0,ABS(IF(OR(LINEAS!$U$169=1,LINEAS!$U$169=3),1,-1)*LINEAS!$AF$169*DATOS!$C$67)&lt;0.00005),"*",LINEAS!$D$169&amp;" UNI "&amp;IF(LINEAS!$U$169&lt;=2,"GZ","GX")&amp;" "&amp;TEXT(IF(OR(LINEAS!$U$169=1,LINEAS!$U$169=3),1,-1)*LINEAS!$AF$169*DATOS!$C$67,DATOS!$C$68)))</f>
        <v/>
      </c>
      <c r="E1043" s="42" t="str">
        <f t="shared" si="33"/>
        <v/>
      </c>
    </row>
    <row r="1044" spans="2:5" ht="15" customHeight="1" x14ac:dyDescent="0.3">
      <c r="B1044" s="44" t="str">
        <f>IF(OR(LINEAS!$D$170="",LINEAS!$U$170=0,ABS(IF(OR(LINEAS!$U$170=1,LINEAS!$U$170=3),1,-1)*LINEAS!$AF$170*DATOS!$C$67)&lt;0.00005),"*",LINEAS!$D$170&amp;" UNI "&amp;IF(LINEAS!$U$170&lt;=2,"GZ","GX")&amp;" "&amp;TEXT(IF(OR(LINEAS!$U$170=1,LINEAS!$U$170=3),1,-1)*LINEAS!$AF$170*DATOS!$C$67,DATOS!$C$68))</f>
        <v>*</v>
      </c>
      <c r="C1044" s="42" t="str">
        <f t="shared" si="32"/>
        <v/>
      </c>
      <c r="D1044" s="44" t="str">
        <f>IF(PRESIONES!$C$22="NO","",IF(OR(LINEAS!$D$170="",LINEAS!$U$170=0,ABS(IF(OR(LINEAS!$U$170=1,LINEAS!$U$170=3),1,-1)*LINEAS!$AF$170*DATOS!$C$67)&lt;0.00005),"*",LINEAS!$D$170&amp;" UNI "&amp;IF(LINEAS!$U$170&lt;=2,"GZ","GX")&amp;" "&amp;TEXT(IF(OR(LINEAS!$U$170=1,LINEAS!$U$170=3),1,-1)*LINEAS!$AF$170*DATOS!$C$67,DATOS!$C$68)))</f>
        <v/>
      </c>
      <c r="E1044" s="42" t="str">
        <f t="shared" si="33"/>
        <v/>
      </c>
    </row>
    <row r="1045" spans="2:5" ht="15" customHeight="1" x14ac:dyDescent="0.3">
      <c r="B1045" s="44" t="str">
        <f>IF(OR(LINEAS!$D$171="",LINEAS!$U$171=0,ABS(IF(OR(LINEAS!$U$171=1,LINEAS!$U$171=3),1,-1)*LINEAS!$AF$171*DATOS!$C$67)&lt;0.00005),"*",LINEAS!$D$171&amp;" UNI "&amp;IF(LINEAS!$U$171&lt;=2,"GZ","GX")&amp;" "&amp;TEXT(IF(OR(LINEAS!$U$171=1,LINEAS!$U$171=3),1,-1)*LINEAS!$AF$171*DATOS!$C$67,DATOS!$C$68))</f>
        <v>*</v>
      </c>
      <c r="C1045" s="42" t="str">
        <f t="shared" si="32"/>
        <v/>
      </c>
      <c r="D1045" s="44" t="str">
        <f>IF(PRESIONES!$C$22="NO","",IF(OR(LINEAS!$D$171="",LINEAS!$U$171=0,ABS(IF(OR(LINEAS!$U$171=1,LINEAS!$U$171=3),1,-1)*LINEAS!$AF$171*DATOS!$C$67)&lt;0.00005),"*",LINEAS!$D$171&amp;" UNI "&amp;IF(LINEAS!$U$171&lt;=2,"GZ","GX")&amp;" "&amp;TEXT(IF(OR(LINEAS!$U$171=1,LINEAS!$U$171=3),1,-1)*LINEAS!$AF$171*DATOS!$C$67,DATOS!$C$68)))</f>
        <v/>
      </c>
      <c r="E1045" s="42" t="str">
        <f t="shared" si="33"/>
        <v/>
      </c>
    </row>
    <row r="1046" spans="2:5" ht="15" customHeight="1" x14ac:dyDescent="0.3">
      <c r="B1046" s="44" t="str">
        <f>IF(OR(LINEAS!$D$172="",LINEAS!$U$172=0,ABS(IF(OR(LINEAS!$U$172=1,LINEAS!$U$172=3),1,-1)*LINEAS!$AF$172*DATOS!$C$67)&lt;0.00005),"*",LINEAS!$D$172&amp;" UNI "&amp;IF(LINEAS!$U$172&lt;=2,"GZ","GX")&amp;" "&amp;TEXT(IF(OR(LINEAS!$U$172=1,LINEAS!$U$172=3),1,-1)*LINEAS!$AF$172*DATOS!$C$67,DATOS!$C$68))</f>
        <v>*</v>
      </c>
      <c r="C1046" s="42" t="str">
        <f t="shared" si="32"/>
        <v/>
      </c>
      <c r="D1046" s="44" t="str">
        <f>IF(PRESIONES!$C$22="NO","",IF(OR(LINEAS!$D$172="",LINEAS!$U$172=0,ABS(IF(OR(LINEAS!$U$172=1,LINEAS!$U$172=3),1,-1)*LINEAS!$AF$172*DATOS!$C$67)&lt;0.00005),"*",LINEAS!$D$172&amp;" UNI "&amp;IF(LINEAS!$U$172&lt;=2,"GZ","GX")&amp;" "&amp;TEXT(IF(OR(LINEAS!$U$172=1,LINEAS!$U$172=3),1,-1)*LINEAS!$AF$172*DATOS!$C$67,DATOS!$C$68)))</f>
        <v/>
      </c>
      <c r="E1046" s="42" t="str">
        <f t="shared" si="33"/>
        <v/>
      </c>
    </row>
    <row r="1047" spans="2:5" ht="15" customHeight="1" x14ac:dyDescent="0.3">
      <c r="B1047" s="44" t="str">
        <f>IF(OR(LINEAS!$D$173="",LINEAS!$U$173=0,ABS(IF(OR(LINEAS!$U$173=1,LINEAS!$U$173=3),1,-1)*LINEAS!$AF$173*DATOS!$C$67)&lt;0.00005),"*",LINEAS!$D$173&amp;" UNI "&amp;IF(LINEAS!$U$173&lt;=2,"GZ","GX")&amp;" "&amp;TEXT(IF(OR(LINEAS!$U$173=1,LINEAS!$U$173=3),1,-1)*LINEAS!$AF$173*DATOS!$C$67,DATOS!$C$68))</f>
        <v>*</v>
      </c>
      <c r="C1047" s="42" t="str">
        <f t="shared" si="32"/>
        <v/>
      </c>
      <c r="D1047" s="44" t="str">
        <f>IF(PRESIONES!$C$22="NO","",IF(OR(LINEAS!$D$173="",LINEAS!$U$173=0,ABS(IF(OR(LINEAS!$U$173=1,LINEAS!$U$173=3),1,-1)*LINEAS!$AF$173*DATOS!$C$67)&lt;0.00005),"*",LINEAS!$D$173&amp;" UNI "&amp;IF(LINEAS!$U$173&lt;=2,"GZ","GX")&amp;" "&amp;TEXT(IF(OR(LINEAS!$U$173=1,LINEAS!$U$173=3),1,-1)*LINEAS!$AF$173*DATOS!$C$67,DATOS!$C$68)))</f>
        <v/>
      </c>
      <c r="E1047" s="42" t="str">
        <f t="shared" si="33"/>
        <v/>
      </c>
    </row>
    <row r="1048" spans="2:5" ht="15" customHeight="1" x14ac:dyDescent="0.3">
      <c r="B1048" s="44" t="str">
        <f>IF(OR(LINEAS!$D$174="",LINEAS!$U$174=0,ABS(IF(OR(LINEAS!$U$174=1,LINEAS!$U$174=3),1,-1)*LINEAS!$AF$174*DATOS!$C$67)&lt;0.00005),"*",LINEAS!$D$174&amp;" UNI "&amp;IF(LINEAS!$U$174&lt;=2,"GZ","GX")&amp;" "&amp;TEXT(IF(OR(LINEAS!$U$174=1,LINEAS!$U$174=3),1,-1)*LINEAS!$AF$174*DATOS!$C$67,DATOS!$C$68))</f>
        <v>*</v>
      </c>
      <c r="C1048" s="42" t="str">
        <f t="shared" si="32"/>
        <v/>
      </c>
      <c r="D1048" s="44" t="str">
        <f>IF(PRESIONES!$C$22="NO","",IF(OR(LINEAS!$D$174="",LINEAS!$U$174=0,ABS(IF(OR(LINEAS!$U$174=1,LINEAS!$U$174=3),1,-1)*LINEAS!$AF$174*DATOS!$C$67)&lt;0.00005),"*",LINEAS!$D$174&amp;" UNI "&amp;IF(LINEAS!$U$174&lt;=2,"GZ","GX")&amp;" "&amp;TEXT(IF(OR(LINEAS!$U$174=1,LINEAS!$U$174=3),1,-1)*LINEAS!$AF$174*DATOS!$C$67,DATOS!$C$68)))</f>
        <v/>
      </c>
      <c r="E1048" s="42" t="str">
        <f t="shared" si="33"/>
        <v/>
      </c>
    </row>
    <row r="1049" spans="2:5" ht="15" customHeight="1" x14ac:dyDescent="0.3">
      <c r="B1049" s="44" t="str">
        <f>IF(OR(LINEAS!$D$175="",LINEAS!$U$175=0,ABS(IF(OR(LINEAS!$U$175=1,LINEAS!$U$175=3),1,-1)*LINEAS!$AF$175*DATOS!$C$67)&lt;0.00005),"*",LINEAS!$D$175&amp;" UNI "&amp;IF(LINEAS!$U$175&lt;=2,"GZ","GX")&amp;" "&amp;TEXT(IF(OR(LINEAS!$U$175=1,LINEAS!$U$175=3),1,-1)*LINEAS!$AF$175*DATOS!$C$67,DATOS!$C$68))</f>
        <v>*</v>
      </c>
      <c r="C1049" s="42" t="str">
        <f t="shared" si="32"/>
        <v/>
      </c>
      <c r="D1049" s="44" t="str">
        <f>IF(PRESIONES!$C$22="NO","",IF(OR(LINEAS!$D$175="",LINEAS!$U$175=0,ABS(IF(OR(LINEAS!$U$175=1,LINEAS!$U$175=3),1,-1)*LINEAS!$AF$175*DATOS!$C$67)&lt;0.00005),"*",LINEAS!$D$175&amp;" UNI "&amp;IF(LINEAS!$U$175&lt;=2,"GZ","GX")&amp;" "&amp;TEXT(IF(OR(LINEAS!$U$175=1,LINEAS!$U$175=3),1,-1)*LINEAS!$AF$175*DATOS!$C$67,DATOS!$C$68)))</f>
        <v/>
      </c>
      <c r="E1049" s="42" t="str">
        <f t="shared" si="33"/>
        <v/>
      </c>
    </row>
    <row r="1050" spans="2:5" ht="15" customHeight="1" x14ac:dyDescent="0.3">
      <c r="B1050" s="44" t="str">
        <f>IF(OR(LINEAS!$D$176="",LINEAS!$U$176=0,ABS(IF(OR(LINEAS!$U$176=1,LINEAS!$U$176=3),1,-1)*LINEAS!$AF$176*DATOS!$C$67)&lt;0.00005),"*",LINEAS!$D$176&amp;" UNI "&amp;IF(LINEAS!$U$176&lt;=2,"GZ","GX")&amp;" "&amp;TEXT(IF(OR(LINEAS!$U$176=1,LINEAS!$U$176=3),1,-1)*LINEAS!$AF$176*DATOS!$C$67,DATOS!$C$68))</f>
        <v>*</v>
      </c>
      <c r="C1050" s="42" t="str">
        <f t="shared" si="32"/>
        <v/>
      </c>
      <c r="D1050" s="44" t="str">
        <f>IF(PRESIONES!$C$22="NO","",IF(OR(LINEAS!$D$176="",LINEAS!$U$176=0,ABS(IF(OR(LINEAS!$U$176=1,LINEAS!$U$176=3),1,-1)*LINEAS!$AF$176*DATOS!$C$67)&lt;0.00005),"*",LINEAS!$D$176&amp;" UNI "&amp;IF(LINEAS!$U$176&lt;=2,"GZ","GX")&amp;" "&amp;TEXT(IF(OR(LINEAS!$U$176=1,LINEAS!$U$176=3),1,-1)*LINEAS!$AF$176*DATOS!$C$67,DATOS!$C$68)))</f>
        <v/>
      </c>
      <c r="E1050" s="42" t="str">
        <f t="shared" si="33"/>
        <v/>
      </c>
    </row>
    <row r="1051" spans="2:5" ht="15" customHeight="1" x14ac:dyDescent="0.3">
      <c r="B1051" s="44" t="str">
        <f>IF(OR(LINEAS!$D$177="",LINEAS!$U$177=0,ABS(IF(OR(LINEAS!$U$177=1,LINEAS!$U$177=3),1,-1)*LINEAS!$AF$177*DATOS!$C$67)&lt;0.00005),"*",LINEAS!$D$177&amp;" UNI "&amp;IF(LINEAS!$U$177&lt;=2,"GZ","GX")&amp;" "&amp;TEXT(IF(OR(LINEAS!$U$177=1,LINEAS!$U$177=3),1,-1)*LINEAS!$AF$177*DATOS!$C$67,DATOS!$C$68))</f>
        <v>*</v>
      </c>
      <c r="C1051" s="42" t="str">
        <f t="shared" si="32"/>
        <v/>
      </c>
      <c r="D1051" s="44" t="str">
        <f>IF(PRESIONES!$C$22="NO","",IF(OR(LINEAS!$D$177="",LINEAS!$U$177=0,ABS(IF(OR(LINEAS!$U$177=1,LINEAS!$U$177=3),1,-1)*LINEAS!$AF$177*DATOS!$C$67)&lt;0.00005),"*",LINEAS!$D$177&amp;" UNI "&amp;IF(LINEAS!$U$177&lt;=2,"GZ","GX")&amp;" "&amp;TEXT(IF(OR(LINEAS!$U$177=1,LINEAS!$U$177=3),1,-1)*LINEAS!$AF$177*DATOS!$C$67,DATOS!$C$68)))</f>
        <v/>
      </c>
      <c r="E1051" s="42" t="str">
        <f t="shared" si="33"/>
        <v/>
      </c>
    </row>
    <row r="1052" spans="2:5" ht="15" customHeight="1" x14ac:dyDescent="0.3">
      <c r="B1052" s="44" t="str">
        <f>IF(OR(LINEAS!$D$178="",LINEAS!$U$178=0,ABS(IF(OR(LINEAS!$U$178=1,LINEAS!$U$178=3),1,-1)*LINEAS!$AF$178*DATOS!$C$67)&lt;0.00005),"*",LINEAS!$D$178&amp;" UNI "&amp;IF(LINEAS!$U$178&lt;=2,"GZ","GX")&amp;" "&amp;TEXT(IF(OR(LINEAS!$U$178=1,LINEAS!$U$178=3),1,-1)*LINEAS!$AF$178*DATOS!$C$67,DATOS!$C$68))</f>
        <v>*</v>
      </c>
      <c r="C1052" s="42" t="str">
        <f t="shared" si="32"/>
        <v/>
      </c>
      <c r="D1052" s="44" t="str">
        <f>IF(PRESIONES!$C$22="NO","",IF(OR(LINEAS!$D$178="",LINEAS!$U$178=0,ABS(IF(OR(LINEAS!$U$178=1,LINEAS!$U$178=3),1,-1)*LINEAS!$AF$178*DATOS!$C$67)&lt;0.00005),"*",LINEAS!$D$178&amp;" UNI "&amp;IF(LINEAS!$U$178&lt;=2,"GZ","GX")&amp;" "&amp;TEXT(IF(OR(LINEAS!$U$178=1,LINEAS!$U$178=3),1,-1)*LINEAS!$AF$178*DATOS!$C$67,DATOS!$C$68)))</f>
        <v/>
      </c>
      <c r="E1052" s="42" t="str">
        <f t="shared" si="33"/>
        <v/>
      </c>
    </row>
    <row r="1053" spans="2:5" ht="15" customHeight="1" x14ac:dyDescent="0.3">
      <c r="B1053" s="44" t="str">
        <f>IF(OR(LINEAS!$D$179="",LINEAS!$U$179=0,ABS(IF(OR(LINEAS!$U$179=1,LINEAS!$U$179=3),1,-1)*LINEAS!$AF$179*DATOS!$C$67)&lt;0.00005),"*",LINEAS!$D$179&amp;" UNI "&amp;IF(LINEAS!$U$179&lt;=2,"GZ","GX")&amp;" "&amp;TEXT(IF(OR(LINEAS!$U$179=1,LINEAS!$U$179=3),1,-1)*LINEAS!$AF$179*DATOS!$C$67,DATOS!$C$68))</f>
        <v>*</v>
      </c>
      <c r="C1053" s="42" t="str">
        <f t="shared" si="32"/>
        <v/>
      </c>
      <c r="D1053" s="44" t="str">
        <f>IF(PRESIONES!$C$22="NO","",IF(OR(LINEAS!$D$179="",LINEAS!$U$179=0,ABS(IF(OR(LINEAS!$U$179=1,LINEAS!$U$179=3),1,-1)*LINEAS!$AF$179*DATOS!$C$67)&lt;0.00005),"*",LINEAS!$D$179&amp;" UNI "&amp;IF(LINEAS!$U$179&lt;=2,"GZ","GX")&amp;" "&amp;TEXT(IF(OR(LINEAS!$U$179=1,LINEAS!$U$179=3),1,-1)*LINEAS!$AF$179*DATOS!$C$67,DATOS!$C$68)))</f>
        <v/>
      </c>
      <c r="E1053" s="42" t="str">
        <f t="shared" si="33"/>
        <v/>
      </c>
    </row>
    <row r="1054" spans="2:5" ht="15" customHeight="1" x14ac:dyDescent="0.3">
      <c r="B1054" s="44" t="str">
        <f>IF(OR(LINEAS!$D$180="",LINEAS!$U$180=0,ABS(IF(OR(LINEAS!$U$180=1,LINEAS!$U$180=3),1,-1)*LINEAS!$AF$180*DATOS!$C$67)&lt;0.00005),"*",LINEAS!$D$180&amp;" UNI "&amp;IF(LINEAS!$U$180&lt;=2,"GZ","GX")&amp;" "&amp;TEXT(IF(OR(LINEAS!$U$180=1,LINEAS!$U$180=3),1,-1)*LINEAS!$AF$180*DATOS!$C$67,DATOS!$C$68))</f>
        <v>*</v>
      </c>
      <c r="C1054" s="42" t="str">
        <f t="shared" si="32"/>
        <v/>
      </c>
      <c r="D1054" s="44" t="str">
        <f>IF(PRESIONES!$C$22="NO","",IF(OR(LINEAS!$D$180="",LINEAS!$U$180=0,ABS(IF(OR(LINEAS!$U$180=1,LINEAS!$U$180=3),1,-1)*LINEAS!$AF$180*DATOS!$C$67)&lt;0.00005),"*",LINEAS!$D$180&amp;" UNI "&amp;IF(LINEAS!$U$180&lt;=2,"GZ","GX")&amp;" "&amp;TEXT(IF(OR(LINEAS!$U$180=1,LINEAS!$U$180=3),1,-1)*LINEAS!$AF$180*DATOS!$C$67,DATOS!$C$68)))</f>
        <v/>
      </c>
      <c r="E1054" s="42" t="str">
        <f t="shared" si="33"/>
        <v/>
      </c>
    </row>
    <row r="1055" spans="2:5" ht="15" customHeight="1" x14ac:dyDescent="0.3">
      <c r="B1055" s="44" t="str">
        <f>IF(OR(LINEAS!$D$181="",LINEAS!$U$181=0,ABS(IF(OR(LINEAS!$U$181=1,LINEAS!$U$181=3),1,-1)*LINEAS!$AF$181*DATOS!$C$67)&lt;0.00005),"*",LINEAS!$D$181&amp;" UNI "&amp;IF(LINEAS!$U$181&lt;=2,"GZ","GX")&amp;" "&amp;TEXT(IF(OR(LINEAS!$U$181=1,LINEAS!$U$181=3),1,-1)*LINEAS!$AF$181*DATOS!$C$67,DATOS!$C$68))</f>
        <v>*</v>
      </c>
      <c r="C1055" s="42" t="str">
        <f t="shared" si="32"/>
        <v/>
      </c>
      <c r="D1055" s="44" t="str">
        <f>IF(PRESIONES!$C$22="NO","",IF(OR(LINEAS!$D$181="",LINEAS!$U$181=0,ABS(IF(OR(LINEAS!$U$181=1,LINEAS!$U$181=3),1,-1)*LINEAS!$AF$181*DATOS!$C$67)&lt;0.00005),"*",LINEAS!$D$181&amp;" UNI "&amp;IF(LINEAS!$U$181&lt;=2,"GZ","GX")&amp;" "&amp;TEXT(IF(OR(LINEAS!$U$181=1,LINEAS!$U$181=3),1,-1)*LINEAS!$AF$181*DATOS!$C$67,DATOS!$C$68)))</f>
        <v/>
      </c>
      <c r="E1055" s="42" t="str">
        <f t="shared" si="33"/>
        <v/>
      </c>
    </row>
    <row r="1056" spans="2:5" ht="15" customHeight="1" x14ac:dyDescent="0.3">
      <c r="B1056" s="44" t="str">
        <f>IF(OR(LINEAS!$D$182="",LINEAS!$U$182=0,ABS(IF(OR(LINEAS!$U$182=1,LINEAS!$U$182=3),1,-1)*LINEAS!$AF$182*DATOS!$C$67)&lt;0.00005),"*",LINEAS!$D$182&amp;" UNI "&amp;IF(LINEAS!$U$182&lt;=2,"GZ","GX")&amp;" "&amp;TEXT(IF(OR(LINEAS!$U$182=1,LINEAS!$U$182=3),1,-1)*LINEAS!$AF$182*DATOS!$C$67,DATOS!$C$68))</f>
        <v>*</v>
      </c>
      <c r="C1056" s="42" t="str">
        <f t="shared" si="32"/>
        <v/>
      </c>
      <c r="D1056" s="44" t="str">
        <f>IF(PRESIONES!$C$22="NO","",IF(OR(LINEAS!$D$182="",LINEAS!$U$182=0,ABS(IF(OR(LINEAS!$U$182=1,LINEAS!$U$182=3),1,-1)*LINEAS!$AF$182*DATOS!$C$67)&lt;0.00005),"*",LINEAS!$D$182&amp;" UNI "&amp;IF(LINEAS!$U$182&lt;=2,"GZ","GX")&amp;" "&amp;TEXT(IF(OR(LINEAS!$U$182=1,LINEAS!$U$182=3),1,-1)*LINEAS!$AF$182*DATOS!$C$67,DATOS!$C$68)))</f>
        <v/>
      </c>
      <c r="E1056" s="42" t="str">
        <f t="shared" si="33"/>
        <v/>
      </c>
    </row>
    <row r="1057" spans="2:5" ht="15" customHeight="1" x14ac:dyDescent="0.3">
      <c r="B1057" s="44" t="str">
        <f>IF(OR(LINEAS!$D$183="",LINEAS!$U$183=0,ABS(IF(OR(LINEAS!$U$183=1,LINEAS!$U$183=3),1,-1)*LINEAS!$AF$183*DATOS!$C$67)&lt;0.00005),"*",LINEAS!$D$183&amp;" UNI "&amp;IF(LINEAS!$U$183&lt;=2,"GZ","GX")&amp;" "&amp;TEXT(IF(OR(LINEAS!$U$183=1,LINEAS!$U$183=3),1,-1)*LINEAS!$AF$183*DATOS!$C$67,DATOS!$C$68))</f>
        <v>*</v>
      </c>
      <c r="C1057" s="42" t="str">
        <f t="shared" si="32"/>
        <v/>
      </c>
      <c r="D1057" s="44" t="str">
        <f>IF(PRESIONES!$C$22="NO","",IF(OR(LINEAS!$D$183="",LINEAS!$U$183=0,ABS(IF(OR(LINEAS!$U$183=1,LINEAS!$U$183=3),1,-1)*LINEAS!$AF$183*DATOS!$C$67)&lt;0.00005),"*",LINEAS!$D$183&amp;" UNI "&amp;IF(LINEAS!$U$183&lt;=2,"GZ","GX")&amp;" "&amp;TEXT(IF(OR(LINEAS!$U$183=1,LINEAS!$U$183=3),1,-1)*LINEAS!$AF$183*DATOS!$C$67,DATOS!$C$68)))</f>
        <v/>
      </c>
      <c r="E1057" s="42" t="str">
        <f t="shared" si="33"/>
        <v/>
      </c>
    </row>
    <row r="1058" spans="2:5" ht="15" customHeight="1" x14ac:dyDescent="0.3">
      <c r="B1058" s="44" t="str">
        <f>IF(OR(LINEAS!$D$184="",LINEAS!$U$184=0,ABS(IF(OR(LINEAS!$U$184=1,LINEAS!$U$184=3),1,-1)*LINEAS!$AF$184*DATOS!$C$67)&lt;0.00005),"*",LINEAS!$D$184&amp;" UNI "&amp;IF(LINEAS!$U$184&lt;=2,"GZ","GX")&amp;" "&amp;TEXT(IF(OR(LINEAS!$U$184=1,LINEAS!$U$184=3),1,-1)*LINEAS!$AF$184*DATOS!$C$67,DATOS!$C$68))</f>
        <v>*</v>
      </c>
      <c r="C1058" s="42" t="str">
        <f t="shared" si="32"/>
        <v/>
      </c>
      <c r="D1058" s="44" t="str">
        <f>IF(PRESIONES!$C$22="NO","",IF(OR(LINEAS!$D$184="",LINEAS!$U$184=0,ABS(IF(OR(LINEAS!$U$184=1,LINEAS!$U$184=3),1,-1)*LINEAS!$AF$184*DATOS!$C$67)&lt;0.00005),"*",LINEAS!$D$184&amp;" UNI "&amp;IF(LINEAS!$U$184&lt;=2,"GZ","GX")&amp;" "&amp;TEXT(IF(OR(LINEAS!$U$184=1,LINEAS!$U$184=3),1,-1)*LINEAS!$AF$184*DATOS!$C$67,DATOS!$C$68)))</f>
        <v/>
      </c>
      <c r="E1058" s="42" t="str">
        <f t="shared" si="33"/>
        <v/>
      </c>
    </row>
    <row r="1059" spans="2:5" ht="15" customHeight="1" x14ac:dyDescent="0.3">
      <c r="B1059" s="44" t="str">
        <f>IF(OR(LINEAS!$D$185="",LINEAS!$U$185=0,ABS(IF(OR(LINEAS!$U$185=1,LINEAS!$U$185=3),1,-1)*LINEAS!$AF$185*DATOS!$C$67)&lt;0.00005),"*",LINEAS!$D$185&amp;" UNI "&amp;IF(LINEAS!$U$185&lt;=2,"GZ","GX")&amp;" "&amp;TEXT(IF(OR(LINEAS!$U$185=1,LINEAS!$U$185=3),1,-1)*LINEAS!$AF$185*DATOS!$C$67,DATOS!$C$68))</f>
        <v>*</v>
      </c>
      <c r="C1059" s="42" t="str">
        <f t="shared" si="32"/>
        <v/>
      </c>
      <c r="D1059" s="44" t="str">
        <f>IF(PRESIONES!$C$22="NO","",IF(OR(LINEAS!$D$185="",LINEAS!$U$185=0,ABS(IF(OR(LINEAS!$U$185=1,LINEAS!$U$185=3),1,-1)*LINEAS!$AF$185*DATOS!$C$67)&lt;0.00005),"*",LINEAS!$D$185&amp;" UNI "&amp;IF(LINEAS!$U$185&lt;=2,"GZ","GX")&amp;" "&amp;TEXT(IF(OR(LINEAS!$U$185=1,LINEAS!$U$185=3),1,-1)*LINEAS!$AF$185*DATOS!$C$67,DATOS!$C$68)))</f>
        <v/>
      </c>
      <c r="E1059" s="42" t="str">
        <f t="shared" si="33"/>
        <v/>
      </c>
    </row>
    <row r="1060" spans="2:5" ht="15" customHeight="1" x14ac:dyDescent="0.3">
      <c r="B1060" s="44" t="str">
        <f>IF(OR(LINEAS!$D$186="",LINEAS!$U$186=0,ABS(IF(OR(LINEAS!$U$186=1,LINEAS!$U$186=3),1,-1)*LINEAS!$AF$186*DATOS!$C$67)&lt;0.00005),"*",LINEAS!$D$186&amp;" UNI "&amp;IF(LINEAS!$U$186&lt;=2,"GZ","GX")&amp;" "&amp;TEXT(IF(OR(LINEAS!$U$186=1,LINEAS!$U$186=3),1,-1)*LINEAS!$AF$186*DATOS!$C$67,DATOS!$C$68))</f>
        <v>*</v>
      </c>
      <c r="C1060" s="42" t="str">
        <f t="shared" si="32"/>
        <v/>
      </c>
      <c r="D1060" s="44" t="str">
        <f>IF(PRESIONES!$C$22="NO","",IF(OR(LINEAS!$D$186="",LINEAS!$U$186=0,ABS(IF(OR(LINEAS!$U$186=1,LINEAS!$U$186=3),1,-1)*LINEAS!$AF$186*DATOS!$C$67)&lt;0.00005),"*",LINEAS!$D$186&amp;" UNI "&amp;IF(LINEAS!$U$186&lt;=2,"GZ","GX")&amp;" "&amp;TEXT(IF(OR(LINEAS!$U$186=1,LINEAS!$U$186=3),1,-1)*LINEAS!$AF$186*DATOS!$C$67,DATOS!$C$68)))</f>
        <v/>
      </c>
      <c r="E1060" s="42" t="str">
        <f t="shared" si="33"/>
        <v/>
      </c>
    </row>
    <row r="1061" spans="2:5" ht="15" customHeight="1" x14ac:dyDescent="0.3">
      <c r="B1061" s="44" t="str">
        <f>IF(OR(LINEAS!$D$187="",LINEAS!$U$187=0,ABS(IF(OR(LINEAS!$U$187=1,LINEAS!$U$187=3),1,-1)*LINEAS!$AF$187*DATOS!$C$67)&lt;0.00005),"*",LINEAS!$D$187&amp;" UNI "&amp;IF(LINEAS!$U$187&lt;=2,"GZ","GX")&amp;" "&amp;TEXT(IF(OR(LINEAS!$U$187=1,LINEAS!$U$187=3),1,-1)*LINEAS!$AF$187*DATOS!$C$67,DATOS!$C$68))</f>
        <v>*</v>
      </c>
      <c r="C1061" s="42" t="str">
        <f t="shared" si="32"/>
        <v/>
      </c>
      <c r="D1061" s="44" t="str">
        <f>IF(PRESIONES!$C$22="NO","",IF(OR(LINEAS!$D$187="",LINEAS!$U$187=0,ABS(IF(OR(LINEAS!$U$187=1,LINEAS!$U$187=3),1,-1)*LINEAS!$AF$187*DATOS!$C$67)&lt;0.00005),"*",LINEAS!$D$187&amp;" UNI "&amp;IF(LINEAS!$U$187&lt;=2,"GZ","GX")&amp;" "&amp;TEXT(IF(OR(LINEAS!$U$187=1,LINEAS!$U$187=3),1,-1)*LINEAS!$AF$187*DATOS!$C$67,DATOS!$C$68)))</f>
        <v/>
      </c>
      <c r="E1061" s="42" t="str">
        <f t="shared" si="33"/>
        <v/>
      </c>
    </row>
    <row r="1062" spans="2:5" ht="15" customHeight="1" x14ac:dyDescent="0.3">
      <c r="B1062" s="44" t="str">
        <f>IF(OR(LINEAS!$D$188="",LINEAS!$U$188=0,ABS(IF(OR(LINEAS!$U$188=1,LINEAS!$U$188=3),1,-1)*LINEAS!$AF$188*DATOS!$C$67)&lt;0.00005),"*",LINEAS!$D$188&amp;" UNI "&amp;IF(LINEAS!$U$188&lt;=2,"GZ","GX")&amp;" "&amp;TEXT(IF(OR(LINEAS!$U$188=1,LINEAS!$U$188=3),1,-1)*LINEAS!$AF$188*DATOS!$C$67,DATOS!$C$68))</f>
        <v>*</v>
      </c>
      <c r="C1062" s="42" t="str">
        <f t="shared" si="32"/>
        <v/>
      </c>
      <c r="D1062" s="44" t="str">
        <f>IF(PRESIONES!$C$22="NO","",IF(OR(LINEAS!$D$188="",LINEAS!$U$188=0,ABS(IF(OR(LINEAS!$U$188=1,LINEAS!$U$188=3),1,-1)*LINEAS!$AF$188*DATOS!$C$67)&lt;0.00005),"*",LINEAS!$D$188&amp;" UNI "&amp;IF(LINEAS!$U$188&lt;=2,"GZ","GX")&amp;" "&amp;TEXT(IF(OR(LINEAS!$U$188=1,LINEAS!$U$188=3),1,-1)*LINEAS!$AF$188*DATOS!$C$67,DATOS!$C$68)))</f>
        <v/>
      </c>
      <c r="E1062" s="42" t="str">
        <f t="shared" si="33"/>
        <v/>
      </c>
    </row>
    <row r="1063" spans="2:5" ht="15" customHeight="1" x14ac:dyDescent="0.3">
      <c r="B1063" s="44" t="str">
        <f>IF(OR(LINEAS!$D$189="",LINEAS!$U$189=0,ABS(IF(OR(LINEAS!$U$189=1,LINEAS!$U$189=3),1,-1)*LINEAS!$AF$189*DATOS!$C$67)&lt;0.00005),"*",LINEAS!$D$189&amp;" UNI "&amp;IF(LINEAS!$U$189&lt;=2,"GZ","GX")&amp;" "&amp;TEXT(IF(OR(LINEAS!$U$189=1,LINEAS!$U$189=3),1,-1)*LINEAS!$AF$189*DATOS!$C$67,DATOS!$C$68))</f>
        <v>*</v>
      </c>
      <c r="C1063" s="42" t="str">
        <f t="shared" si="32"/>
        <v/>
      </c>
      <c r="D1063" s="44" t="str">
        <f>IF(PRESIONES!$C$22="NO","",IF(OR(LINEAS!$D$189="",LINEAS!$U$189=0,ABS(IF(OR(LINEAS!$U$189=1,LINEAS!$U$189=3),1,-1)*LINEAS!$AF$189*DATOS!$C$67)&lt;0.00005),"*",LINEAS!$D$189&amp;" UNI "&amp;IF(LINEAS!$U$189&lt;=2,"GZ","GX")&amp;" "&amp;TEXT(IF(OR(LINEAS!$U$189=1,LINEAS!$U$189=3),1,-1)*LINEAS!$AF$189*DATOS!$C$67,DATOS!$C$68)))</f>
        <v/>
      </c>
      <c r="E1063" s="42" t="str">
        <f t="shared" si="33"/>
        <v/>
      </c>
    </row>
    <row r="1064" spans="2:5" ht="15" customHeight="1" x14ac:dyDescent="0.3">
      <c r="B1064" s="44" t="str">
        <f>IF(OR(LINEAS!$D$190="",LINEAS!$U$190=0,ABS(IF(OR(LINEAS!$U$190=1,LINEAS!$U$190=3),1,-1)*LINEAS!$AF$190*DATOS!$C$67)&lt;0.00005),"*",LINEAS!$D$190&amp;" UNI "&amp;IF(LINEAS!$U$190&lt;=2,"GZ","GX")&amp;" "&amp;TEXT(IF(OR(LINEAS!$U$190=1,LINEAS!$U$190=3),1,-1)*LINEAS!$AF$190*DATOS!$C$67,DATOS!$C$68))</f>
        <v>*</v>
      </c>
      <c r="C1064" s="42" t="str">
        <f t="shared" si="32"/>
        <v/>
      </c>
      <c r="D1064" s="44" t="str">
        <f>IF(PRESIONES!$C$22="NO","",IF(OR(LINEAS!$D$190="",LINEAS!$U$190=0,ABS(IF(OR(LINEAS!$U$190=1,LINEAS!$U$190=3),1,-1)*LINEAS!$AF$190*DATOS!$C$67)&lt;0.00005),"*",LINEAS!$D$190&amp;" UNI "&amp;IF(LINEAS!$U$190&lt;=2,"GZ","GX")&amp;" "&amp;TEXT(IF(OR(LINEAS!$U$190=1,LINEAS!$U$190=3),1,-1)*LINEAS!$AF$190*DATOS!$C$67,DATOS!$C$68)))</f>
        <v/>
      </c>
      <c r="E1064" s="42" t="str">
        <f t="shared" si="33"/>
        <v/>
      </c>
    </row>
    <row r="1065" spans="2:5" ht="15" customHeight="1" x14ac:dyDescent="0.3">
      <c r="B1065" s="44" t="str">
        <f>IF(OR(LINEAS!$D$191="",LINEAS!$U$191=0,ABS(IF(OR(LINEAS!$U$191=1,LINEAS!$U$191=3),1,-1)*LINEAS!$AF$191*DATOS!$C$67)&lt;0.00005),"*",LINEAS!$D$191&amp;" UNI "&amp;IF(LINEAS!$U$191&lt;=2,"GZ","GX")&amp;" "&amp;TEXT(IF(OR(LINEAS!$U$191=1,LINEAS!$U$191=3),1,-1)*LINEAS!$AF$191*DATOS!$C$67,DATOS!$C$68))</f>
        <v>*</v>
      </c>
      <c r="C1065" s="42" t="str">
        <f t="shared" si="32"/>
        <v/>
      </c>
      <c r="D1065" s="44" t="str">
        <f>IF(PRESIONES!$C$22="NO","",IF(OR(LINEAS!$D$191="",LINEAS!$U$191=0,ABS(IF(OR(LINEAS!$U$191=1,LINEAS!$U$191=3),1,-1)*LINEAS!$AF$191*DATOS!$C$67)&lt;0.00005),"*",LINEAS!$D$191&amp;" UNI "&amp;IF(LINEAS!$U$191&lt;=2,"GZ","GX")&amp;" "&amp;TEXT(IF(OR(LINEAS!$U$191=1,LINEAS!$U$191=3),1,-1)*LINEAS!$AF$191*DATOS!$C$67,DATOS!$C$68)))</f>
        <v/>
      </c>
      <c r="E1065" s="42" t="str">
        <f t="shared" si="33"/>
        <v/>
      </c>
    </row>
    <row r="1066" spans="2:5" ht="15" customHeight="1" x14ac:dyDescent="0.3">
      <c r="B1066" s="44" t="str">
        <f>IF(OR(LINEAS!$D$192="",LINEAS!$U$192=0,ABS(IF(OR(LINEAS!$U$192=1,LINEAS!$U$192=3),1,-1)*LINEAS!$AF$192*DATOS!$C$67)&lt;0.00005),"*",LINEAS!$D$192&amp;" UNI "&amp;IF(LINEAS!$U$192&lt;=2,"GZ","GX")&amp;" "&amp;TEXT(IF(OR(LINEAS!$U$192=1,LINEAS!$U$192=3),1,-1)*LINEAS!$AF$192*DATOS!$C$67,DATOS!$C$68))</f>
        <v>*</v>
      </c>
      <c r="C1066" s="42" t="str">
        <f t="shared" si="32"/>
        <v/>
      </c>
      <c r="D1066" s="44" t="str">
        <f>IF(PRESIONES!$C$22="NO","",IF(OR(LINEAS!$D$192="",LINEAS!$U$192=0,ABS(IF(OR(LINEAS!$U$192=1,LINEAS!$U$192=3),1,-1)*LINEAS!$AF$192*DATOS!$C$67)&lt;0.00005),"*",LINEAS!$D$192&amp;" UNI "&amp;IF(LINEAS!$U$192&lt;=2,"GZ","GX")&amp;" "&amp;TEXT(IF(OR(LINEAS!$U$192=1,LINEAS!$U$192=3),1,-1)*LINEAS!$AF$192*DATOS!$C$67,DATOS!$C$68)))</f>
        <v/>
      </c>
      <c r="E1066" s="42" t="str">
        <f t="shared" si="33"/>
        <v/>
      </c>
    </row>
    <row r="1067" spans="2:5" ht="15" customHeight="1" x14ac:dyDescent="0.3">
      <c r="B1067" s="44" t="str">
        <f>IF(OR(LINEAS!$D$193="",LINEAS!$U$193=0,ABS(IF(OR(LINEAS!$U$193=1,LINEAS!$U$193=3),1,-1)*LINEAS!$AF$193*DATOS!$C$67)&lt;0.00005),"*",LINEAS!$D$193&amp;" UNI "&amp;IF(LINEAS!$U$193&lt;=2,"GZ","GX")&amp;" "&amp;TEXT(IF(OR(LINEAS!$U$193=1,LINEAS!$U$193=3),1,-1)*LINEAS!$AF$193*DATOS!$C$67,DATOS!$C$68))</f>
        <v>*</v>
      </c>
      <c r="C1067" s="42" t="str">
        <f t="shared" si="32"/>
        <v/>
      </c>
      <c r="D1067" s="44" t="str">
        <f>IF(PRESIONES!$C$22="NO","",IF(OR(LINEAS!$D$193="",LINEAS!$U$193=0,ABS(IF(OR(LINEAS!$U$193=1,LINEAS!$U$193=3),1,-1)*LINEAS!$AF$193*DATOS!$C$67)&lt;0.00005),"*",LINEAS!$D$193&amp;" UNI "&amp;IF(LINEAS!$U$193&lt;=2,"GZ","GX")&amp;" "&amp;TEXT(IF(OR(LINEAS!$U$193=1,LINEAS!$U$193=3),1,-1)*LINEAS!$AF$193*DATOS!$C$67,DATOS!$C$68)))</f>
        <v/>
      </c>
      <c r="E1067" s="42" t="str">
        <f t="shared" si="33"/>
        <v/>
      </c>
    </row>
    <row r="1068" spans="2:5" ht="15" customHeight="1" x14ac:dyDescent="0.3">
      <c r="B1068" s="44" t="str">
        <f>IF(OR(LINEAS!$D$194="",LINEAS!$U$194=0,ABS(IF(OR(LINEAS!$U$194=1,LINEAS!$U$194=3),1,-1)*LINEAS!$AF$194*DATOS!$C$67)&lt;0.00005),"*",LINEAS!$D$194&amp;" UNI "&amp;IF(LINEAS!$U$194&lt;=2,"GZ","GX")&amp;" "&amp;TEXT(IF(OR(LINEAS!$U$194=1,LINEAS!$U$194=3),1,-1)*LINEAS!$AF$194*DATOS!$C$67,DATOS!$C$68))</f>
        <v>*</v>
      </c>
      <c r="C1068" s="42" t="str">
        <f t="shared" si="32"/>
        <v/>
      </c>
      <c r="D1068" s="44" t="str">
        <f>IF(PRESIONES!$C$22="NO","",IF(OR(LINEAS!$D$194="",LINEAS!$U$194=0,ABS(IF(OR(LINEAS!$U$194=1,LINEAS!$U$194=3),1,-1)*LINEAS!$AF$194*DATOS!$C$67)&lt;0.00005),"*",LINEAS!$D$194&amp;" UNI "&amp;IF(LINEAS!$U$194&lt;=2,"GZ","GX")&amp;" "&amp;TEXT(IF(OR(LINEAS!$U$194=1,LINEAS!$U$194=3),1,-1)*LINEAS!$AF$194*DATOS!$C$67,DATOS!$C$68)))</f>
        <v/>
      </c>
      <c r="E1068" s="42" t="str">
        <f t="shared" si="33"/>
        <v/>
      </c>
    </row>
    <row r="1069" spans="2:5" ht="15" customHeight="1" x14ac:dyDescent="0.3">
      <c r="B1069" s="43" t="str">
        <f>"LOAD "&amp;(DATOS!$C$66+5)&amp;" LOADTYPE Wind  TITLE "&amp;DATOS!$E$77</f>
        <v>LOAD 13 LOADTYPE Wind  TITLE VIENTO -X PA</v>
      </c>
      <c r="C1069" s="42" t="str">
        <f t="shared" si="32"/>
        <v/>
      </c>
      <c r="D1069" s="44" t="str">
        <f>IF(PRESIONES!$C$22="NO",IF(6=1,"* CASOS B = CASOS A (SIN ±0.4 NI +0.3 EN EL TECHO): NO HACE FALTA",""),"LOAD "&amp;(DATOS!$C$69+5)&amp;" LOADTYPE Wind  TITLE "&amp;DATOS!$E$77&amp;" B")</f>
        <v/>
      </c>
      <c r="E1069" s="42" t="str">
        <f t="shared" si="33"/>
        <v/>
      </c>
    </row>
    <row r="1070" spans="2:5" ht="15" customHeight="1" x14ac:dyDescent="0.3">
      <c r="B1070" s="44" t="s">
        <v>632</v>
      </c>
      <c r="C1070" s="42" t="str">
        <f t="shared" si="32"/>
        <v/>
      </c>
      <c r="D1070" s="44" t="str">
        <f>IF(PRESIONES!$C$22="NO","","MEMBER LOAD")</f>
        <v/>
      </c>
      <c r="E1070" s="42" t="str">
        <f t="shared" si="33"/>
        <v/>
      </c>
    </row>
    <row r="1071" spans="2:5" ht="15" customHeight="1" x14ac:dyDescent="0.3">
      <c r="B1071" s="44" t="str">
        <f>IF(OR(LINEAS!$D$9="",ABS(-LINEAS!$AG$9*DATOS!$C$67)&lt;0.00005),"*",LINEAS!$D$9&amp;" UNI GY "&amp;TEXT(-LINEAS!$AG$9*DATOS!$C$67,DATOS!$C$68))</f>
        <v>22 85 TO 88 UNI GY 0.0659</v>
      </c>
      <c r="C1071" s="42" t="str">
        <f t="shared" si="32"/>
        <v/>
      </c>
      <c r="D1071" s="44" t="str">
        <f>IF(PRESIONES!$C$22="NO","",IF(OR(LINEAS!$D$9="",ABS(-LINEAS!$AW$9*DATOS!$C$67)&lt;0.00005),"*",LINEAS!$D$9&amp;" UNI GY "&amp;TEXT(-LINEAS!$AW$9*DATOS!$C$67,DATOS!$C$68)))</f>
        <v/>
      </c>
      <c r="E1071" s="42" t="str">
        <f t="shared" si="33"/>
        <v/>
      </c>
    </row>
    <row r="1072" spans="2:5" ht="15" customHeight="1" x14ac:dyDescent="0.3">
      <c r="B1072" s="44" t="str">
        <f>IF(OR(LINEAS!$D$9="",DATOS!$C$22="—",ABS(LINEAS!$AO$9*DATOS!$C$67)&lt;0.00005),"*",LINEAS!$D$9&amp;" UNI G"&amp;DATOS!$C$22&amp;" "&amp;TEXT(LINEAS!$AO$9*DATOS!$C$67,DATOS!$C$68))</f>
        <v>22 85 TO 88 UNI GZ 0.0033</v>
      </c>
      <c r="C1072" s="42" t="str">
        <f t="shared" si="32"/>
        <v/>
      </c>
      <c r="D1072" s="44" t="str">
        <f>IF(PRESIONES!$C$22="NO","",IF(OR(LINEAS!$D$9="",DATOS!$C$22="—",ABS(LINEAS!$BE$9*DATOS!$C$67)&lt;0.00005),"*",LINEAS!$D$9&amp;" UNI G"&amp;DATOS!$C$22&amp;" "&amp;TEXT(LINEAS!$BE$9*DATOS!$C$67,DATOS!$C$68)))</f>
        <v/>
      </c>
      <c r="E1072" s="42" t="str">
        <f t="shared" si="33"/>
        <v/>
      </c>
    </row>
    <row r="1073" spans="2:5" ht="15" customHeight="1" x14ac:dyDescent="0.3">
      <c r="B1073" s="44" t="str">
        <f>IF(OR(LINEAS!$D$10="",ABS(-LINEAS!$AG$10*DATOS!$C$67)&lt;0.00005),"*",LINEAS!$D$10&amp;" UNI GY "&amp;TEXT(-LINEAS!$AG$10*DATOS!$C$67,DATOS!$C$68))</f>
        <v>80 129 TO 132 UNI GY 0.1318</v>
      </c>
      <c r="C1073" s="42" t="str">
        <f t="shared" si="32"/>
        <v/>
      </c>
      <c r="D1073" s="44" t="str">
        <f>IF(PRESIONES!$C$22="NO","",IF(OR(LINEAS!$D$10="",ABS(-LINEAS!$AW$10*DATOS!$C$67)&lt;0.00005),"*",LINEAS!$D$10&amp;" UNI GY "&amp;TEXT(-LINEAS!$AW$10*DATOS!$C$67,DATOS!$C$68)))</f>
        <v/>
      </c>
      <c r="E1073" s="42" t="str">
        <f t="shared" si="33"/>
        <v/>
      </c>
    </row>
    <row r="1074" spans="2:5" ht="15" customHeight="1" x14ac:dyDescent="0.3">
      <c r="B1074" s="44" t="str">
        <f>IF(OR(LINEAS!$D$10="",DATOS!$C$22="—",ABS(LINEAS!$AO$10*DATOS!$C$67)&lt;0.00005),"*",LINEAS!$D$10&amp;" UNI G"&amp;DATOS!$C$22&amp;" "&amp;TEXT(LINEAS!$AO$10*DATOS!$C$67,DATOS!$C$68))</f>
        <v>80 129 TO 132 UNI GZ 0.0066</v>
      </c>
      <c r="C1074" s="42" t="str">
        <f t="shared" si="32"/>
        <v/>
      </c>
      <c r="D1074" s="44" t="str">
        <f>IF(PRESIONES!$C$22="NO","",IF(OR(LINEAS!$D$10="",DATOS!$C$22="—",ABS(LINEAS!$BE$10*DATOS!$C$67)&lt;0.00005),"*",LINEAS!$D$10&amp;" UNI G"&amp;DATOS!$C$22&amp;" "&amp;TEXT(LINEAS!$BE$10*DATOS!$C$67,DATOS!$C$68)))</f>
        <v/>
      </c>
      <c r="E1074" s="42" t="str">
        <f t="shared" si="33"/>
        <v/>
      </c>
    </row>
    <row r="1075" spans="2:5" ht="15" customHeight="1" x14ac:dyDescent="0.3">
      <c r="B1075" s="44" t="str">
        <f>IF(OR(LINEAS!$D$11="",ABS(-LINEAS!$AG$11*DATOS!$C$67)&lt;0.00005),"*",LINEAS!$D$11&amp;" UNI GY "&amp;TEXT(-LINEAS!$AG$11*DATOS!$C$67,DATOS!$C$68))</f>
        <v>79 125 TO 128 UNI GY 0.1318</v>
      </c>
      <c r="C1075" s="42" t="str">
        <f t="shared" si="32"/>
        <v/>
      </c>
      <c r="D1075" s="44" t="str">
        <f>IF(PRESIONES!$C$22="NO","",IF(OR(LINEAS!$D$11="",ABS(-LINEAS!$AW$11*DATOS!$C$67)&lt;0.00005),"*",LINEAS!$D$11&amp;" UNI GY "&amp;TEXT(-LINEAS!$AW$11*DATOS!$C$67,DATOS!$C$68)))</f>
        <v/>
      </c>
      <c r="E1075" s="42" t="str">
        <f t="shared" si="33"/>
        <v/>
      </c>
    </row>
    <row r="1076" spans="2:5" ht="15" customHeight="1" x14ac:dyDescent="0.3">
      <c r="B1076" s="44" t="str">
        <f>IF(OR(LINEAS!$D$11="",DATOS!$C$22="—",ABS(LINEAS!$AO$11*DATOS!$C$67)&lt;0.00005),"*",LINEAS!$D$11&amp;" UNI G"&amp;DATOS!$C$22&amp;" "&amp;TEXT(LINEAS!$AO$11*DATOS!$C$67,DATOS!$C$68))</f>
        <v>79 125 TO 128 UNI GZ 0.0066</v>
      </c>
      <c r="C1076" s="42" t="str">
        <f t="shared" si="32"/>
        <v/>
      </c>
      <c r="D1076" s="44" t="str">
        <f>IF(PRESIONES!$C$22="NO","",IF(OR(LINEAS!$D$11="",DATOS!$C$22="—",ABS(LINEAS!$BE$11*DATOS!$C$67)&lt;0.00005),"*",LINEAS!$D$11&amp;" UNI G"&amp;DATOS!$C$22&amp;" "&amp;TEXT(LINEAS!$BE$11*DATOS!$C$67,DATOS!$C$68)))</f>
        <v/>
      </c>
      <c r="E1076" s="42" t="str">
        <f t="shared" si="33"/>
        <v/>
      </c>
    </row>
    <row r="1077" spans="2:5" ht="15" customHeight="1" x14ac:dyDescent="0.3">
      <c r="B1077" s="44" t="str">
        <f>IF(OR(LINEAS!$D$12="",ABS(-LINEAS!$AG$12*DATOS!$C$67)&lt;0.00005),"*",LINEAS!$D$12&amp;" UNI GY "&amp;TEXT(-LINEAS!$AG$12*DATOS!$C$67,DATOS!$C$68))</f>
        <v>78 121 TO 124 UNI GY 0.1318</v>
      </c>
      <c r="C1077" s="42" t="str">
        <f t="shared" si="32"/>
        <v/>
      </c>
      <c r="D1077" s="44" t="str">
        <f>IF(PRESIONES!$C$22="NO","",IF(OR(LINEAS!$D$12="",ABS(-LINEAS!$AW$12*DATOS!$C$67)&lt;0.00005),"*",LINEAS!$D$12&amp;" UNI GY "&amp;TEXT(-LINEAS!$AW$12*DATOS!$C$67,DATOS!$C$68)))</f>
        <v/>
      </c>
      <c r="E1077" s="42" t="str">
        <f t="shared" si="33"/>
        <v/>
      </c>
    </row>
    <row r="1078" spans="2:5" ht="15" customHeight="1" x14ac:dyDescent="0.3">
      <c r="B1078" s="44" t="str">
        <f>IF(OR(LINEAS!$D$12="",DATOS!$C$22="—",ABS(LINEAS!$AO$12*DATOS!$C$67)&lt;0.00005),"*",LINEAS!$D$12&amp;" UNI G"&amp;DATOS!$C$22&amp;" "&amp;TEXT(LINEAS!$AO$12*DATOS!$C$67,DATOS!$C$68))</f>
        <v>78 121 TO 124 UNI GZ 0.0066</v>
      </c>
      <c r="C1078" s="42" t="str">
        <f t="shared" si="32"/>
        <v/>
      </c>
      <c r="D1078" s="44" t="str">
        <f>IF(PRESIONES!$C$22="NO","",IF(OR(LINEAS!$D$12="",DATOS!$C$22="—",ABS(LINEAS!$BE$12*DATOS!$C$67)&lt;0.00005),"*",LINEAS!$D$12&amp;" UNI G"&amp;DATOS!$C$22&amp;" "&amp;TEXT(LINEAS!$BE$12*DATOS!$C$67,DATOS!$C$68)))</f>
        <v/>
      </c>
      <c r="E1078" s="42" t="str">
        <f t="shared" si="33"/>
        <v/>
      </c>
    </row>
    <row r="1079" spans="2:5" ht="15" customHeight="1" x14ac:dyDescent="0.3">
      <c r="B1079" s="44" t="str">
        <f>IF(OR(LINEAS!$D$13="",ABS(-LINEAS!$AG$13*DATOS!$C$67)&lt;0.00005),"*",LINEAS!$D$13&amp;" UNI GY "&amp;TEXT(-LINEAS!$AG$13*DATOS!$C$67,DATOS!$C$68))</f>
        <v>77 117 TO 120 UNI GY 0.1318</v>
      </c>
      <c r="C1079" s="42" t="str">
        <f t="shared" si="32"/>
        <v/>
      </c>
      <c r="D1079" s="44" t="str">
        <f>IF(PRESIONES!$C$22="NO","",IF(OR(LINEAS!$D$13="",ABS(-LINEAS!$AW$13*DATOS!$C$67)&lt;0.00005),"*",LINEAS!$D$13&amp;" UNI GY "&amp;TEXT(-LINEAS!$AW$13*DATOS!$C$67,DATOS!$C$68)))</f>
        <v/>
      </c>
      <c r="E1079" s="42" t="str">
        <f t="shared" si="33"/>
        <v/>
      </c>
    </row>
    <row r="1080" spans="2:5" ht="15" customHeight="1" x14ac:dyDescent="0.3">
      <c r="B1080" s="44" t="str">
        <f>IF(OR(LINEAS!$D$13="",DATOS!$C$22="—",ABS(LINEAS!$AO$13*DATOS!$C$67)&lt;0.00005),"*",LINEAS!$D$13&amp;" UNI G"&amp;DATOS!$C$22&amp;" "&amp;TEXT(LINEAS!$AO$13*DATOS!$C$67,DATOS!$C$68))</f>
        <v>77 117 TO 120 UNI GZ 0.0066</v>
      </c>
      <c r="C1080" s="42" t="str">
        <f t="shared" si="32"/>
        <v/>
      </c>
      <c r="D1080" s="44" t="str">
        <f>IF(PRESIONES!$C$22="NO","",IF(OR(LINEAS!$D$13="",DATOS!$C$22="—",ABS(LINEAS!$BE$13*DATOS!$C$67)&lt;0.00005),"*",LINEAS!$D$13&amp;" UNI G"&amp;DATOS!$C$22&amp;" "&amp;TEXT(LINEAS!$BE$13*DATOS!$C$67,DATOS!$C$68)))</f>
        <v/>
      </c>
      <c r="E1080" s="42" t="str">
        <f t="shared" si="33"/>
        <v/>
      </c>
    </row>
    <row r="1081" spans="2:5" ht="15" customHeight="1" x14ac:dyDescent="0.3">
      <c r="B1081" s="44" t="str">
        <f>IF(OR(LINEAS!$D$14="",ABS(-LINEAS!$AG$14*DATOS!$C$67)&lt;0.00005),"*",LINEAS!$D$14&amp;" UNI GY "&amp;TEXT(-LINEAS!$AG$14*DATOS!$C$67,DATOS!$C$68))</f>
        <v>9 93 TO 96 UNI GY 0.1318</v>
      </c>
      <c r="C1081" s="42" t="str">
        <f t="shared" si="32"/>
        <v/>
      </c>
      <c r="D1081" s="44" t="str">
        <f>IF(PRESIONES!$C$22="NO","",IF(OR(LINEAS!$D$14="",ABS(-LINEAS!$AW$14*DATOS!$C$67)&lt;0.00005),"*",LINEAS!$D$14&amp;" UNI GY "&amp;TEXT(-LINEAS!$AW$14*DATOS!$C$67,DATOS!$C$68)))</f>
        <v/>
      </c>
      <c r="E1081" s="42" t="str">
        <f t="shared" si="33"/>
        <v/>
      </c>
    </row>
    <row r="1082" spans="2:5" ht="15" customHeight="1" x14ac:dyDescent="0.3">
      <c r="B1082" s="44" t="str">
        <f>IF(OR(LINEAS!$D$14="",DATOS!$C$22="—",ABS(LINEAS!$AO$14*DATOS!$C$67)&lt;0.00005),"*",LINEAS!$D$14&amp;" UNI G"&amp;DATOS!$C$22&amp;" "&amp;TEXT(LINEAS!$AO$14*DATOS!$C$67,DATOS!$C$68))</f>
        <v>9 93 TO 96 UNI GZ 0.0066</v>
      </c>
      <c r="C1082" s="42" t="str">
        <f t="shared" si="32"/>
        <v/>
      </c>
      <c r="D1082" s="44" t="str">
        <f>IF(PRESIONES!$C$22="NO","",IF(OR(LINEAS!$D$14="",DATOS!$C$22="—",ABS(LINEAS!$BE$14*DATOS!$C$67)&lt;0.00005),"*",LINEAS!$D$14&amp;" UNI G"&amp;DATOS!$C$22&amp;" "&amp;TEXT(LINEAS!$BE$14*DATOS!$C$67,DATOS!$C$68)))</f>
        <v/>
      </c>
      <c r="E1082" s="42" t="str">
        <f t="shared" si="33"/>
        <v/>
      </c>
    </row>
    <row r="1083" spans="2:5" ht="15" customHeight="1" x14ac:dyDescent="0.3">
      <c r="B1083" s="44" t="str">
        <f>IF(OR(LINEAS!$D$15="",ABS(-LINEAS!$AG$15*DATOS!$C$67)&lt;0.00005),"*",LINEAS!$D$15&amp;" UNI GY "&amp;TEXT(-LINEAS!$AG$15*DATOS!$C$67,DATOS!$C$68))</f>
        <v>76 113 TO 116 UNI GY 0.1318</v>
      </c>
      <c r="C1083" s="42" t="str">
        <f t="shared" si="32"/>
        <v/>
      </c>
      <c r="D1083" s="44" t="str">
        <f>IF(PRESIONES!$C$22="NO","",IF(OR(LINEAS!$D$15="",ABS(-LINEAS!$AW$15*DATOS!$C$67)&lt;0.00005),"*",LINEAS!$D$15&amp;" UNI GY "&amp;TEXT(-LINEAS!$AW$15*DATOS!$C$67,DATOS!$C$68)))</f>
        <v/>
      </c>
      <c r="E1083" s="42" t="str">
        <f t="shared" si="33"/>
        <v/>
      </c>
    </row>
    <row r="1084" spans="2:5" ht="15" customHeight="1" x14ac:dyDescent="0.3">
      <c r="B1084" s="44" t="str">
        <f>IF(OR(LINEAS!$D$15="",DATOS!$C$22="—",ABS(LINEAS!$AO$15*DATOS!$C$67)&lt;0.00005),"*",LINEAS!$D$15&amp;" UNI G"&amp;DATOS!$C$22&amp;" "&amp;TEXT(LINEAS!$AO$15*DATOS!$C$67,DATOS!$C$68))</f>
        <v>76 113 TO 116 UNI GZ 0.0066</v>
      </c>
      <c r="C1084" s="42" t="str">
        <f t="shared" si="32"/>
        <v/>
      </c>
      <c r="D1084" s="44" t="str">
        <f>IF(PRESIONES!$C$22="NO","",IF(OR(LINEAS!$D$15="",DATOS!$C$22="—",ABS(LINEAS!$BE$15*DATOS!$C$67)&lt;0.00005),"*",LINEAS!$D$15&amp;" UNI G"&amp;DATOS!$C$22&amp;" "&amp;TEXT(LINEAS!$BE$15*DATOS!$C$67,DATOS!$C$68)))</f>
        <v/>
      </c>
      <c r="E1084" s="42" t="str">
        <f t="shared" si="33"/>
        <v/>
      </c>
    </row>
    <row r="1085" spans="2:5" ht="15" customHeight="1" x14ac:dyDescent="0.3">
      <c r="B1085" s="44" t="str">
        <f>IF(OR(LINEAS!$D$16="",ABS(-LINEAS!$AG$16*DATOS!$C$67)&lt;0.00005),"*",LINEAS!$D$16&amp;" UNI GY "&amp;TEXT(-LINEAS!$AG$16*DATOS!$C$67,DATOS!$C$68))</f>
        <v>75 109 TO 112 UNI GY 0.1318</v>
      </c>
      <c r="C1085" s="42" t="str">
        <f t="shared" si="32"/>
        <v/>
      </c>
      <c r="D1085" s="44" t="str">
        <f>IF(PRESIONES!$C$22="NO","",IF(OR(LINEAS!$D$16="",ABS(-LINEAS!$AW$16*DATOS!$C$67)&lt;0.00005),"*",LINEAS!$D$16&amp;" UNI GY "&amp;TEXT(-LINEAS!$AW$16*DATOS!$C$67,DATOS!$C$68)))</f>
        <v/>
      </c>
      <c r="E1085" s="42" t="str">
        <f t="shared" si="33"/>
        <v/>
      </c>
    </row>
    <row r="1086" spans="2:5" ht="15" customHeight="1" x14ac:dyDescent="0.3">
      <c r="B1086" s="44" t="str">
        <f>IF(OR(LINEAS!$D$16="",DATOS!$C$22="—",ABS(LINEAS!$AO$16*DATOS!$C$67)&lt;0.00005),"*",LINEAS!$D$16&amp;" UNI G"&amp;DATOS!$C$22&amp;" "&amp;TEXT(LINEAS!$AO$16*DATOS!$C$67,DATOS!$C$68))</f>
        <v>75 109 TO 112 UNI GZ 0.0066</v>
      </c>
      <c r="C1086" s="42" t="str">
        <f t="shared" si="32"/>
        <v/>
      </c>
      <c r="D1086" s="44" t="str">
        <f>IF(PRESIONES!$C$22="NO","",IF(OR(LINEAS!$D$16="",DATOS!$C$22="—",ABS(LINEAS!$BE$16*DATOS!$C$67)&lt;0.00005),"*",LINEAS!$D$16&amp;" UNI G"&amp;DATOS!$C$22&amp;" "&amp;TEXT(LINEAS!$BE$16*DATOS!$C$67,DATOS!$C$68)))</f>
        <v/>
      </c>
      <c r="E1086" s="42" t="str">
        <f t="shared" si="33"/>
        <v/>
      </c>
    </row>
    <row r="1087" spans="2:5" ht="15" customHeight="1" x14ac:dyDescent="0.3">
      <c r="B1087" s="44" t="str">
        <f>IF(OR(LINEAS!$D$17="",ABS(-LINEAS!$AG$17*DATOS!$C$67)&lt;0.00005),"*",LINEAS!$D$17&amp;" UNI GY "&amp;TEXT(-LINEAS!$AG$17*DATOS!$C$67,DATOS!$C$68))</f>
        <v>74 105 TO 108 UNI GY 0.1318</v>
      </c>
      <c r="C1087" s="42" t="str">
        <f t="shared" si="32"/>
        <v/>
      </c>
      <c r="D1087" s="44" t="str">
        <f>IF(PRESIONES!$C$22="NO","",IF(OR(LINEAS!$D$17="",ABS(-LINEAS!$AW$17*DATOS!$C$67)&lt;0.00005),"*",LINEAS!$D$17&amp;" UNI GY "&amp;TEXT(-LINEAS!$AW$17*DATOS!$C$67,DATOS!$C$68)))</f>
        <v/>
      </c>
      <c r="E1087" s="42" t="str">
        <f t="shared" si="33"/>
        <v/>
      </c>
    </row>
    <row r="1088" spans="2:5" ht="15" customHeight="1" x14ac:dyDescent="0.3">
      <c r="B1088" s="44" t="str">
        <f>IF(OR(LINEAS!$D$17="",DATOS!$C$22="—",ABS(LINEAS!$AO$17*DATOS!$C$67)&lt;0.00005),"*",LINEAS!$D$17&amp;" UNI G"&amp;DATOS!$C$22&amp;" "&amp;TEXT(LINEAS!$AO$17*DATOS!$C$67,DATOS!$C$68))</f>
        <v>74 105 TO 108 UNI GZ 0.0066</v>
      </c>
      <c r="C1088" s="42" t="str">
        <f t="shared" si="32"/>
        <v/>
      </c>
      <c r="D1088" s="44" t="str">
        <f>IF(PRESIONES!$C$22="NO","",IF(OR(LINEAS!$D$17="",DATOS!$C$22="—",ABS(LINEAS!$BE$17*DATOS!$C$67)&lt;0.00005),"*",LINEAS!$D$17&amp;" UNI G"&amp;DATOS!$C$22&amp;" "&amp;TEXT(LINEAS!$BE$17*DATOS!$C$67,DATOS!$C$68)))</f>
        <v/>
      </c>
      <c r="E1088" s="42" t="str">
        <f t="shared" si="33"/>
        <v/>
      </c>
    </row>
    <row r="1089" spans="2:5" ht="15" customHeight="1" x14ac:dyDescent="0.3">
      <c r="B1089" s="44" t="str">
        <f>IF(OR(LINEAS!$D$18="",ABS(-LINEAS!$AG$18*DATOS!$C$67)&lt;0.00005),"*",LINEAS!$D$18&amp;" UNI GY "&amp;TEXT(-LINEAS!$AG$18*DATOS!$C$67,DATOS!$C$68))</f>
        <v>73 101 TO 104 UNI GY 0.1318</v>
      </c>
      <c r="C1089" s="42" t="str">
        <f t="shared" si="32"/>
        <v/>
      </c>
      <c r="D1089" s="44" t="str">
        <f>IF(PRESIONES!$C$22="NO","",IF(OR(LINEAS!$D$18="",ABS(-LINEAS!$AW$18*DATOS!$C$67)&lt;0.00005),"*",LINEAS!$D$18&amp;" UNI GY "&amp;TEXT(-LINEAS!$AW$18*DATOS!$C$67,DATOS!$C$68)))</f>
        <v/>
      </c>
      <c r="E1089" s="42" t="str">
        <f t="shared" si="33"/>
        <v/>
      </c>
    </row>
    <row r="1090" spans="2:5" ht="15" customHeight="1" x14ac:dyDescent="0.3">
      <c r="B1090" s="44" t="str">
        <f>IF(OR(LINEAS!$D$18="",DATOS!$C$22="—",ABS(LINEAS!$AO$18*DATOS!$C$67)&lt;0.00005),"*",LINEAS!$D$18&amp;" UNI G"&amp;DATOS!$C$22&amp;" "&amp;TEXT(LINEAS!$AO$18*DATOS!$C$67,DATOS!$C$68))</f>
        <v>73 101 TO 104 UNI GZ 0.0066</v>
      </c>
      <c r="C1090" s="42" t="str">
        <f t="shared" si="32"/>
        <v/>
      </c>
      <c r="D1090" s="44" t="str">
        <f>IF(PRESIONES!$C$22="NO","",IF(OR(LINEAS!$D$18="",DATOS!$C$22="—",ABS(LINEAS!$BE$18*DATOS!$C$67)&lt;0.00005),"*",LINEAS!$D$18&amp;" UNI G"&amp;DATOS!$C$22&amp;" "&amp;TEXT(LINEAS!$BE$18*DATOS!$C$67,DATOS!$C$68)))</f>
        <v/>
      </c>
      <c r="E1090" s="42" t="str">
        <f t="shared" si="33"/>
        <v/>
      </c>
    </row>
    <row r="1091" spans="2:5" ht="15" customHeight="1" x14ac:dyDescent="0.3">
      <c r="B1091" s="44" t="str">
        <f>IF(OR(LINEAS!$D$19="",ABS(-LINEAS!$AG$19*DATOS!$C$67)&lt;0.00005),"*",LINEAS!$D$19&amp;" UNI GY "&amp;TEXT(-LINEAS!$AG$19*DATOS!$C$67,DATOS!$C$68))</f>
        <v>8 89 TO 92 UNI GY 0.1270</v>
      </c>
      <c r="C1091" s="42" t="str">
        <f t="shared" si="32"/>
        <v/>
      </c>
      <c r="D1091" s="44" t="str">
        <f>IF(PRESIONES!$C$22="NO","",IF(OR(LINEAS!$D$19="",ABS(-LINEAS!$AW$19*DATOS!$C$67)&lt;0.00005),"*",LINEAS!$D$19&amp;" UNI GY "&amp;TEXT(-LINEAS!$AW$19*DATOS!$C$67,DATOS!$C$68)))</f>
        <v/>
      </c>
      <c r="E1091" s="42" t="str">
        <f t="shared" si="33"/>
        <v/>
      </c>
    </row>
    <row r="1092" spans="2:5" ht="15" customHeight="1" x14ac:dyDescent="0.3">
      <c r="B1092" s="44" t="str">
        <f>IF(OR(LINEAS!$D$19="",DATOS!$C$22="—",ABS(LINEAS!$AO$19*DATOS!$C$67)&lt;0.00005),"*",LINEAS!$D$19&amp;" UNI G"&amp;DATOS!$C$22&amp;" "&amp;TEXT(LINEAS!$AO$19*DATOS!$C$67,DATOS!$C$68))</f>
        <v>8 89 TO 92 UNI GZ 0.0063</v>
      </c>
      <c r="C1092" s="42" t="str">
        <f t="shared" si="32"/>
        <v/>
      </c>
      <c r="D1092" s="44" t="str">
        <f>IF(PRESIONES!$C$22="NO","",IF(OR(LINEAS!$D$19="",DATOS!$C$22="—",ABS(LINEAS!$BE$19*DATOS!$C$67)&lt;0.00005),"*",LINEAS!$D$19&amp;" UNI G"&amp;DATOS!$C$22&amp;" "&amp;TEXT(LINEAS!$BE$19*DATOS!$C$67,DATOS!$C$68)))</f>
        <v/>
      </c>
      <c r="E1092" s="42" t="str">
        <f t="shared" si="33"/>
        <v/>
      </c>
    </row>
    <row r="1093" spans="2:5" ht="15" customHeight="1" x14ac:dyDescent="0.3">
      <c r="B1093" s="44" t="str">
        <f>IF(OR(LINEAS!$D$20="",ABS(-LINEAS!$AG$20*DATOS!$C$67)&lt;0.00005),"*",LINEAS!$D$20&amp;" UNI GY "&amp;TEXT(-LINEAS!$AG$20*DATOS!$C$67,DATOS!$C$68))</f>
        <v>56 97 TO 100 UNI GY 0.1221</v>
      </c>
      <c r="C1093" s="42" t="str">
        <f t="shared" si="32"/>
        <v/>
      </c>
      <c r="D1093" s="44" t="str">
        <f>IF(PRESIONES!$C$22="NO","",IF(OR(LINEAS!$D$20="",ABS(-LINEAS!$AW$20*DATOS!$C$67)&lt;0.00005),"*",LINEAS!$D$20&amp;" UNI GY "&amp;TEXT(-LINEAS!$AW$20*DATOS!$C$67,DATOS!$C$68)))</f>
        <v/>
      </c>
      <c r="E1093" s="42" t="str">
        <f t="shared" si="33"/>
        <v/>
      </c>
    </row>
    <row r="1094" spans="2:5" ht="15" customHeight="1" x14ac:dyDescent="0.3">
      <c r="B1094" s="44" t="str">
        <f>IF(OR(LINEAS!$D$20="",DATOS!$C$22="—",ABS(LINEAS!$AO$20*DATOS!$C$67)&lt;0.00005),"*",LINEAS!$D$20&amp;" UNI G"&amp;DATOS!$C$22&amp;" "&amp;TEXT(LINEAS!$AO$20*DATOS!$C$67,DATOS!$C$68))</f>
        <v>56 97 TO 100 UNI GZ 0.0061</v>
      </c>
      <c r="C1094" s="42" t="str">
        <f t="shared" si="32"/>
        <v/>
      </c>
      <c r="D1094" s="44" t="str">
        <f>IF(PRESIONES!$C$22="NO","",IF(OR(LINEAS!$D$20="",DATOS!$C$22="—",ABS(LINEAS!$BE$20*DATOS!$C$67)&lt;0.00005),"*",LINEAS!$D$20&amp;" UNI G"&amp;DATOS!$C$22&amp;" "&amp;TEXT(LINEAS!$BE$20*DATOS!$C$67,DATOS!$C$68)))</f>
        <v/>
      </c>
      <c r="E1094" s="42" t="str">
        <f t="shared" si="33"/>
        <v/>
      </c>
    </row>
    <row r="1095" spans="2:5" ht="15" customHeight="1" x14ac:dyDescent="0.3">
      <c r="B1095" s="44" t="str">
        <f>IF(OR(LINEAS!$D$21="",ABS(-LINEAS!$AG$21*DATOS!$C$67)&lt;0.00005),"*",LINEAS!$D$21&amp;" UNI GY "&amp;TEXT(-LINEAS!$AG$21*DATOS!$C$67,DATOS!$C$68))</f>
        <v>7 81 TO 84 UNI GY 0.0610</v>
      </c>
      <c r="C1095" s="42" t="str">
        <f t="shared" si="32"/>
        <v/>
      </c>
      <c r="D1095" s="44" t="str">
        <f>IF(PRESIONES!$C$22="NO","",IF(OR(LINEAS!$D$21="",ABS(-LINEAS!$AW$21*DATOS!$C$67)&lt;0.00005),"*",LINEAS!$D$21&amp;" UNI GY "&amp;TEXT(-LINEAS!$AW$21*DATOS!$C$67,DATOS!$C$68)))</f>
        <v/>
      </c>
      <c r="E1095" s="42" t="str">
        <f t="shared" si="33"/>
        <v/>
      </c>
    </row>
    <row r="1096" spans="2:5" ht="15" customHeight="1" x14ac:dyDescent="0.3">
      <c r="B1096" s="44" t="str">
        <f>IF(OR(LINEAS!$D$21="",DATOS!$C$22="—",ABS(LINEAS!$AO$21*DATOS!$C$67)&lt;0.00005),"*",LINEAS!$D$21&amp;" UNI G"&amp;DATOS!$C$22&amp;" "&amp;TEXT(LINEAS!$AO$21*DATOS!$C$67,DATOS!$C$68))</f>
        <v>7 81 TO 84 UNI GZ 0.0031</v>
      </c>
      <c r="C1096" s="42" t="str">
        <f t="shared" si="32"/>
        <v/>
      </c>
      <c r="D1096" s="44" t="str">
        <f>IF(PRESIONES!$C$22="NO","",IF(OR(LINEAS!$D$21="",DATOS!$C$22="—",ABS(LINEAS!$BE$21*DATOS!$C$67)&lt;0.00005),"*",LINEAS!$D$21&amp;" UNI G"&amp;DATOS!$C$22&amp;" "&amp;TEXT(LINEAS!$BE$21*DATOS!$C$67,DATOS!$C$68)))</f>
        <v/>
      </c>
      <c r="E1096" s="42" t="str">
        <f t="shared" si="33"/>
        <v/>
      </c>
    </row>
    <row r="1097" spans="2:5" ht="15" customHeight="1" x14ac:dyDescent="0.3">
      <c r="B1097" s="44" t="str">
        <f>IF(OR(LINEAS!$D$22="",ABS(-LINEAS!$AG$22*DATOS!$C$67)&lt;0.00005),"*",LINEAS!$D$22&amp;" UNI GY "&amp;TEXT(-LINEAS!$AG$22*DATOS!$C$67,DATOS!$C$68))</f>
        <v>*</v>
      </c>
      <c r="C1097" s="42" t="str">
        <f t="shared" ref="C1097:C1160" si="34">IF(LEN($B1097)&gt;79,"MÁS DE 79 CARACTERES","")</f>
        <v/>
      </c>
      <c r="D1097" s="44" t="str">
        <f>IF(PRESIONES!$C$22="NO","",IF(OR(LINEAS!$D$22="",ABS(-LINEAS!$AW$22*DATOS!$C$67)&lt;0.00005),"*",LINEAS!$D$22&amp;" UNI GY "&amp;TEXT(-LINEAS!$AW$22*DATOS!$C$67,DATOS!$C$68)))</f>
        <v/>
      </c>
      <c r="E1097" s="42" t="str">
        <f t="shared" ref="E1097:E1160" si="35">IF(LEN($D1097)&gt;79,"MÁS DE 79 CARACTERES","")</f>
        <v/>
      </c>
    </row>
    <row r="1098" spans="2:5" ht="15" customHeight="1" x14ac:dyDescent="0.3">
      <c r="B1098" s="44" t="str">
        <f>IF(OR(LINEAS!$D$22="",DATOS!$C$22="—",ABS(LINEAS!$AO$22*DATOS!$C$67)&lt;0.00005),"*",LINEAS!$D$22&amp;" UNI G"&amp;DATOS!$C$22&amp;" "&amp;TEXT(LINEAS!$AO$22*DATOS!$C$67,DATOS!$C$68))</f>
        <v>*</v>
      </c>
      <c r="C1098" s="42" t="str">
        <f t="shared" si="34"/>
        <v/>
      </c>
      <c r="D1098" s="44" t="str">
        <f>IF(PRESIONES!$C$22="NO","",IF(OR(LINEAS!$D$22="",DATOS!$C$22="—",ABS(LINEAS!$BE$22*DATOS!$C$67)&lt;0.00005),"*",LINEAS!$D$22&amp;" UNI G"&amp;DATOS!$C$22&amp;" "&amp;TEXT(LINEAS!$BE$22*DATOS!$C$67,DATOS!$C$68)))</f>
        <v/>
      </c>
      <c r="E1098" s="42" t="str">
        <f t="shared" si="35"/>
        <v/>
      </c>
    </row>
    <row r="1099" spans="2:5" ht="15" customHeight="1" x14ac:dyDescent="0.3">
      <c r="B1099" s="44" t="str">
        <f>IF(OR(LINEAS!$D$23="",ABS(-LINEAS!$AG$23*DATOS!$C$67)&lt;0.00005),"*",LINEAS!$D$23&amp;" UNI GY "&amp;TEXT(-LINEAS!$AG$23*DATOS!$C$67,DATOS!$C$68))</f>
        <v>*</v>
      </c>
      <c r="C1099" s="42" t="str">
        <f t="shared" si="34"/>
        <v/>
      </c>
      <c r="D1099" s="44" t="str">
        <f>IF(PRESIONES!$C$22="NO","",IF(OR(LINEAS!$D$23="",ABS(-LINEAS!$AW$23*DATOS!$C$67)&lt;0.00005),"*",LINEAS!$D$23&amp;" UNI GY "&amp;TEXT(-LINEAS!$AW$23*DATOS!$C$67,DATOS!$C$68)))</f>
        <v/>
      </c>
      <c r="E1099" s="42" t="str">
        <f t="shared" si="35"/>
        <v/>
      </c>
    </row>
    <row r="1100" spans="2:5" ht="15" customHeight="1" x14ac:dyDescent="0.3">
      <c r="B1100" s="44" t="str">
        <f>IF(OR(LINEAS!$D$23="",DATOS!$C$22="—",ABS(LINEAS!$AO$23*DATOS!$C$67)&lt;0.00005),"*",LINEAS!$D$23&amp;" UNI G"&amp;DATOS!$C$22&amp;" "&amp;TEXT(LINEAS!$AO$23*DATOS!$C$67,DATOS!$C$68))</f>
        <v>*</v>
      </c>
      <c r="C1100" s="42" t="str">
        <f t="shared" si="34"/>
        <v/>
      </c>
      <c r="D1100" s="44" t="str">
        <f>IF(PRESIONES!$C$22="NO","",IF(OR(LINEAS!$D$23="",DATOS!$C$22="—",ABS(LINEAS!$BE$23*DATOS!$C$67)&lt;0.00005),"*",LINEAS!$D$23&amp;" UNI G"&amp;DATOS!$C$22&amp;" "&amp;TEXT(LINEAS!$BE$23*DATOS!$C$67,DATOS!$C$68)))</f>
        <v/>
      </c>
      <c r="E1100" s="42" t="str">
        <f t="shared" si="35"/>
        <v/>
      </c>
    </row>
    <row r="1101" spans="2:5" ht="15" customHeight="1" x14ac:dyDescent="0.3">
      <c r="B1101" s="44" t="str">
        <f>IF(OR(LINEAS!$D$24="",ABS(-LINEAS!$AG$24*DATOS!$C$67)&lt;0.00005),"*",LINEAS!$D$24&amp;" UNI GY "&amp;TEXT(-LINEAS!$AG$24*DATOS!$C$67,DATOS!$C$68))</f>
        <v>*</v>
      </c>
      <c r="C1101" s="42" t="str">
        <f t="shared" si="34"/>
        <v/>
      </c>
      <c r="D1101" s="44" t="str">
        <f>IF(PRESIONES!$C$22="NO","",IF(OR(LINEAS!$D$24="",ABS(-LINEAS!$AW$24*DATOS!$C$67)&lt;0.00005),"*",LINEAS!$D$24&amp;" UNI GY "&amp;TEXT(-LINEAS!$AW$24*DATOS!$C$67,DATOS!$C$68)))</f>
        <v/>
      </c>
      <c r="E1101" s="42" t="str">
        <f t="shared" si="35"/>
        <v/>
      </c>
    </row>
    <row r="1102" spans="2:5" ht="15" customHeight="1" x14ac:dyDescent="0.3">
      <c r="B1102" s="44" t="str">
        <f>IF(OR(LINEAS!$D$24="",DATOS!$C$22="—",ABS(LINEAS!$AO$24*DATOS!$C$67)&lt;0.00005),"*",LINEAS!$D$24&amp;" UNI G"&amp;DATOS!$C$22&amp;" "&amp;TEXT(LINEAS!$AO$24*DATOS!$C$67,DATOS!$C$68))</f>
        <v>*</v>
      </c>
      <c r="C1102" s="42" t="str">
        <f t="shared" si="34"/>
        <v/>
      </c>
      <c r="D1102" s="44" t="str">
        <f>IF(PRESIONES!$C$22="NO","",IF(OR(LINEAS!$D$24="",DATOS!$C$22="—",ABS(LINEAS!$BE$24*DATOS!$C$67)&lt;0.00005),"*",LINEAS!$D$24&amp;" UNI G"&amp;DATOS!$C$22&amp;" "&amp;TEXT(LINEAS!$BE$24*DATOS!$C$67,DATOS!$C$68)))</f>
        <v/>
      </c>
      <c r="E1102" s="42" t="str">
        <f t="shared" si="35"/>
        <v/>
      </c>
    </row>
    <row r="1103" spans="2:5" ht="15" customHeight="1" x14ac:dyDescent="0.3">
      <c r="B1103" s="44" t="str">
        <f>IF(OR(LINEAS!$D$25="",ABS(-LINEAS!$AG$25*DATOS!$C$67)&lt;0.00005),"*",LINEAS!$D$25&amp;" UNI GY "&amp;TEXT(-LINEAS!$AG$25*DATOS!$C$67,DATOS!$C$68))</f>
        <v>*</v>
      </c>
      <c r="C1103" s="42" t="str">
        <f t="shared" si="34"/>
        <v/>
      </c>
      <c r="D1103" s="44" t="str">
        <f>IF(PRESIONES!$C$22="NO","",IF(OR(LINEAS!$D$25="",ABS(-LINEAS!$AW$25*DATOS!$C$67)&lt;0.00005),"*",LINEAS!$D$25&amp;" UNI GY "&amp;TEXT(-LINEAS!$AW$25*DATOS!$C$67,DATOS!$C$68)))</f>
        <v/>
      </c>
      <c r="E1103" s="42" t="str">
        <f t="shared" si="35"/>
        <v/>
      </c>
    </row>
    <row r="1104" spans="2:5" ht="15" customHeight="1" x14ac:dyDescent="0.3">
      <c r="B1104" s="44" t="str">
        <f>IF(OR(LINEAS!$D$25="",DATOS!$C$22="—",ABS(LINEAS!$AO$25*DATOS!$C$67)&lt;0.00005),"*",LINEAS!$D$25&amp;" UNI G"&amp;DATOS!$C$22&amp;" "&amp;TEXT(LINEAS!$AO$25*DATOS!$C$67,DATOS!$C$68))</f>
        <v>*</v>
      </c>
      <c r="C1104" s="42" t="str">
        <f t="shared" si="34"/>
        <v/>
      </c>
      <c r="D1104" s="44" t="str">
        <f>IF(PRESIONES!$C$22="NO","",IF(OR(LINEAS!$D$25="",DATOS!$C$22="—",ABS(LINEAS!$BE$25*DATOS!$C$67)&lt;0.00005),"*",LINEAS!$D$25&amp;" UNI G"&amp;DATOS!$C$22&amp;" "&amp;TEXT(LINEAS!$BE$25*DATOS!$C$67,DATOS!$C$68)))</f>
        <v/>
      </c>
      <c r="E1104" s="42" t="str">
        <f t="shared" si="35"/>
        <v/>
      </c>
    </row>
    <row r="1105" spans="2:5" ht="15" customHeight="1" x14ac:dyDescent="0.3">
      <c r="B1105" s="44" t="str">
        <f>IF(OR(LINEAS!$D$26="",ABS(-LINEAS!$AG$26*DATOS!$C$67)&lt;0.00005),"*",LINEAS!$D$26&amp;" UNI GY "&amp;TEXT(-LINEAS!$AG$26*DATOS!$C$67,DATOS!$C$68))</f>
        <v>*</v>
      </c>
      <c r="C1105" s="42" t="str">
        <f t="shared" si="34"/>
        <v/>
      </c>
      <c r="D1105" s="44" t="str">
        <f>IF(PRESIONES!$C$22="NO","",IF(OR(LINEAS!$D$26="",ABS(-LINEAS!$AW$26*DATOS!$C$67)&lt;0.00005),"*",LINEAS!$D$26&amp;" UNI GY "&amp;TEXT(-LINEAS!$AW$26*DATOS!$C$67,DATOS!$C$68)))</f>
        <v/>
      </c>
      <c r="E1105" s="42" t="str">
        <f t="shared" si="35"/>
        <v/>
      </c>
    </row>
    <row r="1106" spans="2:5" ht="15" customHeight="1" x14ac:dyDescent="0.3">
      <c r="B1106" s="44" t="str">
        <f>IF(OR(LINEAS!$D$26="",DATOS!$C$22="—",ABS(LINEAS!$AO$26*DATOS!$C$67)&lt;0.00005),"*",LINEAS!$D$26&amp;" UNI G"&amp;DATOS!$C$22&amp;" "&amp;TEXT(LINEAS!$AO$26*DATOS!$C$67,DATOS!$C$68))</f>
        <v>*</v>
      </c>
      <c r="C1106" s="42" t="str">
        <f t="shared" si="34"/>
        <v/>
      </c>
      <c r="D1106" s="44" t="str">
        <f>IF(PRESIONES!$C$22="NO","",IF(OR(LINEAS!$D$26="",DATOS!$C$22="—",ABS(LINEAS!$BE$26*DATOS!$C$67)&lt;0.00005),"*",LINEAS!$D$26&amp;" UNI G"&amp;DATOS!$C$22&amp;" "&amp;TEXT(LINEAS!$BE$26*DATOS!$C$67,DATOS!$C$68)))</f>
        <v/>
      </c>
      <c r="E1106" s="42" t="str">
        <f t="shared" si="35"/>
        <v/>
      </c>
    </row>
    <row r="1107" spans="2:5" ht="15" customHeight="1" x14ac:dyDescent="0.3">
      <c r="B1107" s="44" t="str">
        <f>IF(OR(LINEAS!$D$27="",ABS(-LINEAS!$AG$27*DATOS!$C$67)&lt;0.00005),"*",LINEAS!$D$27&amp;" UNI GY "&amp;TEXT(-LINEAS!$AG$27*DATOS!$C$67,DATOS!$C$68))</f>
        <v>*</v>
      </c>
      <c r="C1107" s="42" t="str">
        <f t="shared" si="34"/>
        <v/>
      </c>
      <c r="D1107" s="44" t="str">
        <f>IF(PRESIONES!$C$22="NO","",IF(OR(LINEAS!$D$27="",ABS(-LINEAS!$AW$27*DATOS!$C$67)&lt;0.00005),"*",LINEAS!$D$27&amp;" UNI GY "&amp;TEXT(-LINEAS!$AW$27*DATOS!$C$67,DATOS!$C$68)))</f>
        <v/>
      </c>
      <c r="E1107" s="42" t="str">
        <f t="shared" si="35"/>
        <v/>
      </c>
    </row>
    <row r="1108" spans="2:5" ht="15" customHeight="1" x14ac:dyDescent="0.3">
      <c r="B1108" s="44" t="str">
        <f>IF(OR(LINEAS!$D$27="",DATOS!$C$22="—",ABS(LINEAS!$AO$27*DATOS!$C$67)&lt;0.00005),"*",LINEAS!$D$27&amp;" UNI G"&amp;DATOS!$C$22&amp;" "&amp;TEXT(LINEAS!$AO$27*DATOS!$C$67,DATOS!$C$68))</f>
        <v>*</v>
      </c>
      <c r="C1108" s="42" t="str">
        <f t="shared" si="34"/>
        <v/>
      </c>
      <c r="D1108" s="44" t="str">
        <f>IF(PRESIONES!$C$22="NO","",IF(OR(LINEAS!$D$27="",DATOS!$C$22="—",ABS(LINEAS!$BE$27*DATOS!$C$67)&lt;0.00005),"*",LINEAS!$D$27&amp;" UNI G"&amp;DATOS!$C$22&amp;" "&amp;TEXT(LINEAS!$BE$27*DATOS!$C$67,DATOS!$C$68)))</f>
        <v/>
      </c>
      <c r="E1108" s="42" t="str">
        <f t="shared" si="35"/>
        <v/>
      </c>
    </row>
    <row r="1109" spans="2:5" ht="15" customHeight="1" x14ac:dyDescent="0.3">
      <c r="B1109" s="44" t="str">
        <f>IF(OR(LINEAS!$D$28="",ABS(-LINEAS!$AG$28*DATOS!$C$67)&lt;0.00005),"*",LINEAS!$D$28&amp;" UNI GY "&amp;TEXT(-LINEAS!$AG$28*DATOS!$C$67,DATOS!$C$68))</f>
        <v>*</v>
      </c>
      <c r="C1109" s="42" t="str">
        <f t="shared" si="34"/>
        <v/>
      </c>
      <c r="D1109" s="44" t="str">
        <f>IF(PRESIONES!$C$22="NO","",IF(OR(LINEAS!$D$28="",ABS(-LINEAS!$AW$28*DATOS!$C$67)&lt;0.00005),"*",LINEAS!$D$28&amp;" UNI GY "&amp;TEXT(-LINEAS!$AW$28*DATOS!$C$67,DATOS!$C$68)))</f>
        <v/>
      </c>
      <c r="E1109" s="42" t="str">
        <f t="shared" si="35"/>
        <v/>
      </c>
    </row>
    <row r="1110" spans="2:5" ht="15" customHeight="1" x14ac:dyDescent="0.3">
      <c r="B1110" s="44" t="str">
        <f>IF(OR(LINEAS!$D$28="",DATOS!$C$22="—",ABS(LINEAS!$AO$28*DATOS!$C$67)&lt;0.00005),"*",LINEAS!$D$28&amp;" UNI G"&amp;DATOS!$C$22&amp;" "&amp;TEXT(LINEAS!$AO$28*DATOS!$C$67,DATOS!$C$68))</f>
        <v>*</v>
      </c>
      <c r="C1110" s="42" t="str">
        <f t="shared" si="34"/>
        <v/>
      </c>
      <c r="D1110" s="44" t="str">
        <f>IF(PRESIONES!$C$22="NO","",IF(OR(LINEAS!$D$28="",DATOS!$C$22="—",ABS(LINEAS!$BE$28*DATOS!$C$67)&lt;0.00005),"*",LINEAS!$D$28&amp;" UNI G"&amp;DATOS!$C$22&amp;" "&amp;TEXT(LINEAS!$BE$28*DATOS!$C$67,DATOS!$C$68)))</f>
        <v/>
      </c>
      <c r="E1110" s="42" t="str">
        <f t="shared" si="35"/>
        <v/>
      </c>
    </row>
    <row r="1111" spans="2:5" ht="15" customHeight="1" x14ac:dyDescent="0.3">
      <c r="B1111" s="44" t="str">
        <f>IF(OR(LINEAS!$D$29="",ABS(-LINEAS!$AG$29*DATOS!$C$67)&lt;0.00005),"*",LINEAS!$D$29&amp;" UNI GY "&amp;TEXT(-LINEAS!$AG$29*DATOS!$C$67,DATOS!$C$68))</f>
        <v>*</v>
      </c>
      <c r="C1111" s="42" t="str">
        <f t="shared" si="34"/>
        <v/>
      </c>
      <c r="D1111" s="44" t="str">
        <f>IF(PRESIONES!$C$22="NO","",IF(OR(LINEAS!$D$29="",ABS(-LINEAS!$AW$29*DATOS!$C$67)&lt;0.00005),"*",LINEAS!$D$29&amp;" UNI GY "&amp;TEXT(-LINEAS!$AW$29*DATOS!$C$67,DATOS!$C$68)))</f>
        <v/>
      </c>
      <c r="E1111" s="42" t="str">
        <f t="shared" si="35"/>
        <v/>
      </c>
    </row>
    <row r="1112" spans="2:5" ht="15" customHeight="1" x14ac:dyDescent="0.3">
      <c r="B1112" s="44" t="str">
        <f>IF(OR(LINEAS!$D$29="",DATOS!$C$22="—",ABS(LINEAS!$AO$29*DATOS!$C$67)&lt;0.00005),"*",LINEAS!$D$29&amp;" UNI G"&amp;DATOS!$C$22&amp;" "&amp;TEXT(LINEAS!$AO$29*DATOS!$C$67,DATOS!$C$68))</f>
        <v>*</v>
      </c>
      <c r="C1112" s="42" t="str">
        <f t="shared" si="34"/>
        <v/>
      </c>
      <c r="D1112" s="44" t="str">
        <f>IF(PRESIONES!$C$22="NO","",IF(OR(LINEAS!$D$29="",DATOS!$C$22="—",ABS(LINEAS!$BE$29*DATOS!$C$67)&lt;0.00005),"*",LINEAS!$D$29&amp;" UNI G"&amp;DATOS!$C$22&amp;" "&amp;TEXT(LINEAS!$BE$29*DATOS!$C$67,DATOS!$C$68)))</f>
        <v/>
      </c>
      <c r="E1112" s="42" t="str">
        <f t="shared" si="35"/>
        <v/>
      </c>
    </row>
    <row r="1113" spans="2:5" ht="15" customHeight="1" x14ac:dyDescent="0.3">
      <c r="B1113" s="44" t="str">
        <f>IF(OR(LINEAS!$D$30="",ABS(-LINEAS!$AG$30*DATOS!$C$67)&lt;0.00005),"*",LINEAS!$D$30&amp;" UNI GY "&amp;TEXT(-LINEAS!$AG$30*DATOS!$C$67,DATOS!$C$68))</f>
        <v>*</v>
      </c>
      <c r="C1113" s="42" t="str">
        <f t="shared" si="34"/>
        <v/>
      </c>
      <c r="D1113" s="44" t="str">
        <f>IF(PRESIONES!$C$22="NO","",IF(OR(LINEAS!$D$30="",ABS(-LINEAS!$AW$30*DATOS!$C$67)&lt;0.00005),"*",LINEAS!$D$30&amp;" UNI GY "&amp;TEXT(-LINEAS!$AW$30*DATOS!$C$67,DATOS!$C$68)))</f>
        <v/>
      </c>
      <c r="E1113" s="42" t="str">
        <f t="shared" si="35"/>
        <v/>
      </c>
    </row>
    <row r="1114" spans="2:5" ht="15" customHeight="1" x14ac:dyDescent="0.3">
      <c r="B1114" s="44" t="str">
        <f>IF(OR(LINEAS!$D$30="",DATOS!$C$22="—",ABS(LINEAS!$AO$30*DATOS!$C$67)&lt;0.00005),"*",LINEAS!$D$30&amp;" UNI G"&amp;DATOS!$C$22&amp;" "&amp;TEXT(LINEAS!$AO$30*DATOS!$C$67,DATOS!$C$68))</f>
        <v>*</v>
      </c>
      <c r="C1114" s="42" t="str">
        <f t="shared" si="34"/>
        <v/>
      </c>
      <c r="D1114" s="44" t="str">
        <f>IF(PRESIONES!$C$22="NO","",IF(OR(LINEAS!$D$30="",DATOS!$C$22="—",ABS(LINEAS!$BE$30*DATOS!$C$67)&lt;0.00005),"*",LINEAS!$D$30&amp;" UNI G"&amp;DATOS!$C$22&amp;" "&amp;TEXT(LINEAS!$BE$30*DATOS!$C$67,DATOS!$C$68)))</f>
        <v/>
      </c>
      <c r="E1114" s="42" t="str">
        <f t="shared" si="35"/>
        <v/>
      </c>
    </row>
    <row r="1115" spans="2:5" ht="15" customHeight="1" x14ac:dyDescent="0.3">
      <c r="B1115" s="44" t="str">
        <f>IF(OR(LINEAS!$D$31="",ABS(-LINEAS!$AG$31*DATOS!$C$67)&lt;0.00005),"*",LINEAS!$D$31&amp;" UNI GY "&amp;TEXT(-LINEAS!$AG$31*DATOS!$C$67,DATOS!$C$68))</f>
        <v>*</v>
      </c>
      <c r="C1115" s="42" t="str">
        <f t="shared" si="34"/>
        <v/>
      </c>
      <c r="D1115" s="44" t="str">
        <f>IF(PRESIONES!$C$22="NO","",IF(OR(LINEAS!$D$31="",ABS(-LINEAS!$AW$31*DATOS!$C$67)&lt;0.00005),"*",LINEAS!$D$31&amp;" UNI GY "&amp;TEXT(-LINEAS!$AW$31*DATOS!$C$67,DATOS!$C$68)))</f>
        <v/>
      </c>
      <c r="E1115" s="42" t="str">
        <f t="shared" si="35"/>
        <v/>
      </c>
    </row>
    <row r="1116" spans="2:5" ht="15" customHeight="1" x14ac:dyDescent="0.3">
      <c r="B1116" s="44" t="str">
        <f>IF(OR(LINEAS!$D$31="",DATOS!$C$22="—",ABS(LINEAS!$AO$31*DATOS!$C$67)&lt;0.00005),"*",LINEAS!$D$31&amp;" UNI G"&amp;DATOS!$C$22&amp;" "&amp;TEXT(LINEAS!$AO$31*DATOS!$C$67,DATOS!$C$68))</f>
        <v>*</v>
      </c>
      <c r="C1116" s="42" t="str">
        <f t="shared" si="34"/>
        <v/>
      </c>
      <c r="D1116" s="44" t="str">
        <f>IF(PRESIONES!$C$22="NO","",IF(OR(LINEAS!$D$31="",DATOS!$C$22="—",ABS(LINEAS!$BE$31*DATOS!$C$67)&lt;0.00005),"*",LINEAS!$D$31&amp;" UNI G"&amp;DATOS!$C$22&amp;" "&amp;TEXT(LINEAS!$BE$31*DATOS!$C$67,DATOS!$C$68)))</f>
        <v/>
      </c>
      <c r="E1116" s="42" t="str">
        <f t="shared" si="35"/>
        <v/>
      </c>
    </row>
    <row r="1117" spans="2:5" ht="15" customHeight="1" x14ac:dyDescent="0.3">
      <c r="B1117" s="44" t="str">
        <f>IF(OR(LINEAS!$D$32="",ABS(-LINEAS!$AG$32*DATOS!$C$67)&lt;0.00005),"*",LINEAS!$D$32&amp;" UNI GY "&amp;TEXT(-LINEAS!$AG$32*DATOS!$C$67,DATOS!$C$68))</f>
        <v>*</v>
      </c>
      <c r="C1117" s="42" t="str">
        <f t="shared" si="34"/>
        <v/>
      </c>
      <c r="D1117" s="44" t="str">
        <f>IF(PRESIONES!$C$22="NO","",IF(OR(LINEAS!$D$32="",ABS(-LINEAS!$AW$32*DATOS!$C$67)&lt;0.00005),"*",LINEAS!$D$32&amp;" UNI GY "&amp;TEXT(-LINEAS!$AW$32*DATOS!$C$67,DATOS!$C$68)))</f>
        <v/>
      </c>
      <c r="E1117" s="42" t="str">
        <f t="shared" si="35"/>
        <v/>
      </c>
    </row>
    <row r="1118" spans="2:5" ht="15" customHeight="1" x14ac:dyDescent="0.3">
      <c r="B1118" s="44" t="str">
        <f>IF(OR(LINEAS!$D$32="",DATOS!$C$22="—",ABS(LINEAS!$AO$32*DATOS!$C$67)&lt;0.00005),"*",LINEAS!$D$32&amp;" UNI G"&amp;DATOS!$C$22&amp;" "&amp;TEXT(LINEAS!$AO$32*DATOS!$C$67,DATOS!$C$68))</f>
        <v>*</v>
      </c>
      <c r="C1118" s="42" t="str">
        <f t="shared" si="34"/>
        <v/>
      </c>
      <c r="D1118" s="44" t="str">
        <f>IF(PRESIONES!$C$22="NO","",IF(OR(LINEAS!$D$32="",DATOS!$C$22="—",ABS(LINEAS!$BE$32*DATOS!$C$67)&lt;0.00005),"*",LINEAS!$D$32&amp;" UNI G"&amp;DATOS!$C$22&amp;" "&amp;TEXT(LINEAS!$BE$32*DATOS!$C$67,DATOS!$C$68)))</f>
        <v/>
      </c>
      <c r="E1118" s="42" t="str">
        <f t="shared" si="35"/>
        <v/>
      </c>
    </row>
    <row r="1119" spans="2:5" ht="15" customHeight="1" x14ac:dyDescent="0.3">
      <c r="B1119" s="44" t="str">
        <f>IF(OR(LINEAS!$D$33="",ABS(-LINEAS!$AG$33*DATOS!$C$67)&lt;0.00005),"*",LINEAS!$D$33&amp;" UNI GY "&amp;TEXT(-LINEAS!$AG$33*DATOS!$C$67,DATOS!$C$68))</f>
        <v>*</v>
      </c>
      <c r="C1119" s="42" t="str">
        <f t="shared" si="34"/>
        <v/>
      </c>
      <c r="D1119" s="44" t="str">
        <f>IF(PRESIONES!$C$22="NO","",IF(OR(LINEAS!$D$33="",ABS(-LINEAS!$AW$33*DATOS!$C$67)&lt;0.00005),"*",LINEAS!$D$33&amp;" UNI GY "&amp;TEXT(-LINEAS!$AW$33*DATOS!$C$67,DATOS!$C$68)))</f>
        <v/>
      </c>
      <c r="E1119" s="42" t="str">
        <f t="shared" si="35"/>
        <v/>
      </c>
    </row>
    <row r="1120" spans="2:5" ht="15" customHeight="1" x14ac:dyDescent="0.3">
      <c r="B1120" s="44" t="str">
        <f>IF(OR(LINEAS!$D$33="",DATOS!$C$22="—",ABS(LINEAS!$AO$33*DATOS!$C$67)&lt;0.00005),"*",LINEAS!$D$33&amp;" UNI G"&amp;DATOS!$C$22&amp;" "&amp;TEXT(LINEAS!$AO$33*DATOS!$C$67,DATOS!$C$68))</f>
        <v>*</v>
      </c>
      <c r="C1120" s="42" t="str">
        <f t="shared" si="34"/>
        <v/>
      </c>
      <c r="D1120" s="44" t="str">
        <f>IF(PRESIONES!$C$22="NO","",IF(OR(LINEAS!$D$33="",DATOS!$C$22="—",ABS(LINEAS!$BE$33*DATOS!$C$67)&lt;0.00005),"*",LINEAS!$D$33&amp;" UNI G"&amp;DATOS!$C$22&amp;" "&amp;TEXT(LINEAS!$BE$33*DATOS!$C$67,DATOS!$C$68)))</f>
        <v/>
      </c>
      <c r="E1120" s="42" t="str">
        <f t="shared" si="35"/>
        <v/>
      </c>
    </row>
    <row r="1121" spans="2:5" ht="15" customHeight="1" x14ac:dyDescent="0.3">
      <c r="B1121" s="44" t="str">
        <f>IF(OR(LINEAS!$D$34="",ABS(-LINEAS!$AG$34*DATOS!$C$67)&lt;0.00005),"*",LINEAS!$D$34&amp;" UNI GY "&amp;TEXT(-LINEAS!$AG$34*DATOS!$C$67,DATOS!$C$68))</f>
        <v>*</v>
      </c>
      <c r="C1121" s="42" t="str">
        <f t="shared" si="34"/>
        <v/>
      </c>
      <c r="D1121" s="44" t="str">
        <f>IF(PRESIONES!$C$22="NO","",IF(OR(LINEAS!$D$34="",ABS(-LINEAS!$AW$34*DATOS!$C$67)&lt;0.00005),"*",LINEAS!$D$34&amp;" UNI GY "&amp;TEXT(-LINEAS!$AW$34*DATOS!$C$67,DATOS!$C$68)))</f>
        <v/>
      </c>
      <c r="E1121" s="42" t="str">
        <f t="shared" si="35"/>
        <v/>
      </c>
    </row>
    <row r="1122" spans="2:5" ht="15" customHeight="1" x14ac:dyDescent="0.3">
      <c r="B1122" s="44" t="str">
        <f>IF(OR(LINEAS!$D$34="",DATOS!$C$22="—",ABS(LINEAS!$AO$34*DATOS!$C$67)&lt;0.00005),"*",LINEAS!$D$34&amp;" UNI G"&amp;DATOS!$C$22&amp;" "&amp;TEXT(LINEAS!$AO$34*DATOS!$C$67,DATOS!$C$68))</f>
        <v>*</v>
      </c>
      <c r="C1122" s="42" t="str">
        <f t="shared" si="34"/>
        <v/>
      </c>
      <c r="D1122" s="44" t="str">
        <f>IF(PRESIONES!$C$22="NO","",IF(OR(LINEAS!$D$34="",DATOS!$C$22="—",ABS(LINEAS!$BE$34*DATOS!$C$67)&lt;0.00005),"*",LINEAS!$D$34&amp;" UNI G"&amp;DATOS!$C$22&amp;" "&amp;TEXT(LINEAS!$BE$34*DATOS!$C$67,DATOS!$C$68)))</f>
        <v/>
      </c>
      <c r="E1122" s="42" t="str">
        <f t="shared" si="35"/>
        <v/>
      </c>
    </row>
    <row r="1123" spans="2:5" ht="15" customHeight="1" x14ac:dyDescent="0.3">
      <c r="B1123" s="44" t="str">
        <f>IF(OR(LINEAS!$D$35="",ABS(-LINEAS!$AG$35*DATOS!$C$67)&lt;0.00005),"*",LINEAS!$D$35&amp;" UNI GY "&amp;TEXT(-LINEAS!$AG$35*DATOS!$C$67,DATOS!$C$68))</f>
        <v>*</v>
      </c>
      <c r="C1123" s="42" t="str">
        <f t="shared" si="34"/>
        <v/>
      </c>
      <c r="D1123" s="44" t="str">
        <f>IF(PRESIONES!$C$22="NO","",IF(OR(LINEAS!$D$35="",ABS(-LINEAS!$AW$35*DATOS!$C$67)&lt;0.00005),"*",LINEAS!$D$35&amp;" UNI GY "&amp;TEXT(-LINEAS!$AW$35*DATOS!$C$67,DATOS!$C$68)))</f>
        <v/>
      </c>
      <c r="E1123" s="42" t="str">
        <f t="shared" si="35"/>
        <v/>
      </c>
    </row>
    <row r="1124" spans="2:5" ht="15" customHeight="1" x14ac:dyDescent="0.3">
      <c r="B1124" s="44" t="str">
        <f>IF(OR(LINEAS!$D$35="",DATOS!$C$22="—",ABS(LINEAS!$AO$35*DATOS!$C$67)&lt;0.00005),"*",LINEAS!$D$35&amp;" UNI G"&amp;DATOS!$C$22&amp;" "&amp;TEXT(LINEAS!$AO$35*DATOS!$C$67,DATOS!$C$68))</f>
        <v>*</v>
      </c>
      <c r="C1124" s="42" t="str">
        <f t="shared" si="34"/>
        <v/>
      </c>
      <c r="D1124" s="44" t="str">
        <f>IF(PRESIONES!$C$22="NO","",IF(OR(LINEAS!$D$35="",DATOS!$C$22="—",ABS(LINEAS!$BE$35*DATOS!$C$67)&lt;0.00005),"*",LINEAS!$D$35&amp;" UNI G"&amp;DATOS!$C$22&amp;" "&amp;TEXT(LINEAS!$BE$35*DATOS!$C$67,DATOS!$C$68)))</f>
        <v/>
      </c>
      <c r="E1124" s="42" t="str">
        <f t="shared" si="35"/>
        <v/>
      </c>
    </row>
    <row r="1125" spans="2:5" ht="15" customHeight="1" x14ac:dyDescent="0.3">
      <c r="B1125" s="44" t="str">
        <f>IF(OR(LINEAS!$D$36="",ABS(-LINEAS!$AG$36*DATOS!$C$67)&lt;0.00005),"*",LINEAS!$D$36&amp;" UNI GY "&amp;TEXT(-LINEAS!$AG$36*DATOS!$C$67,DATOS!$C$68))</f>
        <v>*</v>
      </c>
      <c r="C1125" s="42" t="str">
        <f t="shared" si="34"/>
        <v/>
      </c>
      <c r="D1125" s="44" t="str">
        <f>IF(PRESIONES!$C$22="NO","",IF(OR(LINEAS!$D$36="",ABS(-LINEAS!$AW$36*DATOS!$C$67)&lt;0.00005),"*",LINEAS!$D$36&amp;" UNI GY "&amp;TEXT(-LINEAS!$AW$36*DATOS!$C$67,DATOS!$C$68)))</f>
        <v/>
      </c>
      <c r="E1125" s="42" t="str">
        <f t="shared" si="35"/>
        <v/>
      </c>
    </row>
    <row r="1126" spans="2:5" ht="15" customHeight="1" x14ac:dyDescent="0.3">
      <c r="B1126" s="44" t="str">
        <f>IF(OR(LINEAS!$D$36="",DATOS!$C$22="—",ABS(LINEAS!$AO$36*DATOS!$C$67)&lt;0.00005),"*",LINEAS!$D$36&amp;" UNI G"&amp;DATOS!$C$22&amp;" "&amp;TEXT(LINEAS!$AO$36*DATOS!$C$67,DATOS!$C$68))</f>
        <v>*</v>
      </c>
      <c r="C1126" s="42" t="str">
        <f t="shared" si="34"/>
        <v/>
      </c>
      <c r="D1126" s="44" t="str">
        <f>IF(PRESIONES!$C$22="NO","",IF(OR(LINEAS!$D$36="",DATOS!$C$22="—",ABS(LINEAS!$BE$36*DATOS!$C$67)&lt;0.00005),"*",LINEAS!$D$36&amp;" UNI G"&amp;DATOS!$C$22&amp;" "&amp;TEXT(LINEAS!$BE$36*DATOS!$C$67,DATOS!$C$68)))</f>
        <v/>
      </c>
      <c r="E1126" s="42" t="str">
        <f t="shared" si="35"/>
        <v/>
      </c>
    </row>
    <row r="1127" spans="2:5" ht="15" customHeight="1" x14ac:dyDescent="0.3">
      <c r="B1127" s="44" t="str">
        <f>IF(OR(LINEAS!$D$37="",ABS(-LINEAS!$AG$37*DATOS!$C$67)&lt;0.00005),"*",LINEAS!$D$37&amp;" UNI GY "&amp;TEXT(-LINEAS!$AG$37*DATOS!$C$67,DATOS!$C$68))</f>
        <v>*</v>
      </c>
      <c r="C1127" s="42" t="str">
        <f t="shared" si="34"/>
        <v/>
      </c>
      <c r="D1127" s="44" t="str">
        <f>IF(PRESIONES!$C$22="NO","",IF(OR(LINEAS!$D$37="",ABS(-LINEAS!$AW$37*DATOS!$C$67)&lt;0.00005),"*",LINEAS!$D$37&amp;" UNI GY "&amp;TEXT(-LINEAS!$AW$37*DATOS!$C$67,DATOS!$C$68)))</f>
        <v/>
      </c>
      <c r="E1127" s="42" t="str">
        <f t="shared" si="35"/>
        <v/>
      </c>
    </row>
    <row r="1128" spans="2:5" ht="15" customHeight="1" x14ac:dyDescent="0.3">
      <c r="B1128" s="44" t="str">
        <f>IF(OR(LINEAS!$D$37="",DATOS!$C$22="—",ABS(LINEAS!$AO$37*DATOS!$C$67)&lt;0.00005),"*",LINEAS!$D$37&amp;" UNI G"&amp;DATOS!$C$22&amp;" "&amp;TEXT(LINEAS!$AO$37*DATOS!$C$67,DATOS!$C$68))</f>
        <v>*</v>
      </c>
      <c r="C1128" s="42" t="str">
        <f t="shared" si="34"/>
        <v/>
      </c>
      <c r="D1128" s="44" t="str">
        <f>IF(PRESIONES!$C$22="NO","",IF(OR(LINEAS!$D$37="",DATOS!$C$22="—",ABS(LINEAS!$BE$37*DATOS!$C$67)&lt;0.00005),"*",LINEAS!$D$37&amp;" UNI G"&amp;DATOS!$C$22&amp;" "&amp;TEXT(LINEAS!$BE$37*DATOS!$C$67,DATOS!$C$68)))</f>
        <v/>
      </c>
      <c r="E1128" s="42" t="str">
        <f t="shared" si="35"/>
        <v/>
      </c>
    </row>
    <row r="1129" spans="2:5" ht="15" customHeight="1" x14ac:dyDescent="0.3">
      <c r="B1129" s="44" t="str">
        <f>IF(OR(LINEAS!$D$38="",ABS(-LINEAS!$AG$38*DATOS!$C$67)&lt;0.00005),"*",LINEAS!$D$38&amp;" UNI GY "&amp;TEXT(-LINEAS!$AG$38*DATOS!$C$67,DATOS!$C$68))</f>
        <v>*</v>
      </c>
      <c r="C1129" s="42" t="str">
        <f t="shared" si="34"/>
        <v/>
      </c>
      <c r="D1129" s="44" t="str">
        <f>IF(PRESIONES!$C$22="NO","",IF(OR(LINEAS!$D$38="",ABS(-LINEAS!$AW$38*DATOS!$C$67)&lt;0.00005),"*",LINEAS!$D$38&amp;" UNI GY "&amp;TEXT(-LINEAS!$AW$38*DATOS!$C$67,DATOS!$C$68)))</f>
        <v/>
      </c>
      <c r="E1129" s="42" t="str">
        <f t="shared" si="35"/>
        <v/>
      </c>
    </row>
    <row r="1130" spans="2:5" ht="15" customHeight="1" x14ac:dyDescent="0.3">
      <c r="B1130" s="44" t="str">
        <f>IF(OR(LINEAS!$D$38="",DATOS!$C$22="—",ABS(LINEAS!$AO$38*DATOS!$C$67)&lt;0.00005),"*",LINEAS!$D$38&amp;" UNI G"&amp;DATOS!$C$22&amp;" "&amp;TEXT(LINEAS!$AO$38*DATOS!$C$67,DATOS!$C$68))</f>
        <v>*</v>
      </c>
      <c r="C1130" s="42" t="str">
        <f t="shared" si="34"/>
        <v/>
      </c>
      <c r="D1130" s="44" t="str">
        <f>IF(PRESIONES!$C$22="NO","",IF(OR(LINEAS!$D$38="",DATOS!$C$22="—",ABS(LINEAS!$BE$38*DATOS!$C$67)&lt;0.00005),"*",LINEAS!$D$38&amp;" UNI G"&amp;DATOS!$C$22&amp;" "&amp;TEXT(LINEAS!$BE$38*DATOS!$C$67,DATOS!$C$68)))</f>
        <v/>
      </c>
      <c r="E1130" s="42" t="str">
        <f t="shared" si="35"/>
        <v/>
      </c>
    </row>
    <row r="1131" spans="2:5" ht="15" customHeight="1" x14ac:dyDescent="0.3">
      <c r="B1131" s="44" t="str">
        <f>IF(OR(LINEAS!$D$45="",LINEAS!$U$45=0,ABS(IF(OR(LINEAS!$U$45=1,LINEAS!$U$45=3),1,-1)*LINEAS!$AG$45*DATOS!$C$67)&lt;0.00005),"*",LINEAS!$D$45&amp;" UNI "&amp;IF(LINEAS!$U$45&lt;=2,"GZ","GX")&amp;" "&amp;TEXT(IF(OR(LINEAS!$U$45=1,LINEAS!$U$45=3),1,-1)*LINEAS!$AG$45*DATOS!$C$67,DATOS!$C$68))</f>
        <v>261 UNI GX 0.0050</v>
      </c>
      <c r="C1131" s="42" t="str">
        <f t="shared" si="34"/>
        <v/>
      </c>
      <c r="D1131" s="44" t="str">
        <f>IF(PRESIONES!$C$22="NO","",IF(OR(LINEAS!$D$45="",LINEAS!$U$45=0,ABS(IF(OR(LINEAS!$U$45=1,LINEAS!$U$45=3),1,-1)*LINEAS!$AG$45*DATOS!$C$67)&lt;0.00005),"*",LINEAS!$D$45&amp;" UNI "&amp;IF(LINEAS!$U$45&lt;=2,"GZ","GX")&amp;" "&amp;TEXT(IF(OR(LINEAS!$U$45=1,LINEAS!$U$45=3),1,-1)*LINEAS!$AG$45*DATOS!$C$67,DATOS!$C$68)))</f>
        <v/>
      </c>
      <c r="E1131" s="42" t="str">
        <f t="shared" si="35"/>
        <v/>
      </c>
    </row>
    <row r="1132" spans="2:5" ht="15" customHeight="1" x14ac:dyDescent="0.3">
      <c r="B1132" s="44" t="str">
        <f>IF(OR(LINEAS!$D$46="",LINEAS!$U$46=0,ABS(IF(OR(LINEAS!$U$46=1,LINEAS!$U$46=3),1,-1)*LINEAS!$AG$46*DATOS!$C$67)&lt;0.00005),"*",LINEAS!$D$46&amp;" UNI "&amp;IF(LINEAS!$U$46&lt;=2,"GZ","GX")&amp;" "&amp;TEXT(IF(OR(LINEAS!$U$46=1,LINEAS!$U$46=3),1,-1)*LINEAS!$AG$46*DATOS!$C$67,DATOS!$C$68))</f>
        <v>260 UNI GX 0.0050</v>
      </c>
      <c r="C1132" s="42" t="str">
        <f t="shared" si="34"/>
        <v/>
      </c>
      <c r="D1132" s="44" t="str">
        <f>IF(PRESIONES!$C$22="NO","",IF(OR(LINEAS!$D$46="",LINEAS!$U$46=0,ABS(IF(OR(LINEAS!$U$46=1,LINEAS!$U$46=3),1,-1)*LINEAS!$AG$46*DATOS!$C$67)&lt;0.00005),"*",LINEAS!$D$46&amp;" UNI "&amp;IF(LINEAS!$U$46&lt;=2,"GZ","GX")&amp;" "&amp;TEXT(IF(OR(LINEAS!$U$46=1,LINEAS!$U$46=3),1,-1)*LINEAS!$AG$46*DATOS!$C$67,DATOS!$C$68)))</f>
        <v/>
      </c>
      <c r="E1132" s="42" t="str">
        <f t="shared" si="35"/>
        <v/>
      </c>
    </row>
    <row r="1133" spans="2:5" ht="15" customHeight="1" x14ac:dyDescent="0.3">
      <c r="B1133" s="44" t="str">
        <f>IF(OR(LINEAS!$D$47="",LINEAS!$U$47=0,ABS(IF(OR(LINEAS!$U$47=1,LINEAS!$U$47=3),1,-1)*LINEAS!$AG$47*DATOS!$C$67)&lt;0.00005),"*",LINEAS!$D$47&amp;" UNI "&amp;IF(LINEAS!$U$47&lt;=2,"GZ","GX")&amp;" "&amp;TEXT(IF(OR(LINEAS!$U$47=1,LINEAS!$U$47=3),1,-1)*LINEAS!$AG$47*DATOS!$C$67,DATOS!$C$68))</f>
        <v>259 UNI GX 0.0050</v>
      </c>
      <c r="C1133" s="42" t="str">
        <f t="shared" si="34"/>
        <v/>
      </c>
      <c r="D1133" s="44" t="str">
        <f>IF(PRESIONES!$C$22="NO","",IF(OR(LINEAS!$D$47="",LINEAS!$U$47=0,ABS(IF(OR(LINEAS!$U$47=1,LINEAS!$U$47=3),1,-1)*LINEAS!$AG$47*DATOS!$C$67)&lt;0.00005),"*",LINEAS!$D$47&amp;" UNI "&amp;IF(LINEAS!$U$47&lt;=2,"GZ","GX")&amp;" "&amp;TEXT(IF(OR(LINEAS!$U$47=1,LINEAS!$U$47=3),1,-1)*LINEAS!$AG$47*DATOS!$C$67,DATOS!$C$68)))</f>
        <v/>
      </c>
      <c r="E1133" s="42" t="str">
        <f t="shared" si="35"/>
        <v/>
      </c>
    </row>
    <row r="1134" spans="2:5" ht="15" customHeight="1" x14ac:dyDescent="0.3">
      <c r="B1134" s="44" t="str">
        <f>IF(OR(LINEAS!$D$48="",LINEAS!$U$48=0,ABS(IF(OR(LINEAS!$U$48=1,LINEAS!$U$48=3),1,-1)*LINEAS!$AG$48*DATOS!$C$67)&lt;0.00005),"*",LINEAS!$D$48&amp;" UNI "&amp;IF(LINEAS!$U$48&lt;=2,"GZ","GX")&amp;" "&amp;TEXT(IF(OR(LINEAS!$U$48=1,LINEAS!$U$48=3),1,-1)*LINEAS!$AG$48*DATOS!$C$67,DATOS!$C$68))</f>
        <v>270 UNI GX 0.0050</v>
      </c>
      <c r="C1134" s="42" t="str">
        <f t="shared" si="34"/>
        <v/>
      </c>
      <c r="D1134" s="44" t="str">
        <f>IF(PRESIONES!$C$22="NO","",IF(OR(LINEAS!$D$48="",LINEAS!$U$48=0,ABS(IF(OR(LINEAS!$U$48=1,LINEAS!$U$48=3),1,-1)*LINEAS!$AG$48*DATOS!$C$67)&lt;0.00005),"*",LINEAS!$D$48&amp;" UNI "&amp;IF(LINEAS!$U$48&lt;=2,"GZ","GX")&amp;" "&amp;TEXT(IF(OR(LINEAS!$U$48=1,LINEAS!$U$48=3),1,-1)*LINEAS!$AG$48*DATOS!$C$67,DATOS!$C$68)))</f>
        <v/>
      </c>
      <c r="E1134" s="42" t="str">
        <f t="shared" si="35"/>
        <v/>
      </c>
    </row>
    <row r="1135" spans="2:5" ht="15" customHeight="1" x14ac:dyDescent="0.3">
      <c r="B1135" s="44" t="str">
        <f>IF(OR(LINEAS!$D$49="",LINEAS!$U$49=0,ABS(IF(OR(LINEAS!$U$49=1,LINEAS!$U$49=3),1,-1)*LINEAS!$AG$49*DATOS!$C$67)&lt;0.00005),"*",LINEAS!$D$49&amp;" UNI "&amp;IF(LINEAS!$U$49&lt;=2,"GZ","GX")&amp;" "&amp;TEXT(IF(OR(LINEAS!$U$49=1,LINEAS!$U$49=3),1,-1)*LINEAS!$AG$49*DATOS!$C$67,DATOS!$C$68))</f>
        <v>269 UNI GX 0.0050</v>
      </c>
      <c r="C1135" s="42" t="str">
        <f t="shared" si="34"/>
        <v/>
      </c>
      <c r="D1135" s="44" t="str">
        <f>IF(PRESIONES!$C$22="NO","",IF(OR(LINEAS!$D$49="",LINEAS!$U$49=0,ABS(IF(OR(LINEAS!$U$49=1,LINEAS!$U$49=3),1,-1)*LINEAS!$AG$49*DATOS!$C$67)&lt;0.00005),"*",LINEAS!$D$49&amp;" UNI "&amp;IF(LINEAS!$U$49&lt;=2,"GZ","GX")&amp;" "&amp;TEXT(IF(OR(LINEAS!$U$49=1,LINEAS!$U$49=3),1,-1)*LINEAS!$AG$49*DATOS!$C$67,DATOS!$C$68)))</f>
        <v/>
      </c>
      <c r="E1135" s="42" t="str">
        <f t="shared" si="35"/>
        <v/>
      </c>
    </row>
    <row r="1136" spans="2:5" ht="15" customHeight="1" x14ac:dyDescent="0.3">
      <c r="B1136" s="44" t="str">
        <f>IF(OR(LINEAS!$D$50="",LINEAS!$U$50=0,ABS(IF(OR(LINEAS!$U$50=1,LINEAS!$U$50=3),1,-1)*LINEAS!$AG$50*DATOS!$C$67)&lt;0.00005),"*",LINEAS!$D$50&amp;" UNI "&amp;IF(LINEAS!$U$50&lt;=2,"GZ","GX")&amp;" "&amp;TEXT(IF(OR(LINEAS!$U$50=1,LINEAS!$U$50=3),1,-1)*LINEAS!$AG$50*DATOS!$C$67,DATOS!$C$68))</f>
        <v>268 UNI GX 0.0050</v>
      </c>
      <c r="C1136" s="42" t="str">
        <f t="shared" si="34"/>
        <v/>
      </c>
      <c r="D1136" s="44" t="str">
        <f>IF(PRESIONES!$C$22="NO","",IF(OR(LINEAS!$D$50="",LINEAS!$U$50=0,ABS(IF(OR(LINEAS!$U$50=1,LINEAS!$U$50=3),1,-1)*LINEAS!$AG$50*DATOS!$C$67)&lt;0.00005),"*",LINEAS!$D$50&amp;" UNI "&amp;IF(LINEAS!$U$50&lt;=2,"GZ","GX")&amp;" "&amp;TEXT(IF(OR(LINEAS!$U$50=1,LINEAS!$U$50=3),1,-1)*LINEAS!$AG$50*DATOS!$C$67,DATOS!$C$68)))</f>
        <v/>
      </c>
      <c r="E1136" s="42" t="str">
        <f t="shared" si="35"/>
        <v/>
      </c>
    </row>
    <row r="1137" spans="2:5" ht="15" customHeight="1" x14ac:dyDescent="0.3">
      <c r="B1137" s="44" t="str">
        <f>IF(OR(LINEAS!$D$51="",LINEAS!$U$51=0,ABS(IF(OR(LINEAS!$U$51=1,LINEAS!$U$51=3),1,-1)*LINEAS!$AG$51*DATOS!$C$67)&lt;0.00005),"*",LINEAS!$D$51&amp;" UNI "&amp;IF(LINEAS!$U$51&lt;=2,"GZ","GX")&amp;" "&amp;TEXT(IF(OR(LINEAS!$U$51=1,LINEAS!$U$51=3),1,-1)*LINEAS!$AG$51*DATOS!$C$67,DATOS!$C$68))</f>
        <v>279 UNI GX 0.0050</v>
      </c>
      <c r="C1137" s="42" t="str">
        <f t="shared" si="34"/>
        <v/>
      </c>
      <c r="D1137" s="44" t="str">
        <f>IF(PRESIONES!$C$22="NO","",IF(OR(LINEAS!$D$51="",LINEAS!$U$51=0,ABS(IF(OR(LINEAS!$U$51=1,LINEAS!$U$51=3),1,-1)*LINEAS!$AG$51*DATOS!$C$67)&lt;0.00005),"*",LINEAS!$D$51&amp;" UNI "&amp;IF(LINEAS!$U$51&lt;=2,"GZ","GX")&amp;" "&amp;TEXT(IF(OR(LINEAS!$U$51=1,LINEAS!$U$51=3),1,-1)*LINEAS!$AG$51*DATOS!$C$67,DATOS!$C$68)))</f>
        <v/>
      </c>
      <c r="E1137" s="42" t="str">
        <f t="shared" si="35"/>
        <v/>
      </c>
    </row>
    <row r="1138" spans="2:5" ht="15" customHeight="1" x14ac:dyDescent="0.3">
      <c r="B1138" s="44" t="str">
        <f>IF(OR(LINEAS!$D$52="",LINEAS!$U$52=0,ABS(IF(OR(LINEAS!$U$52=1,LINEAS!$U$52=3),1,-1)*LINEAS!$AG$52*DATOS!$C$67)&lt;0.00005),"*",LINEAS!$D$52&amp;" UNI "&amp;IF(LINEAS!$U$52&lt;=2,"GZ","GX")&amp;" "&amp;TEXT(IF(OR(LINEAS!$U$52=1,LINEAS!$U$52=3),1,-1)*LINEAS!$AG$52*DATOS!$C$67,DATOS!$C$68))</f>
        <v>278 UNI GX 0.0050</v>
      </c>
      <c r="C1138" s="42" t="str">
        <f t="shared" si="34"/>
        <v/>
      </c>
      <c r="D1138" s="44" t="str">
        <f>IF(PRESIONES!$C$22="NO","",IF(OR(LINEAS!$D$52="",LINEAS!$U$52=0,ABS(IF(OR(LINEAS!$U$52=1,LINEAS!$U$52=3),1,-1)*LINEAS!$AG$52*DATOS!$C$67)&lt;0.00005),"*",LINEAS!$D$52&amp;" UNI "&amp;IF(LINEAS!$U$52&lt;=2,"GZ","GX")&amp;" "&amp;TEXT(IF(OR(LINEAS!$U$52=1,LINEAS!$U$52=3),1,-1)*LINEAS!$AG$52*DATOS!$C$67,DATOS!$C$68)))</f>
        <v/>
      </c>
      <c r="E1138" s="42" t="str">
        <f t="shared" si="35"/>
        <v/>
      </c>
    </row>
    <row r="1139" spans="2:5" ht="15" customHeight="1" x14ac:dyDescent="0.3">
      <c r="B1139" s="44" t="str">
        <f>IF(OR(LINEAS!$D$53="",LINEAS!$U$53=0,ABS(IF(OR(LINEAS!$U$53=1,LINEAS!$U$53=3),1,-1)*LINEAS!$AG$53*DATOS!$C$67)&lt;0.00005),"*",LINEAS!$D$53&amp;" UNI "&amp;IF(LINEAS!$U$53&lt;=2,"GZ","GX")&amp;" "&amp;TEXT(IF(OR(LINEAS!$U$53=1,LINEAS!$U$53=3),1,-1)*LINEAS!$AG$53*DATOS!$C$67,DATOS!$C$68))</f>
        <v>277 UNI GX 0.0050</v>
      </c>
      <c r="C1139" s="42" t="str">
        <f t="shared" si="34"/>
        <v/>
      </c>
      <c r="D1139" s="44" t="str">
        <f>IF(PRESIONES!$C$22="NO","",IF(OR(LINEAS!$D$53="",LINEAS!$U$53=0,ABS(IF(OR(LINEAS!$U$53=1,LINEAS!$U$53=3),1,-1)*LINEAS!$AG$53*DATOS!$C$67)&lt;0.00005),"*",LINEAS!$D$53&amp;" UNI "&amp;IF(LINEAS!$U$53&lt;=2,"GZ","GX")&amp;" "&amp;TEXT(IF(OR(LINEAS!$U$53=1,LINEAS!$U$53=3),1,-1)*LINEAS!$AG$53*DATOS!$C$67,DATOS!$C$68)))</f>
        <v/>
      </c>
      <c r="E1139" s="42" t="str">
        <f t="shared" si="35"/>
        <v/>
      </c>
    </row>
    <row r="1140" spans="2:5" ht="15" customHeight="1" x14ac:dyDescent="0.3">
      <c r="B1140" s="44" t="str">
        <f>IF(OR(LINEAS!$D$54="",LINEAS!$U$54=0,ABS(IF(OR(LINEAS!$U$54=1,LINEAS!$U$54=3),1,-1)*LINEAS!$AG$54*DATOS!$C$67)&lt;0.00005),"*",LINEAS!$D$54&amp;" UNI "&amp;IF(LINEAS!$U$54&lt;=2,"GZ","GX")&amp;" "&amp;TEXT(IF(OR(LINEAS!$U$54=1,LINEAS!$U$54=3),1,-1)*LINEAS!$AG$54*DATOS!$C$67,DATOS!$C$68))</f>
        <v>289 UNI GX 0.0050</v>
      </c>
      <c r="C1140" s="42" t="str">
        <f t="shared" si="34"/>
        <v/>
      </c>
      <c r="D1140" s="44" t="str">
        <f>IF(PRESIONES!$C$22="NO","",IF(OR(LINEAS!$D$54="",LINEAS!$U$54=0,ABS(IF(OR(LINEAS!$U$54=1,LINEAS!$U$54=3),1,-1)*LINEAS!$AG$54*DATOS!$C$67)&lt;0.00005),"*",LINEAS!$D$54&amp;" UNI "&amp;IF(LINEAS!$U$54&lt;=2,"GZ","GX")&amp;" "&amp;TEXT(IF(OR(LINEAS!$U$54=1,LINEAS!$U$54=3),1,-1)*LINEAS!$AG$54*DATOS!$C$67,DATOS!$C$68)))</f>
        <v/>
      </c>
      <c r="E1140" s="42" t="str">
        <f t="shared" si="35"/>
        <v/>
      </c>
    </row>
    <row r="1141" spans="2:5" ht="15" customHeight="1" x14ac:dyDescent="0.3">
      <c r="B1141" s="44" t="str">
        <f>IF(OR(LINEAS!$D$55="",LINEAS!$U$55=0,ABS(IF(OR(LINEAS!$U$55=1,LINEAS!$U$55=3),1,-1)*LINEAS!$AG$55*DATOS!$C$67)&lt;0.00005),"*",LINEAS!$D$55&amp;" UNI "&amp;IF(LINEAS!$U$55&lt;=2,"GZ","GX")&amp;" "&amp;TEXT(IF(OR(LINEAS!$U$55=1,LINEAS!$U$55=3),1,-1)*LINEAS!$AG$55*DATOS!$C$67,DATOS!$C$68))</f>
        <v>288 UNI GX 0.0050</v>
      </c>
      <c r="C1141" s="42" t="str">
        <f t="shared" si="34"/>
        <v/>
      </c>
      <c r="D1141" s="44" t="str">
        <f>IF(PRESIONES!$C$22="NO","",IF(OR(LINEAS!$D$55="",LINEAS!$U$55=0,ABS(IF(OR(LINEAS!$U$55=1,LINEAS!$U$55=3),1,-1)*LINEAS!$AG$55*DATOS!$C$67)&lt;0.00005),"*",LINEAS!$D$55&amp;" UNI "&amp;IF(LINEAS!$U$55&lt;=2,"GZ","GX")&amp;" "&amp;TEXT(IF(OR(LINEAS!$U$55=1,LINEAS!$U$55=3),1,-1)*LINEAS!$AG$55*DATOS!$C$67,DATOS!$C$68)))</f>
        <v/>
      </c>
      <c r="E1141" s="42" t="str">
        <f t="shared" si="35"/>
        <v/>
      </c>
    </row>
    <row r="1142" spans="2:5" ht="15" customHeight="1" x14ac:dyDescent="0.3">
      <c r="B1142" s="44" t="str">
        <f>IF(OR(LINEAS!$D$56="",LINEAS!$U$56=0,ABS(IF(OR(LINEAS!$U$56=1,LINEAS!$U$56=3),1,-1)*LINEAS!$AG$56*DATOS!$C$67)&lt;0.00005),"*",LINEAS!$D$56&amp;" UNI "&amp;IF(LINEAS!$U$56&lt;=2,"GZ","GX")&amp;" "&amp;TEXT(IF(OR(LINEAS!$U$56=1,LINEAS!$U$56=3),1,-1)*LINEAS!$AG$56*DATOS!$C$67,DATOS!$C$68))</f>
        <v>287 UNI GX 0.0050</v>
      </c>
      <c r="C1142" s="42" t="str">
        <f t="shared" si="34"/>
        <v/>
      </c>
      <c r="D1142" s="44" t="str">
        <f>IF(PRESIONES!$C$22="NO","",IF(OR(LINEAS!$D$56="",LINEAS!$U$56=0,ABS(IF(OR(LINEAS!$U$56=1,LINEAS!$U$56=3),1,-1)*LINEAS!$AG$56*DATOS!$C$67)&lt;0.00005),"*",LINEAS!$D$56&amp;" UNI "&amp;IF(LINEAS!$U$56&lt;=2,"GZ","GX")&amp;" "&amp;TEXT(IF(OR(LINEAS!$U$56=1,LINEAS!$U$56=3),1,-1)*LINEAS!$AG$56*DATOS!$C$67,DATOS!$C$68)))</f>
        <v/>
      </c>
      <c r="E1142" s="42" t="str">
        <f t="shared" si="35"/>
        <v/>
      </c>
    </row>
    <row r="1143" spans="2:5" ht="15" customHeight="1" x14ac:dyDescent="0.3">
      <c r="B1143" s="44" t="str">
        <f>IF(OR(LINEAS!$D$57="",LINEAS!$U$57=0,ABS(IF(OR(LINEAS!$U$57=1,LINEAS!$U$57=3),1,-1)*LINEAS!$AG$57*DATOS!$C$67)&lt;0.00005),"*",LINEAS!$D$57&amp;" UNI "&amp;IF(LINEAS!$U$57&lt;=2,"GZ","GX")&amp;" "&amp;TEXT(IF(OR(LINEAS!$U$57=1,LINEAS!$U$57=3),1,-1)*LINEAS!$AG$57*DATOS!$C$67,DATOS!$C$68))</f>
        <v>297 UNI GX 0.0050</v>
      </c>
      <c r="C1143" s="42" t="str">
        <f t="shared" si="34"/>
        <v/>
      </c>
      <c r="D1143" s="44" t="str">
        <f>IF(PRESIONES!$C$22="NO","",IF(OR(LINEAS!$D$57="",LINEAS!$U$57=0,ABS(IF(OR(LINEAS!$U$57=1,LINEAS!$U$57=3),1,-1)*LINEAS!$AG$57*DATOS!$C$67)&lt;0.00005),"*",LINEAS!$D$57&amp;" UNI "&amp;IF(LINEAS!$U$57&lt;=2,"GZ","GX")&amp;" "&amp;TEXT(IF(OR(LINEAS!$U$57=1,LINEAS!$U$57=3),1,-1)*LINEAS!$AG$57*DATOS!$C$67,DATOS!$C$68)))</f>
        <v/>
      </c>
      <c r="E1143" s="42" t="str">
        <f t="shared" si="35"/>
        <v/>
      </c>
    </row>
    <row r="1144" spans="2:5" ht="15" customHeight="1" x14ac:dyDescent="0.3">
      <c r="B1144" s="44" t="str">
        <f>IF(OR(LINEAS!$D$58="",LINEAS!$U$58=0,ABS(IF(OR(LINEAS!$U$58=1,LINEAS!$U$58=3),1,-1)*LINEAS!$AG$58*DATOS!$C$67)&lt;0.00005),"*",LINEAS!$D$58&amp;" UNI "&amp;IF(LINEAS!$U$58&lt;=2,"GZ","GX")&amp;" "&amp;TEXT(IF(OR(LINEAS!$U$58=1,LINEAS!$U$58=3),1,-1)*LINEAS!$AG$58*DATOS!$C$67,DATOS!$C$68))</f>
        <v>296 UNI GX 0.0050</v>
      </c>
      <c r="C1144" s="42" t="str">
        <f t="shared" si="34"/>
        <v/>
      </c>
      <c r="D1144" s="44" t="str">
        <f>IF(PRESIONES!$C$22="NO","",IF(OR(LINEAS!$D$58="",LINEAS!$U$58=0,ABS(IF(OR(LINEAS!$U$58=1,LINEAS!$U$58=3),1,-1)*LINEAS!$AG$58*DATOS!$C$67)&lt;0.00005),"*",LINEAS!$D$58&amp;" UNI "&amp;IF(LINEAS!$U$58&lt;=2,"GZ","GX")&amp;" "&amp;TEXT(IF(OR(LINEAS!$U$58=1,LINEAS!$U$58=3),1,-1)*LINEAS!$AG$58*DATOS!$C$67,DATOS!$C$68)))</f>
        <v/>
      </c>
      <c r="E1144" s="42" t="str">
        <f t="shared" si="35"/>
        <v/>
      </c>
    </row>
    <row r="1145" spans="2:5" ht="15" customHeight="1" x14ac:dyDescent="0.3">
      <c r="B1145" s="44" t="str">
        <f>IF(OR(LINEAS!$D$59="",LINEAS!$U$59=0,ABS(IF(OR(LINEAS!$U$59=1,LINEAS!$U$59=3),1,-1)*LINEAS!$AG$59*DATOS!$C$67)&lt;0.00005),"*",LINEAS!$D$59&amp;" UNI "&amp;IF(LINEAS!$U$59&lt;=2,"GZ","GX")&amp;" "&amp;TEXT(IF(OR(LINEAS!$U$59=1,LINEAS!$U$59=3),1,-1)*LINEAS!$AG$59*DATOS!$C$67,DATOS!$C$68))</f>
        <v>295 UNI GX 0.0050</v>
      </c>
      <c r="C1145" s="42" t="str">
        <f t="shared" si="34"/>
        <v/>
      </c>
      <c r="D1145" s="44" t="str">
        <f>IF(PRESIONES!$C$22="NO","",IF(OR(LINEAS!$D$59="",LINEAS!$U$59=0,ABS(IF(OR(LINEAS!$U$59=1,LINEAS!$U$59=3),1,-1)*LINEAS!$AG$59*DATOS!$C$67)&lt;0.00005),"*",LINEAS!$D$59&amp;" UNI "&amp;IF(LINEAS!$U$59&lt;=2,"GZ","GX")&amp;" "&amp;TEXT(IF(OR(LINEAS!$U$59=1,LINEAS!$U$59=3),1,-1)*LINEAS!$AG$59*DATOS!$C$67,DATOS!$C$68)))</f>
        <v/>
      </c>
      <c r="E1145" s="42" t="str">
        <f t="shared" si="35"/>
        <v/>
      </c>
    </row>
    <row r="1146" spans="2:5" ht="15" customHeight="1" x14ac:dyDescent="0.3">
      <c r="B1146" s="44" t="str">
        <f>IF(OR(LINEAS!$D$60="",LINEAS!$U$60=0,ABS(IF(OR(LINEAS!$U$60=1,LINEAS!$U$60=3),1,-1)*LINEAS!$AG$60*DATOS!$C$67)&lt;0.00005),"*",LINEAS!$D$60&amp;" UNI "&amp;IF(LINEAS!$U$60&lt;=2,"GZ","GX")&amp;" "&amp;TEXT(IF(OR(LINEAS!$U$60=1,LINEAS!$U$60=3),1,-1)*LINEAS!$AG$60*DATOS!$C$67,DATOS!$C$68))</f>
        <v>305 UNI GX 0.0050</v>
      </c>
      <c r="C1146" s="42" t="str">
        <f t="shared" si="34"/>
        <v/>
      </c>
      <c r="D1146" s="44" t="str">
        <f>IF(PRESIONES!$C$22="NO","",IF(OR(LINEAS!$D$60="",LINEAS!$U$60=0,ABS(IF(OR(LINEAS!$U$60=1,LINEAS!$U$60=3),1,-1)*LINEAS!$AG$60*DATOS!$C$67)&lt;0.00005),"*",LINEAS!$D$60&amp;" UNI "&amp;IF(LINEAS!$U$60&lt;=2,"GZ","GX")&amp;" "&amp;TEXT(IF(OR(LINEAS!$U$60=1,LINEAS!$U$60=3),1,-1)*LINEAS!$AG$60*DATOS!$C$67,DATOS!$C$68)))</f>
        <v/>
      </c>
      <c r="E1146" s="42" t="str">
        <f t="shared" si="35"/>
        <v/>
      </c>
    </row>
    <row r="1147" spans="2:5" ht="15" customHeight="1" x14ac:dyDescent="0.3">
      <c r="B1147" s="44" t="str">
        <f>IF(OR(LINEAS!$D$61="",LINEAS!$U$61=0,ABS(IF(OR(LINEAS!$U$61=1,LINEAS!$U$61=3),1,-1)*LINEAS!$AG$61*DATOS!$C$67)&lt;0.00005),"*",LINEAS!$D$61&amp;" UNI "&amp;IF(LINEAS!$U$61&lt;=2,"GZ","GX")&amp;" "&amp;TEXT(IF(OR(LINEAS!$U$61=1,LINEAS!$U$61=3),1,-1)*LINEAS!$AG$61*DATOS!$C$67,DATOS!$C$68))</f>
        <v>304 UNI GX 0.0050</v>
      </c>
      <c r="C1147" s="42" t="str">
        <f t="shared" si="34"/>
        <v/>
      </c>
      <c r="D1147" s="44" t="str">
        <f>IF(PRESIONES!$C$22="NO","",IF(OR(LINEAS!$D$61="",LINEAS!$U$61=0,ABS(IF(OR(LINEAS!$U$61=1,LINEAS!$U$61=3),1,-1)*LINEAS!$AG$61*DATOS!$C$67)&lt;0.00005),"*",LINEAS!$D$61&amp;" UNI "&amp;IF(LINEAS!$U$61&lt;=2,"GZ","GX")&amp;" "&amp;TEXT(IF(OR(LINEAS!$U$61=1,LINEAS!$U$61=3),1,-1)*LINEAS!$AG$61*DATOS!$C$67,DATOS!$C$68)))</f>
        <v/>
      </c>
      <c r="E1147" s="42" t="str">
        <f t="shared" si="35"/>
        <v/>
      </c>
    </row>
    <row r="1148" spans="2:5" ht="15" customHeight="1" x14ac:dyDescent="0.3">
      <c r="B1148" s="44" t="str">
        <f>IF(OR(LINEAS!$D$62="",LINEAS!$U$62=0,ABS(IF(OR(LINEAS!$U$62=1,LINEAS!$U$62=3),1,-1)*LINEAS!$AG$62*DATOS!$C$67)&lt;0.00005),"*",LINEAS!$D$62&amp;" UNI "&amp;IF(LINEAS!$U$62&lt;=2,"GZ","GX")&amp;" "&amp;TEXT(IF(OR(LINEAS!$U$62=1,LINEAS!$U$62=3),1,-1)*LINEAS!$AG$62*DATOS!$C$67,DATOS!$C$68))</f>
        <v>303 UNI GX 0.0050</v>
      </c>
      <c r="C1148" s="42" t="str">
        <f t="shared" si="34"/>
        <v/>
      </c>
      <c r="D1148" s="44" t="str">
        <f>IF(PRESIONES!$C$22="NO","",IF(OR(LINEAS!$D$62="",LINEAS!$U$62=0,ABS(IF(OR(LINEAS!$U$62=1,LINEAS!$U$62=3),1,-1)*LINEAS!$AG$62*DATOS!$C$67)&lt;0.00005),"*",LINEAS!$D$62&amp;" UNI "&amp;IF(LINEAS!$U$62&lt;=2,"GZ","GX")&amp;" "&amp;TEXT(IF(OR(LINEAS!$U$62=1,LINEAS!$U$62=3),1,-1)*LINEAS!$AG$62*DATOS!$C$67,DATOS!$C$68)))</f>
        <v/>
      </c>
      <c r="E1148" s="42" t="str">
        <f t="shared" si="35"/>
        <v/>
      </c>
    </row>
    <row r="1149" spans="2:5" ht="15" customHeight="1" x14ac:dyDescent="0.3">
      <c r="B1149" s="44" t="str">
        <f>IF(OR(LINEAS!$D$63="",LINEAS!$U$63=0,ABS(IF(OR(LINEAS!$U$63=1,LINEAS!$U$63=3),1,-1)*LINEAS!$AG$63*DATOS!$C$67)&lt;0.00005),"*",LINEAS!$D$63&amp;" UNI "&amp;IF(LINEAS!$U$63&lt;=2,"GZ","GX")&amp;" "&amp;TEXT(IF(OR(LINEAS!$U$63=1,LINEAS!$U$63=3),1,-1)*LINEAS!$AG$63*DATOS!$C$67,DATOS!$C$68))</f>
        <v>314 UNI GX 0.0050</v>
      </c>
      <c r="C1149" s="42" t="str">
        <f t="shared" si="34"/>
        <v/>
      </c>
      <c r="D1149" s="44" t="str">
        <f>IF(PRESIONES!$C$22="NO","",IF(OR(LINEAS!$D$63="",LINEAS!$U$63=0,ABS(IF(OR(LINEAS!$U$63=1,LINEAS!$U$63=3),1,-1)*LINEAS!$AG$63*DATOS!$C$67)&lt;0.00005),"*",LINEAS!$D$63&amp;" UNI "&amp;IF(LINEAS!$U$63&lt;=2,"GZ","GX")&amp;" "&amp;TEXT(IF(OR(LINEAS!$U$63=1,LINEAS!$U$63=3),1,-1)*LINEAS!$AG$63*DATOS!$C$67,DATOS!$C$68)))</f>
        <v/>
      </c>
      <c r="E1149" s="42" t="str">
        <f t="shared" si="35"/>
        <v/>
      </c>
    </row>
    <row r="1150" spans="2:5" ht="15" customHeight="1" x14ac:dyDescent="0.3">
      <c r="B1150" s="44" t="str">
        <f>IF(OR(LINEAS!$D$64="",LINEAS!$U$64=0,ABS(IF(OR(LINEAS!$U$64=1,LINEAS!$U$64=3),1,-1)*LINEAS!$AG$64*DATOS!$C$67)&lt;0.00005),"*",LINEAS!$D$64&amp;" UNI "&amp;IF(LINEAS!$U$64&lt;=2,"GZ","GX")&amp;" "&amp;TEXT(IF(OR(LINEAS!$U$64=1,LINEAS!$U$64=3),1,-1)*LINEAS!$AG$64*DATOS!$C$67,DATOS!$C$68))</f>
        <v>313 UNI GX 0.0050</v>
      </c>
      <c r="C1150" s="42" t="str">
        <f t="shared" si="34"/>
        <v/>
      </c>
      <c r="D1150" s="44" t="str">
        <f>IF(PRESIONES!$C$22="NO","",IF(OR(LINEAS!$D$64="",LINEAS!$U$64=0,ABS(IF(OR(LINEAS!$U$64=1,LINEAS!$U$64=3),1,-1)*LINEAS!$AG$64*DATOS!$C$67)&lt;0.00005),"*",LINEAS!$D$64&amp;" UNI "&amp;IF(LINEAS!$U$64&lt;=2,"GZ","GX")&amp;" "&amp;TEXT(IF(OR(LINEAS!$U$64=1,LINEAS!$U$64=3),1,-1)*LINEAS!$AG$64*DATOS!$C$67,DATOS!$C$68)))</f>
        <v/>
      </c>
      <c r="E1150" s="42" t="str">
        <f t="shared" si="35"/>
        <v/>
      </c>
    </row>
    <row r="1151" spans="2:5" ht="15" customHeight="1" x14ac:dyDescent="0.3">
      <c r="B1151" s="44" t="str">
        <f>IF(OR(LINEAS!$D$65="",LINEAS!$U$65=0,ABS(IF(OR(LINEAS!$U$65=1,LINEAS!$U$65=3),1,-1)*LINEAS!$AG$65*DATOS!$C$67)&lt;0.00005),"*",LINEAS!$D$65&amp;" UNI "&amp;IF(LINEAS!$U$65&lt;=2,"GZ","GX")&amp;" "&amp;TEXT(IF(OR(LINEAS!$U$65=1,LINEAS!$U$65=3),1,-1)*LINEAS!$AG$65*DATOS!$C$67,DATOS!$C$68))</f>
        <v>312 UNI GX 0.0050</v>
      </c>
      <c r="C1151" s="42" t="str">
        <f t="shared" si="34"/>
        <v/>
      </c>
      <c r="D1151" s="44" t="str">
        <f>IF(PRESIONES!$C$22="NO","",IF(OR(LINEAS!$D$65="",LINEAS!$U$65=0,ABS(IF(OR(LINEAS!$U$65=1,LINEAS!$U$65=3),1,-1)*LINEAS!$AG$65*DATOS!$C$67)&lt;0.00005),"*",LINEAS!$D$65&amp;" UNI "&amp;IF(LINEAS!$U$65&lt;=2,"GZ","GX")&amp;" "&amp;TEXT(IF(OR(LINEAS!$U$65=1,LINEAS!$U$65=3),1,-1)*LINEAS!$AG$65*DATOS!$C$67,DATOS!$C$68)))</f>
        <v/>
      </c>
      <c r="E1151" s="42" t="str">
        <f t="shared" si="35"/>
        <v/>
      </c>
    </row>
    <row r="1152" spans="2:5" ht="15" customHeight="1" x14ac:dyDescent="0.3">
      <c r="B1152" s="44" t="str">
        <f>IF(OR(LINEAS!$D$66="",LINEAS!$U$66=0,ABS(IF(OR(LINEAS!$U$66=1,LINEAS!$U$66=3),1,-1)*LINEAS!$AG$66*DATOS!$C$67)&lt;0.00005),"*",LINEAS!$D$66&amp;" UNI "&amp;IF(LINEAS!$U$66&lt;=2,"GZ","GX")&amp;" "&amp;TEXT(IF(OR(LINEAS!$U$66=1,LINEAS!$U$66=3),1,-1)*LINEAS!$AG$66*DATOS!$C$67,DATOS!$C$68))</f>
        <v>317 UNI GX 0.0043</v>
      </c>
      <c r="C1152" s="42" t="str">
        <f t="shared" si="34"/>
        <v/>
      </c>
      <c r="D1152" s="44" t="str">
        <f>IF(PRESIONES!$C$22="NO","",IF(OR(LINEAS!$D$66="",LINEAS!$U$66=0,ABS(IF(OR(LINEAS!$U$66=1,LINEAS!$U$66=3),1,-1)*LINEAS!$AG$66*DATOS!$C$67)&lt;0.00005),"*",LINEAS!$D$66&amp;" UNI "&amp;IF(LINEAS!$U$66&lt;=2,"GZ","GX")&amp;" "&amp;TEXT(IF(OR(LINEAS!$U$66=1,LINEAS!$U$66=3),1,-1)*LINEAS!$AG$66*DATOS!$C$67,DATOS!$C$68)))</f>
        <v/>
      </c>
      <c r="E1152" s="42" t="str">
        <f t="shared" si="35"/>
        <v/>
      </c>
    </row>
    <row r="1153" spans="2:5" ht="15" customHeight="1" x14ac:dyDescent="0.3">
      <c r="B1153" s="44" t="str">
        <f>IF(OR(LINEAS!$D$67="",LINEAS!$U$67=0,ABS(IF(OR(LINEAS!$U$67=1,LINEAS!$U$67=3),1,-1)*LINEAS!$AG$67*DATOS!$C$67)&lt;0.00005),"*",LINEAS!$D$67&amp;" UNI "&amp;IF(LINEAS!$U$67&lt;=2,"GZ","GX")&amp;" "&amp;TEXT(IF(OR(LINEAS!$U$67=1,LINEAS!$U$67=3),1,-1)*LINEAS!$AG$67*DATOS!$C$67,DATOS!$C$68))</f>
        <v>316 UNI GX 0.0036</v>
      </c>
      <c r="C1153" s="42" t="str">
        <f t="shared" si="34"/>
        <v/>
      </c>
      <c r="D1153" s="44" t="str">
        <f>IF(PRESIONES!$C$22="NO","",IF(OR(LINEAS!$D$67="",LINEAS!$U$67=0,ABS(IF(OR(LINEAS!$U$67=1,LINEAS!$U$67=3),1,-1)*LINEAS!$AG$67*DATOS!$C$67)&lt;0.00005),"*",LINEAS!$D$67&amp;" UNI "&amp;IF(LINEAS!$U$67&lt;=2,"GZ","GX")&amp;" "&amp;TEXT(IF(OR(LINEAS!$U$67=1,LINEAS!$U$67=3),1,-1)*LINEAS!$AG$67*DATOS!$C$67,DATOS!$C$68)))</f>
        <v/>
      </c>
      <c r="E1153" s="42" t="str">
        <f t="shared" si="35"/>
        <v/>
      </c>
    </row>
    <row r="1154" spans="2:5" ht="15" customHeight="1" x14ac:dyDescent="0.3">
      <c r="B1154" s="44" t="str">
        <f>IF(OR(LINEAS!$D$68="",LINEAS!$U$68=0,ABS(IF(OR(LINEAS!$U$68=1,LINEAS!$U$68=3),1,-1)*LINEAS!$AG$68*DATOS!$C$67)&lt;0.00005),"*",LINEAS!$D$68&amp;" UNI "&amp;IF(LINEAS!$U$68&lt;=2,"GZ","GX")&amp;" "&amp;TEXT(IF(OR(LINEAS!$U$68=1,LINEAS!$U$68=3),1,-1)*LINEAS!$AG$68*DATOS!$C$67,DATOS!$C$68))</f>
        <v>315 UNI GX 0.0031</v>
      </c>
      <c r="C1154" s="42" t="str">
        <f t="shared" si="34"/>
        <v/>
      </c>
      <c r="D1154" s="44" t="str">
        <f>IF(PRESIONES!$C$22="NO","",IF(OR(LINEAS!$D$68="",LINEAS!$U$68=0,ABS(IF(OR(LINEAS!$U$68=1,LINEAS!$U$68=3),1,-1)*LINEAS!$AG$68*DATOS!$C$67)&lt;0.00005),"*",LINEAS!$D$68&amp;" UNI "&amp;IF(LINEAS!$U$68&lt;=2,"GZ","GX")&amp;" "&amp;TEXT(IF(OR(LINEAS!$U$68=1,LINEAS!$U$68=3),1,-1)*LINEAS!$AG$68*DATOS!$C$67,DATOS!$C$68)))</f>
        <v/>
      </c>
      <c r="E1154" s="42" t="str">
        <f t="shared" si="35"/>
        <v/>
      </c>
    </row>
    <row r="1155" spans="2:5" ht="15" customHeight="1" x14ac:dyDescent="0.3">
      <c r="B1155" s="44" t="str">
        <f>IF(OR(LINEAS!$D$69="",LINEAS!$U$69=0,ABS(IF(OR(LINEAS!$U$69=1,LINEAS!$U$69=3),1,-1)*LINEAS!$AG$69*DATOS!$C$67)&lt;0.00005),"*",LINEAS!$D$69&amp;" UNI "&amp;IF(LINEAS!$U$69&lt;=2,"GZ","GX")&amp;" "&amp;TEXT(IF(OR(LINEAS!$U$69=1,LINEAS!$U$69=3),1,-1)*LINEAS!$AG$69*DATOS!$C$67,DATOS!$C$68))</f>
        <v>265 UNI GX -0.7538</v>
      </c>
      <c r="C1155" s="42" t="str">
        <f t="shared" si="34"/>
        <v/>
      </c>
      <c r="D1155" s="44" t="str">
        <f>IF(PRESIONES!$C$22="NO","",IF(OR(LINEAS!$D$69="",LINEAS!$U$69=0,ABS(IF(OR(LINEAS!$U$69=1,LINEAS!$U$69=3),1,-1)*LINEAS!$AG$69*DATOS!$C$67)&lt;0.00005),"*",LINEAS!$D$69&amp;" UNI "&amp;IF(LINEAS!$U$69&lt;=2,"GZ","GX")&amp;" "&amp;TEXT(IF(OR(LINEAS!$U$69=1,LINEAS!$U$69=3),1,-1)*LINEAS!$AG$69*DATOS!$C$67,DATOS!$C$68)))</f>
        <v/>
      </c>
      <c r="E1155" s="42" t="str">
        <f t="shared" si="35"/>
        <v/>
      </c>
    </row>
    <row r="1156" spans="2:5" ht="15" customHeight="1" x14ac:dyDescent="0.3">
      <c r="B1156" s="44" t="str">
        <f>IF(OR(LINEAS!$D$70="",LINEAS!$U$70=0,ABS(IF(OR(LINEAS!$U$70=1,LINEAS!$U$70=3),1,-1)*LINEAS!$AG$70*DATOS!$C$67)&lt;0.00005),"*",LINEAS!$D$70&amp;" UNI "&amp;IF(LINEAS!$U$70&lt;=2,"GZ","GX")&amp;" "&amp;TEXT(IF(OR(LINEAS!$U$70=1,LINEAS!$U$70=3),1,-1)*LINEAS!$AG$70*DATOS!$C$67,DATOS!$C$68))</f>
        <v>266 UNI GX -0.7538</v>
      </c>
      <c r="C1156" s="42" t="str">
        <f t="shared" si="34"/>
        <v/>
      </c>
      <c r="D1156" s="44" t="str">
        <f>IF(PRESIONES!$C$22="NO","",IF(OR(LINEAS!$D$70="",LINEAS!$U$70=0,ABS(IF(OR(LINEAS!$U$70=1,LINEAS!$U$70=3),1,-1)*LINEAS!$AG$70*DATOS!$C$67)&lt;0.00005),"*",LINEAS!$D$70&amp;" UNI "&amp;IF(LINEAS!$U$70&lt;=2,"GZ","GX")&amp;" "&amp;TEXT(IF(OR(LINEAS!$U$70=1,LINEAS!$U$70=3),1,-1)*LINEAS!$AG$70*DATOS!$C$67,DATOS!$C$68)))</f>
        <v/>
      </c>
      <c r="E1156" s="42" t="str">
        <f t="shared" si="35"/>
        <v/>
      </c>
    </row>
    <row r="1157" spans="2:5" ht="15" customHeight="1" x14ac:dyDescent="0.3">
      <c r="B1157" s="44" t="str">
        <f>IF(OR(LINEAS!$D$71="",LINEAS!$U$71=0,ABS(IF(OR(LINEAS!$U$71=1,LINEAS!$U$71=3),1,-1)*LINEAS!$AG$71*DATOS!$C$67)&lt;0.00005),"*",LINEAS!$D$71&amp;" UNI "&amp;IF(LINEAS!$U$71&lt;=2,"GZ","GX")&amp;" "&amp;TEXT(IF(OR(LINEAS!$U$71=1,LINEAS!$U$71=3),1,-1)*LINEAS!$AG$71*DATOS!$C$67,DATOS!$C$68))</f>
        <v>267 UNI GX -0.7538</v>
      </c>
      <c r="C1157" s="42" t="str">
        <f t="shared" si="34"/>
        <v/>
      </c>
      <c r="D1157" s="44" t="str">
        <f>IF(PRESIONES!$C$22="NO","",IF(OR(LINEAS!$D$71="",LINEAS!$U$71=0,ABS(IF(OR(LINEAS!$U$71=1,LINEAS!$U$71=3),1,-1)*LINEAS!$AG$71*DATOS!$C$67)&lt;0.00005),"*",LINEAS!$D$71&amp;" UNI "&amp;IF(LINEAS!$U$71&lt;=2,"GZ","GX")&amp;" "&amp;TEXT(IF(OR(LINEAS!$U$71=1,LINEAS!$U$71=3),1,-1)*LINEAS!$AG$71*DATOS!$C$67,DATOS!$C$68)))</f>
        <v/>
      </c>
      <c r="E1157" s="42" t="str">
        <f t="shared" si="35"/>
        <v/>
      </c>
    </row>
    <row r="1158" spans="2:5" ht="15" customHeight="1" x14ac:dyDescent="0.3">
      <c r="B1158" s="44" t="str">
        <f>IF(OR(LINEAS!$D$72="",LINEAS!$U$72=0,ABS(IF(OR(LINEAS!$U$72=1,LINEAS!$U$72=3),1,-1)*LINEAS!$AG$72*DATOS!$C$67)&lt;0.00005),"*",LINEAS!$D$72&amp;" UNI "&amp;IF(LINEAS!$U$72&lt;=2,"GZ","GX")&amp;" "&amp;TEXT(IF(OR(LINEAS!$U$72=1,LINEAS!$U$72=3),1,-1)*LINEAS!$AG$72*DATOS!$C$67,DATOS!$C$68))</f>
        <v>274 UNI GX -0.7538</v>
      </c>
      <c r="C1158" s="42" t="str">
        <f t="shared" si="34"/>
        <v/>
      </c>
      <c r="D1158" s="44" t="str">
        <f>IF(PRESIONES!$C$22="NO","",IF(OR(LINEAS!$D$72="",LINEAS!$U$72=0,ABS(IF(OR(LINEAS!$U$72=1,LINEAS!$U$72=3),1,-1)*LINEAS!$AG$72*DATOS!$C$67)&lt;0.00005),"*",LINEAS!$D$72&amp;" UNI "&amp;IF(LINEAS!$U$72&lt;=2,"GZ","GX")&amp;" "&amp;TEXT(IF(OR(LINEAS!$U$72=1,LINEAS!$U$72=3),1,-1)*LINEAS!$AG$72*DATOS!$C$67,DATOS!$C$68)))</f>
        <v/>
      </c>
      <c r="E1158" s="42" t="str">
        <f t="shared" si="35"/>
        <v/>
      </c>
    </row>
    <row r="1159" spans="2:5" ht="15" customHeight="1" x14ac:dyDescent="0.3">
      <c r="B1159" s="44" t="str">
        <f>IF(OR(LINEAS!$D$73="",LINEAS!$U$73=0,ABS(IF(OR(LINEAS!$U$73=1,LINEAS!$U$73=3),1,-1)*LINEAS!$AG$73*DATOS!$C$67)&lt;0.00005),"*",LINEAS!$D$73&amp;" UNI "&amp;IF(LINEAS!$U$73&lt;=2,"GZ","GX")&amp;" "&amp;TEXT(IF(OR(LINEAS!$U$73=1,LINEAS!$U$73=3),1,-1)*LINEAS!$AG$73*DATOS!$C$67,DATOS!$C$68))</f>
        <v>275 UNI GX -0.7538</v>
      </c>
      <c r="C1159" s="42" t="str">
        <f t="shared" si="34"/>
        <v/>
      </c>
      <c r="D1159" s="44" t="str">
        <f>IF(PRESIONES!$C$22="NO","",IF(OR(LINEAS!$D$73="",LINEAS!$U$73=0,ABS(IF(OR(LINEAS!$U$73=1,LINEAS!$U$73=3),1,-1)*LINEAS!$AG$73*DATOS!$C$67)&lt;0.00005),"*",LINEAS!$D$73&amp;" UNI "&amp;IF(LINEAS!$U$73&lt;=2,"GZ","GX")&amp;" "&amp;TEXT(IF(OR(LINEAS!$U$73=1,LINEAS!$U$73=3),1,-1)*LINEAS!$AG$73*DATOS!$C$67,DATOS!$C$68)))</f>
        <v/>
      </c>
      <c r="E1159" s="42" t="str">
        <f t="shared" si="35"/>
        <v/>
      </c>
    </row>
    <row r="1160" spans="2:5" ht="15" customHeight="1" x14ac:dyDescent="0.3">
      <c r="B1160" s="44" t="str">
        <f>IF(OR(LINEAS!$D$74="",LINEAS!$U$74=0,ABS(IF(OR(LINEAS!$U$74=1,LINEAS!$U$74=3),1,-1)*LINEAS!$AG$74*DATOS!$C$67)&lt;0.00005),"*",LINEAS!$D$74&amp;" UNI "&amp;IF(LINEAS!$U$74&lt;=2,"GZ","GX")&amp;" "&amp;TEXT(IF(OR(LINEAS!$U$74=1,LINEAS!$U$74=3),1,-1)*LINEAS!$AG$74*DATOS!$C$67,DATOS!$C$68))</f>
        <v>276 UNI GX -0.7538</v>
      </c>
      <c r="C1160" s="42" t="str">
        <f t="shared" si="34"/>
        <v/>
      </c>
      <c r="D1160" s="44" t="str">
        <f>IF(PRESIONES!$C$22="NO","",IF(OR(LINEAS!$D$74="",LINEAS!$U$74=0,ABS(IF(OR(LINEAS!$U$74=1,LINEAS!$U$74=3),1,-1)*LINEAS!$AG$74*DATOS!$C$67)&lt;0.00005),"*",LINEAS!$D$74&amp;" UNI "&amp;IF(LINEAS!$U$74&lt;=2,"GZ","GX")&amp;" "&amp;TEXT(IF(OR(LINEAS!$U$74=1,LINEAS!$U$74=3),1,-1)*LINEAS!$AG$74*DATOS!$C$67,DATOS!$C$68)))</f>
        <v/>
      </c>
      <c r="E1160" s="42" t="str">
        <f t="shared" si="35"/>
        <v/>
      </c>
    </row>
    <row r="1161" spans="2:5" ht="15" customHeight="1" x14ac:dyDescent="0.3">
      <c r="B1161" s="44" t="str">
        <f>IF(OR(LINEAS!$D$75="",LINEAS!$U$75=0,ABS(IF(OR(LINEAS!$U$75=1,LINEAS!$U$75=3),1,-1)*LINEAS!$AG$75*DATOS!$C$67)&lt;0.00005),"*",LINEAS!$D$75&amp;" UNI "&amp;IF(LINEAS!$U$75&lt;=2,"GZ","GX")&amp;" "&amp;TEXT(IF(OR(LINEAS!$U$75=1,LINEAS!$U$75=3),1,-1)*LINEAS!$AG$75*DATOS!$C$67,DATOS!$C$68))</f>
        <v>283 UNI GX -0.7538</v>
      </c>
      <c r="C1161" s="42" t="str">
        <f t="shared" ref="C1161:C1224" si="36">IF(LEN($B1161)&gt;79,"MÁS DE 79 CARACTERES","")</f>
        <v/>
      </c>
      <c r="D1161" s="44" t="str">
        <f>IF(PRESIONES!$C$22="NO","",IF(OR(LINEAS!$D$75="",LINEAS!$U$75=0,ABS(IF(OR(LINEAS!$U$75=1,LINEAS!$U$75=3),1,-1)*LINEAS!$AG$75*DATOS!$C$67)&lt;0.00005),"*",LINEAS!$D$75&amp;" UNI "&amp;IF(LINEAS!$U$75&lt;=2,"GZ","GX")&amp;" "&amp;TEXT(IF(OR(LINEAS!$U$75=1,LINEAS!$U$75=3),1,-1)*LINEAS!$AG$75*DATOS!$C$67,DATOS!$C$68)))</f>
        <v/>
      </c>
      <c r="E1161" s="42" t="str">
        <f t="shared" ref="E1161:E1224" si="37">IF(LEN($D1161)&gt;79,"MÁS DE 79 CARACTERES","")</f>
        <v/>
      </c>
    </row>
    <row r="1162" spans="2:5" ht="15" customHeight="1" x14ac:dyDescent="0.3">
      <c r="B1162" s="44" t="str">
        <f>IF(OR(LINEAS!$D$76="",LINEAS!$U$76=0,ABS(IF(OR(LINEAS!$U$76=1,LINEAS!$U$76=3),1,-1)*LINEAS!$AG$76*DATOS!$C$67)&lt;0.00005),"*",LINEAS!$D$76&amp;" UNI "&amp;IF(LINEAS!$U$76&lt;=2,"GZ","GX")&amp;" "&amp;TEXT(IF(OR(LINEAS!$U$76=1,LINEAS!$U$76=3),1,-1)*LINEAS!$AG$76*DATOS!$C$67,DATOS!$C$68))</f>
        <v>284 UNI GX -0.7538</v>
      </c>
      <c r="C1162" s="42" t="str">
        <f t="shared" si="36"/>
        <v/>
      </c>
      <c r="D1162" s="44" t="str">
        <f>IF(PRESIONES!$C$22="NO","",IF(OR(LINEAS!$D$76="",LINEAS!$U$76=0,ABS(IF(OR(LINEAS!$U$76=1,LINEAS!$U$76=3),1,-1)*LINEAS!$AG$76*DATOS!$C$67)&lt;0.00005),"*",LINEAS!$D$76&amp;" UNI "&amp;IF(LINEAS!$U$76&lt;=2,"GZ","GX")&amp;" "&amp;TEXT(IF(OR(LINEAS!$U$76=1,LINEAS!$U$76=3),1,-1)*LINEAS!$AG$76*DATOS!$C$67,DATOS!$C$68)))</f>
        <v/>
      </c>
      <c r="E1162" s="42" t="str">
        <f t="shared" si="37"/>
        <v/>
      </c>
    </row>
    <row r="1163" spans="2:5" ht="15" customHeight="1" x14ac:dyDescent="0.3">
      <c r="B1163" s="44" t="str">
        <f>IF(OR(LINEAS!$D$77="",LINEAS!$U$77=0,ABS(IF(OR(LINEAS!$U$77=1,LINEAS!$U$77=3),1,-1)*LINEAS!$AG$77*DATOS!$C$67)&lt;0.00005),"*",LINEAS!$D$77&amp;" UNI "&amp;IF(LINEAS!$U$77&lt;=2,"GZ","GX")&amp;" "&amp;TEXT(IF(OR(LINEAS!$U$77=1,LINEAS!$U$77=3),1,-1)*LINEAS!$AG$77*DATOS!$C$67,DATOS!$C$68))</f>
        <v>285 UNI GX -0.7538</v>
      </c>
      <c r="C1163" s="42" t="str">
        <f t="shared" si="36"/>
        <v/>
      </c>
      <c r="D1163" s="44" t="str">
        <f>IF(PRESIONES!$C$22="NO","",IF(OR(LINEAS!$D$77="",LINEAS!$U$77=0,ABS(IF(OR(LINEAS!$U$77=1,LINEAS!$U$77=3),1,-1)*LINEAS!$AG$77*DATOS!$C$67)&lt;0.00005),"*",LINEAS!$D$77&amp;" UNI "&amp;IF(LINEAS!$U$77&lt;=2,"GZ","GX")&amp;" "&amp;TEXT(IF(OR(LINEAS!$U$77=1,LINEAS!$U$77=3),1,-1)*LINEAS!$AG$77*DATOS!$C$67,DATOS!$C$68)))</f>
        <v/>
      </c>
      <c r="E1163" s="42" t="str">
        <f t="shared" si="37"/>
        <v/>
      </c>
    </row>
    <row r="1164" spans="2:5" ht="15" customHeight="1" x14ac:dyDescent="0.3">
      <c r="B1164" s="44" t="str">
        <f>IF(OR(LINEAS!$D$78="",LINEAS!$U$78=0,ABS(IF(OR(LINEAS!$U$78=1,LINEAS!$U$78=3),1,-1)*LINEAS!$AG$78*DATOS!$C$67)&lt;0.00005),"*",LINEAS!$D$78&amp;" UNI "&amp;IF(LINEAS!$U$78&lt;=2,"GZ","GX")&amp;" "&amp;TEXT(IF(OR(LINEAS!$U$78=1,LINEAS!$U$78=3),1,-1)*LINEAS!$AG$78*DATOS!$C$67,DATOS!$C$68))</f>
        <v>292 UNI GX -0.7538</v>
      </c>
      <c r="C1164" s="42" t="str">
        <f t="shared" si="36"/>
        <v/>
      </c>
      <c r="D1164" s="44" t="str">
        <f>IF(PRESIONES!$C$22="NO","",IF(OR(LINEAS!$D$78="",LINEAS!$U$78=0,ABS(IF(OR(LINEAS!$U$78=1,LINEAS!$U$78=3),1,-1)*LINEAS!$AG$78*DATOS!$C$67)&lt;0.00005),"*",LINEAS!$D$78&amp;" UNI "&amp;IF(LINEAS!$U$78&lt;=2,"GZ","GX")&amp;" "&amp;TEXT(IF(OR(LINEAS!$U$78=1,LINEAS!$U$78=3),1,-1)*LINEAS!$AG$78*DATOS!$C$67,DATOS!$C$68)))</f>
        <v/>
      </c>
      <c r="E1164" s="42" t="str">
        <f t="shared" si="37"/>
        <v/>
      </c>
    </row>
    <row r="1165" spans="2:5" ht="15" customHeight="1" x14ac:dyDescent="0.3">
      <c r="B1165" s="44" t="str">
        <f>IF(OR(LINEAS!$D$79="",LINEAS!$U$79=0,ABS(IF(OR(LINEAS!$U$79=1,LINEAS!$U$79=3),1,-1)*LINEAS!$AG$79*DATOS!$C$67)&lt;0.00005),"*",LINEAS!$D$79&amp;" UNI "&amp;IF(LINEAS!$U$79&lt;=2,"GZ","GX")&amp;" "&amp;TEXT(IF(OR(LINEAS!$U$79=1,LINEAS!$U$79=3),1,-1)*LINEAS!$AG$79*DATOS!$C$67,DATOS!$C$68))</f>
        <v>293 UNI GX -0.7538</v>
      </c>
      <c r="C1165" s="42" t="str">
        <f t="shared" si="36"/>
        <v/>
      </c>
      <c r="D1165" s="44" t="str">
        <f>IF(PRESIONES!$C$22="NO","",IF(OR(LINEAS!$D$79="",LINEAS!$U$79=0,ABS(IF(OR(LINEAS!$U$79=1,LINEAS!$U$79=3),1,-1)*LINEAS!$AG$79*DATOS!$C$67)&lt;0.00005),"*",LINEAS!$D$79&amp;" UNI "&amp;IF(LINEAS!$U$79&lt;=2,"GZ","GX")&amp;" "&amp;TEXT(IF(OR(LINEAS!$U$79=1,LINEAS!$U$79=3),1,-1)*LINEAS!$AG$79*DATOS!$C$67,DATOS!$C$68)))</f>
        <v/>
      </c>
      <c r="E1165" s="42" t="str">
        <f t="shared" si="37"/>
        <v/>
      </c>
    </row>
    <row r="1166" spans="2:5" ht="15" customHeight="1" x14ac:dyDescent="0.3">
      <c r="B1166" s="44" t="str">
        <f>IF(OR(LINEAS!$D$80="",LINEAS!$U$80=0,ABS(IF(OR(LINEAS!$U$80=1,LINEAS!$U$80=3),1,-1)*LINEAS!$AG$80*DATOS!$C$67)&lt;0.00005),"*",LINEAS!$D$80&amp;" UNI "&amp;IF(LINEAS!$U$80&lt;=2,"GZ","GX")&amp;" "&amp;TEXT(IF(OR(LINEAS!$U$80=1,LINEAS!$U$80=3),1,-1)*LINEAS!$AG$80*DATOS!$C$67,DATOS!$C$68))</f>
        <v>294 UNI GX -0.7538</v>
      </c>
      <c r="C1166" s="42" t="str">
        <f t="shared" si="36"/>
        <v/>
      </c>
      <c r="D1166" s="44" t="str">
        <f>IF(PRESIONES!$C$22="NO","",IF(OR(LINEAS!$D$80="",LINEAS!$U$80=0,ABS(IF(OR(LINEAS!$U$80=1,LINEAS!$U$80=3),1,-1)*LINEAS!$AG$80*DATOS!$C$67)&lt;0.00005),"*",LINEAS!$D$80&amp;" UNI "&amp;IF(LINEAS!$U$80&lt;=2,"GZ","GX")&amp;" "&amp;TEXT(IF(OR(LINEAS!$U$80=1,LINEAS!$U$80=3),1,-1)*LINEAS!$AG$80*DATOS!$C$67,DATOS!$C$68)))</f>
        <v/>
      </c>
      <c r="E1166" s="42" t="str">
        <f t="shared" si="37"/>
        <v/>
      </c>
    </row>
    <row r="1167" spans="2:5" ht="15" customHeight="1" x14ac:dyDescent="0.3">
      <c r="B1167" s="44" t="str">
        <f>IF(OR(LINEAS!$D$81="",LINEAS!$U$81=0,ABS(IF(OR(LINEAS!$U$81=1,LINEAS!$U$81=3),1,-1)*LINEAS!$AG$81*DATOS!$C$67)&lt;0.00005),"*",LINEAS!$D$81&amp;" UNI "&amp;IF(LINEAS!$U$81&lt;=2,"GZ","GX")&amp;" "&amp;TEXT(IF(OR(LINEAS!$U$81=1,LINEAS!$U$81=3),1,-1)*LINEAS!$AG$81*DATOS!$C$67,DATOS!$C$68))</f>
        <v>300 UNI GX -0.7538</v>
      </c>
      <c r="C1167" s="42" t="str">
        <f t="shared" si="36"/>
        <v/>
      </c>
      <c r="D1167" s="44" t="str">
        <f>IF(PRESIONES!$C$22="NO","",IF(OR(LINEAS!$D$81="",LINEAS!$U$81=0,ABS(IF(OR(LINEAS!$U$81=1,LINEAS!$U$81=3),1,-1)*LINEAS!$AG$81*DATOS!$C$67)&lt;0.00005),"*",LINEAS!$D$81&amp;" UNI "&amp;IF(LINEAS!$U$81&lt;=2,"GZ","GX")&amp;" "&amp;TEXT(IF(OR(LINEAS!$U$81=1,LINEAS!$U$81=3),1,-1)*LINEAS!$AG$81*DATOS!$C$67,DATOS!$C$68)))</f>
        <v/>
      </c>
      <c r="E1167" s="42" t="str">
        <f t="shared" si="37"/>
        <v/>
      </c>
    </row>
    <row r="1168" spans="2:5" ht="15" customHeight="1" x14ac:dyDescent="0.3">
      <c r="B1168" s="44" t="str">
        <f>IF(OR(LINEAS!$D$82="",LINEAS!$U$82=0,ABS(IF(OR(LINEAS!$U$82=1,LINEAS!$U$82=3),1,-1)*LINEAS!$AG$82*DATOS!$C$67)&lt;0.00005),"*",LINEAS!$D$82&amp;" UNI "&amp;IF(LINEAS!$U$82&lt;=2,"GZ","GX")&amp;" "&amp;TEXT(IF(OR(LINEAS!$U$82=1,LINEAS!$U$82=3),1,-1)*LINEAS!$AG$82*DATOS!$C$67,DATOS!$C$68))</f>
        <v>301 UNI GX -0.7538</v>
      </c>
      <c r="C1168" s="42" t="str">
        <f t="shared" si="36"/>
        <v/>
      </c>
      <c r="D1168" s="44" t="str">
        <f>IF(PRESIONES!$C$22="NO","",IF(OR(LINEAS!$D$82="",LINEAS!$U$82=0,ABS(IF(OR(LINEAS!$U$82=1,LINEAS!$U$82=3),1,-1)*LINEAS!$AG$82*DATOS!$C$67)&lt;0.00005),"*",LINEAS!$D$82&amp;" UNI "&amp;IF(LINEAS!$U$82&lt;=2,"GZ","GX")&amp;" "&amp;TEXT(IF(OR(LINEAS!$U$82=1,LINEAS!$U$82=3),1,-1)*LINEAS!$AG$82*DATOS!$C$67,DATOS!$C$68)))</f>
        <v/>
      </c>
      <c r="E1168" s="42" t="str">
        <f t="shared" si="37"/>
        <v/>
      </c>
    </row>
    <row r="1169" spans="2:5" ht="15" customHeight="1" x14ac:dyDescent="0.3">
      <c r="B1169" s="44" t="str">
        <f>IF(OR(LINEAS!$D$83="",LINEAS!$U$83=0,ABS(IF(OR(LINEAS!$U$83=1,LINEAS!$U$83=3),1,-1)*LINEAS!$AG$83*DATOS!$C$67)&lt;0.00005),"*",LINEAS!$D$83&amp;" UNI "&amp;IF(LINEAS!$U$83&lt;=2,"GZ","GX")&amp;" "&amp;TEXT(IF(OR(LINEAS!$U$83=1,LINEAS!$U$83=3),1,-1)*LINEAS!$AG$83*DATOS!$C$67,DATOS!$C$68))</f>
        <v>302 UNI GX -0.7538</v>
      </c>
      <c r="C1169" s="42" t="str">
        <f t="shared" si="36"/>
        <v/>
      </c>
      <c r="D1169" s="44" t="str">
        <f>IF(PRESIONES!$C$22="NO","",IF(OR(LINEAS!$D$83="",LINEAS!$U$83=0,ABS(IF(OR(LINEAS!$U$83=1,LINEAS!$U$83=3),1,-1)*LINEAS!$AG$83*DATOS!$C$67)&lt;0.00005),"*",LINEAS!$D$83&amp;" UNI "&amp;IF(LINEAS!$U$83&lt;=2,"GZ","GX")&amp;" "&amp;TEXT(IF(OR(LINEAS!$U$83=1,LINEAS!$U$83=3),1,-1)*LINEAS!$AG$83*DATOS!$C$67,DATOS!$C$68)))</f>
        <v/>
      </c>
      <c r="E1169" s="42" t="str">
        <f t="shared" si="37"/>
        <v/>
      </c>
    </row>
    <row r="1170" spans="2:5" ht="15" customHeight="1" x14ac:dyDescent="0.3">
      <c r="B1170" s="44" t="str">
        <f>IF(OR(LINEAS!$D$84="",LINEAS!$U$84=0,ABS(IF(OR(LINEAS!$U$84=1,LINEAS!$U$84=3),1,-1)*LINEAS!$AG$84*DATOS!$C$67)&lt;0.00005),"*",LINEAS!$D$84&amp;" UNI "&amp;IF(LINEAS!$U$84&lt;=2,"GZ","GX")&amp;" "&amp;TEXT(IF(OR(LINEAS!$U$84=1,LINEAS!$U$84=3),1,-1)*LINEAS!$AG$84*DATOS!$C$67,DATOS!$C$68))</f>
        <v>307 UNI GX -0.7538</v>
      </c>
      <c r="C1170" s="42" t="str">
        <f t="shared" si="36"/>
        <v/>
      </c>
      <c r="D1170" s="44" t="str">
        <f>IF(PRESIONES!$C$22="NO","",IF(OR(LINEAS!$D$84="",LINEAS!$U$84=0,ABS(IF(OR(LINEAS!$U$84=1,LINEAS!$U$84=3),1,-1)*LINEAS!$AG$84*DATOS!$C$67)&lt;0.00005),"*",LINEAS!$D$84&amp;" UNI "&amp;IF(LINEAS!$U$84&lt;=2,"GZ","GX")&amp;" "&amp;TEXT(IF(OR(LINEAS!$U$84=1,LINEAS!$U$84=3),1,-1)*LINEAS!$AG$84*DATOS!$C$67,DATOS!$C$68)))</f>
        <v/>
      </c>
      <c r="E1170" s="42" t="str">
        <f t="shared" si="37"/>
        <v/>
      </c>
    </row>
    <row r="1171" spans="2:5" ht="15" customHeight="1" x14ac:dyDescent="0.3">
      <c r="B1171" s="44" t="str">
        <f>IF(OR(LINEAS!$D$85="",LINEAS!$U$85=0,ABS(IF(OR(LINEAS!$U$85=1,LINEAS!$U$85=3),1,-1)*LINEAS!$AG$85*DATOS!$C$67)&lt;0.00005),"*",LINEAS!$D$85&amp;" UNI "&amp;IF(LINEAS!$U$85&lt;=2,"GZ","GX")&amp;" "&amp;TEXT(IF(OR(LINEAS!$U$85=1,LINEAS!$U$85=3),1,-1)*LINEAS!$AG$85*DATOS!$C$67,DATOS!$C$68))</f>
        <v>308 UNI GX -0.7538</v>
      </c>
      <c r="C1171" s="42" t="str">
        <f t="shared" si="36"/>
        <v/>
      </c>
      <c r="D1171" s="44" t="str">
        <f>IF(PRESIONES!$C$22="NO","",IF(OR(LINEAS!$D$85="",LINEAS!$U$85=0,ABS(IF(OR(LINEAS!$U$85=1,LINEAS!$U$85=3),1,-1)*LINEAS!$AG$85*DATOS!$C$67)&lt;0.00005),"*",LINEAS!$D$85&amp;" UNI "&amp;IF(LINEAS!$U$85&lt;=2,"GZ","GX")&amp;" "&amp;TEXT(IF(OR(LINEAS!$U$85=1,LINEAS!$U$85=3),1,-1)*LINEAS!$AG$85*DATOS!$C$67,DATOS!$C$68)))</f>
        <v/>
      </c>
      <c r="E1171" s="42" t="str">
        <f t="shared" si="37"/>
        <v/>
      </c>
    </row>
    <row r="1172" spans="2:5" ht="15" customHeight="1" x14ac:dyDescent="0.3">
      <c r="B1172" s="44" t="str">
        <f>IF(OR(LINEAS!$D$86="",LINEAS!$U$86=0,ABS(IF(OR(LINEAS!$U$86=1,LINEAS!$U$86=3),1,-1)*LINEAS!$AG$86*DATOS!$C$67)&lt;0.00005),"*",LINEAS!$D$86&amp;" UNI "&amp;IF(LINEAS!$U$86&lt;=2,"GZ","GX")&amp;" "&amp;TEXT(IF(OR(LINEAS!$U$86=1,LINEAS!$U$86=3),1,-1)*LINEAS!$AG$86*DATOS!$C$67,DATOS!$C$68))</f>
        <v>309 UNI GX -0.7538</v>
      </c>
      <c r="C1172" s="42" t="str">
        <f t="shared" si="36"/>
        <v/>
      </c>
      <c r="D1172" s="44" t="str">
        <f>IF(PRESIONES!$C$22="NO","",IF(OR(LINEAS!$D$86="",LINEAS!$U$86=0,ABS(IF(OR(LINEAS!$U$86=1,LINEAS!$U$86=3),1,-1)*LINEAS!$AG$86*DATOS!$C$67)&lt;0.00005),"*",LINEAS!$D$86&amp;" UNI "&amp;IF(LINEAS!$U$86&lt;=2,"GZ","GX")&amp;" "&amp;TEXT(IF(OR(LINEAS!$U$86=1,LINEAS!$U$86=3),1,-1)*LINEAS!$AG$86*DATOS!$C$67,DATOS!$C$68)))</f>
        <v/>
      </c>
      <c r="E1172" s="42" t="str">
        <f t="shared" si="37"/>
        <v/>
      </c>
    </row>
    <row r="1173" spans="2:5" ht="15" customHeight="1" x14ac:dyDescent="0.3">
      <c r="B1173" s="44" t="str">
        <f>IF(OR(LINEAS!$D$87="",LINEAS!$U$87=0,ABS(IF(OR(LINEAS!$U$87=1,LINEAS!$U$87=3),1,-1)*LINEAS!$AG$87*DATOS!$C$67)&lt;0.00005),"*",LINEAS!$D$87&amp;" UNI "&amp;IF(LINEAS!$U$87&lt;=2,"GZ","GX")&amp;" "&amp;TEXT(IF(OR(LINEAS!$U$87=1,LINEAS!$U$87=3),1,-1)*LINEAS!$AG$87*DATOS!$C$67,DATOS!$C$68))</f>
        <v>318 UNI GX -0.7538</v>
      </c>
      <c r="C1173" s="42" t="str">
        <f t="shared" si="36"/>
        <v/>
      </c>
      <c r="D1173" s="44" t="str">
        <f>IF(PRESIONES!$C$22="NO","",IF(OR(LINEAS!$D$87="",LINEAS!$U$87=0,ABS(IF(OR(LINEAS!$U$87=1,LINEAS!$U$87=3),1,-1)*LINEAS!$AG$87*DATOS!$C$67)&lt;0.00005),"*",LINEAS!$D$87&amp;" UNI "&amp;IF(LINEAS!$U$87&lt;=2,"GZ","GX")&amp;" "&amp;TEXT(IF(OR(LINEAS!$U$87=1,LINEAS!$U$87=3),1,-1)*LINEAS!$AG$87*DATOS!$C$67,DATOS!$C$68)))</f>
        <v/>
      </c>
      <c r="E1173" s="42" t="str">
        <f t="shared" si="37"/>
        <v/>
      </c>
    </row>
    <row r="1174" spans="2:5" ht="15" customHeight="1" x14ac:dyDescent="0.3">
      <c r="B1174" s="44" t="str">
        <f>IF(OR(LINEAS!$D$88="",LINEAS!$U$88=0,ABS(IF(OR(LINEAS!$U$88=1,LINEAS!$U$88=3),1,-1)*LINEAS!$AG$88*DATOS!$C$67)&lt;0.00005),"*",LINEAS!$D$88&amp;" UNI "&amp;IF(LINEAS!$U$88&lt;=2,"GZ","GX")&amp;" "&amp;TEXT(IF(OR(LINEAS!$U$88=1,LINEAS!$U$88=3),1,-1)*LINEAS!$AG$88*DATOS!$C$67,DATOS!$C$68))</f>
        <v>311 UNI GX -0.7538</v>
      </c>
      <c r="C1174" s="42" t="str">
        <f t="shared" si="36"/>
        <v/>
      </c>
      <c r="D1174" s="44" t="str">
        <f>IF(PRESIONES!$C$22="NO","",IF(OR(LINEAS!$D$88="",LINEAS!$U$88=0,ABS(IF(OR(LINEAS!$U$88=1,LINEAS!$U$88=3),1,-1)*LINEAS!$AG$88*DATOS!$C$67)&lt;0.00005),"*",LINEAS!$D$88&amp;" UNI "&amp;IF(LINEAS!$U$88&lt;=2,"GZ","GX")&amp;" "&amp;TEXT(IF(OR(LINEAS!$U$88=1,LINEAS!$U$88=3),1,-1)*LINEAS!$AG$88*DATOS!$C$67,DATOS!$C$68)))</f>
        <v/>
      </c>
      <c r="E1174" s="42" t="str">
        <f t="shared" si="37"/>
        <v/>
      </c>
    </row>
    <row r="1175" spans="2:5" ht="15" customHeight="1" x14ac:dyDescent="0.3">
      <c r="B1175" s="44" t="str">
        <f>IF(OR(LINEAS!$D$89="",LINEAS!$U$89=0,ABS(IF(OR(LINEAS!$U$89=1,LINEAS!$U$89=3),1,-1)*LINEAS!$AG$89*DATOS!$C$67)&lt;0.00005),"*",LINEAS!$D$89&amp;" UNI "&amp;IF(LINEAS!$U$89&lt;=2,"GZ","GX")&amp;" "&amp;TEXT(IF(OR(LINEAS!$U$89=1,LINEAS!$U$89=3),1,-1)*LINEAS!$AG$89*DATOS!$C$67,DATOS!$C$68))</f>
        <v>310 UNI GX -0.7538</v>
      </c>
      <c r="C1175" s="42" t="str">
        <f t="shared" si="36"/>
        <v/>
      </c>
      <c r="D1175" s="44" t="str">
        <f>IF(PRESIONES!$C$22="NO","",IF(OR(LINEAS!$D$89="",LINEAS!$U$89=0,ABS(IF(OR(LINEAS!$U$89=1,LINEAS!$U$89=3),1,-1)*LINEAS!$AG$89*DATOS!$C$67)&lt;0.00005),"*",LINEAS!$D$89&amp;" UNI "&amp;IF(LINEAS!$U$89&lt;=2,"GZ","GX")&amp;" "&amp;TEXT(IF(OR(LINEAS!$U$89=1,LINEAS!$U$89=3),1,-1)*LINEAS!$AG$89*DATOS!$C$67,DATOS!$C$68)))</f>
        <v/>
      </c>
      <c r="E1175" s="42" t="str">
        <f t="shared" si="37"/>
        <v/>
      </c>
    </row>
    <row r="1176" spans="2:5" ht="15" customHeight="1" x14ac:dyDescent="0.3">
      <c r="B1176" s="44" t="str">
        <f>IF(OR(LINEAS!$D$90="",LINEAS!$U$90=0,ABS(IF(OR(LINEAS!$U$90=1,LINEAS!$U$90=3),1,-1)*LINEAS!$AG$90*DATOS!$C$67)&lt;0.00005),"*",LINEAS!$D$90&amp;" UNI "&amp;IF(LINEAS!$U$90&lt;=2,"GZ","GX")&amp;" "&amp;TEXT(IF(OR(LINEAS!$U$90=1,LINEAS!$U$90=3),1,-1)*LINEAS!$AG$90*DATOS!$C$67,DATOS!$C$68))</f>
        <v>321 UNI GX -0.6451</v>
      </c>
      <c r="C1176" s="42" t="str">
        <f t="shared" si="36"/>
        <v/>
      </c>
      <c r="D1176" s="44" t="str">
        <f>IF(PRESIONES!$C$22="NO","",IF(OR(LINEAS!$D$90="",LINEAS!$U$90=0,ABS(IF(OR(LINEAS!$U$90=1,LINEAS!$U$90=3),1,-1)*LINEAS!$AG$90*DATOS!$C$67)&lt;0.00005),"*",LINEAS!$D$90&amp;" UNI "&amp;IF(LINEAS!$U$90&lt;=2,"GZ","GX")&amp;" "&amp;TEXT(IF(OR(LINEAS!$U$90=1,LINEAS!$U$90=3),1,-1)*LINEAS!$AG$90*DATOS!$C$67,DATOS!$C$68)))</f>
        <v/>
      </c>
      <c r="E1176" s="42" t="str">
        <f t="shared" si="37"/>
        <v/>
      </c>
    </row>
    <row r="1177" spans="2:5" ht="15" customHeight="1" x14ac:dyDescent="0.3">
      <c r="B1177" s="44" t="str">
        <f>IF(OR(LINEAS!$D$91="",LINEAS!$U$91=0,ABS(IF(OR(LINEAS!$U$91=1,LINEAS!$U$91=3),1,-1)*LINEAS!$AG$91*DATOS!$C$67)&lt;0.00005),"*",LINEAS!$D$91&amp;" UNI "&amp;IF(LINEAS!$U$91&lt;=2,"GZ","GX")&amp;" "&amp;TEXT(IF(OR(LINEAS!$U$91=1,LINEAS!$U$91=3),1,-1)*LINEAS!$AG$91*DATOS!$C$67,DATOS!$C$68))</f>
        <v>320 UNI GX -0.5371</v>
      </c>
      <c r="C1177" s="42" t="str">
        <f t="shared" si="36"/>
        <v/>
      </c>
      <c r="D1177" s="44" t="str">
        <f>IF(PRESIONES!$C$22="NO","",IF(OR(LINEAS!$D$91="",LINEAS!$U$91=0,ABS(IF(OR(LINEAS!$U$91=1,LINEAS!$U$91=3),1,-1)*LINEAS!$AG$91*DATOS!$C$67)&lt;0.00005),"*",LINEAS!$D$91&amp;" UNI "&amp;IF(LINEAS!$U$91&lt;=2,"GZ","GX")&amp;" "&amp;TEXT(IF(OR(LINEAS!$U$91=1,LINEAS!$U$91=3),1,-1)*LINEAS!$AG$91*DATOS!$C$67,DATOS!$C$68)))</f>
        <v/>
      </c>
      <c r="E1177" s="42" t="str">
        <f t="shared" si="37"/>
        <v/>
      </c>
    </row>
    <row r="1178" spans="2:5" ht="15" customHeight="1" x14ac:dyDescent="0.3">
      <c r="B1178" s="44" t="str">
        <f>IF(OR(LINEAS!$D$92="",LINEAS!$U$92=0,ABS(IF(OR(LINEAS!$U$92=1,LINEAS!$U$92=3),1,-1)*LINEAS!$AG$92*DATOS!$C$67)&lt;0.00005),"*",LINEAS!$D$92&amp;" UNI "&amp;IF(LINEAS!$U$92&lt;=2,"GZ","GX")&amp;" "&amp;TEXT(IF(OR(LINEAS!$U$92=1,LINEAS!$U$92=3),1,-1)*LINEAS!$AG$92*DATOS!$C$67,DATOS!$C$68))</f>
        <v>319 UNI GX -0.4648</v>
      </c>
      <c r="C1178" s="42" t="str">
        <f t="shared" si="36"/>
        <v/>
      </c>
      <c r="D1178" s="44" t="str">
        <f>IF(PRESIONES!$C$22="NO","",IF(OR(LINEAS!$D$92="",LINEAS!$U$92=0,ABS(IF(OR(LINEAS!$U$92=1,LINEAS!$U$92=3),1,-1)*LINEAS!$AG$92*DATOS!$C$67)&lt;0.00005),"*",LINEAS!$D$92&amp;" UNI "&amp;IF(LINEAS!$U$92&lt;=2,"GZ","GX")&amp;" "&amp;TEXT(IF(OR(LINEAS!$U$92=1,LINEAS!$U$92=3),1,-1)*LINEAS!$AG$92*DATOS!$C$67,DATOS!$C$68)))</f>
        <v/>
      </c>
      <c r="E1178" s="42" t="str">
        <f t="shared" si="37"/>
        <v/>
      </c>
    </row>
    <row r="1179" spans="2:5" ht="15" customHeight="1" x14ac:dyDescent="0.3">
      <c r="B1179" s="44" t="str">
        <f>IF(OR(LINEAS!$D$93="",LINEAS!$U$93=0,ABS(IF(OR(LINEAS!$U$93=1,LINEAS!$U$93=3),1,-1)*LINEAS!$AG$93*DATOS!$C$67)&lt;0.00005),"*",LINEAS!$D$93&amp;" UNI "&amp;IF(LINEAS!$U$93&lt;=2,"GZ","GX")&amp;" "&amp;TEXT(IF(OR(LINEAS!$U$93=1,LINEAS!$U$93=3),1,-1)*LINEAS!$AG$93*DATOS!$C$67,DATOS!$C$68))</f>
        <v>60 UNI GX 0.0021</v>
      </c>
      <c r="C1179" s="42" t="str">
        <f t="shared" si="36"/>
        <v/>
      </c>
      <c r="D1179" s="44" t="str">
        <f>IF(PRESIONES!$C$22="NO","",IF(OR(LINEAS!$D$93="",LINEAS!$U$93=0,ABS(IF(OR(LINEAS!$U$93=1,LINEAS!$U$93=3),1,-1)*LINEAS!$AG$93*DATOS!$C$67)&lt;0.00005),"*",LINEAS!$D$93&amp;" UNI "&amp;IF(LINEAS!$U$93&lt;=2,"GZ","GX")&amp;" "&amp;TEXT(IF(OR(LINEAS!$U$93=1,LINEAS!$U$93=3),1,-1)*LINEAS!$AG$93*DATOS!$C$67,DATOS!$C$68)))</f>
        <v/>
      </c>
      <c r="E1179" s="42" t="str">
        <f t="shared" si="37"/>
        <v/>
      </c>
    </row>
    <row r="1180" spans="2:5" ht="15" customHeight="1" x14ac:dyDescent="0.3">
      <c r="B1180" s="44" t="str">
        <f>IF(OR(LINEAS!$D$94="",LINEAS!$U$94=0,ABS(IF(OR(LINEAS!$U$94=1,LINEAS!$U$94=3),1,-1)*LINEAS!$AG$94*DATOS!$C$67)&lt;0.00005),"*",LINEAS!$D$94&amp;" UNI "&amp;IF(LINEAS!$U$94&lt;=2,"GZ","GX")&amp;" "&amp;TEXT(IF(OR(LINEAS!$U$94=1,LINEAS!$U$94=3),1,-1)*LINEAS!$AG$94*DATOS!$C$67,DATOS!$C$68))</f>
        <v>59 UNI GX 0.0019</v>
      </c>
      <c r="C1180" s="42" t="str">
        <f t="shared" si="36"/>
        <v/>
      </c>
      <c r="D1180" s="44" t="str">
        <f>IF(PRESIONES!$C$22="NO","",IF(OR(LINEAS!$D$94="",LINEAS!$U$94=0,ABS(IF(OR(LINEAS!$U$94=1,LINEAS!$U$94=3),1,-1)*LINEAS!$AG$94*DATOS!$C$67)&lt;0.00005),"*",LINEAS!$D$94&amp;" UNI "&amp;IF(LINEAS!$U$94&lt;=2,"GZ","GX")&amp;" "&amp;TEXT(IF(OR(LINEAS!$U$94=1,LINEAS!$U$94=3),1,-1)*LINEAS!$AG$94*DATOS!$C$67,DATOS!$C$68)))</f>
        <v/>
      </c>
      <c r="E1180" s="42" t="str">
        <f t="shared" si="37"/>
        <v/>
      </c>
    </row>
    <row r="1181" spans="2:5" ht="15" customHeight="1" x14ac:dyDescent="0.3">
      <c r="B1181" s="44" t="str">
        <f>IF(OR(LINEAS!$D$95="",LINEAS!$U$95=0,ABS(IF(OR(LINEAS!$U$95=1,LINEAS!$U$95=3),1,-1)*LINEAS!$AG$95*DATOS!$C$67)&lt;0.00005),"*",LINEAS!$D$95&amp;" UNI "&amp;IF(LINEAS!$U$95&lt;=2,"GZ","GX")&amp;" "&amp;TEXT(IF(OR(LINEAS!$U$95=1,LINEAS!$U$95=3),1,-1)*LINEAS!$AG$95*DATOS!$C$67,DATOS!$C$68))</f>
        <v>58 UNI GX 0.0018</v>
      </c>
      <c r="C1181" s="42" t="str">
        <f t="shared" si="36"/>
        <v/>
      </c>
      <c r="D1181" s="44" t="str">
        <f>IF(PRESIONES!$C$22="NO","",IF(OR(LINEAS!$D$95="",LINEAS!$U$95=0,ABS(IF(OR(LINEAS!$U$95=1,LINEAS!$U$95=3),1,-1)*LINEAS!$AG$95*DATOS!$C$67)&lt;0.00005),"*",LINEAS!$D$95&amp;" UNI "&amp;IF(LINEAS!$U$95&lt;=2,"GZ","GX")&amp;" "&amp;TEXT(IF(OR(LINEAS!$U$95=1,LINEAS!$U$95=3),1,-1)*LINEAS!$AG$95*DATOS!$C$67,DATOS!$C$68)))</f>
        <v/>
      </c>
      <c r="E1181" s="42" t="str">
        <f t="shared" si="37"/>
        <v/>
      </c>
    </row>
    <row r="1182" spans="2:5" ht="15" customHeight="1" x14ac:dyDescent="0.3">
      <c r="B1182" s="44" t="str">
        <f>IF(OR(LINEAS!$D$96="",LINEAS!$U$96=0,ABS(IF(OR(LINEAS!$U$96=1,LINEAS!$U$96=3),1,-1)*LINEAS!$AG$96*DATOS!$C$67)&lt;0.00005),"*",LINEAS!$D$96&amp;" UNI "&amp;IF(LINEAS!$U$96&lt;=2,"GZ","GX")&amp;" "&amp;TEXT(IF(OR(LINEAS!$U$96=1,LINEAS!$U$96=3),1,-1)*LINEAS!$AG$96*DATOS!$C$67,DATOS!$C$68))</f>
        <v>57 UNI GX 0.0016</v>
      </c>
      <c r="C1182" s="42" t="str">
        <f t="shared" si="36"/>
        <v/>
      </c>
      <c r="D1182" s="44" t="str">
        <f>IF(PRESIONES!$C$22="NO","",IF(OR(LINEAS!$D$96="",LINEAS!$U$96=0,ABS(IF(OR(LINEAS!$U$96=1,LINEAS!$U$96=3),1,-1)*LINEAS!$AG$96*DATOS!$C$67)&lt;0.00005),"*",LINEAS!$D$96&amp;" UNI "&amp;IF(LINEAS!$U$96&lt;=2,"GZ","GX")&amp;" "&amp;TEXT(IF(OR(LINEAS!$U$96=1,LINEAS!$U$96=3),1,-1)*LINEAS!$AG$96*DATOS!$C$67,DATOS!$C$68)))</f>
        <v/>
      </c>
      <c r="E1182" s="42" t="str">
        <f t="shared" si="37"/>
        <v/>
      </c>
    </row>
    <row r="1183" spans="2:5" ht="15" customHeight="1" x14ac:dyDescent="0.3">
      <c r="B1183" s="44" t="str">
        <f>IF(OR(LINEAS!$D$97="",LINEAS!$U$97=0,ABS(IF(OR(LINEAS!$U$97=1,LINEAS!$U$97=3),1,-1)*LINEAS!$AG$97*DATOS!$C$67)&lt;0.00005),"*",LINEAS!$D$97&amp;" UNI "&amp;IF(LINEAS!$U$97&lt;=2,"GZ","GX")&amp;" "&amp;TEXT(IF(OR(LINEAS!$U$97=1,LINEAS!$U$97=3),1,-1)*LINEAS!$AG$97*DATOS!$C$67,DATOS!$C$68))</f>
        <v>10 UNI GX 0.0015</v>
      </c>
      <c r="C1183" s="42" t="str">
        <f t="shared" si="36"/>
        <v/>
      </c>
      <c r="D1183" s="44" t="str">
        <f>IF(PRESIONES!$C$22="NO","",IF(OR(LINEAS!$D$97="",LINEAS!$U$97=0,ABS(IF(OR(LINEAS!$U$97=1,LINEAS!$U$97=3),1,-1)*LINEAS!$AG$97*DATOS!$C$67)&lt;0.00005),"*",LINEAS!$D$97&amp;" UNI "&amp;IF(LINEAS!$U$97&lt;=2,"GZ","GX")&amp;" "&amp;TEXT(IF(OR(LINEAS!$U$97=1,LINEAS!$U$97=3),1,-1)*LINEAS!$AG$97*DATOS!$C$67,DATOS!$C$68)))</f>
        <v/>
      </c>
      <c r="E1183" s="42" t="str">
        <f t="shared" si="37"/>
        <v/>
      </c>
    </row>
    <row r="1184" spans="2:5" ht="15" customHeight="1" x14ac:dyDescent="0.3">
      <c r="B1184" s="44" t="str">
        <f>IF(OR(LINEAS!$D$98="",LINEAS!$U$98=0,ABS(IF(OR(LINEAS!$U$98=1,LINEAS!$U$98=3),1,-1)*LINEAS!$AG$98*DATOS!$C$67)&lt;0.00005),"*",LINEAS!$D$98&amp;" UNI "&amp;IF(LINEAS!$U$98&lt;=2,"GZ","GX")&amp;" "&amp;TEXT(IF(OR(LINEAS!$U$98=1,LINEAS!$U$98=3),1,-1)*LINEAS!$AG$98*DATOS!$C$67,DATOS!$C$68))</f>
        <v>68 UNI GX 0.0013</v>
      </c>
      <c r="C1184" s="42" t="str">
        <f t="shared" si="36"/>
        <v/>
      </c>
      <c r="D1184" s="44" t="str">
        <f>IF(PRESIONES!$C$22="NO","",IF(OR(LINEAS!$D$98="",LINEAS!$U$98=0,ABS(IF(OR(LINEAS!$U$98=1,LINEAS!$U$98=3),1,-1)*LINEAS!$AG$98*DATOS!$C$67)&lt;0.00005),"*",LINEAS!$D$98&amp;" UNI "&amp;IF(LINEAS!$U$98&lt;=2,"GZ","GX")&amp;" "&amp;TEXT(IF(OR(LINEAS!$U$98=1,LINEAS!$U$98=3),1,-1)*LINEAS!$AG$98*DATOS!$C$67,DATOS!$C$68)))</f>
        <v/>
      </c>
      <c r="E1184" s="42" t="str">
        <f t="shared" si="37"/>
        <v/>
      </c>
    </row>
    <row r="1185" spans="2:5" ht="15" customHeight="1" x14ac:dyDescent="0.3">
      <c r="B1185" s="44" t="str">
        <f>IF(OR(LINEAS!$D$99="",LINEAS!$U$99=0,ABS(IF(OR(LINEAS!$U$99=1,LINEAS!$U$99=3),1,-1)*LINEAS!$AG$99*DATOS!$C$67)&lt;0.00005),"*",LINEAS!$D$99&amp;" UNI "&amp;IF(LINEAS!$U$99&lt;=2,"GZ","GX")&amp;" "&amp;TEXT(IF(OR(LINEAS!$U$99=1,LINEAS!$U$99=3),1,-1)*LINEAS!$AG$99*DATOS!$C$67,DATOS!$C$68))</f>
        <v>67 UNI GX 0.0012</v>
      </c>
      <c r="C1185" s="42" t="str">
        <f t="shared" si="36"/>
        <v/>
      </c>
      <c r="D1185" s="44" t="str">
        <f>IF(PRESIONES!$C$22="NO","",IF(OR(LINEAS!$D$99="",LINEAS!$U$99=0,ABS(IF(OR(LINEAS!$U$99=1,LINEAS!$U$99=3),1,-1)*LINEAS!$AG$99*DATOS!$C$67)&lt;0.00005),"*",LINEAS!$D$99&amp;" UNI "&amp;IF(LINEAS!$U$99&lt;=2,"GZ","GX")&amp;" "&amp;TEXT(IF(OR(LINEAS!$U$99=1,LINEAS!$U$99=3),1,-1)*LINEAS!$AG$99*DATOS!$C$67,DATOS!$C$68)))</f>
        <v/>
      </c>
      <c r="E1185" s="42" t="str">
        <f t="shared" si="37"/>
        <v/>
      </c>
    </row>
    <row r="1186" spans="2:5" ht="15" customHeight="1" x14ac:dyDescent="0.3">
      <c r="B1186" s="44" t="str">
        <f>IF(OR(LINEAS!$D$100="",LINEAS!$U$100=0,ABS(IF(OR(LINEAS!$U$100=1,LINEAS!$U$100=3),1,-1)*LINEAS!$AG$100*DATOS!$C$67)&lt;0.00005),"*",LINEAS!$D$100&amp;" UNI "&amp;IF(LINEAS!$U$100&lt;=2,"GZ","GX")&amp;" "&amp;TEXT(IF(OR(LINEAS!$U$100=1,LINEAS!$U$100=3),1,-1)*LINEAS!$AG$100*DATOS!$C$67,DATOS!$C$68))</f>
        <v>66 UNI GX 0.0011</v>
      </c>
      <c r="C1186" s="42" t="str">
        <f t="shared" si="36"/>
        <v/>
      </c>
      <c r="D1186" s="44" t="str">
        <f>IF(PRESIONES!$C$22="NO","",IF(OR(LINEAS!$D$100="",LINEAS!$U$100=0,ABS(IF(OR(LINEAS!$U$100=1,LINEAS!$U$100=3),1,-1)*LINEAS!$AG$100*DATOS!$C$67)&lt;0.00005),"*",LINEAS!$D$100&amp;" UNI "&amp;IF(LINEAS!$U$100&lt;=2,"GZ","GX")&amp;" "&amp;TEXT(IF(OR(LINEAS!$U$100=1,LINEAS!$U$100=3),1,-1)*LINEAS!$AG$100*DATOS!$C$67,DATOS!$C$68)))</f>
        <v/>
      </c>
      <c r="E1186" s="42" t="str">
        <f t="shared" si="37"/>
        <v/>
      </c>
    </row>
    <row r="1187" spans="2:5" ht="15" customHeight="1" x14ac:dyDescent="0.3">
      <c r="B1187" s="44" t="str">
        <f>IF(OR(LINEAS!$D$101="",LINEAS!$U$101=0,ABS(IF(OR(LINEAS!$U$101=1,LINEAS!$U$101=3),1,-1)*LINEAS!$AG$101*DATOS!$C$67)&lt;0.00005),"*",LINEAS!$D$101&amp;" UNI "&amp;IF(LINEAS!$U$101&lt;=2,"GZ","GX")&amp;" "&amp;TEXT(IF(OR(LINEAS!$U$101=1,LINEAS!$U$101=3),1,-1)*LINEAS!$AG$101*DATOS!$C$67,DATOS!$C$68))</f>
        <v>65 UNI GX 0.0009</v>
      </c>
      <c r="C1187" s="42" t="str">
        <f t="shared" si="36"/>
        <v/>
      </c>
      <c r="D1187" s="44" t="str">
        <f>IF(PRESIONES!$C$22="NO","",IF(OR(LINEAS!$D$101="",LINEAS!$U$101=0,ABS(IF(OR(LINEAS!$U$101=1,LINEAS!$U$101=3),1,-1)*LINEAS!$AG$101*DATOS!$C$67)&lt;0.00005),"*",LINEAS!$D$101&amp;" UNI "&amp;IF(LINEAS!$U$101&lt;=2,"GZ","GX")&amp;" "&amp;TEXT(IF(OR(LINEAS!$U$101=1,LINEAS!$U$101=3),1,-1)*LINEAS!$AG$101*DATOS!$C$67,DATOS!$C$68)))</f>
        <v/>
      </c>
      <c r="E1187" s="42" t="str">
        <f t="shared" si="37"/>
        <v/>
      </c>
    </row>
    <row r="1188" spans="2:5" ht="15" customHeight="1" x14ac:dyDescent="0.3">
      <c r="B1188" s="44" t="str">
        <f>IF(OR(LINEAS!$D$102="",LINEAS!$U$102=0,ABS(IF(OR(LINEAS!$U$102=1,LINEAS!$U$102=3),1,-1)*LINEAS!$AG$102*DATOS!$C$67)&lt;0.00005),"*",LINEAS!$D$102&amp;" UNI "&amp;IF(LINEAS!$U$102&lt;=2,"GZ","GX")&amp;" "&amp;TEXT(IF(OR(LINEAS!$U$102=1,LINEAS!$U$102=3),1,-1)*LINEAS!$AG$102*DATOS!$C$67,DATOS!$C$68))</f>
        <v>43 UNI GX 0.0008</v>
      </c>
      <c r="C1188" s="42" t="str">
        <f t="shared" si="36"/>
        <v/>
      </c>
      <c r="D1188" s="44" t="str">
        <f>IF(PRESIONES!$C$22="NO","",IF(OR(LINEAS!$D$102="",LINEAS!$U$102=0,ABS(IF(OR(LINEAS!$U$102=1,LINEAS!$U$102=3),1,-1)*LINEAS!$AG$102*DATOS!$C$67)&lt;0.00005),"*",LINEAS!$D$102&amp;" UNI "&amp;IF(LINEAS!$U$102&lt;=2,"GZ","GX")&amp;" "&amp;TEXT(IF(OR(LINEAS!$U$102=1,LINEAS!$U$102=3),1,-1)*LINEAS!$AG$102*DATOS!$C$67,DATOS!$C$68)))</f>
        <v/>
      </c>
      <c r="E1188" s="42" t="str">
        <f t="shared" si="37"/>
        <v/>
      </c>
    </row>
    <row r="1189" spans="2:5" ht="15" customHeight="1" x14ac:dyDescent="0.3">
      <c r="B1189" s="44" t="str">
        <f>IF(OR(LINEAS!$D$103="",LINEAS!$U$103=0,ABS(IF(OR(LINEAS!$U$103=1,LINEAS!$U$103=3),1,-1)*LINEAS!$AG$103*DATOS!$C$67)&lt;0.00005),"*",LINEAS!$D$103&amp;" UNI "&amp;IF(LINEAS!$U$103&lt;=2,"GZ","GX")&amp;" "&amp;TEXT(IF(OR(LINEAS!$U$103=1,LINEAS!$U$103=3),1,-1)*LINEAS!$AG$103*DATOS!$C$67,DATOS!$C$68))</f>
        <v>47 UNI GX 0.0007</v>
      </c>
      <c r="C1189" s="42" t="str">
        <f t="shared" si="36"/>
        <v/>
      </c>
      <c r="D1189" s="44" t="str">
        <f>IF(PRESIONES!$C$22="NO","",IF(OR(LINEAS!$D$103="",LINEAS!$U$103=0,ABS(IF(OR(LINEAS!$U$103=1,LINEAS!$U$103=3),1,-1)*LINEAS!$AG$103*DATOS!$C$67)&lt;0.00005),"*",LINEAS!$D$103&amp;" UNI "&amp;IF(LINEAS!$U$103&lt;=2,"GZ","GX")&amp;" "&amp;TEXT(IF(OR(LINEAS!$U$103=1,LINEAS!$U$103=3),1,-1)*LINEAS!$AG$103*DATOS!$C$67,DATOS!$C$68)))</f>
        <v/>
      </c>
      <c r="E1189" s="42" t="str">
        <f t="shared" si="37"/>
        <v/>
      </c>
    </row>
    <row r="1190" spans="2:5" ht="15" customHeight="1" x14ac:dyDescent="0.3">
      <c r="B1190" s="44" t="str">
        <f>IF(OR(LINEAS!$D$104="",LINEAS!$U$104=0,ABS(IF(OR(LINEAS!$U$104=1,LINEAS!$U$104=3),1,-1)*LINEAS!$AG$104*DATOS!$C$67)&lt;0.00005),"*",LINEAS!$D$104&amp;" UNI "&amp;IF(LINEAS!$U$104&lt;=2,"GZ","GX")&amp;" "&amp;TEXT(IF(OR(LINEAS!$U$104=1,LINEAS!$U$104=3),1,-1)*LINEAS!$AG$104*DATOS!$C$67,DATOS!$C$68))</f>
        <v>54 UNI GX 0.0005</v>
      </c>
      <c r="C1190" s="42" t="str">
        <f t="shared" si="36"/>
        <v/>
      </c>
      <c r="D1190" s="44" t="str">
        <f>IF(PRESIONES!$C$22="NO","",IF(OR(LINEAS!$D$104="",LINEAS!$U$104=0,ABS(IF(OR(LINEAS!$U$104=1,LINEAS!$U$104=3),1,-1)*LINEAS!$AG$104*DATOS!$C$67)&lt;0.00005),"*",LINEAS!$D$104&amp;" UNI "&amp;IF(LINEAS!$U$104&lt;=2,"GZ","GX")&amp;" "&amp;TEXT(IF(OR(LINEAS!$U$104=1,LINEAS!$U$104=3),1,-1)*LINEAS!$AG$104*DATOS!$C$67,DATOS!$C$68)))</f>
        <v/>
      </c>
      <c r="E1190" s="42" t="str">
        <f t="shared" si="37"/>
        <v/>
      </c>
    </row>
    <row r="1191" spans="2:5" ht="15" customHeight="1" x14ac:dyDescent="0.3">
      <c r="B1191" s="44" t="str">
        <f>IF(OR(LINEAS!$D$105="",LINEAS!$U$105=0,ABS(IF(OR(LINEAS!$U$105=1,LINEAS!$U$105=3),1,-1)*LINEAS!$AG$105*DATOS!$C$67)&lt;0.00005),"*",LINEAS!$D$105&amp;" UNI "&amp;IF(LINEAS!$U$105&lt;=2,"GZ","GX")&amp;" "&amp;TEXT(IF(OR(LINEAS!$U$105=1,LINEAS!$U$105=3),1,-1)*LINEAS!$AG$105*DATOS!$C$67,DATOS!$C$68))</f>
        <v>64 UNI GX -0.3130</v>
      </c>
      <c r="C1191" s="42" t="str">
        <f t="shared" si="36"/>
        <v/>
      </c>
      <c r="D1191" s="44" t="str">
        <f>IF(PRESIONES!$C$22="NO","",IF(OR(LINEAS!$D$105="",LINEAS!$U$105=0,ABS(IF(OR(LINEAS!$U$105=1,LINEAS!$U$105=3),1,-1)*LINEAS!$AG$105*DATOS!$C$67)&lt;0.00005),"*",LINEAS!$D$105&amp;" UNI "&amp;IF(LINEAS!$U$105&lt;=2,"GZ","GX")&amp;" "&amp;TEXT(IF(OR(LINEAS!$U$105=1,LINEAS!$U$105=3),1,-1)*LINEAS!$AG$105*DATOS!$C$67,DATOS!$C$68)))</f>
        <v/>
      </c>
      <c r="E1191" s="42" t="str">
        <f t="shared" si="37"/>
        <v/>
      </c>
    </row>
    <row r="1192" spans="2:5" ht="15" customHeight="1" x14ac:dyDescent="0.3">
      <c r="B1192" s="44" t="str">
        <f>IF(OR(LINEAS!$D$106="",LINEAS!$U$106=0,ABS(IF(OR(LINEAS!$U$106=1,LINEAS!$U$106=3),1,-1)*LINEAS!$AG$106*DATOS!$C$67)&lt;0.00005),"*",LINEAS!$D$106&amp;" UNI "&amp;IF(LINEAS!$U$106&lt;=2,"GZ","GX")&amp;" "&amp;TEXT(IF(OR(LINEAS!$U$106=1,LINEAS!$U$106=3),1,-1)*LINEAS!$AG$106*DATOS!$C$67,DATOS!$C$68))</f>
        <v>63 UNI GX -0.2913</v>
      </c>
      <c r="C1192" s="42" t="str">
        <f t="shared" si="36"/>
        <v/>
      </c>
      <c r="D1192" s="44" t="str">
        <f>IF(PRESIONES!$C$22="NO","",IF(OR(LINEAS!$D$106="",LINEAS!$U$106=0,ABS(IF(OR(LINEAS!$U$106=1,LINEAS!$U$106=3),1,-1)*LINEAS!$AG$106*DATOS!$C$67)&lt;0.00005),"*",LINEAS!$D$106&amp;" UNI "&amp;IF(LINEAS!$U$106&lt;=2,"GZ","GX")&amp;" "&amp;TEXT(IF(OR(LINEAS!$U$106=1,LINEAS!$U$106=3),1,-1)*LINEAS!$AG$106*DATOS!$C$67,DATOS!$C$68)))</f>
        <v/>
      </c>
      <c r="E1192" s="42" t="str">
        <f t="shared" si="37"/>
        <v/>
      </c>
    </row>
    <row r="1193" spans="2:5" ht="15" customHeight="1" x14ac:dyDescent="0.3">
      <c r="B1193" s="44" t="str">
        <f>IF(OR(LINEAS!$D$107="",LINEAS!$U$107=0,ABS(IF(OR(LINEAS!$U$107=1,LINEAS!$U$107=3),1,-1)*LINEAS!$AG$107*DATOS!$C$67)&lt;0.00005),"*",LINEAS!$D$107&amp;" UNI "&amp;IF(LINEAS!$U$107&lt;=2,"GZ","GX")&amp;" "&amp;TEXT(IF(OR(LINEAS!$U$107=1,LINEAS!$U$107=3),1,-1)*LINEAS!$AG$107*DATOS!$C$67,DATOS!$C$68))</f>
        <v>62 UNI GX -0.2696</v>
      </c>
      <c r="C1193" s="42" t="str">
        <f t="shared" si="36"/>
        <v/>
      </c>
      <c r="D1193" s="44" t="str">
        <f>IF(PRESIONES!$C$22="NO","",IF(OR(LINEAS!$D$107="",LINEAS!$U$107=0,ABS(IF(OR(LINEAS!$U$107=1,LINEAS!$U$107=3),1,-1)*LINEAS!$AG$107*DATOS!$C$67)&lt;0.00005),"*",LINEAS!$D$107&amp;" UNI "&amp;IF(LINEAS!$U$107&lt;=2,"GZ","GX")&amp;" "&amp;TEXT(IF(OR(LINEAS!$U$107=1,LINEAS!$U$107=3),1,-1)*LINEAS!$AG$107*DATOS!$C$67,DATOS!$C$68)))</f>
        <v/>
      </c>
      <c r="E1193" s="42" t="str">
        <f t="shared" si="37"/>
        <v/>
      </c>
    </row>
    <row r="1194" spans="2:5" ht="15" customHeight="1" x14ac:dyDescent="0.3">
      <c r="B1194" s="44" t="str">
        <f>IF(OR(LINEAS!$D$108="",LINEAS!$U$108=0,ABS(IF(OR(LINEAS!$U$108=1,LINEAS!$U$108=3),1,-1)*LINEAS!$AG$108*DATOS!$C$67)&lt;0.00005),"*",LINEAS!$D$108&amp;" UNI "&amp;IF(LINEAS!$U$108&lt;=2,"GZ","GX")&amp;" "&amp;TEXT(IF(OR(LINEAS!$U$108=1,LINEAS!$U$108=3),1,-1)*LINEAS!$AG$108*DATOS!$C$67,DATOS!$C$68))</f>
        <v>61 UNI GX -0.2479</v>
      </c>
      <c r="C1194" s="42" t="str">
        <f t="shared" si="36"/>
        <v/>
      </c>
      <c r="D1194" s="44" t="str">
        <f>IF(PRESIONES!$C$22="NO","",IF(OR(LINEAS!$D$108="",LINEAS!$U$108=0,ABS(IF(OR(LINEAS!$U$108=1,LINEAS!$U$108=3),1,-1)*LINEAS!$AG$108*DATOS!$C$67)&lt;0.00005),"*",LINEAS!$D$108&amp;" UNI "&amp;IF(LINEAS!$U$108&lt;=2,"GZ","GX")&amp;" "&amp;TEXT(IF(OR(LINEAS!$U$108=1,LINEAS!$U$108=3),1,-1)*LINEAS!$AG$108*DATOS!$C$67,DATOS!$C$68)))</f>
        <v/>
      </c>
      <c r="E1194" s="42" t="str">
        <f t="shared" si="37"/>
        <v/>
      </c>
    </row>
    <row r="1195" spans="2:5" ht="15" customHeight="1" x14ac:dyDescent="0.3">
      <c r="B1195" s="44" t="str">
        <f>IF(OR(LINEAS!$D$109="",LINEAS!$U$109=0,ABS(IF(OR(LINEAS!$U$109=1,LINEAS!$U$109=3),1,-1)*LINEAS!$AG$109*DATOS!$C$67)&lt;0.00005),"*",LINEAS!$D$109&amp;" UNI "&amp;IF(LINEAS!$U$109&lt;=2,"GZ","GX")&amp;" "&amp;TEXT(IF(OR(LINEAS!$U$109=1,LINEAS!$U$109=3),1,-1)*LINEAS!$AG$109*DATOS!$C$67,DATOS!$C$68))</f>
        <v>12 UNI GX -0.2263</v>
      </c>
      <c r="C1195" s="42" t="str">
        <f t="shared" si="36"/>
        <v/>
      </c>
      <c r="D1195" s="44" t="str">
        <f>IF(PRESIONES!$C$22="NO","",IF(OR(LINEAS!$D$109="",LINEAS!$U$109=0,ABS(IF(OR(LINEAS!$U$109=1,LINEAS!$U$109=3),1,-1)*LINEAS!$AG$109*DATOS!$C$67)&lt;0.00005),"*",LINEAS!$D$109&amp;" UNI "&amp;IF(LINEAS!$U$109&lt;=2,"GZ","GX")&amp;" "&amp;TEXT(IF(OR(LINEAS!$U$109=1,LINEAS!$U$109=3),1,-1)*LINEAS!$AG$109*DATOS!$C$67,DATOS!$C$68)))</f>
        <v/>
      </c>
      <c r="E1195" s="42" t="str">
        <f t="shared" si="37"/>
        <v/>
      </c>
    </row>
    <row r="1196" spans="2:5" ht="15" customHeight="1" x14ac:dyDescent="0.3">
      <c r="B1196" s="44" t="str">
        <f>IF(OR(LINEAS!$D$110="",LINEAS!$U$110=0,ABS(IF(OR(LINEAS!$U$110=1,LINEAS!$U$110=3),1,-1)*LINEAS!$AG$110*DATOS!$C$67)&lt;0.00005),"*",LINEAS!$D$110&amp;" UNI "&amp;IF(LINEAS!$U$110&lt;=2,"GZ","GX")&amp;" "&amp;TEXT(IF(OR(LINEAS!$U$110=1,LINEAS!$U$110=3),1,-1)*LINEAS!$AG$110*DATOS!$C$67,DATOS!$C$68))</f>
        <v>72 UNI GX -0.2047</v>
      </c>
      <c r="C1196" s="42" t="str">
        <f t="shared" si="36"/>
        <v/>
      </c>
      <c r="D1196" s="44" t="str">
        <f>IF(PRESIONES!$C$22="NO","",IF(OR(LINEAS!$D$110="",LINEAS!$U$110=0,ABS(IF(OR(LINEAS!$U$110=1,LINEAS!$U$110=3),1,-1)*LINEAS!$AG$110*DATOS!$C$67)&lt;0.00005),"*",LINEAS!$D$110&amp;" UNI "&amp;IF(LINEAS!$U$110&lt;=2,"GZ","GX")&amp;" "&amp;TEXT(IF(OR(LINEAS!$U$110=1,LINEAS!$U$110=3),1,-1)*LINEAS!$AG$110*DATOS!$C$67,DATOS!$C$68)))</f>
        <v/>
      </c>
      <c r="E1196" s="42" t="str">
        <f t="shared" si="37"/>
        <v/>
      </c>
    </row>
    <row r="1197" spans="2:5" ht="15" customHeight="1" x14ac:dyDescent="0.3">
      <c r="B1197" s="44" t="str">
        <f>IF(OR(LINEAS!$D$111="",LINEAS!$U$111=0,ABS(IF(OR(LINEAS!$U$111=1,LINEAS!$U$111=3),1,-1)*LINEAS!$AG$111*DATOS!$C$67)&lt;0.00005),"*",LINEAS!$D$111&amp;" UNI "&amp;IF(LINEAS!$U$111&lt;=2,"GZ","GX")&amp;" "&amp;TEXT(IF(OR(LINEAS!$U$111=1,LINEAS!$U$111=3),1,-1)*LINEAS!$AG$111*DATOS!$C$67,DATOS!$C$68))</f>
        <v>71 UNI GX -0.1832</v>
      </c>
      <c r="C1197" s="42" t="str">
        <f t="shared" si="36"/>
        <v/>
      </c>
      <c r="D1197" s="44" t="str">
        <f>IF(PRESIONES!$C$22="NO","",IF(OR(LINEAS!$D$111="",LINEAS!$U$111=0,ABS(IF(OR(LINEAS!$U$111=1,LINEAS!$U$111=3),1,-1)*LINEAS!$AG$111*DATOS!$C$67)&lt;0.00005),"*",LINEAS!$D$111&amp;" UNI "&amp;IF(LINEAS!$U$111&lt;=2,"GZ","GX")&amp;" "&amp;TEXT(IF(OR(LINEAS!$U$111=1,LINEAS!$U$111=3),1,-1)*LINEAS!$AG$111*DATOS!$C$67,DATOS!$C$68)))</f>
        <v/>
      </c>
      <c r="E1197" s="42" t="str">
        <f t="shared" si="37"/>
        <v/>
      </c>
    </row>
    <row r="1198" spans="2:5" ht="15" customHeight="1" x14ac:dyDescent="0.3">
      <c r="B1198" s="44" t="str">
        <f>IF(OR(LINEAS!$D$112="",LINEAS!$U$112=0,ABS(IF(OR(LINEAS!$U$112=1,LINEAS!$U$112=3),1,-1)*LINEAS!$AG$112*DATOS!$C$67)&lt;0.00005),"*",LINEAS!$D$112&amp;" UNI "&amp;IF(LINEAS!$U$112&lt;=2,"GZ","GX")&amp;" "&amp;TEXT(IF(OR(LINEAS!$U$112=1,LINEAS!$U$112=3),1,-1)*LINEAS!$AG$112*DATOS!$C$67,DATOS!$C$68))</f>
        <v>70 UNI GX -0.1618</v>
      </c>
      <c r="C1198" s="42" t="str">
        <f t="shared" si="36"/>
        <v/>
      </c>
      <c r="D1198" s="44" t="str">
        <f>IF(PRESIONES!$C$22="NO","",IF(OR(LINEAS!$D$112="",LINEAS!$U$112=0,ABS(IF(OR(LINEAS!$U$112=1,LINEAS!$U$112=3),1,-1)*LINEAS!$AG$112*DATOS!$C$67)&lt;0.00005),"*",LINEAS!$D$112&amp;" UNI "&amp;IF(LINEAS!$U$112&lt;=2,"GZ","GX")&amp;" "&amp;TEXT(IF(OR(LINEAS!$U$112=1,LINEAS!$U$112=3),1,-1)*LINEAS!$AG$112*DATOS!$C$67,DATOS!$C$68)))</f>
        <v/>
      </c>
      <c r="E1198" s="42" t="str">
        <f t="shared" si="37"/>
        <v/>
      </c>
    </row>
    <row r="1199" spans="2:5" ht="15" customHeight="1" x14ac:dyDescent="0.3">
      <c r="B1199" s="44" t="str">
        <f>IF(OR(LINEAS!$D$113="",LINEAS!$U$113=0,ABS(IF(OR(LINEAS!$U$113=1,LINEAS!$U$113=3),1,-1)*LINEAS!$AG$113*DATOS!$C$67)&lt;0.00005),"*",LINEAS!$D$113&amp;" UNI "&amp;IF(LINEAS!$U$113&lt;=2,"GZ","GX")&amp;" "&amp;TEXT(IF(OR(LINEAS!$U$113=1,LINEAS!$U$113=3),1,-1)*LINEAS!$AG$113*DATOS!$C$67,DATOS!$C$68))</f>
        <v>69 UNI GX -0.1403</v>
      </c>
      <c r="C1199" s="42" t="str">
        <f t="shared" si="36"/>
        <v/>
      </c>
      <c r="D1199" s="44" t="str">
        <f>IF(PRESIONES!$C$22="NO","",IF(OR(LINEAS!$D$113="",LINEAS!$U$113=0,ABS(IF(OR(LINEAS!$U$113=1,LINEAS!$U$113=3),1,-1)*LINEAS!$AG$113*DATOS!$C$67)&lt;0.00005),"*",LINEAS!$D$113&amp;" UNI "&amp;IF(LINEAS!$U$113&lt;=2,"GZ","GX")&amp;" "&amp;TEXT(IF(OR(LINEAS!$U$113=1,LINEAS!$U$113=3),1,-1)*LINEAS!$AG$113*DATOS!$C$67,DATOS!$C$68)))</f>
        <v/>
      </c>
      <c r="E1199" s="42" t="str">
        <f t="shared" si="37"/>
        <v/>
      </c>
    </row>
    <row r="1200" spans="2:5" ht="15" customHeight="1" x14ac:dyDescent="0.3">
      <c r="B1200" s="44" t="str">
        <f>IF(OR(LINEAS!$D$114="",LINEAS!$U$114=0,ABS(IF(OR(LINEAS!$U$114=1,LINEAS!$U$114=3),1,-1)*LINEAS!$AG$114*DATOS!$C$67)&lt;0.00005),"*",LINEAS!$D$114&amp;" UNI "&amp;IF(LINEAS!$U$114&lt;=2,"GZ","GX")&amp;" "&amp;TEXT(IF(OR(LINEAS!$U$114=1,LINEAS!$U$114=3),1,-1)*LINEAS!$AG$114*DATOS!$C$67,DATOS!$C$68))</f>
        <v>50 UNI GX -0.1190</v>
      </c>
      <c r="C1200" s="42" t="str">
        <f t="shared" si="36"/>
        <v/>
      </c>
      <c r="D1200" s="44" t="str">
        <f>IF(PRESIONES!$C$22="NO","",IF(OR(LINEAS!$D$114="",LINEAS!$U$114=0,ABS(IF(OR(LINEAS!$U$114=1,LINEAS!$U$114=3),1,-1)*LINEAS!$AG$114*DATOS!$C$67)&lt;0.00005),"*",LINEAS!$D$114&amp;" UNI "&amp;IF(LINEAS!$U$114&lt;=2,"GZ","GX")&amp;" "&amp;TEXT(IF(OR(LINEAS!$U$114=1,LINEAS!$U$114=3),1,-1)*LINEAS!$AG$114*DATOS!$C$67,DATOS!$C$68)))</f>
        <v/>
      </c>
      <c r="E1200" s="42" t="str">
        <f t="shared" si="37"/>
        <v/>
      </c>
    </row>
    <row r="1201" spans="2:5" ht="15" customHeight="1" x14ac:dyDescent="0.3">
      <c r="B1201" s="44" t="str">
        <f>IF(OR(LINEAS!$D$115="",LINEAS!$U$115=0,ABS(IF(OR(LINEAS!$U$115=1,LINEAS!$U$115=3),1,-1)*LINEAS!$AG$115*DATOS!$C$67)&lt;0.00005),"*",LINEAS!$D$115&amp;" UNI "&amp;IF(LINEAS!$U$115&lt;=2,"GZ","GX")&amp;" "&amp;TEXT(IF(OR(LINEAS!$U$115=1,LINEAS!$U$115=3),1,-1)*LINEAS!$AG$115*DATOS!$C$67,DATOS!$C$68))</f>
        <v>53 UNI GX -0.0985</v>
      </c>
      <c r="C1201" s="42" t="str">
        <f t="shared" si="36"/>
        <v/>
      </c>
      <c r="D1201" s="44" t="str">
        <f>IF(PRESIONES!$C$22="NO","",IF(OR(LINEAS!$D$115="",LINEAS!$U$115=0,ABS(IF(OR(LINEAS!$U$115=1,LINEAS!$U$115=3),1,-1)*LINEAS!$AG$115*DATOS!$C$67)&lt;0.00005),"*",LINEAS!$D$115&amp;" UNI "&amp;IF(LINEAS!$U$115&lt;=2,"GZ","GX")&amp;" "&amp;TEXT(IF(OR(LINEAS!$U$115=1,LINEAS!$U$115=3),1,-1)*LINEAS!$AG$115*DATOS!$C$67,DATOS!$C$68)))</f>
        <v/>
      </c>
      <c r="E1201" s="42" t="str">
        <f t="shared" si="37"/>
        <v/>
      </c>
    </row>
    <row r="1202" spans="2:5" ht="15" customHeight="1" x14ac:dyDescent="0.3">
      <c r="B1202" s="44" t="str">
        <f>IF(OR(LINEAS!$D$116="",LINEAS!$U$116=0,ABS(IF(OR(LINEAS!$U$116=1,LINEAS!$U$116=3),1,-1)*LINEAS!$AG$116*DATOS!$C$67)&lt;0.00005),"*",LINEAS!$D$116&amp;" UNI "&amp;IF(LINEAS!$U$116&lt;=2,"GZ","GX")&amp;" "&amp;TEXT(IF(OR(LINEAS!$U$116=1,LINEAS!$U$116=3),1,-1)*LINEAS!$AG$116*DATOS!$C$67,DATOS!$C$68))</f>
        <v>55 UNI GX -0.0789</v>
      </c>
      <c r="C1202" s="42" t="str">
        <f t="shared" si="36"/>
        <v/>
      </c>
      <c r="D1202" s="44" t="str">
        <f>IF(PRESIONES!$C$22="NO","",IF(OR(LINEAS!$D$116="",LINEAS!$U$116=0,ABS(IF(OR(LINEAS!$U$116=1,LINEAS!$U$116=3),1,-1)*LINEAS!$AG$116*DATOS!$C$67)&lt;0.00005),"*",LINEAS!$D$116&amp;" UNI "&amp;IF(LINEAS!$U$116&lt;=2,"GZ","GX")&amp;" "&amp;TEXT(IF(OR(LINEAS!$U$116=1,LINEAS!$U$116=3),1,-1)*LINEAS!$AG$116*DATOS!$C$67,DATOS!$C$68)))</f>
        <v/>
      </c>
      <c r="E1202" s="42" t="str">
        <f t="shared" si="37"/>
        <v/>
      </c>
    </row>
    <row r="1203" spans="2:5" ht="15" customHeight="1" x14ac:dyDescent="0.3">
      <c r="B1203" s="44" t="str">
        <f>IF(OR(LINEAS!$D$117="",LINEAS!$U$117=0,ABS(IF(OR(LINEAS!$U$117=1,LINEAS!$U$117=3),1,-1)*LINEAS!$AG$117*DATOS!$C$67)&lt;0.00005),"*",LINEAS!$D$117&amp;" UNI "&amp;IF(LINEAS!$U$117&lt;=2,"GZ","GX")&amp;" "&amp;TEXT(IF(OR(LINEAS!$U$117=1,LINEAS!$U$117=3),1,-1)*LINEAS!$AG$117*DATOS!$C$67,DATOS!$C$68))</f>
        <v>262 UNI GZ -0.1102</v>
      </c>
      <c r="C1203" s="42" t="str">
        <f t="shared" si="36"/>
        <v/>
      </c>
      <c r="D1203" s="44" t="str">
        <f>IF(PRESIONES!$C$22="NO","",IF(OR(LINEAS!$D$117="",LINEAS!$U$117=0,ABS(IF(OR(LINEAS!$U$117=1,LINEAS!$U$117=3),1,-1)*LINEAS!$AG$117*DATOS!$C$67)&lt;0.00005),"*",LINEAS!$D$117&amp;" UNI "&amp;IF(LINEAS!$U$117&lt;=2,"GZ","GX")&amp;" "&amp;TEXT(IF(OR(LINEAS!$U$117=1,LINEAS!$U$117=3),1,-1)*LINEAS!$AG$117*DATOS!$C$67,DATOS!$C$68)))</f>
        <v/>
      </c>
      <c r="E1203" s="42" t="str">
        <f t="shared" si="37"/>
        <v/>
      </c>
    </row>
    <row r="1204" spans="2:5" ht="15" customHeight="1" x14ac:dyDescent="0.3">
      <c r="B1204" s="44" t="str">
        <f>IF(OR(LINEAS!$D$118="",LINEAS!$U$118=0,ABS(IF(OR(LINEAS!$U$118=1,LINEAS!$U$118=3),1,-1)*LINEAS!$AG$118*DATOS!$C$67)&lt;0.00005),"*",LINEAS!$D$118&amp;" UNI "&amp;IF(LINEAS!$U$118&lt;=2,"GZ","GX")&amp;" "&amp;TEXT(IF(OR(LINEAS!$U$118=1,LINEAS!$U$118=3),1,-1)*LINEAS!$AG$118*DATOS!$C$67,DATOS!$C$68))</f>
        <v>263 UNI GZ -0.1102</v>
      </c>
      <c r="C1204" s="42" t="str">
        <f t="shared" si="36"/>
        <v/>
      </c>
      <c r="D1204" s="44" t="str">
        <f>IF(PRESIONES!$C$22="NO","",IF(OR(LINEAS!$D$118="",LINEAS!$U$118=0,ABS(IF(OR(LINEAS!$U$118=1,LINEAS!$U$118=3),1,-1)*LINEAS!$AG$118*DATOS!$C$67)&lt;0.00005),"*",LINEAS!$D$118&amp;" UNI "&amp;IF(LINEAS!$U$118&lt;=2,"GZ","GX")&amp;" "&amp;TEXT(IF(OR(LINEAS!$U$118=1,LINEAS!$U$118=3),1,-1)*LINEAS!$AG$118*DATOS!$C$67,DATOS!$C$68)))</f>
        <v/>
      </c>
      <c r="E1204" s="42" t="str">
        <f t="shared" si="37"/>
        <v/>
      </c>
    </row>
    <row r="1205" spans="2:5" ht="15" customHeight="1" x14ac:dyDescent="0.3">
      <c r="B1205" s="44" t="str">
        <f>IF(OR(LINEAS!$D$119="",LINEAS!$U$119=0,ABS(IF(OR(LINEAS!$U$119=1,LINEAS!$U$119=3),1,-1)*LINEAS!$AG$119*DATOS!$C$67)&lt;0.00005),"*",LINEAS!$D$119&amp;" UNI "&amp;IF(LINEAS!$U$119&lt;=2,"GZ","GX")&amp;" "&amp;TEXT(IF(OR(LINEAS!$U$119=1,LINEAS!$U$119=3),1,-1)*LINEAS!$AG$119*DATOS!$C$67,DATOS!$C$68))</f>
        <v>264 UNI GZ -0.1102</v>
      </c>
      <c r="C1205" s="42" t="str">
        <f t="shared" si="36"/>
        <v/>
      </c>
      <c r="D1205" s="44" t="str">
        <f>IF(PRESIONES!$C$22="NO","",IF(OR(LINEAS!$D$119="",LINEAS!$U$119=0,ABS(IF(OR(LINEAS!$U$119=1,LINEAS!$U$119=3),1,-1)*LINEAS!$AG$119*DATOS!$C$67)&lt;0.00005),"*",LINEAS!$D$119&amp;" UNI "&amp;IF(LINEAS!$U$119&lt;=2,"GZ","GX")&amp;" "&amp;TEXT(IF(OR(LINEAS!$U$119=1,LINEAS!$U$119=3),1,-1)*LINEAS!$AG$119*DATOS!$C$67,DATOS!$C$68)))</f>
        <v/>
      </c>
      <c r="E1205" s="42" t="str">
        <f t="shared" si="37"/>
        <v/>
      </c>
    </row>
    <row r="1206" spans="2:5" ht="15" customHeight="1" x14ac:dyDescent="0.3">
      <c r="B1206" s="44" t="str">
        <f>IF(OR(LINEAS!$D$120="",LINEAS!$U$120=0,ABS(IF(OR(LINEAS!$U$120=1,LINEAS!$U$120=3),1,-1)*LINEAS!$AG$120*DATOS!$C$67)&lt;0.00005),"*",LINEAS!$D$120&amp;" UNI "&amp;IF(LINEAS!$U$120&lt;=2,"GZ","GX")&amp;" "&amp;TEXT(IF(OR(LINEAS!$U$120=1,LINEAS!$U$120=3),1,-1)*LINEAS!$AG$120*DATOS!$C$67,DATOS!$C$68))</f>
        <v>271 UNI GZ -0.1102</v>
      </c>
      <c r="C1206" s="42" t="str">
        <f t="shared" si="36"/>
        <v/>
      </c>
      <c r="D1206" s="44" t="str">
        <f>IF(PRESIONES!$C$22="NO","",IF(OR(LINEAS!$D$120="",LINEAS!$U$120=0,ABS(IF(OR(LINEAS!$U$120=1,LINEAS!$U$120=3),1,-1)*LINEAS!$AG$120*DATOS!$C$67)&lt;0.00005),"*",LINEAS!$D$120&amp;" UNI "&amp;IF(LINEAS!$U$120&lt;=2,"GZ","GX")&amp;" "&amp;TEXT(IF(OR(LINEAS!$U$120=1,LINEAS!$U$120=3),1,-1)*LINEAS!$AG$120*DATOS!$C$67,DATOS!$C$68)))</f>
        <v/>
      </c>
      <c r="E1206" s="42" t="str">
        <f t="shared" si="37"/>
        <v/>
      </c>
    </row>
    <row r="1207" spans="2:5" ht="15" customHeight="1" x14ac:dyDescent="0.3">
      <c r="B1207" s="44" t="str">
        <f>IF(OR(LINEAS!$D$121="",LINEAS!$U$121=0,ABS(IF(OR(LINEAS!$U$121=1,LINEAS!$U$121=3),1,-1)*LINEAS!$AG$121*DATOS!$C$67)&lt;0.00005),"*",LINEAS!$D$121&amp;" UNI "&amp;IF(LINEAS!$U$121&lt;=2,"GZ","GX")&amp;" "&amp;TEXT(IF(OR(LINEAS!$U$121=1,LINEAS!$U$121=3),1,-1)*LINEAS!$AG$121*DATOS!$C$67,DATOS!$C$68))</f>
        <v>286 UNI GZ -0.0551</v>
      </c>
      <c r="C1207" s="42" t="str">
        <f t="shared" si="36"/>
        <v/>
      </c>
      <c r="D1207" s="44" t="str">
        <f>IF(PRESIONES!$C$22="NO","",IF(OR(LINEAS!$D$121="",LINEAS!$U$121=0,ABS(IF(OR(LINEAS!$U$121=1,LINEAS!$U$121=3),1,-1)*LINEAS!$AG$121*DATOS!$C$67)&lt;0.00005),"*",LINEAS!$D$121&amp;" UNI "&amp;IF(LINEAS!$U$121&lt;=2,"GZ","GX")&amp;" "&amp;TEXT(IF(OR(LINEAS!$U$121=1,LINEAS!$U$121=3),1,-1)*LINEAS!$AG$121*DATOS!$C$67,DATOS!$C$68)))</f>
        <v/>
      </c>
      <c r="E1207" s="42" t="str">
        <f t="shared" si="37"/>
        <v/>
      </c>
    </row>
    <row r="1208" spans="2:5" ht="15" customHeight="1" x14ac:dyDescent="0.3">
      <c r="B1208" s="44" t="str">
        <f>IF(OR(LINEAS!$D$122="",LINEAS!$U$122=0,ABS(IF(OR(LINEAS!$U$122=1,LINEAS!$U$122=3),1,-1)*LINEAS!$AG$122*DATOS!$C$67)&lt;0.00005),"*",LINEAS!$D$122&amp;" UNI "&amp;IF(LINEAS!$U$122&lt;=2,"GZ","GX")&amp;" "&amp;TEXT(IF(OR(LINEAS!$U$122=1,LINEAS!$U$122=3),1,-1)*LINEAS!$AG$122*DATOS!$C$67,DATOS!$C$68))</f>
        <v>272 UNI GZ -0.1102</v>
      </c>
      <c r="C1208" s="42" t="str">
        <f t="shared" si="36"/>
        <v/>
      </c>
      <c r="D1208" s="44" t="str">
        <f>IF(PRESIONES!$C$22="NO","",IF(OR(LINEAS!$D$122="",LINEAS!$U$122=0,ABS(IF(OR(LINEAS!$U$122=1,LINEAS!$U$122=3),1,-1)*LINEAS!$AG$122*DATOS!$C$67)&lt;0.00005),"*",LINEAS!$D$122&amp;" UNI "&amp;IF(LINEAS!$U$122&lt;=2,"GZ","GX")&amp;" "&amp;TEXT(IF(OR(LINEAS!$U$122=1,LINEAS!$U$122=3),1,-1)*LINEAS!$AG$122*DATOS!$C$67,DATOS!$C$68)))</f>
        <v/>
      </c>
      <c r="E1208" s="42" t="str">
        <f t="shared" si="37"/>
        <v/>
      </c>
    </row>
    <row r="1209" spans="2:5" ht="15" customHeight="1" x14ac:dyDescent="0.3">
      <c r="B1209" s="44" t="str">
        <f>IF(OR(LINEAS!$D$123="",LINEAS!$U$123=0,ABS(IF(OR(LINEAS!$U$123=1,LINEAS!$U$123=3),1,-1)*LINEAS!$AG$123*DATOS!$C$67)&lt;0.00005),"*",LINEAS!$D$123&amp;" UNI "&amp;IF(LINEAS!$U$123&lt;=2,"GZ","GX")&amp;" "&amp;TEXT(IF(OR(LINEAS!$U$123=1,LINEAS!$U$123=3),1,-1)*LINEAS!$AG$123*DATOS!$C$67,DATOS!$C$68))</f>
        <v>273 UNI GZ -0.1102</v>
      </c>
      <c r="C1209" s="42" t="str">
        <f t="shared" si="36"/>
        <v/>
      </c>
      <c r="D1209" s="44" t="str">
        <f>IF(PRESIONES!$C$22="NO","",IF(OR(LINEAS!$D$123="",LINEAS!$U$123=0,ABS(IF(OR(LINEAS!$U$123=1,LINEAS!$U$123=3),1,-1)*LINEAS!$AG$123*DATOS!$C$67)&lt;0.00005),"*",LINEAS!$D$123&amp;" UNI "&amp;IF(LINEAS!$U$123&lt;=2,"GZ","GX")&amp;" "&amp;TEXT(IF(OR(LINEAS!$U$123=1,LINEAS!$U$123=3),1,-1)*LINEAS!$AG$123*DATOS!$C$67,DATOS!$C$68)))</f>
        <v/>
      </c>
      <c r="E1209" s="42" t="str">
        <f t="shared" si="37"/>
        <v/>
      </c>
    </row>
    <row r="1210" spans="2:5" ht="15" customHeight="1" x14ac:dyDescent="0.3">
      <c r="B1210" s="44" t="str">
        <f>IF(OR(LINEAS!$D$124="",LINEAS!$U$124=0,ABS(IF(OR(LINEAS!$U$124=1,LINEAS!$U$124=3),1,-1)*LINEAS!$AG$124*DATOS!$C$67)&lt;0.00005),"*",LINEAS!$D$124&amp;" UNI "&amp;IF(LINEAS!$U$124&lt;=2,"GZ","GX")&amp;" "&amp;TEXT(IF(OR(LINEAS!$U$124=1,LINEAS!$U$124=3),1,-1)*LINEAS!$AG$124*DATOS!$C$67,DATOS!$C$68))</f>
        <v>280 UNI GZ -0.1102</v>
      </c>
      <c r="C1210" s="42" t="str">
        <f t="shared" si="36"/>
        <v/>
      </c>
      <c r="D1210" s="44" t="str">
        <f>IF(PRESIONES!$C$22="NO","",IF(OR(LINEAS!$D$124="",LINEAS!$U$124=0,ABS(IF(OR(LINEAS!$U$124=1,LINEAS!$U$124=3),1,-1)*LINEAS!$AG$124*DATOS!$C$67)&lt;0.00005),"*",LINEAS!$D$124&amp;" UNI "&amp;IF(LINEAS!$U$124&lt;=2,"GZ","GX")&amp;" "&amp;TEXT(IF(OR(LINEAS!$U$124=1,LINEAS!$U$124=3),1,-1)*LINEAS!$AG$124*DATOS!$C$67,DATOS!$C$68)))</f>
        <v/>
      </c>
      <c r="E1210" s="42" t="str">
        <f t="shared" si="37"/>
        <v/>
      </c>
    </row>
    <row r="1211" spans="2:5" ht="15" customHeight="1" x14ac:dyDescent="0.3">
      <c r="B1211" s="44" t="str">
        <f>IF(OR(LINEAS!$D$125="",LINEAS!$U$125=0,ABS(IF(OR(LINEAS!$U$125=1,LINEAS!$U$125=3),1,-1)*LINEAS!$AG$125*DATOS!$C$67)&lt;0.00005),"*",LINEAS!$D$125&amp;" UNI "&amp;IF(LINEAS!$U$125&lt;=2,"GZ","GX")&amp;" "&amp;TEXT(IF(OR(LINEAS!$U$125=1,LINEAS!$U$125=3),1,-1)*LINEAS!$AG$125*DATOS!$C$67,DATOS!$C$68))</f>
        <v>282 UNI GZ -0.1102</v>
      </c>
      <c r="C1211" s="42" t="str">
        <f t="shared" si="36"/>
        <v/>
      </c>
      <c r="D1211" s="44" t="str">
        <f>IF(PRESIONES!$C$22="NO","",IF(OR(LINEAS!$D$125="",LINEAS!$U$125=0,ABS(IF(OR(LINEAS!$U$125=1,LINEAS!$U$125=3),1,-1)*LINEAS!$AG$125*DATOS!$C$67)&lt;0.00005),"*",LINEAS!$D$125&amp;" UNI "&amp;IF(LINEAS!$U$125&lt;=2,"GZ","GX")&amp;" "&amp;TEXT(IF(OR(LINEAS!$U$125=1,LINEAS!$U$125=3),1,-1)*LINEAS!$AG$125*DATOS!$C$67,DATOS!$C$68)))</f>
        <v/>
      </c>
      <c r="E1211" s="42" t="str">
        <f t="shared" si="37"/>
        <v/>
      </c>
    </row>
    <row r="1212" spans="2:5" ht="15" customHeight="1" x14ac:dyDescent="0.3">
      <c r="B1212" s="44" t="str">
        <f>IF(OR(LINEAS!$D$126="",LINEAS!$U$126=0,ABS(IF(OR(LINEAS!$U$126=1,LINEAS!$U$126=3),1,-1)*LINEAS!$AG$126*DATOS!$C$67)&lt;0.00005),"*",LINEAS!$D$126&amp;" UNI "&amp;IF(LINEAS!$U$126&lt;=2,"GZ","GX")&amp;" "&amp;TEXT(IF(OR(LINEAS!$U$126=1,LINEAS!$U$126=3),1,-1)*LINEAS!$AG$126*DATOS!$C$67,DATOS!$C$68))</f>
        <v>290 UNI GZ -0.1102</v>
      </c>
      <c r="C1212" s="42" t="str">
        <f t="shared" si="36"/>
        <v/>
      </c>
      <c r="D1212" s="44" t="str">
        <f>IF(PRESIONES!$C$22="NO","",IF(OR(LINEAS!$D$126="",LINEAS!$U$126=0,ABS(IF(OR(LINEAS!$U$126=1,LINEAS!$U$126=3),1,-1)*LINEAS!$AG$126*DATOS!$C$67)&lt;0.00005),"*",LINEAS!$D$126&amp;" UNI "&amp;IF(LINEAS!$U$126&lt;=2,"GZ","GX")&amp;" "&amp;TEXT(IF(OR(LINEAS!$U$126=1,LINEAS!$U$126=3),1,-1)*LINEAS!$AG$126*DATOS!$C$67,DATOS!$C$68)))</f>
        <v/>
      </c>
      <c r="E1212" s="42" t="str">
        <f t="shared" si="37"/>
        <v/>
      </c>
    </row>
    <row r="1213" spans="2:5" ht="15" customHeight="1" x14ac:dyDescent="0.3">
      <c r="B1213" s="44" t="str">
        <f>IF(OR(LINEAS!$D$127="",LINEAS!$U$127=0,ABS(IF(OR(LINEAS!$U$127=1,LINEAS!$U$127=3),1,-1)*LINEAS!$AG$127*DATOS!$C$67)&lt;0.00005),"*",LINEAS!$D$127&amp;" UNI "&amp;IF(LINEAS!$U$127&lt;=2,"GZ","GX")&amp;" "&amp;TEXT(IF(OR(LINEAS!$U$127=1,LINEAS!$U$127=3),1,-1)*LINEAS!$AG$127*DATOS!$C$67,DATOS!$C$68))</f>
        <v>291 UNI GZ -0.1102</v>
      </c>
      <c r="C1213" s="42" t="str">
        <f t="shared" si="36"/>
        <v/>
      </c>
      <c r="D1213" s="44" t="str">
        <f>IF(PRESIONES!$C$22="NO","",IF(OR(LINEAS!$D$127="",LINEAS!$U$127=0,ABS(IF(OR(LINEAS!$U$127=1,LINEAS!$U$127=3),1,-1)*LINEAS!$AG$127*DATOS!$C$67)&lt;0.00005),"*",LINEAS!$D$127&amp;" UNI "&amp;IF(LINEAS!$U$127&lt;=2,"GZ","GX")&amp;" "&amp;TEXT(IF(OR(LINEAS!$U$127=1,LINEAS!$U$127=3),1,-1)*LINEAS!$AG$127*DATOS!$C$67,DATOS!$C$68)))</f>
        <v/>
      </c>
      <c r="E1213" s="42" t="str">
        <f t="shared" si="37"/>
        <v/>
      </c>
    </row>
    <row r="1214" spans="2:5" ht="15" customHeight="1" x14ac:dyDescent="0.3">
      <c r="B1214" s="44" t="str">
        <f>IF(OR(LINEAS!$D$128="",LINEAS!$U$128=0,ABS(IF(OR(LINEAS!$U$128=1,LINEAS!$U$128=3),1,-1)*LINEAS!$AG$128*DATOS!$C$67)&lt;0.00005),"*",LINEAS!$D$128&amp;" UNI "&amp;IF(LINEAS!$U$128&lt;=2,"GZ","GX")&amp;" "&amp;TEXT(IF(OR(LINEAS!$U$128=1,LINEAS!$U$128=3),1,-1)*LINEAS!$AG$128*DATOS!$C$67,DATOS!$C$68))</f>
        <v>298 UNI GZ -0.0703</v>
      </c>
      <c r="C1214" s="42" t="str">
        <f t="shared" si="36"/>
        <v/>
      </c>
      <c r="D1214" s="44" t="str">
        <f>IF(PRESIONES!$C$22="NO","",IF(OR(LINEAS!$D$128="",LINEAS!$U$128=0,ABS(IF(OR(LINEAS!$U$128=1,LINEAS!$U$128=3),1,-1)*LINEAS!$AG$128*DATOS!$C$67)&lt;0.00005),"*",LINEAS!$D$128&amp;" UNI "&amp;IF(LINEAS!$U$128&lt;=2,"GZ","GX")&amp;" "&amp;TEXT(IF(OR(LINEAS!$U$128=1,LINEAS!$U$128=3),1,-1)*LINEAS!$AG$128*DATOS!$C$67,DATOS!$C$68)))</f>
        <v/>
      </c>
      <c r="E1214" s="42" t="str">
        <f t="shared" si="37"/>
        <v/>
      </c>
    </row>
    <row r="1215" spans="2:5" ht="15" customHeight="1" x14ac:dyDescent="0.3">
      <c r="B1215" s="44" t="str">
        <f>IF(OR(LINEAS!$D$129="",LINEAS!$U$129=0,ABS(IF(OR(LINEAS!$U$129=1,LINEAS!$U$129=3),1,-1)*LINEAS!$AG$129*DATOS!$C$67)&lt;0.00005),"*",LINEAS!$D$129&amp;" UNI "&amp;IF(LINEAS!$U$129&lt;=2,"GZ","GX")&amp;" "&amp;TEXT(IF(OR(LINEAS!$U$129=1,LINEAS!$U$129=3),1,-1)*LINEAS!$AG$129*DATOS!$C$67,DATOS!$C$68))</f>
        <v>299 UNI GZ -0.0703</v>
      </c>
      <c r="C1215" s="42" t="str">
        <f t="shared" si="36"/>
        <v/>
      </c>
      <c r="D1215" s="44" t="str">
        <f>IF(PRESIONES!$C$22="NO","",IF(OR(LINEAS!$D$129="",LINEAS!$U$129=0,ABS(IF(OR(LINEAS!$U$129=1,LINEAS!$U$129=3),1,-1)*LINEAS!$AG$129*DATOS!$C$67)&lt;0.00005),"*",LINEAS!$D$129&amp;" UNI "&amp;IF(LINEAS!$U$129&lt;=2,"GZ","GX")&amp;" "&amp;TEXT(IF(OR(LINEAS!$U$129=1,LINEAS!$U$129=3),1,-1)*LINEAS!$AG$129*DATOS!$C$67,DATOS!$C$68)))</f>
        <v/>
      </c>
      <c r="E1215" s="42" t="str">
        <f t="shared" si="37"/>
        <v/>
      </c>
    </row>
    <row r="1216" spans="2:5" ht="15" customHeight="1" x14ac:dyDescent="0.3">
      <c r="B1216" s="44" t="str">
        <f>IF(OR(LINEAS!$D$130="",LINEAS!$U$130=0,ABS(IF(OR(LINEAS!$U$130=1,LINEAS!$U$130=3),1,-1)*LINEAS!$AG$130*DATOS!$C$67)&lt;0.00005),"*",LINEAS!$D$130&amp;" UNI "&amp;IF(LINEAS!$U$130&lt;=2,"GZ","GX")&amp;" "&amp;TEXT(IF(OR(LINEAS!$U$130=1,LINEAS!$U$130=3),1,-1)*LINEAS!$AG$130*DATOS!$C$67,DATOS!$C$68))</f>
        <v>326 UNI GZ -0.0551</v>
      </c>
      <c r="C1216" s="42" t="str">
        <f t="shared" si="36"/>
        <v/>
      </c>
      <c r="D1216" s="44" t="str">
        <f>IF(PRESIONES!$C$22="NO","",IF(OR(LINEAS!$D$130="",LINEAS!$U$130=0,ABS(IF(OR(LINEAS!$U$130=1,LINEAS!$U$130=3),1,-1)*LINEAS!$AG$130*DATOS!$C$67)&lt;0.00005),"*",LINEAS!$D$130&amp;" UNI "&amp;IF(LINEAS!$U$130&lt;=2,"GZ","GX")&amp;" "&amp;TEXT(IF(OR(LINEAS!$U$130=1,LINEAS!$U$130=3),1,-1)*LINEAS!$AG$130*DATOS!$C$67,DATOS!$C$68)))</f>
        <v/>
      </c>
      <c r="E1216" s="42" t="str">
        <f t="shared" si="37"/>
        <v/>
      </c>
    </row>
    <row r="1217" spans="2:5" ht="15" customHeight="1" x14ac:dyDescent="0.3">
      <c r="B1217" s="44" t="str">
        <f>IF(OR(LINEAS!$D$131="",LINEAS!$U$131=0,ABS(IF(OR(LINEAS!$U$131=1,LINEAS!$U$131=3),1,-1)*LINEAS!$AG$131*DATOS!$C$67)&lt;0.00005),"*",LINEAS!$D$131&amp;" UNI "&amp;IF(LINEAS!$U$131&lt;=2,"GZ","GX")&amp;" "&amp;TEXT(IF(OR(LINEAS!$U$131=1,LINEAS!$U$131=3),1,-1)*LINEAS!$AG$131*DATOS!$C$67,DATOS!$C$68))</f>
        <v>25 UNI GZ -0.0400</v>
      </c>
      <c r="C1217" s="42" t="str">
        <f t="shared" si="36"/>
        <v/>
      </c>
      <c r="D1217" s="44" t="str">
        <f>IF(PRESIONES!$C$22="NO","",IF(OR(LINEAS!$D$131="",LINEAS!$U$131=0,ABS(IF(OR(LINEAS!$U$131=1,LINEAS!$U$131=3),1,-1)*LINEAS!$AG$131*DATOS!$C$67)&lt;0.00005),"*",LINEAS!$D$131&amp;" UNI "&amp;IF(LINEAS!$U$131&lt;=2,"GZ","GX")&amp;" "&amp;TEXT(IF(OR(LINEAS!$U$131=1,LINEAS!$U$131=3),1,-1)*LINEAS!$AG$131*DATOS!$C$67,DATOS!$C$68)))</f>
        <v/>
      </c>
      <c r="E1217" s="42" t="str">
        <f t="shared" si="37"/>
        <v/>
      </c>
    </row>
    <row r="1218" spans="2:5" ht="15" customHeight="1" x14ac:dyDescent="0.3">
      <c r="B1218" s="44" t="str">
        <f>IF(OR(LINEAS!$D$132="",LINEAS!$U$132=0,ABS(IF(OR(LINEAS!$U$132=1,LINEAS!$U$132=3),1,-1)*LINEAS!$AG$132*DATOS!$C$67)&lt;0.00005),"*",LINEAS!$D$132&amp;" UNI "&amp;IF(LINEAS!$U$132&lt;=2,"GZ","GX")&amp;" "&amp;TEXT(IF(OR(LINEAS!$U$132=1,LINEAS!$U$132=3),1,-1)*LINEAS!$AG$132*DATOS!$C$67,DATOS!$C$68))</f>
        <v>327 UNI GZ -0.0551</v>
      </c>
      <c r="C1218" s="42" t="str">
        <f t="shared" si="36"/>
        <v/>
      </c>
      <c r="D1218" s="44" t="str">
        <f>IF(PRESIONES!$C$22="NO","",IF(OR(LINEAS!$D$132="",LINEAS!$U$132=0,ABS(IF(OR(LINEAS!$U$132=1,LINEAS!$U$132=3),1,-1)*LINEAS!$AG$132*DATOS!$C$67)&lt;0.00005),"*",LINEAS!$D$132&amp;" UNI "&amp;IF(LINEAS!$U$132&lt;=2,"GZ","GX")&amp;" "&amp;TEXT(IF(OR(LINEAS!$U$132=1,LINEAS!$U$132=3),1,-1)*LINEAS!$AG$132*DATOS!$C$67,DATOS!$C$68)))</f>
        <v/>
      </c>
      <c r="E1218" s="42" t="str">
        <f t="shared" si="37"/>
        <v/>
      </c>
    </row>
    <row r="1219" spans="2:5" ht="15" customHeight="1" x14ac:dyDescent="0.3">
      <c r="B1219" s="44" t="str">
        <f>IF(OR(LINEAS!$D$133="",LINEAS!$U$133=0,ABS(IF(OR(LINEAS!$U$133=1,LINEAS!$U$133=3),1,-1)*LINEAS!$AG$133*DATOS!$C$67)&lt;0.00005),"*",LINEAS!$D$133&amp;" UNI "&amp;IF(LINEAS!$U$133&lt;=2,"GZ","GX")&amp;" "&amp;TEXT(IF(OR(LINEAS!$U$133=1,LINEAS!$U$133=3),1,-1)*LINEAS!$AG$133*DATOS!$C$67,DATOS!$C$68))</f>
        <v>306 UNI GZ -0.0951</v>
      </c>
      <c r="C1219" s="42" t="str">
        <f t="shared" si="36"/>
        <v/>
      </c>
      <c r="D1219" s="44" t="str">
        <f>IF(PRESIONES!$C$22="NO","",IF(OR(LINEAS!$D$133="",LINEAS!$U$133=0,ABS(IF(OR(LINEAS!$U$133=1,LINEAS!$U$133=3),1,-1)*LINEAS!$AG$133*DATOS!$C$67)&lt;0.00005),"*",LINEAS!$D$133&amp;" UNI "&amp;IF(LINEAS!$U$133&lt;=2,"GZ","GX")&amp;" "&amp;TEXT(IF(OR(LINEAS!$U$133=1,LINEAS!$U$133=3),1,-1)*LINEAS!$AG$133*DATOS!$C$67,DATOS!$C$68)))</f>
        <v/>
      </c>
      <c r="E1219" s="42" t="str">
        <f t="shared" si="37"/>
        <v/>
      </c>
    </row>
    <row r="1220" spans="2:5" ht="15" customHeight="1" x14ac:dyDescent="0.3">
      <c r="B1220" s="44" t="str">
        <f>IF(OR(LINEAS!$D$134="",LINEAS!$U$134=0,ABS(IF(OR(LINEAS!$U$134=1,LINEAS!$U$134=3),1,-1)*LINEAS!$AG$134*DATOS!$C$67)&lt;0.00005),"*",LINEAS!$D$134&amp;" UNI "&amp;IF(LINEAS!$U$134&lt;=2,"GZ","GX")&amp;" "&amp;TEXT(IF(OR(LINEAS!$U$134=1,LINEAS!$U$134=3),1,-1)*LINEAS!$AG$134*DATOS!$C$67,DATOS!$C$68))</f>
        <v>322 UNI GZ -0.1102</v>
      </c>
      <c r="C1220" s="42" t="str">
        <f t="shared" si="36"/>
        <v/>
      </c>
      <c r="D1220" s="44" t="str">
        <f>IF(PRESIONES!$C$22="NO","",IF(OR(LINEAS!$D$134="",LINEAS!$U$134=0,ABS(IF(OR(LINEAS!$U$134=1,LINEAS!$U$134=3),1,-1)*LINEAS!$AG$134*DATOS!$C$67)&lt;0.00005),"*",LINEAS!$D$134&amp;" UNI "&amp;IF(LINEAS!$U$134&lt;=2,"GZ","GX")&amp;" "&amp;TEXT(IF(OR(LINEAS!$U$134=1,LINEAS!$U$134=3),1,-1)*LINEAS!$AG$134*DATOS!$C$67,DATOS!$C$68)))</f>
        <v/>
      </c>
      <c r="E1220" s="42" t="str">
        <f t="shared" si="37"/>
        <v/>
      </c>
    </row>
    <row r="1221" spans="2:5" ht="15" customHeight="1" x14ac:dyDescent="0.3">
      <c r="B1221" s="44" t="str">
        <f>IF(OR(LINEAS!$D$135="",LINEAS!$U$135=0,ABS(IF(OR(LINEAS!$U$135=1,LINEAS!$U$135=3),1,-1)*LINEAS!$AG$135*DATOS!$C$67)&lt;0.00005),"*",LINEAS!$D$135&amp;" UNI "&amp;IF(LINEAS!$U$135&lt;=2,"GZ","GX")&amp;" "&amp;TEXT(IF(OR(LINEAS!$U$135=1,LINEAS!$U$135=3),1,-1)*LINEAS!$AG$135*DATOS!$C$67,DATOS!$C$68))</f>
        <v>323 UNI GZ -0.1019</v>
      </c>
      <c r="C1221" s="42" t="str">
        <f t="shared" si="36"/>
        <v/>
      </c>
      <c r="D1221" s="44" t="str">
        <f>IF(PRESIONES!$C$22="NO","",IF(OR(LINEAS!$D$135="",LINEAS!$U$135=0,ABS(IF(OR(LINEAS!$U$135=1,LINEAS!$U$135=3),1,-1)*LINEAS!$AG$135*DATOS!$C$67)&lt;0.00005),"*",LINEAS!$D$135&amp;" UNI "&amp;IF(LINEAS!$U$135&lt;=2,"GZ","GX")&amp;" "&amp;TEXT(IF(OR(LINEAS!$U$135=1,LINEAS!$U$135=3),1,-1)*LINEAS!$AG$135*DATOS!$C$67,DATOS!$C$68)))</f>
        <v/>
      </c>
      <c r="E1221" s="42" t="str">
        <f t="shared" si="37"/>
        <v/>
      </c>
    </row>
    <row r="1222" spans="2:5" ht="15" customHeight="1" x14ac:dyDescent="0.3">
      <c r="B1222" s="44" t="str">
        <f>IF(OR(LINEAS!$D$136="",LINEAS!$U$136=0,ABS(IF(OR(LINEAS!$U$136=1,LINEAS!$U$136=3),1,-1)*LINEAS!$AG$136*DATOS!$C$67)&lt;0.00005),"*",LINEAS!$D$136&amp;" UNI "&amp;IF(LINEAS!$U$136&lt;=2,"GZ","GX")&amp;" "&amp;TEXT(IF(OR(LINEAS!$U$136=1,LINEAS!$U$136=3),1,-1)*LINEAS!$AG$136*DATOS!$C$67,DATOS!$C$68))</f>
        <v>22 85 TO 88 UNI GZ -0.0468</v>
      </c>
      <c r="C1222" s="42" t="str">
        <f t="shared" si="36"/>
        <v/>
      </c>
      <c r="D1222" s="44" t="str">
        <f>IF(PRESIONES!$C$22="NO","",IF(OR(LINEAS!$D$136="",LINEAS!$U$136=0,ABS(IF(OR(LINEAS!$U$136=1,LINEAS!$U$136=3),1,-1)*LINEAS!$AG$136*DATOS!$C$67)&lt;0.00005),"*",LINEAS!$D$136&amp;" UNI "&amp;IF(LINEAS!$U$136&lt;=2,"GZ","GX")&amp;" "&amp;TEXT(IF(OR(LINEAS!$U$136=1,LINEAS!$U$136=3),1,-1)*LINEAS!$AG$136*DATOS!$C$67,DATOS!$C$68)))</f>
        <v/>
      </c>
      <c r="E1222" s="42" t="str">
        <f t="shared" si="37"/>
        <v/>
      </c>
    </row>
    <row r="1223" spans="2:5" ht="15" customHeight="1" x14ac:dyDescent="0.3">
      <c r="B1223" s="44" t="str">
        <f>IF(OR(LINEAS!$D$137="",LINEAS!$U$137=0,ABS(IF(OR(LINEAS!$U$137=1,LINEAS!$U$137=3),1,-1)*LINEAS!$AG$137*DATOS!$C$67)&lt;0.00005),"*",LINEAS!$D$137&amp;" UNI "&amp;IF(LINEAS!$U$137&lt;=2,"GZ","GX")&amp;" "&amp;TEXT(IF(OR(LINEAS!$U$137=1,LINEAS!$U$137=3),1,-1)*LINEAS!$AG$137*DATOS!$C$67,DATOS!$C$68))</f>
        <v>*</v>
      </c>
      <c r="C1223" s="42" t="str">
        <f t="shared" si="36"/>
        <v/>
      </c>
      <c r="D1223" s="44" t="str">
        <f>IF(PRESIONES!$C$22="NO","",IF(OR(LINEAS!$D$137="",LINEAS!$U$137=0,ABS(IF(OR(LINEAS!$U$137=1,LINEAS!$U$137=3),1,-1)*LINEAS!$AG$137*DATOS!$C$67)&lt;0.00005),"*",LINEAS!$D$137&amp;" UNI "&amp;IF(LINEAS!$U$137&lt;=2,"GZ","GX")&amp;" "&amp;TEXT(IF(OR(LINEAS!$U$137=1,LINEAS!$U$137=3),1,-1)*LINEAS!$AG$137*DATOS!$C$67,DATOS!$C$68)))</f>
        <v/>
      </c>
      <c r="E1223" s="42" t="str">
        <f t="shared" si="37"/>
        <v/>
      </c>
    </row>
    <row r="1224" spans="2:5" ht="15" customHeight="1" x14ac:dyDescent="0.3">
      <c r="B1224" s="44" t="str">
        <f>IF(OR(LINEAS!$D$138="",LINEAS!$U$138=0,ABS(IF(OR(LINEAS!$U$138=1,LINEAS!$U$138=3),1,-1)*LINEAS!$AG$138*DATOS!$C$67)&lt;0.00005),"*",LINEAS!$D$138&amp;" UNI "&amp;IF(LINEAS!$U$138&lt;=2,"GZ","GX")&amp;" "&amp;TEXT(IF(OR(LINEAS!$U$138=1,LINEAS!$U$138=3),1,-1)*LINEAS!$AG$138*DATOS!$C$67,DATOS!$C$68))</f>
        <v>*</v>
      </c>
      <c r="C1224" s="42" t="str">
        <f t="shared" si="36"/>
        <v/>
      </c>
      <c r="D1224" s="44" t="str">
        <f>IF(PRESIONES!$C$22="NO","",IF(OR(LINEAS!$D$138="",LINEAS!$U$138=0,ABS(IF(OR(LINEAS!$U$138=1,LINEAS!$U$138=3),1,-1)*LINEAS!$AG$138*DATOS!$C$67)&lt;0.00005),"*",LINEAS!$D$138&amp;" UNI "&amp;IF(LINEAS!$U$138&lt;=2,"GZ","GX")&amp;" "&amp;TEXT(IF(OR(LINEAS!$U$138=1,LINEAS!$U$138=3),1,-1)*LINEAS!$AG$138*DATOS!$C$67,DATOS!$C$68)))</f>
        <v/>
      </c>
      <c r="E1224" s="42" t="str">
        <f t="shared" si="37"/>
        <v/>
      </c>
    </row>
    <row r="1225" spans="2:5" ht="15" customHeight="1" x14ac:dyDescent="0.3">
      <c r="B1225" s="44" t="str">
        <f>IF(OR(LINEAS!$D$139="",LINEAS!$U$139=0,ABS(IF(OR(LINEAS!$U$139=1,LINEAS!$U$139=3),1,-1)*LINEAS!$AG$139*DATOS!$C$67)&lt;0.00005),"*",LINEAS!$D$139&amp;" UNI "&amp;IF(LINEAS!$U$139&lt;=2,"GZ","GX")&amp;" "&amp;TEXT(IF(OR(LINEAS!$U$139=1,LINEAS!$U$139=3),1,-1)*LINEAS!$AG$139*DATOS!$C$67,DATOS!$C$68))</f>
        <v>*</v>
      </c>
      <c r="C1225" s="42" t="str">
        <f t="shared" ref="C1225:C1288" si="38">IF(LEN($B1225)&gt;79,"MÁS DE 79 CARACTERES","")</f>
        <v/>
      </c>
      <c r="D1225" s="44" t="str">
        <f>IF(PRESIONES!$C$22="NO","",IF(OR(LINEAS!$D$139="",LINEAS!$U$139=0,ABS(IF(OR(LINEAS!$U$139=1,LINEAS!$U$139=3),1,-1)*LINEAS!$AG$139*DATOS!$C$67)&lt;0.00005),"*",LINEAS!$D$139&amp;" UNI "&amp;IF(LINEAS!$U$139&lt;=2,"GZ","GX")&amp;" "&amp;TEXT(IF(OR(LINEAS!$U$139=1,LINEAS!$U$139=3),1,-1)*LINEAS!$AG$139*DATOS!$C$67,DATOS!$C$68)))</f>
        <v/>
      </c>
      <c r="E1225" s="42" t="str">
        <f t="shared" ref="E1225:E1288" si="39">IF(LEN($D1225)&gt;79,"MÁS DE 79 CARACTERES","")</f>
        <v/>
      </c>
    </row>
    <row r="1226" spans="2:5" ht="15" customHeight="1" x14ac:dyDescent="0.3">
      <c r="B1226" s="44" t="str">
        <f>IF(OR(LINEAS!$D$140="",LINEAS!$U$140=0,ABS(IF(OR(LINEAS!$U$140=1,LINEAS!$U$140=3),1,-1)*LINEAS!$AG$140*DATOS!$C$67)&lt;0.00005),"*",LINEAS!$D$140&amp;" UNI "&amp;IF(LINEAS!$U$140&lt;=2,"GZ","GX")&amp;" "&amp;TEXT(IF(OR(LINEAS!$U$140=1,LINEAS!$U$140=3),1,-1)*LINEAS!$AG$140*DATOS!$C$67,DATOS!$C$68))</f>
        <v>*</v>
      </c>
      <c r="C1226" s="42" t="str">
        <f t="shared" si="38"/>
        <v/>
      </c>
      <c r="D1226" s="44" t="str">
        <f>IF(PRESIONES!$C$22="NO","",IF(OR(LINEAS!$D$140="",LINEAS!$U$140=0,ABS(IF(OR(LINEAS!$U$140=1,LINEAS!$U$140=3),1,-1)*LINEAS!$AG$140*DATOS!$C$67)&lt;0.00005),"*",LINEAS!$D$140&amp;" UNI "&amp;IF(LINEAS!$U$140&lt;=2,"GZ","GX")&amp;" "&amp;TEXT(IF(OR(LINEAS!$U$140=1,LINEAS!$U$140=3),1,-1)*LINEAS!$AG$140*DATOS!$C$67,DATOS!$C$68)))</f>
        <v/>
      </c>
      <c r="E1226" s="42" t="str">
        <f t="shared" si="39"/>
        <v/>
      </c>
    </row>
    <row r="1227" spans="2:5" ht="15" customHeight="1" x14ac:dyDescent="0.3">
      <c r="B1227" s="44" t="str">
        <f>IF(OR(LINEAS!$D$141="",LINEAS!$U$141=0,ABS(IF(OR(LINEAS!$U$141=1,LINEAS!$U$141=3),1,-1)*LINEAS!$AG$141*DATOS!$C$67)&lt;0.00005),"*",LINEAS!$D$141&amp;" UNI "&amp;IF(LINEAS!$U$141&lt;=2,"GZ","GX")&amp;" "&amp;TEXT(IF(OR(LINEAS!$U$141=1,LINEAS!$U$141=3),1,-1)*LINEAS!$AG$141*DATOS!$C$67,DATOS!$C$68))</f>
        <v>*</v>
      </c>
      <c r="C1227" s="42" t="str">
        <f t="shared" si="38"/>
        <v/>
      </c>
      <c r="D1227" s="44" t="str">
        <f>IF(PRESIONES!$C$22="NO","",IF(OR(LINEAS!$D$141="",LINEAS!$U$141=0,ABS(IF(OR(LINEAS!$U$141=1,LINEAS!$U$141=3),1,-1)*LINEAS!$AG$141*DATOS!$C$67)&lt;0.00005),"*",LINEAS!$D$141&amp;" UNI "&amp;IF(LINEAS!$U$141&lt;=2,"GZ","GX")&amp;" "&amp;TEXT(IF(OR(LINEAS!$U$141=1,LINEAS!$U$141=3),1,-1)*LINEAS!$AG$141*DATOS!$C$67,DATOS!$C$68)))</f>
        <v/>
      </c>
      <c r="E1227" s="42" t="str">
        <f t="shared" si="39"/>
        <v/>
      </c>
    </row>
    <row r="1228" spans="2:5" ht="15" customHeight="1" x14ac:dyDescent="0.3">
      <c r="B1228" s="44" t="str">
        <f>IF(OR(LINEAS!$D$142="",LINEAS!$U$142=0,ABS(IF(OR(LINEAS!$U$142=1,LINEAS!$U$142=3),1,-1)*LINEAS!$AG$142*DATOS!$C$67)&lt;0.00005),"*",LINEAS!$D$142&amp;" UNI "&amp;IF(LINEAS!$U$142&lt;=2,"GZ","GX")&amp;" "&amp;TEXT(IF(OR(LINEAS!$U$142=1,LINEAS!$U$142=3),1,-1)*LINEAS!$AG$142*DATOS!$C$67,DATOS!$C$68))</f>
        <v>*</v>
      </c>
      <c r="C1228" s="42" t="str">
        <f t="shared" si="38"/>
        <v/>
      </c>
      <c r="D1228" s="44" t="str">
        <f>IF(PRESIONES!$C$22="NO","",IF(OR(LINEAS!$D$142="",LINEAS!$U$142=0,ABS(IF(OR(LINEAS!$U$142=1,LINEAS!$U$142=3),1,-1)*LINEAS!$AG$142*DATOS!$C$67)&lt;0.00005),"*",LINEAS!$D$142&amp;" UNI "&amp;IF(LINEAS!$U$142&lt;=2,"GZ","GX")&amp;" "&amp;TEXT(IF(OR(LINEAS!$U$142=1,LINEAS!$U$142=3),1,-1)*LINEAS!$AG$142*DATOS!$C$67,DATOS!$C$68)))</f>
        <v/>
      </c>
      <c r="E1228" s="42" t="str">
        <f t="shared" si="39"/>
        <v/>
      </c>
    </row>
    <row r="1229" spans="2:5" ht="15" customHeight="1" x14ac:dyDescent="0.3">
      <c r="B1229" s="44" t="str">
        <f>IF(OR(LINEAS!$D$143="",LINEAS!$U$143=0,ABS(IF(OR(LINEAS!$U$143=1,LINEAS!$U$143=3),1,-1)*LINEAS!$AG$143*DATOS!$C$67)&lt;0.00005),"*",LINEAS!$D$143&amp;" UNI "&amp;IF(LINEAS!$U$143&lt;=2,"GZ","GX")&amp;" "&amp;TEXT(IF(OR(LINEAS!$U$143=1,LINEAS!$U$143=3),1,-1)*LINEAS!$AG$143*DATOS!$C$67,DATOS!$C$68))</f>
        <v>*</v>
      </c>
      <c r="C1229" s="42" t="str">
        <f t="shared" si="38"/>
        <v/>
      </c>
      <c r="D1229" s="44" t="str">
        <f>IF(PRESIONES!$C$22="NO","",IF(OR(LINEAS!$D$143="",LINEAS!$U$143=0,ABS(IF(OR(LINEAS!$U$143=1,LINEAS!$U$143=3),1,-1)*LINEAS!$AG$143*DATOS!$C$67)&lt;0.00005),"*",LINEAS!$D$143&amp;" UNI "&amp;IF(LINEAS!$U$143&lt;=2,"GZ","GX")&amp;" "&amp;TEXT(IF(OR(LINEAS!$U$143=1,LINEAS!$U$143=3),1,-1)*LINEAS!$AG$143*DATOS!$C$67,DATOS!$C$68)))</f>
        <v/>
      </c>
      <c r="E1229" s="42" t="str">
        <f t="shared" si="39"/>
        <v/>
      </c>
    </row>
    <row r="1230" spans="2:5" ht="15" customHeight="1" x14ac:dyDescent="0.3">
      <c r="B1230" s="44" t="str">
        <f>IF(OR(LINEAS!$D$144="",LINEAS!$U$144=0,ABS(IF(OR(LINEAS!$U$144=1,LINEAS!$U$144=3),1,-1)*LINEAS!$AG$144*DATOS!$C$67)&lt;0.00005),"*",LINEAS!$D$144&amp;" UNI "&amp;IF(LINEAS!$U$144&lt;=2,"GZ","GX")&amp;" "&amp;TEXT(IF(OR(LINEAS!$U$144=1,LINEAS!$U$144=3),1,-1)*LINEAS!$AG$144*DATOS!$C$67,DATOS!$C$68))</f>
        <v>*</v>
      </c>
      <c r="C1230" s="42" t="str">
        <f t="shared" si="38"/>
        <v/>
      </c>
      <c r="D1230" s="44" t="str">
        <f>IF(PRESIONES!$C$22="NO","",IF(OR(LINEAS!$D$144="",LINEAS!$U$144=0,ABS(IF(OR(LINEAS!$U$144=1,LINEAS!$U$144=3),1,-1)*LINEAS!$AG$144*DATOS!$C$67)&lt;0.00005),"*",LINEAS!$D$144&amp;" UNI "&amp;IF(LINEAS!$U$144&lt;=2,"GZ","GX")&amp;" "&amp;TEXT(IF(OR(LINEAS!$U$144=1,LINEAS!$U$144=3),1,-1)*LINEAS!$AG$144*DATOS!$C$67,DATOS!$C$68)))</f>
        <v/>
      </c>
      <c r="E1230" s="42" t="str">
        <f t="shared" si="39"/>
        <v/>
      </c>
    </row>
    <row r="1231" spans="2:5" ht="15" customHeight="1" x14ac:dyDescent="0.3">
      <c r="B1231" s="44" t="str">
        <f>IF(OR(LINEAS!$D$145="",LINEAS!$U$145=0,ABS(IF(OR(LINEAS!$U$145=1,LINEAS!$U$145=3),1,-1)*LINEAS!$AG$145*DATOS!$C$67)&lt;0.00005),"*",LINEAS!$D$145&amp;" UNI "&amp;IF(LINEAS!$U$145&lt;=2,"GZ","GX")&amp;" "&amp;TEXT(IF(OR(LINEAS!$U$145=1,LINEAS!$U$145=3),1,-1)*LINEAS!$AG$145*DATOS!$C$67,DATOS!$C$68))</f>
        <v>*</v>
      </c>
      <c r="C1231" s="42" t="str">
        <f t="shared" si="38"/>
        <v/>
      </c>
      <c r="D1231" s="44" t="str">
        <f>IF(PRESIONES!$C$22="NO","",IF(OR(LINEAS!$D$145="",LINEAS!$U$145=0,ABS(IF(OR(LINEAS!$U$145=1,LINEAS!$U$145=3),1,-1)*LINEAS!$AG$145*DATOS!$C$67)&lt;0.00005),"*",LINEAS!$D$145&amp;" UNI "&amp;IF(LINEAS!$U$145&lt;=2,"GZ","GX")&amp;" "&amp;TEXT(IF(OR(LINEAS!$U$145=1,LINEAS!$U$145=3),1,-1)*LINEAS!$AG$145*DATOS!$C$67,DATOS!$C$68)))</f>
        <v/>
      </c>
      <c r="E1231" s="42" t="str">
        <f t="shared" si="39"/>
        <v/>
      </c>
    </row>
    <row r="1232" spans="2:5" ht="15" customHeight="1" x14ac:dyDescent="0.3">
      <c r="B1232" s="44" t="str">
        <f>IF(OR(LINEAS!$D$146="",LINEAS!$U$146=0,ABS(IF(OR(LINEAS!$U$146=1,LINEAS!$U$146=3),1,-1)*LINEAS!$AG$146*DATOS!$C$67)&lt;0.00005),"*",LINEAS!$D$146&amp;" UNI "&amp;IF(LINEAS!$U$146&lt;=2,"GZ","GX")&amp;" "&amp;TEXT(IF(OR(LINEAS!$U$146=1,LINEAS!$U$146=3),1,-1)*LINEAS!$AG$146*DATOS!$C$67,DATOS!$C$68))</f>
        <v>*</v>
      </c>
      <c r="C1232" s="42" t="str">
        <f t="shared" si="38"/>
        <v/>
      </c>
      <c r="D1232" s="44" t="str">
        <f>IF(PRESIONES!$C$22="NO","",IF(OR(LINEAS!$D$146="",LINEAS!$U$146=0,ABS(IF(OR(LINEAS!$U$146=1,LINEAS!$U$146=3),1,-1)*LINEAS!$AG$146*DATOS!$C$67)&lt;0.00005),"*",LINEAS!$D$146&amp;" UNI "&amp;IF(LINEAS!$U$146&lt;=2,"GZ","GX")&amp;" "&amp;TEXT(IF(OR(LINEAS!$U$146=1,LINEAS!$U$146=3),1,-1)*LINEAS!$AG$146*DATOS!$C$67,DATOS!$C$68)))</f>
        <v/>
      </c>
      <c r="E1232" s="42" t="str">
        <f t="shared" si="39"/>
        <v/>
      </c>
    </row>
    <row r="1233" spans="2:5" ht="15" customHeight="1" x14ac:dyDescent="0.3">
      <c r="B1233" s="44" t="str">
        <f>IF(OR(LINEAS!$D$147="",LINEAS!$U$147=0,ABS(IF(OR(LINEAS!$U$147=1,LINEAS!$U$147=3),1,-1)*LINEAS!$AG$147*DATOS!$C$67)&lt;0.00005),"*",LINEAS!$D$147&amp;" UNI "&amp;IF(LINEAS!$U$147&lt;=2,"GZ","GX")&amp;" "&amp;TEXT(IF(OR(LINEAS!$U$147=1,LINEAS!$U$147=3),1,-1)*LINEAS!$AG$147*DATOS!$C$67,DATOS!$C$68))</f>
        <v>*</v>
      </c>
      <c r="C1233" s="42" t="str">
        <f t="shared" si="38"/>
        <v/>
      </c>
      <c r="D1233" s="44" t="str">
        <f>IF(PRESIONES!$C$22="NO","",IF(OR(LINEAS!$D$147="",LINEAS!$U$147=0,ABS(IF(OR(LINEAS!$U$147=1,LINEAS!$U$147=3),1,-1)*LINEAS!$AG$147*DATOS!$C$67)&lt;0.00005),"*",LINEAS!$D$147&amp;" UNI "&amp;IF(LINEAS!$U$147&lt;=2,"GZ","GX")&amp;" "&amp;TEXT(IF(OR(LINEAS!$U$147=1,LINEAS!$U$147=3),1,-1)*LINEAS!$AG$147*DATOS!$C$67,DATOS!$C$68)))</f>
        <v/>
      </c>
      <c r="E1233" s="42" t="str">
        <f t="shared" si="39"/>
        <v/>
      </c>
    </row>
    <row r="1234" spans="2:5" ht="15" customHeight="1" x14ac:dyDescent="0.3">
      <c r="B1234" s="44" t="str">
        <f>IF(OR(LINEAS!$D$148="",LINEAS!$U$148=0,ABS(IF(OR(LINEAS!$U$148=1,LINEAS!$U$148=3),1,-1)*LINEAS!$AG$148*DATOS!$C$67)&lt;0.00005),"*",LINEAS!$D$148&amp;" UNI "&amp;IF(LINEAS!$U$148&lt;=2,"GZ","GX")&amp;" "&amp;TEXT(IF(OR(LINEAS!$U$148=1,LINEAS!$U$148=3),1,-1)*LINEAS!$AG$148*DATOS!$C$67,DATOS!$C$68))</f>
        <v>*</v>
      </c>
      <c r="C1234" s="42" t="str">
        <f t="shared" si="38"/>
        <v/>
      </c>
      <c r="D1234" s="44" t="str">
        <f>IF(PRESIONES!$C$22="NO","",IF(OR(LINEAS!$D$148="",LINEAS!$U$148=0,ABS(IF(OR(LINEAS!$U$148=1,LINEAS!$U$148=3),1,-1)*LINEAS!$AG$148*DATOS!$C$67)&lt;0.00005),"*",LINEAS!$D$148&amp;" UNI "&amp;IF(LINEAS!$U$148&lt;=2,"GZ","GX")&amp;" "&amp;TEXT(IF(OR(LINEAS!$U$148=1,LINEAS!$U$148=3),1,-1)*LINEAS!$AG$148*DATOS!$C$67,DATOS!$C$68)))</f>
        <v/>
      </c>
      <c r="E1234" s="42" t="str">
        <f t="shared" si="39"/>
        <v/>
      </c>
    </row>
    <row r="1235" spans="2:5" ht="15" customHeight="1" x14ac:dyDescent="0.3">
      <c r="B1235" s="44" t="str">
        <f>IF(OR(LINEAS!$D$149="",LINEAS!$U$149=0,ABS(IF(OR(LINEAS!$U$149=1,LINEAS!$U$149=3),1,-1)*LINEAS!$AG$149*DATOS!$C$67)&lt;0.00005),"*",LINEAS!$D$149&amp;" UNI "&amp;IF(LINEAS!$U$149&lt;=2,"GZ","GX")&amp;" "&amp;TEXT(IF(OR(LINEAS!$U$149=1,LINEAS!$U$149=3),1,-1)*LINEAS!$AG$149*DATOS!$C$67,DATOS!$C$68))</f>
        <v>*</v>
      </c>
      <c r="C1235" s="42" t="str">
        <f t="shared" si="38"/>
        <v/>
      </c>
      <c r="D1235" s="44" t="str">
        <f>IF(PRESIONES!$C$22="NO","",IF(OR(LINEAS!$D$149="",LINEAS!$U$149=0,ABS(IF(OR(LINEAS!$U$149=1,LINEAS!$U$149=3),1,-1)*LINEAS!$AG$149*DATOS!$C$67)&lt;0.00005),"*",LINEAS!$D$149&amp;" UNI "&amp;IF(LINEAS!$U$149&lt;=2,"GZ","GX")&amp;" "&amp;TEXT(IF(OR(LINEAS!$U$149=1,LINEAS!$U$149=3),1,-1)*LINEAS!$AG$149*DATOS!$C$67,DATOS!$C$68)))</f>
        <v/>
      </c>
      <c r="E1235" s="42" t="str">
        <f t="shared" si="39"/>
        <v/>
      </c>
    </row>
    <row r="1236" spans="2:5" ht="15" customHeight="1" x14ac:dyDescent="0.3">
      <c r="B1236" s="44" t="str">
        <f>IF(OR(LINEAS!$D$150="",LINEAS!$U$150=0,ABS(IF(OR(LINEAS!$U$150=1,LINEAS!$U$150=3),1,-1)*LINEAS!$AG$150*DATOS!$C$67)&lt;0.00005),"*",LINEAS!$D$150&amp;" UNI "&amp;IF(LINEAS!$U$150&lt;=2,"GZ","GX")&amp;" "&amp;TEXT(IF(OR(LINEAS!$U$150=1,LINEAS!$U$150=3),1,-1)*LINEAS!$AG$150*DATOS!$C$67,DATOS!$C$68))</f>
        <v>*</v>
      </c>
      <c r="C1236" s="42" t="str">
        <f t="shared" si="38"/>
        <v/>
      </c>
      <c r="D1236" s="44" t="str">
        <f>IF(PRESIONES!$C$22="NO","",IF(OR(LINEAS!$D$150="",LINEAS!$U$150=0,ABS(IF(OR(LINEAS!$U$150=1,LINEAS!$U$150=3),1,-1)*LINEAS!$AG$150*DATOS!$C$67)&lt;0.00005),"*",LINEAS!$D$150&amp;" UNI "&amp;IF(LINEAS!$U$150&lt;=2,"GZ","GX")&amp;" "&amp;TEXT(IF(OR(LINEAS!$U$150=1,LINEAS!$U$150=3),1,-1)*LINEAS!$AG$150*DATOS!$C$67,DATOS!$C$68)))</f>
        <v/>
      </c>
      <c r="E1236" s="42" t="str">
        <f t="shared" si="39"/>
        <v/>
      </c>
    </row>
    <row r="1237" spans="2:5" ht="15" customHeight="1" x14ac:dyDescent="0.3">
      <c r="B1237" s="44" t="str">
        <f>IF(OR(LINEAS!$D$151="",LINEAS!$U$151=0,ABS(IF(OR(LINEAS!$U$151=1,LINEAS!$U$151=3),1,-1)*LINEAS!$AG$151*DATOS!$C$67)&lt;0.00005),"*",LINEAS!$D$151&amp;" UNI "&amp;IF(LINEAS!$U$151&lt;=2,"GZ","GX")&amp;" "&amp;TEXT(IF(OR(LINEAS!$U$151=1,LINEAS!$U$151=3),1,-1)*LINEAS!$AG$151*DATOS!$C$67,DATOS!$C$68))</f>
        <v>*</v>
      </c>
      <c r="C1237" s="42" t="str">
        <f t="shared" si="38"/>
        <v/>
      </c>
      <c r="D1237" s="44" t="str">
        <f>IF(PRESIONES!$C$22="NO","",IF(OR(LINEAS!$D$151="",LINEAS!$U$151=0,ABS(IF(OR(LINEAS!$U$151=1,LINEAS!$U$151=3),1,-1)*LINEAS!$AG$151*DATOS!$C$67)&lt;0.00005),"*",LINEAS!$D$151&amp;" UNI "&amp;IF(LINEAS!$U$151&lt;=2,"GZ","GX")&amp;" "&amp;TEXT(IF(OR(LINEAS!$U$151=1,LINEAS!$U$151=3),1,-1)*LINEAS!$AG$151*DATOS!$C$67,DATOS!$C$68)))</f>
        <v/>
      </c>
      <c r="E1237" s="42" t="str">
        <f t="shared" si="39"/>
        <v/>
      </c>
    </row>
    <row r="1238" spans="2:5" ht="15" customHeight="1" x14ac:dyDescent="0.3">
      <c r="B1238" s="44" t="str">
        <f>IF(OR(LINEAS!$D$152="",LINEAS!$U$152=0,ABS(IF(OR(LINEAS!$U$152=1,LINEAS!$U$152=3),1,-1)*LINEAS!$AG$152*DATOS!$C$67)&lt;0.00005),"*",LINEAS!$D$152&amp;" UNI "&amp;IF(LINEAS!$U$152&lt;=2,"GZ","GX")&amp;" "&amp;TEXT(IF(OR(LINEAS!$U$152=1,LINEAS!$U$152=3),1,-1)*LINEAS!$AG$152*DATOS!$C$67,DATOS!$C$68))</f>
        <v>*</v>
      </c>
      <c r="C1238" s="42" t="str">
        <f t="shared" si="38"/>
        <v/>
      </c>
      <c r="D1238" s="44" t="str">
        <f>IF(PRESIONES!$C$22="NO","",IF(OR(LINEAS!$D$152="",LINEAS!$U$152=0,ABS(IF(OR(LINEAS!$U$152=1,LINEAS!$U$152=3),1,-1)*LINEAS!$AG$152*DATOS!$C$67)&lt;0.00005),"*",LINEAS!$D$152&amp;" UNI "&amp;IF(LINEAS!$U$152&lt;=2,"GZ","GX")&amp;" "&amp;TEXT(IF(OR(LINEAS!$U$152=1,LINEAS!$U$152=3),1,-1)*LINEAS!$AG$152*DATOS!$C$67,DATOS!$C$68)))</f>
        <v/>
      </c>
      <c r="E1238" s="42" t="str">
        <f t="shared" si="39"/>
        <v/>
      </c>
    </row>
    <row r="1239" spans="2:5" ht="15" customHeight="1" x14ac:dyDescent="0.3">
      <c r="B1239" s="44" t="str">
        <f>IF(OR(LINEAS!$D$153="",LINEAS!$U$153=0,ABS(IF(OR(LINEAS!$U$153=1,LINEAS!$U$153=3),1,-1)*LINEAS!$AG$153*DATOS!$C$67)&lt;0.00005),"*",LINEAS!$D$153&amp;" UNI "&amp;IF(LINEAS!$U$153&lt;=2,"GZ","GX")&amp;" "&amp;TEXT(IF(OR(LINEAS!$U$153=1,LINEAS!$U$153=3),1,-1)*LINEAS!$AG$153*DATOS!$C$67,DATOS!$C$68))</f>
        <v>*</v>
      </c>
      <c r="C1239" s="42" t="str">
        <f t="shared" si="38"/>
        <v/>
      </c>
      <c r="D1239" s="44" t="str">
        <f>IF(PRESIONES!$C$22="NO","",IF(OR(LINEAS!$D$153="",LINEAS!$U$153=0,ABS(IF(OR(LINEAS!$U$153=1,LINEAS!$U$153=3),1,-1)*LINEAS!$AG$153*DATOS!$C$67)&lt;0.00005),"*",LINEAS!$D$153&amp;" UNI "&amp;IF(LINEAS!$U$153&lt;=2,"GZ","GX")&amp;" "&amp;TEXT(IF(OR(LINEAS!$U$153=1,LINEAS!$U$153=3),1,-1)*LINEAS!$AG$153*DATOS!$C$67,DATOS!$C$68)))</f>
        <v/>
      </c>
      <c r="E1239" s="42" t="str">
        <f t="shared" si="39"/>
        <v/>
      </c>
    </row>
    <row r="1240" spans="2:5" ht="15" customHeight="1" x14ac:dyDescent="0.3">
      <c r="B1240" s="44" t="str">
        <f>IF(OR(LINEAS!$D$154="",LINEAS!$U$154=0,ABS(IF(OR(LINEAS!$U$154=1,LINEAS!$U$154=3),1,-1)*LINEAS!$AG$154*DATOS!$C$67)&lt;0.00005),"*",LINEAS!$D$154&amp;" UNI "&amp;IF(LINEAS!$U$154&lt;=2,"GZ","GX")&amp;" "&amp;TEXT(IF(OR(LINEAS!$U$154=1,LINEAS!$U$154=3),1,-1)*LINEAS!$AG$154*DATOS!$C$67,DATOS!$C$68))</f>
        <v>*</v>
      </c>
      <c r="C1240" s="42" t="str">
        <f t="shared" si="38"/>
        <v/>
      </c>
      <c r="D1240" s="44" t="str">
        <f>IF(PRESIONES!$C$22="NO","",IF(OR(LINEAS!$D$154="",LINEAS!$U$154=0,ABS(IF(OR(LINEAS!$U$154=1,LINEAS!$U$154=3),1,-1)*LINEAS!$AG$154*DATOS!$C$67)&lt;0.00005),"*",LINEAS!$D$154&amp;" UNI "&amp;IF(LINEAS!$U$154&lt;=2,"GZ","GX")&amp;" "&amp;TEXT(IF(OR(LINEAS!$U$154=1,LINEAS!$U$154=3),1,-1)*LINEAS!$AG$154*DATOS!$C$67,DATOS!$C$68)))</f>
        <v/>
      </c>
      <c r="E1240" s="42" t="str">
        <f t="shared" si="39"/>
        <v/>
      </c>
    </row>
    <row r="1241" spans="2:5" ht="15" customHeight="1" x14ac:dyDescent="0.3">
      <c r="B1241" s="44" t="str">
        <f>IF(OR(LINEAS!$D$155="",LINEAS!$U$155=0,ABS(IF(OR(LINEAS!$U$155=1,LINEAS!$U$155=3),1,-1)*LINEAS!$AG$155*DATOS!$C$67)&lt;0.00005),"*",LINEAS!$D$155&amp;" UNI "&amp;IF(LINEAS!$U$155&lt;=2,"GZ","GX")&amp;" "&amp;TEXT(IF(OR(LINEAS!$U$155=1,LINEAS!$U$155=3),1,-1)*LINEAS!$AG$155*DATOS!$C$67,DATOS!$C$68))</f>
        <v>*</v>
      </c>
      <c r="C1241" s="42" t="str">
        <f t="shared" si="38"/>
        <v/>
      </c>
      <c r="D1241" s="44" t="str">
        <f>IF(PRESIONES!$C$22="NO","",IF(OR(LINEAS!$D$155="",LINEAS!$U$155=0,ABS(IF(OR(LINEAS!$U$155=1,LINEAS!$U$155=3),1,-1)*LINEAS!$AG$155*DATOS!$C$67)&lt;0.00005),"*",LINEAS!$D$155&amp;" UNI "&amp;IF(LINEAS!$U$155&lt;=2,"GZ","GX")&amp;" "&amp;TEXT(IF(OR(LINEAS!$U$155=1,LINEAS!$U$155=3),1,-1)*LINEAS!$AG$155*DATOS!$C$67,DATOS!$C$68)))</f>
        <v/>
      </c>
      <c r="E1241" s="42" t="str">
        <f t="shared" si="39"/>
        <v/>
      </c>
    </row>
    <row r="1242" spans="2:5" ht="15" customHeight="1" x14ac:dyDescent="0.3">
      <c r="B1242" s="44" t="str">
        <f>IF(OR(LINEAS!$D$156="",LINEAS!$U$156=0,ABS(IF(OR(LINEAS!$U$156=1,LINEAS!$U$156=3),1,-1)*LINEAS!$AG$156*DATOS!$C$67)&lt;0.00005),"*",LINEAS!$D$156&amp;" UNI "&amp;IF(LINEAS!$U$156&lt;=2,"GZ","GX")&amp;" "&amp;TEXT(IF(OR(LINEAS!$U$156=1,LINEAS!$U$156=3),1,-1)*LINEAS!$AG$156*DATOS!$C$67,DATOS!$C$68))</f>
        <v>*</v>
      </c>
      <c r="C1242" s="42" t="str">
        <f t="shared" si="38"/>
        <v/>
      </c>
      <c r="D1242" s="44" t="str">
        <f>IF(PRESIONES!$C$22="NO","",IF(OR(LINEAS!$D$156="",LINEAS!$U$156=0,ABS(IF(OR(LINEAS!$U$156=1,LINEAS!$U$156=3),1,-1)*LINEAS!$AG$156*DATOS!$C$67)&lt;0.00005),"*",LINEAS!$D$156&amp;" UNI "&amp;IF(LINEAS!$U$156&lt;=2,"GZ","GX")&amp;" "&amp;TEXT(IF(OR(LINEAS!$U$156=1,LINEAS!$U$156=3),1,-1)*LINEAS!$AG$156*DATOS!$C$67,DATOS!$C$68)))</f>
        <v/>
      </c>
      <c r="E1242" s="42" t="str">
        <f t="shared" si="39"/>
        <v/>
      </c>
    </row>
    <row r="1243" spans="2:5" ht="15" customHeight="1" x14ac:dyDescent="0.3">
      <c r="B1243" s="44" t="str">
        <f>IF(OR(LINEAS!$D$157="",LINEAS!$U$157=0,ABS(IF(OR(LINEAS!$U$157=1,LINEAS!$U$157=3),1,-1)*LINEAS!$AG$157*DATOS!$C$67)&lt;0.00005),"*",LINEAS!$D$157&amp;" UNI "&amp;IF(LINEAS!$U$157&lt;=2,"GZ","GX")&amp;" "&amp;TEXT(IF(OR(LINEAS!$U$157=1,LINEAS!$U$157=3),1,-1)*LINEAS!$AG$157*DATOS!$C$67,DATOS!$C$68))</f>
        <v>*</v>
      </c>
      <c r="C1243" s="42" t="str">
        <f t="shared" si="38"/>
        <v/>
      </c>
      <c r="D1243" s="44" t="str">
        <f>IF(PRESIONES!$C$22="NO","",IF(OR(LINEAS!$D$157="",LINEAS!$U$157=0,ABS(IF(OR(LINEAS!$U$157=1,LINEAS!$U$157=3),1,-1)*LINEAS!$AG$157*DATOS!$C$67)&lt;0.00005),"*",LINEAS!$D$157&amp;" UNI "&amp;IF(LINEAS!$U$157&lt;=2,"GZ","GX")&amp;" "&amp;TEXT(IF(OR(LINEAS!$U$157=1,LINEAS!$U$157=3),1,-1)*LINEAS!$AG$157*DATOS!$C$67,DATOS!$C$68)))</f>
        <v/>
      </c>
      <c r="E1243" s="42" t="str">
        <f t="shared" si="39"/>
        <v/>
      </c>
    </row>
    <row r="1244" spans="2:5" ht="15" customHeight="1" x14ac:dyDescent="0.3">
      <c r="B1244" s="44" t="str">
        <f>IF(OR(LINEAS!$D$158="",LINEAS!$U$158=0,ABS(IF(OR(LINEAS!$U$158=1,LINEAS!$U$158=3),1,-1)*LINEAS!$AG$158*DATOS!$C$67)&lt;0.00005),"*",LINEAS!$D$158&amp;" UNI "&amp;IF(LINEAS!$U$158&lt;=2,"GZ","GX")&amp;" "&amp;TEXT(IF(OR(LINEAS!$U$158=1,LINEAS!$U$158=3),1,-1)*LINEAS!$AG$158*DATOS!$C$67,DATOS!$C$68))</f>
        <v>*</v>
      </c>
      <c r="C1244" s="42" t="str">
        <f t="shared" si="38"/>
        <v/>
      </c>
      <c r="D1244" s="44" t="str">
        <f>IF(PRESIONES!$C$22="NO","",IF(OR(LINEAS!$D$158="",LINEAS!$U$158=0,ABS(IF(OR(LINEAS!$U$158=1,LINEAS!$U$158=3),1,-1)*LINEAS!$AG$158*DATOS!$C$67)&lt;0.00005),"*",LINEAS!$D$158&amp;" UNI "&amp;IF(LINEAS!$U$158&lt;=2,"GZ","GX")&amp;" "&amp;TEXT(IF(OR(LINEAS!$U$158=1,LINEAS!$U$158=3),1,-1)*LINEAS!$AG$158*DATOS!$C$67,DATOS!$C$68)))</f>
        <v/>
      </c>
      <c r="E1244" s="42" t="str">
        <f t="shared" si="39"/>
        <v/>
      </c>
    </row>
    <row r="1245" spans="2:5" ht="15" customHeight="1" x14ac:dyDescent="0.3">
      <c r="B1245" s="44" t="str">
        <f>IF(OR(LINEAS!$D$159="",LINEAS!$U$159=0,ABS(IF(OR(LINEAS!$U$159=1,LINEAS!$U$159=3),1,-1)*LINEAS!$AG$159*DATOS!$C$67)&lt;0.00005),"*",LINEAS!$D$159&amp;" UNI "&amp;IF(LINEAS!$U$159&lt;=2,"GZ","GX")&amp;" "&amp;TEXT(IF(OR(LINEAS!$U$159=1,LINEAS!$U$159=3),1,-1)*LINEAS!$AG$159*DATOS!$C$67,DATOS!$C$68))</f>
        <v>*</v>
      </c>
      <c r="C1245" s="42" t="str">
        <f t="shared" si="38"/>
        <v/>
      </c>
      <c r="D1245" s="44" t="str">
        <f>IF(PRESIONES!$C$22="NO","",IF(OR(LINEAS!$D$159="",LINEAS!$U$159=0,ABS(IF(OR(LINEAS!$U$159=1,LINEAS!$U$159=3),1,-1)*LINEAS!$AG$159*DATOS!$C$67)&lt;0.00005),"*",LINEAS!$D$159&amp;" UNI "&amp;IF(LINEAS!$U$159&lt;=2,"GZ","GX")&amp;" "&amp;TEXT(IF(OR(LINEAS!$U$159=1,LINEAS!$U$159=3),1,-1)*LINEAS!$AG$159*DATOS!$C$67,DATOS!$C$68)))</f>
        <v/>
      </c>
      <c r="E1245" s="42" t="str">
        <f t="shared" si="39"/>
        <v/>
      </c>
    </row>
    <row r="1246" spans="2:5" ht="15" customHeight="1" x14ac:dyDescent="0.3">
      <c r="B1246" s="44" t="str">
        <f>IF(OR(LINEAS!$D$160="",LINEAS!$U$160=0,ABS(IF(OR(LINEAS!$U$160=1,LINEAS!$U$160=3),1,-1)*LINEAS!$AG$160*DATOS!$C$67)&lt;0.00005),"*",LINEAS!$D$160&amp;" UNI "&amp;IF(LINEAS!$U$160&lt;=2,"GZ","GX")&amp;" "&amp;TEXT(IF(OR(LINEAS!$U$160=1,LINEAS!$U$160=3),1,-1)*LINEAS!$AG$160*DATOS!$C$67,DATOS!$C$68))</f>
        <v>*</v>
      </c>
      <c r="C1246" s="42" t="str">
        <f t="shared" si="38"/>
        <v/>
      </c>
      <c r="D1246" s="44" t="str">
        <f>IF(PRESIONES!$C$22="NO","",IF(OR(LINEAS!$D$160="",LINEAS!$U$160=0,ABS(IF(OR(LINEAS!$U$160=1,LINEAS!$U$160=3),1,-1)*LINEAS!$AG$160*DATOS!$C$67)&lt;0.00005),"*",LINEAS!$D$160&amp;" UNI "&amp;IF(LINEAS!$U$160&lt;=2,"GZ","GX")&amp;" "&amp;TEXT(IF(OR(LINEAS!$U$160=1,LINEAS!$U$160=3),1,-1)*LINEAS!$AG$160*DATOS!$C$67,DATOS!$C$68)))</f>
        <v/>
      </c>
      <c r="E1246" s="42" t="str">
        <f t="shared" si="39"/>
        <v/>
      </c>
    </row>
    <row r="1247" spans="2:5" ht="15" customHeight="1" x14ac:dyDescent="0.3">
      <c r="B1247" s="44" t="str">
        <f>IF(OR(LINEAS!$D$161="",LINEAS!$U$161=0,ABS(IF(OR(LINEAS!$U$161=1,LINEAS!$U$161=3),1,-1)*LINEAS!$AG$161*DATOS!$C$67)&lt;0.00005),"*",LINEAS!$D$161&amp;" UNI "&amp;IF(LINEAS!$U$161&lt;=2,"GZ","GX")&amp;" "&amp;TEXT(IF(OR(LINEAS!$U$161=1,LINEAS!$U$161=3),1,-1)*LINEAS!$AG$161*DATOS!$C$67,DATOS!$C$68))</f>
        <v>*</v>
      </c>
      <c r="C1247" s="42" t="str">
        <f t="shared" si="38"/>
        <v/>
      </c>
      <c r="D1247" s="44" t="str">
        <f>IF(PRESIONES!$C$22="NO","",IF(OR(LINEAS!$D$161="",LINEAS!$U$161=0,ABS(IF(OR(LINEAS!$U$161=1,LINEAS!$U$161=3),1,-1)*LINEAS!$AG$161*DATOS!$C$67)&lt;0.00005),"*",LINEAS!$D$161&amp;" UNI "&amp;IF(LINEAS!$U$161&lt;=2,"GZ","GX")&amp;" "&amp;TEXT(IF(OR(LINEAS!$U$161=1,LINEAS!$U$161=3),1,-1)*LINEAS!$AG$161*DATOS!$C$67,DATOS!$C$68)))</f>
        <v/>
      </c>
      <c r="E1247" s="42" t="str">
        <f t="shared" si="39"/>
        <v/>
      </c>
    </row>
    <row r="1248" spans="2:5" ht="15" customHeight="1" x14ac:dyDescent="0.3">
      <c r="B1248" s="44" t="str">
        <f>IF(OR(LINEAS!$D$162="",LINEAS!$U$162=0,ABS(IF(OR(LINEAS!$U$162=1,LINEAS!$U$162=3),1,-1)*LINEAS!$AG$162*DATOS!$C$67)&lt;0.00005),"*",LINEAS!$D$162&amp;" UNI "&amp;IF(LINEAS!$U$162&lt;=2,"GZ","GX")&amp;" "&amp;TEXT(IF(OR(LINEAS!$U$162=1,LINEAS!$U$162=3),1,-1)*LINEAS!$AG$162*DATOS!$C$67,DATOS!$C$68))</f>
        <v>*</v>
      </c>
      <c r="C1248" s="42" t="str">
        <f t="shared" si="38"/>
        <v/>
      </c>
      <c r="D1248" s="44" t="str">
        <f>IF(PRESIONES!$C$22="NO","",IF(OR(LINEAS!$D$162="",LINEAS!$U$162=0,ABS(IF(OR(LINEAS!$U$162=1,LINEAS!$U$162=3),1,-1)*LINEAS!$AG$162*DATOS!$C$67)&lt;0.00005),"*",LINEAS!$D$162&amp;" UNI "&amp;IF(LINEAS!$U$162&lt;=2,"GZ","GX")&amp;" "&amp;TEXT(IF(OR(LINEAS!$U$162=1,LINEAS!$U$162=3),1,-1)*LINEAS!$AG$162*DATOS!$C$67,DATOS!$C$68)))</f>
        <v/>
      </c>
      <c r="E1248" s="42" t="str">
        <f t="shared" si="39"/>
        <v/>
      </c>
    </row>
    <row r="1249" spans="2:5" ht="15" customHeight="1" x14ac:dyDescent="0.3">
      <c r="B1249" s="44" t="str">
        <f>IF(OR(LINEAS!$D$163="",LINEAS!$U$163=0,ABS(IF(OR(LINEAS!$U$163=1,LINEAS!$U$163=3),1,-1)*LINEAS!$AG$163*DATOS!$C$67)&lt;0.00005),"*",LINEAS!$D$163&amp;" UNI "&amp;IF(LINEAS!$U$163&lt;=2,"GZ","GX")&amp;" "&amp;TEXT(IF(OR(LINEAS!$U$163=1,LINEAS!$U$163=3),1,-1)*LINEAS!$AG$163*DATOS!$C$67,DATOS!$C$68))</f>
        <v>*</v>
      </c>
      <c r="C1249" s="42" t="str">
        <f t="shared" si="38"/>
        <v/>
      </c>
      <c r="D1249" s="44" t="str">
        <f>IF(PRESIONES!$C$22="NO","",IF(OR(LINEAS!$D$163="",LINEAS!$U$163=0,ABS(IF(OR(LINEAS!$U$163=1,LINEAS!$U$163=3),1,-1)*LINEAS!$AG$163*DATOS!$C$67)&lt;0.00005),"*",LINEAS!$D$163&amp;" UNI "&amp;IF(LINEAS!$U$163&lt;=2,"GZ","GX")&amp;" "&amp;TEXT(IF(OR(LINEAS!$U$163=1,LINEAS!$U$163=3),1,-1)*LINEAS!$AG$163*DATOS!$C$67,DATOS!$C$68)))</f>
        <v/>
      </c>
      <c r="E1249" s="42" t="str">
        <f t="shared" si="39"/>
        <v/>
      </c>
    </row>
    <row r="1250" spans="2:5" ht="15" customHeight="1" x14ac:dyDescent="0.3">
      <c r="B1250" s="44" t="str">
        <f>IF(OR(LINEAS!$D$164="",LINEAS!$U$164=0,ABS(IF(OR(LINEAS!$U$164=1,LINEAS!$U$164=3),1,-1)*LINEAS!$AG$164*DATOS!$C$67)&lt;0.00005),"*",LINEAS!$D$164&amp;" UNI "&amp;IF(LINEAS!$U$164&lt;=2,"GZ","GX")&amp;" "&amp;TEXT(IF(OR(LINEAS!$U$164=1,LINEAS!$U$164=3),1,-1)*LINEAS!$AG$164*DATOS!$C$67,DATOS!$C$68))</f>
        <v>*</v>
      </c>
      <c r="C1250" s="42" t="str">
        <f t="shared" si="38"/>
        <v/>
      </c>
      <c r="D1250" s="44" t="str">
        <f>IF(PRESIONES!$C$22="NO","",IF(OR(LINEAS!$D$164="",LINEAS!$U$164=0,ABS(IF(OR(LINEAS!$U$164=1,LINEAS!$U$164=3),1,-1)*LINEAS!$AG$164*DATOS!$C$67)&lt;0.00005),"*",LINEAS!$D$164&amp;" UNI "&amp;IF(LINEAS!$U$164&lt;=2,"GZ","GX")&amp;" "&amp;TEXT(IF(OR(LINEAS!$U$164=1,LINEAS!$U$164=3),1,-1)*LINEAS!$AG$164*DATOS!$C$67,DATOS!$C$68)))</f>
        <v/>
      </c>
      <c r="E1250" s="42" t="str">
        <f t="shared" si="39"/>
        <v/>
      </c>
    </row>
    <row r="1251" spans="2:5" ht="15" customHeight="1" x14ac:dyDescent="0.3">
      <c r="B1251" s="44" t="str">
        <f>IF(OR(LINEAS!$D$165="",LINEAS!$U$165=0,ABS(IF(OR(LINEAS!$U$165=1,LINEAS!$U$165=3),1,-1)*LINEAS!$AG$165*DATOS!$C$67)&lt;0.00005),"*",LINEAS!$D$165&amp;" UNI "&amp;IF(LINEAS!$U$165&lt;=2,"GZ","GX")&amp;" "&amp;TEXT(IF(OR(LINEAS!$U$165=1,LINEAS!$U$165=3),1,-1)*LINEAS!$AG$165*DATOS!$C$67,DATOS!$C$68))</f>
        <v>*</v>
      </c>
      <c r="C1251" s="42" t="str">
        <f t="shared" si="38"/>
        <v/>
      </c>
      <c r="D1251" s="44" t="str">
        <f>IF(PRESIONES!$C$22="NO","",IF(OR(LINEAS!$D$165="",LINEAS!$U$165=0,ABS(IF(OR(LINEAS!$U$165=1,LINEAS!$U$165=3),1,-1)*LINEAS!$AG$165*DATOS!$C$67)&lt;0.00005),"*",LINEAS!$D$165&amp;" UNI "&amp;IF(LINEAS!$U$165&lt;=2,"GZ","GX")&amp;" "&amp;TEXT(IF(OR(LINEAS!$U$165=1,LINEAS!$U$165=3),1,-1)*LINEAS!$AG$165*DATOS!$C$67,DATOS!$C$68)))</f>
        <v/>
      </c>
      <c r="E1251" s="42" t="str">
        <f t="shared" si="39"/>
        <v/>
      </c>
    </row>
    <row r="1252" spans="2:5" ht="15" customHeight="1" x14ac:dyDescent="0.3">
      <c r="B1252" s="44" t="str">
        <f>IF(OR(LINEAS!$D$166="",LINEAS!$U$166=0,ABS(IF(OR(LINEAS!$U$166=1,LINEAS!$U$166=3),1,-1)*LINEAS!$AG$166*DATOS!$C$67)&lt;0.00005),"*",LINEAS!$D$166&amp;" UNI "&amp;IF(LINEAS!$U$166&lt;=2,"GZ","GX")&amp;" "&amp;TEXT(IF(OR(LINEAS!$U$166=1,LINEAS!$U$166=3),1,-1)*LINEAS!$AG$166*DATOS!$C$67,DATOS!$C$68))</f>
        <v>*</v>
      </c>
      <c r="C1252" s="42" t="str">
        <f t="shared" si="38"/>
        <v/>
      </c>
      <c r="D1252" s="44" t="str">
        <f>IF(PRESIONES!$C$22="NO","",IF(OR(LINEAS!$D$166="",LINEAS!$U$166=0,ABS(IF(OR(LINEAS!$U$166=1,LINEAS!$U$166=3),1,-1)*LINEAS!$AG$166*DATOS!$C$67)&lt;0.00005),"*",LINEAS!$D$166&amp;" UNI "&amp;IF(LINEAS!$U$166&lt;=2,"GZ","GX")&amp;" "&amp;TEXT(IF(OR(LINEAS!$U$166=1,LINEAS!$U$166=3),1,-1)*LINEAS!$AG$166*DATOS!$C$67,DATOS!$C$68)))</f>
        <v/>
      </c>
      <c r="E1252" s="42" t="str">
        <f t="shared" si="39"/>
        <v/>
      </c>
    </row>
    <row r="1253" spans="2:5" ht="15" customHeight="1" x14ac:dyDescent="0.3">
      <c r="B1253" s="44" t="str">
        <f>IF(OR(LINEAS!$D$167="",LINEAS!$U$167=0,ABS(IF(OR(LINEAS!$U$167=1,LINEAS!$U$167=3),1,-1)*LINEAS!$AG$167*DATOS!$C$67)&lt;0.00005),"*",LINEAS!$D$167&amp;" UNI "&amp;IF(LINEAS!$U$167&lt;=2,"GZ","GX")&amp;" "&amp;TEXT(IF(OR(LINEAS!$U$167=1,LINEAS!$U$167=3),1,-1)*LINEAS!$AG$167*DATOS!$C$67,DATOS!$C$68))</f>
        <v>*</v>
      </c>
      <c r="C1253" s="42" t="str">
        <f t="shared" si="38"/>
        <v/>
      </c>
      <c r="D1253" s="44" t="str">
        <f>IF(PRESIONES!$C$22="NO","",IF(OR(LINEAS!$D$167="",LINEAS!$U$167=0,ABS(IF(OR(LINEAS!$U$167=1,LINEAS!$U$167=3),1,-1)*LINEAS!$AG$167*DATOS!$C$67)&lt;0.00005),"*",LINEAS!$D$167&amp;" UNI "&amp;IF(LINEAS!$U$167&lt;=2,"GZ","GX")&amp;" "&amp;TEXT(IF(OR(LINEAS!$U$167=1,LINEAS!$U$167=3),1,-1)*LINEAS!$AG$167*DATOS!$C$67,DATOS!$C$68)))</f>
        <v/>
      </c>
      <c r="E1253" s="42" t="str">
        <f t="shared" si="39"/>
        <v/>
      </c>
    </row>
    <row r="1254" spans="2:5" ht="15" customHeight="1" x14ac:dyDescent="0.3">
      <c r="B1254" s="44" t="str">
        <f>IF(OR(LINEAS!$D$168="",LINEAS!$U$168=0,ABS(IF(OR(LINEAS!$U$168=1,LINEAS!$U$168=3),1,-1)*LINEAS!$AG$168*DATOS!$C$67)&lt;0.00005),"*",LINEAS!$D$168&amp;" UNI "&amp;IF(LINEAS!$U$168&lt;=2,"GZ","GX")&amp;" "&amp;TEXT(IF(OR(LINEAS!$U$168=1,LINEAS!$U$168=3),1,-1)*LINEAS!$AG$168*DATOS!$C$67,DATOS!$C$68))</f>
        <v>*</v>
      </c>
      <c r="C1254" s="42" t="str">
        <f t="shared" si="38"/>
        <v/>
      </c>
      <c r="D1254" s="44" t="str">
        <f>IF(PRESIONES!$C$22="NO","",IF(OR(LINEAS!$D$168="",LINEAS!$U$168=0,ABS(IF(OR(LINEAS!$U$168=1,LINEAS!$U$168=3),1,-1)*LINEAS!$AG$168*DATOS!$C$67)&lt;0.00005),"*",LINEAS!$D$168&amp;" UNI "&amp;IF(LINEAS!$U$168&lt;=2,"GZ","GX")&amp;" "&amp;TEXT(IF(OR(LINEAS!$U$168=1,LINEAS!$U$168=3),1,-1)*LINEAS!$AG$168*DATOS!$C$67,DATOS!$C$68)))</f>
        <v/>
      </c>
      <c r="E1254" s="42" t="str">
        <f t="shared" si="39"/>
        <v/>
      </c>
    </row>
    <row r="1255" spans="2:5" ht="15" customHeight="1" x14ac:dyDescent="0.3">
      <c r="B1255" s="44" t="str">
        <f>IF(OR(LINEAS!$D$169="",LINEAS!$U$169=0,ABS(IF(OR(LINEAS!$U$169=1,LINEAS!$U$169=3),1,-1)*LINEAS!$AG$169*DATOS!$C$67)&lt;0.00005),"*",LINEAS!$D$169&amp;" UNI "&amp;IF(LINEAS!$U$169&lt;=2,"GZ","GX")&amp;" "&amp;TEXT(IF(OR(LINEAS!$U$169=1,LINEAS!$U$169=3),1,-1)*LINEAS!$AG$169*DATOS!$C$67,DATOS!$C$68))</f>
        <v>*</v>
      </c>
      <c r="C1255" s="42" t="str">
        <f t="shared" si="38"/>
        <v/>
      </c>
      <c r="D1255" s="44" t="str">
        <f>IF(PRESIONES!$C$22="NO","",IF(OR(LINEAS!$D$169="",LINEAS!$U$169=0,ABS(IF(OR(LINEAS!$U$169=1,LINEAS!$U$169=3),1,-1)*LINEAS!$AG$169*DATOS!$C$67)&lt;0.00005),"*",LINEAS!$D$169&amp;" UNI "&amp;IF(LINEAS!$U$169&lt;=2,"GZ","GX")&amp;" "&amp;TEXT(IF(OR(LINEAS!$U$169=1,LINEAS!$U$169=3),1,-1)*LINEAS!$AG$169*DATOS!$C$67,DATOS!$C$68)))</f>
        <v/>
      </c>
      <c r="E1255" s="42" t="str">
        <f t="shared" si="39"/>
        <v/>
      </c>
    </row>
    <row r="1256" spans="2:5" ht="15" customHeight="1" x14ac:dyDescent="0.3">
      <c r="B1256" s="44" t="str">
        <f>IF(OR(LINEAS!$D$170="",LINEAS!$U$170=0,ABS(IF(OR(LINEAS!$U$170=1,LINEAS!$U$170=3),1,-1)*LINEAS!$AG$170*DATOS!$C$67)&lt;0.00005),"*",LINEAS!$D$170&amp;" UNI "&amp;IF(LINEAS!$U$170&lt;=2,"GZ","GX")&amp;" "&amp;TEXT(IF(OR(LINEAS!$U$170=1,LINEAS!$U$170=3),1,-1)*LINEAS!$AG$170*DATOS!$C$67,DATOS!$C$68))</f>
        <v>*</v>
      </c>
      <c r="C1256" s="42" t="str">
        <f t="shared" si="38"/>
        <v/>
      </c>
      <c r="D1256" s="44" t="str">
        <f>IF(PRESIONES!$C$22="NO","",IF(OR(LINEAS!$D$170="",LINEAS!$U$170=0,ABS(IF(OR(LINEAS!$U$170=1,LINEAS!$U$170=3),1,-1)*LINEAS!$AG$170*DATOS!$C$67)&lt;0.00005),"*",LINEAS!$D$170&amp;" UNI "&amp;IF(LINEAS!$U$170&lt;=2,"GZ","GX")&amp;" "&amp;TEXT(IF(OR(LINEAS!$U$170=1,LINEAS!$U$170=3),1,-1)*LINEAS!$AG$170*DATOS!$C$67,DATOS!$C$68)))</f>
        <v/>
      </c>
      <c r="E1256" s="42" t="str">
        <f t="shared" si="39"/>
        <v/>
      </c>
    </row>
    <row r="1257" spans="2:5" ht="15" customHeight="1" x14ac:dyDescent="0.3">
      <c r="B1257" s="44" t="str">
        <f>IF(OR(LINEAS!$D$171="",LINEAS!$U$171=0,ABS(IF(OR(LINEAS!$U$171=1,LINEAS!$U$171=3),1,-1)*LINEAS!$AG$171*DATOS!$C$67)&lt;0.00005),"*",LINEAS!$D$171&amp;" UNI "&amp;IF(LINEAS!$U$171&lt;=2,"GZ","GX")&amp;" "&amp;TEXT(IF(OR(LINEAS!$U$171=1,LINEAS!$U$171=3),1,-1)*LINEAS!$AG$171*DATOS!$C$67,DATOS!$C$68))</f>
        <v>*</v>
      </c>
      <c r="C1257" s="42" t="str">
        <f t="shared" si="38"/>
        <v/>
      </c>
      <c r="D1257" s="44" t="str">
        <f>IF(PRESIONES!$C$22="NO","",IF(OR(LINEAS!$D$171="",LINEAS!$U$171=0,ABS(IF(OR(LINEAS!$U$171=1,LINEAS!$U$171=3),1,-1)*LINEAS!$AG$171*DATOS!$C$67)&lt;0.00005),"*",LINEAS!$D$171&amp;" UNI "&amp;IF(LINEAS!$U$171&lt;=2,"GZ","GX")&amp;" "&amp;TEXT(IF(OR(LINEAS!$U$171=1,LINEAS!$U$171=3),1,-1)*LINEAS!$AG$171*DATOS!$C$67,DATOS!$C$68)))</f>
        <v/>
      </c>
      <c r="E1257" s="42" t="str">
        <f t="shared" si="39"/>
        <v/>
      </c>
    </row>
    <row r="1258" spans="2:5" ht="15" customHeight="1" x14ac:dyDescent="0.3">
      <c r="B1258" s="44" t="str">
        <f>IF(OR(LINEAS!$D$172="",LINEAS!$U$172=0,ABS(IF(OR(LINEAS!$U$172=1,LINEAS!$U$172=3),1,-1)*LINEAS!$AG$172*DATOS!$C$67)&lt;0.00005),"*",LINEAS!$D$172&amp;" UNI "&amp;IF(LINEAS!$U$172&lt;=2,"GZ","GX")&amp;" "&amp;TEXT(IF(OR(LINEAS!$U$172=1,LINEAS!$U$172=3),1,-1)*LINEAS!$AG$172*DATOS!$C$67,DATOS!$C$68))</f>
        <v>*</v>
      </c>
      <c r="C1258" s="42" t="str">
        <f t="shared" si="38"/>
        <v/>
      </c>
      <c r="D1258" s="44" t="str">
        <f>IF(PRESIONES!$C$22="NO","",IF(OR(LINEAS!$D$172="",LINEAS!$U$172=0,ABS(IF(OR(LINEAS!$U$172=1,LINEAS!$U$172=3),1,-1)*LINEAS!$AG$172*DATOS!$C$67)&lt;0.00005),"*",LINEAS!$D$172&amp;" UNI "&amp;IF(LINEAS!$U$172&lt;=2,"GZ","GX")&amp;" "&amp;TEXT(IF(OR(LINEAS!$U$172=1,LINEAS!$U$172=3),1,-1)*LINEAS!$AG$172*DATOS!$C$67,DATOS!$C$68)))</f>
        <v/>
      </c>
      <c r="E1258" s="42" t="str">
        <f t="shared" si="39"/>
        <v/>
      </c>
    </row>
    <row r="1259" spans="2:5" ht="15" customHeight="1" x14ac:dyDescent="0.3">
      <c r="B1259" s="44" t="str">
        <f>IF(OR(LINEAS!$D$173="",LINEAS!$U$173=0,ABS(IF(OR(LINEAS!$U$173=1,LINEAS!$U$173=3),1,-1)*LINEAS!$AG$173*DATOS!$C$67)&lt;0.00005),"*",LINEAS!$D$173&amp;" UNI "&amp;IF(LINEAS!$U$173&lt;=2,"GZ","GX")&amp;" "&amp;TEXT(IF(OR(LINEAS!$U$173=1,LINEAS!$U$173=3),1,-1)*LINEAS!$AG$173*DATOS!$C$67,DATOS!$C$68))</f>
        <v>*</v>
      </c>
      <c r="C1259" s="42" t="str">
        <f t="shared" si="38"/>
        <v/>
      </c>
      <c r="D1259" s="44" t="str">
        <f>IF(PRESIONES!$C$22="NO","",IF(OR(LINEAS!$D$173="",LINEAS!$U$173=0,ABS(IF(OR(LINEAS!$U$173=1,LINEAS!$U$173=3),1,-1)*LINEAS!$AG$173*DATOS!$C$67)&lt;0.00005),"*",LINEAS!$D$173&amp;" UNI "&amp;IF(LINEAS!$U$173&lt;=2,"GZ","GX")&amp;" "&amp;TEXT(IF(OR(LINEAS!$U$173=1,LINEAS!$U$173=3),1,-1)*LINEAS!$AG$173*DATOS!$C$67,DATOS!$C$68)))</f>
        <v/>
      </c>
      <c r="E1259" s="42" t="str">
        <f t="shared" si="39"/>
        <v/>
      </c>
    </row>
    <row r="1260" spans="2:5" ht="15" customHeight="1" x14ac:dyDescent="0.3">
      <c r="B1260" s="44" t="str">
        <f>IF(OR(LINEAS!$D$174="",LINEAS!$U$174=0,ABS(IF(OR(LINEAS!$U$174=1,LINEAS!$U$174=3),1,-1)*LINEAS!$AG$174*DATOS!$C$67)&lt;0.00005),"*",LINEAS!$D$174&amp;" UNI "&amp;IF(LINEAS!$U$174&lt;=2,"GZ","GX")&amp;" "&amp;TEXT(IF(OR(LINEAS!$U$174=1,LINEAS!$U$174=3),1,-1)*LINEAS!$AG$174*DATOS!$C$67,DATOS!$C$68))</f>
        <v>*</v>
      </c>
      <c r="C1260" s="42" t="str">
        <f t="shared" si="38"/>
        <v/>
      </c>
      <c r="D1260" s="44" t="str">
        <f>IF(PRESIONES!$C$22="NO","",IF(OR(LINEAS!$D$174="",LINEAS!$U$174=0,ABS(IF(OR(LINEAS!$U$174=1,LINEAS!$U$174=3),1,-1)*LINEAS!$AG$174*DATOS!$C$67)&lt;0.00005),"*",LINEAS!$D$174&amp;" UNI "&amp;IF(LINEAS!$U$174&lt;=2,"GZ","GX")&amp;" "&amp;TEXT(IF(OR(LINEAS!$U$174=1,LINEAS!$U$174=3),1,-1)*LINEAS!$AG$174*DATOS!$C$67,DATOS!$C$68)))</f>
        <v/>
      </c>
      <c r="E1260" s="42" t="str">
        <f t="shared" si="39"/>
        <v/>
      </c>
    </row>
    <row r="1261" spans="2:5" ht="15" customHeight="1" x14ac:dyDescent="0.3">
      <c r="B1261" s="44" t="str">
        <f>IF(OR(LINEAS!$D$175="",LINEAS!$U$175=0,ABS(IF(OR(LINEAS!$U$175=1,LINEAS!$U$175=3),1,-1)*LINEAS!$AG$175*DATOS!$C$67)&lt;0.00005),"*",LINEAS!$D$175&amp;" UNI "&amp;IF(LINEAS!$U$175&lt;=2,"GZ","GX")&amp;" "&amp;TEXT(IF(OR(LINEAS!$U$175=1,LINEAS!$U$175=3),1,-1)*LINEAS!$AG$175*DATOS!$C$67,DATOS!$C$68))</f>
        <v>*</v>
      </c>
      <c r="C1261" s="42" t="str">
        <f t="shared" si="38"/>
        <v/>
      </c>
      <c r="D1261" s="44" t="str">
        <f>IF(PRESIONES!$C$22="NO","",IF(OR(LINEAS!$D$175="",LINEAS!$U$175=0,ABS(IF(OR(LINEAS!$U$175=1,LINEAS!$U$175=3),1,-1)*LINEAS!$AG$175*DATOS!$C$67)&lt;0.00005),"*",LINEAS!$D$175&amp;" UNI "&amp;IF(LINEAS!$U$175&lt;=2,"GZ","GX")&amp;" "&amp;TEXT(IF(OR(LINEAS!$U$175=1,LINEAS!$U$175=3),1,-1)*LINEAS!$AG$175*DATOS!$C$67,DATOS!$C$68)))</f>
        <v/>
      </c>
      <c r="E1261" s="42" t="str">
        <f t="shared" si="39"/>
        <v/>
      </c>
    </row>
    <row r="1262" spans="2:5" ht="15" customHeight="1" x14ac:dyDescent="0.3">
      <c r="B1262" s="44" t="str">
        <f>IF(OR(LINEAS!$D$176="",LINEAS!$U$176=0,ABS(IF(OR(LINEAS!$U$176=1,LINEAS!$U$176=3),1,-1)*LINEAS!$AG$176*DATOS!$C$67)&lt;0.00005),"*",LINEAS!$D$176&amp;" UNI "&amp;IF(LINEAS!$U$176&lt;=2,"GZ","GX")&amp;" "&amp;TEXT(IF(OR(LINEAS!$U$176=1,LINEAS!$U$176=3),1,-1)*LINEAS!$AG$176*DATOS!$C$67,DATOS!$C$68))</f>
        <v>*</v>
      </c>
      <c r="C1262" s="42" t="str">
        <f t="shared" si="38"/>
        <v/>
      </c>
      <c r="D1262" s="44" t="str">
        <f>IF(PRESIONES!$C$22="NO","",IF(OR(LINEAS!$D$176="",LINEAS!$U$176=0,ABS(IF(OR(LINEAS!$U$176=1,LINEAS!$U$176=3),1,-1)*LINEAS!$AG$176*DATOS!$C$67)&lt;0.00005),"*",LINEAS!$D$176&amp;" UNI "&amp;IF(LINEAS!$U$176&lt;=2,"GZ","GX")&amp;" "&amp;TEXT(IF(OR(LINEAS!$U$176=1,LINEAS!$U$176=3),1,-1)*LINEAS!$AG$176*DATOS!$C$67,DATOS!$C$68)))</f>
        <v/>
      </c>
      <c r="E1262" s="42" t="str">
        <f t="shared" si="39"/>
        <v/>
      </c>
    </row>
    <row r="1263" spans="2:5" ht="15" customHeight="1" x14ac:dyDescent="0.3">
      <c r="B1263" s="44" t="str">
        <f>IF(OR(LINEAS!$D$177="",LINEAS!$U$177=0,ABS(IF(OR(LINEAS!$U$177=1,LINEAS!$U$177=3),1,-1)*LINEAS!$AG$177*DATOS!$C$67)&lt;0.00005),"*",LINEAS!$D$177&amp;" UNI "&amp;IF(LINEAS!$U$177&lt;=2,"GZ","GX")&amp;" "&amp;TEXT(IF(OR(LINEAS!$U$177=1,LINEAS!$U$177=3),1,-1)*LINEAS!$AG$177*DATOS!$C$67,DATOS!$C$68))</f>
        <v>*</v>
      </c>
      <c r="C1263" s="42" t="str">
        <f t="shared" si="38"/>
        <v/>
      </c>
      <c r="D1263" s="44" t="str">
        <f>IF(PRESIONES!$C$22="NO","",IF(OR(LINEAS!$D$177="",LINEAS!$U$177=0,ABS(IF(OR(LINEAS!$U$177=1,LINEAS!$U$177=3),1,-1)*LINEAS!$AG$177*DATOS!$C$67)&lt;0.00005),"*",LINEAS!$D$177&amp;" UNI "&amp;IF(LINEAS!$U$177&lt;=2,"GZ","GX")&amp;" "&amp;TEXT(IF(OR(LINEAS!$U$177=1,LINEAS!$U$177=3),1,-1)*LINEAS!$AG$177*DATOS!$C$67,DATOS!$C$68)))</f>
        <v/>
      </c>
      <c r="E1263" s="42" t="str">
        <f t="shared" si="39"/>
        <v/>
      </c>
    </row>
    <row r="1264" spans="2:5" ht="15" customHeight="1" x14ac:dyDescent="0.3">
      <c r="B1264" s="44" t="str">
        <f>IF(OR(LINEAS!$D$178="",LINEAS!$U$178=0,ABS(IF(OR(LINEAS!$U$178=1,LINEAS!$U$178=3),1,-1)*LINEAS!$AG$178*DATOS!$C$67)&lt;0.00005),"*",LINEAS!$D$178&amp;" UNI "&amp;IF(LINEAS!$U$178&lt;=2,"GZ","GX")&amp;" "&amp;TEXT(IF(OR(LINEAS!$U$178=1,LINEAS!$U$178=3),1,-1)*LINEAS!$AG$178*DATOS!$C$67,DATOS!$C$68))</f>
        <v>*</v>
      </c>
      <c r="C1264" s="42" t="str">
        <f t="shared" si="38"/>
        <v/>
      </c>
      <c r="D1264" s="44" t="str">
        <f>IF(PRESIONES!$C$22="NO","",IF(OR(LINEAS!$D$178="",LINEAS!$U$178=0,ABS(IF(OR(LINEAS!$U$178=1,LINEAS!$U$178=3),1,-1)*LINEAS!$AG$178*DATOS!$C$67)&lt;0.00005),"*",LINEAS!$D$178&amp;" UNI "&amp;IF(LINEAS!$U$178&lt;=2,"GZ","GX")&amp;" "&amp;TEXT(IF(OR(LINEAS!$U$178=1,LINEAS!$U$178=3),1,-1)*LINEAS!$AG$178*DATOS!$C$67,DATOS!$C$68)))</f>
        <v/>
      </c>
      <c r="E1264" s="42" t="str">
        <f t="shared" si="39"/>
        <v/>
      </c>
    </row>
    <row r="1265" spans="2:5" ht="15" customHeight="1" x14ac:dyDescent="0.3">
      <c r="B1265" s="44" t="str">
        <f>IF(OR(LINEAS!$D$179="",LINEAS!$U$179=0,ABS(IF(OR(LINEAS!$U$179=1,LINEAS!$U$179=3),1,-1)*LINEAS!$AG$179*DATOS!$C$67)&lt;0.00005),"*",LINEAS!$D$179&amp;" UNI "&amp;IF(LINEAS!$U$179&lt;=2,"GZ","GX")&amp;" "&amp;TEXT(IF(OR(LINEAS!$U$179=1,LINEAS!$U$179=3),1,-1)*LINEAS!$AG$179*DATOS!$C$67,DATOS!$C$68))</f>
        <v>*</v>
      </c>
      <c r="C1265" s="42" t="str">
        <f t="shared" si="38"/>
        <v/>
      </c>
      <c r="D1265" s="44" t="str">
        <f>IF(PRESIONES!$C$22="NO","",IF(OR(LINEAS!$D$179="",LINEAS!$U$179=0,ABS(IF(OR(LINEAS!$U$179=1,LINEAS!$U$179=3),1,-1)*LINEAS!$AG$179*DATOS!$C$67)&lt;0.00005),"*",LINEAS!$D$179&amp;" UNI "&amp;IF(LINEAS!$U$179&lt;=2,"GZ","GX")&amp;" "&amp;TEXT(IF(OR(LINEAS!$U$179=1,LINEAS!$U$179=3),1,-1)*LINEAS!$AG$179*DATOS!$C$67,DATOS!$C$68)))</f>
        <v/>
      </c>
      <c r="E1265" s="42" t="str">
        <f t="shared" si="39"/>
        <v/>
      </c>
    </row>
    <row r="1266" spans="2:5" ht="15" customHeight="1" x14ac:dyDescent="0.3">
      <c r="B1266" s="44" t="str">
        <f>IF(OR(LINEAS!$D$180="",LINEAS!$U$180=0,ABS(IF(OR(LINEAS!$U$180=1,LINEAS!$U$180=3),1,-1)*LINEAS!$AG$180*DATOS!$C$67)&lt;0.00005),"*",LINEAS!$D$180&amp;" UNI "&amp;IF(LINEAS!$U$180&lt;=2,"GZ","GX")&amp;" "&amp;TEXT(IF(OR(LINEAS!$U$180=1,LINEAS!$U$180=3),1,-1)*LINEAS!$AG$180*DATOS!$C$67,DATOS!$C$68))</f>
        <v>*</v>
      </c>
      <c r="C1266" s="42" t="str">
        <f t="shared" si="38"/>
        <v/>
      </c>
      <c r="D1266" s="44" t="str">
        <f>IF(PRESIONES!$C$22="NO","",IF(OR(LINEAS!$D$180="",LINEAS!$U$180=0,ABS(IF(OR(LINEAS!$U$180=1,LINEAS!$U$180=3),1,-1)*LINEAS!$AG$180*DATOS!$C$67)&lt;0.00005),"*",LINEAS!$D$180&amp;" UNI "&amp;IF(LINEAS!$U$180&lt;=2,"GZ","GX")&amp;" "&amp;TEXT(IF(OR(LINEAS!$U$180=1,LINEAS!$U$180=3),1,-1)*LINEAS!$AG$180*DATOS!$C$67,DATOS!$C$68)))</f>
        <v/>
      </c>
      <c r="E1266" s="42" t="str">
        <f t="shared" si="39"/>
        <v/>
      </c>
    </row>
    <row r="1267" spans="2:5" ht="15" customHeight="1" x14ac:dyDescent="0.3">
      <c r="B1267" s="44" t="str">
        <f>IF(OR(LINEAS!$D$181="",LINEAS!$U$181=0,ABS(IF(OR(LINEAS!$U$181=1,LINEAS!$U$181=3),1,-1)*LINEAS!$AG$181*DATOS!$C$67)&lt;0.00005),"*",LINEAS!$D$181&amp;" UNI "&amp;IF(LINEAS!$U$181&lt;=2,"GZ","GX")&amp;" "&amp;TEXT(IF(OR(LINEAS!$U$181=1,LINEAS!$U$181=3),1,-1)*LINEAS!$AG$181*DATOS!$C$67,DATOS!$C$68))</f>
        <v>*</v>
      </c>
      <c r="C1267" s="42" t="str">
        <f t="shared" si="38"/>
        <v/>
      </c>
      <c r="D1267" s="44" t="str">
        <f>IF(PRESIONES!$C$22="NO","",IF(OR(LINEAS!$D$181="",LINEAS!$U$181=0,ABS(IF(OR(LINEAS!$U$181=1,LINEAS!$U$181=3),1,-1)*LINEAS!$AG$181*DATOS!$C$67)&lt;0.00005),"*",LINEAS!$D$181&amp;" UNI "&amp;IF(LINEAS!$U$181&lt;=2,"GZ","GX")&amp;" "&amp;TEXT(IF(OR(LINEAS!$U$181=1,LINEAS!$U$181=3),1,-1)*LINEAS!$AG$181*DATOS!$C$67,DATOS!$C$68)))</f>
        <v/>
      </c>
      <c r="E1267" s="42" t="str">
        <f t="shared" si="39"/>
        <v/>
      </c>
    </row>
    <row r="1268" spans="2:5" ht="15" customHeight="1" x14ac:dyDescent="0.3">
      <c r="B1268" s="44" t="str">
        <f>IF(OR(LINEAS!$D$182="",LINEAS!$U$182=0,ABS(IF(OR(LINEAS!$U$182=1,LINEAS!$U$182=3),1,-1)*LINEAS!$AG$182*DATOS!$C$67)&lt;0.00005),"*",LINEAS!$D$182&amp;" UNI "&amp;IF(LINEAS!$U$182&lt;=2,"GZ","GX")&amp;" "&amp;TEXT(IF(OR(LINEAS!$U$182=1,LINEAS!$U$182=3),1,-1)*LINEAS!$AG$182*DATOS!$C$67,DATOS!$C$68))</f>
        <v>*</v>
      </c>
      <c r="C1268" s="42" t="str">
        <f t="shared" si="38"/>
        <v/>
      </c>
      <c r="D1268" s="44" t="str">
        <f>IF(PRESIONES!$C$22="NO","",IF(OR(LINEAS!$D$182="",LINEAS!$U$182=0,ABS(IF(OR(LINEAS!$U$182=1,LINEAS!$U$182=3),1,-1)*LINEAS!$AG$182*DATOS!$C$67)&lt;0.00005),"*",LINEAS!$D$182&amp;" UNI "&amp;IF(LINEAS!$U$182&lt;=2,"GZ","GX")&amp;" "&amp;TEXT(IF(OR(LINEAS!$U$182=1,LINEAS!$U$182=3),1,-1)*LINEAS!$AG$182*DATOS!$C$67,DATOS!$C$68)))</f>
        <v/>
      </c>
      <c r="E1268" s="42" t="str">
        <f t="shared" si="39"/>
        <v/>
      </c>
    </row>
    <row r="1269" spans="2:5" ht="15" customHeight="1" x14ac:dyDescent="0.3">
      <c r="B1269" s="44" t="str">
        <f>IF(OR(LINEAS!$D$183="",LINEAS!$U$183=0,ABS(IF(OR(LINEAS!$U$183=1,LINEAS!$U$183=3),1,-1)*LINEAS!$AG$183*DATOS!$C$67)&lt;0.00005),"*",LINEAS!$D$183&amp;" UNI "&amp;IF(LINEAS!$U$183&lt;=2,"GZ","GX")&amp;" "&amp;TEXT(IF(OR(LINEAS!$U$183=1,LINEAS!$U$183=3),1,-1)*LINEAS!$AG$183*DATOS!$C$67,DATOS!$C$68))</f>
        <v>*</v>
      </c>
      <c r="C1269" s="42" t="str">
        <f t="shared" si="38"/>
        <v/>
      </c>
      <c r="D1269" s="44" t="str">
        <f>IF(PRESIONES!$C$22="NO","",IF(OR(LINEAS!$D$183="",LINEAS!$U$183=0,ABS(IF(OR(LINEAS!$U$183=1,LINEAS!$U$183=3),1,-1)*LINEAS!$AG$183*DATOS!$C$67)&lt;0.00005),"*",LINEAS!$D$183&amp;" UNI "&amp;IF(LINEAS!$U$183&lt;=2,"GZ","GX")&amp;" "&amp;TEXT(IF(OR(LINEAS!$U$183=1,LINEAS!$U$183=3),1,-1)*LINEAS!$AG$183*DATOS!$C$67,DATOS!$C$68)))</f>
        <v/>
      </c>
      <c r="E1269" s="42" t="str">
        <f t="shared" si="39"/>
        <v/>
      </c>
    </row>
    <row r="1270" spans="2:5" ht="15" customHeight="1" x14ac:dyDescent="0.3">
      <c r="B1270" s="44" t="str">
        <f>IF(OR(LINEAS!$D$184="",LINEAS!$U$184=0,ABS(IF(OR(LINEAS!$U$184=1,LINEAS!$U$184=3),1,-1)*LINEAS!$AG$184*DATOS!$C$67)&lt;0.00005),"*",LINEAS!$D$184&amp;" UNI "&amp;IF(LINEAS!$U$184&lt;=2,"GZ","GX")&amp;" "&amp;TEXT(IF(OR(LINEAS!$U$184=1,LINEAS!$U$184=3),1,-1)*LINEAS!$AG$184*DATOS!$C$67,DATOS!$C$68))</f>
        <v>*</v>
      </c>
      <c r="C1270" s="42" t="str">
        <f t="shared" si="38"/>
        <v/>
      </c>
      <c r="D1270" s="44" t="str">
        <f>IF(PRESIONES!$C$22="NO","",IF(OR(LINEAS!$D$184="",LINEAS!$U$184=0,ABS(IF(OR(LINEAS!$U$184=1,LINEAS!$U$184=3),1,-1)*LINEAS!$AG$184*DATOS!$C$67)&lt;0.00005),"*",LINEAS!$D$184&amp;" UNI "&amp;IF(LINEAS!$U$184&lt;=2,"GZ","GX")&amp;" "&amp;TEXT(IF(OR(LINEAS!$U$184=1,LINEAS!$U$184=3),1,-1)*LINEAS!$AG$184*DATOS!$C$67,DATOS!$C$68)))</f>
        <v/>
      </c>
      <c r="E1270" s="42" t="str">
        <f t="shared" si="39"/>
        <v/>
      </c>
    </row>
    <row r="1271" spans="2:5" ht="15" customHeight="1" x14ac:dyDescent="0.3">
      <c r="B1271" s="44" t="str">
        <f>IF(OR(LINEAS!$D$185="",LINEAS!$U$185=0,ABS(IF(OR(LINEAS!$U$185=1,LINEAS!$U$185=3),1,-1)*LINEAS!$AG$185*DATOS!$C$67)&lt;0.00005),"*",LINEAS!$D$185&amp;" UNI "&amp;IF(LINEAS!$U$185&lt;=2,"GZ","GX")&amp;" "&amp;TEXT(IF(OR(LINEAS!$U$185=1,LINEAS!$U$185=3),1,-1)*LINEAS!$AG$185*DATOS!$C$67,DATOS!$C$68))</f>
        <v>*</v>
      </c>
      <c r="C1271" s="42" t="str">
        <f t="shared" si="38"/>
        <v/>
      </c>
      <c r="D1271" s="44" t="str">
        <f>IF(PRESIONES!$C$22="NO","",IF(OR(LINEAS!$D$185="",LINEAS!$U$185=0,ABS(IF(OR(LINEAS!$U$185=1,LINEAS!$U$185=3),1,-1)*LINEAS!$AG$185*DATOS!$C$67)&lt;0.00005),"*",LINEAS!$D$185&amp;" UNI "&amp;IF(LINEAS!$U$185&lt;=2,"GZ","GX")&amp;" "&amp;TEXT(IF(OR(LINEAS!$U$185=1,LINEAS!$U$185=3),1,-1)*LINEAS!$AG$185*DATOS!$C$67,DATOS!$C$68)))</f>
        <v/>
      </c>
      <c r="E1271" s="42" t="str">
        <f t="shared" si="39"/>
        <v/>
      </c>
    </row>
    <row r="1272" spans="2:5" ht="15" customHeight="1" x14ac:dyDescent="0.3">
      <c r="B1272" s="44" t="str">
        <f>IF(OR(LINEAS!$D$186="",LINEAS!$U$186=0,ABS(IF(OR(LINEAS!$U$186=1,LINEAS!$U$186=3),1,-1)*LINEAS!$AG$186*DATOS!$C$67)&lt;0.00005),"*",LINEAS!$D$186&amp;" UNI "&amp;IF(LINEAS!$U$186&lt;=2,"GZ","GX")&amp;" "&amp;TEXT(IF(OR(LINEAS!$U$186=1,LINEAS!$U$186=3),1,-1)*LINEAS!$AG$186*DATOS!$C$67,DATOS!$C$68))</f>
        <v>*</v>
      </c>
      <c r="C1272" s="42" t="str">
        <f t="shared" si="38"/>
        <v/>
      </c>
      <c r="D1272" s="44" t="str">
        <f>IF(PRESIONES!$C$22="NO","",IF(OR(LINEAS!$D$186="",LINEAS!$U$186=0,ABS(IF(OR(LINEAS!$U$186=1,LINEAS!$U$186=3),1,-1)*LINEAS!$AG$186*DATOS!$C$67)&lt;0.00005),"*",LINEAS!$D$186&amp;" UNI "&amp;IF(LINEAS!$U$186&lt;=2,"GZ","GX")&amp;" "&amp;TEXT(IF(OR(LINEAS!$U$186=1,LINEAS!$U$186=3),1,-1)*LINEAS!$AG$186*DATOS!$C$67,DATOS!$C$68)))</f>
        <v/>
      </c>
      <c r="E1272" s="42" t="str">
        <f t="shared" si="39"/>
        <v/>
      </c>
    </row>
    <row r="1273" spans="2:5" ht="15" customHeight="1" x14ac:dyDescent="0.3">
      <c r="B1273" s="44" t="str">
        <f>IF(OR(LINEAS!$D$187="",LINEAS!$U$187=0,ABS(IF(OR(LINEAS!$U$187=1,LINEAS!$U$187=3),1,-1)*LINEAS!$AG$187*DATOS!$C$67)&lt;0.00005),"*",LINEAS!$D$187&amp;" UNI "&amp;IF(LINEAS!$U$187&lt;=2,"GZ","GX")&amp;" "&amp;TEXT(IF(OR(LINEAS!$U$187=1,LINEAS!$U$187=3),1,-1)*LINEAS!$AG$187*DATOS!$C$67,DATOS!$C$68))</f>
        <v>*</v>
      </c>
      <c r="C1273" s="42" t="str">
        <f t="shared" si="38"/>
        <v/>
      </c>
      <c r="D1273" s="44" t="str">
        <f>IF(PRESIONES!$C$22="NO","",IF(OR(LINEAS!$D$187="",LINEAS!$U$187=0,ABS(IF(OR(LINEAS!$U$187=1,LINEAS!$U$187=3),1,-1)*LINEAS!$AG$187*DATOS!$C$67)&lt;0.00005),"*",LINEAS!$D$187&amp;" UNI "&amp;IF(LINEAS!$U$187&lt;=2,"GZ","GX")&amp;" "&amp;TEXT(IF(OR(LINEAS!$U$187=1,LINEAS!$U$187=3),1,-1)*LINEAS!$AG$187*DATOS!$C$67,DATOS!$C$68)))</f>
        <v/>
      </c>
      <c r="E1273" s="42" t="str">
        <f t="shared" si="39"/>
        <v/>
      </c>
    </row>
    <row r="1274" spans="2:5" ht="15" customHeight="1" x14ac:dyDescent="0.3">
      <c r="B1274" s="44" t="str">
        <f>IF(OR(LINEAS!$D$188="",LINEAS!$U$188=0,ABS(IF(OR(LINEAS!$U$188=1,LINEAS!$U$188=3),1,-1)*LINEAS!$AG$188*DATOS!$C$67)&lt;0.00005),"*",LINEAS!$D$188&amp;" UNI "&amp;IF(LINEAS!$U$188&lt;=2,"GZ","GX")&amp;" "&amp;TEXT(IF(OR(LINEAS!$U$188=1,LINEAS!$U$188=3),1,-1)*LINEAS!$AG$188*DATOS!$C$67,DATOS!$C$68))</f>
        <v>*</v>
      </c>
      <c r="C1274" s="42" t="str">
        <f t="shared" si="38"/>
        <v/>
      </c>
      <c r="D1274" s="44" t="str">
        <f>IF(PRESIONES!$C$22="NO","",IF(OR(LINEAS!$D$188="",LINEAS!$U$188=0,ABS(IF(OR(LINEAS!$U$188=1,LINEAS!$U$188=3),1,-1)*LINEAS!$AG$188*DATOS!$C$67)&lt;0.00005),"*",LINEAS!$D$188&amp;" UNI "&amp;IF(LINEAS!$U$188&lt;=2,"GZ","GX")&amp;" "&amp;TEXT(IF(OR(LINEAS!$U$188=1,LINEAS!$U$188=3),1,-1)*LINEAS!$AG$188*DATOS!$C$67,DATOS!$C$68)))</f>
        <v/>
      </c>
      <c r="E1274" s="42" t="str">
        <f t="shared" si="39"/>
        <v/>
      </c>
    </row>
    <row r="1275" spans="2:5" ht="15" customHeight="1" x14ac:dyDescent="0.3">
      <c r="B1275" s="44" t="str">
        <f>IF(OR(LINEAS!$D$189="",LINEAS!$U$189=0,ABS(IF(OR(LINEAS!$U$189=1,LINEAS!$U$189=3),1,-1)*LINEAS!$AG$189*DATOS!$C$67)&lt;0.00005),"*",LINEAS!$D$189&amp;" UNI "&amp;IF(LINEAS!$U$189&lt;=2,"GZ","GX")&amp;" "&amp;TEXT(IF(OR(LINEAS!$U$189=1,LINEAS!$U$189=3),1,-1)*LINEAS!$AG$189*DATOS!$C$67,DATOS!$C$68))</f>
        <v>*</v>
      </c>
      <c r="C1275" s="42" t="str">
        <f t="shared" si="38"/>
        <v/>
      </c>
      <c r="D1275" s="44" t="str">
        <f>IF(PRESIONES!$C$22="NO","",IF(OR(LINEAS!$D$189="",LINEAS!$U$189=0,ABS(IF(OR(LINEAS!$U$189=1,LINEAS!$U$189=3),1,-1)*LINEAS!$AG$189*DATOS!$C$67)&lt;0.00005),"*",LINEAS!$D$189&amp;" UNI "&amp;IF(LINEAS!$U$189&lt;=2,"GZ","GX")&amp;" "&amp;TEXT(IF(OR(LINEAS!$U$189=1,LINEAS!$U$189=3),1,-1)*LINEAS!$AG$189*DATOS!$C$67,DATOS!$C$68)))</f>
        <v/>
      </c>
      <c r="E1275" s="42" t="str">
        <f t="shared" si="39"/>
        <v/>
      </c>
    </row>
    <row r="1276" spans="2:5" ht="15" customHeight="1" x14ac:dyDescent="0.3">
      <c r="B1276" s="44" t="str">
        <f>IF(OR(LINEAS!$D$190="",LINEAS!$U$190=0,ABS(IF(OR(LINEAS!$U$190=1,LINEAS!$U$190=3),1,-1)*LINEAS!$AG$190*DATOS!$C$67)&lt;0.00005),"*",LINEAS!$D$190&amp;" UNI "&amp;IF(LINEAS!$U$190&lt;=2,"GZ","GX")&amp;" "&amp;TEXT(IF(OR(LINEAS!$U$190=1,LINEAS!$U$190=3),1,-1)*LINEAS!$AG$190*DATOS!$C$67,DATOS!$C$68))</f>
        <v>*</v>
      </c>
      <c r="C1276" s="42" t="str">
        <f t="shared" si="38"/>
        <v/>
      </c>
      <c r="D1276" s="44" t="str">
        <f>IF(PRESIONES!$C$22="NO","",IF(OR(LINEAS!$D$190="",LINEAS!$U$190=0,ABS(IF(OR(LINEAS!$U$190=1,LINEAS!$U$190=3),1,-1)*LINEAS!$AG$190*DATOS!$C$67)&lt;0.00005),"*",LINEAS!$D$190&amp;" UNI "&amp;IF(LINEAS!$U$190&lt;=2,"GZ","GX")&amp;" "&amp;TEXT(IF(OR(LINEAS!$U$190=1,LINEAS!$U$190=3),1,-1)*LINEAS!$AG$190*DATOS!$C$67,DATOS!$C$68)))</f>
        <v/>
      </c>
      <c r="E1276" s="42" t="str">
        <f t="shared" si="39"/>
        <v/>
      </c>
    </row>
    <row r="1277" spans="2:5" ht="15" customHeight="1" x14ac:dyDescent="0.3">
      <c r="B1277" s="44" t="str">
        <f>IF(OR(LINEAS!$D$191="",LINEAS!$U$191=0,ABS(IF(OR(LINEAS!$U$191=1,LINEAS!$U$191=3),1,-1)*LINEAS!$AG$191*DATOS!$C$67)&lt;0.00005),"*",LINEAS!$D$191&amp;" UNI "&amp;IF(LINEAS!$U$191&lt;=2,"GZ","GX")&amp;" "&amp;TEXT(IF(OR(LINEAS!$U$191=1,LINEAS!$U$191=3),1,-1)*LINEAS!$AG$191*DATOS!$C$67,DATOS!$C$68))</f>
        <v>*</v>
      </c>
      <c r="C1277" s="42" t="str">
        <f t="shared" si="38"/>
        <v/>
      </c>
      <c r="D1277" s="44" t="str">
        <f>IF(PRESIONES!$C$22="NO","",IF(OR(LINEAS!$D$191="",LINEAS!$U$191=0,ABS(IF(OR(LINEAS!$U$191=1,LINEAS!$U$191=3),1,-1)*LINEAS!$AG$191*DATOS!$C$67)&lt;0.00005),"*",LINEAS!$D$191&amp;" UNI "&amp;IF(LINEAS!$U$191&lt;=2,"GZ","GX")&amp;" "&amp;TEXT(IF(OR(LINEAS!$U$191=1,LINEAS!$U$191=3),1,-1)*LINEAS!$AG$191*DATOS!$C$67,DATOS!$C$68)))</f>
        <v/>
      </c>
      <c r="E1277" s="42" t="str">
        <f t="shared" si="39"/>
        <v/>
      </c>
    </row>
    <row r="1278" spans="2:5" ht="15" customHeight="1" x14ac:dyDescent="0.3">
      <c r="B1278" s="44" t="str">
        <f>IF(OR(LINEAS!$D$192="",LINEAS!$U$192=0,ABS(IF(OR(LINEAS!$U$192=1,LINEAS!$U$192=3),1,-1)*LINEAS!$AG$192*DATOS!$C$67)&lt;0.00005),"*",LINEAS!$D$192&amp;" UNI "&amp;IF(LINEAS!$U$192&lt;=2,"GZ","GX")&amp;" "&amp;TEXT(IF(OR(LINEAS!$U$192=1,LINEAS!$U$192=3),1,-1)*LINEAS!$AG$192*DATOS!$C$67,DATOS!$C$68))</f>
        <v>*</v>
      </c>
      <c r="C1278" s="42" t="str">
        <f t="shared" si="38"/>
        <v/>
      </c>
      <c r="D1278" s="44" t="str">
        <f>IF(PRESIONES!$C$22="NO","",IF(OR(LINEAS!$D$192="",LINEAS!$U$192=0,ABS(IF(OR(LINEAS!$U$192=1,LINEAS!$U$192=3),1,-1)*LINEAS!$AG$192*DATOS!$C$67)&lt;0.00005),"*",LINEAS!$D$192&amp;" UNI "&amp;IF(LINEAS!$U$192&lt;=2,"GZ","GX")&amp;" "&amp;TEXT(IF(OR(LINEAS!$U$192=1,LINEAS!$U$192=3),1,-1)*LINEAS!$AG$192*DATOS!$C$67,DATOS!$C$68)))</f>
        <v/>
      </c>
      <c r="E1278" s="42" t="str">
        <f t="shared" si="39"/>
        <v/>
      </c>
    </row>
    <row r="1279" spans="2:5" ht="15" customHeight="1" x14ac:dyDescent="0.3">
      <c r="B1279" s="44" t="str">
        <f>IF(OR(LINEAS!$D$193="",LINEAS!$U$193=0,ABS(IF(OR(LINEAS!$U$193=1,LINEAS!$U$193=3),1,-1)*LINEAS!$AG$193*DATOS!$C$67)&lt;0.00005),"*",LINEAS!$D$193&amp;" UNI "&amp;IF(LINEAS!$U$193&lt;=2,"GZ","GX")&amp;" "&amp;TEXT(IF(OR(LINEAS!$U$193=1,LINEAS!$U$193=3),1,-1)*LINEAS!$AG$193*DATOS!$C$67,DATOS!$C$68))</f>
        <v>*</v>
      </c>
      <c r="C1279" s="42" t="str">
        <f t="shared" si="38"/>
        <v/>
      </c>
      <c r="D1279" s="44" t="str">
        <f>IF(PRESIONES!$C$22="NO","",IF(OR(LINEAS!$D$193="",LINEAS!$U$193=0,ABS(IF(OR(LINEAS!$U$193=1,LINEAS!$U$193=3),1,-1)*LINEAS!$AG$193*DATOS!$C$67)&lt;0.00005),"*",LINEAS!$D$193&amp;" UNI "&amp;IF(LINEAS!$U$193&lt;=2,"GZ","GX")&amp;" "&amp;TEXT(IF(OR(LINEAS!$U$193=1,LINEAS!$U$193=3),1,-1)*LINEAS!$AG$193*DATOS!$C$67,DATOS!$C$68)))</f>
        <v/>
      </c>
      <c r="E1279" s="42" t="str">
        <f t="shared" si="39"/>
        <v/>
      </c>
    </row>
    <row r="1280" spans="2:5" ht="15" customHeight="1" x14ac:dyDescent="0.3">
      <c r="B1280" s="44" t="str">
        <f>IF(OR(LINEAS!$D$194="",LINEAS!$U$194=0,ABS(IF(OR(LINEAS!$U$194=1,LINEAS!$U$194=3),1,-1)*LINEAS!$AG$194*DATOS!$C$67)&lt;0.00005),"*",LINEAS!$D$194&amp;" UNI "&amp;IF(LINEAS!$U$194&lt;=2,"GZ","GX")&amp;" "&amp;TEXT(IF(OR(LINEAS!$U$194=1,LINEAS!$U$194=3),1,-1)*LINEAS!$AG$194*DATOS!$C$67,DATOS!$C$68))</f>
        <v>*</v>
      </c>
      <c r="C1280" s="42" t="str">
        <f t="shared" si="38"/>
        <v/>
      </c>
      <c r="D1280" s="44" t="str">
        <f>IF(PRESIONES!$C$22="NO","",IF(OR(LINEAS!$D$194="",LINEAS!$U$194=0,ABS(IF(OR(LINEAS!$U$194=1,LINEAS!$U$194=3),1,-1)*LINEAS!$AG$194*DATOS!$C$67)&lt;0.00005),"*",LINEAS!$D$194&amp;" UNI "&amp;IF(LINEAS!$U$194&lt;=2,"GZ","GX")&amp;" "&amp;TEXT(IF(OR(LINEAS!$U$194=1,LINEAS!$U$194=3),1,-1)*LINEAS!$AG$194*DATOS!$C$67,DATOS!$C$68)))</f>
        <v/>
      </c>
      <c r="E1280" s="42" t="str">
        <f t="shared" si="39"/>
        <v/>
      </c>
    </row>
    <row r="1281" spans="2:5" ht="15" customHeight="1" x14ac:dyDescent="0.3">
      <c r="B1281" s="43" t="str">
        <f>"LOAD "&amp;(DATOS!$C$66+6)&amp;" LOADTYPE Wind  TITLE "&amp;DATOS!$E$78</f>
        <v>LOAD 14 LOADTYPE Wind  TITLE VIENTO Z PA</v>
      </c>
      <c r="C1281" s="42" t="str">
        <f t="shared" si="38"/>
        <v/>
      </c>
      <c r="D1281" s="44" t="str">
        <f>IF(PRESIONES!$C$22="NO",IF(7=1,"* CASOS B = CASOS A (SIN ±0.4 NI +0.3 EN EL TECHO): NO HACE FALTA",""),"LOAD "&amp;(DATOS!$C$69+6)&amp;" LOADTYPE Wind  TITLE "&amp;DATOS!$E$78&amp;" B")</f>
        <v/>
      </c>
      <c r="E1281" s="42" t="str">
        <f t="shared" si="39"/>
        <v/>
      </c>
    </row>
    <row r="1282" spans="2:5" ht="15" customHeight="1" x14ac:dyDescent="0.3">
      <c r="B1282" s="44" t="s">
        <v>632</v>
      </c>
      <c r="C1282" s="42" t="str">
        <f t="shared" si="38"/>
        <v/>
      </c>
      <c r="D1282" s="44" t="str">
        <f>IF(PRESIONES!$C$22="NO","","MEMBER LOAD")</f>
        <v/>
      </c>
      <c r="E1282" s="42" t="str">
        <f t="shared" si="39"/>
        <v/>
      </c>
    </row>
    <row r="1283" spans="2:5" ht="15" customHeight="1" x14ac:dyDescent="0.3">
      <c r="B1283" s="44" t="str">
        <f>IF(OR(LINEAS!$D$9="",ABS(-LINEAS!$AH$9*DATOS!$C$67)&lt;0.00005),"*",LINEAS!$D$9&amp;" UNI GY "&amp;TEXT(-LINEAS!$AH$9*DATOS!$C$67,DATOS!$C$68))</f>
        <v>22 85 TO 88 UNI GY 0.0330</v>
      </c>
      <c r="C1283" s="42" t="str">
        <f t="shared" si="38"/>
        <v/>
      </c>
      <c r="D1283" s="44" t="str">
        <f>IF(PRESIONES!$C$22="NO","",IF(OR(LINEAS!$D$9="",ABS(-LINEAS!$AX$9*DATOS!$C$67)&lt;0.00005),"*",LINEAS!$D$9&amp;" UNI GY "&amp;TEXT(-LINEAS!$AX$9*DATOS!$C$67,DATOS!$C$68)))</f>
        <v/>
      </c>
      <c r="E1283" s="42" t="str">
        <f t="shared" si="39"/>
        <v/>
      </c>
    </row>
    <row r="1284" spans="2:5" ht="15" customHeight="1" x14ac:dyDescent="0.3">
      <c r="B1284" s="44" t="str">
        <f>IF(OR(LINEAS!$D$9="",DATOS!$C$22="—",ABS(LINEAS!$AP$9*DATOS!$C$67)&lt;0.00005),"*",LINEAS!$D$9&amp;" UNI G"&amp;DATOS!$C$22&amp;" "&amp;TEXT(LINEAS!$AP$9*DATOS!$C$67,DATOS!$C$68))</f>
        <v>22 85 TO 88 UNI GZ 0.0016</v>
      </c>
      <c r="C1284" s="42" t="str">
        <f t="shared" si="38"/>
        <v/>
      </c>
      <c r="D1284" s="44" t="str">
        <f>IF(PRESIONES!$C$22="NO","",IF(OR(LINEAS!$D$9="",DATOS!$C$22="—",ABS(LINEAS!$BF$9*DATOS!$C$67)&lt;0.00005),"*",LINEAS!$D$9&amp;" UNI G"&amp;DATOS!$C$22&amp;" "&amp;TEXT(LINEAS!$BF$9*DATOS!$C$67,DATOS!$C$68)))</f>
        <v/>
      </c>
      <c r="E1284" s="42" t="str">
        <f t="shared" si="39"/>
        <v/>
      </c>
    </row>
    <row r="1285" spans="2:5" ht="15" customHeight="1" x14ac:dyDescent="0.3">
      <c r="B1285" s="44" t="str">
        <f>IF(OR(LINEAS!$D$10="",ABS(-LINEAS!$AH$10*DATOS!$C$67)&lt;0.00005),"*",LINEAS!$D$10&amp;" UNI GY "&amp;TEXT(-LINEAS!$AH$10*DATOS!$C$67,DATOS!$C$68))</f>
        <v>80 129 TO 132 UNI GY 0.0659</v>
      </c>
      <c r="C1285" s="42" t="str">
        <f t="shared" si="38"/>
        <v/>
      </c>
      <c r="D1285" s="44" t="str">
        <f>IF(PRESIONES!$C$22="NO","",IF(OR(LINEAS!$D$10="",ABS(-LINEAS!$AX$10*DATOS!$C$67)&lt;0.00005),"*",LINEAS!$D$10&amp;" UNI GY "&amp;TEXT(-LINEAS!$AX$10*DATOS!$C$67,DATOS!$C$68)))</f>
        <v/>
      </c>
      <c r="E1285" s="42" t="str">
        <f t="shared" si="39"/>
        <v/>
      </c>
    </row>
    <row r="1286" spans="2:5" ht="15" customHeight="1" x14ac:dyDescent="0.3">
      <c r="B1286" s="44" t="str">
        <f>IF(OR(LINEAS!$D$10="",DATOS!$C$22="—",ABS(LINEAS!$AP$10*DATOS!$C$67)&lt;0.00005),"*",LINEAS!$D$10&amp;" UNI G"&amp;DATOS!$C$22&amp;" "&amp;TEXT(LINEAS!$AP$10*DATOS!$C$67,DATOS!$C$68))</f>
        <v>80 129 TO 132 UNI GZ 0.0033</v>
      </c>
      <c r="C1286" s="42" t="str">
        <f t="shared" si="38"/>
        <v/>
      </c>
      <c r="D1286" s="44" t="str">
        <f>IF(PRESIONES!$C$22="NO","",IF(OR(LINEAS!$D$10="",DATOS!$C$22="—",ABS(LINEAS!$BF$10*DATOS!$C$67)&lt;0.00005),"*",LINEAS!$D$10&amp;" UNI G"&amp;DATOS!$C$22&amp;" "&amp;TEXT(LINEAS!$BF$10*DATOS!$C$67,DATOS!$C$68)))</f>
        <v/>
      </c>
      <c r="E1286" s="42" t="str">
        <f t="shared" si="39"/>
        <v/>
      </c>
    </row>
    <row r="1287" spans="2:5" ht="15" customHeight="1" x14ac:dyDescent="0.3">
      <c r="B1287" s="44" t="str">
        <f>IF(OR(LINEAS!$D$11="",ABS(-LINEAS!$AH$11*DATOS!$C$67)&lt;0.00005),"*",LINEAS!$D$11&amp;" UNI GY "&amp;TEXT(-LINEAS!$AH$11*DATOS!$C$67,DATOS!$C$68))</f>
        <v>79 125 TO 128 UNI GY 0.0659</v>
      </c>
      <c r="C1287" s="42" t="str">
        <f t="shared" si="38"/>
        <v/>
      </c>
      <c r="D1287" s="44" t="str">
        <f>IF(PRESIONES!$C$22="NO","",IF(OR(LINEAS!$D$11="",ABS(-LINEAS!$AX$11*DATOS!$C$67)&lt;0.00005),"*",LINEAS!$D$11&amp;" UNI GY "&amp;TEXT(-LINEAS!$AX$11*DATOS!$C$67,DATOS!$C$68)))</f>
        <v/>
      </c>
      <c r="E1287" s="42" t="str">
        <f t="shared" si="39"/>
        <v/>
      </c>
    </row>
    <row r="1288" spans="2:5" ht="15" customHeight="1" x14ac:dyDescent="0.3">
      <c r="B1288" s="44" t="str">
        <f>IF(OR(LINEAS!$D$11="",DATOS!$C$22="—",ABS(LINEAS!$AP$11*DATOS!$C$67)&lt;0.00005),"*",LINEAS!$D$11&amp;" UNI G"&amp;DATOS!$C$22&amp;" "&amp;TEXT(LINEAS!$AP$11*DATOS!$C$67,DATOS!$C$68))</f>
        <v>79 125 TO 128 UNI GZ 0.0033</v>
      </c>
      <c r="C1288" s="42" t="str">
        <f t="shared" si="38"/>
        <v/>
      </c>
      <c r="D1288" s="44" t="str">
        <f>IF(PRESIONES!$C$22="NO","",IF(OR(LINEAS!$D$11="",DATOS!$C$22="—",ABS(LINEAS!$BF$11*DATOS!$C$67)&lt;0.00005),"*",LINEAS!$D$11&amp;" UNI G"&amp;DATOS!$C$22&amp;" "&amp;TEXT(LINEAS!$BF$11*DATOS!$C$67,DATOS!$C$68)))</f>
        <v/>
      </c>
      <c r="E1288" s="42" t="str">
        <f t="shared" si="39"/>
        <v/>
      </c>
    </row>
    <row r="1289" spans="2:5" ht="15" customHeight="1" x14ac:dyDescent="0.3">
      <c r="B1289" s="44" t="str">
        <f>IF(OR(LINEAS!$D$12="",ABS(-LINEAS!$AH$12*DATOS!$C$67)&lt;0.00005),"*",LINEAS!$D$12&amp;" UNI GY "&amp;TEXT(-LINEAS!$AH$12*DATOS!$C$67,DATOS!$C$68))</f>
        <v>78 121 TO 124 UNI GY 0.0659</v>
      </c>
      <c r="C1289" s="42" t="str">
        <f t="shared" ref="C1289:C1352" si="40">IF(LEN($B1289)&gt;79,"MÁS DE 79 CARACTERES","")</f>
        <v/>
      </c>
      <c r="D1289" s="44" t="str">
        <f>IF(PRESIONES!$C$22="NO","",IF(OR(LINEAS!$D$12="",ABS(-LINEAS!$AX$12*DATOS!$C$67)&lt;0.00005),"*",LINEAS!$D$12&amp;" UNI GY "&amp;TEXT(-LINEAS!$AX$12*DATOS!$C$67,DATOS!$C$68)))</f>
        <v/>
      </c>
      <c r="E1289" s="42" t="str">
        <f t="shared" ref="E1289:E1352" si="41">IF(LEN($D1289)&gt;79,"MÁS DE 79 CARACTERES","")</f>
        <v/>
      </c>
    </row>
    <row r="1290" spans="2:5" ht="15" customHeight="1" x14ac:dyDescent="0.3">
      <c r="B1290" s="44" t="str">
        <f>IF(OR(LINEAS!$D$12="",DATOS!$C$22="—",ABS(LINEAS!$AP$12*DATOS!$C$67)&lt;0.00005),"*",LINEAS!$D$12&amp;" UNI G"&amp;DATOS!$C$22&amp;" "&amp;TEXT(LINEAS!$AP$12*DATOS!$C$67,DATOS!$C$68))</f>
        <v>78 121 TO 124 UNI GZ 0.0033</v>
      </c>
      <c r="C1290" s="42" t="str">
        <f t="shared" si="40"/>
        <v/>
      </c>
      <c r="D1290" s="44" t="str">
        <f>IF(PRESIONES!$C$22="NO","",IF(OR(LINEAS!$D$12="",DATOS!$C$22="—",ABS(LINEAS!$BF$12*DATOS!$C$67)&lt;0.00005),"*",LINEAS!$D$12&amp;" UNI G"&amp;DATOS!$C$22&amp;" "&amp;TEXT(LINEAS!$BF$12*DATOS!$C$67,DATOS!$C$68)))</f>
        <v/>
      </c>
      <c r="E1290" s="42" t="str">
        <f t="shared" si="41"/>
        <v/>
      </c>
    </row>
    <row r="1291" spans="2:5" ht="15" customHeight="1" x14ac:dyDescent="0.3">
      <c r="B1291" s="44" t="str">
        <f>IF(OR(LINEAS!$D$13="",ABS(-LINEAS!$AH$13*DATOS!$C$67)&lt;0.00005),"*",LINEAS!$D$13&amp;" UNI GY "&amp;TEXT(-LINEAS!$AH$13*DATOS!$C$67,DATOS!$C$68))</f>
        <v>77 117 TO 120 UNI GY 0.0659</v>
      </c>
      <c r="C1291" s="42" t="str">
        <f t="shared" si="40"/>
        <v/>
      </c>
      <c r="D1291" s="44" t="str">
        <f>IF(PRESIONES!$C$22="NO","",IF(OR(LINEAS!$D$13="",ABS(-LINEAS!$AX$13*DATOS!$C$67)&lt;0.00005),"*",LINEAS!$D$13&amp;" UNI GY "&amp;TEXT(-LINEAS!$AX$13*DATOS!$C$67,DATOS!$C$68)))</f>
        <v/>
      </c>
      <c r="E1291" s="42" t="str">
        <f t="shared" si="41"/>
        <v/>
      </c>
    </row>
    <row r="1292" spans="2:5" ht="15" customHeight="1" x14ac:dyDescent="0.3">
      <c r="B1292" s="44" t="str">
        <f>IF(OR(LINEAS!$D$13="",DATOS!$C$22="—",ABS(LINEAS!$AP$13*DATOS!$C$67)&lt;0.00005),"*",LINEAS!$D$13&amp;" UNI G"&amp;DATOS!$C$22&amp;" "&amp;TEXT(LINEAS!$AP$13*DATOS!$C$67,DATOS!$C$68))</f>
        <v>77 117 TO 120 UNI GZ 0.0033</v>
      </c>
      <c r="C1292" s="42" t="str">
        <f t="shared" si="40"/>
        <v/>
      </c>
      <c r="D1292" s="44" t="str">
        <f>IF(PRESIONES!$C$22="NO","",IF(OR(LINEAS!$D$13="",DATOS!$C$22="—",ABS(LINEAS!$BF$13*DATOS!$C$67)&lt;0.00005),"*",LINEAS!$D$13&amp;" UNI G"&amp;DATOS!$C$22&amp;" "&amp;TEXT(LINEAS!$BF$13*DATOS!$C$67,DATOS!$C$68)))</f>
        <v/>
      </c>
      <c r="E1292" s="42" t="str">
        <f t="shared" si="41"/>
        <v/>
      </c>
    </row>
    <row r="1293" spans="2:5" ht="15" customHeight="1" x14ac:dyDescent="0.3">
      <c r="B1293" s="44" t="str">
        <f>IF(OR(LINEAS!$D$14="",ABS(-LINEAS!$AH$14*DATOS!$C$67)&lt;0.00005),"*",LINEAS!$D$14&amp;" UNI GY "&amp;TEXT(-LINEAS!$AH$14*DATOS!$C$67,DATOS!$C$68))</f>
        <v>9 93 TO 96 UNI GY 0.0659</v>
      </c>
      <c r="C1293" s="42" t="str">
        <f t="shared" si="40"/>
        <v/>
      </c>
      <c r="D1293" s="44" t="str">
        <f>IF(PRESIONES!$C$22="NO","",IF(OR(LINEAS!$D$14="",ABS(-LINEAS!$AX$14*DATOS!$C$67)&lt;0.00005),"*",LINEAS!$D$14&amp;" UNI GY "&amp;TEXT(-LINEAS!$AX$14*DATOS!$C$67,DATOS!$C$68)))</f>
        <v/>
      </c>
      <c r="E1293" s="42" t="str">
        <f t="shared" si="41"/>
        <v/>
      </c>
    </row>
    <row r="1294" spans="2:5" ht="15" customHeight="1" x14ac:dyDescent="0.3">
      <c r="B1294" s="44" t="str">
        <f>IF(OR(LINEAS!$D$14="",DATOS!$C$22="—",ABS(LINEAS!$AP$14*DATOS!$C$67)&lt;0.00005),"*",LINEAS!$D$14&amp;" UNI G"&amp;DATOS!$C$22&amp;" "&amp;TEXT(LINEAS!$AP$14*DATOS!$C$67,DATOS!$C$68))</f>
        <v>9 93 TO 96 UNI GZ 0.0033</v>
      </c>
      <c r="C1294" s="42" t="str">
        <f t="shared" si="40"/>
        <v/>
      </c>
      <c r="D1294" s="44" t="str">
        <f>IF(PRESIONES!$C$22="NO","",IF(OR(LINEAS!$D$14="",DATOS!$C$22="—",ABS(LINEAS!$BF$14*DATOS!$C$67)&lt;0.00005),"*",LINEAS!$D$14&amp;" UNI G"&amp;DATOS!$C$22&amp;" "&amp;TEXT(LINEAS!$BF$14*DATOS!$C$67,DATOS!$C$68)))</f>
        <v/>
      </c>
      <c r="E1294" s="42" t="str">
        <f t="shared" si="41"/>
        <v/>
      </c>
    </row>
    <row r="1295" spans="2:5" ht="15" customHeight="1" x14ac:dyDescent="0.3">
      <c r="B1295" s="44" t="str">
        <f>IF(OR(LINEAS!$D$15="",ABS(-LINEAS!$AH$15*DATOS!$C$67)&lt;0.00005),"*",LINEAS!$D$15&amp;" UNI GY "&amp;TEXT(-LINEAS!$AH$15*DATOS!$C$67,DATOS!$C$68))</f>
        <v>76 113 TO 116 UNI GY 0.0659</v>
      </c>
      <c r="C1295" s="42" t="str">
        <f t="shared" si="40"/>
        <v/>
      </c>
      <c r="D1295" s="44" t="str">
        <f>IF(PRESIONES!$C$22="NO","",IF(OR(LINEAS!$D$15="",ABS(-LINEAS!$AX$15*DATOS!$C$67)&lt;0.00005),"*",LINEAS!$D$15&amp;" UNI GY "&amp;TEXT(-LINEAS!$AX$15*DATOS!$C$67,DATOS!$C$68)))</f>
        <v/>
      </c>
      <c r="E1295" s="42" t="str">
        <f t="shared" si="41"/>
        <v/>
      </c>
    </row>
    <row r="1296" spans="2:5" ht="15" customHeight="1" x14ac:dyDescent="0.3">
      <c r="B1296" s="44" t="str">
        <f>IF(OR(LINEAS!$D$15="",DATOS!$C$22="—",ABS(LINEAS!$AP$15*DATOS!$C$67)&lt;0.00005),"*",LINEAS!$D$15&amp;" UNI G"&amp;DATOS!$C$22&amp;" "&amp;TEXT(LINEAS!$AP$15*DATOS!$C$67,DATOS!$C$68))</f>
        <v>76 113 TO 116 UNI GZ 0.0033</v>
      </c>
      <c r="C1296" s="42" t="str">
        <f t="shared" si="40"/>
        <v/>
      </c>
      <c r="D1296" s="44" t="str">
        <f>IF(PRESIONES!$C$22="NO","",IF(OR(LINEAS!$D$15="",DATOS!$C$22="—",ABS(LINEAS!$BF$15*DATOS!$C$67)&lt;0.00005),"*",LINEAS!$D$15&amp;" UNI G"&amp;DATOS!$C$22&amp;" "&amp;TEXT(LINEAS!$BF$15*DATOS!$C$67,DATOS!$C$68)))</f>
        <v/>
      </c>
      <c r="E1296" s="42" t="str">
        <f t="shared" si="41"/>
        <v/>
      </c>
    </row>
    <row r="1297" spans="2:5" ht="15" customHeight="1" x14ac:dyDescent="0.3">
      <c r="B1297" s="44" t="str">
        <f>IF(OR(LINEAS!$D$16="",ABS(-LINEAS!$AH$16*DATOS!$C$67)&lt;0.00005),"*",LINEAS!$D$16&amp;" UNI GY "&amp;TEXT(-LINEAS!$AH$16*DATOS!$C$67,DATOS!$C$68))</f>
        <v>75 109 TO 112 UNI GY 0.0659</v>
      </c>
      <c r="C1297" s="42" t="str">
        <f t="shared" si="40"/>
        <v/>
      </c>
      <c r="D1297" s="44" t="str">
        <f>IF(PRESIONES!$C$22="NO","",IF(OR(LINEAS!$D$16="",ABS(-LINEAS!$AX$16*DATOS!$C$67)&lt;0.00005),"*",LINEAS!$D$16&amp;" UNI GY "&amp;TEXT(-LINEAS!$AX$16*DATOS!$C$67,DATOS!$C$68)))</f>
        <v/>
      </c>
      <c r="E1297" s="42" t="str">
        <f t="shared" si="41"/>
        <v/>
      </c>
    </row>
    <row r="1298" spans="2:5" ht="15" customHeight="1" x14ac:dyDescent="0.3">
      <c r="B1298" s="44" t="str">
        <f>IF(OR(LINEAS!$D$16="",DATOS!$C$22="—",ABS(LINEAS!$AP$16*DATOS!$C$67)&lt;0.00005),"*",LINEAS!$D$16&amp;" UNI G"&amp;DATOS!$C$22&amp;" "&amp;TEXT(LINEAS!$AP$16*DATOS!$C$67,DATOS!$C$68))</f>
        <v>75 109 TO 112 UNI GZ 0.0033</v>
      </c>
      <c r="C1298" s="42" t="str">
        <f t="shared" si="40"/>
        <v/>
      </c>
      <c r="D1298" s="44" t="str">
        <f>IF(PRESIONES!$C$22="NO","",IF(OR(LINEAS!$D$16="",DATOS!$C$22="—",ABS(LINEAS!$BF$16*DATOS!$C$67)&lt;0.00005),"*",LINEAS!$D$16&amp;" UNI G"&amp;DATOS!$C$22&amp;" "&amp;TEXT(LINEAS!$BF$16*DATOS!$C$67,DATOS!$C$68)))</f>
        <v/>
      </c>
      <c r="E1298" s="42" t="str">
        <f t="shared" si="41"/>
        <v/>
      </c>
    </row>
    <row r="1299" spans="2:5" ht="15" customHeight="1" x14ac:dyDescent="0.3">
      <c r="B1299" s="44" t="str">
        <f>IF(OR(LINEAS!$D$17="",ABS(-LINEAS!$AH$17*DATOS!$C$67)&lt;0.00005),"*",LINEAS!$D$17&amp;" UNI GY "&amp;TEXT(-LINEAS!$AH$17*DATOS!$C$67,DATOS!$C$68))</f>
        <v>74 105 TO 108 UNI GY 0.0659</v>
      </c>
      <c r="C1299" s="42" t="str">
        <f t="shared" si="40"/>
        <v/>
      </c>
      <c r="D1299" s="44" t="str">
        <f>IF(PRESIONES!$C$22="NO","",IF(OR(LINEAS!$D$17="",ABS(-LINEAS!$AX$17*DATOS!$C$67)&lt;0.00005),"*",LINEAS!$D$17&amp;" UNI GY "&amp;TEXT(-LINEAS!$AX$17*DATOS!$C$67,DATOS!$C$68)))</f>
        <v/>
      </c>
      <c r="E1299" s="42" t="str">
        <f t="shared" si="41"/>
        <v/>
      </c>
    </row>
    <row r="1300" spans="2:5" ht="15" customHeight="1" x14ac:dyDescent="0.3">
      <c r="B1300" s="44" t="str">
        <f>IF(OR(LINEAS!$D$17="",DATOS!$C$22="—",ABS(LINEAS!$AP$17*DATOS!$C$67)&lt;0.00005),"*",LINEAS!$D$17&amp;" UNI G"&amp;DATOS!$C$22&amp;" "&amp;TEXT(LINEAS!$AP$17*DATOS!$C$67,DATOS!$C$68))</f>
        <v>74 105 TO 108 UNI GZ 0.0033</v>
      </c>
      <c r="C1300" s="42" t="str">
        <f t="shared" si="40"/>
        <v/>
      </c>
      <c r="D1300" s="44" t="str">
        <f>IF(PRESIONES!$C$22="NO","",IF(OR(LINEAS!$D$17="",DATOS!$C$22="—",ABS(LINEAS!$BF$17*DATOS!$C$67)&lt;0.00005),"*",LINEAS!$D$17&amp;" UNI G"&amp;DATOS!$C$22&amp;" "&amp;TEXT(LINEAS!$BF$17*DATOS!$C$67,DATOS!$C$68)))</f>
        <v/>
      </c>
      <c r="E1300" s="42" t="str">
        <f t="shared" si="41"/>
        <v/>
      </c>
    </row>
    <row r="1301" spans="2:5" ht="15" customHeight="1" x14ac:dyDescent="0.3">
      <c r="B1301" s="44" t="str">
        <f>IF(OR(LINEAS!$D$18="",ABS(-LINEAS!$AH$18*DATOS!$C$67)&lt;0.00005),"*",LINEAS!$D$18&amp;" UNI GY "&amp;TEXT(-LINEAS!$AH$18*DATOS!$C$67,DATOS!$C$68))</f>
        <v>73 101 TO 104 UNI GY 0.0659</v>
      </c>
      <c r="C1301" s="42" t="str">
        <f t="shared" si="40"/>
        <v/>
      </c>
      <c r="D1301" s="44" t="str">
        <f>IF(PRESIONES!$C$22="NO","",IF(OR(LINEAS!$D$18="",ABS(-LINEAS!$AX$18*DATOS!$C$67)&lt;0.00005),"*",LINEAS!$D$18&amp;" UNI GY "&amp;TEXT(-LINEAS!$AX$18*DATOS!$C$67,DATOS!$C$68)))</f>
        <v/>
      </c>
      <c r="E1301" s="42" t="str">
        <f t="shared" si="41"/>
        <v/>
      </c>
    </row>
    <row r="1302" spans="2:5" ht="15" customHeight="1" x14ac:dyDescent="0.3">
      <c r="B1302" s="44" t="str">
        <f>IF(OR(LINEAS!$D$18="",DATOS!$C$22="—",ABS(LINEAS!$AP$18*DATOS!$C$67)&lt;0.00005),"*",LINEAS!$D$18&amp;" UNI G"&amp;DATOS!$C$22&amp;" "&amp;TEXT(LINEAS!$AP$18*DATOS!$C$67,DATOS!$C$68))</f>
        <v>73 101 TO 104 UNI GZ 0.0033</v>
      </c>
      <c r="C1302" s="42" t="str">
        <f t="shared" si="40"/>
        <v/>
      </c>
      <c r="D1302" s="44" t="str">
        <f>IF(PRESIONES!$C$22="NO","",IF(OR(LINEAS!$D$18="",DATOS!$C$22="—",ABS(LINEAS!$BF$18*DATOS!$C$67)&lt;0.00005),"*",LINEAS!$D$18&amp;" UNI G"&amp;DATOS!$C$22&amp;" "&amp;TEXT(LINEAS!$BF$18*DATOS!$C$67,DATOS!$C$68)))</f>
        <v/>
      </c>
      <c r="E1302" s="42" t="str">
        <f t="shared" si="41"/>
        <v/>
      </c>
    </row>
    <row r="1303" spans="2:5" ht="15" customHeight="1" x14ac:dyDescent="0.3">
      <c r="B1303" s="44" t="str">
        <f>IF(OR(LINEAS!$D$19="",ABS(-LINEAS!$AH$19*DATOS!$C$67)&lt;0.00005),"*",LINEAS!$D$19&amp;" UNI GY "&amp;TEXT(-LINEAS!$AH$19*DATOS!$C$67,DATOS!$C$68))</f>
        <v>8 89 TO 92 UNI GY 0.0635</v>
      </c>
      <c r="C1303" s="42" t="str">
        <f t="shared" si="40"/>
        <v/>
      </c>
      <c r="D1303" s="44" t="str">
        <f>IF(PRESIONES!$C$22="NO","",IF(OR(LINEAS!$D$19="",ABS(-LINEAS!$AX$19*DATOS!$C$67)&lt;0.00005),"*",LINEAS!$D$19&amp;" UNI GY "&amp;TEXT(-LINEAS!$AX$19*DATOS!$C$67,DATOS!$C$68)))</f>
        <v/>
      </c>
      <c r="E1303" s="42" t="str">
        <f t="shared" si="41"/>
        <v/>
      </c>
    </row>
    <row r="1304" spans="2:5" ht="15" customHeight="1" x14ac:dyDescent="0.3">
      <c r="B1304" s="44" t="str">
        <f>IF(OR(LINEAS!$D$19="",DATOS!$C$22="—",ABS(LINEAS!$AP$19*DATOS!$C$67)&lt;0.00005),"*",LINEAS!$D$19&amp;" UNI G"&amp;DATOS!$C$22&amp;" "&amp;TEXT(LINEAS!$AP$19*DATOS!$C$67,DATOS!$C$68))</f>
        <v>8 89 TO 92 UNI GZ 0.0032</v>
      </c>
      <c r="C1304" s="42" t="str">
        <f t="shared" si="40"/>
        <v/>
      </c>
      <c r="D1304" s="44" t="str">
        <f>IF(PRESIONES!$C$22="NO","",IF(OR(LINEAS!$D$19="",DATOS!$C$22="—",ABS(LINEAS!$BF$19*DATOS!$C$67)&lt;0.00005),"*",LINEAS!$D$19&amp;" UNI G"&amp;DATOS!$C$22&amp;" "&amp;TEXT(LINEAS!$BF$19*DATOS!$C$67,DATOS!$C$68)))</f>
        <v/>
      </c>
      <c r="E1304" s="42" t="str">
        <f t="shared" si="41"/>
        <v/>
      </c>
    </row>
    <row r="1305" spans="2:5" ht="15" customHeight="1" x14ac:dyDescent="0.3">
      <c r="B1305" s="44" t="str">
        <f>IF(OR(LINEAS!$D$20="",ABS(-LINEAS!$AH$20*DATOS!$C$67)&lt;0.00005),"*",LINEAS!$D$20&amp;" UNI GY "&amp;TEXT(-LINEAS!$AH$20*DATOS!$C$67,DATOS!$C$68))</f>
        <v>56 97 TO 100 UNI GY 0.0610</v>
      </c>
      <c r="C1305" s="42" t="str">
        <f t="shared" si="40"/>
        <v/>
      </c>
      <c r="D1305" s="44" t="str">
        <f>IF(PRESIONES!$C$22="NO","",IF(OR(LINEAS!$D$20="",ABS(-LINEAS!$AX$20*DATOS!$C$67)&lt;0.00005),"*",LINEAS!$D$20&amp;" UNI GY "&amp;TEXT(-LINEAS!$AX$20*DATOS!$C$67,DATOS!$C$68)))</f>
        <v/>
      </c>
      <c r="E1305" s="42" t="str">
        <f t="shared" si="41"/>
        <v/>
      </c>
    </row>
    <row r="1306" spans="2:5" ht="15" customHeight="1" x14ac:dyDescent="0.3">
      <c r="B1306" s="44" t="str">
        <f>IF(OR(LINEAS!$D$20="",DATOS!$C$22="—",ABS(LINEAS!$AP$20*DATOS!$C$67)&lt;0.00005),"*",LINEAS!$D$20&amp;" UNI G"&amp;DATOS!$C$22&amp;" "&amp;TEXT(LINEAS!$AP$20*DATOS!$C$67,DATOS!$C$68))</f>
        <v>56 97 TO 100 UNI GZ 0.0031</v>
      </c>
      <c r="C1306" s="42" t="str">
        <f t="shared" si="40"/>
        <v/>
      </c>
      <c r="D1306" s="44" t="str">
        <f>IF(PRESIONES!$C$22="NO","",IF(OR(LINEAS!$D$20="",DATOS!$C$22="—",ABS(LINEAS!$BF$20*DATOS!$C$67)&lt;0.00005),"*",LINEAS!$D$20&amp;" UNI G"&amp;DATOS!$C$22&amp;" "&amp;TEXT(LINEAS!$BF$20*DATOS!$C$67,DATOS!$C$68)))</f>
        <v/>
      </c>
      <c r="E1306" s="42" t="str">
        <f t="shared" si="41"/>
        <v/>
      </c>
    </row>
    <row r="1307" spans="2:5" ht="15" customHeight="1" x14ac:dyDescent="0.3">
      <c r="B1307" s="44" t="str">
        <f>IF(OR(LINEAS!$D$21="",ABS(-LINEAS!$AH$21*DATOS!$C$67)&lt;0.00005),"*",LINEAS!$D$21&amp;" UNI GY "&amp;TEXT(-LINEAS!$AH$21*DATOS!$C$67,DATOS!$C$68))</f>
        <v>7 81 TO 84 UNI GY 0.0305</v>
      </c>
      <c r="C1307" s="42" t="str">
        <f t="shared" si="40"/>
        <v/>
      </c>
      <c r="D1307" s="44" t="str">
        <f>IF(PRESIONES!$C$22="NO","",IF(OR(LINEAS!$D$21="",ABS(-LINEAS!$AX$21*DATOS!$C$67)&lt;0.00005),"*",LINEAS!$D$21&amp;" UNI GY "&amp;TEXT(-LINEAS!$AX$21*DATOS!$C$67,DATOS!$C$68)))</f>
        <v/>
      </c>
      <c r="E1307" s="42" t="str">
        <f t="shared" si="41"/>
        <v/>
      </c>
    </row>
    <row r="1308" spans="2:5" ht="15" customHeight="1" x14ac:dyDescent="0.3">
      <c r="B1308" s="44" t="str">
        <f>IF(OR(LINEAS!$D$21="",DATOS!$C$22="—",ABS(LINEAS!$AP$21*DATOS!$C$67)&lt;0.00005),"*",LINEAS!$D$21&amp;" UNI G"&amp;DATOS!$C$22&amp;" "&amp;TEXT(LINEAS!$AP$21*DATOS!$C$67,DATOS!$C$68))</f>
        <v>7 81 TO 84 UNI GZ 0.0015</v>
      </c>
      <c r="C1308" s="42" t="str">
        <f t="shared" si="40"/>
        <v/>
      </c>
      <c r="D1308" s="44" t="str">
        <f>IF(PRESIONES!$C$22="NO","",IF(OR(LINEAS!$D$21="",DATOS!$C$22="—",ABS(LINEAS!$BF$21*DATOS!$C$67)&lt;0.00005),"*",LINEAS!$D$21&amp;" UNI G"&amp;DATOS!$C$22&amp;" "&amp;TEXT(LINEAS!$BF$21*DATOS!$C$67,DATOS!$C$68)))</f>
        <v/>
      </c>
      <c r="E1308" s="42" t="str">
        <f t="shared" si="41"/>
        <v/>
      </c>
    </row>
    <row r="1309" spans="2:5" ht="15" customHeight="1" x14ac:dyDescent="0.3">
      <c r="B1309" s="44" t="str">
        <f>IF(OR(LINEAS!$D$22="",ABS(-LINEAS!$AH$22*DATOS!$C$67)&lt;0.00005),"*",LINEAS!$D$22&amp;" UNI GY "&amp;TEXT(-LINEAS!$AH$22*DATOS!$C$67,DATOS!$C$68))</f>
        <v>*</v>
      </c>
      <c r="C1309" s="42" t="str">
        <f t="shared" si="40"/>
        <v/>
      </c>
      <c r="D1309" s="44" t="str">
        <f>IF(PRESIONES!$C$22="NO","",IF(OR(LINEAS!$D$22="",ABS(-LINEAS!$AX$22*DATOS!$C$67)&lt;0.00005),"*",LINEAS!$D$22&amp;" UNI GY "&amp;TEXT(-LINEAS!$AX$22*DATOS!$C$67,DATOS!$C$68)))</f>
        <v/>
      </c>
      <c r="E1309" s="42" t="str">
        <f t="shared" si="41"/>
        <v/>
      </c>
    </row>
    <row r="1310" spans="2:5" ht="15" customHeight="1" x14ac:dyDescent="0.3">
      <c r="B1310" s="44" t="str">
        <f>IF(OR(LINEAS!$D$22="",DATOS!$C$22="—",ABS(LINEAS!$AP$22*DATOS!$C$67)&lt;0.00005),"*",LINEAS!$D$22&amp;" UNI G"&amp;DATOS!$C$22&amp;" "&amp;TEXT(LINEAS!$AP$22*DATOS!$C$67,DATOS!$C$68))</f>
        <v>*</v>
      </c>
      <c r="C1310" s="42" t="str">
        <f t="shared" si="40"/>
        <v/>
      </c>
      <c r="D1310" s="44" t="str">
        <f>IF(PRESIONES!$C$22="NO","",IF(OR(LINEAS!$D$22="",DATOS!$C$22="—",ABS(LINEAS!$BF$22*DATOS!$C$67)&lt;0.00005),"*",LINEAS!$D$22&amp;" UNI G"&amp;DATOS!$C$22&amp;" "&amp;TEXT(LINEAS!$BF$22*DATOS!$C$67,DATOS!$C$68)))</f>
        <v/>
      </c>
      <c r="E1310" s="42" t="str">
        <f t="shared" si="41"/>
        <v/>
      </c>
    </row>
    <row r="1311" spans="2:5" ht="15" customHeight="1" x14ac:dyDescent="0.3">
      <c r="B1311" s="44" t="str">
        <f>IF(OR(LINEAS!$D$23="",ABS(-LINEAS!$AH$23*DATOS!$C$67)&lt;0.00005),"*",LINEAS!$D$23&amp;" UNI GY "&amp;TEXT(-LINEAS!$AH$23*DATOS!$C$67,DATOS!$C$68))</f>
        <v>*</v>
      </c>
      <c r="C1311" s="42" t="str">
        <f t="shared" si="40"/>
        <v/>
      </c>
      <c r="D1311" s="44" t="str">
        <f>IF(PRESIONES!$C$22="NO","",IF(OR(LINEAS!$D$23="",ABS(-LINEAS!$AX$23*DATOS!$C$67)&lt;0.00005),"*",LINEAS!$D$23&amp;" UNI GY "&amp;TEXT(-LINEAS!$AX$23*DATOS!$C$67,DATOS!$C$68)))</f>
        <v/>
      </c>
      <c r="E1311" s="42" t="str">
        <f t="shared" si="41"/>
        <v/>
      </c>
    </row>
    <row r="1312" spans="2:5" ht="15" customHeight="1" x14ac:dyDescent="0.3">
      <c r="B1312" s="44" t="str">
        <f>IF(OR(LINEAS!$D$23="",DATOS!$C$22="—",ABS(LINEAS!$AP$23*DATOS!$C$67)&lt;0.00005),"*",LINEAS!$D$23&amp;" UNI G"&amp;DATOS!$C$22&amp;" "&amp;TEXT(LINEAS!$AP$23*DATOS!$C$67,DATOS!$C$68))</f>
        <v>*</v>
      </c>
      <c r="C1312" s="42" t="str">
        <f t="shared" si="40"/>
        <v/>
      </c>
      <c r="D1312" s="44" t="str">
        <f>IF(PRESIONES!$C$22="NO","",IF(OR(LINEAS!$D$23="",DATOS!$C$22="—",ABS(LINEAS!$BF$23*DATOS!$C$67)&lt;0.00005),"*",LINEAS!$D$23&amp;" UNI G"&amp;DATOS!$C$22&amp;" "&amp;TEXT(LINEAS!$BF$23*DATOS!$C$67,DATOS!$C$68)))</f>
        <v/>
      </c>
      <c r="E1312" s="42" t="str">
        <f t="shared" si="41"/>
        <v/>
      </c>
    </row>
    <row r="1313" spans="2:5" ht="15" customHeight="1" x14ac:dyDescent="0.3">
      <c r="B1313" s="44" t="str">
        <f>IF(OR(LINEAS!$D$24="",ABS(-LINEAS!$AH$24*DATOS!$C$67)&lt;0.00005),"*",LINEAS!$D$24&amp;" UNI GY "&amp;TEXT(-LINEAS!$AH$24*DATOS!$C$67,DATOS!$C$68))</f>
        <v>*</v>
      </c>
      <c r="C1313" s="42" t="str">
        <f t="shared" si="40"/>
        <v/>
      </c>
      <c r="D1313" s="44" t="str">
        <f>IF(PRESIONES!$C$22="NO","",IF(OR(LINEAS!$D$24="",ABS(-LINEAS!$AX$24*DATOS!$C$67)&lt;0.00005),"*",LINEAS!$D$24&amp;" UNI GY "&amp;TEXT(-LINEAS!$AX$24*DATOS!$C$67,DATOS!$C$68)))</f>
        <v/>
      </c>
      <c r="E1313" s="42" t="str">
        <f t="shared" si="41"/>
        <v/>
      </c>
    </row>
    <row r="1314" spans="2:5" ht="15" customHeight="1" x14ac:dyDescent="0.3">
      <c r="B1314" s="44" t="str">
        <f>IF(OR(LINEAS!$D$24="",DATOS!$C$22="—",ABS(LINEAS!$AP$24*DATOS!$C$67)&lt;0.00005),"*",LINEAS!$D$24&amp;" UNI G"&amp;DATOS!$C$22&amp;" "&amp;TEXT(LINEAS!$AP$24*DATOS!$C$67,DATOS!$C$68))</f>
        <v>*</v>
      </c>
      <c r="C1314" s="42" t="str">
        <f t="shared" si="40"/>
        <v/>
      </c>
      <c r="D1314" s="44" t="str">
        <f>IF(PRESIONES!$C$22="NO","",IF(OR(LINEAS!$D$24="",DATOS!$C$22="—",ABS(LINEAS!$BF$24*DATOS!$C$67)&lt;0.00005),"*",LINEAS!$D$24&amp;" UNI G"&amp;DATOS!$C$22&amp;" "&amp;TEXT(LINEAS!$BF$24*DATOS!$C$67,DATOS!$C$68)))</f>
        <v/>
      </c>
      <c r="E1314" s="42" t="str">
        <f t="shared" si="41"/>
        <v/>
      </c>
    </row>
    <row r="1315" spans="2:5" ht="15" customHeight="1" x14ac:dyDescent="0.3">
      <c r="B1315" s="44" t="str">
        <f>IF(OR(LINEAS!$D$25="",ABS(-LINEAS!$AH$25*DATOS!$C$67)&lt;0.00005),"*",LINEAS!$D$25&amp;" UNI GY "&amp;TEXT(-LINEAS!$AH$25*DATOS!$C$67,DATOS!$C$68))</f>
        <v>*</v>
      </c>
      <c r="C1315" s="42" t="str">
        <f t="shared" si="40"/>
        <v/>
      </c>
      <c r="D1315" s="44" t="str">
        <f>IF(PRESIONES!$C$22="NO","",IF(OR(LINEAS!$D$25="",ABS(-LINEAS!$AX$25*DATOS!$C$67)&lt;0.00005),"*",LINEAS!$D$25&amp;" UNI GY "&amp;TEXT(-LINEAS!$AX$25*DATOS!$C$67,DATOS!$C$68)))</f>
        <v/>
      </c>
      <c r="E1315" s="42" t="str">
        <f t="shared" si="41"/>
        <v/>
      </c>
    </row>
    <row r="1316" spans="2:5" ht="15" customHeight="1" x14ac:dyDescent="0.3">
      <c r="B1316" s="44" t="str">
        <f>IF(OR(LINEAS!$D$25="",DATOS!$C$22="—",ABS(LINEAS!$AP$25*DATOS!$C$67)&lt;0.00005),"*",LINEAS!$D$25&amp;" UNI G"&amp;DATOS!$C$22&amp;" "&amp;TEXT(LINEAS!$AP$25*DATOS!$C$67,DATOS!$C$68))</f>
        <v>*</v>
      </c>
      <c r="C1316" s="42" t="str">
        <f t="shared" si="40"/>
        <v/>
      </c>
      <c r="D1316" s="44" t="str">
        <f>IF(PRESIONES!$C$22="NO","",IF(OR(LINEAS!$D$25="",DATOS!$C$22="—",ABS(LINEAS!$BF$25*DATOS!$C$67)&lt;0.00005),"*",LINEAS!$D$25&amp;" UNI G"&amp;DATOS!$C$22&amp;" "&amp;TEXT(LINEAS!$BF$25*DATOS!$C$67,DATOS!$C$68)))</f>
        <v/>
      </c>
      <c r="E1316" s="42" t="str">
        <f t="shared" si="41"/>
        <v/>
      </c>
    </row>
    <row r="1317" spans="2:5" ht="15" customHeight="1" x14ac:dyDescent="0.3">
      <c r="B1317" s="44" t="str">
        <f>IF(OR(LINEAS!$D$26="",ABS(-LINEAS!$AH$26*DATOS!$C$67)&lt;0.00005),"*",LINEAS!$D$26&amp;" UNI GY "&amp;TEXT(-LINEAS!$AH$26*DATOS!$C$67,DATOS!$C$68))</f>
        <v>*</v>
      </c>
      <c r="C1317" s="42" t="str">
        <f t="shared" si="40"/>
        <v/>
      </c>
      <c r="D1317" s="44" t="str">
        <f>IF(PRESIONES!$C$22="NO","",IF(OR(LINEAS!$D$26="",ABS(-LINEAS!$AX$26*DATOS!$C$67)&lt;0.00005),"*",LINEAS!$D$26&amp;" UNI GY "&amp;TEXT(-LINEAS!$AX$26*DATOS!$C$67,DATOS!$C$68)))</f>
        <v/>
      </c>
      <c r="E1317" s="42" t="str">
        <f t="shared" si="41"/>
        <v/>
      </c>
    </row>
    <row r="1318" spans="2:5" ht="15" customHeight="1" x14ac:dyDescent="0.3">
      <c r="B1318" s="44" t="str">
        <f>IF(OR(LINEAS!$D$26="",DATOS!$C$22="—",ABS(LINEAS!$AP$26*DATOS!$C$67)&lt;0.00005),"*",LINEAS!$D$26&amp;" UNI G"&amp;DATOS!$C$22&amp;" "&amp;TEXT(LINEAS!$AP$26*DATOS!$C$67,DATOS!$C$68))</f>
        <v>*</v>
      </c>
      <c r="C1318" s="42" t="str">
        <f t="shared" si="40"/>
        <v/>
      </c>
      <c r="D1318" s="44" t="str">
        <f>IF(PRESIONES!$C$22="NO","",IF(OR(LINEAS!$D$26="",DATOS!$C$22="—",ABS(LINEAS!$BF$26*DATOS!$C$67)&lt;0.00005),"*",LINEAS!$D$26&amp;" UNI G"&amp;DATOS!$C$22&amp;" "&amp;TEXT(LINEAS!$BF$26*DATOS!$C$67,DATOS!$C$68)))</f>
        <v/>
      </c>
      <c r="E1318" s="42" t="str">
        <f t="shared" si="41"/>
        <v/>
      </c>
    </row>
    <row r="1319" spans="2:5" ht="15" customHeight="1" x14ac:dyDescent="0.3">
      <c r="B1319" s="44" t="str">
        <f>IF(OR(LINEAS!$D$27="",ABS(-LINEAS!$AH$27*DATOS!$C$67)&lt;0.00005),"*",LINEAS!$D$27&amp;" UNI GY "&amp;TEXT(-LINEAS!$AH$27*DATOS!$C$67,DATOS!$C$68))</f>
        <v>*</v>
      </c>
      <c r="C1319" s="42" t="str">
        <f t="shared" si="40"/>
        <v/>
      </c>
      <c r="D1319" s="44" t="str">
        <f>IF(PRESIONES!$C$22="NO","",IF(OR(LINEAS!$D$27="",ABS(-LINEAS!$AX$27*DATOS!$C$67)&lt;0.00005),"*",LINEAS!$D$27&amp;" UNI GY "&amp;TEXT(-LINEAS!$AX$27*DATOS!$C$67,DATOS!$C$68)))</f>
        <v/>
      </c>
      <c r="E1319" s="42" t="str">
        <f t="shared" si="41"/>
        <v/>
      </c>
    </row>
    <row r="1320" spans="2:5" ht="15" customHeight="1" x14ac:dyDescent="0.3">
      <c r="B1320" s="44" t="str">
        <f>IF(OR(LINEAS!$D$27="",DATOS!$C$22="—",ABS(LINEAS!$AP$27*DATOS!$C$67)&lt;0.00005),"*",LINEAS!$D$27&amp;" UNI G"&amp;DATOS!$C$22&amp;" "&amp;TEXT(LINEAS!$AP$27*DATOS!$C$67,DATOS!$C$68))</f>
        <v>*</v>
      </c>
      <c r="C1320" s="42" t="str">
        <f t="shared" si="40"/>
        <v/>
      </c>
      <c r="D1320" s="44" t="str">
        <f>IF(PRESIONES!$C$22="NO","",IF(OR(LINEAS!$D$27="",DATOS!$C$22="—",ABS(LINEAS!$BF$27*DATOS!$C$67)&lt;0.00005),"*",LINEAS!$D$27&amp;" UNI G"&amp;DATOS!$C$22&amp;" "&amp;TEXT(LINEAS!$BF$27*DATOS!$C$67,DATOS!$C$68)))</f>
        <v/>
      </c>
      <c r="E1320" s="42" t="str">
        <f t="shared" si="41"/>
        <v/>
      </c>
    </row>
    <row r="1321" spans="2:5" ht="15" customHeight="1" x14ac:dyDescent="0.3">
      <c r="B1321" s="44" t="str">
        <f>IF(OR(LINEAS!$D$28="",ABS(-LINEAS!$AH$28*DATOS!$C$67)&lt;0.00005),"*",LINEAS!$D$28&amp;" UNI GY "&amp;TEXT(-LINEAS!$AH$28*DATOS!$C$67,DATOS!$C$68))</f>
        <v>*</v>
      </c>
      <c r="C1321" s="42" t="str">
        <f t="shared" si="40"/>
        <v/>
      </c>
      <c r="D1321" s="44" t="str">
        <f>IF(PRESIONES!$C$22="NO","",IF(OR(LINEAS!$D$28="",ABS(-LINEAS!$AX$28*DATOS!$C$67)&lt;0.00005),"*",LINEAS!$D$28&amp;" UNI GY "&amp;TEXT(-LINEAS!$AX$28*DATOS!$C$67,DATOS!$C$68)))</f>
        <v/>
      </c>
      <c r="E1321" s="42" t="str">
        <f t="shared" si="41"/>
        <v/>
      </c>
    </row>
    <row r="1322" spans="2:5" ht="15" customHeight="1" x14ac:dyDescent="0.3">
      <c r="B1322" s="44" t="str">
        <f>IF(OR(LINEAS!$D$28="",DATOS!$C$22="—",ABS(LINEAS!$AP$28*DATOS!$C$67)&lt;0.00005),"*",LINEAS!$D$28&amp;" UNI G"&amp;DATOS!$C$22&amp;" "&amp;TEXT(LINEAS!$AP$28*DATOS!$C$67,DATOS!$C$68))</f>
        <v>*</v>
      </c>
      <c r="C1322" s="42" t="str">
        <f t="shared" si="40"/>
        <v/>
      </c>
      <c r="D1322" s="44" t="str">
        <f>IF(PRESIONES!$C$22="NO","",IF(OR(LINEAS!$D$28="",DATOS!$C$22="—",ABS(LINEAS!$BF$28*DATOS!$C$67)&lt;0.00005),"*",LINEAS!$D$28&amp;" UNI G"&amp;DATOS!$C$22&amp;" "&amp;TEXT(LINEAS!$BF$28*DATOS!$C$67,DATOS!$C$68)))</f>
        <v/>
      </c>
      <c r="E1322" s="42" t="str">
        <f t="shared" si="41"/>
        <v/>
      </c>
    </row>
    <row r="1323" spans="2:5" ht="15" customHeight="1" x14ac:dyDescent="0.3">
      <c r="B1323" s="44" t="str">
        <f>IF(OR(LINEAS!$D$29="",ABS(-LINEAS!$AH$29*DATOS!$C$67)&lt;0.00005),"*",LINEAS!$D$29&amp;" UNI GY "&amp;TEXT(-LINEAS!$AH$29*DATOS!$C$67,DATOS!$C$68))</f>
        <v>*</v>
      </c>
      <c r="C1323" s="42" t="str">
        <f t="shared" si="40"/>
        <v/>
      </c>
      <c r="D1323" s="44" t="str">
        <f>IF(PRESIONES!$C$22="NO","",IF(OR(LINEAS!$D$29="",ABS(-LINEAS!$AX$29*DATOS!$C$67)&lt;0.00005),"*",LINEAS!$D$29&amp;" UNI GY "&amp;TEXT(-LINEAS!$AX$29*DATOS!$C$67,DATOS!$C$68)))</f>
        <v/>
      </c>
      <c r="E1323" s="42" t="str">
        <f t="shared" si="41"/>
        <v/>
      </c>
    </row>
    <row r="1324" spans="2:5" ht="15" customHeight="1" x14ac:dyDescent="0.3">
      <c r="B1324" s="44" t="str">
        <f>IF(OR(LINEAS!$D$29="",DATOS!$C$22="—",ABS(LINEAS!$AP$29*DATOS!$C$67)&lt;0.00005),"*",LINEAS!$D$29&amp;" UNI G"&amp;DATOS!$C$22&amp;" "&amp;TEXT(LINEAS!$AP$29*DATOS!$C$67,DATOS!$C$68))</f>
        <v>*</v>
      </c>
      <c r="C1324" s="42" t="str">
        <f t="shared" si="40"/>
        <v/>
      </c>
      <c r="D1324" s="44" t="str">
        <f>IF(PRESIONES!$C$22="NO","",IF(OR(LINEAS!$D$29="",DATOS!$C$22="—",ABS(LINEAS!$BF$29*DATOS!$C$67)&lt;0.00005),"*",LINEAS!$D$29&amp;" UNI G"&amp;DATOS!$C$22&amp;" "&amp;TEXT(LINEAS!$BF$29*DATOS!$C$67,DATOS!$C$68)))</f>
        <v/>
      </c>
      <c r="E1324" s="42" t="str">
        <f t="shared" si="41"/>
        <v/>
      </c>
    </row>
    <row r="1325" spans="2:5" ht="15" customHeight="1" x14ac:dyDescent="0.3">
      <c r="B1325" s="44" t="str">
        <f>IF(OR(LINEAS!$D$30="",ABS(-LINEAS!$AH$30*DATOS!$C$67)&lt;0.00005),"*",LINEAS!$D$30&amp;" UNI GY "&amp;TEXT(-LINEAS!$AH$30*DATOS!$C$67,DATOS!$C$68))</f>
        <v>*</v>
      </c>
      <c r="C1325" s="42" t="str">
        <f t="shared" si="40"/>
        <v/>
      </c>
      <c r="D1325" s="44" t="str">
        <f>IF(PRESIONES!$C$22="NO","",IF(OR(LINEAS!$D$30="",ABS(-LINEAS!$AX$30*DATOS!$C$67)&lt;0.00005),"*",LINEAS!$D$30&amp;" UNI GY "&amp;TEXT(-LINEAS!$AX$30*DATOS!$C$67,DATOS!$C$68)))</f>
        <v/>
      </c>
      <c r="E1325" s="42" t="str">
        <f t="shared" si="41"/>
        <v/>
      </c>
    </row>
    <row r="1326" spans="2:5" ht="15" customHeight="1" x14ac:dyDescent="0.3">
      <c r="B1326" s="44" t="str">
        <f>IF(OR(LINEAS!$D$30="",DATOS!$C$22="—",ABS(LINEAS!$AP$30*DATOS!$C$67)&lt;0.00005),"*",LINEAS!$D$30&amp;" UNI G"&amp;DATOS!$C$22&amp;" "&amp;TEXT(LINEAS!$AP$30*DATOS!$C$67,DATOS!$C$68))</f>
        <v>*</v>
      </c>
      <c r="C1326" s="42" t="str">
        <f t="shared" si="40"/>
        <v/>
      </c>
      <c r="D1326" s="44" t="str">
        <f>IF(PRESIONES!$C$22="NO","",IF(OR(LINEAS!$D$30="",DATOS!$C$22="—",ABS(LINEAS!$BF$30*DATOS!$C$67)&lt;0.00005),"*",LINEAS!$D$30&amp;" UNI G"&amp;DATOS!$C$22&amp;" "&amp;TEXT(LINEAS!$BF$30*DATOS!$C$67,DATOS!$C$68)))</f>
        <v/>
      </c>
      <c r="E1326" s="42" t="str">
        <f t="shared" si="41"/>
        <v/>
      </c>
    </row>
    <row r="1327" spans="2:5" ht="15" customHeight="1" x14ac:dyDescent="0.3">
      <c r="B1327" s="44" t="str">
        <f>IF(OR(LINEAS!$D$31="",ABS(-LINEAS!$AH$31*DATOS!$C$67)&lt;0.00005),"*",LINEAS!$D$31&amp;" UNI GY "&amp;TEXT(-LINEAS!$AH$31*DATOS!$C$67,DATOS!$C$68))</f>
        <v>*</v>
      </c>
      <c r="C1327" s="42" t="str">
        <f t="shared" si="40"/>
        <v/>
      </c>
      <c r="D1327" s="44" t="str">
        <f>IF(PRESIONES!$C$22="NO","",IF(OR(LINEAS!$D$31="",ABS(-LINEAS!$AX$31*DATOS!$C$67)&lt;0.00005),"*",LINEAS!$D$31&amp;" UNI GY "&amp;TEXT(-LINEAS!$AX$31*DATOS!$C$67,DATOS!$C$68)))</f>
        <v/>
      </c>
      <c r="E1327" s="42" t="str">
        <f t="shared" si="41"/>
        <v/>
      </c>
    </row>
    <row r="1328" spans="2:5" ht="15" customHeight="1" x14ac:dyDescent="0.3">
      <c r="B1328" s="44" t="str">
        <f>IF(OR(LINEAS!$D$31="",DATOS!$C$22="—",ABS(LINEAS!$AP$31*DATOS!$C$67)&lt;0.00005),"*",LINEAS!$D$31&amp;" UNI G"&amp;DATOS!$C$22&amp;" "&amp;TEXT(LINEAS!$AP$31*DATOS!$C$67,DATOS!$C$68))</f>
        <v>*</v>
      </c>
      <c r="C1328" s="42" t="str">
        <f t="shared" si="40"/>
        <v/>
      </c>
      <c r="D1328" s="44" t="str">
        <f>IF(PRESIONES!$C$22="NO","",IF(OR(LINEAS!$D$31="",DATOS!$C$22="—",ABS(LINEAS!$BF$31*DATOS!$C$67)&lt;0.00005),"*",LINEAS!$D$31&amp;" UNI G"&amp;DATOS!$C$22&amp;" "&amp;TEXT(LINEAS!$BF$31*DATOS!$C$67,DATOS!$C$68)))</f>
        <v/>
      </c>
      <c r="E1328" s="42" t="str">
        <f t="shared" si="41"/>
        <v/>
      </c>
    </row>
    <row r="1329" spans="2:5" ht="15" customHeight="1" x14ac:dyDescent="0.3">
      <c r="B1329" s="44" t="str">
        <f>IF(OR(LINEAS!$D$32="",ABS(-LINEAS!$AH$32*DATOS!$C$67)&lt;0.00005),"*",LINEAS!$D$32&amp;" UNI GY "&amp;TEXT(-LINEAS!$AH$32*DATOS!$C$67,DATOS!$C$68))</f>
        <v>*</v>
      </c>
      <c r="C1329" s="42" t="str">
        <f t="shared" si="40"/>
        <v/>
      </c>
      <c r="D1329" s="44" t="str">
        <f>IF(PRESIONES!$C$22="NO","",IF(OR(LINEAS!$D$32="",ABS(-LINEAS!$AX$32*DATOS!$C$67)&lt;0.00005),"*",LINEAS!$D$32&amp;" UNI GY "&amp;TEXT(-LINEAS!$AX$32*DATOS!$C$67,DATOS!$C$68)))</f>
        <v/>
      </c>
      <c r="E1329" s="42" t="str">
        <f t="shared" si="41"/>
        <v/>
      </c>
    </row>
    <row r="1330" spans="2:5" ht="15" customHeight="1" x14ac:dyDescent="0.3">
      <c r="B1330" s="44" t="str">
        <f>IF(OR(LINEAS!$D$32="",DATOS!$C$22="—",ABS(LINEAS!$AP$32*DATOS!$C$67)&lt;0.00005),"*",LINEAS!$D$32&amp;" UNI G"&amp;DATOS!$C$22&amp;" "&amp;TEXT(LINEAS!$AP$32*DATOS!$C$67,DATOS!$C$68))</f>
        <v>*</v>
      </c>
      <c r="C1330" s="42" t="str">
        <f t="shared" si="40"/>
        <v/>
      </c>
      <c r="D1330" s="44" t="str">
        <f>IF(PRESIONES!$C$22="NO","",IF(OR(LINEAS!$D$32="",DATOS!$C$22="—",ABS(LINEAS!$BF$32*DATOS!$C$67)&lt;0.00005),"*",LINEAS!$D$32&amp;" UNI G"&amp;DATOS!$C$22&amp;" "&amp;TEXT(LINEAS!$BF$32*DATOS!$C$67,DATOS!$C$68)))</f>
        <v/>
      </c>
      <c r="E1330" s="42" t="str">
        <f t="shared" si="41"/>
        <v/>
      </c>
    </row>
    <row r="1331" spans="2:5" ht="15" customHeight="1" x14ac:dyDescent="0.3">
      <c r="B1331" s="44" t="str">
        <f>IF(OR(LINEAS!$D$33="",ABS(-LINEAS!$AH$33*DATOS!$C$67)&lt;0.00005),"*",LINEAS!$D$33&amp;" UNI GY "&amp;TEXT(-LINEAS!$AH$33*DATOS!$C$67,DATOS!$C$68))</f>
        <v>*</v>
      </c>
      <c r="C1331" s="42" t="str">
        <f t="shared" si="40"/>
        <v/>
      </c>
      <c r="D1331" s="44" t="str">
        <f>IF(PRESIONES!$C$22="NO","",IF(OR(LINEAS!$D$33="",ABS(-LINEAS!$AX$33*DATOS!$C$67)&lt;0.00005),"*",LINEAS!$D$33&amp;" UNI GY "&amp;TEXT(-LINEAS!$AX$33*DATOS!$C$67,DATOS!$C$68)))</f>
        <v/>
      </c>
      <c r="E1331" s="42" t="str">
        <f t="shared" si="41"/>
        <v/>
      </c>
    </row>
    <row r="1332" spans="2:5" ht="15" customHeight="1" x14ac:dyDescent="0.3">
      <c r="B1332" s="44" t="str">
        <f>IF(OR(LINEAS!$D$33="",DATOS!$C$22="—",ABS(LINEAS!$AP$33*DATOS!$C$67)&lt;0.00005),"*",LINEAS!$D$33&amp;" UNI G"&amp;DATOS!$C$22&amp;" "&amp;TEXT(LINEAS!$AP$33*DATOS!$C$67,DATOS!$C$68))</f>
        <v>*</v>
      </c>
      <c r="C1332" s="42" t="str">
        <f t="shared" si="40"/>
        <v/>
      </c>
      <c r="D1332" s="44" t="str">
        <f>IF(PRESIONES!$C$22="NO","",IF(OR(LINEAS!$D$33="",DATOS!$C$22="—",ABS(LINEAS!$BF$33*DATOS!$C$67)&lt;0.00005),"*",LINEAS!$D$33&amp;" UNI G"&amp;DATOS!$C$22&amp;" "&amp;TEXT(LINEAS!$BF$33*DATOS!$C$67,DATOS!$C$68)))</f>
        <v/>
      </c>
      <c r="E1332" s="42" t="str">
        <f t="shared" si="41"/>
        <v/>
      </c>
    </row>
    <row r="1333" spans="2:5" ht="15" customHeight="1" x14ac:dyDescent="0.3">
      <c r="B1333" s="44" t="str">
        <f>IF(OR(LINEAS!$D$34="",ABS(-LINEAS!$AH$34*DATOS!$C$67)&lt;0.00005),"*",LINEAS!$D$34&amp;" UNI GY "&amp;TEXT(-LINEAS!$AH$34*DATOS!$C$67,DATOS!$C$68))</f>
        <v>*</v>
      </c>
      <c r="C1333" s="42" t="str">
        <f t="shared" si="40"/>
        <v/>
      </c>
      <c r="D1333" s="44" t="str">
        <f>IF(PRESIONES!$C$22="NO","",IF(OR(LINEAS!$D$34="",ABS(-LINEAS!$AX$34*DATOS!$C$67)&lt;0.00005),"*",LINEAS!$D$34&amp;" UNI GY "&amp;TEXT(-LINEAS!$AX$34*DATOS!$C$67,DATOS!$C$68)))</f>
        <v/>
      </c>
      <c r="E1333" s="42" t="str">
        <f t="shared" si="41"/>
        <v/>
      </c>
    </row>
    <row r="1334" spans="2:5" ht="15" customHeight="1" x14ac:dyDescent="0.3">
      <c r="B1334" s="44" t="str">
        <f>IF(OR(LINEAS!$D$34="",DATOS!$C$22="—",ABS(LINEAS!$AP$34*DATOS!$C$67)&lt;0.00005),"*",LINEAS!$D$34&amp;" UNI G"&amp;DATOS!$C$22&amp;" "&amp;TEXT(LINEAS!$AP$34*DATOS!$C$67,DATOS!$C$68))</f>
        <v>*</v>
      </c>
      <c r="C1334" s="42" t="str">
        <f t="shared" si="40"/>
        <v/>
      </c>
      <c r="D1334" s="44" t="str">
        <f>IF(PRESIONES!$C$22="NO","",IF(OR(LINEAS!$D$34="",DATOS!$C$22="—",ABS(LINEAS!$BF$34*DATOS!$C$67)&lt;0.00005),"*",LINEAS!$D$34&amp;" UNI G"&amp;DATOS!$C$22&amp;" "&amp;TEXT(LINEAS!$BF$34*DATOS!$C$67,DATOS!$C$68)))</f>
        <v/>
      </c>
      <c r="E1334" s="42" t="str">
        <f t="shared" si="41"/>
        <v/>
      </c>
    </row>
    <row r="1335" spans="2:5" ht="15" customHeight="1" x14ac:dyDescent="0.3">
      <c r="B1335" s="44" t="str">
        <f>IF(OR(LINEAS!$D$35="",ABS(-LINEAS!$AH$35*DATOS!$C$67)&lt;0.00005),"*",LINEAS!$D$35&amp;" UNI GY "&amp;TEXT(-LINEAS!$AH$35*DATOS!$C$67,DATOS!$C$68))</f>
        <v>*</v>
      </c>
      <c r="C1335" s="42" t="str">
        <f t="shared" si="40"/>
        <v/>
      </c>
      <c r="D1335" s="44" t="str">
        <f>IF(PRESIONES!$C$22="NO","",IF(OR(LINEAS!$D$35="",ABS(-LINEAS!$AX$35*DATOS!$C$67)&lt;0.00005),"*",LINEAS!$D$35&amp;" UNI GY "&amp;TEXT(-LINEAS!$AX$35*DATOS!$C$67,DATOS!$C$68)))</f>
        <v/>
      </c>
      <c r="E1335" s="42" t="str">
        <f t="shared" si="41"/>
        <v/>
      </c>
    </row>
    <row r="1336" spans="2:5" ht="15" customHeight="1" x14ac:dyDescent="0.3">
      <c r="B1336" s="44" t="str">
        <f>IF(OR(LINEAS!$D$35="",DATOS!$C$22="—",ABS(LINEAS!$AP$35*DATOS!$C$67)&lt;0.00005),"*",LINEAS!$D$35&amp;" UNI G"&amp;DATOS!$C$22&amp;" "&amp;TEXT(LINEAS!$AP$35*DATOS!$C$67,DATOS!$C$68))</f>
        <v>*</v>
      </c>
      <c r="C1336" s="42" t="str">
        <f t="shared" si="40"/>
        <v/>
      </c>
      <c r="D1336" s="44" t="str">
        <f>IF(PRESIONES!$C$22="NO","",IF(OR(LINEAS!$D$35="",DATOS!$C$22="—",ABS(LINEAS!$BF$35*DATOS!$C$67)&lt;0.00005),"*",LINEAS!$D$35&amp;" UNI G"&amp;DATOS!$C$22&amp;" "&amp;TEXT(LINEAS!$BF$35*DATOS!$C$67,DATOS!$C$68)))</f>
        <v/>
      </c>
      <c r="E1336" s="42" t="str">
        <f t="shared" si="41"/>
        <v/>
      </c>
    </row>
    <row r="1337" spans="2:5" ht="15" customHeight="1" x14ac:dyDescent="0.3">
      <c r="B1337" s="44" t="str">
        <f>IF(OR(LINEAS!$D$36="",ABS(-LINEAS!$AH$36*DATOS!$C$67)&lt;0.00005),"*",LINEAS!$D$36&amp;" UNI GY "&amp;TEXT(-LINEAS!$AH$36*DATOS!$C$67,DATOS!$C$68))</f>
        <v>*</v>
      </c>
      <c r="C1337" s="42" t="str">
        <f t="shared" si="40"/>
        <v/>
      </c>
      <c r="D1337" s="44" t="str">
        <f>IF(PRESIONES!$C$22="NO","",IF(OR(LINEAS!$D$36="",ABS(-LINEAS!$AX$36*DATOS!$C$67)&lt;0.00005),"*",LINEAS!$D$36&amp;" UNI GY "&amp;TEXT(-LINEAS!$AX$36*DATOS!$C$67,DATOS!$C$68)))</f>
        <v/>
      </c>
      <c r="E1337" s="42" t="str">
        <f t="shared" si="41"/>
        <v/>
      </c>
    </row>
    <row r="1338" spans="2:5" ht="15" customHeight="1" x14ac:dyDescent="0.3">
      <c r="B1338" s="44" t="str">
        <f>IF(OR(LINEAS!$D$36="",DATOS!$C$22="—",ABS(LINEAS!$AP$36*DATOS!$C$67)&lt;0.00005),"*",LINEAS!$D$36&amp;" UNI G"&amp;DATOS!$C$22&amp;" "&amp;TEXT(LINEAS!$AP$36*DATOS!$C$67,DATOS!$C$68))</f>
        <v>*</v>
      </c>
      <c r="C1338" s="42" t="str">
        <f t="shared" si="40"/>
        <v/>
      </c>
      <c r="D1338" s="44" t="str">
        <f>IF(PRESIONES!$C$22="NO","",IF(OR(LINEAS!$D$36="",DATOS!$C$22="—",ABS(LINEAS!$BF$36*DATOS!$C$67)&lt;0.00005),"*",LINEAS!$D$36&amp;" UNI G"&amp;DATOS!$C$22&amp;" "&amp;TEXT(LINEAS!$BF$36*DATOS!$C$67,DATOS!$C$68)))</f>
        <v/>
      </c>
      <c r="E1338" s="42" t="str">
        <f t="shared" si="41"/>
        <v/>
      </c>
    </row>
    <row r="1339" spans="2:5" ht="15" customHeight="1" x14ac:dyDescent="0.3">
      <c r="B1339" s="44" t="str">
        <f>IF(OR(LINEAS!$D$37="",ABS(-LINEAS!$AH$37*DATOS!$C$67)&lt;0.00005),"*",LINEAS!$D$37&amp;" UNI GY "&amp;TEXT(-LINEAS!$AH$37*DATOS!$C$67,DATOS!$C$68))</f>
        <v>*</v>
      </c>
      <c r="C1339" s="42" t="str">
        <f t="shared" si="40"/>
        <v/>
      </c>
      <c r="D1339" s="44" t="str">
        <f>IF(PRESIONES!$C$22="NO","",IF(OR(LINEAS!$D$37="",ABS(-LINEAS!$AX$37*DATOS!$C$67)&lt;0.00005),"*",LINEAS!$D$37&amp;" UNI GY "&amp;TEXT(-LINEAS!$AX$37*DATOS!$C$67,DATOS!$C$68)))</f>
        <v/>
      </c>
      <c r="E1339" s="42" t="str">
        <f t="shared" si="41"/>
        <v/>
      </c>
    </row>
    <row r="1340" spans="2:5" ht="15" customHeight="1" x14ac:dyDescent="0.3">
      <c r="B1340" s="44" t="str">
        <f>IF(OR(LINEAS!$D$37="",DATOS!$C$22="—",ABS(LINEAS!$AP$37*DATOS!$C$67)&lt;0.00005),"*",LINEAS!$D$37&amp;" UNI G"&amp;DATOS!$C$22&amp;" "&amp;TEXT(LINEAS!$AP$37*DATOS!$C$67,DATOS!$C$68))</f>
        <v>*</v>
      </c>
      <c r="C1340" s="42" t="str">
        <f t="shared" si="40"/>
        <v/>
      </c>
      <c r="D1340" s="44" t="str">
        <f>IF(PRESIONES!$C$22="NO","",IF(OR(LINEAS!$D$37="",DATOS!$C$22="—",ABS(LINEAS!$BF$37*DATOS!$C$67)&lt;0.00005),"*",LINEAS!$D$37&amp;" UNI G"&amp;DATOS!$C$22&amp;" "&amp;TEXT(LINEAS!$BF$37*DATOS!$C$67,DATOS!$C$68)))</f>
        <v/>
      </c>
      <c r="E1340" s="42" t="str">
        <f t="shared" si="41"/>
        <v/>
      </c>
    </row>
    <row r="1341" spans="2:5" ht="15" customHeight="1" x14ac:dyDescent="0.3">
      <c r="B1341" s="44" t="str">
        <f>IF(OR(LINEAS!$D$38="",ABS(-LINEAS!$AH$38*DATOS!$C$67)&lt;0.00005),"*",LINEAS!$D$38&amp;" UNI GY "&amp;TEXT(-LINEAS!$AH$38*DATOS!$C$67,DATOS!$C$68))</f>
        <v>*</v>
      </c>
      <c r="C1341" s="42" t="str">
        <f t="shared" si="40"/>
        <v/>
      </c>
      <c r="D1341" s="44" t="str">
        <f>IF(PRESIONES!$C$22="NO","",IF(OR(LINEAS!$D$38="",ABS(-LINEAS!$AX$38*DATOS!$C$67)&lt;0.00005),"*",LINEAS!$D$38&amp;" UNI GY "&amp;TEXT(-LINEAS!$AX$38*DATOS!$C$67,DATOS!$C$68)))</f>
        <v/>
      </c>
      <c r="E1341" s="42" t="str">
        <f t="shared" si="41"/>
        <v/>
      </c>
    </row>
    <row r="1342" spans="2:5" ht="15" customHeight="1" x14ac:dyDescent="0.3">
      <c r="B1342" s="44" t="str">
        <f>IF(OR(LINEAS!$D$38="",DATOS!$C$22="—",ABS(LINEAS!$AP$38*DATOS!$C$67)&lt;0.00005),"*",LINEAS!$D$38&amp;" UNI G"&amp;DATOS!$C$22&amp;" "&amp;TEXT(LINEAS!$AP$38*DATOS!$C$67,DATOS!$C$68))</f>
        <v>*</v>
      </c>
      <c r="C1342" s="42" t="str">
        <f t="shared" si="40"/>
        <v/>
      </c>
      <c r="D1342" s="44" t="str">
        <f>IF(PRESIONES!$C$22="NO","",IF(OR(LINEAS!$D$38="",DATOS!$C$22="—",ABS(LINEAS!$BF$38*DATOS!$C$67)&lt;0.00005),"*",LINEAS!$D$38&amp;" UNI G"&amp;DATOS!$C$22&amp;" "&amp;TEXT(LINEAS!$BF$38*DATOS!$C$67,DATOS!$C$68)))</f>
        <v/>
      </c>
      <c r="E1342" s="42" t="str">
        <f t="shared" si="41"/>
        <v/>
      </c>
    </row>
    <row r="1343" spans="2:5" ht="15" customHeight="1" x14ac:dyDescent="0.3">
      <c r="B1343" s="44" t="str">
        <f>IF(OR(LINEAS!$D$45="",LINEAS!$U$45=0,ABS(IF(OR(LINEAS!$U$45=1,LINEAS!$U$45=3),1,-1)*LINEAS!$AH$45*DATOS!$C$67)&lt;0.00005),"*",LINEAS!$D$45&amp;" UNI "&amp;IF(LINEAS!$U$45&lt;=2,"GZ","GX")&amp;" "&amp;TEXT(IF(OR(LINEAS!$U$45=1,LINEAS!$U$45=3),1,-1)*LINEAS!$AH$45*DATOS!$C$67,DATOS!$C$68))</f>
        <v>261 UNI GX -0.0516</v>
      </c>
      <c r="C1343" s="42" t="str">
        <f t="shared" si="40"/>
        <v/>
      </c>
      <c r="D1343" s="44" t="str">
        <f>IF(PRESIONES!$C$22="NO","",IF(OR(LINEAS!$D$45="",LINEAS!$U$45=0,ABS(IF(OR(LINEAS!$U$45=1,LINEAS!$U$45=3),1,-1)*LINEAS!$AH$45*DATOS!$C$67)&lt;0.00005),"*",LINEAS!$D$45&amp;" UNI "&amp;IF(LINEAS!$U$45&lt;=2,"GZ","GX")&amp;" "&amp;TEXT(IF(OR(LINEAS!$U$45=1,LINEAS!$U$45=3),1,-1)*LINEAS!$AH$45*DATOS!$C$67,DATOS!$C$68)))</f>
        <v/>
      </c>
      <c r="E1343" s="42" t="str">
        <f t="shared" si="41"/>
        <v/>
      </c>
    </row>
    <row r="1344" spans="2:5" ht="15" customHeight="1" x14ac:dyDescent="0.3">
      <c r="B1344" s="44" t="str">
        <f>IF(OR(LINEAS!$D$46="",LINEAS!$U$46=0,ABS(IF(OR(LINEAS!$U$46=1,LINEAS!$U$46=3),1,-1)*LINEAS!$AH$46*DATOS!$C$67)&lt;0.00005),"*",LINEAS!$D$46&amp;" UNI "&amp;IF(LINEAS!$U$46&lt;=2,"GZ","GX")&amp;" "&amp;TEXT(IF(OR(LINEAS!$U$46=1,LINEAS!$U$46=3),1,-1)*LINEAS!$AH$46*DATOS!$C$67,DATOS!$C$68))</f>
        <v>260 UNI GX -0.0516</v>
      </c>
      <c r="C1344" s="42" t="str">
        <f t="shared" si="40"/>
        <v/>
      </c>
      <c r="D1344" s="44" t="str">
        <f>IF(PRESIONES!$C$22="NO","",IF(OR(LINEAS!$D$46="",LINEAS!$U$46=0,ABS(IF(OR(LINEAS!$U$46=1,LINEAS!$U$46=3),1,-1)*LINEAS!$AH$46*DATOS!$C$67)&lt;0.00005),"*",LINEAS!$D$46&amp;" UNI "&amp;IF(LINEAS!$U$46&lt;=2,"GZ","GX")&amp;" "&amp;TEXT(IF(OR(LINEAS!$U$46=1,LINEAS!$U$46=3),1,-1)*LINEAS!$AH$46*DATOS!$C$67,DATOS!$C$68)))</f>
        <v/>
      </c>
      <c r="E1344" s="42" t="str">
        <f t="shared" si="41"/>
        <v/>
      </c>
    </row>
    <row r="1345" spans="2:5" ht="15" customHeight="1" x14ac:dyDescent="0.3">
      <c r="B1345" s="44" t="str">
        <f>IF(OR(LINEAS!$D$47="",LINEAS!$U$47=0,ABS(IF(OR(LINEAS!$U$47=1,LINEAS!$U$47=3),1,-1)*LINEAS!$AH$47*DATOS!$C$67)&lt;0.00005),"*",LINEAS!$D$47&amp;" UNI "&amp;IF(LINEAS!$U$47&lt;=2,"GZ","GX")&amp;" "&amp;TEXT(IF(OR(LINEAS!$U$47=1,LINEAS!$U$47=3),1,-1)*LINEAS!$AH$47*DATOS!$C$67,DATOS!$C$68))</f>
        <v>259 UNI GX -0.0516</v>
      </c>
      <c r="C1345" s="42" t="str">
        <f t="shared" si="40"/>
        <v/>
      </c>
      <c r="D1345" s="44" t="str">
        <f>IF(PRESIONES!$C$22="NO","",IF(OR(LINEAS!$D$47="",LINEAS!$U$47=0,ABS(IF(OR(LINEAS!$U$47=1,LINEAS!$U$47=3),1,-1)*LINEAS!$AH$47*DATOS!$C$67)&lt;0.00005),"*",LINEAS!$D$47&amp;" UNI "&amp;IF(LINEAS!$U$47&lt;=2,"GZ","GX")&amp;" "&amp;TEXT(IF(OR(LINEAS!$U$47=1,LINEAS!$U$47=3),1,-1)*LINEAS!$AH$47*DATOS!$C$67,DATOS!$C$68)))</f>
        <v/>
      </c>
      <c r="E1345" s="42" t="str">
        <f t="shared" si="41"/>
        <v/>
      </c>
    </row>
    <row r="1346" spans="2:5" ht="15" customHeight="1" x14ac:dyDescent="0.3">
      <c r="B1346" s="44" t="str">
        <f>IF(OR(LINEAS!$D$48="",LINEAS!$U$48=0,ABS(IF(OR(LINEAS!$U$48=1,LINEAS!$U$48=3),1,-1)*LINEAS!$AH$48*DATOS!$C$67)&lt;0.00005),"*",LINEAS!$D$48&amp;" UNI "&amp;IF(LINEAS!$U$48&lt;=2,"GZ","GX")&amp;" "&amp;TEXT(IF(OR(LINEAS!$U$48=1,LINEAS!$U$48=3),1,-1)*LINEAS!$AH$48*DATOS!$C$67,DATOS!$C$68))</f>
        <v>270 UNI GX -0.0516</v>
      </c>
      <c r="C1346" s="42" t="str">
        <f t="shared" si="40"/>
        <v/>
      </c>
      <c r="D1346" s="44" t="str">
        <f>IF(PRESIONES!$C$22="NO","",IF(OR(LINEAS!$D$48="",LINEAS!$U$48=0,ABS(IF(OR(LINEAS!$U$48=1,LINEAS!$U$48=3),1,-1)*LINEAS!$AH$48*DATOS!$C$67)&lt;0.00005),"*",LINEAS!$D$48&amp;" UNI "&amp;IF(LINEAS!$U$48&lt;=2,"GZ","GX")&amp;" "&amp;TEXT(IF(OR(LINEAS!$U$48=1,LINEAS!$U$48=3),1,-1)*LINEAS!$AH$48*DATOS!$C$67,DATOS!$C$68)))</f>
        <v/>
      </c>
      <c r="E1346" s="42" t="str">
        <f t="shared" si="41"/>
        <v/>
      </c>
    </row>
    <row r="1347" spans="2:5" ht="15" customHeight="1" x14ac:dyDescent="0.3">
      <c r="B1347" s="44" t="str">
        <f>IF(OR(LINEAS!$D$49="",LINEAS!$U$49=0,ABS(IF(OR(LINEAS!$U$49=1,LINEAS!$U$49=3),1,-1)*LINEAS!$AH$49*DATOS!$C$67)&lt;0.00005),"*",LINEAS!$D$49&amp;" UNI "&amp;IF(LINEAS!$U$49&lt;=2,"GZ","GX")&amp;" "&amp;TEXT(IF(OR(LINEAS!$U$49=1,LINEAS!$U$49=3),1,-1)*LINEAS!$AH$49*DATOS!$C$67,DATOS!$C$68))</f>
        <v>269 UNI GX -0.0516</v>
      </c>
      <c r="C1347" s="42" t="str">
        <f t="shared" si="40"/>
        <v/>
      </c>
      <c r="D1347" s="44" t="str">
        <f>IF(PRESIONES!$C$22="NO","",IF(OR(LINEAS!$D$49="",LINEAS!$U$49=0,ABS(IF(OR(LINEAS!$U$49=1,LINEAS!$U$49=3),1,-1)*LINEAS!$AH$49*DATOS!$C$67)&lt;0.00005),"*",LINEAS!$D$49&amp;" UNI "&amp;IF(LINEAS!$U$49&lt;=2,"GZ","GX")&amp;" "&amp;TEXT(IF(OR(LINEAS!$U$49=1,LINEAS!$U$49=3),1,-1)*LINEAS!$AH$49*DATOS!$C$67,DATOS!$C$68)))</f>
        <v/>
      </c>
      <c r="E1347" s="42" t="str">
        <f t="shared" si="41"/>
        <v/>
      </c>
    </row>
    <row r="1348" spans="2:5" ht="15" customHeight="1" x14ac:dyDescent="0.3">
      <c r="B1348" s="44" t="str">
        <f>IF(OR(LINEAS!$D$50="",LINEAS!$U$50=0,ABS(IF(OR(LINEAS!$U$50=1,LINEAS!$U$50=3),1,-1)*LINEAS!$AH$50*DATOS!$C$67)&lt;0.00005),"*",LINEAS!$D$50&amp;" UNI "&amp;IF(LINEAS!$U$50&lt;=2,"GZ","GX")&amp;" "&amp;TEXT(IF(OR(LINEAS!$U$50=1,LINEAS!$U$50=3),1,-1)*LINEAS!$AH$50*DATOS!$C$67,DATOS!$C$68))</f>
        <v>268 UNI GX -0.0516</v>
      </c>
      <c r="C1348" s="42" t="str">
        <f t="shared" si="40"/>
        <v/>
      </c>
      <c r="D1348" s="44" t="str">
        <f>IF(PRESIONES!$C$22="NO","",IF(OR(LINEAS!$D$50="",LINEAS!$U$50=0,ABS(IF(OR(LINEAS!$U$50=1,LINEAS!$U$50=3),1,-1)*LINEAS!$AH$50*DATOS!$C$67)&lt;0.00005),"*",LINEAS!$D$50&amp;" UNI "&amp;IF(LINEAS!$U$50&lt;=2,"GZ","GX")&amp;" "&amp;TEXT(IF(OR(LINEAS!$U$50=1,LINEAS!$U$50=3),1,-1)*LINEAS!$AH$50*DATOS!$C$67,DATOS!$C$68)))</f>
        <v/>
      </c>
      <c r="E1348" s="42" t="str">
        <f t="shared" si="41"/>
        <v/>
      </c>
    </row>
    <row r="1349" spans="2:5" ht="15" customHeight="1" x14ac:dyDescent="0.3">
      <c r="B1349" s="44" t="str">
        <f>IF(OR(LINEAS!$D$51="",LINEAS!$U$51=0,ABS(IF(OR(LINEAS!$U$51=1,LINEAS!$U$51=3),1,-1)*LINEAS!$AH$51*DATOS!$C$67)&lt;0.00005),"*",LINEAS!$D$51&amp;" UNI "&amp;IF(LINEAS!$U$51&lt;=2,"GZ","GX")&amp;" "&amp;TEXT(IF(OR(LINEAS!$U$51=1,LINEAS!$U$51=3),1,-1)*LINEAS!$AH$51*DATOS!$C$67,DATOS!$C$68))</f>
        <v>279 UNI GX -0.0516</v>
      </c>
      <c r="C1349" s="42" t="str">
        <f t="shared" si="40"/>
        <v/>
      </c>
      <c r="D1349" s="44" t="str">
        <f>IF(PRESIONES!$C$22="NO","",IF(OR(LINEAS!$D$51="",LINEAS!$U$51=0,ABS(IF(OR(LINEAS!$U$51=1,LINEAS!$U$51=3),1,-1)*LINEAS!$AH$51*DATOS!$C$67)&lt;0.00005),"*",LINEAS!$D$51&amp;" UNI "&amp;IF(LINEAS!$U$51&lt;=2,"GZ","GX")&amp;" "&amp;TEXT(IF(OR(LINEAS!$U$51=1,LINEAS!$U$51=3),1,-1)*LINEAS!$AH$51*DATOS!$C$67,DATOS!$C$68)))</f>
        <v/>
      </c>
      <c r="E1349" s="42" t="str">
        <f t="shared" si="41"/>
        <v/>
      </c>
    </row>
    <row r="1350" spans="2:5" ht="15" customHeight="1" x14ac:dyDescent="0.3">
      <c r="B1350" s="44" t="str">
        <f>IF(OR(LINEAS!$D$52="",LINEAS!$U$52=0,ABS(IF(OR(LINEAS!$U$52=1,LINEAS!$U$52=3),1,-1)*LINEAS!$AH$52*DATOS!$C$67)&lt;0.00005),"*",LINEAS!$D$52&amp;" UNI "&amp;IF(LINEAS!$U$52&lt;=2,"GZ","GX")&amp;" "&amp;TEXT(IF(OR(LINEAS!$U$52=1,LINEAS!$U$52=3),1,-1)*LINEAS!$AH$52*DATOS!$C$67,DATOS!$C$68))</f>
        <v>278 UNI GX -0.0516</v>
      </c>
      <c r="C1350" s="42" t="str">
        <f t="shared" si="40"/>
        <v/>
      </c>
      <c r="D1350" s="44" t="str">
        <f>IF(PRESIONES!$C$22="NO","",IF(OR(LINEAS!$D$52="",LINEAS!$U$52=0,ABS(IF(OR(LINEAS!$U$52=1,LINEAS!$U$52=3),1,-1)*LINEAS!$AH$52*DATOS!$C$67)&lt;0.00005),"*",LINEAS!$D$52&amp;" UNI "&amp;IF(LINEAS!$U$52&lt;=2,"GZ","GX")&amp;" "&amp;TEXT(IF(OR(LINEAS!$U$52=1,LINEAS!$U$52=3),1,-1)*LINEAS!$AH$52*DATOS!$C$67,DATOS!$C$68)))</f>
        <v/>
      </c>
      <c r="E1350" s="42" t="str">
        <f t="shared" si="41"/>
        <v/>
      </c>
    </row>
    <row r="1351" spans="2:5" ht="15" customHeight="1" x14ac:dyDescent="0.3">
      <c r="B1351" s="44" t="str">
        <f>IF(OR(LINEAS!$D$53="",LINEAS!$U$53=0,ABS(IF(OR(LINEAS!$U$53=1,LINEAS!$U$53=3),1,-1)*LINEAS!$AH$53*DATOS!$C$67)&lt;0.00005),"*",LINEAS!$D$53&amp;" UNI "&amp;IF(LINEAS!$U$53&lt;=2,"GZ","GX")&amp;" "&amp;TEXT(IF(OR(LINEAS!$U$53=1,LINEAS!$U$53=3),1,-1)*LINEAS!$AH$53*DATOS!$C$67,DATOS!$C$68))</f>
        <v>277 UNI GX -0.0516</v>
      </c>
      <c r="C1351" s="42" t="str">
        <f t="shared" si="40"/>
        <v/>
      </c>
      <c r="D1351" s="44" t="str">
        <f>IF(PRESIONES!$C$22="NO","",IF(OR(LINEAS!$D$53="",LINEAS!$U$53=0,ABS(IF(OR(LINEAS!$U$53=1,LINEAS!$U$53=3),1,-1)*LINEAS!$AH$53*DATOS!$C$67)&lt;0.00005),"*",LINEAS!$D$53&amp;" UNI "&amp;IF(LINEAS!$U$53&lt;=2,"GZ","GX")&amp;" "&amp;TEXT(IF(OR(LINEAS!$U$53=1,LINEAS!$U$53=3),1,-1)*LINEAS!$AH$53*DATOS!$C$67,DATOS!$C$68)))</f>
        <v/>
      </c>
      <c r="E1351" s="42" t="str">
        <f t="shared" si="41"/>
        <v/>
      </c>
    </row>
    <row r="1352" spans="2:5" ht="15" customHeight="1" x14ac:dyDescent="0.3">
      <c r="B1352" s="44" t="str">
        <f>IF(OR(LINEAS!$D$54="",LINEAS!$U$54=0,ABS(IF(OR(LINEAS!$U$54=1,LINEAS!$U$54=3),1,-1)*LINEAS!$AH$54*DATOS!$C$67)&lt;0.00005),"*",LINEAS!$D$54&amp;" UNI "&amp;IF(LINEAS!$U$54&lt;=2,"GZ","GX")&amp;" "&amp;TEXT(IF(OR(LINEAS!$U$54=1,LINEAS!$U$54=3),1,-1)*LINEAS!$AH$54*DATOS!$C$67,DATOS!$C$68))</f>
        <v>289 UNI GX -0.0516</v>
      </c>
      <c r="C1352" s="42" t="str">
        <f t="shared" si="40"/>
        <v/>
      </c>
      <c r="D1352" s="44" t="str">
        <f>IF(PRESIONES!$C$22="NO","",IF(OR(LINEAS!$D$54="",LINEAS!$U$54=0,ABS(IF(OR(LINEAS!$U$54=1,LINEAS!$U$54=3),1,-1)*LINEAS!$AH$54*DATOS!$C$67)&lt;0.00005),"*",LINEAS!$D$54&amp;" UNI "&amp;IF(LINEAS!$U$54&lt;=2,"GZ","GX")&amp;" "&amp;TEXT(IF(OR(LINEAS!$U$54=1,LINEAS!$U$54=3),1,-1)*LINEAS!$AH$54*DATOS!$C$67,DATOS!$C$68)))</f>
        <v/>
      </c>
      <c r="E1352" s="42" t="str">
        <f t="shared" si="41"/>
        <v/>
      </c>
    </row>
    <row r="1353" spans="2:5" ht="15" customHeight="1" x14ac:dyDescent="0.3">
      <c r="B1353" s="44" t="str">
        <f>IF(OR(LINEAS!$D$55="",LINEAS!$U$55=0,ABS(IF(OR(LINEAS!$U$55=1,LINEAS!$U$55=3),1,-1)*LINEAS!$AH$55*DATOS!$C$67)&lt;0.00005),"*",LINEAS!$D$55&amp;" UNI "&amp;IF(LINEAS!$U$55&lt;=2,"GZ","GX")&amp;" "&amp;TEXT(IF(OR(LINEAS!$U$55=1,LINEAS!$U$55=3),1,-1)*LINEAS!$AH$55*DATOS!$C$67,DATOS!$C$68))</f>
        <v>288 UNI GX -0.0516</v>
      </c>
      <c r="C1353" s="42" t="str">
        <f t="shared" ref="C1353:C1416" si="42">IF(LEN($B1353)&gt;79,"MÁS DE 79 CARACTERES","")</f>
        <v/>
      </c>
      <c r="D1353" s="44" t="str">
        <f>IF(PRESIONES!$C$22="NO","",IF(OR(LINEAS!$D$55="",LINEAS!$U$55=0,ABS(IF(OR(LINEAS!$U$55=1,LINEAS!$U$55=3),1,-1)*LINEAS!$AH$55*DATOS!$C$67)&lt;0.00005),"*",LINEAS!$D$55&amp;" UNI "&amp;IF(LINEAS!$U$55&lt;=2,"GZ","GX")&amp;" "&amp;TEXT(IF(OR(LINEAS!$U$55=1,LINEAS!$U$55=3),1,-1)*LINEAS!$AH$55*DATOS!$C$67,DATOS!$C$68)))</f>
        <v/>
      </c>
      <c r="E1353" s="42" t="str">
        <f t="shared" ref="E1353:E1416" si="43">IF(LEN($D1353)&gt;79,"MÁS DE 79 CARACTERES","")</f>
        <v/>
      </c>
    </row>
    <row r="1354" spans="2:5" ht="15" customHeight="1" x14ac:dyDescent="0.3">
      <c r="B1354" s="44" t="str">
        <f>IF(OR(LINEAS!$D$56="",LINEAS!$U$56=0,ABS(IF(OR(LINEAS!$U$56=1,LINEAS!$U$56=3),1,-1)*LINEAS!$AH$56*DATOS!$C$67)&lt;0.00005),"*",LINEAS!$D$56&amp;" UNI "&amp;IF(LINEAS!$U$56&lt;=2,"GZ","GX")&amp;" "&amp;TEXT(IF(OR(LINEAS!$U$56=1,LINEAS!$U$56=3),1,-1)*LINEAS!$AH$56*DATOS!$C$67,DATOS!$C$68))</f>
        <v>287 UNI GX -0.0516</v>
      </c>
      <c r="C1354" s="42" t="str">
        <f t="shared" si="42"/>
        <v/>
      </c>
      <c r="D1354" s="44" t="str">
        <f>IF(PRESIONES!$C$22="NO","",IF(OR(LINEAS!$D$56="",LINEAS!$U$56=0,ABS(IF(OR(LINEAS!$U$56=1,LINEAS!$U$56=3),1,-1)*LINEAS!$AH$56*DATOS!$C$67)&lt;0.00005),"*",LINEAS!$D$56&amp;" UNI "&amp;IF(LINEAS!$U$56&lt;=2,"GZ","GX")&amp;" "&amp;TEXT(IF(OR(LINEAS!$U$56=1,LINEAS!$U$56=3),1,-1)*LINEAS!$AH$56*DATOS!$C$67,DATOS!$C$68)))</f>
        <v/>
      </c>
      <c r="E1354" s="42" t="str">
        <f t="shared" si="43"/>
        <v/>
      </c>
    </row>
    <row r="1355" spans="2:5" ht="15" customHeight="1" x14ac:dyDescent="0.3">
      <c r="B1355" s="44" t="str">
        <f>IF(OR(LINEAS!$D$57="",LINEAS!$U$57=0,ABS(IF(OR(LINEAS!$U$57=1,LINEAS!$U$57=3),1,-1)*LINEAS!$AH$57*DATOS!$C$67)&lt;0.00005),"*",LINEAS!$D$57&amp;" UNI "&amp;IF(LINEAS!$U$57&lt;=2,"GZ","GX")&amp;" "&amp;TEXT(IF(OR(LINEAS!$U$57=1,LINEAS!$U$57=3),1,-1)*LINEAS!$AH$57*DATOS!$C$67,DATOS!$C$68))</f>
        <v>297 UNI GX -0.0516</v>
      </c>
      <c r="C1355" s="42" t="str">
        <f t="shared" si="42"/>
        <v/>
      </c>
      <c r="D1355" s="44" t="str">
        <f>IF(PRESIONES!$C$22="NO","",IF(OR(LINEAS!$D$57="",LINEAS!$U$57=0,ABS(IF(OR(LINEAS!$U$57=1,LINEAS!$U$57=3),1,-1)*LINEAS!$AH$57*DATOS!$C$67)&lt;0.00005),"*",LINEAS!$D$57&amp;" UNI "&amp;IF(LINEAS!$U$57&lt;=2,"GZ","GX")&amp;" "&amp;TEXT(IF(OR(LINEAS!$U$57=1,LINEAS!$U$57=3),1,-1)*LINEAS!$AH$57*DATOS!$C$67,DATOS!$C$68)))</f>
        <v/>
      </c>
      <c r="E1355" s="42" t="str">
        <f t="shared" si="43"/>
        <v/>
      </c>
    </row>
    <row r="1356" spans="2:5" ht="15" customHeight="1" x14ac:dyDescent="0.3">
      <c r="B1356" s="44" t="str">
        <f>IF(OR(LINEAS!$D$58="",LINEAS!$U$58=0,ABS(IF(OR(LINEAS!$U$58=1,LINEAS!$U$58=3),1,-1)*LINEAS!$AH$58*DATOS!$C$67)&lt;0.00005),"*",LINEAS!$D$58&amp;" UNI "&amp;IF(LINEAS!$U$58&lt;=2,"GZ","GX")&amp;" "&amp;TEXT(IF(OR(LINEAS!$U$58=1,LINEAS!$U$58=3),1,-1)*LINEAS!$AH$58*DATOS!$C$67,DATOS!$C$68))</f>
        <v>296 UNI GX -0.0516</v>
      </c>
      <c r="C1356" s="42" t="str">
        <f t="shared" si="42"/>
        <v/>
      </c>
      <c r="D1356" s="44" t="str">
        <f>IF(PRESIONES!$C$22="NO","",IF(OR(LINEAS!$D$58="",LINEAS!$U$58=0,ABS(IF(OR(LINEAS!$U$58=1,LINEAS!$U$58=3),1,-1)*LINEAS!$AH$58*DATOS!$C$67)&lt;0.00005),"*",LINEAS!$D$58&amp;" UNI "&amp;IF(LINEAS!$U$58&lt;=2,"GZ","GX")&amp;" "&amp;TEXT(IF(OR(LINEAS!$U$58=1,LINEAS!$U$58=3),1,-1)*LINEAS!$AH$58*DATOS!$C$67,DATOS!$C$68)))</f>
        <v/>
      </c>
      <c r="E1356" s="42" t="str">
        <f t="shared" si="43"/>
        <v/>
      </c>
    </row>
    <row r="1357" spans="2:5" ht="15" customHeight="1" x14ac:dyDescent="0.3">
      <c r="B1357" s="44" t="str">
        <f>IF(OR(LINEAS!$D$59="",LINEAS!$U$59=0,ABS(IF(OR(LINEAS!$U$59=1,LINEAS!$U$59=3),1,-1)*LINEAS!$AH$59*DATOS!$C$67)&lt;0.00005),"*",LINEAS!$D$59&amp;" UNI "&amp;IF(LINEAS!$U$59&lt;=2,"GZ","GX")&amp;" "&amp;TEXT(IF(OR(LINEAS!$U$59=1,LINEAS!$U$59=3),1,-1)*LINEAS!$AH$59*DATOS!$C$67,DATOS!$C$68))</f>
        <v>295 UNI GX -0.0516</v>
      </c>
      <c r="C1357" s="42" t="str">
        <f t="shared" si="42"/>
        <v/>
      </c>
      <c r="D1357" s="44" t="str">
        <f>IF(PRESIONES!$C$22="NO","",IF(OR(LINEAS!$D$59="",LINEAS!$U$59=0,ABS(IF(OR(LINEAS!$U$59=1,LINEAS!$U$59=3),1,-1)*LINEAS!$AH$59*DATOS!$C$67)&lt;0.00005),"*",LINEAS!$D$59&amp;" UNI "&amp;IF(LINEAS!$U$59&lt;=2,"GZ","GX")&amp;" "&amp;TEXT(IF(OR(LINEAS!$U$59=1,LINEAS!$U$59=3),1,-1)*LINEAS!$AH$59*DATOS!$C$67,DATOS!$C$68)))</f>
        <v/>
      </c>
      <c r="E1357" s="42" t="str">
        <f t="shared" si="43"/>
        <v/>
      </c>
    </row>
    <row r="1358" spans="2:5" ht="15" customHeight="1" x14ac:dyDescent="0.3">
      <c r="B1358" s="44" t="str">
        <f>IF(OR(LINEAS!$D$60="",LINEAS!$U$60=0,ABS(IF(OR(LINEAS!$U$60=1,LINEAS!$U$60=3),1,-1)*LINEAS!$AH$60*DATOS!$C$67)&lt;0.00005),"*",LINEAS!$D$60&amp;" UNI "&amp;IF(LINEAS!$U$60&lt;=2,"GZ","GX")&amp;" "&amp;TEXT(IF(OR(LINEAS!$U$60=1,LINEAS!$U$60=3),1,-1)*LINEAS!$AH$60*DATOS!$C$67,DATOS!$C$68))</f>
        <v>305 UNI GX -0.0516</v>
      </c>
      <c r="C1358" s="42" t="str">
        <f t="shared" si="42"/>
        <v/>
      </c>
      <c r="D1358" s="44" t="str">
        <f>IF(PRESIONES!$C$22="NO","",IF(OR(LINEAS!$D$60="",LINEAS!$U$60=0,ABS(IF(OR(LINEAS!$U$60=1,LINEAS!$U$60=3),1,-1)*LINEAS!$AH$60*DATOS!$C$67)&lt;0.00005),"*",LINEAS!$D$60&amp;" UNI "&amp;IF(LINEAS!$U$60&lt;=2,"GZ","GX")&amp;" "&amp;TEXT(IF(OR(LINEAS!$U$60=1,LINEAS!$U$60=3),1,-1)*LINEAS!$AH$60*DATOS!$C$67,DATOS!$C$68)))</f>
        <v/>
      </c>
      <c r="E1358" s="42" t="str">
        <f t="shared" si="43"/>
        <v/>
      </c>
    </row>
    <row r="1359" spans="2:5" ht="15" customHeight="1" x14ac:dyDescent="0.3">
      <c r="B1359" s="44" t="str">
        <f>IF(OR(LINEAS!$D$61="",LINEAS!$U$61=0,ABS(IF(OR(LINEAS!$U$61=1,LINEAS!$U$61=3),1,-1)*LINEAS!$AH$61*DATOS!$C$67)&lt;0.00005),"*",LINEAS!$D$61&amp;" UNI "&amp;IF(LINEAS!$U$61&lt;=2,"GZ","GX")&amp;" "&amp;TEXT(IF(OR(LINEAS!$U$61=1,LINEAS!$U$61=3),1,-1)*LINEAS!$AH$61*DATOS!$C$67,DATOS!$C$68))</f>
        <v>304 UNI GX -0.0516</v>
      </c>
      <c r="C1359" s="42" t="str">
        <f t="shared" si="42"/>
        <v/>
      </c>
      <c r="D1359" s="44" t="str">
        <f>IF(PRESIONES!$C$22="NO","",IF(OR(LINEAS!$D$61="",LINEAS!$U$61=0,ABS(IF(OR(LINEAS!$U$61=1,LINEAS!$U$61=3),1,-1)*LINEAS!$AH$61*DATOS!$C$67)&lt;0.00005),"*",LINEAS!$D$61&amp;" UNI "&amp;IF(LINEAS!$U$61&lt;=2,"GZ","GX")&amp;" "&amp;TEXT(IF(OR(LINEAS!$U$61=1,LINEAS!$U$61=3),1,-1)*LINEAS!$AH$61*DATOS!$C$67,DATOS!$C$68)))</f>
        <v/>
      </c>
      <c r="E1359" s="42" t="str">
        <f t="shared" si="43"/>
        <v/>
      </c>
    </row>
    <row r="1360" spans="2:5" ht="15" customHeight="1" x14ac:dyDescent="0.3">
      <c r="B1360" s="44" t="str">
        <f>IF(OR(LINEAS!$D$62="",LINEAS!$U$62=0,ABS(IF(OR(LINEAS!$U$62=1,LINEAS!$U$62=3),1,-1)*LINEAS!$AH$62*DATOS!$C$67)&lt;0.00005),"*",LINEAS!$D$62&amp;" UNI "&amp;IF(LINEAS!$U$62&lt;=2,"GZ","GX")&amp;" "&amp;TEXT(IF(OR(LINEAS!$U$62=1,LINEAS!$U$62=3),1,-1)*LINEAS!$AH$62*DATOS!$C$67,DATOS!$C$68))</f>
        <v>303 UNI GX -0.0516</v>
      </c>
      <c r="C1360" s="42" t="str">
        <f t="shared" si="42"/>
        <v/>
      </c>
      <c r="D1360" s="44" t="str">
        <f>IF(PRESIONES!$C$22="NO","",IF(OR(LINEAS!$D$62="",LINEAS!$U$62=0,ABS(IF(OR(LINEAS!$U$62=1,LINEAS!$U$62=3),1,-1)*LINEAS!$AH$62*DATOS!$C$67)&lt;0.00005),"*",LINEAS!$D$62&amp;" UNI "&amp;IF(LINEAS!$U$62&lt;=2,"GZ","GX")&amp;" "&amp;TEXT(IF(OR(LINEAS!$U$62=1,LINEAS!$U$62=3),1,-1)*LINEAS!$AH$62*DATOS!$C$67,DATOS!$C$68)))</f>
        <v/>
      </c>
      <c r="E1360" s="42" t="str">
        <f t="shared" si="43"/>
        <v/>
      </c>
    </row>
    <row r="1361" spans="2:5" ht="15" customHeight="1" x14ac:dyDescent="0.3">
      <c r="B1361" s="44" t="str">
        <f>IF(OR(LINEAS!$D$63="",LINEAS!$U$63=0,ABS(IF(OR(LINEAS!$U$63=1,LINEAS!$U$63=3),1,-1)*LINEAS!$AH$63*DATOS!$C$67)&lt;0.00005),"*",LINEAS!$D$63&amp;" UNI "&amp;IF(LINEAS!$U$63&lt;=2,"GZ","GX")&amp;" "&amp;TEXT(IF(OR(LINEAS!$U$63=1,LINEAS!$U$63=3),1,-1)*LINEAS!$AH$63*DATOS!$C$67,DATOS!$C$68))</f>
        <v>314 UNI GX -0.0516</v>
      </c>
      <c r="C1361" s="42" t="str">
        <f t="shared" si="42"/>
        <v/>
      </c>
      <c r="D1361" s="44" t="str">
        <f>IF(PRESIONES!$C$22="NO","",IF(OR(LINEAS!$D$63="",LINEAS!$U$63=0,ABS(IF(OR(LINEAS!$U$63=1,LINEAS!$U$63=3),1,-1)*LINEAS!$AH$63*DATOS!$C$67)&lt;0.00005),"*",LINEAS!$D$63&amp;" UNI "&amp;IF(LINEAS!$U$63&lt;=2,"GZ","GX")&amp;" "&amp;TEXT(IF(OR(LINEAS!$U$63=1,LINEAS!$U$63=3),1,-1)*LINEAS!$AH$63*DATOS!$C$67,DATOS!$C$68)))</f>
        <v/>
      </c>
      <c r="E1361" s="42" t="str">
        <f t="shared" si="43"/>
        <v/>
      </c>
    </row>
    <row r="1362" spans="2:5" ht="15" customHeight="1" x14ac:dyDescent="0.3">
      <c r="B1362" s="44" t="str">
        <f>IF(OR(LINEAS!$D$64="",LINEAS!$U$64=0,ABS(IF(OR(LINEAS!$U$64=1,LINEAS!$U$64=3),1,-1)*LINEAS!$AH$64*DATOS!$C$67)&lt;0.00005),"*",LINEAS!$D$64&amp;" UNI "&amp;IF(LINEAS!$U$64&lt;=2,"GZ","GX")&amp;" "&amp;TEXT(IF(OR(LINEAS!$U$64=1,LINEAS!$U$64=3),1,-1)*LINEAS!$AH$64*DATOS!$C$67,DATOS!$C$68))</f>
        <v>313 UNI GX -0.0516</v>
      </c>
      <c r="C1362" s="42" t="str">
        <f t="shared" si="42"/>
        <v/>
      </c>
      <c r="D1362" s="44" t="str">
        <f>IF(PRESIONES!$C$22="NO","",IF(OR(LINEAS!$D$64="",LINEAS!$U$64=0,ABS(IF(OR(LINEAS!$U$64=1,LINEAS!$U$64=3),1,-1)*LINEAS!$AH$64*DATOS!$C$67)&lt;0.00005),"*",LINEAS!$D$64&amp;" UNI "&amp;IF(LINEAS!$U$64&lt;=2,"GZ","GX")&amp;" "&amp;TEXT(IF(OR(LINEAS!$U$64=1,LINEAS!$U$64=3),1,-1)*LINEAS!$AH$64*DATOS!$C$67,DATOS!$C$68)))</f>
        <v/>
      </c>
      <c r="E1362" s="42" t="str">
        <f t="shared" si="43"/>
        <v/>
      </c>
    </row>
    <row r="1363" spans="2:5" ht="15" customHeight="1" x14ac:dyDescent="0.3">
      <c r="B1363" s="44" t="str">
        <f>IF(OR(LINEAS!$D$65="",LINEAS!$U$65=0,ABS(IF(OR(LINEAS!$U$65=1,LINEAS!$U$65=3),1,-1)*LINEAS!$AH$65*DATOS!$C$67)&lt;0.00005),"*",LINEAS!$D$65&amp;" UNI "&amp;IF(LINEAS!$U$65&lt;=2,"GZ","GX")&amp;" "&amp;TEXT(IF(OR(LINEAS!$U$65=1,LINEAS!$U$65=3),1,-1)*LINEAS!$AH$65*DATOS!$C$67,DATOS!$C$68))</f>
        <v>312 UNI GX -0.0516</v>
      </c>
      <c r="C1363" s="42" t="str">
        <f t="shared" si="42"/>
        <v/>
      </c>
      <c r="D1363" s="44" t="str">
        <f>IF(PRESIONES!$C$22="NO","",IF(OR(LINEAS!$D$65="",LINEAS!$U$65=0,ABS(IF(OR(LINEAS!$U$65=1,LINEAS!$U$65=3),1,-1)*LINEAS!$AH$65*DATOS!$C$67)&lt;0.00005),"*",LINEAS!$D$65&amp;" UNI "&amp;IF(LINEAS!$U$65&lt;=2,"GZ","GX")&amp;" "&amp;TEXT(IF(OR(LINEAS!$U$65=1,LINEAS!$U$65=3),1,-1)*LINEAS!$AH$65*DATOS!$C$67,DATOS!$C$68)))</f>
        <v/>
      </c>
      <c r="E1363" s="42" t="str">
        <f t="shared" si="43"/>
        <v/>
      </c>
    </row>
    <row r="1364" spans="2:5" ht="15" customHeight="1" x14ac:dyDescent="0.3">
      <c r="B1364" s="44" t="str">
        <f>IF(OR(LINEAS!$D$66="",LINEAS!$U$66=0,ABS(IF(OR(LINEAS!$U$66=1,LINEAS!$U$66=3),1,-1)*LINEAS!$AH$66*DATOS!$C$67)&lt;0.00005),"*",LINEAS!$D$66&amp;" UNI "&amp;IF(LINEAS!$U$66&lt;=2,"GZ","GX")&amp;" "&amp;TEXT(IF(OR(LINEAS!$U$66=1,LINEAS!$U$66=3),1,-1)*LINEAS!$AH$66*DATOS!$C$67,DATOS!$C$68))</f>
        <v>317 UNI GX -0.0441</v>
      </c>
      <c r="C1364" s="42" t="str">
        <f t="shared" si="42"/>
        <v/>
      </c>
      <c r="D1364" s="44" t="str">
        <f>IF(PRESIONES!$C$22="NO","",IF(OR(LINEAS!$D$66="",LINEAS!$U$66=0,ABS(IF(OR(LINEAS!$U$66=1,LINEAS!$U$66=3),1,-1)*LINEAS!$AH$66*DATOS!$C$67)&lt;0.00005),"*",LINEAS!$D$66&amp;" UNI "&amp;IF(LINEAS!$U$66&lt;=2,"GZ","GX")&amp;" "&amp;TEXT(IF(OR(LINEAS!$U$66=1,LINEAS!$U$66=3),1,-1)*LINEAS!$AH$66*DATOS!$C$67,DATOS!$C$68)))</f>
        <v/>
      </c>
      <c r="E1364" s="42" t="str">
        <f t="shared" si="43"/>
        <v/>
      </c>
    </row>
    <row r="1365" spans="2:5" ht="15" customHeight="1" x14ac:dyDescent="0.3">
      <c r="B1365" s="44" t="str">
        <f>IF(OR(LINEAS!$D$67="",LINEAS!$U$67=0,ABS(IF(OR(LINEAS!$U$67=1,LINEAS!$U$67=3),1,-1)*LINEAS!$AH$67*DATOS!$C$67)&lt;0.00005),"*",LINEAS!$D$67&amp;" UNI "&amp;IF(LINEAS!$U$67&lt;=2,"GZ","GX")&amp;" "&amp;TEXT(IF(OR(LINEAS!$U$67=1,LINEAS!$U$67=3),1,-1)*LINEAS!$AH$67*DATOS!$C$67,DATOS!$C$68))</f>
        <v>316 UNI GX -0.0368</v>
      </c>
      <c r="C1365" s="42" t="str">
        <f t="shared" si="42"/>
        <v/>
      </c>
      <c r="D1365" s="44" t="str">
        <f>IF(PRESIONES!$C$22="NO","",IF(OR(LINEAS!$D$67="",LINEAS!$U$67=0,ABS(IF(OR(LINEAS!$U$67=1,LINEAS!$U$67=3),1,-1)*LINEAS!$AH$67*DATOS!$C$67)&lt;0.00005),"*",LINEAS!$D$67&amp;" UNI "&amp;IF(LINEAS!$U$67&lt;=2,"GZ","GX")&amp;" "&amp;TEXT(IF(OR(LINEAS!$U$67=1,LINEAS!$U$67=3),1,-1)*LINEAS!$AH$67*DATOS!$C$67,DATOS!$C$68)))</f>
        <v/>
      </c>
      <c r="E1365" s="42" t="str">
        <f t="shared" si="43"/>
        <v/>
      </c>
    </row>
    <row r="1366" spans="2:5" ht="15" customHeight="1" x14ac:dyDescent="0.3">
      <c r="B1366" s="44" t="str">
        <f>IF(OR(LINEAS!$D$68="",LINEAS!$U$68=0,ABS(IF(OR(LINEAS!$U$68=1,LINEAS!$U$68=3),1,-1)*LINEAS!$AH$68*DATOS!$C$67)&lt;0.00005),"*",LINEAS!$D$68&amp;" UNI "&amp;IF(LINEAS!$U$68&lt;=2,"GZ","GX")&amp;" "&amp;TEXT(IF(OR(LINEAS!$U$68=1,LINEAS!$U$68=3),1,-1)*LINEAS!$AH$68*DATOS!$C$67,DATOS!$C$68))</f>
        <v>315 UNI GX -0.0318</v>
      </c>
      <c r="C1366" s="42" t="str">
        <f t="shared" si="42"/>
        <v/>
      </c>
      <c r="D1366" s="44" t="str">
        <f>IF(PRESIONES!$C$22="NO","",IF(OR(LINEAS!$D$68="",LINEAS!$U$68=0,ABS(IF(OR(LINEAS!$U$68=1,LINEAS!$U$68=3),1,-1)*LINEAS!$AH$68*DATOS!$C$67)&lt;0.00005),"*",LINEAS!$D$68&amp;" UNI "&amp;IF(LINEAS!$U$68&lt;=2,"GZ","GX")&amp;" "&amp;TEXT(IF(OR(LINEAS!$U$68=1,LINEAS!$U$68=3),1,-1)*LINEAS!$AH$68*DATOS!$C$67,DATOS!$C$68)))</f>
        <v/>
      </c>
      <c r="E1366" s="42" t="str">
        <f t="shared" si="43"/>
        <v/>
      </c>
    </row>
    <row r="1367" spans="2:5" ht="15" customHeight="1" x14ac:dyDescent="0.3">
      <c r="B1367" s="44" t="str">
        <f>IF(OR(LINEAS!$D$69="",LINEAS!$U$69=0,ABS(IF(OR(LINEAS!$U$69=1,LINEAS!$U$69=3),1,-1)*LINEAS!$AH$69*DATOS!$C$67)&lt;0.00005),"*",LINEAS!$D$69&amp;" UNI "&amp;IF(LINEAS!$U$69&lt;=2,"GZ","GX")&amp;" "&amp;TEXT(IF(OR(LINEAS!$U$69=1,LINEAS!$U$69=3),1,-1)*LINEAS!$AH$69*DATOS!$C$67,DATOS!$C$68))</f>
        <v>265 UNI GX 0.0516</v>
      </c>
      <c r="C1367" s="42" t="str">
        <f t="shared" si="42"/>
        <v/>
      </c>
      <c r="D1367" s="44" t="str">
        <f>IF(PRESIONES!$C$22="NO","",IF(OR(LINEAS!$D$69="",LINEAS!$U$69=0,ABS(IF(OR(LINEAS!$U$69=1,LINEAS!$U$69=3),1,-1)*LINEAS!$AH$69*DATOS!$C$67)&lt;0.00005),"*",LINEAS!$D$69&amp;" UNI "&amp;IF(LINEAS!$U$69&lt;=2,"GZ","GX")&amp;" "&amp;TEXT(IF(OR(LINEAS!$U$69=1,LINEAS!$U$69=3),1,-1)*LINEAS!$AH$69*DATOS!$C$67,DATOS!$C$68)))</f>
        <v/>
      </c>
      <c r="E1367" s="42" t="str">
        <f t="shared" si="43"/>
        <v/>
      </c>
    </row>
    <row r="1368" spans="2:5" ht="15" customHeight="1" x14ac:dyDescent="0.3">
      <c r="B1368" s="44" t="str">
        <f>IF(OR(LINEAS!$D$70="",LINEAS!$U$70=0,ABS(IF(OR(LINEAS!$U$70=1,LINEAS!$U$70=3),1,-1)*LINEAS!$AH$70*DATOS!$C$67)&lt;0.00005),"*",LINEAS!$D$70&amp;" UNI "&amp;IF(LINEAS!$U$70&lt;=2,"GZ","GX")&amp;" "&amp;TEXT(IF(OR(LINEAS!$U$70=1,LINEAS!$U$70=3),1,-1)*LINEAS!$AH$70*DATOS!$C$67,DATOS!$C$68))</f>
        <v>266 UNI GX 0.0516</v>
      </c>
      <c r="C1368" s="42" t="str">
        <f t="shared" si="42"/>
        <v/>
      </c>
      <c r="D1368" s="44" t="str">
        <f>IF(PRESIONES!$C$22="NO","",IF(OR(LINEAS!$D$70="",LINEAS!$U$70=0,ABS(IF(OR(LINEAS!$U$70=1,LINEAS!$U$70=3),1,-1)*LINEAS!$AH$70*DATOS!$C$67)&lt;0.00005),"*",LINEAS!$D$70&amp;" UNI "&amp;IF(LINEAS!$U$70&lt;=2,"GZ","GX")&amp;" "&amp;TEXT(IF(OR(LINEAS!$U$70=1,LINEAS!$U$70=3),1,-1)*LINEAS!$AH$70*DATOS!$C$67,DATOS!$C$68)))</f>
        <v/>
      </c>
      <c r="E1368" s="42" t="str">
        <f t="shared" si="43"/>
        <v/>
      </c>
    </row>
    <row r="1369" spans="2:5" ht="15" customHeight="1" x14ac:dyDescent="0.3">
      <c r="B1369" s="44" t="str">
        <f>IF(OR(LINEAS!$D$71="",LINEAS!$U$71=0,ABS(IF(OR(LINEAS!$U$71=1,LINEAS!$U$71=3),1,-1)*LINEAS!$AH$71*DATOS!$C$67)&lt;0.00005),"*",LINEAS!$D$71&amp;" UNI "&amp;IF(LINEAS!$U$71&lt;=2,"GZ","GX")&amp;" "&amp;TEXT(IF(OR(LINEAS!$U$71=1,LINEAS!$U$71=3),1,-1)*LINEAS!$AH$71*DATOS!$C$67,DATOS!$C$68))</f>
        <v>267 UNI GX 0.0516</v>
      </c>
      <c r="C1369" s="42" t="str">
        <f t="shared" si="42"/>
        <v/>
      </c>
      <c r="D1369" s="44" t="str">
        <f>IF(PRESIONES!$C$22="NO","",IF(OR(LINEAS!$D$71="",LINEAS!$U$71=0,ABS(IF(OR(LINEAS!$U$71=1,LINEAS!$U$71=3),1,-1)*LINEAS!$AH$71*DATOS!$C$67)&lt;0.00005),"*",LINEAS!$D$71&amp;" UNI "&amp;IF(LINEAS!$U$71&lt;=2,"GZ","GX")&amp;" "&amp;TEXT(IF(OR(LINEAS!$U$71=1,LINEAS!$U$71=3),1,-1)*LINEAS!$AH$71*DATOS!$C$67,DATOS!$C$68)))</f>
        <v/>
      </c>
      <c r="E1369" s="42" t="str">
        <f t="shared" si="43"/>
        <v/>
      </c>
    </row>
    <row r="1370" spans="2:5" ht="15" customHeight="1" x14ac:dyDescent="0.3">
      <c r="B1370" s="44" t="str">
        <f>IF(OR(LINEAS!$D$72="",LINEAS!$U$72=0,ABS(IF(OR(LINEAS!$U$72=1,LINEAS!$U$72=3),1,-1)*LINEAS!$AH$72*DATOS!$C$67)&lt;0.00005),"*",LINEAS!$D$72&amp;" UNI "&amp;IF(LINEAS!$U$72&lt;=2,"GZ","GX")&amp;" "&amp;TEXT(IF(OR(LINEAS!$U$72=1,LINEAS!$U$72=3),1,-1)*LINEAS!$AH$72*DATOS!$C$67,DATOS!$C$68))</f>
        <v>274 UNI GX 0.0516</v>
      </c>
      <c r="C1370" s="42" t="str">
        <f t="shared" si="42"/>
        <v/>
      </c>
      <c r="D1370" s="44" t="str">
        <f>IF(PRESIONES!$C$22="NO","",IF(OR(LINEAS!$D$72="",LINEAS!$U$72=0,ABS(IF(OR(LINEAS!$U$72=1,LINEAS!$U$72=3),1,-1)*LINEAS!$AH$72*DATOS!$C$67)&lt;0.00005),"*",LINEAS!$D$72&amp;" UNI "&amp;IF(LINEAS!$U$72&lt;=2,"GZ","GX")&amp;" "&amp;TEXT(IF(OR(LINEAS!$U$72=1,LINEAS!$U$72=3),1,-1)*LINEAS!$AH$72*DATOS!$C$67,DATOS!$C$68)))</f>
        <v/>
      </c>
      <c r="E1370" s="42" t="str">
        <f t="shared" si="43"/>
        <v/>
      </c>
    </row>
    <row r="1371" spans="2:5" ht="15" customHeight="1" x14ac:dyDescent="0.3">
      <c r="B1371" s="44" t="str">
        <f>IF(OR(LINEAS!$D$73="",LINEAS!$U$73=0,ABS(IF(OR(LINEAS!$U$73=1,LINEAS!$U$73=3),1,-1)*LINEAS!$AH$73*DATOS!$C$67)&lt;0.00005),"*",LINEAS!$D$73&amp;" UNI "&amp;IF(LINEAS!$U$73&lt;=2,"GZ","GX")&amp;" "&amp;TEXT(IF(OR(LINEAS!$U$73=1,LINEAS!$U$73=3),1,-1)*LINEAS!$AH$73*DATOS!$C$67,DATOS!$C$68))</f>
        <v>275 UNI GX 0.0516</v>
      </c>
      <c r="C1371" s="42" t="str">
        <f t="shared" si="42"/>
        <v/>
      </c>
      <c r="D1371" s="44" t="str">
        <f>IF(PRESIONES!$C$22="NO","",IF(OR(LINEAS!$D$73="",LINEAS!$U$73=0,ABS(IF(OR(LINEAS!$U$73=1,LINEAS!$U$73=3),1,-1)*LINEAS!$AH$73*DATOS!$C$67)&lt;0.00005),"*",LINEAS!$D$73&amp;" UNI "&amp;IF(LINEAS!$U$73&lt;=2,"GZ","GX")&amp;" "&amp;TEXT(IF(OR(LINEAS!$U$73=1,LINEAS!$U$73=3),1,-1)*LINEAS!$AH$73*DATOS!$C$67,DATOS!$C$68)))</f>
        <v/>
      </c>
      <c r="E1371" s="42" t="str">
        <f t="shared" si="43"/>
        <v/>
      </c>
    </row>
    <row r="1372" spans="2:5" ht="15" customHeight="1" x14ac:dyDescent="0.3">
      <c r="B1372" s="44" t="str">
        <f>IF(OR(LINEAS!$D$74="",LINEAS!$U$74=0,ABS(IF(OR(LINEAS!$U$74=1,LINEAS!$U$74=3),1,-1)*LINEAS!$AH$74*DATOS!$C$67)&lt;0.00005),"*",LINEAS!$D$74&amp;" UNI "&amp;IF(LINEAS!$U$74&lt;=2,"GZ","GX")&amp;" "&amp;TEXT(IF(OR(LINEAS!$U$74=1,LINEAS!$U$74=3),1,-1)*LINEAS!$AH$74*DATOS!$C$67,DATOS!$C$68))</f>
        <v>276 UNI GX 0.0516</v>
      </c>
      <c r="C1372" s="42" t="str">
        <f t="shared" si="42"/>
        <v/>
      </c>
      <c r="D1372" s="44" t="str">
        <f>IF(PRESIONES!$C$22="NO","",IF(OR(LINEAS!$D$74="",LINEAS!$U$74=0,ABS(IF(OR(LINEAS!$U$74=1,LINEAS!$U$74=3),1,-1)*LINEAS!$AH$74*DATOS!$C$67)&lt;0.00005),"*",LINEAS!$D$74&amp;" UNI "&amp;IF(LINEAS!$U$74&lt;=2,"GZ","GX")&amp;" "&amp;TEXT(IF(OR(LINEAS!$U$74=1,LINEAS!$U$74=3),1,-1)*LINEAS!$AH$74*DATOS!$C$67,DATOS!$C$68)))</f>
        <v/>
      </c>
      <c r="E1372" s="42" t="str">
        <f t="shared" si="43"/>
        <v/>
      </c>
    </row>
    <row r="1373" spans="2:5" ht="15" customHeight="1" x14ac:dyDescent="0.3">
      <c r="B1373" s="44" t="str">
        <f>IF(OR(LINEAS!$D$75="",LINEAS!$U$75=0,ABS(IF(OR(LINEAS!$U$75=1,LINEAS!$U$75=3),1,-1)*LINEAS!$AH$75*DATOS!$C$67)&lt;0.00005),"*",LINEAS!$D$75&amp;" UNI "&amp;IF(LINEAS!$U$75&lt;=2,"GZ","GX")&amp;" "&amp;TEXT(IF(OR(LINEAS!$U$75=1,LINEAS!$U$75=3),1,-1)*LINEAS!$AH$75*DATOS!$C$67,DATOS!$C$68))</f>
        <v>283 UNI GX 0.0516</v>
      </c>
      <c r="C1373" s="42" t="str">
        <f t="shared" si="42"/>
        <v/>
      </c>
      <c r="D1373" s="44" t="str">
        <f>IF(PRESIONES!$C$22="NO","",IF(OR(LINEAS!$D$75="",LINEAS!$U$75=0,ABS(IF(OR(LINEAS!$U$75=1,LINEAS!$U$75=3),1,-1)*LINEAS!$AH$75*DATOS!$C$67)&lt;0.00005),"*",LINEAS!$D$75&amp;" UNI "&amp;IF(LINEAS!$U$75&lt;=2,"GZ","GX")&amp;" "&amp;TEXT(IF(OR(LINEAS!$U$75=1,LINEAS!$U$75=3),1,-1)*LINEAS!$AH$75*DATOS!$C$67,DATOS!$C$68)))</f>
        <v/>
      </c>
      <c r="E1373" s="42" t="str">
        <f t="shared" si="43"/>
        <v/>
      </c>
    </row>
    <row r="1374" spans="2:5" ht="15" customHeight="1" x14ac:dyDescent="0.3">
      <c r="B1374" s="44" t="str">
        <f>IF(OR(LINEAS!$D$76="",LINEAS!$U$76=0,ABS(IF(OR(LINEAS!$U$76=1,LINEAS!$U$76=3),1,-1)*LINEAS!$AH$76*DATOS!$C$67)&lt;0.00005),"*",LINEAS!$D$76&amp;" UNI "&amp;IF(LINEAS!$U$76&lt;=2,"GZ","GX")&amp;" "&amp;TEXT(IF(OR(LINEAS!$U$76=1,LINEAS!$U$76=3),1,-1)*LINEAS!$AH$76*DATOS!$C$67,DATOS!$C$68))</f>
        <v>284 UNI GX 0.0516</v>
      </c>
      <c r="C1374" s="42" t="str">
        <f t="shared" si="42"/>
        <v/>
      </c>
      <c r="D1374" s="44" t="str">
        <f>IF(PRESIONES!$C$22="NO","",IF(OR(LINEAS!$D$76="",LINEAS!$U$76=0,ABS(IF(OR(LINEAS!$U$76=1,LINEAS!$U$76=3),1,-1)*LINEAS!$AH$76*DATOS!$C$67)&lt;0.00005),"*",LINEAS!$D$76&amp;" UNI "&amp;IF(LINEAS!$U$76&lt;=2,"GZ","GX")&amp;" "&amp;TEXT(IF(OR(LINEAS!$U$76=1,LINEAS!$U$76=3),1,-1)*LINEAS!$AH$76*DATOS!$C$67,DATOS!$C$68)))</f>
        <v/>
      </c>
      <c r="E1374" s="42" t="str">
        <f t="shared" si="43"/>
        <v/>
      </c>
    </row>
    <row r="1375" spans="2:5" ht="15" customHeight="1" x14ac:dyDescent="0.3">
      <c r="B1375" s="44" t="str">
        <f>IF(OR(LINEAS!$D$77="",LINEAS!$U$77=0,ABS(IF(OR(LINEAS!$U$77=1,LINEAS!$U$77=3),1,-1)*LINEAS!$AH$77*DATOS!$C$67)&lt;0.00005),"*",LINEAS!$D$77&amp;" UNI "&amp;IF(LINEAS!$U$77&lt;=2,"GZ","GX")&amp;" "&amp;TEXT(IF(OR(LINEAS!$U$77=1,LINEAS!$U$77=3),1,-1)*LINEAS!$AH$77*DATOS!$C$67,DATOS!$C$68))</f>
        <v>285 UNI GX 0.0516</v>
      </c>
      <c r="C1375" s="42" t="str">
        <f t="shared" si="42"/>
        <v/>
      </c>
      <c r="D1375" s="44" t="str">
        <f>IF(PRESIONES!$C$22="NO","",IF(OR(LINEAS!$D$77="",LINEAS!$U$77=0,ABS(IF(OR(LINEAS!$U$77=1,LINEAS!$U$77=3),1,-1)*LINEAS!$AH$77*DATOS!$C$67)&lt;0.00005),"*",LINEAS!$D$77&amp;" UNI "&amp;IF(LINEAS!$U$77&lt;=2,"GZ","GX")&amp;" "&amp;TEXT(IF(OR(LINEAS!$U$77=1,LINEAS!$U$77=3),1,-1)*LINEAS!$AH$77*DATOS!$C$67,DATOS!$C$68)))</f>
        <v/>
      </c>
      <c r="E1375" s="42" t="str">
        <f t="shared" si="43"/>
        <v/>
      </c>
    </row>
    <row r="1376" spans="2:5" ht="15" customHeight="1" x14ac:dyDescent="0.3">
      <c r="B1376" s="44" t="str">
        <f>IF(OR(LINEAS!$D$78="",LINEAS!$U$78=0,ABS(IF(OR(LINEAS!$U$78=1,LINEAS!$U$78=3),1,-1)*LINEAS!$AH$78*DATOS!$C$67)&lt;0.00005),"*",LINEAS!$D$78&amp;" UNI "&amp;IF(LINEAS!$U$78&lt;=2,"GZ","GX")&amp;" "&amp;TEXT(IF(OR(LINEAS!$U$78=1,LINEAS!$U$78=3),1,-1)*LINEAS!$AH$78*DATOS!$C$67,DATOS!$C$68))</f>
        <v>292 UNI GX 0.0516</v>
      </c>
      <c r="C1376" s="42" t="str">
        <f t="shared" si="42"/>
        <v/>
      </c>
      <c r="D1376" s="44" t="str">
        <f>IF(PRESIONES!$C$22="NO","",IF(OR(LINEAS!$D$78="",LINEAS!$U$78=0,ABS(IF(OR(LINEAS!$U$78=1,LINEAS!$U$78=3),1,-1)*LINEAS!$AH$78*DATOS!$C$67)&lt;0.00005),"*",LINEAS!$D$78&amp;" UNI "&amp;IF(LINEAS!$U$78&lt;=2,"GZ","GX")&amp;" "&amp;TEXT(IF(OR(LINEAS!$U$78=1,LINEAS!$U$78=3),1,-1)*LINEAS!$AH$78*DATOS!$C$67,DATOS!$C$68)))</f>
        <v/>
      </c>
      <c r="E1376" s="42" t="str">
        <f t="shared" si="43"/>
        <v/>
      </c>
    </row>
    <row r="1377" spans="2:5" ht="15" customHeight="1" x14ac:dyDescent="0.3">
      <c r="B1377" s="44" t="str">
        <f>IF(OR(LINEAS!$D$79="",LINEAS!$U$79=0,ABS(IF(OR(LINEAS!$U$79=1,LINEAS!$U$79=3),1,-1)*LINEAS!$AH$79*DATOS!$C$67)&lt;0.00005),"*",LINEAS!$D$79&amp;" UNI "&amp;IF(LINEAS!$U$79&lt;=2,"GZ","GX")&amp;" "&amp;TEXT(IF(OR(LINEAS!$U$79=1,LINEAS!$U$79=3),1,-1)*LINEAS!$AH$79*DATOS!$C$67,DATOS!$C$68))</f>
        <v>293 UNI GX 0.0516</v>
      </c>
      <c r="C1377" s="42" t="str">
        <f t="shared" si="42"/>
        <v/>
      </c>
      <c r="D1377" s="44" t="str">
        <f>IF(PRESIONES!$C$22="NO","",IF(OR(LINEAS!$D$79="",LINEAS!$U$79=0,ABS(IF(OR(LINEAS!$U$79=1,LINEAS!$U$79=3),1,-1)*LINEAS!$AH$79*DATOS!$C$67)&lt;0.00005),"*",LINEAS!$D$79&amp;" UNI "&amp;IF(LINEAS!$U$79&lt;=2,"GZ","GX")&amp;" "&amp;TEXT(IF(OR(LINEAS!$U$79=1,LINEAS!$U$79=3),1,-1)*LINEAS!$AH$79*DATOS!$C$67,DATOS!$C$68)))</f>
        <v/>
      </c>
      <c r="E1377" s="42" t="str">
        <f t="shared" si="43"/>
        <v/>
      </c>
    </row>
    <row r="1378" spans="2:5" ht="15" customHeight="1" x14ac:dyDescent="0.3">
      <c r="B1378" s="44" t="str">
        <f>IF(OR(LINEAS!$D$80="",LINEAS!$U$80=0,ABS(IF(OR(LINEAS!$U$80=1,LINEAS!$U$80=3),1,-1)*LINEAS!$AH$80*DATOS!$C$67)&lt;0.00005),"*",LINEAS!$D$80&amp;" UNI "&amp;IF(LINEAS!$U$80&lt;=2,"GZ","GX")&amp;" "&amp;TEXT(IF(OR(LINEAS!$U$80=1,LINEAS!$U$80=3),1,-1)*LINEAS!$AH$80*DATOS!$C$67,DATOS!$C$68))</f>
        <v>294 UNI GX 0.0516</v>
      </c>
      <c r="C1378" s="42" t="str">
        <f t="shared" si="42"/>
        <v/>
      </c>
      <c r="D1378" s="44" t="str">
        <f>IF(PRESIONES!$C$22="NO","",IF(OR(LINEAS!$D$80="",LINEAS!$U$80=0,ABS(IF(OR(LINEAS!$U$80=1,LINEAS!$U$80=3),1,-1)*LINEAS!$AH$80*DATOS!$C$67)&lt;0.00005),"*",LINEAS!$D$80&amp;" UNI "&amp;IF(LINEAS!$U$80&lt;=2,"GZ","GX")&amp;" "&amp;TEXT(IF(OR(LINEAS!$U$80=1,LINEAS!$U$80=3),1,-1)*LINEAS!$AH$80*DATOS!$C$67,DATOS!$C$68)))</f>
        <v/>
      </c>
      <c r="E1378" s="42" t="str">
        <f t="shared" si="43"/>
        <v/>
      </c>
    </row>
    <row r="1379" spans="2:5" ht="15" customHeight="1" x14ac:dyDescent="0.3">
      <c r="B1379" s="44" t="str">
        <f>IF(OR(LINEAS!$D$81="",LINEAS!$U$81=0,ABS(IF(OR(LINEAS!$U$81=1,LINEAS!$U$81=3),1,-1)*LINEAS!$AH$81*DATOS!$C$67)&lt;0.00005),"*",LINEAS!$D$81&amp;" UNI "&amp;IF(LINEAS!$U$81&lt;=2,"GZ","GX")&amp;" "&amp;TEXT(IF(OR(LINEAS!$U$81=1,LINEAS!$U$81=3),1,-1)*LINEAS!$AH$81*DATOS!$C$67,DATOS!$C$68))</f>
        <v>300 UNI GX 0.0516</v>
      </c>
      <c r="C1379" s="42" t="str">
        <f t="shared" si="42"/>
        <v/>
      </c>
      <c r="D1379" s="44" t="str">
        <f>IF(PRESIONES!$C$22="NO","",IF(OR(LINEAS!$D$81="",LINEAS!$U$81=0,ABS(IF(OR(LINEAS!$U$81=1,LINEAS!$U$81=3),1,-1)*LINEAS!$AH$81*DATOS!$C$67)&lt;0.00005),"*",LINEAS!$D$81&amp;" UNI "&amp;IF(LINEAS!$U$81&lt;=2,"GZ","GX")&amp;" "&amp;TEXT(IF(OR(LINEAS!$U$81=1,LINEAS!$U$81=3),1,-1)*LINEAS!$AH$81*DATOS!$C$67,DATOS!$C$68)))</f>
        <v/>
      </c>
      <c r="E1379" s="42" t="str">
        <f t="shared" si="43"/>
        <v/>
      </c>
    </row>
    <row r="1380" spans="2:5" ht="15" customHeight="1" x14ac:dyDescent="0.3">
      <c r="B1380" s="44" t="str">
        <f>IF(OR(LINEAS!$D$82="",LINEAS!$U$82=0,ABS(IF(OR(LINEAS!$U$82=1,LINEAS!$U$82=3),1,-1)*LINEAS!$AH$82*DATOS!$C$67)&lt;0.00005),"*",LINEAS!$D$82&amp;" UNI "&amp;IF(LINEAS!$U$82&lt;=2,"GZ","GX")&amp;" "&amp;TEXT(IF(OR(LINEAS!$U$82=1,LINEAS!$U$82=3),1,-1)*LINEAS!$AH$82*DATOS!$C$67,DATOS!$C$68))</f>
        <v>301 UNI GX 0.0516</v>
      </c>
      <c r="C1380" s="42" t="str">
        <f t="shared" si="42"/>
        <v/>
      </c>
      <c r="D1380" s="44" t="str">
        <f>IF(PRESIONES!$C$22="NO","",IF(OR(LINEAS!$D$82="",LINEAS!$U$82=0,ABS(IF(OR(LINEAS!$U$82=1,LINEAS!$U$82=3),1,-1)*LINEAS!$AH$82*DATOS!$C$67)&lt;0.00005),"*",LINEAS!$D$82&amp;" UNI "&amp;IF(LINEAS!$U$82&lt;=2,"GZ","GX")&amp;" "&amp;TEXT(IF(OR(LINEAS!$U$82=1,LINEAS!$U$82=3),1,-1)*LINEAS!$AH$82*DATOS!$C$67,DATOS!$C$68)))</f>
        <v/>
      </c>
      <c r="E1380" s="42" t="str">
        <f t="shared" si="43"/>
        <v/>
      </c>
    </row>
    <row r="1381" spans="2:5" ht="15" customHeight="1" x14ac:dyDescent="0.3">
      <c r="B1381" s="44" t="str">
        <f>IF(OR(LINEAS!$D$83="",LINEAS!$U$83=0,ABS(IF(OR(LINEAS!$U$83=1,LINEAS!$U$83=3),1,-1)*LINEAS!$AH$83*DATOS!$C$67)&lt;0.00005),"*",LINEAS!$D$83&amp;" UNI "&amp;IF(LINEAS!$U$83&lt;=2,"GZ","GX")&amp;" "&amp;TEXT(IF(OR(LINEAS!$U$83=1,LINEAS!$U$83=3),1,-1)*LINEAS!$AH$83*DATOS!$C$67,DATOS!$C$68))</f>
        <v>302 UNI GX 0.0516</v>
      </c>
      <c r="C1381" s="42" t="str">
        <f t="shared" si="42"/>
        <v/>
      </c>
      <c r="D1381" s="44" t="str">
        <f>IF(PRESIONES!$C$22="NO","",IF(OR(LINEAS!$D$83="",LINEAS!$U$83=0,ABS(IF(OR(LINEAS!$U$83=1,LINEAS!$U$83=3),1,-1)*LINEAS!$AH$83*DATOS!$C$67)&lt;0.00005),"*",LINEAS!$D$83&amp;" UNI "&amp;IF(LINEAS!$U$83&lt;=2,"GZ","GX")&amp;" "&amp;TEXT(IF(OR(LINEAS!$U$83=1,LINEAS!$U$83=3),1,-1)*LINEAS!$AH$83*DATOS!$C$67,DATOS!$C$68)))</f>
        <v/>
      </c>
      <c r="E1381" s="42" t="str">
        <f t="shared" si="43"/>
        <v/>
      </c>
    </row>
    <row r="1382" spans="2:5" ht="15" customHeight="1" x14ac:dyDescent="0.3">
      <c r="B1382" s="44" t="str">
        <f>IF(OR(LINEAS!$D$84="",LINEAS!$U$84=0,ABS(IF(OR(LINEAS!$U$84=1,LINEAS!$U$84=3),1,-1)*LINEAS!$AH$84*DATOS!$C$67)&lt;0.00005),"*",LINEAS!$D$84&amp;" UNI "&amp;IF(LINEAS!$U$84&lt;=2,"GZ","GX")&amp;" "&amp;TEXT(IF(OR(LINEAS!$U$84=1,LINEAS!$U$84=3),1,-1)*LINEAS!$AH$84*DATOS!$C$67,DATOS!$C$68))</f>
        <v>307 UNI GX 0.0516</v>
      </c>
      <c r="C1382" s="42" t="str">
        <f t="shared" si="42"/>
        <v/>
      </c>
      <c r="D1382" s="44" t="str">
        <f>IF(PRESIONES!$C$22="NO","",IF(OR(LINEAS!$D$84="",LINEAS!$U$84=0,ABS(IF(OR(LINEAS!$U$84=1,LINEAS!$U$84=3),1,-1)*LINEAS!$AH$84*DATOS!$C$67)&lt;0.00005),"*",LINEAS!$D$84&amp;" UNI "&amp;IF(LINEAS!$U$84&lt;=2,"GZ","GX")&amp;" "&amp;TEXT(IF(OR(LINEAS!$U$84=1,LINEAS!$U$84=3),1,-1)*LINEAS!$AH$84*DATOS!$C$67,DATOS!$C$68)))</f>
        <v/>
      </c>
      <c r="E1382" s="42" t="str">
        <f t="shared" si="43"/>
        <v/>
      </c>
    </row>
    <row r="1383" spans="2:5" ht="15" customHeight="1" x14ac:dyDescent="0.3">
      <c r="B1383" s="44" t="str">
        <f>IF(OR(LINEAS!$D$85="",LINEAS!$U$85=0,ABS(IF(OR(LINEAS!$U$85=1,LINEAS!$U$85=3),1,-1)*LINEAS!$AH$85*DATOS!$C$67)&lt;0.00005),"*",LINEAS!$D$85&amp;" UNI "&amp;IF(LINEAS!$U$85&lt;=2,"GZ","GX")&amp;" "&amp;TEXT(IF(OR(LINEAS!$U$85=1,LINEAS!$U$85=3),1,-1)*LINEAS!$AH$85*DATOS!$C$67,DATOS!$C$68))</f>
        <v>308 UNI GX 0.0516</v>
      </c>
      <c r="C1383" s="42" t="str">
        <f t="shared" si="42"/>
        <v/>
      </c>
      <c r="D1383" s="44" t="str">
        <f>IF(PRESIONES!$C$22="NO","",IF(OR(LINEAS!$D$85="",LINEAS!$U$85=0,ABS(IF(OR(LINEAS!$U$85=1,LINEAS!$U$85=3),1,-1)*LINEAS!$AH$85*DATOS!$C$67)&lt;0.00005),"*",LINEAS!$D$85&amp;" UNI "&amp;IF(LINEAS!$U$85&lt;=2,"GZ","GX")&amp;" "&amp;TEXT(IF(OR(LINEAS!$U$85=1,LINEAS!$U$85=3),1,-1)*LINEAS!$AH$85*DATOS!$C$67,DATOS!$C$68)))</f>
        <v/>
      </c>
      <c r="E1383" s="42" t="str">
        <f t="shared" si="43"/>
        <v/>
      </c>
    </row>
    <row r="1384" spans="2:5" ht="15" customHeight="1" x14ac:dyDescent="0.3">
      <c r="B1384" s="44" t="str">
        <f>IF(OR(LINEAS!$D$86="",LINEAS!$U$86=0,ABS(IF(OR(LINEAS!$U$86=1,LINEAS!$U$86=3),1,-1)*LINEAS!$AH$86*DATOS!$C$67)&lt;0.00005),"*",LINEAS!$D$86&amp;" UNI "&amp;IF(LINEAS!$U$86&lt;=2,"GZ","GX")&amp;" "&amp;TEXT(IF(OR(LINEAS!$U$86=1,LINEAS!$U$86=3),1,-1)*LINEAS!$AH$86*DATOS!$C$67,DATOS!$C$68))</f>
        <v>309 UNI GX 0.0516</v>
      </c>
      <c r="C1384" s="42" t="str">
        <f t="shared" si="42"/>
        <v/>
      </c>
      <c r="D1384" s="44" t="str">
        <f>IF(PRESIONES!$C$22="NO","",IF(OR(LINEAS!$D$86="",LINEAS!$U$86=0,ABS(IF(OR(LINEAS!$U$86=1,LINEAS!$U$86=3),1,-1)*LINEAS!$AH$86*DATOS!$C$67)&lt;0.00005),"*",LINEAS!$D$86&amp;" UNI "&amp;IF(LINEAS!$U$86&lt;=2,"GZ","GX")&amp;" "&amp;TEXT(IF(OR(LINEAS!$U$86=1,LINEAS!$U$86=3),1,-1)*LINEAS!$AH$86*DATOS!$C$67,DATOS!$C$68)))</f>
        <v/>
      </c>
      <c r="E1384" s="42" t="str">
        <f t="shared" si="43"/>
        <v/>
      </c>
    </row>
    <row r="1385" spans="2:5" ht="15" customHeight="1" x14ac:dyDescent="0.3">
      <c r="B1385" s="44" t="str">
        <f>IF(OR(LINEAS!$D$87="",LINEAS!$U$87=0,ABS(IF(OR(LINEAS!$U$87=1,LINEAS!$U$87=3),1,-1)*LINEAS!$AH$87*DATOS!$C$67)&lt;0.00005),"*",LINEAS!$D$87&amp;" UNI "&amp;IF(LINEAS!$U$87&lt;=2,"GZ","GX")&amp;" "&amp;TEXT(IF(OR(LINEAS!$U$87=1,LINEAS!$U$87=3),1,-1)*LINEAS!$AH$87*DATOS!$C$67,DATOS!$C$68))</f>
        <v>318 UNI GX 0.0516</v>
      </c>
      <c r="C1385" s="42" t="str">
        <f t="shared" si="42"/>
        <v/>
      </c>
      <c r="D1385" s="44" t="str">
        <f>IF(PRESIONES!$C$22="NO","",IF(OR(LINEAS!$D$87="",LINEAS!$U$87=0,ABS(IF(OR(LINEAS!$U$87=1,LINEAS!$U$87=3),1,-1)*LINEAS!$AH$87*DATOS!$C$67)&lt;0.00005),"*",LINEAS!$D$87&amp;" UNI "&amp;IF(LINEAS!$U$87&lt;=2,"GZ","GX")&amp;" "&amp;TEXT(IF(OR(LINEAS!$U$87=1,LINEAS!$U$87=3),1,-1)*LINEAS!$AH$87*DATOS!$C$67,DATOS!$C$68)))</f>
        <v/>
      </c>
      <c r="E1385" s="42" t="str">
        <f t="shared" si="43"/>
        <v/>
      </c>
    </row>
    <row r="1386" spans="2:5" ht="15" customHeight="1" x14ac:dyDescent="0.3">
      <c r="B1386" s="44" t="str">
        <f>IF(OR(LINEAS!$D$88="",LINEAS!$U$88=0,ABS(IF(OR(LINEAS!$U$88=1,LINEAS!$U$88=3),1,-1)*LINEAS!$AH$88*DATOS!$C$67)&lt;0.00005),"*",LINEAS!$D$88&amp;" UNI "&amp;IF(LINEAS!$U$88&lt;=2,"GZ","GX")&amp;" "&amp;TEXT(IF(OR(LINEAS!$U$88=1,LINEAS!$U$88=3),1,-1)*LINEAS!$AH$88*DATOS!$C$67,DATOS!$C$68))</f>
        <v>311 UNI GX 0.0516</v>
      </c>
      <c r="C1386" s="42" t="str">
        <f t="shared" si="42"/>
        <v/>
      </c>
      <c r="D1386" s="44" t="str">
        <f>IF(PRESIONES!$C$22="NO","",IF(OR(LINEAS!$D$88="",LINEAS!$U$88=0,ABS(IF(OR(LINEAS!$U$88=1,LINEAS!$U$88=3),1,-1)*LINEAS!$AH$88*DATOS!$C$67)&lt;0.00005),"*",LINEAS!$D$88&amp;" UNI "&amp;IF(LINEAS!$U$88&lt;=2,"GZ","GX")&amp;" "&amp;TEXT(IF(OR(LINEAS!$U$88=1,LINEAS!$U$88=3),1,-1)*LINEAS!$AH$88*DATOS!$C$67,DATOS!$C$68)))</f>
        <v/>
      </c>
      <c r="E1386" s="42" t="str">
        <f t="shared" si="43"/>
        <v/>
      </c>
    </row>
    <row r="1387" spans="2:5" ht="15" customHeight="1" x14ac:dyDescent="0.3">
      <c r="B1387" s="44" t="str">
        <f>IF(OR(LINEAS!$D$89="",LINEAS!$U$89=0,ABS(IF(OR(LINEAS!$U$89=1,LINEAS!$U$89=3),1,-1)*LINEAS!$AH$89*DATOS!$C$67)&lt;0.00005),"*",LINEAS!$D$89&amp;" UNI "&amp;IF(LINEAS!$U$89&lt;=2,"GZ","GX")&amp;" "&amp;TEXT(IF(OR(LINEAS!$U$89=1,LINEAS!$U$89=3),1,-1)*LINEAS!$AH$89*DATOS!$C$67,DATOS!$C$68))</f>
        <v>310 UNI GX 0.0516</v>
      </c>
      <c r="C1387" s="42" t="str">
        <f t="shared" si="42"/>
        <v/>
      </c>
      <c r="D1387" s="44" t="str">
        <f>IF(PRESIONES!$C$22="NO","",IF(OR(LINEAS!$D$89="",LINEAS!$U$89=0,ABS(IF(OR(LINEAS!$U$89=1,LINEAS!$U$89=3),1,-1)*LINEAS!$AH$89*DATOS!$C$67)&lt;0.00005),"*",LINEAS!$D$89&amp;" UNI "&amp;IF(LINEAS!$U$89&lt;=2,"GZ","GX")&amp;" "&amp;TEXT(IF(OR(LINEAS!$U$89=1,LINEAS!$U$89=3),1,-1)*LINEAS!$AH$89*DATOS!$C$67,DATOS!$C$68)))</f>
        <v/>
      </c>
      <c r="E1387" s="42" t="str">
        <f t="shared" si="43"/>
        <v/>
      </c>
    </row>
    <row r="1388" spans="2:5" ht="15" customHeight="1" x14ac:dyDescent="0.3">
      <c r="B1388" s="44" t="str">
        <f>IF(OR(LINEAS!$D$90="",LINEAS!$U$90=0,ABS(IF(OR(LINEAS!$U$90=1,LINEAS!$U$90=3),1,-1)*LINEAS!$AH$90*DATOS!$C$67)&lt;0.00005),"*",LINEAS!$D$90&amp;" UNI "&amp;IF(LINEAS!$U$90&lt;=2,"GZ","GX")&amp;" "&amp;TEXT(IF(OR(LINEAS!$U$90=1,LINEAS!$U$90=3),1,-1)*LINEAS!$AH$90*DATOS!$C$67,DATOS!$C$68))</f>
        <v>321 UNI GX 0.0441</v>
      </c>
      <c r="C1388" s="42" t="str">
        <f t="shared" si="42"/>
        <v/>
      </c>
      <c r="D1388" s="44" t="str">
        <f>IF(PRESIONES!$C$22="NO","",IF(OR(LINEAS!$D$90="",LINEAS!$U$90=0,ABS(IF(OR(LINEAS!$U$90=1,LINEAS!$U$90=3),1,-1)*LINEAS!$AH$90*DATOS!$C$67)&lt;0.00005),"*",LINEAS!$D$90&amp;" UNI "&amp;IF(LINEAS!$U$90&lt;=2,"GZ","GX")&amp;" "&amp;TEXT(IF(OR(LINEAS!$U$90=1,LINEAS!$U$90=3),1,-1)*LINEAS!$AH$90*DATOS!$C$67,DATOS!$C$68)))</f>
        <v/>
      </c>
      <c r="E1388" s="42" t="str">
        <f t="shared" si="43"/>
        <v/>
      </c>
    </row>
    <row r="1389" spans="2:5" ht="15" customHeight="1" x14ac:dyDescent="0.3">
      <c r="B1389" s="44" t="str">
        <f>IF(OR(LINEAS!$D$91="",LINEAS!$U$91=0,ABS(IF(OR(LINEAS!$U$91=1,LINEAS!$U$91=3),1,-1)*LINEAS!$AH$91*DATOS!$C$67)&lt;0.00005),"*",LINEAS!$D$91&amp;" UNI "&amp;IF(LINEAS!$U$91&lt;=2,"GZ","GX")&amp;" "&amp;TEXT(IF(OR(LINEAS!$U$91=1,LINEAS!$U$91=3),1,-1)*LINEAS!$AH$91*DATOS!$C$67,DATOS!$C$68))</f>
        <v>320 UNI GX 0.0368</v>
      </c>
      <c r="C1389" s="42" t="str">
        <f t="shared" si="42"/>
        <v/>
      </c>
      <c r="D1389" s="44" t="str">
        <f>IF(PRESIONES!$C$22="NO","",IF(OR(LINEAS!$D$91="",LINEAS!$U$91=0,ABS(IF(OR(LINEAS!$U$91=1,LINEAS!$U$91=3),1,-1)*LINEAS!$AH$91*DATOS!$C$67)&lt;0.00005),"*",LINEAS!$D$91&amp;" UNI "&amp;IF(LINEAS!$U$91&lt;=2,"GZ","GX")&amp;" "&amp;TEXT(IF(OR(LINEAS!$U$91=1,LINEAS!$U$91=3),1,-1)*LINEAS!$AH$91*DATOS!$C$67,DATOS!$C$68)))</f>
        <v/>
      </c>
      <c r="E1389" s="42" t="str">
        <f t="shared" si="43"/>
        <v/>
      </c>
    </row>
    <row r="1390" spans="2:5" ht="15" customHeight="1" x14ac:dyDescent="0.3">
      <c r="B1390" s="44" t="str">
        <f>IF(OR(LINEAS!$D$92="",LINEAS!$U$92=0,ABS(IF(OR(LINEAS!$U$92=1,LINEAS!$U$92=3),1,-1)*LINEAS!$AH$92*DATOS!$C$67)&lt;0.00005),"*",LINEAS!$D$92&amp;" UNI "&amp;IF(LINEAS!$U$92&lt;=2,"GZ","GX")&amp;" "&amp;TEXT(IF(OR(LINEAS!$U$92=1,LINEAS!$U$92=3),1,-1)*LINEAS!$AH$92*DATOS!$C$67,DATOS!$C$68))</f>
        <v>319 UNI GX 0.0318</v>
      </c>
      <c r="C1390" s="42" t="str">
        <f t="shared" si="42"/>
        <v/>
      </c>
      <c r="D1390" s="44" t="str">
        <f>IF(PRESIONES!$C$22="NO","",IF(OR(LINEAS!$D$92="",LINEAS!$U$92=0,ABS(IF(OR(LINEAS!$U$92=1,LINEAS!$U$92=3),1,-1)*LINEAS!$AH$92*DATOS!$C$67)&lt;0.00005),"*",LINEAS!$D$92&amp;" UNI "&amp;IF(LINEAS!$U$92&lt;=2,"GZ","GX")&amp;" "&amp;TEXT(IF(OR(LINEAS!$U$92=1,LINEAS!$U$92=3),1,-1)*LINEAS!$AH$92*DATOS!$C$67,DATOS!$C$68)))</f>
        <v/>
      </c>
      <c r="E1390" s="42" t="str">
        <f t="shared" si="43"/>
        <v/>
      </c>
    </row>
    <row r="1391" spans="2:5" ht="15" customHeight="1" x14ac:dyDescent="0.3">
      <c r="B1391" s="44" t="str">
        <f>IF(OR(LINEAS!$D$93="",LINEAS!$U$93=0,ABS(IF(OR(LINEAS!$U$93=1,LINEAS!$U$93=3),1,-1)*LINEAS!$AH$93*DATOS!$C$67)&lt;0.00005),"*",LINEAS!$D$93&amp;" UNI "&amp;IF(LINEAS!$U$93&lt;=2,"GZ","GX")&amp;" "&amp;TEXT(IF(OR(LINEAS!$U$93=1,LINEAS!$U$93=3),1,-1)*LINEAS!$AH$93*DATOS!$C$67,DATOS!$C$68))</f>
        <v>60 UNI GX -0.0212</v>
      </c>
      <c r="C1391" s="42" t="str">
        <f t="shared" si="42"/>
        <v/>
      </c>
      <c r="D1391" s="44" t="str">
        <f>IF(PRESIONES!$C$22="NO","",IF(OR(LINEAS!$D$93="",LINEAS!$U$93=0,ABS(IF(OR(LINEAS!$U$93=1,LINEAS!$U$93=3),1,-1)*LINEAS!$AH$93*DATOS!$C$67)&lt;0.00005),"*",LINEAS!$D$93&amp;" UNI "&amp;IF(LINEAS!$U$93&lt;=2,"GZ","GX")&amp;" "&amp;TEXT(IF(OR(LINEAS!$U$93=1,LINEAS!$U$93=3),1,-1)*LINEAS!$AH$93*DATOS!$C$67,DATOS!$C$68)))</f>
        <v/>
      </c>
      <c r="E1391" s="42" t="str">
        <f t="shared" si="43"/>
        <v/>
      </c>
    </row>
    <row r="1392" spans="2:5" ht="15" customHeight="1" x14ac:dyDescent="0.3">
      <c r="B1392" s="44" t="str">
        <f>IF(OR(LINEAS!$D$94="",LINEAS!$U$94=0,ABS(IF(OR(LINEAS!$U$94=1,LINEAS!$U$94=3),1,-1)*LINEAS!$AH$94*DATOS!$C$67)&lt;0.00005),"*",LINEAS!$D$94&amp;" UNI "&amp;IF(LINEAS!$U$94&lt;=2,"GZ","GX")&amp;" "&amp;TEXT(IF(OR(LINEAS!$U$94=1,LINEAS!$U$94=3),1,-1)*LINEAS!$AH$94*DATOS!$C$67,DATOS!$C$68))</f>
        <v>59 UNI GX -0.0198</v>
      </c>
      <c r="C1392" s="42" t="str">
        <f t="shared" si="42"/>
        <v/>
      </c>
      <c r="D1392" s="44" t="str">
        <f>IF(PRESIONES!$C$22="NO","",IF(OR(LINEAS!$D$94="",LINEAS!$U$94=0,ABS(IF(OR(LINEAS!$U$94=1,LINEAS!$U$94=3),1,-1)*LINEAS!$AH$94*DATOS!$C$67)&lt;0.00005),"*",LINEAS!$D$94&amp;" UNI "&amp;IF(LINEAS!$U$94&lt;=2,"GZ","GX")&amp;" "&amp;TEXT(IF(OR(LINEAS!$U$94=1,LINEAS!$U$94=3),1,-1)*LINEAS!$AH$94*DATOS!$C$67,DATOS!$C$68)))</f>
        <v/>
      </c>
      <c r="E1392" s="42" t="str">
        <f t="shared" si="43"/>
        <v/>
      </c>
    </row>
    <row r="1393" spans="2:5" ht="15" customHeight="1" x14ac:dyDescent="0.3">
      <c r="B1393" s="44" t="str">
        <f>IF(OR(LINEAS!$D$95="",LINEAS!$U$95=0,ABS(IF(OR(LINEAS!$U$95=1,LINEAS!$U$95=3),1,-1)*LINEAS!$AH$95*DATOS!$C$67)&lt;0.00005),"*",LINEAS!$D$95&amp;" UNI "&amp;IF(LINEAS!$U$95&lt;=2,"GZ","GX")&amp;" "&amp;TEXT(IF(OR(LINEAS!$U$95=1,LINEAS!$U$95=3),1,-1)*LINEAS!$AH$95*DATOS!$C$67,DATOS!$C$68))</f>
        <v>58 UNI GX -0.0183</v>
      </c>
      <c r="C1393" s="42" t="str">
        <f t="shared" si="42"/>
        <v/>
      </c>
      <c r="D1393" s="44" t="str">
        <f>IF(PRESIONES!$C$22="NO","",IF(OR(LINEAS!$D$95="",LINEAS!$U$95=0,ABS(IF(OR(LINEAS!$U$95=1,LINEAS!$U$95=3),1,-1)*LINEAS!$AH$95*DATOS!$C$67)&lt;0.00005),"*",LINEAS!$D$95&amp;" UNI "&amp;IF(LINEAS!$U$95&lt;=2,"GZ","GX")&amp;" "&amp;TEXT(IF(OR(LINEAS!$U$95=1,LINEAS!$U$95=3),1,-1)*LINEAS!$AH$95*DATOS!$C$67,DATOS!$C$68)))</f>
        <v/>
      </c>
      <c r="E1393" s="42" t="str">
        <f t="shared" si="43"/>
        <v/>
      </c>
    </row>
    <row r="1394" spans="2:5" ht="15" customHeight="1" x14ac:dyDescent="0.3">
      <c r="B1394" s="44" t="str">
        <f>IF(OR(LINEAS!$D$96="",LINEAS!$U$96=0,ABS(IF(OR(LINEAS!$U$96=1,LINEAS!$U$96=3),1,-1)*LINEAS!$AH$96*DATOS!$C$67)&lt;0.00005),"*",LINEAS!$D$96&amp;" UNI "&amp;IF(LINEAS!$U$96&lt;=2,"GZ","GX")&amp;" "&amp;TEXT(IF(OR(LINEAS!$U$96=1,LINEAS!$U$96=3),1,-1)*LINEAS!$AH$96*DATOS!$C$67,DATOS!$C$68))</f>
        <v>57 UNI GX -0.0169</v>
      </c>
      <c r="C1394" s="42" t="str">
        <f t="shared" si="42"/>
        <v/>
      </c>
      <c r="D1394" s="44" t="str">
        <f>IF(PRESIONES!$C$22="NO","",IF(OR(LINEAS!$D$96="",LINEAS!$U$96=0,ABS(IF(OR(LINEAS!$U$96=1,LINEAS!$U$96=3),1,-1)*LINEAS!$AH$96*DATOS!$C$67)&lt;0.00005),"*",LINEAS!$D$96&amp;" UNI "&amp;IF(LINEAS!$U$96&lt;=2,"GZ","GX")&amp;" "&amp;TEXT(IF(OR(LINEAS!$U$96=1,LINEAS!$U$96=3),1,-1)*LINEAS!$AH$96*DATOS!$C$67,DATOS!$C$68)))</f>
        <v/>
      </c>
      <c r="E1394" s="42" t="str">
        <f t="shared" si="43"/>
        <v/>
      </c>
    </row>
    <row r="1395" spans="2:5" ht="15" customHeight="1" x14ac:dyDescent="0.3">
      <c r="B1395" s="44" t="str">
        <f>IF(OR(LINEAS!$D$97="",LINEAS!$U$97=0,ABS(IF(OR(LINEAS!$U$97=1,LINEAS!$U$97=3),1,-1)*LINEAS!$AH$97*DATOS!$C$67)&lt;0.00005),"*",LINEAS!$D$97&amp;" UNI "&amp;IF(LINEAS!$U$97&lt;=2,"GZ","GX")&amp;" "&amp;TEXT(IF(OR(LINEAS!$U$97=1,LINEAS!$U$97=3),1,-1)*LINEAS!$AH$97*DATOS!$C$67,DATOS!$C$68))</f>
        <v>10 UNI GX -0.0154</v>
      </c>
      <c r="C1395" s="42" t="str">
        <f t="shared" si="42"/>
        <v/>
      </c>
      <c r="D1395" s="44" t="str">
        <f>IF(PRESIONES!$C$22="NO","",IF(OR(LINEAS!$D$97="",LINEAS!$U$97=0,ABS(IF(OR(LINEAS!$U$97=1,LINEAS!$U$97=3),1,-1)*LINEAS!$AH$97*DATOS!$C$67)&lt;0.00005),"*",LINEAS!$D$97&amp;" UNI "&amp;IF(LINEAS!$U$97&lt;=2,"GZ","GX")&amp;" "&amp;TEXT(IF(OR(LINEAS!$U$97=1,LINEAS!$U$97=3),1,-1)*LINEAS!$AH$97*DATOS!$C$67,DATOS!$C$68)))</f>
        <v/>
      </c>
      <c r="E1395" s="42" t="str">
        <f t="shared" si="43"/>
        <v/>
      </c>
    </row>
    <row r="1396" spans="2:5" ht="15" customHeight="1" x14ac:dyDescent="0.3">
      <c r="B1396" s="44" t="str">
        <f>IF(OR(LINEAS!$D$98="",LINEAS!$U$98=0,ABS(IF(OR(LINEAS!$U$98=1,LINEAS!$U$98=3),1,-1)*LINEAS!$AH$98*DATOS!$C$67)&lt;0.00005),"*",LINEAS!$D$98&amp;" UNI "&amp;IF(LINEAS!$U$98&lt;=2,"GZ","GX")&amp;" "&amp;TEXT(IF(OR(LINEAS!$U$98=1,LINEAS!$U$98=3),1,-1)*LINEAS!$AH$98*DATOS!$C$67,DATOS!$C$68))</f>
        <v>68 UNI GX -0.0139</v>
      </c>
      <c r="C1396" s="42" t="str">
        <f t="shared" si="42"/>
        <v/>
      </c>
      <c r="D1396" s="44" t="str">
        <f>IF(PRESIONES!$C$22="NO","",IF(OR(LINEAS!$D$98="",LINEAS!$U$98=0,ABS(IF(OR(LINEAS!$U$98=1,LINEAS!$U$98=3),1,-1)*LINEAS!$AH$98*DATOS!$C$67)&lt;0.00005),"*",LINEAS!$D$98&amp;" UNI "&amp;IF(LINEAS!$U$98&lt;=2,"GZ","GX")&amp;" "&amp;TEXT(IF(OR(LINEAS!$U$98=1,LINEAS!$U$98=3),1,-1)*LINEAS!$AH$98*DATOS!$C$67,DATOS!$C$68)))</f>
        <v/>
      </c>
      <c r="E1396" s="42" t="str">
        <f t="shared" si="43"/>
        <v/>
      </c>
    </row>
    <row r="1397" spans="2:5" ht="15" customHeight="1" x14ac:dyDescent="0.3">
      <c r="B1397" s="44" t="str">
        <f>IF(OR(LINEAS!$D$99="",LINEAS!$U$99=0,ABS(IF(OR(LINEAS!$U$99=1,LINEAS!$U$99=3),1,-1)*LINEAS!$AH$99*DATOS!$C$67)&lt;0.00005),"*",LINEAS!$D$99&amp;" UNI "&amp;IF(LINEAS!$U$99&lt;=2,"GZ","GX")&amp;" "&amp;TEXT(IF(OR(LINEAS!$U$99=1,LINEAS!$U$99=3),1,-1)*LINEAS!$AH$99*DATOS!$C$67,DATOS!$C$68))</f>
        <v>67 UNI GX -0.0125</v>
      </c>
      <c r="C1397" s="42" t="str">
        <f t="shared" si="42"/>
        <v/>
      </c>
      <c r="D1397" s="44" t="str">
        <f>IF(PRESIONES!$C$22="NO","",IF(OR(LINEAS!$D$99="",LINEAS!$U$99=0,ABS(IF(OR(LINEAS!$U$99=1,LINEAS!$U$99=3),1,-1)*LINEAS!$AH$99*DATOS!$C$67)&lt;0.00005),"*",LINEAS!$D$99&amp;" UNI "&amp;IF(LINEAS!$U$99&lt;=2,"GZ","GX")&amp;" "&amp;TEXT(IF(OR(LINEAS!$U$99=1,LINEAS!$U$99=3),1,-1)*LINEAS!$AH$99*DATOS!$C$67,DATOS!$C$68)))</f>
        <v/>
      </c>
      <c r="E1397" s="42" t="str">
        <f t="shared" si="43"/>
        <v/>
      </c>
    </row>
    <row r="1398" spans="2:5" ht="15" customHeight="1" x14ac:dyDescent="0.3">
      <c r="B1398" s="44" t="str">
        <f>IF(OR(LINEAS!$D$100="",LINEAS!$U$100=0,ABS(IF(OR(LINEAS!$U$100=1,LINEAS!$U$100=3),1,-1)*LINEAS!$AH$100*DATOS!$C$67)&lt;0.00005),"*",LINEAS!$D$100&amp;" UNI "&amp;IF(LINEAS!$U$100&lt;=2,"GZ","GX")&amp;" "&amp;TEXT(IF(OR(LINEAS!$U$100=1,LINEAS!$U$100=3),1,-1)*LINEAS!$AH$100*DATOS!$C$67,DATOS!$C$68))</f>
        <v>66 UNI GX -0.0110</v>
      </c>
      <c r="C1398" s="42" t="str">
        <f t="shared" si="42"/>
        <v/>
      </c>
      <c r="D1398" s="44" t="str">
        <f>IF(PRESIONES!$C$22="NO","",IF(OR(LINEAS!$D$100="",LINEAS!$U$100=0,ABS(IF(OR(LINEAS!$U$100=1,LINEAS!$U$100=3),1,-1)*LINEAS!$AH$100*DATOS!$C$67)&lt;0.00005),"*",LINEAS!$D$100&amp;" UNI "&amp;IF(LINEAS!$U$100&lt;=2,"GZ","GX")&amp;" "&amp;TEXT(IF(OR(LINEAS!$U$100=1,LINEAS!$U$100=3),1,-1)*LINEAS!$AH$100*DATOS!$C$67,DATOS!$C$68)))</f>
        <v/>
      </c>
      <c r="E1398" s="42" t="str">
        <f t="shared" si="43"/>
        <v/>
      </c>
    </row>
    <row r="1399" spans="2:5" ht="15" customHeight="1" x14ac:dyDescent="0.3">
      <c r="B1399" s="44" t="str">
        <f>IF(OR(LINEAS!$D$101="",LINEAS!$U$101=0,ABS(IF(OR(LINEAS!$U$101=1,LINEAS!$U$101=3),1,-1)*LINEAS!$AH$101*DATOS!$C$67)&lt;0.00005),"*",LINEAS!$D$101&amp;" UNI "&amp;IF(LINEAS!$U$101&lt;=2,"GZ","GX")&amp;" "&amp;TEXT(IF(OR(LINEAS!$U$101=1,LINEAS!$U$101=3),1,-1)*LINEAS!$AH$101*DATOS!$C$67,DATOS!$C$68))</f>
        <v>65 UNI GX -0.0096</v>
      </c>
      <c r="C1399" s="42" t="str">
        <f t="shared" si="42"/>
        <v/>
      </c>
      <c r="D1399" s="44" t="str">
        <f>IF(PRESIONES!$C$22="NO","",IF(OR(LINEAS!$D$101="",LINEAS!$U$101=0,ABS(IF(OR(LINEAS!$U$101=1,LINEAS!$U$101=3),1,-1)*LINEAS!$AH$101*DATOS!$C$67)&lt;0.00005),"*",LINEAS!$D$101&amp;" UNI "&amp;IF(LINEAS!$U$101&lt;=2,"GZ","GX")&amp;" "&amp;TEXT(IF(OR(LINEAS!$U$101=1,LINEAS!$U$101=3),1,-1)*LINEAS!$AH$101*DATOS!$C$67,DATOS!$C$68)))</f>
        <v/>
      </c>
      <c r="E1399" s="42" t="str">
        <f t="shared" si="43"/>
        <v/>
      </c>
    </row>
    <row r="1400" spans="2:5" ht="15" customHeight="1" x14ac:dyDescent="0.3">
      <c r="B1400" s="44" t="str">
        <f>IF(OR(LINEAS!$D$102="",LINEAS!$U$102=0,ABS(IF(OR(LINEAS!$U$102=1,LINEAS!$U$102=3),1,-1)*LINEAS!$AH$102*DATOS!$C$67)&lt;0.00005),"*",LINEAS!$D$102&amp;" UNI "&amp;IF(LINEAS!$U$102&lt;=2,"GZ","GX")&amp;" "&amp;TEXT(IF(OR(LINEAS!$U$102=1,LINEAS!$U$102=3),1,-1)*LINEAS!$AH$102*DATOS!$C$67,DATOS!$C$68))</f>
        <v>43 UNI GX -0.0081</v>
      </c>
      <c r="C1400" s="42" t="str">
        <f t="shared" si="42"/>
        <v/>
      </c>
      <c r="D1400" s="44" t="str">
        <f>IF(PRESIONES!$C$22="NO","",IF(OR(LINEAS!$D$102="",LINEAS!$U$102=0,ABS(IF(OR(LINEAS!$U$102=1,LINEAS!$U$102=3),1,-1)*LINEAS!$AH$102*DATOS!$C$67)&lt;0.00005),"*",LINEAS!$D$102&amp;" UNI "&amp;IF(LINEAS!$U$102&lt;=2,"GZ","GX")&amp;" "&amp;TEXT(IF(OR(LINEAS!$U$102=1,LINEAS!$U$102=3),1,-1)*LINEAS!$AH$102*DATOS!$C$67,DATOS!$C$68)))</f>
        <v/>
      </c>
      <c r="E1400" s="42" t="str">
        <f t="shared" si="43"/>
        <v/>
      </c>
    </row>
    <row r="1401" spans="2:5" ht="15" customHeight="1" x14ac:dyDescent="0.3">
      <c r="B1401" s="44" t="str">
        <f>IF(OR(LINEAS!$D$103="",LINEAS!$U$103=0,ABS(IF(OR(LINEAS!$U$103=1,LINEAS!$U$103=3),1,-1)*LINEAS!$AH$103*DATOS!$C$67)&lt;0.00005),"*",LINEAS!$D$103&amp;" UNI "&amp;IF(LINEAS!$U$103&lt;=2,"GZ","GX")&amp;" "&amp;TEXT(IF(OR(LINEAS!$U$103=1,LINEAS!$U$103=3),1,-1)*LINEAS!$AH$103*DATOS!$C$67,DATOS!$C$68))</f>
        <v>47 UNI GX -0.0067</v>
      </c>
      <c r="C1401" s="42" t="str">
        <f t="shared" si="42"/>
        <v/>
      </c>
      <c r="D1401" s="44" t="str">
        <f>IF(PRESIONES!$C$22="NO","",IF(OR(LINEAS!$D$103="",LINEAS!$U$103=0,ABS(IF(OR(LINEAS!$U$103=1,LINEAS!$U$103=3),1,-1)*LINEAS!$AH$103*DATOS!$C$67)&lt;0.00005),"*",LINEAS!$D$103&amp;" UNI "&amp;IF(LINEAS!$U$103&lt;=2,"GZ","GX")&amp;" "&amp;TEXT(IF(OR(LINEAS!$U$103=1,LINEAS!$U$103=3),1,-1)*LINEAS!$AH$103*DATOS!$C$67,DATOS!$C$68)))</f>
        <v/>
      </c>
      <c r="E1401" s="42" t="str">
        <f t="shared" si="43"/>
        <v/>
      </c>
    </row>
    <row r="1402" spans="2:5" ht="15" customHeight="1" x14ac:dyDescent="0.3">
      <c r="B1402" s="44" t="str">
        <f>IF(OR(LINEAS!$D$104="",LINEAS!$U$104=0,ABS(IF(OR(LINEAS!$U$104=1,LINEAS!$U$104=3),1,-1)*LINEAS!$AH$104*DATOS!$C$67)&lt;0.00005),"*",LINEAS!$D$104&amp;" UNI "&amp;IF(LINEAS!$U$104&lt;=2,"GZ","GX")&amp;" "&amp;TEXT(IF(OR(LINEAS!$U$104=1,LINEAS!$U$104=3),1,-1)*LINEAS!$AH$104*DATOS!$C$67,DATOS!$C$68))</f>
        <v>54 UNI GX -0.0054</v>
      </c>
      <c r="C1402" s="42" t="str">
        <f t="shared" si="42"/>
        <v/>
      </c>
      <c r="D1402" s="44" t="str">
        <f>IF(PRESIONES!$C$22="NO","",IF(OR(LINEAS!$D$104="",LINEAS!$U$104=0,ABS(IF(OR(LINEAS!$U$104=1,LINEAS!$U$104=3),1,-1)*LINEAS!$AH$104*DATOS!$C$67)&lt;0.00005),"*",LINEAS!$D$104&amp;" UNI "&amp;IF(LINEAS!$U$104&lt;=2,"GZ","GX")&amp;" "&amp;TEXT(IF(OR(LINEAS!$U$104=1,LINEAS!$U$104=3),1,-1)*LINEAS!$AH$104*DATOS!$C$67,DATOS!$C$68)))</f>
        <v/>
      </c>
      <c r="E1402" s="42" t="str">
        <f t="shared" si="43"/>
        <v/>
      </c>
    </row>
    <row r="1403" spans="2:5" ht="15" customHeight="1" x14ac:dyDescent="0.3">
      <c r="B1403" s="44" t="str">
        <f>IF(OR(LINEAS!$D$105="",LINEAS!$U$105=0,ABS(IF(OR(LINEAS!$U$105=1,LINEAS!$U$105=3),1,-1)*LINEAS!$AH$105*DATOS!$C$67)&lt;0.00005),"*",LINEAS!$D$105&amp;" UNI "&amp;IF(LINEAS!$U$105&lt;=2,"GZ","GX")&amp;" "&amp;TEXT(IF(OR(LINEAS!$U$105=1,LINEAS!$U$105=3),1,-1)*LINEAS!$AH$105*DATOS!$C$67,DATOS!$C$68))</f>
        <v>64 UNI GX 0.0212</v>
      </c>
      <c r="C1403" s="42" t="str">
        <f t="shared" si="42"/>
        <v/>
      </c>
      <c r="D1403" s="44" t="str">
        <f>IF(PRESIONES!$C$22="NO","",IF(OR(LINEAS!$D$105="",LINEAS!$U$105=0,ABS(IF(OR(LINEAS!$U$105=1,LINEAS!$U$105=3),1,-1)*LINEAS!$AH$105*DATOS!$C$67)&lt;0.00005),"*",LINEAS!$D$105&amp;" UNI "&amp;IF(LINEAS!$U$105&lt;=2,"GZ","GX")&amp;" "&amp;TEXT(IF(OR(LINEAS!$U$105=1,LINEAS!$U$105=3),1,-1)*LINEAS!$AH$105*DATOS!$C$67,DATOS!$C$68)))</f>
        <v/>
      </c>
      <c r="E1403" s="42" t="str">
        <f t="shared" si="43"/>
        <v/>
      </c>
    </row>
    <row r="1404" spans="2:5" ht="15" customHeight="1" x14ac:dyDescent="0.3">
      <c r="B1404" s="44" t="str">
        <f>IF(OR(LINEAS!$D$106="",LINEAS!$U$106=0,ABS(IF(OR(LINEAS!$U$106=1,LINEAS!$U$106=3),1,-1)*LINEAS!$AH$106*DATOS!$C$67)&lt;0.00005),"*",LINEAS!$D$106&amp;" UNI "&amp;IF(LINEAS!$U$106&lt;=2,"GZ","GX")&amp;" "&amp;TEXT(IF(OR(LINEAS!$U$106=1,LINEAS!$U$106=3),1,-1)*LINEAS!$AH$106*DATOS!$C$67,DATOS!$C$68))</f>
        <v>63 UNI GX 0.0198</v>
      </c>
      <c r="C1404" s="42" t="str">
        <f t="shared" si="42"/>
        <v/>
      </c>
      <c r="D1404" s="44" t="str">
        <f>IF(PRESIONES!$C$22="NO","",IF(OR(LINEAS!$D$106="",LINEAS!$U$106=0,ABS(IF(OR(LINEAS!$U$106=1,LINEAS!$U$106=3),1,-1)*LINEAS!$AH$106*DATOS!$C$67)&lt;0.00005),"*",LINEAS!$D$106&amp;" UNI "&amp;IF(LINEAS!$U$106&lt;=2,"GZ","GX")&amp;" "&amp;TEXT(IF(OR(LINEAS!$U$106=1,LINEAS!$U$106=3),1,-1)*LINEAS!$AH$106*DATOS!$C$67,DATOS!$C$68)))</f>
        <v/>
      </c>
      <c r="E1404" s="42" t="str">
        <f t="shared" si="43"/>
        <v/>
      </c>
    </row>
    <row r="1405" spans="2:5" ht="15" customHeight="1" x14ac:dyDescent="0.3">
      <c r="B1405" s="44" t="str">
        <f>IF(OR(LINEAS!$D$107="",LINEAS!$U$107=0,ABS(IF(OR(LINEAS!$U$107=1,LINEAS!$U$107=3),1,-1)*LINEAS!$AH$107*DATOS!$C$67)&lt;0.00005),"*",LINEAS!$D$107&amp;" UNI "&amp;IF(LINEAS!$U$107&lt;=2,"GZ","GX")&amp;" "&amp;TEXT(IF(OR(LINEAS!$U$107=1,LINEAS!$U$107=3),1,-1)*LINEAS!$AH$107*DATOS!$C$67,DATOS!$C$68))</f>
        <v>62 UNI GX 0.0183</v>
      </c>
      <c r="C1405" s="42" t="str">
        <f t="shared" si="42"/>
        <v/>
      </c>
      <c r="D1405" s="44" t="str">
        <f>IF(PRESIONES!$C$22="NO","",IF(OR(LINEAS!$D$107="",LINEAS!$U$107=0,ABS(IF(OR(LINEAS!$U$107=1,LINEAS!$U$107=3),1,-1)*LINEAS!$AH$107*DATOS!$C$67)&lt;0.00005),"*",LINEAS!$D$107&amp;" UNI "&amp;IF(LINEAS!$U$107&lt;=2,"GZ","GX")&amp;" "&amp;TEXT(IF(OR(LINEAS!$U$107=1,LINEAS!$U$107=3),1,-1)*LINEAS!$AH$107*DATOS!$C$67,DATOS!$C$68)))</f>
        <v/>
      </c>
      <c r="E1405" s="42" t="str">
        <f t="shared" si="43"/>
        <v/>
      </c>
    </row>
    <row r="1406" spans="2:5" ht="15" customHeight="1" x14ac:dyDescent="0.3">
      <c r="B1406" s="44" t="str">
        <f>IF(OR(LINEAS!$D$108="",LINEAS!$U$108=0,ABS(IF(OR(LINEAS!$U$108=1,LINEAS!$U$108=3),1,-1)*LINEAS!$AH$108*DATOS!$C$67)&lt;0.00005),"*",LINEAS!$D$108&amp;" UNI "&amp;IF(LINEAS!$U$108&lt;=2,"GZ","GX")&amp;" "&amp;TEXT(IF(OR(LINEAS!$U$108=1,LINEAS!$U$108=3),1,-1)*LINEAS!$AH$108*DATOS!$C$67,DATOS!$C$68))</f>
        <v>61 UNI GX 0.0169</v>
      </c>
      <c r="C1406" s="42" t="str">
        <f t="shared" si="42"/>
        <v/>
      </c>
      <c r="D1406" s="44" t="str">
        <f>IF(PRESIONES!$C$22="NO","",IF(OR(LINEAS!$D$108="",LINEAS!$U$108=0,ABS(IF(OR(LINEAS!$U$108=1,LINEAS!$U$108=3),1,-1)*LINEAS!$AH$108*DATOS!$C$67)&lt;0.00005),"*",LINEAS!$D$108&amp;" UNI "&amp;IF(LINEAS!$U$108&lt;=2,"GZ","GX")&amp;" "&amp;TEXT(IF(OR(LINEAS!$U$108=1,LINEAS!$U$108=3),1,-1)*LINEAS!$AH$108*DATOS!$C$67,DATOS!$C$68)))</f>
        <v/>
      </c>
      <c r="E1406" s="42" t="str">
        <f t="shared" si="43"/>
        <v/>
      </c>
    </row>
    <row r="1407" spans="2:5" ht="15" customHeight="1" x14ac:dyDescent="0.3">
      <c r="B1407" s="44" t="str">
        <f>IF(OR(LINEAS!$D$109="",LINEAS!$U$109=0,ABS(IF(OR(LINEAS!$U$109=1,LINEAS!$U$109=3),1,-1)*LINEAS!$AH$109*DATOS!$C$67)&lt;0.00005),"*",LINEAS!$D$109&amp;" UNI "&amp;IF(LINEAS!$U$109&lt;=2,"GZ","GX")&amp;" "&amp;TEXT(IF(OR(LINEAS!$U$109=1,LINEAS!$U$109=3),1,-1)*LINEAS!$AH$109*DATOS!$C$67,DATOS!$C$68))</f>
        <v>12 UNI GX 0.0154</v>
      </c>
      <c r="C1407" s="42" t="str">
        <f t="shared" si="42"/>
        <v/>
      </c>
      <c r="D1407" s="44" t="str">
        <f>IF(PRESIONES!$C$22="NO","",IF(OR(LINEAS!$D$109="",LINEAS!$U$109=0,ABS(IF(OR(LINEAS!$U$109=1,LINEAS!$U$109=3),1,-1)*LINEAS!$AH$109*DATOS!$C$67)&lt;0.00005),"*",LINEAS!$D$109&amp;" UNI "&amp;IF(LINEAS!$U$109&lt;=2,"GZ","GX")&amp;" "&amp;TEXT(IF(OR(LINEAS!$U$109=1,LINEAS!$U$109=3),1,-1)*LINEAS!$AH$109*DATOS!$C$67,DATOS!$C$68)))</f>
        <v/>
      </c>
      <c r="E1407" s="42" t="str">
        <f t="shared" si="43"/>
        <v/>
      </c>
    </row>
    <row r="1408" spans="2:5" ht="15" customHeight="1" x14ac:dyDescent="0.3">
      <c r="B1408" s="44" t="str">
        <f>IF(OR(LINEAS!$D$110="",LINEAS!$U$110=0,ABS(IF(OR(LINEAS!$U$110=1,LINEAS!$U$110=3),1,-1)*LINEAS!$AH$110*DATOS!$C$67)&lt;0.00005),"*",LINEAS!$D$110&amp;" UNI "&amp;IF(LINEAS!$U$110&lt;=2,"GZ","GX")&amp;" "&amp;TEXT(IF(OR(LINEAS!$U$110=1,LINEAS!$U$110=3),1,-1)*LINEAS!$AH$110*DATOS!$C$67,DATOS!$C$68))</f>
        <v>72 UNI GX 0.0139</v>
      </c>
      <c r="C1408" s="42" t="str">
        <f t="shared" si="42"/>
        <v/>
      </c>
      <c r="D1408" s="44" t="str">
        <f>IF(PRESIONES!$C$22="NO","",IF(OR(LINEAS!$D$110="",LINEAS!$U$110=0,ABS(IF(OR(LINEAS!$U$110=1,LINEAS!$U$110=3),1,-1)*LINEAS!$AH$110*DATOS!$C$67)&lt;0.00005),"*",LINEAS!$D$110&amp;" UNI "&amp;IF(LINEAS!$U$110&lt;=2,"GZ","GX")&amp;" "&amp;TEXT(IF(OR(LINEAS!$U$110=1,LINEAS!$U$110=3),1,-1)*LINEAS!$AH$110*DATOS!$C$67,DATOS!$C$68)))</f>
        <v/>
      </c>
      <c r="E1408" s="42" t="str">
        <f t="shared" si="43"/>
        <v/>
      </c>
    </row>
    <row r="1409" spans="2:5" ht="15" customHeight="1" x14ac:dyDescent="0.3">
      <c r="B1409" s="44" t="str">
        <f>IF(OR(LINEAS!$D$111="",LINEAS!$U$111=0,ABS(IF(OR(LINEAS!$U$111=1,LINEAS!$U$111=3),1,-1)*LINEAS!$AH$111*DATOS!$C$67)&lt;0.00005),"*",LINEAS!$D$111&amp;" UNI "&amp;IF(LINEAS!$U$111&lt;=2,"GZ","GX")&amp;" "&amp;TEXT(IF(OR(LINEAS!$U$111=1,LINEAS!$U$111=3),1,-1)*LINEAS!$AH$111*DATOS!$C$67,DATOS!$C$68))</f>
        <v>71 UNI GX 0.0125</v>
      </c>
      <c r="C1409" s="42" t="str">
        <f t="shared" si="42"/>
        <v/>
      </c>
      <c r="D1409" s="44" t="str">
        <f>IF(PRESIONES!$C$22="NO","",IF(OR(LINEAS!$D$111="",LINEAS!$U$111=0,ABS(IF(OR(LINEAS!$U$111=1,LINEAS!$U$111=3),1,-1)*LINEAS!$AH$111*DATOS!$C$67)&lt;0.00005),"*",LINEAS!$D$111&amp;" UNI "&amp;IF(LINEAS!$U$111&lt;=2,"GZ","GX")&amp;" "&amp;TEXT(IF(OR(LINEAS!$U$111=1,LINEAS!$U$111=3),1,-1)*LINEAS!$AH$111*DATOS!$C$67,DATOS!$C$68)))</f>
        <v/>
      </c>
      <c r="E1409" s="42" t="str">
        <f t="shared" si="43"/>
        <v/>
      </c>
    </row>
    <row r="1410" spans="2:5" ht="15" customHeight="1" x14ac:dyDescent="0.3">
      <c r="B1410" s="44" t="str">
        <f>IF(OR(LINEAS!$D$112="",LINEAS!$U$112=0,ABS(IF(OR(LINEAS!$U$112=1,LINEAS!$U$112=3),1,-1)*LINEAS!$AH$112*DATOS!$C$67)&lt;0.00005),"*",LINEAS!$D$112&amp;" UNI "&amp;IF(LINEAS!$U$112&lt;=2,"GZ","GX")&amp;" "&amp;TEXT(IF(OR(LINEAS!$U$112=1,LINEAS!$U$112=3),1,-1)*LINEAS!$AH$112*DATOS!$C$67,DATOS!$C$68))</f>
        <v>70 UNI GX 0.0110</v>
      </c>
      <c r="C1410" s="42" t="str">
        <f t="shared" si="42"/>
        <v/>
      </c>
      <c r="D1410" s="44" t="str">
        <f>IF(PRESIONES!$C$22="NO","",IF(OR(LINEAS!$D$112="",LINEAS!$U$112=0,ABS(IF(OR(LINEAS!$U$112=1,LINEAS!$U$112=3),1,-1)*LINEAS!$AH$112*DATOS!$C$67)&lt;0.00005),"*",LINEAS!$D$112&amp;" UNI "&amp;IF(LINEAS!$U$112&lt;=2,"GZ","GX")&amp;" "&amp;TEXT(IF(OR(LINEAS!$U$112=1,LINEAS!$U$112=3),1,-1)*LINEAS!$AH$112*DATOS!$C$67,DATOS!$C$68)))</f>
        <v/>
      </c>
      <c r="E1410" s="42" t="str">
        <f t="shared" si="43"/>
        <v/>
      </c>
    </row>
    <row r="1411" spans="2:5" ht="15" customHeight="1" x14ac:dyDescent="0.3">
      <c r="B1411" s="44" t="str">
        <f>IF(OR(LINEAS!$D$113="",LINEAS!$U$113=0,ABS(IF(OR(LINEAS!$U$113=1,LINEAS!$U$113=3),1,-1)*LINEAS!$AH$113*DATOS!$C$67)&lt;0.00005),"*",LINEAS!$D$113&amp;" UNI "&amp;IF(LINEAS!$U$113&lt;=2,"GZ","GX")&amp;" "&amp;TEXT(IF(OR(LINEAS!$U$113=1,LINEAS!$U$113=3),1,-1)*LINEAS!$AH$113*DATOS!$C$67,DATOS!$C$68))</f>
        <v>69 UNI GX 0.0096</v>
      </c>
      <c r="C1411" s="42" t="str">
        <f t="shared" si="42"/>
        <v/>
      </c>
      <c r="D1411" s="44" t="str">
        <f>IF(PRESIONES!$C$22="NO","",IF(OR(LINEAS!$D$113="",LINEAS!$U$113=0,ABS(IF(OR(LINEAS!$U$113=1,LINEAS!$U$113=3),1,-1)*LINEAS!$AH$113*DATOS!$C$67)&lt;0.00005),"*",LINEAS!$D$113&amp;" UNI "&amp;IF(LINEAS!$U$113&lt;=2,"GZ","GX")&amp;" "&amp;TEXT(IF(OR(LINEAS!$U$113=1,LINEAS!$U$113=3),1,-1)*LINEAS!$AH$113*DATOS!$C$67,DATOS!$C$68)))</f>
        <v/>
      </c>
      <c r="E1411" s="42" t="str">
        <f t="shared" si="43"/>
        <v/>
      </c>
    </row>
    <row r="1412" spans="2:5" ht="15" customHeight="1" x14ac:dyDescent="0.3">
      <c r="B1412" s="44" t="str">
        <f>IF(OR(LINEAS!$D$114="",LINEAS!$U$114=0,ABS(IF(OR(LINEAS!$U$114=1,LINEAS!$U$114=3),1,-1)*LINEAS!$AH$114*DATOS!$C$67)&lt;0.00005),"*",LINEAS!$D$114&amp;" UNI "&amp;IF(LINEAS!$U$114&lt;=2,"GZ","GX")&amp;" "&amp;TEXT(IF(OR(LINEAS!$U$114=1,LINEAS!$U$114=3),1,-1)*LINEAS!$AH$114*DATOS!$C$67,DATOS!$C$68))</f>
        <v>50 UNI GX 0.0081</v>
      </c>
      <c r="C1412" s="42" t="str">
        <f t="shared" si="42"/>
        <v/>
      </c>
      <c r="D1412" s="44" t="str">
        <f>IF(PRESIONES!$C$22="NO","",IF(OR(LINEAS!$D$114="",LINEAS!$U$114=0,ABS(IF(OR(LINEAS!$U$114=1,LINEAS!$U$114=3),1,-1)*LINEAS!$AH$114*DATOS!$C$67)&lt;0.00005),"*",LINEAS!$D$114&amp;" UNI "&amp;IF(LINEAS!$U$114&lt;=2,"GZ","GX")&amp;" "&amp;TEXT(IF(OR(LINEAS!$U$114=1,LINEAS!$U$114=3),1,-1)*LINEAS!$AH$114*DATOS!$C$67,DATOS!$C$68)))</f>
        <v/>
      </c>
      <c r="E1412" s="42" t="str">
        <f t="shared" si="43"/>
        <v/>
      </c>
    </row>
    <row r="1413" spans="2:5" ht="15" customHeight="1" x14ac:dyDescent="0.3">
      <c r="B1413" s="44" t="str">
        <f>IF(OR(LINEAS!$D$115="",LINEAS!$U$115=0,ABS(IF(OR(LINEAS!$U$115=1,LINEAS!$U$115=3),1,-1)*LINEAS!$AH$115*DATOS!$C$67)&lt;0.00005),"*",LINEAS!$D$115&amp;" UNI "&amp;IF(LINEAS!$U$115&lt;=2,"GZ","GX")&amp;" "&amp;TEXT(IF(OR(LINEAS!$U$115=1,LINEAS!$U$115=3),1,-1)*LINEAS!$AH$115*DATOS!$C$67,DATOS!$C$68))</f>
        <v>53 UNI GX 0.0067</v>
      </c>
      <c r="C1413" s="42" t="str">
        <f t="shared" si="42"/>
        <v/>
      </c>
      <c r="D1413" s="44" t="str">
        <f>IF(PRESIONES!$C$22="NO","",IF(OR(LINEAS!$D$115="",LINEAS!$U$115=0,ABS(IF(OR(LINEAS!$U$115=1,LINEAS!$U$115=3),1,-1)*LINEAS!$AH$115*DATOS!$C$67)&lt;0.00005),"*",LINEAS!$D$115&amp;" UNI "&amp;IF(LINEAS!$U$115&lt;=2,"GZ","GX")&amp;" "&amp;TEXT(IF(OR(LINEAS!$U$115=1,LINEAS!$U$115=3),1,-1)*LINEAS!$AH$115*DATOS!$C$67,DATOS!$C$68)))</f>
        <v/>
      </c>
      <c r="E1413" s="42" t="str">
        <f t="shared" si="43"/>
        <v/>
      </c>
    </row>
    <row r="1414" spans="2:5" ht="15" customHeight="1" x14ac:dyDescent="0.3">
      <c r="B1414" s="44" t="str">
        <f>IF(OR(LINEAS!$D$116="",LINEAS!$U$116=0,ABS(IF(OR(LINEAS!$U$116=1,LINEAS!$U$116=3),1,-1)*LINEAS!$AH$116*DATOS!$C$67)&lt;0.00005),"*",LINEAS!$D$116&amp;" UNI "&amp;IF(LINEAS!$U$116&lt;=2,"GZ","GX")&amp;" "&amp;TEXT(IF(OR(LINEAS!$U$116=1,LINEAS!$U$116=3),1,-1)*LINEAS!$AH$116*DATOS!$C$67,DATOS!$C$68))</f>
        <v>55 UNI GX 0.0054</v>
      </c>
      <c r="C1414" s="42" t="str">
        <f t="shared" si="42"/>
        <v/>
      </c>
      <c r="D1414" s="44" t="str">
        <f>IF(PRESIONES!$C$22="NO","",IF(OR(LINEAS!$D$116="",LINEAS!$U$116=0,ABS(IF(OR(LINEAS!$U$116=1,LINEAS!$U$116=3),1,-1)*LINEAS!$AH$116*DATOS!$C$67)&lt;0.00005),"*",LINEAS!$D$116&amp;" UNI "&amp;IF(LINEAS!$U$116&lt;=2,"GZ","GX")&amp;" "&amp;TEXT(IF(OR(LINEAS!$U$116=1,LINEAS!$U$116=3),1,-1)*LINEAS!$AH$116*DATOS!$C$67,DATOS!$C$68)))</f>
        <v/>
      </c>
      <c r="E1414" s="42" t="str">
        <f t="shared" si="43"/>
        <v/>
      </c>
    </row>
    <row r="1415" spans="2:5" ht="15" customHeight="1" x14ac:dyDescent="0.3">
      <c r="B1415" s="44" t="str">
        <f>IF(OR(LINEAS!$D$117="",LINEAS!$U$117=0,ABS(IF(OR(LINEAS!$U$117=1,LINEAS!$U$117=3),1,-1)*LINEAS!$AH$117*DATOS!$C$67)&lt;0.00005),"*",LINEAS!$D$117&amp;" UNI "&amp;IF(LINEAS!$U$117&lt;=2,"GZ","GX")&amp;" "&amp;TEXT(IF(OR(LINEAS!$U$117=1,LINEAS!$U$117=3),1,-1)*LINEAS!$AH$117*DATOS!$C$67,DATOS!$C$68))</f>
        <v>262 UNI GZ 0.8124</v>
      </c>
      <c r="C1415" s="42" t="str">
        <f t="shared" si="42"/>
        <v/>
      </c>
      <c r="D1415" s="44" t="str">
        <f>IF(PRESIONES!$C$22="NO","",IF(OR(LINEAS!$D$117="",LINEAS!$U$117=0,ABS(IF(OR(LINEAS!$U$117=1,LINEAS!$U$117=3),1,-1)*LINEAS!$AH$117*DATOS!$C$67)&lt;0.00005),"*",LINEAS!$D$117&amp;" UNI "&amp;IF(LINEAS!$U$117&lt;=2,"GZ","GX")&amp;" "&amp;TEXT(IF(OR(LINEAS!$U$117=1,LINEAS!$U$117=3),1,-1)*LINEAS!$AH$117*DATOS!$C$67,DATOS!$C$68)))</f>
        <v/>
      </c>
      <c r="E1415" s="42" t="str">
        <f t="shared" si="43"/>
        <v/>
      </c>
    </row>
    <row r="1416" spans="2:5" ht="15" customHeight="1" x14ac:dyDescent="0.3">
      <c r="B1416" s="44" t="str">
        <f>IF(OR(LINEAS!$D$118="",LINEAS!$U$118=0,ABS(IF(OR(LINEAS!$U$118=1,LINEAS!$U$118=3),1,-1)*LINEAS!$AH$118*DATOS!$C$67)&lt;0.00005),"*",LINEAS!$D$118&amp;" UNI "&amp;IF(LINEAS!$U$118&lt;=2,"GZ","GX")&amp;" "&amp;TEXT(IF(OR(LINEAS!$U$118=1,LINEAS!$U$118=3),1,-1)*LINEAS!$AH$118*DATOS!$C$67,DATOS!$C$68))</f>
        <v>263 UNI GZ 0.8124</v>
      </c>
      <c r="C1416" s="42" t="str">
        <f t="shared" si="42"/>
        <v/>
      </c>
      <c r="D1416" s="44" t="str">
        <f>IF(PRESIONES!$C$22="NO","",IF(OR(LINEAS!$D$118="",LINEAS!$U$118=0,ABS(IF(OR(LINEAS!$U$118=1,LINEAS!$U$118=3),1,-1)*LINEAS!$AH$118*DATOS!$C$67)&lt;0.00005),"*",LINEAS!$D$118&amp;" UNI "&amp;IF(LINEAS!$U$118&lt;=2,"GZ","GX")&amp;" "&amp;TEXT(IF(OR(LINEAS!$U$118=1,LINEAS!$U$118=3),1,-1)*LINEAS!$AH$118*DATOS!$C$67,DATOS!$C$68)))</f>
        <v/>
      </c>
      <c r="E1416" s="42" t="str">
        <f t="shared" si="43"/>
        <v/>
      </c>
    </row>
    <row r="1417" spans="2:5" ht="15" customHeight="1" x14ac:dyDescent="0.3">
      <c r="B1417" s="44" t="str">
        <f>IF(OR(LINEAS!$D$119="",LINEAS!$U$119=0,ABS(IF(OR(LINEAS!$U$119=1,LINEAS!$U$119=3),1,-1)*LINEAS!$AH$119*DATOS!$C$67)&lt;0.00005),"*",LINEAS!$D$119&amp;" UNI "&amp;IF(LINEAS!$U$119&lt;=2,"GZ","GX")&amp;" "&amp;TEXT(IF(OR(LINEAS!$U$119=1,LINEAS!$U$119=3),1,-1)*LINEAS!$AH$119*DATOS!$C$67,DATOS!$C$68))</f>
        <v>264 UNI GZ 0.8124</v>
      </c>
      <c r="C1417" s="42" t="str">
        <f t="shared" ref="C1417:C1480" si="44">IF(LEN($B1417)&gt;79,"MÁS DE 79 CARACTERES","")</f>
        <v/>
      </c>
      <c r="D1417" s="44" t="str">
        <f>IF(PRESIONES!$C$22="NO","",IF(OR(LINEAS!$D$119="",LINEAS!$U$119=0,ABS(IF(OR(LINEAS!$U$119=1,LINEAS!$U$119=3),1,-1)*LINEAS!$AH$119*DATOS!$C$67)&lt;0.00005),"*",LINEAS!$D$119&amp;" UNI "&amp;IF(LINEAS!$U$119&lt;=2,"GZ","GX")&amp;" "&amp;TEXT(IF(OR(LINEAS!$U$119=1,LINEAS!$U$119=3),1,-1)*LINEAS!$AH$119*DATOS!$C$67,DATOS!$C$68)))</f>
        <v/>
      </c>
      <c r="E1417" s="42" t="str">
        <f t="shared" ref="E1417:E1480" si="45">IF(LEN($D1417)&gt;79,"MÁS DE 79 CARACTERES","")</f>
        <v/>
      </c>
    </row>
    <row r="1418" spans="2:5" ht="15" customHeight="1" x14ac:dyDescent="0.3">
      <c r="B1418" s="44" t="str">
        <f>IF(OR(LINEAS!$D$120="",LINEAS!$U$120=0,ABS(IF(OR(LINEAS!$U$120=1,LINEAS!$U$120=3),1,-1)*LINEAS!$AH$120*DATOS!$C$67)&lt;0.00005),"*",LINEAS!$D$120&amp;" UNI "&amp;IF(LINEAS!$U$120&lt;=2,"GZ","GX")&amp;" "&amp;TEXT(IF(OR(LINEAS!$U$120=1,LINEAS!$U$120=3),1,-1)*LINEAS!$AH$120*DATOS!$C$67,DATOS!$C$68))</f>
        <v>271 UNI GZ 0.8124</v>
      </c>
      <c r="C1418" s="42" t="str">
        <f t="shared" si="44"/>
        <v/>
      </c>
      <c r="D1418" s="44" t="str">
        <f>IF(PRESIONES!$C$22="NO","",IF(OR(LINEAS!$D$120="",LINEAS!$U$120=0,ABS(IF(OR(LINEAS!$U$120=1,LINEAS!$U$120=3),1,-1)*LINEAS!$AH$120*DATOS!$C$67)&lt;0.00005),"*",LINEAS!$D$120&amp;" UNI "&amp;IF(LINEAS!$U$120&lt;=2,"GZ","GX")&amp;" "&amp;TEXT(IF(OR(LINEAS!$U$120=1,LINEAS!$U$120=3),1,-1)*LINEAS!$AH$120*DATOS!$C$67,DATOS!$C$68)))</f>
        <v/>
      </c>
      <c r="E1418" s="42" t="str">
        <f t="shared" si="45"/>
        <v/>
      </c>
    </row>
    <row r="1419" spans="2:5" ht="15" customHeight="1" x14ac:dyDescent="0.3">
      <c r="B1419" s="44" t="str">
        <f>IF(OR(LINEAS!$D$121="",LINEAS!$U$121=0,ABS(IF(OR(LINEAS!$U$121=1,LINEAS!$U$121=3),1,-1)*LINEAS!$AH$121*DATOS!$C$67)&lt;0.00005),"*",LINEAS!$D$121&amp;" UNI "&amp;IF(LINEAS!$U$121&lt;=2,"GZ","GX")&amp;" "&amp;TEXT(IF(OR(LINEAS!$U$121=1,LINEAS!$U$121=3),1,-1)*LINEAS!$AH$121*DATOS!$C$67,DATOS!$C$68))</f>
        <v>286 UNI GZ 0.4062</v>
      </c>
      <c r="C1419" s="42" t="str">
        <f t="shared" si="44"/>
        <v/>
      </c>
      <c r="D1419" s="44" t="str">
        <f>IF(PRESIONES!$C$22="NO","",IF(OR(LINEAS!$D$121="",LINEAS!$U$121=0,ABS(IF(OR(LINEAS!$U$121=1,LINEAS!$U$121=3),1,-1)*LINEAS!$AH$121*DATOS!$C$67)&lt;0.00005),"*",LINEAS!$D$121&amp;" UNI "&amp;IF(LINEAS!$U$121&lt;=2,"GZ","GX")&amp;" "&amp;TEXT(IF(OR(LINEAS!$U$121=1,LINEAS!$U$121=3),1,-1)*LINEAS!$AH$121*DATOS!$C$67,DATOS!$C$68)))</f>
        <v/>
      </c>
      <c r="E1419" s="42" t="str">
        <f t="shared" si="45"/>
        <v/>
      </c>
    </row>
    <row r="1420" spans="2:5" ht="15" customHeight="1" x14ac:dyDescent="0.3">
      <c r="B1420" s="44" t="str">
        <f>IF(OR(LINEAS!$D$122="",LINEAS!$U$122=0,ABS(IF(OR(LINEAS!$U$122=1,LINEAS!$U$122=3),1,-1)*LINEAS!$AH$122*DATOS!$C$67)&lt;0.00005),"*",LINEAS!$D$122&amp;" UNI "&amp;IF(LINEAS!$U$122&lt;=2,"GZ","GX")&amp;" "&amp;TEXT(IF(OR(LINEAS!$U$122=1,LINEAS!$U$122=3),1,-1)*LINEAS!$AH$122*DATOS!$C$67,DATOS!$C$68))</f>
        <v>272 UNI GZ 0.8124</v>
      </c>
      <c r="C1420" s="42" t="str">
        <f t="shared" si="44"/>
        <v/>
      </c>
      <c r="D1420" s="44" t="str">
        <f>IF(PRESIONES!$C$22="NO","",IF(OR(LINEAS!$D$122="",LINEAS!$U$122=0,ABS(IF(OR(LINEAS!$U$122=1,LINEAS!$U$122=3),1,-1)*LINEAS!$AH$122*DATOS!$C$67)&lt;0.00005),"*",LINEAS!$D$122&amp;" UNI "&amp;IF(LINEAS!$U$122&lt;=2,"GZ","GX")&amp;" "&amp;TEXT(IF(OR(LINEAS!$U$122=1,LINEAS!$U$122=3),1,-1)*LINEAS!$AH$122*DATOS!$C$67,DATOS!$C$68)))</f>
        <v/>
      </c>
      <c r="E1420" s="42" t="str">
        <f t="shared" si="45"/>
        <v/>
      </c>
    </row>
    <row r="1421" spans="2:5" ht="15" customHeight="1" x14ac:dyDescent="0.3">
      <c r="B1421" s="44" t="str">
        <f>IF(OR(LINEAS!$D$123="",LINEAS!$U$123=0,ABS(IF(OR(LINEAS!$U$123=1,LINEAS!$U$123=3),1,-1)*LINEAS!$AH$123*DATOS!$C$67)&lt;0.00005),"*",LINEAS!$D$123&amp;" UNI "&amp;IF(LINEAS!$U$123&lt;=2,"GZ","GX")&amp;" "&amp;TEXT(IF(OR(LINEAS!$U$123=1,LINEAS!$U$123=3),1,-1)*LINEAS!$AH$123*DATOS!$C$67,DATOS!$C$68))</f>
        <v>273 UNI GZ 0.8124</v>
      </c>
      <c r="C1421" s="42" t="str">
        <f t="shared" si="44"/>
        <v/>
      </c>
      <c r="D1421" s="44" t="str">
        <f>IF(PRESIONES!$C$22="NO","",IF(OR(LINEAS!$D$123="",LINEAS!$U$123=0,ABS(IF(OR(LINEAS!$U$123=1,LINEAS!$U$123=3),1,-1)*LINEAS!$AH$123*DATOS!$C$67)&lt;0.00005),"*",LINEAS!$D$123&amp;" UNI "&amp;IF(LINEAS!$U$123&lt;=2,"GZ","GX")&amp;" "&amp;TEXT(IF(OR(LINEAS!$U$123=1,LINEAS!$U$123=3),1,-1)*LINEAS!$AH$123*DATOS!$C$67,DATOS!$C$68)))</f>
        <v/>
      </c>
      <c r="E1421" s="42" t="str">
        <f t="shared" si="45"/>
        <v/>
      </c>
    </row>
    <row r="1422" spans="2:5" ht="15" customHeight="1" x14ac:dyDescent="0.3">
      <c r="B1422" s="44" t="str">
        <f>IF(OR(LINEAS!$D$124="",LINEAS!$U$124=0,ABS(IF(OR(LINEAS!$U$124=1,LINEAS!$U$124=3),1,-1)*LINEAS!$AH$124*DATOS!$C$67)&lt;0.00005),"*",LINEAS!$D$124&amp;" UNI "&amp;IF(LINEAS!$U$124&lt;=2,"GZ","GX")&amp;" "&amp;TEXT(IF(OR(LINEAS!$U$124=1,LINEAS!$U$124=3),1,-1)*LINEAS!$AH$124*DATOS!$C$67,DATOS!$C$68))</f>
        <v>280 UNI GZ 0.8124</v>
      </c>
      <c r="C1422" s="42" t="str">
        <f t="shared" si="44"/>
        <v/>
      </c>
      <c r="D1422" s="44" t="str">
        <f>IF(PRESIONES!$C$22="NO","",IF(OR(LINEAS!$D$124="",LINEAS!$U$124=0,ABS(IF(OR(LINEAS!$U$124=1,LINEAS!$U$124=3),1,-1)*LINEAS!$AH$124*DATOS!$C$67)&lt;0.00005),"*",LINEAS!$D$124&amp;" UNI "&amp;IF(LINEAS!$U$124&lt;=2,"GZ","GX")&amp;" "&amp;TEXT(IF(OR(LINEAS!$U$124=1,LINEAS!$U$124=3),1,-1)*LINEAS!$AH$124*DATOS!$C$67,DATOS!$C$68)))</f>
        <v/>
      </c>
      <c r="E1422" s="42" t="str">
        <f t="shared" si="45"/>
        <v/>
      </c>
    </row>
    <row r="1423" spans="2:5" ht="15" customHeight="1" x14ac:dyDescent="0.3">
      <c r="B1423" s="44" t="str">
        <f>IF(OR(LINEAS!$D$125="",LINEAS!$U$125=0,ABS(IF(OR(LINEAS!$U$125=1,LINEAS!$U$125=3),1,-1)*LINEAS!$AH$125*DATOS!$C$67)&lt;0.00005),"*",LINEAS!$D$125&amp;" UNI "&amp;IF(LINEAS!$U$125&lt;=2,"GZ","GX")&amp;" "&amp;TEXT(IF(OR(LINEAS!$U$125=1,LINEAS!$U$125=3),1,-1)*LINEAS!$AH$125*DATOS!$C$67,DATOS!$C$68))</f>
        <v>282 UNI GZ 0.8124</v>
      </c>
      <c r="C1423" s="42" t="str">
        <f t="shared" si="44"/>
        <v/>
      </c>
      <c r="D1423" s="44" t="str">
        <f>IF(PRESIONES!$C$22="NO","",IF(OR(LINEAS!$D$125="",LINEAS!$U$125=0,ABS(IF(OR(LINEAS!$U$125=1,LINEAS!$U$125=3),1,-1)*LINEAS!$AH$125*DATOS!$C$67)&lt;0.00005),"*",LINEAS!$D$125&amp;" UNI "&amp;IF(LINEAS!$U$125&lt;=2,"GZ","GX")&amp;" "&amp;TEXT(IF(OR(LINEAS!$U$125=1,LINEAS!$U$125=3),1,-1)*LINEAS!$AH$125*DATOS!$C$67,DATOS!$C$68)))</f>
        <v/>
      </c>
      <c r="E1423" s="42" t="str">
        <f t="shared" si="45"/>
        <v/>
      </c>
    </row>
    <row r="1424" spans="2:5" ht="15" customHeight="1" x14ac:dyDescent="0.3">
      <c r="B1424" s="44" t="str">
        <f>IF(OR(LINEAS!$D$126="",LINEAS!$U$126=0,ABS(IF(OR(LINEAS!$U$126=1,LINEAS!$U$126=3),1,-1)*LINEAS!$AH$126*DATOS!$C$67)&lt;0.00005),"*",LINEAS!$D$126&amp;" UNI "&amp;IF(LINEAS!$U$126&lt;=2,"GZ","GX")&amp;" "&amp;TEXT(IF(OR(LINEAS!$U$126=1,LINEAS!$U$126=3),1,-1)*LINEAS!$AH$126*DATOS!$C$67,DATOS!$C$68))</f>
        <v>290 UNI GZ 0.8124</v>
      </c>
      <c r="C1424" s="42" t="str">
        <f t="shared" si="44"/>
        <v/>
      </c>
      <c r="D1424" s="44" t="str">
        <f>IF(PRESIONES!$C$22="NO","",IF(OR(LINEAS!$D$126="",LINEAS!$U$126=0,ABS(IF(OR(LINEAS!$U$126=1,LINEAS!$U$126=3),1,-1)*LINEAS!$AH$126*DATOS!$C$67)&lt;0.00005),"*",LINEAS!$D$126&amp;" UNI "&amp;IF(LINEAS!$U$126&lt;=2,"GZ","GX")&amp;" "&amp;TEXT(IF(OR(LINEAS!$U$126=1,LINEAS!$U$126=3),1,-1)*LINEAS!$AH$126*DATOS!$C$67,DATOS!$C$68)))</f>
        <v/>
      </c>
      <c r="E1424" s="42" t="str">
        <f t="shared" si="45"/>
        <v/>
      </c>
    </row>
    <row r="1425" spans="2:5" ht="15" customHeight="1" x14ac:dyDescent="0.3">
      <c r="B1425" s="44" t="str">
        <f>IF(OR(LINEAS!$D$127="",LINEAS!$U$127=0,ABS(IF(OR(LINEAS!$U$127=1,LINEAS!$U$127=3),1,-1)*LINEAS!$AH$127*DATOS!$C$67)&lt;0.00005),"*",LINEAS!$D$127&amp;" UNI "&amp;IF(LINEAS!$U$127&lt;=2,"GZ","GX")&amp;" "&amp;TEXT(IF(OR(LINEAS!$U$127=1,LINEAS!$U$127=3),1,-1)*LINEAS!$AH$127*DATOS!$C$67,DATOS!$C$68))</f>
        <v>291 UNI GZ 0.8124</v>
      </c>
      <c r="C1425" s="42" t="str">
        <f t="shared" si="44"/>
        <v/>
      </c>
      <c r="D1425" s="44" t="str">
        <f>IF(PRESIONES!$C$22="NO","",IF(OR(LINEAS!$D$127="",LINEAS!$U$127=0,ABS(IF(OR(LINEAS!$U$127=1,LINEAS!$U$127=3),1,-1)*LINEAS!$AH$127*DATOS!$C$67)&lt;0.00005),"*",LINEAS!$D$127&amp;" UNI "&amp;IF(LINEAS!$U$127&lt;=2,"GZ","GX")&amp;" "&amp;TEXT(IF(OR(LINEAS!$U$127=1,LINEAS!$U$127=3),1,-1)*LINEAS!$AH$127*DATOS!$C$67,DATOS!$C$68)))</f>
        <v/>
      </c>
      <c r="E1425" s="42" t="str">
        <f t="shared" si="45"/>
        <v/>
      </c>
    </row>
    <row r="1426" spans="2:5" ht="15" customHeight="1" x14ac:dyDescent="0.3">
      <c r="B1426" s="44" t="str">
        <f>IF(OR(LINEAS!$D$128="",LINEAS!$U$128=0,ABS(IF(OR(LINEAS!$U$128=1,LINEAS!$U$128=3),1,-1)*LINEAS!$AH$128*DATOS!$C$67)&lt;0.00005),"*",LINEAS!$D$128&amp;" UNI "&amp;IF(LINEAS!$U$128&lt;=2,"GZ","GX")&amp;" "&amp;TEXT(IF(OR(LINEAS!$U$128=1,LINEAS!$U$128=3),1,-1)*LINEAS!$AH$128*DATOS!$C$67,DATOS!$C$68))</f>
        <v>298 UNI GZ 0.5179</v>
      </c>
      <c r="C1426" s="42" t="str">
        <f t="shared" si="44"/>
        <v/>
      </c>
      <c r="D1426" s="44" t="str">
        <f>IF(PRESIONES!$C$22="NO","",IF(OR(LINEAS!$D$128="",LINEAS!$U$128=0,ABS(IF(OR(LINEAS!$U$128=1,LINEAS!$U$128=3),1,-1)*LINEAS!$AH$128*DATOS!$C$67)&lt;0.00005),"*",LINEAS!$D$128&amp;" UNI "&amp;IF(LINEAS!$U$128&lt;=2,"GZ","GX")&amp;" "&amp;TEXT(IF(OR(LINEAS!$U$128=1,LINEAS!$U$128=3),1,-1)*LINEAS!$AH$128*DATOS!$C$67,DATOS!$C$68)))</f>
        <v/>
      </c>
      <c r="E1426" s="42" t="str">
        <f t="shared" si="45"/>
        <v/>
      </c>
    </row>
    <row r="1427" spans="2:5" ht="15" customHeight="1" x14ac:dyDescent="0.3">
      <c r="B1427" s="44" t="str">
        <f>IF(OR(LINEAS!$D$129="",LINEAS!$U$129=0,ABS(IF(OR(LINEAS!$U$129=1,LINEAS!$U$129=3),1,-1)*LINEAS!$AH$129*DATOS!$C$67)&lt;0.00005),"*",LINEAS!$D$129&amp;" UNI "&amp;IF(LINEAS!$U$129&lt;=2,"GZ","GX")&amp;" "&amp;TEXT(IF(OR(LINEAS!$U$129=1,LINEAS!$U$129=3),1,-1)*LINEAS!$AH$129*DATOS!$C$67,DATOS!$C$68))</f>
        <v>299 UNI GZ 0.5179</v>
      </c>
      <c r="C1427" s="42" t="str">
        <f t="shared" si="44"/>
        <v/>
      </c>
      <c r="D1427" s="44" t="str">
        <f>IF(PRESIONES!$C$22="NO","",IF(OR(LINEAS!$D$129="",LINEAS!$U$129=0,ABS(IF(OR(LINEAS!$U$129=1,LINEAS!$U$129=3),1,-1)*LINEAS!$AH$129*DATOS!$C$67)&lt;0.00005),"*",LINEAS!$D$129&amp;" UNI "&amp;IF(LINEAS!$U$129&lt;=2,"GZ","GX")&amp;" "&amp;TEXT(IF(OR(LINEAS!$U$129=1,LINEAS!$U$129=3),1,-1)*LINEAS!$AH$129*DATOS!$C$67,DATOS!$C$68)))</f>
        <v/>
      </c>
      <c r="E1427" s="42" t="str">
        <f t="shared" si="45"/>
        <v/>
      </c>
    </row>
    <row r="1428" spans="2:5" ht="15" customHeight="1" x14ac:dyDescent="0.3">
      <c r="B1428" s="44" t="str">
        <f>IF(OR(LINEAS!$D$130="",LINEAS!$U$130=0,ABS(IF(OR(LINEAS!$U$130=1,LINEAS!$U$130=3),1,-1)*LINEAS!$AH$130*DATOS!$C$67)&lt;0.00005),"*",LINEAS!$D$130&amp;" UNI "&amp;IF(LINEAS!$U$130&lt;=2,"GZ","GX")&amp;" "&amp;TEXT(IF(OR(LINEAS!$U$130=1,LINEAS!$U$130=3),1,-1)*LINEAS!$AH$130*DATOS!$C$67,DATOS!$C$68))</f>
        <v>326 UNI GZ 0.4062</v>
      </c>
      <c r="C1428" s="42" t="str">
        <f t="shared" si="44"/>
        <v/>
      </c>
      <c r="D1428" s="44" t="str">
        <f>IF(PRESIONES!$C$22="NO","",IF(OR(LINEAS!$D$130="",LINEAS!$U$130=0,ABS(IF(OR(LINEAS!$U$130=1,LINEAS!$U$130=3),1,-1)*LINEAS!$AH$130*DATOS!$C$67)&lt;0.00005),"*",LINEAS!$D$130&amp;" UNI "&amp;IF(LINEAS!$U$130&lt;=2,"GZ","GX")&amp;" "&amp;TEXT(IF(OR(LINEAS!$U$130=1,LINEAS!$U$130=3),1,-1)*LINEAS!$AH$130*DATOS!$C$67,DATOS!$C$68)))</f>
        <v/>
      </c>
      <c r="E1428" s="42" t="str">
        <f t="shared" si="45"/>
        <v/>
      </c>
    </row>
    <row r="1429" spans="2:5" ht="15" customHeight="1" x14ac:dyDescent="0.3">
      <c r="B1429" s="44" t="str">
        <f>IF(OR(LINEAS!$D$131="",LINEAS!$U$131=0,ABS(IF(OR(LINEAS!$U$131=1,LINEAS!$U$131=3),1,-1)*LINEAS!$AH$131*DATOS!$C$67)&lt;0.00005),"*",LINEAS!$D$131&amp;" UNI "&amp;IF(LINEAS!$U$131&lt;=2,"GZ","GX")&amp;" "&amp;TEXT(IF(OR(LINEAS!$U$131=1,LINEAS!$U$131=3),1,-1)*LINEAS!$AH$131*DATOS!$C$67,DATOS!$C$68))</f>
        <v>25 UNI GZ 0.2945</v>
      </c>
      <c r="C1429" s="42" t="str">
        <f t="shared" si="44"/>
        <v/>
      </c>
      <c r="D1429" s="44" t="str">
        <f>IF(PRESIONES!$C$22="NO","",IF(OR(LINEAS!$D$131="",LINEAS!$U$131=0,ABS(IF(OR(LINEAS!$U$131=1,LINEAS!$U$131=3),1,-1)*LINEAS!$AH$131*DATOS!$C$67)&lt;0.00005),"*",LINEAS!$D$131&amp;" UNI "&amp;IF(LINEAS!$U$131&lt;=2,"GZ","GX")&amp;" "&amp;TEXT(IF(OR(LINEAS!$U$131=1,LINEAS!$U$131=3),1,-1)*LINEAS!$AH$131*DATOS!$C$67,DATOS!$C$68)))</f>
        <v/>
      </c>
      <c r="E1429" s="42" t="str">
        <f t="shared" si="45"/>
        <v/>
      </c>
    </row>
    <row r="1430" spans="2:5" ht="15" customHeight="1" x14ac:dyDescent="0.3">
      <c r="B1430" s="44" t="str">
        <f>IF(OR(LINEAS!$D$132="",LINEAS!$U$132=0,ABS(IF(OR(LINEAS!$U$132=1,LINEAS!$U$132=3),1,-1)*LINEAS!$AH$132*DATOS!$C$67)&lt;0.00005),"*",LINEAS!$D$132&amp;" UNI "&amp;IF(LINEAS!$U$132&lt;=2,"GZ","GX")&amp;" "&amp;TEXT(IF(OR(LINEAS!$U$132=1,LINEAS!$U$132=3),1,-1)*LINEAS!$AH$132*DATOS!$C$67,DATOS!$C$68))</f>
        <v>327 UNI GZ 0.4062</v>
      </c>
      <c r="C1430" s="42" t="str">
        <f t="shared" si="44"/>
        <v/>
      </c>
      <c r="D1430" s="44" t="str">
        <f>IF(PRESIONES!$C$22="NO","",IF(OR(LINEAS!$D$132="",LINEAS!$U$132=0,ABS(IF(OR(LINEAS!$U$132=1,LINEAS!$U$132=3),1,-1)*LINEAS!$AH$132*DATOS!$C$67)&lt;0.00005),"*",LINEAS!$D$132&amp;" UNI "&amp;IF(LINEAS!$U$132&lt;=2,"GZ","GX")&amp;" "&amp;TEXT(IF(OR(LINEAS!$U$132=1,LINEAS!$U$132=3),1,-1)*LINEAS!$AH$132*DATOS!$C$67,DATOS!$C$68)))</f>
        <v/>
      </c>
      <c r="E1430" s="42" t="str">
        <f t="shared" si="45"/>
        <v/>
      </c>
    </row>
    <row r="1431" spans="2:5" ht="15" customHeight="1" x14ac:dyDescent="0.3">
      <c r="B1431" s="44" t="str">
        <f>IF(OR(LINEAS!$D$133="",LINEAS!$U$133=0,ABS(IF(OR(LINEAS!$U$133=1,LINEAS!$U$133=3),1,-1)*LINEAS!$AH$133*DATOS!$C$67)&lt;0.00005),"*",LINEAS!$D$133&amp;" UNI "&amp;IF(LINEAS!$U$133&lt;=2,"GZ","GX")&amp;" "&amp;TEXT(IF(OR(LINEAS!$U$133=1,LINEAS!$U$133=3),1,-1)*LINEAS!$AH$133*DATOS!$C$67,DATOS!$C$68))</f>
        <v>306 UNI GZ 0.7007</v>
      </c>
      <c r="C1431" s="42" t="str">
        <f t="shared" si="44"/>
        <v/>
      </c>
      <c r="D1431" s="44" t="str">
        <f>IF(PRESIONES!$C$22="NO","",IF(OR(LINEAS!$D$133="",LINEAS!$U$133=0,ABS(IF(OR(LINEAS!$U$133=1,LINEAS!$U$133=3),1,-1)*LINEAS!$AH$133*DATOS!$C$67)&lt;0.00005),"*",LINEAS!$D$133&amp;" UNI "&amp;IF(LINEAS!$U$133&lt;=2,"GZ","GX")&amp;" "&amp;TEXT(IF(OR(LINEAS!$U$133=1,LINEAS!$U$133=3),1,-1)*LINEAS!$AH$133*DATOS!$C$67,DATOS!$C$68)))</f>
        <v/>
      </c>
      <c r="E1431" s="42" t="str">
        <f t="shared" si="45"/>
        <v/>
      </c>
    </row>
    <row r="1432" spans="2:5" ht="15" customHeight="1" x14ac:dyDescent="0.3">
      <c r="B1432" s="44" t="str">
        <f>IF(OR(LINEAS!$D$134="",LINEAS!$U$134=0,ABS(IF(OR(LINEAS!$U$134=1,LINEAS!$U$134=3),1,-1)*LINEAS!$AH$134*DATOS!$C$67)&lt;0.00005),"*",LINEAS!$D$134&amp;" UNI "&amp;IF(LINEAS!$U$134&lt;=2,"GZ","GX")&amp;" "&amp;TEXT(IF(OR(LINEAS!$U$134=1,LINEAS!$U$134=3),1,-1)*LINEAS!$AH$134*DATOS!$C$67,DATOS!$C$68))</f>
        <v>322 UNI GZ 0.8124</v>
      </c>
      <c r="C1432" s="42" t="str">
        <f t="shared" si="44"/>
        <v/>
      </c>
      <c r="D1432" s="44" t="str">
        <f>IF(PRESIONES!$C$22="NO","",IF(OR(LINEAS!$D$134="",LINEAS!$U$134=0,ABS(IF(OR(LINEAS!$U$134=1,LINEAS!$U$134=3),1,-1)*LINEAS!$AH$134*DATOS!$C$67)&lt;0.00005),"*",LINEAS!$D$134&amp;" UNI "&amp;IF(LINEAS!$U$134&lt;=2,"GZ","GX")&amp;" "&amp;TEXT(IF(OR(LINEAS!$U$134=1,LINEAS!$U$134=3),1,-1)*LINEAS!$AH$134*DATOS!$C$67,DATOS!$C$68)))</f>
        <v/>
      </c>
      <c r="E1432" s="42" t="str">
        <f t="shared" si="45"/>
        <v/>
      </c>
    </row>
    <row r="1433" spans="2:5" ht="15" customHeight="1" x14ac:dyDescent="0.3">
      <c r="B1433" s="44" t="str">
        <f>IF(OR(LINEAS!$D$135="",LINEAS!$U$135=0,ABS(IF(OR(LINEAS!$U$135=1,LINEAS!$U$135=3),1,-1)*LINEAS!$AH$135*DATOS!$C$67)&lt;0.00005),"*",LINEAS!$D$135&amp;" UNI "&amp;IF(LINEAS!$U$135&lt;=2,"GZ","GX")&amp;" "&amp;TEXT(IF(OR(LINEAS!$U$135=1,LINEAS!$U$135=3),1,-1)*LINEAS!$AH$135*DATOS!$C$67,DATOS!$C$68))</f>
        <v>323 UNI GZ 0.7528</v>
      </c>
      <c r="C1433" s="42" t="str">
        <f t="shared" si="44"/>
        <v/>
      </c>
      <c r="D1433" s="44" t="str">
        <f>IF(PRESIONES!$C$22="NO","",IF(OR(LINEAS!$D$135="",LINEAS!$U$135=0,ABS(IF(OR(LINEAS!$U$135=1,LINEAS!$U$135=3),1,-1)*LINEAS!$AH$135*DATOS!$C$67)&lt;0.00005),"*",LINEAS!$D$135&amp;" UNI "&amp;IF(LINEAS!$U$135&lt;=2,"GZ","GX")&amp;" "&amp;TEXT(IF(OR(LINEAS!$U$135=1,LINEAS!$U$135=3),1,-1)*LINEAS!$AH$135*DATOS!$C$67,DATOS!$C$68)))</f>
        <v/>
      </c>
      <c r="E1433" s="42" t="str">
        <f t="shared" si="45"/>
        <v/>
      </c>
    </row>
    <row r="1434" spans="2:5" ht="15" customHeight="1" x14ac:dyDescent="0.3">
      <c r="B1434" s="44" t="str">
        <f>IF(OR(LINEAS!$D$136="",LINEAS!$U$136=0,ABS(IF(OR(LINEAS!$U$136=1,LINEAS!$U$136=3),1,-1)*LINEAS!$AH$136*DATOS!$C$67)&lt;0.00005),"*",LINEAS!$D$136&amp;" UNI "&amp;IF(LINEAS!$U$136&lt;=2,"GZ","GX")&amp;" "&amp;TEXT(IF(OR(LINEAS!$U$136=1,LINEAS!$U$136=3),1,-1)*LINEAS!$AH$136*DATOS!$C$67,DATOS!$C$68))</f>
        <v>22 85 TO 88 UNI GZ 0.3487</v>
      </c>
      <c r="C1434" s="42" t="str">
        <f t="shared" si="44"/>
        <v/>
      </c>
      <c r="D1434" s="44" t="str">
        <f>IF(PRESIONES!$C$22="NO","",IF(OR(LINEAS!$D$136="",LINEAS!$U$136=0,ABS(IF(OR(LINEAS!$U$136=1,LINEAS!$U$136=3),1,-1)*LINEAS!$AH$136*DATOS!$C$67)&lt;0.00005),"*",LINEAS!$D$136&amp;" UNI "&amp;IF(LINEAS!$U$136&lt;=2,"GZ","GX")&amp;" "&amp;TEXT(IF(OR(LINEAS!$U$136=1,LINEAS!$U$136=3),1,-1)*LINEAS!$AH$136*DATOS!$C$67,DATOS!$C$68)))</f>
        <v/>
      </c>
      <c r="E1434" s="42" t="str">
        <f t="shared" si="45"/>
        <v/>
      </c>
    </row>
    <row r="1435" spans="2:5" ht="15" customHeight="1" x14ac:dyDescent="0.3">
      <c r="B1435" s="44" t="str">
        <f>IF(OR(LINEAS!$D$137="",LINEAS!$U$137=0,ABS(IF(OR(LINEAS!$U$137=1,LINEAS!$U$137=3),1,-1)*LINEAS!$AH$137*DATOS!$C$67)&lt;0.00005),"*",LINEAS!$D$137&amp;" UNI "&amp;IF(LINEAS!$U$137&lt;=2,"GZ","GX")&amp;" "&amp;TEXT(IF(OR(LINEAS!$U$137=1,LINEAS!$U$137=3),1,-1)*LINEAS!$AH$137*DATOS!$C$67,DATOS!$C$68))</f>
        <v>*</v>
      </c>
      <c r="C1435" s="42" t="str">
        <f t="shared" si="44"/>
        <v/>
      </c>
      <c r="D1435" s="44" t="str">
        <f>IF(PRESIONES!$C$22="NO","",IF(OR(LINEAS!$D$137="",LINEAS!$U$137=0,ABS(IF(OR(LINEAS!$U$137=1,LINEAS!$U$137=3),1,-1)*LINEAS!$AH$137*DATOS!$C$67)&lt;0.00005),"*",LINEAS!$D$137&amp;" UNI "&amp;IF(LINEAS!$U$137&lt;=2,"GZ","GX")&amp;" "&amp;TEXT(IF(OR(LINEAS!$U$137=1,LINEAS!$U$137=3),1,-1)*LINEAS!$AH$137*DATOS!$C$67,DATOS!$C$68)))</f>
        <v/>
      </c>
      <c r="E1435" s="42" t="str">
        <f t="shared" si="45"/>
        <v/>
      </c>
    </row>
    <row r="1436" spans="2:5" ht="15" customHeight="1" x14ac:dyDescent="0.3">
      <c r="B1436" s="44" t="str">
        <f>IF(OR(LINEAS!$D$138="",LINEAS!$U$138=0,ABS(IF(OR(LINEAS!$U$138=1,LINEAS!$U$138=3),1,-1)*LINEAS!$AH$138*DATOS!$C$67)&lt;0.00005),"*",LINEAS!$D$138&amp;" UNI "&amp;IF(LINEAS!$U$138&lt;=2,"GZ","GX")&amp;" "&amp;TEXT(IF(OR(LINEAS!$U$138=1,LINEAS!$U$138=3),1,-1)*LINEAS!$AH$138*DATOS!$C$67,DATOS!$C$68))</f>
        <v>*</v>
      </c>
      <c r="C1436" s="42" t="str">
        <f t="shared" si="44"/>
        <v/>
      </c>
      <c r="D1436" s="44" t="str">
        <f>IF(PRESIONES!$C$22="NO","",IF(OR(LINEAS!$D$138="",LINEAS!$U$138=0,ABS(IF(OR(LINEAS!$U$138=1,LINEAS!$U$138=3),1,-1)*LINEAS!$AH$138*DATOS!$C$67)&lt;0.00005),"*",LINEAS!$D$138&amp;" UNI "&amp;IF(LINEAS!$U$138&lt;=2,"GZ","GX")&amp;" "&amp;TEXT(IF(OR(LINEAS!$U$138=1,LINEAS!$U$138=3),1,-1)*LINEAS!$AH$138*DATOS!$C$67,DATOS!$C$68)))</f>
        <v/>
      </c>
      <c r="E1436" s="42" t="str">
        <f t="shared" si="45"/>
        <v/>
      </c>
    </row>
    <row r="1437" spans="2:5" ht="15" customHeight="1" x14ac:dyDescent="0.3">
      <c r="B1437" s="44" t="str">
        <f>IF(OR(LINEAS!$D$139="",LINEAS!$U$139=0,ABS(IF(OR(LINEAS!$U$139=1,LINEAS!$U$139=3),1,-1)*LINEAS!$AH$139*DATOS!$C$67)&lt;0.00005),"*",LINEAS!$D$139&amp;" UNI "&amp;IF(LINEAS!$U$139&lt;=2,"GZ","GX")&amp;" "&amp;TEXT(IF(OR(LINEAS!$U$139=1,LINEAS!$U$139=3),1,-1)*LINEAS!$AH$139*DATOS!$C$67,DATOS!$C$68))</f>
        <v>*</v>
      </c>
      <c r="C1437" s="42" t="str">
        <f t="shared" si="44"/>
        <v/>
      </c>
      <c r="D1437" s="44" t="str">
        <f>IF(PRESIONES!$C$22="NO","",IF(OR(LINEAS!$D$139="",LINEAS!$U$139=0,ABS(IF(OR(LINEAS!$U$139=1,LINEAS!$U$139=3),1,-1)*LINEAS!$AH$139*DATOS!$C$67)&lt;0.00005),"*",LINEAS!$D$139&amp;" UNI "&amp;IF(LINEAS!$U$139&lt;=2,"GZ","GX")&amp;" "&amp;TEXT(IF(OR(LINEAS!$U$139=1,LINEAS!$U$139=3),1,-1)*LINEAS!$AH$139*DATOS!$C$67,DATOS!$C$68)))</f>
        <v/>
      </c>
      <c r="E1437" s="42" t="str">
        <f t="shared" si="45"/>
        <v/>
      </c>
    </row>
    <row r="1438" spans="2:5" ht="15" customHeight="1" x14ac:dyDescent="0.3">
      <c r="B1438" s="44" t="str">
        <f>IF(OR(LINEAS!$D$140="",LINEAS!$U$140=0,ABS(IF(OR(LINEAS!$U$140=1,LINEAS!$U$140=3),1,-1)*LINEAS!$AH$140*DATOS!$C$67)&lt;0.00005),"*",LINEAS!$D$140&amp;" UNI "&amp;IF(LINEAS!$U$140&lt;=2,"GZ","GX")&amp;" "&amp;TEXT(IF(OR(LINEAS!$U$140=1,LINEAS!$U$140=3),1,-1)*LINEAS!$AH$140*DATOS!$C$67,DATOS!$C$68))</f>
        <v>*</v>
      </c>
      <c r="C1438" s="42" t="str">
        <f t="shared" si="44"/>
        <v/>
      </c>
      <c r="D1438" s="44" t="str">
        <f>IF(PRESIONES!$C$22="NO","",IF(OR(LINEAS!$D$140="",LINEAS!$U$140=0,ABS(IF(OR(LINEAS!$U$140=1,LINEAS!$U$140=3),1,-1)*LINEAS!$AH$140*DATOS!$C$67)&lt;0.00005),"*",LINEAS!$D$140&amp;" UNI "&amp;IF(LINEAS!$U$140&lt;=2,"GZ","GX")&amp;" "&amp;TEXT(IF(OR(LINEAS!$U$140=1,LINEAS!$U$140=3),1,-1)*LINEAS!$AH$140*DATOS!$C$67,DATOS!$C$68)))</f>
        <v/>
      </c>
      <c r="E1438" s="42" t="str">
        <f t="shared" si="45"/>
        <v/>
      </c>
    </row>
    <row r="1439" spans="2:5" ht="15" customHeight="1" x14ac:dyDescent="0.3">
      <c r="B1439" s="44" t="str">
        <f>IF(OR(LINEAS!$D$141="",LINEAS!$U$141=0,ABS(IF(OR(LINEAS!$U$141=1,LINEAS!$U$141=3),1,-1)*LINEAS!$AH$141*DATOS!$C$67)&lt;0.00005),"*",LINEAS!$D$141&amp;" UNI "&amp;IF(LINEAS!$U$141&lt;=2,"GZ","GX")&amp;" "&amp;TEXT(IF(OR(LINEAS!$U$141=1,LINEAS!$U$141=3),1,-1)*LINEAS!$AH$141*DATOS!$C$67,DATOS!$C$68))</f>
        <v>*</v>
      </c>
      <c r="C1439" s="42" t="str">
        <f t="shared" si="44"/>
        <v/>
      </c>
      <c r="D1439" s="44" t="str">
        <f>IF(PRESIONES!$C$22="NO","",IF(OR(LINEAS!$D$141="",LINEAS!$U$141=0,ABS(IF(OR(LINEAS!$U$141=1,LINEAS!$U$141=3),1,-1)*LINEAS!$AH$141*DATOS!$C$67)&lt;0.00005),"*",LINEAS!$D$141&amp;" UNI "&amp;IF(LINEAS!$U$141&lt;=2,"GZ","GX")&amp;" "&amp;TEXT(IF(OR(LINEAS!$U$141=1,LINEAS!$U$141=3),1,-1)*LINEAS!$AH$141*DATOS!$C$67,DATOS!$C$68)))</f>
        <v/>
      </c>
      <c r="E1439" s="42" t="str">
        <f t="shared" si="45"/>
        <v/>
      </c>
    </row>
    <row r="1440" spans="2:5" ht="15" customHeight="1" x14ac:dyDescent="0.3">
      <c r="B1440" s="44" t="str">
        <f>IF(OR(LINEAS!$D$142="",LINEAS!$U$142=0,ABS(IF(OR(LINEAS!$U$142=1,LINEAS!$U$142=3),1,-1)*LINEAS!$AH$142*DATOS!$C$67)&lt;0.00005),"*",LINEAS!$D$142&amp;" UNI "&amp;IF(LINEAS!$U$142&lt;=2,"GZ","GX")&amp;" "&amp;TEXT(IF(OR(LINEAS!$U$142=1,LINEAS!$U$142=3),1,-1)*LINEAS!$AH$142*DATOS!$C$67,DATOS!$C$68))</f>
        <v>*</v>
      </c>
      <c r="C1440" s="42" t="str">
        <f t="shared" si="44"/>
        <v/>
      </c>
      <c r="D1440" s="44" t="str">
        <f>IF(PRESIONES!$C$22="NO","",IF(OR(LINEAS!$D$142="",LINEAS!$U$142=0,ABS(IF(OR(LINEAS!$U$142=1,LINEAS!$U$142=3),1,-1)*LINEAS!$AH$142*DATOS!$C$67)&lt;0.00005),"*",LINEAS!$D$142&amp;" UNI "&amp;IF(LINEAS!$U$142&lt;=2,"GZ","GX")&amp;" "&amp;TEXT(IF(OR(LINEAS!$U$142=1,LINEAS!$U$142=3),1,-1)*LINEAS!$AH$142*DATOS!$C$67,DATOS!$C$68)))</f>
        <v/>
      </c>
      <c r="E1440" s="42" t="str">
        <f t="shared" si="45"/>
        <v/>
      </c>
    </row>
    <row r="1441" spans="2:5" ht="15" customHeight="1" x14ac:dyDescent="0.3">
      <c r="B1441" s="44" t="str">
        <f>IF(OR(LINEAS!$D$143="",LINEAS!$U$143=0,ABS(IF(OR(LINEAS!$U$143=1,LINEAS!$U$143=3),1,-1)*LINEAS!$AH$143*DATOS!$C$67)&lt;0.00005),"*",LINEAS!$D$143&amp;" UNI "&amp;IF(LINEAS!$U$143&lt;=2,"GZ","GX")&amp;" "&amp;TEXT(IF(OR(LINEAS!$U$143=1,LINEAS!$U$143=3),1,-1)*LINEAS!$AH$143*DATOS!$C$67,DATOS!$C$68))</f>
        <v>*</v>
      </c>
      <c r="C1441" s="42" t="str">
        <f t="shared" si="44"/>
        <v/>
      </c>
      <c r="D1441" s="44" t="str">
        <f>IF(PRESIONES!$C$22="NO","",IF(OR(LINEAS!$D$143="",LINEAS!$U$143=0,ABS(IF(OR(LINEAS!$U$143=1,LINEAS!$U$143=3),1,-1)*LINEAS!$AH$143*DATOS!$C$67)&lt;0.00005),"*",LINEAS!$D$143&amp;" UNI "&amp;IF(LINEAS!$U$143&lt;=2,"GZ","GX")&amp;" "&amp;TEXT(IF(OR(LINEAS!$U$143=1,LINEAS!$U$143=3),1,-1)*LINEAS!$AH$143*DATOS!$C$67,DATOS!$C$68)))</f>
        <v/>
      </c>
      <c r="E1441" s="42" t="str">
        <f t="shared" si="45"/>
        <v/>
      </c>
    </row>
    <row r="1442" spans="2:5" ht="15" customHeight="1" x14ac:dyDescent="0.3">
      <c r="B1442" s="44" t="str">
        <f>IF(OR(LINEAS!$D$144="",LINEAS!$U$144=0,ABS(IF(OR(LINEAS!$U$144=1,LINEAS!$U$144=3),1,-1)*LINEAS!$AH$144*DATOS!$C$67)&lt;0.00005),"*",LINEAS!$D$144&amp;" UNI "&amp;IF(LINEAS!$U$144&lt;=2,"GZ","GX")&amp;" "&amp;TEXT(IF(OR(LINEAS!$U$144=1,LINEAS!$U$144=3),1,-1)*LINEAS!$AH$144*DATOS!$C$67,DATOS!$C$68))</f>
        <v>*</v>
      </c>
      <c r="C1442" s="42" t="str">
        <f t="shared" si="44"/>
        <v/>
      </c>
      <c r="D1442" s="44" t="str">
        <f>IF(PRESIONES!$C$22="NO","",IF(OR(LINEAS!$D$144="",LINEAS!$U$144=0,ABS(IF(OR(LINEAS!$U$144=1,LINEAS!$U$144=3),1,-1)*LINEAS!$AH$144*DATOS!$C$67)&lt;0.00005),"*",LINEAS!$D$144&amp;" UNI "&amp;IF(LINEAS!$U$144&lt;=2,"GZ","GX")&amp;" "&amp;TEXT(IF(OR(LINEAS!$U$144=1,LINEAS!$U$144=3),1,-1)*LINEAS!$AH$144*DATOS!$C$67,DATOS!$C$68)))</f>
        <v/>
      </c>
      <c r="E1442" s="42" t="str">
        <f t="shared" si="45"/>
        <v/>
      </c>
    </row>
    <row r="1443" spans="2:5" ht="15" customHeight="1" x14ac:dyDescent="0.3">
      <c r="B1443" s="44" t="str">
        <f>IF(OR(LINEAS!$D$145="",LINEAS!$U$145=0,ABS(IF(OR(LINEAS!$U$145=1,LINEAS!$U$145=3),1,-1)*LINEAS!$AH$145*DATOS!$C$67)&lt;0.00005),"*",LINEAS!$D$145&amp;" UNI "&amp;IF(LINEAS!$U$145&lt;=2,"GZ","GX")&amp;" "&amp;TEXT(IF(OR(LINEAS!$U$145=1,LINEAS!$U$145=3),1,-1)*LINEAS!$AH$145*DATOS!$C$67,DATOS!$C$68))</f>
        <v>*</v>
      </c>
      <c r="C1443" s="42" t="str">
        <f t="shared" si="44"/>
        <v/>
      </c>
      <c r="D1443" s="44" t="str">
        <f>IF(PRESIONES!$C$22="NO","",IF(OR(LINEAS!$D$145="",LINEAS!$U$145=0,ABS(IF(OR(LINEAS!$U$145=1,LINEAS!$U$145=3),1,-1)*LINEAS!$AH$145*DATOS!$C$67)&lt;0.00005),"*",LINEAS!$D$145&amp;" UNI "&amp;IF(LINEAS!$U$145&lt;=2,"GZ","GX")&amp;" "&amp;TEXT(IF(OR(LINEAS!$U$145=1,LINEAS!$U$145=3),1,-1)*LINEAS!$AH$145*DATOS!$C$67,DATOS!$C$68)))</f>
        <v/>
      </c>
      <c r="E1443" s="42" t="str">
        <f t="shared" si="45"/>
        <v/>
      </c>
    </row>
    <row r="1444" spans="2:5" ht="15" customHeight="1" x14ac:dyDescent="0.3">
      <c r="B1444" s="44" t="str">
        <f>IF(OR(LINEAS!$D$146="",LINEAS!$U$146=0,ABS(IF(OR(LINEAS!$U$146=1,LINEAS!$U$146=3),1,-1)*LINEAS!$AH$146*DATOS!$C$67)&lt;0.00005),"*",LINEAS!$D$146&amp;" UNI "&amp;IF(LINEAS!$U$146&lt;=2,"GZ","GX")&amp;" "&amp;TEXT(IF(OR(LINEAS!$U$146=1,LINEAS!$U$146=3),1,-1)*LINEAS!$AH$146*DATOS!$C$67,DATOS!$C$68))</f>
        <v>*</v>
      </c>
      <c r="C1444" s="42" t="str">
        <f t="shared" si="44"/>
        <v/>
      </c>
      <c r="D1444" s="44" t="str">
        <f>IF(PRESIONES!$C$22="NO","",IF(OR(LINEAS!$D$146="",LINEAS!$U$146=0,ABS(IF(OR(LINEAS!$U$146=1,LINEAS!$U$146=3),1,-1)*LINEAS!$AH$146*DATOS!$C$67)&lt;0.00005),"*",LINEAS!$D$146&amp;" UNI "&amp;IF(LINEAS!$U$146&lt;=2,"GZ","GX")&amp;" "&amp;TEXT(IF(OR(LINEAS!$U$146=1,LINEAS!$U$146=3),1,-1)*LINEAS!$AH$146*DATOS!$C$67,DATOS!$C$68)))</f>
        <v/>
      </c>
      <c r="E1444" s="42" t="str">
        <f t="shared" si="45"/>
        <v/>
      </c>
    </row>
    <row r="1445" spans="2:5" ht="15" customHeight="1" x14ac:dyDescent="0.3">
      <c r="B1445" s="44" t="str">
        <f>IF(OR(LINEAS!$D$147="",LINEAS!$U$147=0,ABS(IF(OR(LINEAS!$U$147=1,LINEAS!$U$147=3),1,-1)*LINEAS!$AH$147*DATOS!$C$67)&lt;0.00005),"*",LINEAS!$D$147&amp;" UNI "&amp;IF(LINEAS!$U$147&lt;=2,"GZ","GX")&amp;" "&amp;TEXT(IF(OR(LINEAS!$U$147=1,LINEAS!$U$147=3),1,-1)*LINEAS!$AH$147*DATOS!$C$67,DATOS!$C$68))</f>
        <v>*</v>
      </c>
      <c r="C1445" s="42" t="str">
        <f t="shared" si="44"/>
        <v/>
      </c>
      <c r="D1445" s="44" t="str">
        <f>IF(PRESIONES!$C$22="NO","",IF(OR(LINEAS!$D$147="",LINEAS!$U$147=0,ABS(IF(OR(LINEAS!$U$147=1,LINEAS!$U$147=3),1,-1)*LINEAS!$AH$147*DATOS!$C$67)&lt;0.00005),"*",LINEAS!$D$147&amp;" UNI "&amp;IF(LINEAS!$U$147&lt;=2,"GZ","GX")&amp;" "&amp;TEXT(IF(OR(LINEAS!$U$147=1,LINEAS!$U$147=3),1,-1)*LINEAS!$AH$147*DATOS!$C$67,DATOS!$C$68)))</f>
        <v/>
      </c>
      <c r="E1445" s="42" t="str">
        <f t="shared" si="45"/>
        <v/>
      </c>
    </row>
    <row r="1446" spans="2:5" ht="15" customHeight="1" x14ac:dyDescent="0.3">
      <c r="B1446" s="44" t="str">
        <f>IF(OR(LINEAS!$D$148="",LINEAS!$U$148=0,ABS(IF(OR(LINEAS!$U$148=1,LINEAS!$U$148=3),1,-1)*LINEAS!$AH$148*DATOS!$C$67)&lt;0.00005),"*",LINEAS!$D$148&amp;" UNI "&amp;IF(LINEAS!$U$148&lt;=2,"GZ","GX")&amp;" "&amp;TEXT(IF(OR(LINEAS!$U$148=1,LINEAS!$U$148=3),1,-1)*LINEAS!$AH$148*DATOS!$C$67,DATOS!$C$68))</f>
        <v>*</v>
      </c>
      <c r="C1446" s="42" t="str">
        <f t="shared" si="44"/>
        <v/>
      </c>
      <c r="D1446" s="44" t="str">
        <f>IF(PRESIONES!$C$22="NO","",IF(OR(LINEAS!$D$148="",LINEAS!$U$148=0,ABS(IF(OR(LINEAS!$U$148=1,LINEAS!$U$148=3),1,-1)*LINEAS!$AH$148*DATOS!$C$67)&lt;0.00005),"*",LINEAS!$D$148&amp;" UNI "&amp;IF(LINEAS!$U$148&lt;=2,"GZ","GX")&amp;" "&amp;TEXT(IF(OR(LINEAS!$U$148=1,LINEAS!$U$148=3),1,-1)*LINEAS!$AH$148*DATOS!$C$67,DATOS!$C$68)))</f>
        <v/>
      </c>
      <c r="E1446" s="42" t="str">
        <f t="shared" si="45"/>
        <v/>
      </c>
    </row>
    <row r="1447" spans="2:5" ht="15" customHeight="1" x14ac:dyDescent="0.3">
      <c r="B1447" s="44" t="str">
        <f>IF(OR(LINEAS!$D$149="",LINEAS!$U$149=0,ABS(IF(OR(LINEAS!$U$149=1,LINEAS!$U$149=3),1,-1)*LINEAS!$AH$149*DATOS!$C$67)&lt;0.00005),"*",LINEAS!$D$149&amp;" UNI "&amp;IF(LINEAS!$U$149&lt;=2,"GZ","GX")&amp;" "&amp;TEXT(IF(OR(LINEAS!$U$149=1,LINEAS!$U$149=3),1,-1)*LINEAS!$AH$149*DATOS!$C$67,DATOS!$C$68))</f>
        <v>*</v>
      </c>
      <c r="C1447" s="42" t="str">
        <f t="shared" si="44"/>
        <v/>
      </c>
      <c r="D1447" s="44" t="str">
        <f>IF(PRESIONES!$C$22="NO","",IF(OR(LINEAS!$D$149="",LINEAS!$U$149=0,ABS(IF(OR(LINEAS!$U$149=1,LINEAS!$U$149=3),1,-1)*LINEAS!$AH$149*DATOS!$C$67)&lt;0.00005),"*",LINEAS!$D$149&amp;" UNI "&amp;IF(LINEAS!$U$149&lt;=2,"GZ","GX")&amp;" "&amp;TEXT(IF(OR(LINEAS!$U$149=1,LINEAS!$U$149=3),1,-1)*LINEAS!$AH$149*DATOS!$C$67,DATOS!$C$68)))</f>
        <v/>
      </c>
      <c r="E1447" s="42" t="str">
        <f t="shared" si="45"/>
        <v/>
      </c>
    </row>
    <row r="1448" spans="2:5" ht="15" customHeight="1" x14ac:dyDescent="0.3">
      <c r="B1448" s="44" t="str">
        <f>IF(OR(LINEAS!$D$150="",LINEAS!$U$150=0,ABS(IF(OR(LINEAS!$U$150=1,LINEAS!$U$150=3),1,-1)*LINEAS!$AH$150*DATOS!$C$67)&lt;0.00005),"*",LINEAS!$D$150&amp;" UNI "&amp;IF(LINEAS!$U$150&lt;=2,"GZ","GX")&amp;" "&amp;TEXT(IF(OR(LINEAS!$U$150=1,LINEAS!$U$150=3),1,-1)*LINEAS!$AH$150*DATOS!$C$67,DATOS!$C$68))</f>
        <v>*</v>
      </c>
      <c r="C1448" s="42" t="str">
        <f t="shared" si="44"/>
        <v/>
      </c>
      <c r="D1448" s="44" t="str">
        <f>IF(PRESIONES!$C$22="NO","",IF(OR(LINEAS!$D$150="",LINEAS!$U$150=0,ABS(IF(OR(LINEAS!$U$150=1,LINEAS!$U$150=3),1,-1)*LINEAS!$AH$150*DATOS!$C$67)&lt;0.00005),"*",LINEAS!$D$150&amp;" UNI "&amp;IF(LINEAS!$U$150&lt;=2,"GZ","GX")&amp;" "&amp;TEXT(IF(OR(LINEAS!$U$150=1,LINEAS!$U$150=3),1,-1)*LINEAS!$AH$150*DATOS!$C$67,DATOS!$C$68)))</f>
        <v/>
      </c>
      <c r="E1448" s="42" t="str">
        <f t="shared" si="45"/>
        <v/>
      </c>
    </row>
    <row r="1449" spans="2:5" ht="15" customHeight="1" x14ac:dyDescent="0.3">
      <c r="B1449" s="44" t="str">
        <f>IF(OR(LINEAS!$D$151="",LINEAS!$U$151=0,ABS(IF(OR(LINEAS!$U$151=1,LINEAS!$U$151=3),1,-1)*LINEAS!$AH$151*DATOS!$C$67)&lt;0.00005),"*",LINEAS!$D$151&amp;" UNI "&amp;IF(LINEAS!$U$151&lt;=2,"GZ","GX")&amp;" "&amp;TEXT(IF(OR(LINEAS!$U$151=1,LINEAS!$U$151=3),1,-1)*LINEAS!$AH$151*DATOS!$C$67,DATOS!$C$68))</f>
        <v>*</v>
      </c>
      <c r="C1449" s="42" t="str">
        <f t="shared" si="44"/>
        <v/>
      </c>
      <c r="D1449" s="44" t="str">
        <f>IF(PRESIONES!$C$22="NO","",IF(OR(LINEAS!$D$151="",LINEAS!$U$151=0,ABS(IF(OR(LINEAS!$U$151=1,LINEAS!$U$151=3),1,-1)*LINEAS!$AH$151*DATOS!$C$67)&lt;0.00005),"*",LINEAS!$D$151&amp;" UNI "&amp;IF(LINEAS!$U$151&lt;=2,"GZ","GX")&amp;" "&amp;TEXT(IF(OR(LINEAS!$U$151=1,LINEAS!$U$151=3),1,-1)*LINEAS!$AH$151*DATOS!$C$67,DATOS!$C$68)))</f>
        <v/>
      </c>
      <c r="E1449" s="42" t="str">
        <f t="shared" si="45"/>
        <v/>
      </c>
    </row>
    <row r="1450" spans="2:5" ht="15" customHeight="1" x14ac:dyDescent="0.3">
      <c r="B1450" s="44" t="str">
        <f>IF(OR(LINEAS!$D$152="",LINEAS!$U$152=0,ABS(IF(OR(LINEAS!$U$152=1,LINEAS!$U$152=3),1,-1)*LINEAS!$AH$152*DATOS!$C$67)&lt;0.00005),"*",LINEAS!$D$152&amp;" UNI "&amp;IF(LINEAS!$U$152&lt;=2,"GZ","GX")&amp;" "&amp;TEXT(IF(OR(LINEAS!$U$152=1,LINEAS!$U$152=3),1,-1)*LINEAS!$AH$152*DATOS!$C$67,DATOS!$C$68))</f>
        <v>*</v>
      </c>
      <c r="C1450" s="42" t="str">
        <f t="shared" si="44"/>
        <v/>
      </c>
      <c r="D1450" s="44" t="str">
        <f>IF(PRESIONES!$C$22="NO","",IF(OR(LINEAS!$D$152="",LINEAS!$U$152=0,ABS(IF(OR(LINEAS!$U$152=1,LINEAS!$U$152=3),1,-1)*LINEAS!$AH$152*DATOS!$C$67)&lt;0.00005),"*",LINEAS!$D$152&amp;" UNI "&amp;IF(LINEAS!$U$152&lt;=2,"GZ","GX")&amp;" "&amp;TEXT(IF(OR(LINEAS!$U$152=1,LINEAS!$U$152=3),1,-1)*LINEAS!$AH$152*DATOS!$C$67,DATOS!$C$68)))</f>
        <v/>
      </c>
      <c r="E1450" s="42" t="str">
        <f t="shared" si="45"/>
        <v/>
      </c>
    </row>
    <row r="1451" spans="2:5" ht="15" customHeight="1" x14ac:dyDescent="0.3">
      <c r="B1451" s="44" t="str">
        <f>IF(OR(LINEAS!$D$153="",LINEAS!$U$153=0,ABS(IF(OR(LINEAS!$U$153=1,LINEAS!$U$153=3),1,-1)*LINEAS!$AH$153*DATOS!$C$67)&lt;0.00005),"*",LINEAS!$D$153&amp;" UNI "&amp;IF(LINEAS!$U$153&lt;=2,"GZ","GX")&amp;" "&amp;TEXT(IF(OR(LINEAS!$U$153=1,LINEAS!$U$153=3),1,-1)*LINEAS!$AH$153*DATOS!$C$67,DATOS!$C$68))</f>
        <v>*</v>
      </c>
      <c r="C1451" s="42" t="str">
        <f t="shared" si="44"/>
        <v/>
      </c>
      <c r="D1451" s="44" t="str">
        <f>IF(PRESIONES!$C$22="NO","",IF(OR(LINEAS!$D$153="",LINEAS!$U$153=0,ABS(IF(OR(LINEAS!$U$153=1,LINEAS!$U$153=3),1,-1)*LINEAS!$AH$153*DATOS!$C$67)&lt;0.00005),"*",LINEAS!$D$153&amp;" UNI "&amp;IF(LINEAS!$U$153&lt;=2,"GZ","GX")&amp;" "&amp;TEXT(IF(OR(LINEAS!$U$153=1,LINEAS!$U$153=3),1,-1)*LINEAS!$AH$153*DATOS!$C$67,DATOS!$C$68)))</f>
        <v/>
      </c>
      <c r="E1451" s="42" t="str">
        <f t="shared" si="45"/>
        <v/>
      </c>
    </row>
    <row r="1452" spans="2:5" ht="15" customHeight="1" x14ac:dyDescent="0.3">
      <c r="B1452" s="44" t="str">
        <f>IF(OR(LINEAS!$D$154="",LINEAS!$U$154=0,ABS(IF(OR(LINEAS!$U$154=1,LINEAS!$U$154=3),1,-1)*LINEAS!$AH$154*DATOS!$C$67)&lt;0.00005),"*",LINEAS!$D$154&amp;" UNI "&amp;IF(LINEAS!$U$154&lt;=2,"GZ","GX")&amp;" "&amp;TEXT(IF(OR(LINEAS!$U$154=1,LINEAS!$U$154=3),1,-1)*LINEAS!$AH$154*DATOS!$C$67,DATOS!$C$68))</f>
        <v>*</v>
      </c>
      <c r="C1452" s="42" t="str">
        <f t="shared" si="44"/>
        <v/>
      </c>
      <c r="D1452" s="44" t="str">
        <f>IF(PRESIONES!$C$22="NO","",IF(OR(LINEAS!$D$154="",LINEAS!$U$154=0,ABS(IF(OR(LINEAS!$U$154=1,LINEAS!$U$154=3),1,-1)*LINEAS!$AH$154*DATOS!$C$67)&lt;0.00005),"*",LINEAS!$D$154&amp;" UNI "&amp;IF(LINEAS!$U$154&lt;=2,"GZ","GX")&amp;" "&amp;TEXT(IF(OR(LINEAS!$U$154=1,LINEAS!$U$154=3),1,-1)*LINEAS!$AH$154*DATOS!$C$67,DATOS!$C$68)))</f>
        <v/>
      </c>
      <c r="E1452" s="42" t="str">
        <f t="shared" si="45"/>
        <v/>
      </c>
    </row>
    <row r="1453" spans="2:5" ht="15" customHeight="1" x14ac:dyDescent="0.3">
      <c r="B1453" s="44" t="str">
        <f>IF(OR(LINEAS!$D$155="",LINEAS!$U$155=0,ABS(IF(OR(LINEAS!$U$155=1,LINEAS!$U$155=3),1,-1)*LINEAS!$AH$155*DATOS!$C$67)&lt;0.00005),"*",LINEAS!$D$155&amp;" UNI "&amp;IF(LINEAS!$U$155&lt;=2,"GZ","GX")&amp;" "&amp;TEXT(IF(OR(LINEAS!$U$155=1,LINEAS!$U$155=3),1,-1)*LINEAS!$AH$155*DATOS!$C$67,DATOS!$C$68))</f>
        <v>*</v>
      </c>
      <c r="C1453" s="42" t="str">
        <f t="shared" si="44"/>
        <v/>
      </c>
      <c r="D1453" s="44" t="str">
        <f>IF(PRESIONES!$C$22="NO","",IF(OR(LINEAS!$D$155="",LINEAS!$U$155=0,ABS(IF(OR(LINEAS!$U$155=1,LINEAS!$U$155=3),1,-1)*LINEAS!$AH$155*DATOS!$C$67)&lt;0.00005),"*",LINEAS!$D$155&amp;" UNI "&amp;IF(LINEAS!$U$155&lt;=2,"GZ","GX")&amp;" "&amp;TEXT(IF(OR(LINEAS!$U$155=1,LINEAS!$U$155=3),1,-1)*LINEAS!$AH$155*DATOS!$C$67,DATOS!$C$68)))</f>
        <v/>
      </c>
      <c r="E1453" s="42" t="str">
        <f t="shared" si="45"/>
        <v/>
      </c>
    </row>
    <row r="1454" spans="2:5" ht="15" customHeight="1" x14ac:dyDescent="0.3">
      <c r="B1454" s="44" t="str">
        <f>IF(OR(LINEAS!$D$156="",LINEAS!$U$156=0,ABS(IF(OR(LINEAS!$U$156=1,LINEAS!$U$156=3),1,-1)*LINEAS!$AH$156*DATOS!$C$67)&lt;0.00005),"*",LINEAS!$D$156&amp;" UNI "&amp;IF(LINEAS!$U$156&lt;=2,"GZ","GX")&amp;" "&amp;TEXT(IF(OR(LINEAS!$U$156=1,LINEAS!$U$156=3),1,-1)*LINEAS!$AH$156*DATOS!$C$67,DATOS!$C$68))</f>
        <v>*</v>
      </c>
      <c r="C1454" s="42" t="str">
        <f t="shared" si="44"/>
        <v/>
      </c>
      <c r="D1454" s="44" t="str">
        <f>IF(PRESIONES!$C$22="NO","",IF(OR(LINEAS!$D$156="",LINEAS!$U$156=0,ABS(IF(OR(LINEAS!$U$156=1,LINEAS!$U$156=3),1,-1)*LINEAS!$AH$156*DATOS!$C$67)&lt;0.00005),"*",LINEAS!$D$156&amp;" UNI "&amp;IF(LINEAS!$U$156&lt;=2,"GZ","GX")&amp;" "&amp;TEXT(IF(OR(LINEAS!$U$156=1,LINEAS!$U$156=3),1,-1)*LINEAS!$AH$156*DATOS!$C$67,DATOS!$C$68)))</f>
        <v/>
      </c>
      <c r="E1454" s="42" t="str">
        <f t="shared" si="45"/>
        <v/>
      </c>
    </row>
    <row r="1455" spans="2:5" ht="15" customHeight="1" x14ac:dyDescent="0.3">
      <c r="B1455" s="44" t="str">
        <f>IF(OR(LINEAS!$D$157="",LINEAS!$U$157=0,ABS(IF(OR(LINEAS!$U$157=1,LINEAS!$U$157=3),1,-1)*LINEAS!$AH$157*DATOS!$C$67)&lt;0.00005),"*",LINEAS!$D$157&amp;" UNI "&amp;IF(LINEAS!$U$157&lt;=2,"GZ","GX")&amp;" "&amp;TEXT(IF(OR(LINEAS!$U$157=1,LINEAS!$U$157=3),1,-1)*LINEAS!$AH$157*DATOS!$C$67,DATOS!$C$68))</f>
        <v>*</v>
      </c>
      <c r="C1455" s="42" t="str">
        <f t="shared" si="44"/>
        <v/>
      </c>
      <c r="D1455" s="44" t="str">
        <f>IF(PRESIONES!$C$22="NO","",IF(OR(LINEAS!$D$157="",LINEAS!$U$157=0,ABS(IF(OR(LINEAS!$U$157=1,LINEAS!$U$157=3),1,-1)*LINEAS!$AH$157*DATOS!$C$67)&lt;0.00005),"*",LINEAS!$D$157&amp;" UNI "&amp;IF(LINEAS!$U$157&lt;=2,"GZ","GX")&amp;" "&amp;TEXT(IF(OR(LINEAS!$U$157=1,LINEAS!$U$157=3),1,-1)*LINEAS!$AH$157*DATOS!$C$67,DATOS!$C$68)))</f>
        <v/>
      </c>
      <c r="E1455" s="42" t="str">
        <f t="shared" si="45"/>
        <v/>
      </c>
    </row>
    <row r="1456" spans="2:5" ht="15" customHeight="1" x14ac:dyDescent="0.3">
      <c r="B1456" s="44" t="str">
        <f>IF(OR(LINEAS!$D$158="",LINEAS!$U$158=0,ABS(IF(OR(LINEAS!$U$158=1,LINEAS!$U$158=3),1,-1)*LINEAS!$AH$158*DATOS!$C$67)&lt;0.00005),"*",LINEAS!$D$158&amp;" UNI "&amp;IF(LINEAS!$U$158&lt;=2,"GZ","GX")&amp;" "&amp;TEXT(IF(OR(LINEAS!$U$158=1,LINEAS!$U$158=3),1,-1)*LINEAS!$AH$158*DATOS!$C$67,DATOS!$C$68))</f>
        <v>*</v>
      </c>
      <c r="C1456" s="42" t="str">
        <f t="shared" si="44"/>
        <v/>
      </c>
      <c r="D1456" s="44" t="str">
        <f>IF(PRESIONES!$C$22="NO","",IF(OR(LINEAS!$D$158="",LINEAS!$U$158=0,ABS(IF(OR(LINEAS!$U$158=1,LINEAS!$U$158=3),1,-1)*LINEAS!$AH$158*DATOS!$C$67)&lt;0.00005),"*",LINEAS!$D$158&amp;" UNI "&amp;IF(LINEAS!$U$158&lt;=2,"GZ","GX")&amp;" "&amp;TEXT(IF(OR(LINEAS!$U$158=1,LINEAS!$U$158=3),1,-1)*LINEAS!$AH$158*DATOS!$C$67,DATOS!$C$68)))</f>
        <v/>
      </c>
      <c r="E1456" s="42" t="str">
        <f t="shared" si="45"/>
        <v/>
      </c>
    </row>
    <row r="1457" spans="2:5" ht="15" customHeight="1" x14ac:dyDescent="0.3">
      <c r="B1457" s="44" t="str">
        <f>IF(OR(LINEAS!$D$159="",LINEAS!$U$159=0,ABS(IF(OR(LINEAS!$U$159=1,LINEAS!$U$159=3),1,-1)*LINEAS!$AH$159*DATOS!$C$67)&lt;0.00005),"*",LINEAS!$D$159&amp;" UNI "&amp;IF(LINEAS!$U$159&lt;=2,"GZ","GX")&amp;" "&amp;TEXT(IF(OR(LINEAS!$U$159=1,LINEAS!$U$159=3),1,-1)*LINEAS!$AH$159*DATOS!$C$67,DATOS!$C$68))</f>
        <v>*</v>
      </c>
      <c r="C1457" s="42" t="str">
        <f t="shared" si="44"/>
        <v/>
      </c>
      <c r="D1457" s="44" t="str">
        <f>IF(PRESIONES!$C$22="NO","",IF(OR(LINEAS!$D$159="",LINEAS!$U$159=0,ABS(IF(OR(LINEAS!$U$159=1,LINEAS!$U$159=3),1,-1)*LINEAS!$AH$159*DATOS!$C$67)&lt;0.00005),"*",LINEAS!$D$159&amp;" UNI "&amp;IF(LINEAS!$U$159&lt;=2,"GZ","GX")&amp;" "&amp;TEXT(IF(OR(LINEAS!$U$159=1,LINEAS!$U$159=3),1,-1)*LINEAS!$AH$159*DATOS!$C$67,DATOS!$C$68)))</f>
        <v/>
      </c>
      <c r="E1457" s="42" t="str">
        <f t="shared" si="45"/>
        <v/>
      </c>
    </row>
    <row r="1458" spans="2:5" ht="15" customHeight="1" x14ac:dyDescent="0.3">
      <c r="B1458" s="44" t="str">
        <f>IF(OR(LINEAS!$D$160="",LINEAS!$U$160=0,ABS(IF(OR(LINEAS!$U$160=1,LINEAS!$U$160=3),1,-1)*LINEAS!$AH$160*DATOS!$C$67)&lt;0.00005),"*",LINEAS!$D$160&amp;" UNI "&amp;IF(LINEAS!$U$160&lt;=2,"GZ","GX")&amp;" "&amp;TEXT(IF(OR(LINEAS!$U$160=1,LINEAS!$U$160=3),1,-1)*LINEAS!$AH$160*DATOS!$C$67,DATOS!$C$68))</f>
        <v>*</v>
      </c>
      <c r="C1458" s="42" t="str">
        <f t="shared" si="44"/>
        <v/>
      </c>
      <c r="D1458" s="44" t="str">
        <f>IF(PRESIONES!$C$22="NO","",IF(OR(LINEAS!$D$160="",LINEAS!$U$160=0,ABS(IF(OR(LINEAS!$U$160=1,LINEAS!$U$160=3),1,-1)*LINEAS!$AH$160*DATOS!$C$67)&lt;0.00005),"*",LINEAS!$D$160&amp;" UNI "&amp;IF(LINEAS!$U$160&lt;=2,"GZ","GX")&amp;" "&amp;TEXT(IF(OR(LINEAS!$U$160=1,LINEAS!$U$160=3),1,-1)*LINEAS!$AH$160*DATOS!$C$67,DATOS!$C$68)))</f>
        <v/>
      </c>
      <c r="E1458" s="42" t="str">
        <f t="shared" si="45"/>
        <v/>
      </c>
    </row>
    <row r="1459" spans="2:5" ht="15" customHeight="1" x14ac:dyDescent="0.3">
      <c r="B1459" s="44" t="str">
        <f>IF(OR(LINEAS!$D$161="",LINEAS!$U$161=0,ABS(IF(OR(LINEAS!$U$161=1,LINEAS!$U$161=3),1,-1)*LINEAS!$AH$161*DATOS!$C$67)&lt;0.00005),"*",LINEAS!$D$161&amp;" UNI "&amp;IF(LINEAS!$U$161&lt;=2,"GZ","GX")&amp;" "&amp;TEXT(IF(OR(LINEAS!$U$161=1,LINEAS!$U$161=3),1,-1)*LINEAS!$AH$161*DATOS!$C$67,DATOS!$C$68))</f>
        <v>*</v>
      </c>
      <c r="C1459" s="42" t="str">
        <f t="shared" si="44"/>
        <v/>
      </c>
      <c r="D1459" s="44" t="str">
        <f>IF(PRESIONES!$C$22="NO","",IF(OR(LINEAS!$D$161="",LINEAS!$U$161=0,ABS(IF(OR(LINEAS!$U$161=1,LINEAS!$U$161=3),1,-1)*LINEAS!$AH$161*DATOS!$C$67)&lt;0.00005),"*",LINEAS!$D$161&amp;" UNI "&amp;IF(LINEAS!$U$161&lt;=2,"GZ","GX")&amp;" "&amp;TEXT(IF(OR(LINEAS!$U$161=1,LINEAS!$U$161=3),1,-1)*LINEAS!$AH$161*DATOS!$C$67,DATOS!$C$68)))</f>
        <v/>
      </c>
      <c r="E1459" s="42" t="str">
        <f t="shared" si="45"/>
        <v/>
      </c>
    </row>
    <row r="1460" spans="2:5" ht="15" customHeight="1" x14ac:dyDescent="0.3">
      <c r="B1460" s="44" t="str">
        <f>IF(OR(LINEAS!$D$162="",LINEAS!$U$162=0,ABS(IF(OR(LINEAS!$U$162=1,LINEAS!$U$162=3),1,-1)*LINEAS!$AH$162*DATOS!$C$67)&lt;0.00005),"*",LINEAS!$D$162&amp;" UNI "&amp;IF(LINEAS!$U$162&lt;=2,"GZ","GX")&amp;" "&amp;TEXT(IF(OR(LINEAS!$U$162=1,LINEAS!$U$162=3),1,-1)*LINEAS!$AH$162*DATOS!$C$67,DATOS!$C$68))</f>
        <v>*</v>
      </c>
      <c r="C1460" s="42" t="str">
        <f t="shared" si="44"/>
        <v/>
      </c>
      <c r="D1460" s="44" t="str">
        <f>IF(PRESIONES!$C$22="NO","",IF(OR(LINEAS!$D$162="",LINEAS!$U$162=0,ABS(IF(OR(LINEAS!$U$162=1,LINEAS!$U$162=3),1,-1)*LINEAS!$AH$162*DATOS!$C$67)&lt;0.00005),"*",LINEAS!$D$162&amp;" UNI "&amp;IF(LINEAS!$U$162&lt;=2,"GZ","GX")&amp;" "&amp;TEXT(IF(OR(LINEAS!$U$162=1,LINEAS!$U$162=3),1,-1)*LINEAS!$AH$162*DATOS!$C$67,DATOS!$C$68)))</f>
        <v/>
      </c>
      <c r="E1460" s="42" t="str">
        <f t="shared" si="45"/>
        <v/>
      </c>
    </row>
    <row r="1461" spans="2:5" ht="15" customHeight="1" x14ac:dyDescent="0.3">
      <c r="B1461" s="44" t="str">
        <f>IF(OR(LINEAS!$D$163="",LINEAS!$U$163=0,ABS(IF(OR(LINEAS!$U$163=1,LINEAS!$U$163=3),1,-1)*LINEAS!$AH$163*DATOS!$C$67)&lt;0.00005),"*",LINEAS!$D$163&amp;" UNI "&amp;IF(LINEAS!$U$163&lt;=2,"GZ","GX")&amp;" "&amp;TEXT(IF(OR(LINEAS!$U$163=1,LINEAS!$U$163=3),1,-1)*LINEAS!$AH$163*DATOS!$C$67,DATOS!$C$68))</f>
        <v>*</v>
      </c>
      <c r="C1461" s="42" t="str">
        <f t="shared" si="44"/>
        <v/>
      </c>
      <c r="D1461" s="44" t="str">
        <f>IF(PRESIONES!$C$22="NO","",IF(OR(LINEAS!$D$163="",LINEAS!$U$163=0,ABS(IF(OR(LINEAS!$U$163=1,LINEAS!$U$163=3),1,-1)*LINEAS!$AH$163*DATOS!$C$67)&lt;0.00005),"*",LINEAS!$D$163&amp;" UNI "&amp;IF(LINEAS!$U$163&lt;=2,"GZ","GX")&amp;" "&amp;TEXT(IF(OR(LINEAS!$U$163=1,LINEAS!$U$163=3),1,-1)*LINEAS!$AH$163*DATOS!$C$67,DATOS!$C$68)))</f>
        <v/>
      </c>
      <c r="E1461" s="42" t="str">
        <f t="shared" si="45"/>
        <v/>
      </c>
    </row>
    <row r="1462" spans="2:5" ht="15" customHeight="1" x14ac:dyDescent="0.3">
      <c r="B1462" s="44" t="str">
        <f>IF(OR(LINEAS!$D$164="",LINEAS!$U$164=0,ABS(IF(OR(LINEAS!$U$164=1,LINEAS!$U$164=3),1,-1)*LINEAS!$AH$164*DATOS!$C$67)&lt;0.00005),"*",LINEAS!$D$164&amp;" UNI "&amp;IF(LINEAS!$U$164&lt;=2,"GZ","GX")&amp;" "&amp;TEXT(IF(OR(LINEAS!$U$164=1,LINEAS!$U$164=3),1,-1)*LINEAS!$AH$164*DATOS!$C$67,DATOS!$C$68))</f>
        <v>*</v>
      </c>
      <c r="C1462" s="42" t="str">
        <f t="shared" si="44"/>
        <v/>
      </c>
      <c r="D1462" s="44" t="str">
        <f>IF(PRESIONES!$C$22="NO","",IF(OR(LINEAS!$D$164="",LINEAS!$U$164=0,ABS(IF(OR(LINEAS!$U$164=1,LINEAS!$U$164=3),1,-1)*LINEAS!$AH$164*DATOS!$C$67)&lt;0.00005),"*",LINEAS!$D$164&amp;" UNI "&amp;IF(LINEAS!$U$164&lt;=2,"GZ","GX")&amp;" "&amp;TEXT(IF(OR(LINEAS!$U$164=1,LINEAS!$U$164=3),1,-1)*LINEAS!$AH$164*DATOS!$C$67,DATOS!$C$68)))</f>
        <v/>
      </c>
      <c r="E1462" s="42" t="str">
        <f t="shared" si="45"/>
        <v/>
      </c>
    </row>
    <row r="1463" spans="2:5" ht="15" customHeight="1" x14ac:dyDescent="0.3">
      <c r="B1463" s="44" t="str">
        <f>IF(OR(LINEAS!$D$165="",LINEAS!$U$165=0,ABS(IF(OR(LINEAS!$U$165=1,LINEAS!$U$165=3),1,-1)*LINEAS!$AH$165*DATOS!$C$67)&lt;0.00005),"*",LINEAS!$D$165&amp;" UNI "&amp;IF(LINEAS!$U$165&lt;=2,"GZ","GX")&amp;" "&amp;TEXT(IF(OR(LINEAS!$U$165=1,LINEAS!$U$165=3),1,-1)*LINEAS!$AH$165*DATOS!$C$67,DATOS!$C$68))</f>
        <v>*</v>
      </c>
      <c r="C1463" s="42" t="str">
        <f t="shared" si="44"/>
        <v/>
      </c>
      <c r="D1463" s="44" t="str">
        <f>IF(PRESIONES!$C$22="NO","",IF(OR(LINEAS!$D$165="",LINEAS!$U$165=0,ABS(IF(OR(LINEAS!$U$165=1,LINEAS!$U$165=3),1,-1)*LINEAS!$AH$165*DATOS!$C$67)&lt;0.00005),"*",LINEAS!$D$165&amp;" UNI "&amp;IF(LINEAS!$U$165&lt;=2,"GZ","GX")&amp;" "&amp;TEXT(IF(OR(LINEAS!$U$165=1,LINEAS!$U$165=3),1,-1)*LINEAS!$AH$165*DATOS!$C$67,DATOS!$C$68)))</f>
        <v/>
      </c>
      <c r="E1463" s="42" t="str">
        <f t="shared" si="45"/>
        <v/>
      </c>
    </row>
    <row r="1464" spans="2:5" ht="15" customHeight="1" x14ac:dyDescent="0.3">
      <c r="B1464" s="44" t="str">
        <f>IF(OR(LINEAS!$D$166="",LINEAS!$U$166=0,ABS(IF(OR(LINEAS!$U$166=1,LINEAS!$U$166=3),1,-1)*LINEAS!$AH$166*DATOS!$C$67)&lt;0.00005),"*",LINEAS!$D$166&amp;" UNI "&amp;IF(LINEAS!$U$166&lt;=2,"GZ","GX")&amp;" "&amp;TEXT(IF(OR(LINEAS!$U$166=1,LINEAS!$U$166=3),1,-1)*LINEAS!$AH$166*DATOS!$C$67,DATOS!$C$68))</f>
        <v>*</v>
      </c>
      <c r="C1464" s="42" t="str">
        <f t="shared" si="44"/>
        <v/>
      </c>
      <c r="D1464" s="44" t="str">
        <f>IF(PRESIONES!$C$22="NO","",IF(OR(LINEAS!$D$166="",LINEAS!$U$166=0,ABS(IF(OR(LINEAS!$U$166=1,LINEAS!$U$166=3),1,-1)*LINEAS!$AH$166*DATOS!$C$67)&lt;0.00005),"*",LINEAS!$D$166&amp;" UNI "&amp;IF(LINEAS!$U$166&lt;=2,"GZ","GX")&amp;" "&amp;TEXT(IF(OR(LINEAS!$U$166=1,LINEAS!$U$166=3),1,-1)*LINEAS!$AH$166*DATOS!$C$67,DATOS!$C$68)))</f>
        <v/>
      </c>
      <c r="E1464" s="42" t="str">
        <f t="shared" si="45"/>
        <v/>
      </c>
    </row>
    <row r="1465" spans="2:5" ht="15" customHeight="1" x14ac:dyDescent="0.3">
      <c r="B1465" s="44" t="str">
        <f>IF(OR(LINEAS!$D$167="",LINEAS!$U$167=0,ABS(IF(OR(LINEAS!$U$167=1,LINEAS!$U$167=3),1,-1)*LINEAS!$AH$167*DATOS!$C$67)&lt;0.00005),"*",LINEAS!$D$167&amp;" UNI "&amp;IF(LINEAS!$U$167&lt;=2,"GZ","GX")&amp;" "&amp;TEXT(IF(OR(LINEAS!$U$167=1,LINEAS!$U$167=3),1,-1)*LINEAS!$AH$167*DATOS!$C$67,DATOS!$C$68))</f>
        <v>*</v>
      </c>
      <c r="C1465" s="42" t="str">
        <f t="shared" si="44"/>
        <v/>
      </c>
      <c r="D1465" s="44" t="str">
        <f>IF(PRESIONES!$C$22="NO","",IF(OR(LINEAS!$D$167="",LINEAS!$U$167=0,ABS(IF(OR(LINEAS!$U$167=1,LINEAS!$U$167=3),1,-1)*LINEAS!$AH$167*DATOS!$C$67)&lt;0.00005),"*",LINEAS!$D$167&amp;" UNI "&amp;IF(LINEAS!$U$167&lt;=2,"GZ","GX")&amp;" "&amp;TEXT(IF(OR(LINEAS!$U$167=1,LINEAS!$U$167=3),1,-1)*LINEAS!$AH$167*DATOS!$C$67,DATOS!$C$68)))</f>
        <v/>
      </c>
      <c r="E1465" s="42" t="str">
        <f t="shared" si="45"/>
        <v/>
      </c>
    </row>
    <row r="1466" spans="2:5" ht="15" customHeight="1" x14ac:dyDescent="0.3">
      <c r="B1466" s="44" t="str">
        <f>IF(OR(LINEAS!$D$168="",LINEAS!$U$168=0,ABS(IF(OR(LINEAS!$U$168=1,LINEAS!$U$168=3),1,-1)*LINEAS!$AH$168*DATOS!$C$67)&lt;0.00005),"*",LINEAS!$D$168&amp;" UNI "&amp;IF(LINEAS!$U$168&lt;=2,"GZ","GX")&amp;" "&amp;TEXT(IF(OR(LINEAS!$U$168=1,LINEAS!$U$168=3),1,-1)*LINEAS!$AH$168*DATOS!$C$67,DATOS!$C$68))</f>
        <v>*</v>
      </c>
      <c r="C1466" s="42" t="str">
        <f t="shared" si="44"/>
        <v/>
      </c>
      <c r="D1466" s="44" t="str">
        <f>IF(PRESIONES!$C$22="NO","",IF(OR(LINEAS!$D$168="",LINEAS!$U$168=0,ABS(IF(OR(LINEAS!$U$168=1,LINEAS!$U$168=3),1,-1)*LINEAS!$AH$168*DATOS!$C$67)&lt;0.00005),"*",LINEAS!$D$168&amp;" UNI "&amp;IF(LINEAS!$U$168&lt;=2,"GZ","GX")&amp;" "&amp;TEXT(IF(OR(LINEAS!$U$168=1,LINEAS!$U$168=3),1,-1)*LINEAS!$AH$168*DATOS!$C$67,DATOS!$C$68)))</f>
        <v/>
      </c>
      <c r="E1466" s="42" t="str">
        <f t="shared" si="45"/>
        <v/>
      </c>
    </row>
    <row r="1467" spans="2:5" ht="15" customHeight="1" x14ac:dyDescent="0.3">
      <c r="B1467" s="44" t="str">
        <f>IF(OR(LINEAS!$D$169="",LINEAS!$U$169=0,ABS(IF(OR(LINEAS!$U$169=1,LINEAS!$U$169=3),1,-1)*LINEAS!$AH$169*DATOS!$C$67)&lt;0.00005),"*",LINEAS!$D$169&amp;" UNI "&amp;IF(LINEAS!$U$169&lt;=2,"GZ","GX")&amp;" "&amp;TEXT(IF(OR(LINEAS!$U$169=1,LINEAS!$U$169=3),1,-1)*LINEAS!$AH$169*DATOS!$C$67,DATOS!$C$68))</f>
        <v>*</v>
      </c>
      <c r="C1467" s="42" t="str">
        <f t="shared" si="44"/>
        <v/>
      </c>
      <c r="D1467" s="44" t="str">
        <f>IF(PRESIONES!$C$22="NO","",IF(OR(LINEAS!$D$169="",LINEAS!$U$169=0,ABS(IF(OR(LINEAS!$U$169=1,LINEAS!$U$169=3),1,-1)*LINEAS!$AH$169*DATOS!$C$67)&lt;0.00005),"*",LINEAS!$D$169&amp;" UNI "&amp;IF(LINEAS!$U$169&lt;=2,"GZ","GX")&amp;" "&amp;TEXT(IF(OR(LINEAS!$U$169=1,LINEAS!$U$169=3),1,-1)*LINEAS!$AH$169*DATOS!$C$67,DATOS!$C$68)))</f>
        <v/>
      </c>
      <c r="E1467" s="42" t="str">
        <f t="shared" si="45"/>
        <v/>
      </c>
    </row>
    <row r="1468" spans="2:5" ht="15" customHeight="1" x14ac:dyDescent="0.3">
      <c r="B1468" s="44" t="str">
        <f>IF(OR(LINEAS!$D$170="",LINEAS!$U$170=0,ABS(IF(OR(LINEAS!$U$170=1,LINEAS!$U$170=3),1,-1)*LINEAS!$AH$170*DATOS!$C$67)&lt;0.00005),"*",LINEAS!$D$170&amp;" UNI "&amp;IF(LINEAS!$U$170&lt;=2,"GZ","GX")&amp;" "&amp;TEXT(IF(OR(LINEAS!$U$170=1,LINEAS!$U$170=3),1,-1)*LINEAS!$AH$170*DATOS!$C$67,DATOS!$C$68))</f>
        <v>*</v>
      </c>
      <c r="C1468" s="42" t="str">
        <f t="shared" si="44"/>
        <v/>
      </c>
      <c r="D1468" s="44" t="str">
        <f>IF(PRESIONES!$C$22="NO","",IF(OR(LINEAS!$D$170="",LINEAS!$U$170=0,ABS(IF(OR(LINEAS!$U$170=1,LINEAS!$U$170=3),1,-1)*LINEAS!$AH$170*DATOS!$C$67)&lt;0.00005),"*",LINEAS!$D$170&amp;" UNI "&amp;IF(LINEAS!$U$170&lt;=2,"GZ","GX")&amp;" "&amp;TEXT(IF(OR(LINEAS!$U$170=1,LINEAS!$U$170=3),1,-1)*LINEAS!$AH$170*DATOS!$C$67,DATOS!$C$68)))</f>
        <v/>
      </c>
      <c r="E1468" s="42" t="str">
        <f t="shared" si="45"/>
        <v/>
      </c>
    </row>
    <row r="1469" spans="2:5" ht="15" customHeight="1" x14ac:dyDescent="0.3">
      <c r="B1469" s="44" t="str">
        <f>IF(OR(LINEAS!$D$171="",LINEAS!$U$171=0,ABS(IF(OR(LINEAS!$U$171=1,LINEAS!$U$171=3),1,-1)*LINEAS!$AH$171*DATOS!$C$67)&lt;0.00005),"*",LINEAS!$D$171&amp;" UNI "&amp;IF(LINEAS!$U$171&lt;=2,"GZ","GX")&amp;" "&amp;TEXT(IF(OR(LINEAS!$U$171=1,LINEAS!$U$171=3),1,-1)*LINEAS!$AH$171*DATOS!$C$67,DATOS!$C$68))</f>
        <v>*</v>
      </c>
      <c r="C1469" s="42" t="str">
        <f t="shared" si="44"/>
        <v/>
      </c>
      <c r="D1469" s="44" t="str">
        <f>IF(PRESIONES!$C$22="NO","",IF(OR(LINEAS!$D$171="",LINEAS!$U$171=0,ABS(IF(OR(LINEAS!$U$171=1,LINEAS!$U$171=3),1,-1)*LINEAS!$AH$171*DATOS!$C$67)&lt;0.00005),"*",LINEAS!$D$171&amp;" UNI "&amp;IF(LINEAS!$U$171&lt;=2,"GZ","GX")&amp;" "&amp;TEXT(IF(OR(LINEAS!$U$171=1,LINEAS!$U$171=3),1,-1)*LINEAS!$AH$171*DATOS!$C$67,DATOS!$C$68)))</f>
        <v/>
      </c>
      <c r="E1469" s="42" t="str">
        <f t="shared" si="45"/>
        <v/>
      </c>
    </row>
    <row r="1470" spans="2:5" ht="15" customHeight="1" x14ac:dyDescent="0.3">
      <c r="B1470" s="44" t="str">
        <f>IF(OR(LINEAS!$D$172="",LINEAS!$U$172=0,ABS(IF(OR(LINEAS!$U$172=1,LINEAS!$U$172=3),1,-1)*LINEAS!$AH$172*DATOS!$C$67)&lt;0.00005),"*",LINEAS!$D$172&amp;" UNI "&amp;IF(LINEAS!$U$172&lt;=2,"GZ","GX")&amp;" "&amp;TEXT(IF(OR(LINEAS!$U$172=1,LINEAS!$U$172=3),1,-1)*LINEAS!$AH$172*DATOS!$C$67,DATOS!$C$68))</f>
        <v>*</v>
      </c>
      <c r="C1470" s="42" t="str">
        <f t="shared" si="44"/>
        <v/>
      </c>
      <c r="D1470" s="44" t="str">
        <f>IF(PRESIONES!$C$22="NO","",IF(OR(LINEAS!$D$172="",LINEAS!$U$172=0,ABS(IF(OR(LINEAS!$U$172=1,LINEAS!$U$172=3),1,-1)*LINEAS!$AH$172*DATOS!$C$67)&lt;0.00005),"*",LINEAS!$D$172&amp;" UNI "&amp;IF(LINEAS!$U$172&lt;=2,"GZ","GX")&amp;" "&amp;TEXT(IF(OR(LINEAS!$U$172=1,LINEAS!$U$172=3),1,-1)*LINEAS!$AH$172*DATOS!$C$67,DATOS!$C$68)))</f>
        <v/>
      </c>
      <c r="E1470" s="42" t="str">
        <f t="shared" si="45"/>
        <v/>
      </c>
    </row>
    <row r="1471" spans="2:5" ht="15" customHeight="1" x14ac:dyDescent="0.3">
      <c r="B1471" s="44" t="str">
        <f>IF(OR(LINEAS!$D$173="",LINEAS!$U$173=0,ABS(IF(OR(LINEAS!$U$173=1,LINEAS!$U$173=3),1,-1)*LINEAS!$AH$173*DATOS!$C$67)&lt;0.00005),"*",LINEAS!$D$173&amp;" UNI "&amp;IF(LINEAS!$U$173&lt;=2,"GZ","GX")&amp;" "&amp;TEXT(IF(OR(LINEAS!$U$173=1,LINEAS!$U$173=3),1,-1)*LINEAS!$AH$173*DATOS!$C$67,DATOS!$C$68))</f>
        <v>*</v>
      </c>
      <c r="C1471" s="42" t="str">
        <f t="shared" si="44"/>
        <v/>
      </c>
      <c r="D1471" s="44" t="str">
        <f>IF(PRESIONES!$C$22="NO","",IF(OR(LINEAS!$D$173="",LINEAS!$U$173=0,ABS(IF(OR(LINEAS!$U$173=1,LINEAS!$U$173=3),1,-1)*LINEAS!$AH$173*DATOS!$C$67)&lt;0.00005),"*",LINEAS!$D$173&amp;" UNI "&amp;IF(LINEAS!$U$173&lt;=2,"GZ","GX")&amp;" "&amp;TEXT(IF(OR(LINEAS!$U$173=1,LINEAS!$U$173=3),1,-1)*LINEAS!$AH$173*DATOS!$C$67,DATOS!$C$68)))</f>
        <v/>
      </c>
      <c r="E1471" s="42" t="str">
        <f t="shared" si="45"/>
        <v/>
      </c>
    </row>
    <row r="1472" spans="2:5" ht="15" customHeight="1" x14ac:dyDescent="0.3">
      <c r="B1472" s="44" t="str">
        <f>IF(OR(LINEAS!$D$174="",LINEAS!$U$174=0,ABS(IF(OR(LINEAS!$U$174=1,LINEAS!$U$174=3),1,-1)*LINEAS!$AH$174*DATOS!$C$67)&lt;0.00005),"*",LINEAS!$D$174&amp;" UNI "&amp;IF(LINEAS!$U$174&lt;=2,"GZ","GX")&amp;" "&amp;TEXT(IF(OR(LINEAS!$U$174=1,LINEAS!$U$174=3),1,-1)*LINEAS!$AH$174*DATOS!$C$67,DATOS!$C$68))</f>
        <v>*</v>
      </c>
      <c r="C1472" s="42" t="str">
        <f t="shared" si="44"/>
        <v/>
      </c>
      <c r="D1472" s="44" t="str">
        <f>IF(PRESIONES!$C$22="NO","",IF(OR(LINEAS!$D$174="",LINEAS!$U$174=0,ABS(IF(OR(LINEAS!$U$174=1,LINEAS!$U$174=3),1,-1)*LINEAS!$AH$174*DATOS!$C$67)&lt;0.00005),"*",LINEAS!$D$174&amp;" UNI "&amp;IF(LINEAS!$U$174&lt;=2,"GZ","GX")&amp;" "&amp;TEXT(IF(OR(LINEAS!$U$174=1,LINEAS!$U$174=3),1,-1)*LINEAS!$AH$174*DATOS!$C$67,DATOS!$C$68)))</f>
        <v/>
      </c>
      <c r="E1472" s="42" t="str">
        <f t="shared" si="45"/>
        <v/>
      </c>
    </row>
    <row r="1473" spans="2:5" ht="15" customHeight="1" x14ac:dyDescent="0.3">
      <c r="B1473" s="44" t="str">
        <f>IF(OR(LINEAS!$D$175="",LINEAS!$U$175=0,ABS(IF(OR(LINEAS!$U$175=1,LINEAS!$U$175=3),1,-1)*LINEAS!$AH$175*DATOS!$C$67)&lt;0.00005),"*",LINEAS!$D$175&amp;" UNI "&amp;IF(LINEAS!$U$175&lt;=2,"GZ","GX")&amp;" "&amp;TEXT(IF(OR(LINEAS!$U$175=1,LINEAS!$U$175=3),1,-1)*LINEAS!$AH$175*DATOS!$C$67,DATOS!$C$68))</f>
        <v>*</v>
      </c>
      <c r="C1473" s="42" t="str">
        <f t="shared" si="44"/>
        <v/>
      </c>
      <c r="D1473" s="44" t="str">
        <f>IF(PRESIONES!$C$22="NO","",IF(OR(LINEAS!$D$175="",LINEAS!$U$175=0,ABS(IF(OR(LINEAS!$U$175=1,LINEAS!$U$175=3),1,-1)*LINEAS!$AH$175*DATOS!$C$67)&lt;0.00005),"*",LINEAS!$D$175&amp;" UNI "&amp;IF(LINEAS!$U$175&lt;=2,"GZ","GX")&amp;" "&amp;TEXT(IF(OR(LINEAS!$U$175=1,LINEAS!$U$175=3),1,-1)*LINEAS!$AH$175*DATOS!$C$67,DATOS!$C$68)))</f>
        <v/>
      </c>
      <c r="E1473" s="42" t="str">
        <f t="shared" si="45"/>
        <v/>
      </c>
    </row>
    <row r="1474" spans="2:5" ht="15" customHeight="1" x14ac:dyDescent="0.3">
      <c r="B1474" s="44" t="str">
        <f>IF(OR(LINEAS!$D$176="",LINEAS!$U$176=0,ABS(IF(OR(LINEAS!$U$176=1,LINEAS!$U$176=3),1,-1)*LINEAS!$AH$176*DATOS!$C$67)&lt;0.00005),"*",LINEAS!$D$176&amp;" UNI "&amp;IF(LINEAS!$U$176&lt;=2,"GZ","GX")&amp;" "&amp;TEXT(IF(OR(LINEAS!$U$176=1,LINEAS!$U$176=3),1,-1)*LINEAS!$AH$176*DATOS!$C$67,DATOS!$C$68))</f>
        <v>*</v>
      </c>
      <c r="C1474" s="42" t="str">
        <f t="shared" si="44"/>
        <v/>
      </c>
      <c r="D1474" s="44" t="str">
        <f>IF(PRESIONES!$C$22="NO","",IF(OR(LINEAS!$D$176="",LINEAS!$U$176=0,ABS(IF(OR(LINEAS!$U$176=1,LINEAS!$U$176=3),1,-1)*LINEAS!$AH$176*DATOS!$C$67)&lt;0.00005),"*",LINEAS!$D$176&amp;" UNI "&amp;IF(LINEAS!$U$176&lt;=2,"GZ","GX")&amp;" "&amp;TEXT(IF(OR(LINEAS!$U$176=1,LINEAS!$U$176=3),1,-1)*LINEAS!$AH$176*DATOS!$C$67,DATOS!$C$68)))</f>
        <v/>
      </c>
      <c r="E1474" s="42" t="str">
        <f t="shared" si="45"/>
        <v/>
      </c>
    </row>
    <row r="1475" spans="2:5" ht="15" customHeight="1" x14ac:dyDescent="0.3">
      <c r="B1475" s="44" t="str">
        <f>IF(OR(LINEAS!$D$177="",LINEAS!$U$177=0,ABS(IF(OR(LINEAS!$U$177=1,LINEAS!$U$177=3),1,-1)*LINEAS!$AH$177*DATOS!$C$67)&lt;0.00005),"*",LINEAS!$D$177&amp;" UNI "&amp;IF(LINEAS!$U$177&lt;=2,"GZ","GX")&amp;" "&amp;TEXT(IF(OR(LINEAS!$U$177=1,LINEAS!$U$177=3),1,-1)*LINEAS!$AH$177*DATOS!$C$67,DATOS!$C$68))</f>
        <v>*</v>
      </c>
      <c r="C1475" s="42" t="str">
        <f t="shared" si="44"/>
        <v/>
      </c>
      <c r="D1475" s="44" t="str">
        <f>IF(PRESIONES!$C$22="NO","",IF(OR(LINEAS!$D$177="",LINEAS!$U$177=0,ABS(IF(OR(LINEAS!$U$177=1,LINEAS!$U$177=3),1,-1)*LINEAS!$AH$177*DATOS!$C$67)&lt;0.00005),"*",LINEAS!$D$177&amp;" UNI "&amp;IF(LINEAS!$U$177&lt;=2,"GZ","GX")&amp;" "&amp;TEXT(IF(OR(LINEAS!$U$177=1,LINEAS!$U$177=3),1,-1)*LINEAS!$AH$177*DATOS!$C$67,DATOS!$C$68)))</f>
        <v/>
      </c>
      <c r="E1475" s="42" t="str">
        <f t="shared" si="45"/>
        <v/>
      </c>
    </row>
    <row r="1476" spans="2:5" ht="15" customHeight="1" x14ac:dyDescent="0.3">
      <c r="B1476" s="44" t="str">
        <f>IF(OR(LINEAS!$D$178="",LINEAS!$U$178=0,ABS(IF(OR(LINEAS!$U$178=1,LINEAS!$U$178=3),1,-1)*LINEAS!$AH$178*DATOS!$C$67)&lt;0.00005),"*",LINEAS!$D$178&amp;" UNI "&amp;IF(LINEAS!$U$178&lt;=2,"GZ","GX")&amp;" "&amp;TEXT(IF(OR(LINEAS!$U$178=1,LINEAS!$U$178=3),1,-1)*LINEAS!$AH$178*DATOS!$C$67,DATOS!$C$68))</f>
        <v>*</v>
      </c>
      <c r="C1476" s="42" t="str">
        <f t="shared" si="44"/>
        <v/>
      </c>
      <c r="D1476" s="44" t="str">
        <f>IF(PRESIONES!$C$22="NO","",IF(OR(LINEAS!$D$178="",LINEAS!$U$178=0,ABS(IF(OR(LINEAS!$U$178=1,LINEAS!$U$178=3),1,-1)*LINEAS!$AH$178*DATOS!$C$67)&lt;0.00005),"*",LINEAS!$D$178&amp;" UNI "&amp;IF(LINEAS!$U$178&lt;=2,"GZ","GX")&amp;" "&amp;TEXT(IF(OR(LINEAS!$U$178=1,LINEAS!$U$178=3),1,-1)*LINEAS!$AH$178*DATOS!$C$67,DATOS!$C$68)))</f>
        <v/>
      </c>
      <c r="E1476" s="42" t="str">
        <f t="shared" si="45"/>
        <v/>
      </c>
    </row>
    <row r="1477" spans="2:5" ht="15" customHeight="1" x14ac:dyDescent="0.3">
      <c r="B1477" s="44" t="str">
        <f>IF(OR(LINEAS!$D$179="",LINEAS!$U$179=0,ABS(IF(OR(LINEAS!$U$179=1,LINEAS!$U$179=3),1,-1)*LINEAS!$AH$179*DATOS!$C$67)&lt;0.00005),"*",LINEAS!$D$179&amp;" UNI "&amp;IF(LINEAS!$U$179&lt;=2,"GZ","GX")&amp;" "&amp;TEXT(IF(OR(LINEAS!$U$179=1,LINEAS!$U$179=3),1,-1)*LINEAS!$AH$179*DATOS!$C$67,DATOS!$C$68))</f>
        <v>*</v>
      </c>
      <c r="C1477" s="42" t="str">
        <f t="shared" si="44"/>
        <v/>
      </c>
      <c r="D1477" s="44" t="str">
        <f>IF(PRESIONES!$C$22="NO","",IF(OR(LINEAS!$D$179="",LINEAS!$U$179=0,ABS(IF(OR(LINEAS!$U$179=1,LINEAS!$U$179=3),1,-1)*LINEAS!$AH$179*DATOS!$C$67)&lt;0.00005),"*",LINEAS!$D$179&amp;" UNI "&amp;IF(LINEAS!$U$179&lt;=2,"GZ","GX")&amp;" "&amp;TEXT(IF(OR(LINEAS!$U$179=1,LINEAS!$U$179=3),1,-1)*LINEAS!$AH$179*DATOS!$C$67,DATOS!$C$68)))</f>
        <v/>
      </c>
      <c r="E1477" s="42" t="str">
        <f t="shared" si="45"/>
        <v/>
      </c>
    </row>
    <row r="1478" spans="2:5" ht="15" customHeight="1" x14ac:dyDescent="0.3">
      <c r="B1478" s="44" t="str">
        <f>IF(OR(LINEAS!$D$180="",LINEAS!$U$180=0,ABS(IF(OR(LINEAS!$U$180=1,LINEAS!$U$180=3),1,-1)*LINEAS!$AH$180*DATOS!$C$67)&lt;0.00005),"*",LINEAS!$D$180&amp;" UNI "&amp;IF(LINEAS!$U$180&lt;=2,"GZ","GX")&amp;" "&amp;TEXT(IF(OR(LINEAS!$U$180=1,LINEAS!$U$180=3),1,-1)*LINEAS!$AH$180*DATOS!$C$67,DATOS!$C$68))</f>
        <v>*</v>
      </c>
      <c r="C1478" s="42" t="str">
        <f t="shared" si="44"/>
        <v/>
      </c>
      <c r="D1478" s="44" t="str">
        <f>IF(PRESIONES!$C$22="NO","",IF(OR(LINEAS!$D$180="",LINEAS!$U$180=0,ABS(IF(OR(LINEAS!$U$180=1,LINEAS!$U$180=3),1,-1)*LINEAS!$AH$180*DATOS!$C$67)&lt;0.00005),"*",LINEAS!$D$180&amp;" UNI "&amp;IF(LINEAS!$U$180&lt;=2,"GZ","GX")&amp;" "&amp;TEXT(IF(OR(LINEAS!$U$180=1,LINEAS!$U$180=3),1,-1)*LINEAS!$AH$180*DATOS!$C$67,DATOS!$C$68)))</f>
        <v/>
      </c>
      <c r="E1478" s="42" t="str">
        <f t="shared" si="45"/>
        <v/>
      </c>
    </row>
    <row r="1479" spans="2:5" ht="15" customHeight="1" x14ac:dyDescent="0.3">
      <c r="B1479" s="44" t="str">
        <f>IF(OR(LINEAS!$D$181="",LINEAS!$U$181=0,ABS(IF(OR(LINEAS!$U$181=1,LINEAS!$U$181=3),1,-1)*LINEAS!$AH$181*DATOS!$C$67)&lt;0.00005),"*",LINEAS!$D$181&amp;" UNI "&amp;IF(LINEAS!$U$181&lt;=2,"GZ","GX")&amp;" "&amp;TEXT(IF(OR(LINEAS!$U$181=1,LINEAS!$U$181=3),1,-1)*LINEAS!$AH$181*DATOS!$C$67,DATOS!$C$68))</f>
        <v>*</v>
      </c>
      <c r="C1479" s="42" t="str">
        <f t="shared" si="44"/>
        <v/>
      </c>
      <c r="D1479" s="44" t="str">
        <f>IF(PRESIONES!$C$22="NO","",IF(OR(LINEAS!$D$181="",LINEAS!$U$181=0,ABS(IF(OR(LINEAS!$U$181=1,LINEAS!$U$181=3),1,-1)*LINEAS!$AH$181*DATOS!$C$67)&lt;0.00005),"*",LINEAS!$D$181&amp;" UNI "&amp;IF(LINEAS!$U$181&lt;=2,"GZ","GX")&amp;" "&amp;TEXT(IF(OR(LINEAS!$U$181=1,LINEAS!$U$181=3),1,-1)*LINEAS!$AH$181*DATOS!$C$67,DATOS!$C$68)))</f>
        <v/>
      </c>
      <c r="E1479" s="42" t="str">
        <f t="shared" si="45"/>
        <v/>
      </c>
    </row>
    <row r="1480" spans="2:5" ht="15" customHeight="1" x14ac:dyDescent="0.3">
      <c r="B1480" s="44" t="str">
        <f>IF(OR(LINEAS!$D$182="",LINEAS!$U$182=0,ABS(IF(OR(LINEAS!$U$182=1,LINEAS!$U$182=3),1,-1)*LINEAS!$AH$182*DATOS!$C$67)&lt;0.00005),"*",LINEAS!$D$182&amp;" UNI "&amp;IF(LINEAS!$U$182&lt;=2,"GZ","GX")&amp;" "&amp;TEXT(IF(OR(LINEAS!$U$182=1,LINEAS!$U$182=3),1,-1)*LINEAS!$AH$182*DATOS!$C$67,DATOS!$C$68))</f>
        <v>*</v>
      </c>
      <c r="C1480" s="42" t="str">
        <f t="shared" si="44"/>
        <v/>
      </c>
      <c r="D1480" s="44" t="str">
        <f>IF(PRESIONES!$C$22="NO","",IF(OR(LINEAS!$D$182="",LINEAS!$U$182=0,ABS(IF(OR(LINEAS!$U$182=1,LINEAS!$U$182=3),1,-1)*LINEAS!$AH$182*DATOS!$C$67)&lt;0.00005),"*",LINEAS!$D$182&amp;" UNI "&amp;IF(LINEAS!$U$182&lt;=2,"GZ","GX")&amp;" "&amp;TEXT(IF(OR(LINEAS!$U$182=1,LINEAS!$U$182=3),1,-1)*LINEAS!$AH$182*DATOS!$C$67,DATOS!$C$68)))</f>
        <v/>
      </c>
      <c r="E1480" s="42" t="str">
        <f t="shared" si="45"/>
        <v/>
      </c>
    </row>
    <row r="1481" spans="2:5" ht="15" customHeight="1" x14ac:dyDescent="0.3">
      <c r="B1481" s="44" t="str">
        <f>IF(OR(LINEAS!$D$183="",LINEAS!$U$183=0,ABS(IF(OR(LINEAS!$U$183=1,LINEAS!$U$183=3),1,-1)*LINEAS!$AH$183*DATOS!$C$67)&lt;0.00005),"*",LINEAS!$D$183&amp;" UNI "&amp;IF(LINEAS!$U$183&lt;=2,"GZ","GX")&amp;" "&amp;TEXT(IF(OR(LINEAS!$U$183=1,LINEAS!$U$183=3),1,-1)*LINEAS!$AH$183*DATOS!$C$67,DATOS!$C$68))</f>
        <v>*</v>
      </c>
      <c r="C1481" s="42" t="str">
        <f t="shared" ref="C1481:C1544" si="46">IF(LEN($B1481)&gt;79,"MÁS DE 79 CARACTERES","")</f>
        <v/>
      </c>
      <c r="D1481" s="44" t="str">
        <f>IF(PRESIONES!$C$22="NO","",IF(OR(LINEAS!$D$183="",LINEAS!$U$183=0,ABS(IF(OR(LINEAS!$U$183=1,LINEAS!$U$183=3),1,-1)*LINEAS!$AH$183*DATOS!$C$67)&lt;0.00005),"*",LINEAS!$D$183&amp;" UNI "&amp;IF(LINEAS!$U$183&lt;=2,"GZ","GX")&amp;" "&amp;TEXT(IF(OR(LINEAS!$U$183=1,LINEAS!$U$183=3),1,-1)*LINEAS!$AH$183*DATOS!$C$67,DATOS!$C$68)))</f>
        <v/>
      </c>
      <c r="E1481" s="42" t="str">
        <f t="shared" ref="E1481:E1544" si="47">IF(LEN($D1481)&gt;79,"MÁS DE 79 CARACTERES","")</f>
        <v/>
      </c>
    </row>
    <row r="1482" spans="2:5" ht="15" customHeight="1" x14ac:dyDescent="0.3">
      <c r="B1482" s="44" t="str">
        <f>IF(OR(LINEAS!$D$184="",LINEAS!$U$184=0,ABS(IF(OR(LINEAS!$U$184=1,LINEAS!$U$184=3),1,-1)*LINEAS!$AH$184*DATOS!$C$67)&lt;0.00005),"*",LINEAS!$D$184&amp;" UNI "&amp;IF(LINEAS!$U$184&lt;=2,"GZ","GX")&amp;" "&amp;TEXT(IF(OR(LINEAS!$U$184=1,LINEAS!$U$184=3),1,-1)*LINEAS!$AH$184*DATOS!$C$67,DATOS!$C$68))</f>
        <v>*</v>
      </c>
      <c r="C1482" s="42" t="str">
        <f t="shared" si="46"/>
        <v/>
      </c>
      <c r="D1482" s="44" t="str">
        <f>IF(PRESIONES!$C$22="NO","",IF(OR(LINEAS!$D$184="",LINEAS!$U$184=0,ABS(IF(OR(LINEAS!$U$184=1,LINEAS!$U$184=3),1,-1)*LINEAS!$AH$184*DATOS!$C$67)&lt;0.00005),"*",LINEAS!$D$184&amp;" UNI "&amp;IF(LINEAS!$U$184&lt;=2,"GZ","GX")&amp;" "&amp;TEXT(IF(OR(LINEAS!$U$184=1,LINEAS!$U$184=3),1,-1)*LINEAS!$AH$184*DATOS!$C$67,DATOS!$C$68)))</f>
        <v/>
      </c>
      <c r="E1482" s="42" t="str">
        <f t="shared" si="47"/>
        <v/>
      </c>
    </row>
    <row r="1483" spans="2:5" ht="15" customHeight="1" x14ac:dyDescent="0.3">
      <c r="B1483" s="44" t="str">
        <f>IF(OR(LINEAS!$D$185="",LINEAS!$U$185=0,ABS(IF(OR(LINEAS!$U$185=1,LINEAS!$U$185=3),1,-1)*LINEAS!$AH$185*DATOS!$C$67)&lt;0.00005),"*",LINEAS!$D$185&amp;" UNI "&amp;IF(LINEAS!$U$185&lt;=2,"GZ","GX")&amp;" "&amp;TEXT(IF(OR(LINEAS!$U$185=1,LINEAS!$U$185=3),1,-1)*LINEAS!$AH$185*DATOS!$C$67,DATOS!$C$68))</f>
        <v>*</v>
      </c>
      <c r="C1483" s="42" t="str">
        <f t="shared" si="46"/>
        <v/>
      </c>
      <c r="D1483" s="44" t="str">
        <f>IF(PRESIONES!$C$22="NO","",IF(OR(LINEAS!$D$185="",LINEAS!$U$185=0,ABS(IF(OR(LINEAS!$U$185=1,LINEAS!$U$185=3),1,-1)*LINEAS!$AH$185*DATOS!$C$67)&lt;0.00005),"*",LINEAS!$D$185&amp;" UNI "&amp;IF(LINEAS!$U$185&lt;=2,"GZ","GX")&amp;" "&amp;TEXT(IF(OR(LINEAS!$U$185=1,LINEAS!$U$185=3),1,-1)*LINEAS!$AH$185*DATOS!$C$67,DATOS!$C$68)))</f>
        <v/>
      </c>
      <c r="E1483" s="42" t="str">
        <f t="shared" si="47"/>
        <v/>
      </c>
    </row>
    <row r="1484" spans="2:5" ht="15" customHeight="1" x14ac:dyDescent="0.3">
      <c r="B1484" s="44" t="str">
        <f>IF(OR(LINEAS!$D$186="",LINEAS!$U$186=0,ABS(IF(OR(LINEAS!$U$186=1,LINEAS!$U$186=3),1,-1)*LINEAS!$AH$186*DATOS!$C$67)&lt;0.00005),"*",LINEAS!$D$186&amp;" UNI "&amp;IF(LINEAS!$U$186&lt;=2,"GZ","GX")&amp;" "&amp;TEXT(IF(OR(LINEAS!$U$186=1,LINEAS!$U$186=3),1,-1)*LINEAS!$AH$186*DATOS!$C$67,DATOS!$C$68))</f>
        <v>*</v>
      </c>
      <c r="C1484" s="42" t="str">
        <f t="shared" si="46"/>
        <v/>
      </c>
      <c r="D1484" s="44" t="str">
        <f>IF(PRESIONES!$C$22="NO","",IF(OR(LINEAS!$D$186="",LINEAS!$U$186=0,ABS(IF(OR(LINEAS!$U$186=1,LINEAS!$U$186=3),1,-1)*LINEAS!$AH$186*DATOS!$C$67)&lt;0.00005),"*",LINEAS!$D$186&amp;" UNI "&amp;IF(LINEAS!$U$186&lt;=2,"GZ","GX")&amp;" "&amp;TEXT(IF(OR(LINEAS!$U$186=1,LINEAS!$U$186=3),1,-1)*LINEAS!$AH$186*DATOS!$C$67,DATOS!$C$68)))</f>
        <v/>
      </c>
      <c r="E1484" s="42" t="str">
        <f t="shared" si="47"/>
        <v/>
      </c>
    </row>
    <row r="1485" spans="2:5" ht="15" customHeight="1" x14ac:dyDescent="0.3">
      <c r="B1485" s="44" t="str">
        <f>IF(OR(LINEAS!$D$187="",LINEAS!$U$187=0,ABS(IF(OR(LINEAS!$U$187=1,LINEAS!$U$187=3),1,-1)*LINEAS!$AH$187*DATOS!$C$67)&lt;0.00005),"*",LINEAS!$D$187&amp;" UNI "&amp;IF(LINEAS!$U$187&lt;=2,"GZ","GX")&amp;" "&amp;TEXT(IF(OR(LINEAS!$U$187=1,LINEAS!$U$187=3),1,-1)*LINEAS!$AH$187*DATOS!$C$67,DATOS!$C$68))</f>
        <v>*</v>
      </c>
      <c r="C1485" s="42" t="str">
        <f t="shared" si="46"/>
        <v/>
      </c>
      <c r="D1485" s="44" t="str">
        <f>IF(PRESIONES!$C$22="NO","",IF(OR(LINEAS!$D$187="",LINEAS!$U$187=0,ABS(IF(OR(LINEAS!$U$187=1,LINEAS!$U$187=3),1,-1)*LINEAS!$AH$187*DATOS!$C$67)&lt;0.00005),"*",LINEAS!$D$187&amp;" UNI "&amp;IF(LINEAS!$U$187&lt;=2,"GZ","GX")&amp;" "&amp;TEXT(IF(OR(LINEAS!$U$187=1,LINEAS!$U$187=3),1,-1)*LINEAS!$AH$187*DATOS!$C$67,DATOS!$C$68)))</f>
        <v/>
      </c>
      <c r="E1485" s="42" t="str">
        <f t="shared" si="47"/>
        <v/>
      </c>
    </row>
    <row r="1486" spans="2:5" ht="15" customHeight="1" x14ac:dyDescent="0.3">
      <c r="B1486" s="44" t="str">
        <f>IF(OR(LINEAS!$D$188="",LINEAS!$U$188=0,ABS(IF(OR(LINEAS!$U$188=1,LINEAS!$U$188=3),1,-1)*LINEAS!$AH$188*DATOS!$C$67)&lt;0.00005),"*",LINEAS!$D$188&amp;" UNI "&amp;IF(LINEAS!$U$188&lt;=2,"GZ","GX")&amp;" "&amp;TEXT(IF(OR(LINEAS!$U$188=1,LINEAS!$U$188=3),1,-1)*LINEAS!$AH$188*DATOS!$C$67,DATOS!$C$68))</f>
        <v>*</v>
      </c>
      <c r="C1486" s="42" t="str">
        <f t="shared" si="46"/>
        <v/>
      </c>
      <c r="D1486" s="44" t="str">
        <f>IF(PRESIONES!$C$22="NO","",IF(OR(LINEAS!$D$188="",LINEAS!$U$188=0,ABS(IF(OR(LINEAS!$U$188=1,LINEAS!$U$188=3),1,-1)*LINEAS!$AH$188*DATOS!$C$67)&lt;0.00005),"*",LINEAS!$D$188&amp;" UNI "&amp;IF(LINEAS!$U$188&lt;=2,"GZ","GX")&amp;" "&amp;TEXT(IF(OR(LINEAS!$U$188=1,LINEAS!$U$188=3),1,-1)*LINEAS!$AH$188*DATOS!$C$67,DATOS!$C$68)))</f>
        <v/>
      </c>
      <c r="E1486" s="42" t="str">
        <f t="shared" si="47"/>
        <v/>
      </c>
    </row>
    <row r="1487" spans="2:5" ht="15" customHeight="1" x14ac:dyDescent="0.3">
      <c r="B1487" s="44" t="str">
        <f>IF(OR(LINEAS!$D$189="",LINEAS!$U$189=0,ABS(IF(OR(LINEAS!$U$189=1,LINEAS!$U$189=3),1,-1)*LINEAS!$AH$189*DATOS!$C$67)&lt;0.00005),"*",LINEAS!$D$189&amp;" UNI "&amp;IF(LINEAS!$U$189&lt;=2,"GZ","GX")&amp;" "&amp;TEXT(IF(OR(LINEAS!$U$189=1,LINEAS!$U$189=3),1,-1)*LINEAS!$AH$189*DATOS!$C$67,DATOS!$C$68))</f>
        <v>*</v>
      </c>
      <c r="C1487" s="42" t="str">
        <f t="shared" si="46"/>
        <v/>
      </c>
      <c r="D1487" s="44" t="str">
        <f>IF(PRESIONES!$C$22="NO","",IF(OR(LINEAS!$D$189="",LINEAS!$U$189=0,ABS(IF(OR(LINEAS!$U$189=1,LINEAS!$U$189=3),1,-1)*LINEAS!$AH$189*DATOS!$C$67)&lt;0.00005),"*",LINEAS!$D$189&amp;" UNI "&amp;IF(LINEAS!$U$189&lt;=2,"GZ","GX")&amp;" "&amp;TEXT(IF(OR(LINEAS!$U$189=1,LINEAS!$U$189=3),1,-1)*LINEAS!$AH$189*DATOS!$C$67,DATOS!$C$68)))</f>
        <v/>
      </c>
      <c r="E1487" s="42" t="str">
        <f t="shared" si="47"/>
        <v/>
      </c>
    </row>
    <row r="1488" spans="2:5" ht="15" customHeight="1" x14ac:dyDescent="0.3">
      <c r="B1488" s="44" t="str">
        <f>IF(OR(LINEAS!$D$190="",LINEAS!$U$190=0,ABS(IF(OR(LINEAS!$U$190=1,LINEAS!$U$190=3),1,-1)*LINEAS!$AH$190*DATOS!$C$67)&lt;0.00005),"*",LINEAS!$D$190&amp;" UNI "&amp;IF(LINEAS!$U$190&lt;=2,"GZ","GX")&amp;" "&amp;TEXT(IF(OR(LINEAS!$U$190=1,LINEAS!$U$190=3),1,-1)*LINEAS!$AH$190*DATOS!$C$67,DATOS!$C$68))</f>
        <v>*</v>
      </c>
      <c r="C1488" s="42" t="str">
        <f t="shared" si="46"/>
        <v/>
      </c>
      <c r="D1488" s="44" t="str">
        <f>IF(PRESIONES!$C$22="NO","",IF(OR(LINEAS!$D$190="",LINEAS!$U$190=0,ABS(IF(OR(LINEAS!$U$190=1,LINEAS!$U$190=3),1,-1)*LINEAS!$AH$190*DATOS!$C$67)&lt;0.00005),"*",LINEAS!$D$190&amp;" UNI "&amp;IF(LINEAS!$U$190&lt;=2,"GZ","GX")&amp;" "&amp;TEXT(IF(OR(LINEAS!$U$190=1,LINEAS!$U$190=3),1,-1)*LINEAS!$AH$190*DATOS!$C$67,DATOS!$C$68)))</f>
        <v/>
      </c>
      <c r="E1488" s="42" t="str">
        <f t="shared" si="47"/>
        <v/>
      </c>
    </row>
    <row r="1489" spans="2:5" ht="15" customHeight="1" x14ac:dyDescent="0.3">
      <c r="B1489" s="44" t="str">
        <f>IF(OR(LINEAS!$D$191="",LINEAS!$U$191=0,ABS(IF(OR(LINEAS!$U$191=1,LINEAS!$U$191=3),1,-1)*LINEAS!$AH$191*DATOS!$C$67)&lt;0.00005),"*",LINEAS!$D$191&amp;" UNI "&amp;IF(LINEAS!$U$191&lt;=2,"GZ","GX")&amp;" "&amp;TEXT(IF(OR(LINEAS!$U$191=1,LINEAS!$U$191=3),1,-1)*LINEAS!$AH$191*DATOS!$C$67,DATOS!$C$68))</f>
        <v>*</v>
      </c>
      <c r="C1489" s="42" t="str">
        <f t="shared" si="46"/>
        <v/>
      </c>
      <c r="D1489" s="44" t="str">
        <f>IF(PRESIONES!$C$22="NO","",IF(OR(LINEAS!$D$191="",LINEAS!$U$191=0,ABS(IF(OR(LINEAS!$U$191=1,LINEAS!$U$191=3),1,-1)*LINEAS!$AH$191*DATOS!$C$67)&lt;0.00005),"*",LINEAS!$D$191&amp;" UNI "&amp;IF(LINEAS!$U$191&lt;=2,"GZ","GX")&amp;" "&amp;TEXT(IF(OR(LINEAS!$U$191=1,LINEAS!$U$191=3),1,-1)*LINEAS!$AH$191*DATOS!$C$67,DATOS!$C$68)))</f>
        <v/>
      </c>
      <c r="E1489" s="42" t="str">
        <f t="shared" si="47"/>
        <v/>
      </c>
    </row>
    <row r="1490" spans="2:5" ht="15" customHeight="1" x14ac:dyDescent="0.3">
      <c r="B1490" s="44" t="str">
        <f>IF(OR(LINEAS!$D$192="",LINEAS!$U$192=0,ABS(IF(OR(LINEAS!$U$192=1,LINEAS!$U$192=3),1,-1)*LINEAS!$AH$192*DATOS!$C$67)&lt;0.00005),"*",LINEAS!$D$192&amp;" UNI "&amp;IF(LINEAS!$U$192&lt;=2,"GZ","GX")&amp;" "&amp;TEXT(IF(OR(LINEAS!$U$192=1,LINEAS!$U$192=3),1,-1)*LINEAS!$AH$192*DATOS!$C$67,DATOS!$C$68))</f>
        <v>*</v>
      </c>
      <c r="C1490" s="42" t="str">
        <f t="shared" si="46"/>
        <v/>
      </c>
      <c r="D1490" s="44" t="str">
        <f>IF(PRESIONES!$C$22="NO","",IF(OR(LINEAS!$D$192="",LINEAS!$U$192=0,ABS(IF(OR(LINEAS!$U$192=1,LINEAS!$U$192=3),1,-1)*LINEAS!$AH$192*DATOS!$C$67)&lt;0.00005),"*",LINEAS!$D$192&amp;" UNI "&amp;IF(LINEAS!$U$192&lt;=2,"GZ","GX")&amp;" "&amp;TEXT(IF(OR(LINEAS!$U$192=1,LINEAS!$U$192=3),1,-1)*LINEAS!$AH$192*DATOS!$C$67,DATOS!$C$68)))</f>
        <v/>
      </c>
      <c r="E1490" s="42" t="str">
        <f t="shared" si="47"/>
        <v/>
      </c>
    </row>
    <row r="1491" spans="2:5" ht="15" customHeight="1" x14ac:dyDescent="0.3">
      <c r="B1491" s="44" t="str">
        <f>IF(OR(LINEAS!$D$193="",LINEAS!$U$193=0,ABS(IF(OR(LINEAS!$U$193=1,LINEAS!$U$193=3),1,-1)*LINEAS!$AH$193*DATOS!$C$67)&lt;0.00005),"*",LINEAS!$D$193&amp;" UNI "&amp;IF(LINEAS!$U$193&lt;=2,"GZ","GX")&amp;" "&amp;TEXT(IF(OR(LINEAS!$U$193=1,LINEAS!$U$193=3),1,-1)*LINEAS!$AH$193*DATOS!$C$67,DATOS!$C$68))</f>
        <v>*</v>
      </c>
      <c r="C1491" s="42" t="str">
        <f t="shared" si="46"/>
        <v/>
      </c>
      <c r="D1491" s="44" t="str">
        <f>IF(PRESIONES!$C$22="NO","",IF(OR(LINEAS!$D$193="",LINEAS!$U$193=0,ABS(IF(OR(LINEAS!$U$193=1,LINEAS!$U$193=3),1,-1)*LINEAS!$AH$193*DATOS!$C$67)&lt;0.00005),"*",LINEAS!$D$193&amp;" UNI "&amp;IF(LINEAS!$U$193&lt;=2,"GZ","GX")&amp;" "&amp;TEXT(IF(OR(LINEAS!$U$193=1,LINEAS!$U$193=3),1,-1)*LINEAS!$AH$193*DATOS!$C$67,DATOS!$C$68)))</f>
        <v/>
      </c>
      <c r="E1491" s="42" t="str">
        <f t="shared" si="47"/>
        <v/>
      </c>
    </row>
    <row r="1492" spans="2:5" ht="15" customHeight="1" x14ac:dyDescent="0.3">
      <c r="B1492" s="44" t="str">
        <f>IF(OR(LINEAS!$D$194="",LINEAS!$U$194=0,ABS(IF(OR(LINEAS!$U$194=1,LINEAS!$U$194=3),1,-1)*LINEAS!$AH$194*DATOS!$C$67)&lt;0.00005),"*",LINEAS!$D$194&amp;" UNI "&amp;IF(LINEAS!$U$194&lt;=2,"GZ","GX")&amp;" "&amp;TEXT(IF(OR(LINEAS!$U$194=1,LINEAS!$U$194=3),1,-1)*LINEAS!$AH$194*DATOS!$C$67,DATOS!$C$68))</f>
        <v>*</v>
      </c>
      <c r="C1492" s="42" t="str">
        <f t="shared" si="46"/>
        <v/>
      </c>
      <c r="D1492" s="44" t="str">
        <f>IF(PRESIONES!$C$22="NO","",IF(OR(LINEAS!$D$194="",LINEAS!$U$194=0,ABS(IF(OR(LINEAS!$U$194=1,LINEAS!$U$194=3),1,-1)*LINEAS!$AH$194*DATOS!$C$67)&lt;0.00005),"*",LINEAS!$D$194&amp;" UNI "&amp;IF(LINEAS!$U$194&lt;=2,"GZ","GX")&amp;" "&amp;TEXT(IF(OR(LINEAS!$U$194=1,LINEAS!$U$194=3),1,-1)*LINEAS!$AH$194*DATOS!$C$67,DATOS!$C$68)))</f>
        <v/>
      </c>
      <c r="E1492" s="42" t="str">
        <f t="shared" si="47"/>
        <v/>
      </c>
    </row>
    <row r="1493" spans="2:5" ht="15" customHeight="1" x14ac:dyDescent="0.3">
      <c r="B1493" s="43" t="str">
        <f>"LOAD "&amp;(DATOS!$C$66+7)&amp;" LOADTYPE Wind  TITLE "&amp;DATOS!$E$79</f>
        <v>LOAD 15 LOADTYPE Wind  TITLE VIENTO -Z PA</v>
      </c>
      <c r="C1493" s="42" t="str">
        <f t="shared" si="46"/>
        <v/>
      </c>
      <c r="D1493" s="44" t="str">
        <f>IF(PRESIONES!$C$22="NO",IF(8=1,"* CASOS B = CASOS A (SIN ±0.4 NI +0.3 EN EL TECHO): NO HACE FALTA",""),"LOAD "&amp;(DATOS!$C$69+7)&amp;" LOADTYPE Wind  TITLE "&amp;DATOS!$E$79&amp;" B")</f>
        <v/>
      </c>
      <c r="E1493" s="42" t="str">
        <f t="shared" si="47"/>
        <v/>
      </c>
    </row>
    <row r="1494" spans="2:5" ht="15" customHeight="1" x14ac:dyDescent="0.3">
      <c r="B1494" s="44" t="s">
        <v>632</v>
      </c>
      <c r="C1494" s="42" t="str">
        <f t="shared" si="46"/>
        <v/>
      </c>
      <c r="D1494" s="44" t="str">
        <f>IF(PRESIONES!$C$22="NO","","MEMBER LOAD")</f>
        <v/>
      </c>
      <c r="E1494" s="42" t="str">
        <f t="shared" si="47"/>
        <v/>
      </c>
    </row>
    <row r="1495" spans="2:5" ht="15" customHeight="1" x14ac:dyDescent="0.3">
      <c r="B1495" s="44" t="str">
        <f>IF(OR(LINEAS!$D$9="",ABS(-LINEAS!$AI$9*DATOS!$C$67)&lt;0.00005),"*",LINEAS!$D$9&amp;" UNI GY "&amp;TEXT(-LINEAS!$AI$9*DATOS!$C$67,DATOS!$C$68))</f>
        <v>22 85 TO 88 UNI GY 0.4779</v>
      </c>
      <c r="C1495" s="42" t="str">
        <f t="shared" si="46"/>
        <v/>
      </c>
      <c r="D1495" s="44" t="str">
        <f>IF(PRESIONES!$C$22="NO","",IF(OR(LINEAS!$D$9="",ABS(-LINEAS!$AY$9*DATOS!$C$67)&lt;0.00005),"*",LINEAS!$D$9&amp;" UNI GY "&amp;TEXT(-LINEAS!$AY$9*DATOS!$C$67,DATOS!$C$68)))</f>
        <v/>
      </c>
      <c r="E1495" s="42" t="str">
        <f t="shared" si="47"/>
        <v/>
      </c>
    </row>
    <row r="1496" spans="2:5" ht="15" customHeight="1" x14ac:dyDescent="0.3">
      <c r="B1496" s="44" t="str">
        <f>IF(OR(LINEAS!$D$9="",DATOS!$C$22="—",ABS(LINEAS!$AQ$9*DATOS!$C$67)&lt;0.00005),"*",LINEAS!$D$9&amp;" UNI G"&amp;DATOS!$C$22&amp;" "&amp;TEXT(LINEAS!$AQ$9*DATOS!$C$67,DATOS!$C$68))</f>
        <v>22 85 TO 88 UNI GZ 0.0239</v>
      </c>
      <c r="C1496" s="42" t="str">
        <f t="shared" si="46"/>
        <v/>
      </c>
      <c r="D1496" s="44" t="str">
        <f>IF(PRESIONES!$C$22="NO","",IF(OR(LINEAS!$D$9="",DATOS!$C$22="—",ABS(LINEAS!$BG$9*DATOS!$C$67)&lt;0.00005),"*",LINEAS!$D$9&amp;" UNI G"&amp;DATOS!$C$22&amp;" "&amp;TEXT(LINEAS!$BG$9*DATOS!$C$67,DATOS!$C$68)))</f>
        <v/>
      </c>
      <c r="E1496" s="42" t="str">
        <f t="shared" si="47"/>
        <v/>
      </c>
    </row>
    <row r="1497" spans="2:5" ht="15" customHeight="1" x14ac:dyDescent="0.3">
      <c r="B1497" s="44" t="str">
        <f>IF(OR(LINEAS!$D$10="",ABS(-LINEAS!$AI$10*DATOS!$C$67)&lt;0.00005),"*",LINEAS!$D$10&amp;" UNI GY "&amp;TEXT(-LINEAS!$AI$10*DATOS!$C$67,DATOS!$C$68))</f>
        <v>80 129 TO 132 UNI GY 0.9559</v>
      </c>
      <c r="C1497" s="42" t="str">
        <f t="shared" si="46"/>
        <v/>
      </c>
      <c r="D1497" s="44" t="str">
        <f>IF(PRESIONES!$C$22="NO","",IF(OR(LINEAS!$D$10="",ABS(-LINEAS!$AY$10*DATOS!$C$67)&lt;0.00005),"*",LINEAS!$D$10&amp;" UNI GY "&amp;TEXT(-LINEAS!$AY$10*DATOS!$C$67,DATOS!$C$68)))</f>
        <v/>
      </c>
      <c r="E1497" s="42" t="str">
        <f t="shared" si="47"/>
        <v/>
      </c>
    </row>
    <row r="1498" spans="2:5" ht="15" customHeight="1" x14ac:dyDescent="0.3">
      <c r="B1498" s="44" t="str">
        <f>IF(OR(LINEAS!$D$10="",DATOS!$C$22="—",ABS(LINEAS!$AQ$10*DATOS!$C$67)&lt;0.00005),"*",LINEAS!$D$10&amp;" UNI G"&amp;DATOS!$C$22&amp;" "&amp;TEXT(LINEAS!$AQ$10*DATOS!$C$67,DATOS!$C$68))</f>
        <v>80 129 TO 132 UNI GZ 0.0478</v>
      </c>
      <c r="C1498" s="42" t="str">
        <f t="shared" si="46"/>
        <v/>
      </c>
      <c r="D1498" s="44" t="str">
        <f>IF(PRESIONES!$C$22="NO","",IF(OR(LINEAS!$D$10="",DATOS!$C$22="—",ABS(LINEAS!$BG$10*DATOS!$C$67)&lt;0.00005),"*",LINEAS!$D$10&amp;" UNI G"&amp;DATOS!$C$22&amp;" "&amp;TEXT(LINEAS!$BG$10*DATOS!$C$67,DATOS!$C$68)))</f>
        <v/>
      </c>
      <c r="E1498" s="42" t="str">
        <f t="shared" si="47"/>
        <v/>
      </c>
    </row>
    <row r="1499" spans="2:5" ht="15" customHeight="1" x14ac:dyDescent="0.3">
      <c r="B1499" s="44" t="str">
        <f>IF(OR(LINEAS!$D$11="",ABS(-LINEAS!$AI$11*DATOS!$C$67)&lt;0.00005),"*",LINEAS!$D$11&amp;" UNI GY "&amp;TEXT(-LINEAS!$AI$11*DATOS!$C$67,DATOS!$C$68))</f>
        <v>79 125 TO 128 UNI GY 0.9559</v>
      </c>
      <c r="C1499" s="42" t="str">
        <f t="shared" si="46"/>
        <v/>
      </c>
      <c r="D1499" s="44" t="str">
        <f>IF(PRESIONES!$C$22="NO","",IF(OR(LINEAS!$D$11="",ABS(-LINEAS!$AY$11*DATOS!$C$67)&lt;0.00005),"*",LINEAS!$D$11&amp;" UNI GY "&amp;TEXT(-LINEAS!$AY$11*DATOS!$C$67,DATOS!$C$68)))</f>
        <v/>
      </c>
      <c r="E1499" s="42" t="str">
        <f t="shared" si="47"/>
        <v/>
      </c>
    </row>
    <row r="1500" spans="2:5" ht="15" customHeight="1" x14ac:dyDescent="0.3">
      <c r="B1500" s="44" t="str">
        <f>IF(OR(LINEAS!$D$11="",DATOS!$C$22="—",ABS(LINEAS!$AQ$11*DATOS!$C$67)&lt;0.00005),"*",LINEAS!$D$11&amp;" UNI G"&amp;DATOS!$C$22&amp;" "&amp;TEXT(LINEAS!$AQ$11*DATOS!$C$67,DATOS!$C$68))</f>
        <v>79 125 TO 128 UNI GZ 0.0478</v>
      </c>
      <c r="C1500" s="42" t="str">
        <f t="shared" si="46"/>
        <v/>
      </c>
      <c r="D1500" s="44" t="str">
        <f>IF(PRESIONES!$C$22="NO","",IF(OR(LINEAS!$D$11="",DATOS!$C$22="—",ABS(LINEAS!$BG$11*DATOS!$C$67)&lt;0.00005),"*",LINEAS!$D$11&amp;" UNI G"&amp;DATOS!$C$22&amp;" "&amp;TEXT(LINEAS!$BG$11*DATOS!$C$67,DATOS!$C$68)))</f>
        <v/>
      </c>
      <c r="E1500" s="42" t="str">
        <f t="shared" si="47"/>
        <v/>
      </c>
    </row>
    <row r="1501" spans="2:5" ht="15" customHeight="1" x14ac:dyDescent="0.3">
      <c r="B1501" s="44" t="str">
        <f>IF(OR(LINEAS!$D$12="",ABS(-LINEAS!$AI$12*DATOS!$C$67)&lt;0.00005),"*",LINEAS!$D$12&amp;" UNI GY "&amp;TEXT(-LINEAS!$AI$12*DATOS!$C$67,DATOS!$C$68))</f>
        <v>78 121 TO 124 UNI GY 0.9559</v>
      </c>
      <c r="C1501" s="42" t="str">
        <f t="shared" si="46"/>
        <v/>
      </c>
      <c r="D1501" s="44" t="str">
        <f>IF(PRESIONES!$C$22="NO","",IF(OR(LINEAS!$D$12="",ABS(-LINEAS!$AY$12*DATOS!$C$67)&lt;0.00005),"*",LINEAS!$D$12&amp;" UNI GY "&amp;TEXT(-LINEAS!$AY$12*DATOS!$C$67,DATOS!$C$68)))</f>
        <v/>
      </c>
      <c r="E1501" s="42" t="str">
        <f t="shared" si="47"/>
        <v/>
      </c>
    </row>
    <row r="1502" spans="2:5" ht="15" customHeight="1" x14ac:dyDescent="0.3">
      <c r="B1502" s="44" t="str">
        <f>IF(OR(LINEAS!$D$12="",DATOS!$C$22="—",ABS(LINEAS!$AQ$12*DATOS!$C$67)&lt;0.00005),"*",LINEAS!$D$12&amp;" UNI G"&amp;DATOS!$C$22&amp;" "&amp;TEXT(LINEAS!$AQ$12*DATOS!$C$67,DATOS!$C$68))</f>
        <v>78 121 TO 124 UNI GZ 0.0478</v>
      </c>
      <c r="C1502" s="42" t="str">
        <f t="shared" si="46"/>
        <v/>
      </c>
      <c r="D1502" s="44" t="str">
        <f>IF(PRESIONES!$C$22="NO","",IF(OR(LINEAS!$D$12="",DATOS!$C$22="—",ABS(LINEAS!$BG$12*DATOS!$C$67)&lt;0.00005),"*",LINEAS!$D$12&amp;" UNI G"&amp;DATOS!$C$22&amp;" "&amp;TEXT(LINEAS!$BG$12*DATOS!$C$67,DATOS!$C$68)))</f>
        <v/>
      </c>
      <c r="E1502" s="42" t="str">
        <f t="shared" si="47"/>
        <v/>
      </c>
    </row>
    <row r="1503" spans="2:5" ht="15" customHeight="1" x14ac:dyDescent="0.3">
      <c r="B1503" s="44" t="str">
        <f>IF(OR(LINEAS!$D$13="",ABS(-LINEAS!$AI$13*DATOS!$C$67)&lt;0.00005),"*",LINEAS!$D$13&amp;" UNI GY "&amp;TEXT(-LINEAS!$AI$13*DATOS!$C$67,DATOS!$C$68))</f>
        <v>77 117 TO 120 UNI GY 0.9559</v>
      </c>
      <c r="C1503" s="42" t="str">
        <f t="shared" si="46"/>
        <v/>
      </c>
      <c r="D1503" s="44" t="str">
        <f>IF(PRESIONES!$C$22="NO","",IF(OR(LINEAS!$D$13="",ABS(-LINEAS!$AY$13*DATOS!$C$67)&lt;0.00005),"*",LINEAS!$D$13&amp;" UNI GY "&amp;TEXT(-LINEAS!$AY$13*DATOS!$C$67,DATOS!$C$68)))</f>
        <v/>
      </c>
      <c r="E1503" s="42" t="str">
        <f t="shared" si="47"/>
        <v/>
      </c>
    </row>
    <row r="1504" spans="2:5" ht="15" customHeight="1" x14ac:dyDescent="0.3">
      <c r="B1504" s="44" t="str">
        <f>IF(OR(LINEAS!$D$13="",DATOS!$C$22="—",ABS(LINEAS!$AQ$13*DATOS!$C$67)&lt;0.00005),"*",LINEAS!$D$13&amp;" UNI G"&amp;DATOS!$C$22&amp;" "&amp;TEXT(LINEAS!$AQ$13*DATOS!$C$67,DATOS!$C$68))</f>
        <v>77 117 TO 120 UNI GZ 0.0478</v>
      </c>
      <c r="C1504" s="42" t="str">
        <f t="shared" si="46"/>
        <v/>
      </c>
      <c r="D1504" s="44" t="str">
        <f>IF(PRESIONES!$C$22="NO","",IF(OR(LINEAS!$D$13="",DATOS!$C$22="—",ABS(LINEAS!$BG$13*DATOS!$C$67)&lt;0.00005),"*",LINEAS!$D$13&amp;" UNI G"&amp;DATOS!$C$22&amp;" "&amp;TEXT(LINEAS!$BG$13*DATOS!$C$67,DATOS!$C$68)))</f>
        <v/>
      </c>
      <c r="E1504" s="42" t="str">
        <f t="shared" si="47"/>
        <v/>
      </c>
    </row>
    <row r="1505" spans="2:5" ht="15" customHeight="1" x14ac:dyDescent="0.3">
      <c r="B1505" s="44" t="str">
        <f>IF(OR(LINEAS!$D$14="",ABS(-LINEAS!$AI$14*DATOS!$C$67)&lt;0.00005),"*",LINEAS!$D$14&amp;" UNI GY "&amp;TEXT(-LINEAS!$AI$14*DATOS!$C$67,DATOS!$C$68))</f>
        <v>9 93 TO 96 UNI GY 0.9559</v>
      </c>
      <c r="C1505" s="42" t="str">
        <f t="shared" si="46"/>
        <v/>
      </c>
      <c r="D1505" s="44" t="str">
        <f>IF(PRESIONES!$C$22="NO","",IF(OR(LINEAS!$D$14="",ABS(-LINEAS!$AY$14*DATOS!$C$67)&lt;0.00005),"*",LINEAS!$D$14&amp;" UNI GY "&amp;TEXT(-LINEAS!$AY$14*DATOS!$C$67,DATOS!$C$68)))</f>
        <v/>
      </c>
      <c r="E1505" s="42" t="str">
        <f t="shared" si="47"/>
        <v/>
      </c>
    </row>
    <row r="1506" spans="2:5" ht="15" customHeight="1" x14ac:dyDescent="0.3">
      <c r="B1506" s="44" t="str">
        <f>IF(OR(LINEAS!$D$14="",DATOS!$C$22="—",ABS(LINEAS!$AQ$14*DATOS!$C$67)&lt;0.00005),"*",LINEAS!$D$14&amp;" UNI G"&amp;DATOS!$C$22&amp;" "&amp;TEXT(LINEAS!$AQ$14*DATOS!$C$67,DATOS!$C$68))</f>
        <v>9 93 TO 96 UNI GZ 0.0478</v>
      </c>
      <c r="C1506" s="42" t="str">
        <f t="shared" si="46"/>
        <v/>
      </c>
      <c r="D1506" s="44" t="str">
        <f>IF(PRESIONES!$C$22="NO","",IF(OR(LINEAS!$D$14="",DATOS!$C$22="—",ABS(LINEAS!$BG$14*DATOS!$C$67)&lt;0.00005),"*",LINEAS!$D$14&amp;" UNI G"&amp;DATOS!$C$22&amp;" "&amp;TEXT(LINEAS!$BG$14*DATOS!$C$67,DATOS!$C$68)))</f>
        <v/>
      </c>
      <c r="E1506" s="42" t="str">
        <f t="shared" si="47"/>
        <v/>
      </c>
    </row>
    <row r="1507" spans="2:5" ht="15" customHeight="1" x14ac:dyDescent="0.3">
      <c r="B1507" s="44" t="str">
        <f>IF(OR(LINEAS!$D$15="",ABS(-LINEAS!$AI$15*DATOS!$C$67)&lt;0.00005),"*",LINEAS!$D$15&amp;" UNI GY "&amp;TEXT(-LINEAS!$AI$15*DATOS!$C$67,DATOS!$C$68))</f>
        <v>76 113 TO 116 UNI GY 0.9559</v>
      </c>
      <c r="C1507" s="42" t="str">
        <f t="shared" si="46"/>
        <v/>
      </c>
      <c r="D1507" s="44" t="str">
        <f>IF(PRESIONES!$C$22="NO","",IF(OR(LINEAS!$D$15="",ABS(-LINEAS!$AY$15*DATOS!$C$67)&lt;0.00005),"*",LINEAS!$D$15&amp;" UNI GY "&amp;TEXT(-LINEAS!$AY$15*DATOS!$C$67,DATOS!$C$68)))</f>
        <v/>
      </c>
      <c r="E1507" s="42" t="str">
        <f t="shared" si="47"/>
        <v/>
      </c>
    </row>
    <row r="1508" spans="2:5" ht="15" customHeight="1" x14ac:dyDescent="0.3">
      <c r="B1508" s="44" t="str">
        <f>IF(OR(LINEAS!$D$15="",DATOS!$C$22="—",ABS(LINEAS!$AQ$15*DATOS!$C$67)&lt;0.00005),"*",LINEAS!$D$15&amp;" UNI G"&amp;DATOS!$C$22&amp;" "&amp;TEXT(LINEAS!$AQ$15*DATOS!$C$67,DATOS!$C$68))</f>
        <v>76 113 TO 116 UNI GZ 0.0478</v>
      </c>
      <c r="C1508" s="42" t="str">
        <f t="shared" si="46"/>
        <v/>
      </c>
      <c r="D1508" s="44" t="str">
        <f>IF(PRESIONES!$C$22="NO","",IF(OR(LINEAS!$D$15="",DATOS!$C$22="—",ABS(LINEAS!$BG$15*DATOS!$C$67)&lt;0.00005),"*",LINEAS!$D$15&amp;" UNI G"&amp;DATOS!$C$22&amp;" "&amp;TEXT(LINEAS!$BG$15*DATOS!$C$67,DATOS!$C$68)))</f>
        <v/>
      </c>
      <c r="E1508" s="42" t="str">
        <f t="shared" si="47"/>
        <v/>
      </c>
    </row>
    <row r="1509" spans="2:5" ht="15" customHeight="1" x14ac:dyDescent="0.3">
      <c r="B1509" s="44" t="str">
        <f>IF(OR(LINEAS!$D$16="",ABS(-LINEAS!$AI$16*DATOS!$C$67)&lt;0.00005),"*",LINEAS!$D$16&amp;" UNI GY "&amp;TEXT(-LINEAS!$AI$16*DATOS!$C$67,DATOS!$C$68))</f>
        <v>75 109 TO 112 UNI GY 0.9559</v>
      </c>
      <c r="C1509" s="42" t="str">
        <f t="shared" si="46"/>
        <v/>
      </c>
      <c r="D1509" s="44" t="str">
        <f>IF(PRESIONES!$C$22="NO","",IF(OR(LINEAS!$D$16="",ABS(-LINEAS!$AY$16*DATOS!$C$67)&lt;0.00005),"*",LINEAS!$D$16&amp;" UNI GY "&amp;TEXT(-LINEAS!$AY$16*DATOS!$C$67,DATOS!$C$68)))</f>
        <v/>
      </c>
      <c r="E1509" s="42" t="str">
        <f t="shared" si="47"/>
        <v/>
      </c>
    </row>
    <row r="1510" spans="2:5" ht="15" customHeight="1" x14ac:dyDescent="0.3">
      <c r="B1510" s="44" t="str">
        <f>IF(OR(LINEAS!$D$16="",DATOS!$C$22="—",ABS(LINEAS!$AQ$16*DATOS!$C$67)&lt;0.00005),"*",LINEAS!$D$16&amp;" UNI G"&amp;DATOS!$C$22&amp;" "&amp;TEXT(LINEAS!$AQ$16*DATOS!$C$67,DATOS!$C$68))</f>
        <v>75 109 TO 112 UNI GZ 0.0478</v>
      </c>
      <c r="C1510" s="42" t="str">
        <f t="shared" si="46"/>
        <v/>
      </c>
      <c r="D1510" s="44" t="str">
        <f>IF(PRESIONES!$C$22="NO","",IF(OR(LINEAS!$D$16="",DATOS!$C$22="—",ABS(LINEAS!$BG$16*DATOS!$C$67)&lt;0.00005),"*",LINEAS!$D$16&amp;" UNI G"&amp;DATOS!$C$22&amp;" "&amp;TEXT(LINEAS!$BG$16*DATOS!$C$67,DATOS!$C$68)))</f>
        <v/>
      </c>
      <c r="E1510" s="42" t="str">
        <f t="shared" si="47"/>
        <v/>
      </c>
    </row>
    <row r="1511" spans="2:5" ht="15" customHeight="1" x14ac:dyDescent="0.3">
      <c r="B1511" s="44" t="str">
        <f>IF(OR(LINEAS!$D$17="",ABS(-LINEAS!$AI$17*DATOS!$C$67)&lt;0.00005),"*",LINEAS!$D$17&amp;" UNI GY "&amp;TEXT(-LINEAS!$AI$17*DATOS!$C$67,DATOS!$C$68))</f>
        <v>74 105 TO 108 UNI GY 0.9559</v>
      </c>
      <c r="C1511" s="42" t="str">
        <f t="shared" si="46"/>
        <v/>
      </c>
      <c r="D1511" s="44" t="str">
        <f>IF(PRESIONES!$C$22="NO","",IF(OR(LINEAS!$D$17="",ABS(-LINEAS!$AY$17*DATOS!$C$67)&lt;0.00005),"*",LINEAS!$D$17&amp;" UNI GY "&amp;TEXT(-LINEAS!$AY$17*DATOS!$C$67,DATOS!$C$68)))</f>
        <v/>
      </c>
      <c r="E1511" s="42" t="str">
        <f t="shared" si="47"/>
        <v/>
      </c>
    </row>
    <row r="1512" spans="2:5" ht="15" customHeight="1" x14ac:dyDescent="0.3">
      <c r="B1512" s="44" t="str">
        <f>IF(OR(LINEAS!$D$17="",DATOS!$C$22="—",ABS(LINEAS!$AQ$17*DATOS!$C$67)&lt;0.00005),"*",LINEAS!$D$17&amp;" UNI G"&amp;DATOS!$C$22&amp;" "&amp;TEXT(LINEAS!$AQ$17*DATOS!$C$67,DATOS!$C$68))</f>
        <v>74 105 TO 108 UNI GZ 0.0478</v>
      </c>
      <c r="C1512" s="42" t="str">
        <f t="shared" si="46"/>
        <v/>
      </c>
      <c r="D1512" s="44" t="str">
        <f>IF(PRESIONES!$C$22="NO","",IF(OR(LINEAS!$D$17="",DATOS!$C$22="—",ABS(LINEAS!$BG$17*DATOS!$C$67)&lt;0.00005),"*",LINEAS!$D$17&amp;" UNI G"&amp;DATOS!$C$22&amp;" "&amp;TEXT(LINEAS!$BG$17*DATOS!$C$67,DATOS!$C$68)))</f>
        <v/>
      </c>
      <c r="E1512" s="42" t="str">
        <f t="shared" si="47"/>
        <v/>
      </c>
    </row>
    <row r="1513" spans="2:5" ht="15" customHeight="1" x14ac:dyDescent="0.3">
      <c r="B1513" s="44" t="str">
        <f>IF(OR(LINEAS!$D$18="",ABS(-LINEAS!$AI$18*DATOS!$C$67)&lt;0.00005),"*",LINEAS!$D$18&amp;" UNI GY "&amp;TEXT(-LINEAS!$AI$18*DATOS!$C$67,DATOS!$C$68))</f>
        <v>73 101 TO 104 UNI GY 0.9559</v>
      </c>
      <c r="C1513" s="42" t="str">
        <f t="shared" si="46"/>
        <v/>
      </c>
      <c r="D1513" s="44" t="str">
        <f>IF(PRESIONES!$C$22="NO","",IF(OR(LINEAS!$D$18="",ABS(-LINEAS!$AY$18*DATOS!$C$67)&lt;0.00005),"*",LINEAS!$D$18&amp;" UNI GY "&amp;TEXT(-LINEAS!$AY$18*DATOS!$C$67,DATOS!$C$68)))</f>
        <v/>
      </c>
      <c r="E1513" s="42" t="str">
        <f t="shared" si="47"/>
        <v/>
      </c>
    </row>
    <row r="1514" spans="2:5" ht="15" customHeight="1" x14ac:dyDescent="0.3">
      <c r="B1514" s="44" t="str">
        <f>IF(OR(LINEAS!$D$18="",DATOS!$C$22="—",ABS(LINEAS!$AQ$18*DATOS!$C$67)&lt;0.00005),"*",LINEAS!$D$18&amp;" UNI G"&amp;DATOS!$C$22&amp;" "&amp;TEXT(LINEAS!$AQ$18*DATOS!$C$67,DATOS!$C$68))</f>
        <v>73 101 TO 104 UNI GZ 0.0478</v>
      </c>
      <c r="C1514" s="42" t="str">
        <f t="shared" si="46"/>
        <v/>
      </c>
      <c r="D1514" s="44" t="str">
        <f>IF(PRESIONES!$C$22="NO","",IF(OR(LINEAS!$D$18="",DATOS!$C$22="—",ABS(LINEAS!$BG$18*DATOS!$C$67)&lt;0.00005),"*",LINEAS!$D$18&amp;" UNI G"&amp;DATOS!$C$22&amp;" "&amp;TEXT(LINEAS!$BG$18*DATOS!$C$67,DATOS!$C$68)))</f>
        <v/>
      </c>
      <c r="E1514" s="42" t="str">
        <f t="shared" si="47"/>
        <v/>
      </c>
    </row>
    <row r="1515" spans="2:5" ht="15" customHeight="1" x14ac:dyDescent="0.3">
      <c r="B1515" s="44" t="str">
        <f>IF(OR(LINEAS!$D$19="",ABS(-LINEAS!$AI$19*DATOS!$C$67)&lt;0.00005),"*",LINEAS!$D$19&amp;" UNI GY "&amp;TEXT(-LINEAS!$AI$19*DATOS!$C$67,DATOS!$C$68))</f>
        <v>8 89 TO 92 UNI GY 0.9205</v>
      </c>
      <c r="C1515" s="42" t="str">
        <f t="shared" si="46"/>
        <v/>
      </c>
      <c r="D1515" s="44" t="str">
        <f>IF(PRESIONES!$C$22="NO","",IF(OR(LINEAS!$D$19="",ABS(-LINEAS!$AY$19*DATOS!$C$67)&lt;0.00005),"*",LINEAS!$D$19&amp;" UNI GY "&amp;TEXT(-LINEAS!$AY$19*DATOS!$C$67,DATOS!$C$68)))</f>
        <v/>
      </c>
      <c r="E1515" s="42" t="str">
        <f t="shared" si="47"/>
        <v/>
      </c>
    </row>
    <row r="1516" spans="2:5" ht="15" customHeight="1" x14ac:dyDescent="0.3">
      <c r="B1516" s="44" t="str">
        <f>IF(OR(LINEAS!$D$19="",DATOS!$C$22="—",ABS(LINEAS!$AQ$19*DATOS!$C$67)&lt;0.00005),"*",LINEAS!$D$19&amp;" UNI G"&amp;DATOS!$C$22&amp;" "&amp;TEXT(LINEAS!$AQ$19*DATOS!$C$67,DATOS!$C$68))</f>
        <v>8 89 TO 92 UNI GZ 0.0460</v>
      </c>
      <c r="C1516" s="42" t="str">
        <f t="shared" si="46"/>
        <v/>
      </c>
      <c r="D1516" s="44" t="str">
        <f>IF(PRESIONES!$C$22="NO","",IF(OR(LINEAS!$D$19="",DATOS!$C$22="—",ABS(LINEAS!$BG$19*DATOS!$C$67)&lt;0.00005),"*",LINEAS!$D$19&amp;" UNI G"&amp;DATOS!$C$22&amp;" "&amp;TEXT(LINEAS!$BG$19*DATOS!$C$67,DATOS!$C$68)))</f>
        <v/>
      </c>
      <c r="E1516" s="42" t="str">
        <f t="shared" si="47"/>
        <v/>
      </c>
    </row>
    <row r="1517" spans="2:5" ht="15" customHeight="1" x14ac:dyDescent="0.3">
      <c r="B1517" s="44" t="str">
        <f>IF(OR(LINEAS!$D$20="",ABS(-LINEAS!$AI$20*DATOS!$C$67)&lt;0.00005),"*",LINEAS!$D$20&amp;" UNI GY "&amp;TEXT(-LINEAS!$AI$20*DATOS!$C$67,DATOS!$C$68))</f>
        <v>56 97 TO 100 UNI GY 0.8851</v>
      </c>
      <c r="C1517" s="42" t="str">
        <f t="shared" si="46"/>
        <v/>
      </c>
      <c r="D1517" s="44" t="str">
        <f>IF(PRESIONES!$C$22="NO","",IF(OR(LINEAS!$D$20="",ABS(-LINEAS!$AY$20*DATOS!$C$67)&lt;0.00005),"*",LINEAS!$D$20&amp;" UNI GY "&amp;TEXT(-LINEAS!$AY$20*DATOS!$C$67,DATOS!$C$68)))</f>
        <v/>
      </c>
      <c r="E1517" s="42" t="str">
        <f t="shared" si="47"/>
        <v/>
      </c>
    </row>
    <row r="1518" spans="2:5" ht="15" customHeight="1" x14ac:dyDescent="0.3">
      <c r="B1518" s="44" t="str">
        <f>IF(OR(LINEAS!$D$20="",DATOS!$C$22="—",ABS(LINEAS!$AQ$20*DATOS!$C$67)&lt;0.00005),"*",LINEAS!$D$20&amp;" UNI G"&amp;DATOS!$C$22&amp;" "&amp;TEXT(LINEAS!$AQ$20*DATOS!$C$67,DATOS!$C$68))</f>
        <v>56 97 TO 100 UNI GZ 0.0443</v>
      </c>
      <c r="C1518" s="42" t="str">
        <f t="shared" si="46"/>
        <v/>
      </c>
      <c r="D1518" s="44" t="str">
        <f>IF(PRESIONES!$C$22="NO","",IF(OR(LINEAS!$D$20="",DATOS!$C$22="—",ABS(LINEAS!$BG$20*DATOS!$C$67)&lt;0.00005),"*",LINEAS!$D$20&amp;" UNI G"&amp;DATOS!$C$22&amp;" "&amp;TEXT(LINEAS!$BG$20*DATOS!$C$67,DATOS!$C$68)))</f>
        <v/>
      </c>
      <c r="E1518" s="42" t="str">
        <f t="shared" si="47"/>
        <v/>
      </c>
    </row>
    <row r="1519" spans="2:5" ht="15" customHeight="1" x14ac:dyDescent="0.3">
      <c r="B1519" s="44" t="str">
        <f>IF(OR(LINEAS!$D$21="",ABS(-LINEAS!$AI$21*DATOS!$C$67)&lt;0.00005),"*",LINEAS!$D$21&amp;" UNI GY "&amp;TEXT(-LINEAS!$AI$21*DATOS!$C$67,DATOS!$C$68))</f>
        <v>7 81 TO 84 UNI GY 0.4425</v>
      </c>
      <c r="C1519" s="42" t="str">
        <f t="shared" si="46"/>
        <v/>
      </c>
      <c r="D1519" s="44" t="str">
        <f>IF(PRESIONES!$C$22="NO","",IF(OR(LINEAS!$D$21="",ABS(-LINEAS!$AY$21*DATOS!$C$67)&lt;0.00005),"*",LINEAS!$D$21&amp;" UNI GY "&amp;TEXT(-LINEAS!$AY$21*DATOS!$C$67,DATOS!$C$68)))</f>
        <v/>
      </c>
      <c r="E1519" s="42" t="str">
        <f t="shared" si="47"/>
        <v/>
      </c>
    </row>
    <row r="1520" spans="2:5" ht="15" customHeight="1" x14ac:dyDescent="0.3">
      <c r="B1520" s="44" t="str">
        <f>IF(OR(LINEAS!$D$21="",DATOS!$C$22="—",ABS(LINEAS!$AQ$21*DATOS!$C$67)&lt;0.00005),"*",LINEAS!$D$21&amp;" UNI G"&amp;DATOS!$C$22&amp;" "&amp;TEXT(LINEAS!$AQ$21*DATOS!$C$67,DATOS!$C$68))</f>
        <v>7 81 TO 84 UNI GZ 0.0221</v>
      </c>
      <c r="C1520" s="42" t="str">
        <f t="shared" si="46"/>
        <v/>
      </c>
      <c r="D1520" s="44" t="str">
        <f>IF(PRESIONES!$C$22="NO","",IF(OR(LINEAS!$D$21="",DATOS!$C$22="—",ABS(LINEAS!$BG$21*DATOS!$C$67)&lt;0.00005),"*",LINEAS!$D$21&amp;" UNI G"&amp;DATOS!$C$22&amp;" "&amp;TEXT(LINEAS!$BG$21*DATOS!$C$67,DATOS!$C$68)))</f>
        <v/>
      </c>
      <c r="E1520" s="42" t="str">
        <f t="shared" si="47"/>
        <v/>
      </c>
    </row>
    <row r="1521" spans="2:5" ht="15" customHeight="1" x14ac:dyDescent="0.3">
      <c r="B1521" s="44" t="str">
        <f>IF(OR(LINEAS!$D$22="",ABS(-LINEAS!$AI$22*DATOS!$C$67)&lt;0.00005),"*",LINEAS!$D$22&amp;" UNI GY "&amp;TEXT(-LINEAS!$AI$22*DATOS!$C$67,DATOS!$C$68))</f>
        <v>*</v>
      </c>
      <c r="C1521" s="42" t="str">
        <f t="shared" si="46"/>
        <v/>
      </c>
      <c r="D1521" s="44" t="str">
        <f>IF(PRESIONES!$C$22="NO","",IF(OR(LINEAS!$D$22="",ABS(-LINEAS!$AY$22*DATOS!$C$67)&lt;0.00005),"*",LINEAS!$D$22&amp;" UNI GY "&amp;TEXT(-LINEAS!$AY$22*DATOS!$C$67,DATOS!$C$68)))</f>
        <v/>
      </c>
      <c r="E1521" s="42" t="str">
        <f t="shared" si="47"/>
        <v/>
      </c>
    </row>
    <row r="1522" spans="2:5" ht="15" customHeight="1" x14ac:dyDescent="0.3">
      <c r="B1522" s="44" t="str">
        <f>IF(OR(LINEAS!$D$22="",DATOS!$C$22="—",ABS(LINEAS!$AQ$22*DATOS!$C$67)&lt;0.00005),"*",LINEAS!$D$22&amp;" UNI G"&amp;DATOS!$C$22&amp;" "&amp;TEXT(LINEAS!$AQ$22*DATOS!$C$67,DATOS!$C$68))</f>
        <v>*</v>
      </c>
      <c r="C1522" s="42" t="str">
        <f t="shared" si="46"/>
        <v/>
      </c>
      <c r="D1522" s="44" t="str">
        <f>IF(PRESIONES!$C$22="NO","",IF(OR(LINEAS!$D$22="",DATOS!$C$22="—",ABS(LINEAS!$BG$22*DATOS!$C$67)&lt;0.00005),"*",LINEAS!$D$22&amp;" UNI G"&amp;DATOS!$C$22&amp;" "&amp;TEXT(LINEAS!$BG$22*DATOS!$C$67,DATOS!$C$68)))</f>
        <v/>
      </c>
      <c r="E1522" s="42" t="str">
        <f t="shared" si="47"/>
        <v/>
      </c>
    </row>
    <row r="1523" spans="2:5" ht="15" customHeight="1" x14ac:dyDescent="0.3">
      <c r="B1523" s="44" t="str">
        <f>IF(OR(LINEAS!$D$23="",ABS(-LINEAS!$AI$23*DATOS!$C$67)&lt;0.00005),"*",LINEAS!$D$23&amp;" UNI GY "&amp;TEXT(-LINEAS!$AI$23*DATOS!$C$67,DATOS!$C$68))</f>
        <v>*</v>
      </c>
      <c r="C1523" s="42" t="str">
        <f t="shared" si="46"/>
        <v/>
      </c>
      <c r="D1523" s="44" t="str">
        <f>IF(PRESIONES!$C$22="NO","",IF(OR(LINEAS!$D$23="",ABS(-LINEAS!$AY$23*DATOS!$C$67)&lt;0.00005),"*",LINEAS!$D$23&amp;" UNI GY "&amp;TEXT(-LINEAS!$AY$23*DATOS!$C$67,DATOS!$C$68)))</f>
        <v/>
      </c>
      <c r="E1523" s="42" t="str">
        <f t="shared" si="47"/>
        <v/>
      </c>
    </row>
    <row r="1524" spans="2:5" ht="15" customHeight="1" x14ac:dyDescent="0.3">
      <c r="B1524" s="44" t="str">
        <f>IF(OR(LINEAS!$D$23="",DATOS!$C$22="—",ABS(LINEAS!$AQ$23*DATOS!$C$67)&lt;0.00005),"*",LINEAS!$D$23&amp;" UNI G"&amp;DATOS!$C$22&amp;" "&amp;TEXT(LINEAS!$AQ$23*DATOS!$C$67,DATOS!$C$68))</f>
        <v>*</v>
      </c>
      <c r="C1524" s="42" t="str">
        <f t="shared" si="46"/>
        <v/>
      </c>
      <c r="D1524" s="44" t="str">
        <f>IF(PRESIONES!$C$22="NO","",IF(OR(LINEAS!$D$23="",DATOS!$C$22="—",ABS(LINEAS!$BG$23*DATOS!$C$67)&lt;0.00005),"*",LINEAS!$D$23&amp;" UNI G"&amp;DATOS!$C$22&amp;" "&amp;TEXT(LINEAS!$BG$23*DATOS!$C$67,DATOS!$C$68)))</f>
        <v/>
      </c>
      <c r="E1524" s="42" t="str">
        <f t="shared" si="47"/>
        <v/>
      </c>
    </row>
    <row r="1525" spans="2:5" ht="15" customHeight="1" x14ac:dyDescent="0.3">
      <c r="B1525" s="44" t="str">
        <f>IF(OR(LINEAS!$D$24="",ABS(-LINEAS!$AI$24*DATOS!$C$67)&lt;0.00005),"*",LINEAS!$D$24&amp;" UNI GY "&amp;TEXT(-LINEAS!$AI$24*DATOS!$C$67,DATOS!$C$68))</f>
        <v>*</v>
      </c>
      <c r="C1525" s="42" t="str">
        <f t="shared" si="46"/>
        <v/>
      </c>
      <c r="D1525" s="44" t="str">
        <f>IF(PRESIONES!$C$22="NO","",IF(OR(LINEAS!$D$24="",ABS(-LINEAS!$AY$24*DATOS!$C$67)&lt;0.00005),"*",LINEAS!$D$24&amp;" UNI GY "&amp;TEXT(-LINEAS!$AY$24*DATOS!$C$67,DATOS!$C$68)))</f>
        <v/>
      </c>
      <c r="E1525" s="42" t="str">
        <f t="shared" si="47"/>
        <v/>
      </c>
    </row>
    <row r="1526" spans="2:5" ht="15" customHeight="1" x14ac:dyDescent="0.3">
      <c r="B1526" s="44" t="str">
        <f>IF(OR(LINEAS!$D$24="",DATOS!$C$22="—",ABS(LINEAS!$AQ$24*DATOS!$C$67)&lt;0.00005),"*",LINEAS!$D$24&amp;" UNI G"&amp;DATOS!$C$22&amp;" "&amp;TEXT(LINEAS!$AQ$24*DATOS!$C$67,DATOS!$C$68))</f>
        <v>*</v>
      </c>
      <c r="C1526" s="42" t="str">
        <f t="shared" si="46"/>
        <v/>
      </c>
      <c r="D1526" s="44" t="str">
        <f>IF(PRESIONES!$C$22="NO","",IF(OR(LINEAS!$D$24="",DATOS!$C$22="—",ABS(LINEAS!$BG$24*DATOS!$C$67)&lt;0.00005),"*",LINEAS!$D$24&amp;" UNI G"&amp;DATOS!$C$22&amp;" "&amp;TEXT(LINEAS!$BG$24*DATOS!$C$67,DATOS!$C$68)))</f>
        <v/>
      </c>
      <c r="E1526" s="42" t="str">
        <f t="shared" si="47"/>
        <v/>
      </c>
    </row>
    <row r="1527" spans="2:5" ht="15" customHeight="1" x14ac:dyDescent="0.3">
      <c r="B1527" s="44" t="str">
        <f>IF(OR(LINEAS!$D$25="",ABS(-LINEAS!$AI$25*DATOS!$C$67)&lt;0.00005),"*",LINEAS!$D$25&amp;" UNI GY "&amp;TEXT(-LINEAS!$AI$25*DATOS!$C$67,DATOS!$C$68))</f>
        <v>*</v>
      </c>
      <c r="C1527" s="42" t="str">
        <f t="shared" si="46"/>
        <v/>
      </c>
      <c r="D1527" s="44" t="str">
        <f>IF(PRESIONES!$C$22="NO","",IF(OR(LINEAS!$D$25="",ABS(-LINEAS!$AY$25*DATOS!$C$67)&lt;0.00005),"*",LINEAS!$D$25&amp;" UNI GY "&amp;TEXT(-LINEAS!$AY$25*DATOS!$C$67,DATOS!$C$68)))</f>
        <v/>
      </c>
      <c r="E1527" s="42" t="str">
        <f t="shared" si="47"/>
        <v/>
      </c>
    </row>
    <row r="1528" spans="2:5" ht="15" customHeight="1" x14ac:dyDescent="0.3">
      <c r="B1528" s="44" t="str">
        <f>IF(OR(LINEAS!$D$25="",DATOS!$C$22="—",ABS(LINEAS!$AQ$25*DATOS!$C$67)&lt;0.00005),"*",LINEAS!$D$25&amp;" UNI G"&amp;DATOS!$C$22&amp;" "&amp;TEXT(LINEAS!$AQ$25*DATOS!$C$67,DATOS!$C$68))</f>
        <v>*</v>
      </c>
      <c r="C1528" s="42" t="str">
        <f t="shared" si="46"/>
        <v/>
      </c>
      <c r="D1528" s="44" t="str">
        <f>IF(PRESIONES!$C$22="NO","",IF(OR(LINEAS!$D$25="",DATOS!$C$22="—",ABS(LINEAS!$BG$25*DATOS!$C$67)&lt;0.00005),"*",LINEAS!$D$25&amp;" UNI G"&amp;DATOS!$C$22&amp;" "&amp;TEXT(LINEAS!$BG$25*DATOS!$C$67,DATOS!$C$68)))</f>
        <v/>
      </c>
      <c r="E1528" s="42" t="str">
        <f t="shared" si="47"/>
        <v/>
      </c>
    </row>
    <row r="1529" spans="2:5" ht="15" customHeight="1" x14ac:dyDescent="0.3">
      <c r="B1529" s="44" t="str">
        <f>IF(OR(LINEAS!$D$26="",ABS(-LINEAS!$AI$26*DATOS!$C$67)&lt;0.00005),"*",LINEAS!$D$26&amp;" UNI GY "&amp;TEXT(-LINEAS!$AI$26*DATOS!$C$67,DATOS!$C$68))</f>
        <v>*</v>
      </c>
      <c r="C1529" s="42" t="str">
        <f t="shared" si="46"/>
        <v/>
      </c>
      <c r="D1529" s="44" t="str">
        <f>IF(PRESIONES!$C$22="NO","",IF(OR(LINEAS!$D$26="",ABS(-LINEAS!$AY$26*DATOS!$C$67)&lt;0.00005),"*",LINEAS!$D$26&amp;" UNI GY "&amp;TEXT(-LINEAS!$AY$26*DATOS!$C$67,DATOS!$C$68)))</f>
        <v/>
      </c>
      <c r="E1529" s="42" t="str">
        <f t="shared" si="47"/>
        <v/>
      </c>
    </row>
    <row r="1530" spans="2:5" ht="15" customHeight="1" x14ac:dyDescent="0.3">
      <c r="B1530" s="44" t="str">
        <f>IF(OR(LINEAS!$D$26="",DATOS!$C$22="—",ABS(LINEAS!$AQ$26*DATOS!$C$67)&lt;0.00005),"*",LINEAS!$D$26&amp;" UNI G"&amp;DATOS!$C$22&amp;" "&amp;TEXT(LINEAS!$AQ$26*DATOS!$C$67,DATOS!$C$68))</f>
        <v>*</v>
      </c>
      <c r="C1530" s="42" t="str">
        <f t="shared" si="46"/>
        <v/>
      </c>
      <c r="D1530" s="44" t="str">
        <f>IF(PRESIONES!$C$22="NO","",IF(OR(LINEAS!$D$26="",DATOS!$C$22="—",ABS(LINEAS!$BG$26*DATOS!$C$67)&lt;0.00005),"*",LINEAS!$D$26&amp;" UNI G"&amp;DATOS!$C$22&amp;" "&amp;TEXT(LINEAS!$BG$26*DATOS!$C$67,DATOS!$C$68)))</f>
        <v/>
      </c>
      <c r="E1530" s="42" t="str">
        <f t="shared" si="47"/>
        <v/>
      </c>
    </row>
    <row r="1531" spans="2:5" ht="15" customHeight="1" x14ac:dyDescent="0.3">
      <c r="B1531" s="44" t="str">
        <f>IF(OR(LINEAS!$D$27="",ABS(-LINEAS!$AI$27*DATOS!$C$67)&lt;0.00005),"*",LINEAS!$D$27&amp;" UNI GY "&amp;TEXT(-LINEAS!$AI$27*DATOS!$C$67,DATOS!$C$68))</f>
        <v>*</v>
      </c>
      <c r="C1531" s="42" t="str">
        <f t="shared" si="46"/>
        <v/>
      </c>
      <c r="D1531" s="44" t="str">
        <f>IF(PRESIONES!$C$22="NO","",IF(OR(LINEAS!$D$27="",ABS(-LINEAS!$AY$27*DATOS!$C$67)&lt;0.00005),"*",LINEAS!$D$27&amp;" UNI GY "&amp;TEXT(-LINEAS!$AY$27*DATOS!$C$67,DATOS!$C$68)))</f>
        <v/>
      </c>
      <c r="E1531" s="42" t="str">
        <f t="shared" si="47"/>
        <v/>
      </c>
    </row>
    <row r="1532" spans="2:5" ht="15" customHeight="1" x14ac:dyDescent="0.3">
      <c r="B1532" s="44" t="str">
        <f>IF(OR(LINEAS!$D$27="",DATOS!$C$22="—",ABS(LINEAS!$AQ$27*DATOS!$C$67)&lt;0.00005),"*",LINEAS!$D$27&amp;" UNI G"&amp;DATOS!$C$22&amp;" "&amp;TEXT(LINEAS!$AQ$27*DATOS!$C$67,DATOS!$C$68))</f>
        <v>*</v>
      </c>
      <c r="C1532" s="42" t="str">
        <f t="shared" si="46"/>
        <v/>
      </c>
      <c r="D1532" s="44" t="str">
        <f>IF(PRESIONES!$C$22="NO","",IF(OR(LINEAS!$D$27="",DATOS!$C$22="—",ABS(LINEAS!$BG$27*DATOS!$C$67)&lt;0.00005),"*",LINEAS!$D$27&amp;" UNI G"&amp;DATOS!$C$22&amp;" "&amp;TEXT(LINEAS!$BG$27*DATOS!$C$67,DATOS!$C$68)))</f>
        <v/>
      </c>
      <c r="E1532" s="42" t="str">
        <f t="shared" si="47"/>
        <v/>
      </c>
    </row>
    <row r="1533" spans="2:5" ht="15" customHeight="1" x14ac:dyDescent="0.3">
      <c r="B1533" s="44" t="str">
        <f>IF(OR(LINEAS!$D$28="",ABS(-LINEAS!$AI$28*DATOS!$C$67)&lt;0.00005),"*",LINEAS!$D$28&amp;" UNI GY "&amp;TEXT(-LINEAS!$AI$28*DATOS!$C$67,DATOS!$C$68))</f>
        <v>*</v>
      </c>
      <c r="C1533" s="42" t="str">
        <f t="shared" si="46"/>
        <v/>
      </c>
      <c r="D1533" s="44" t="str">
        <f>IF(PRESIONES!$C$22="NO","",IF(OR(LINEAS!$D$28="",ABS(-LINEAS!$AY$28*DATOS!$C$67)&lt;0.00005),"*",LINEAS!$D$28&amp;" UNI GY "&amp;TEXT(-LINEAS!$AY$28*DATOS!$C$67,DATOS!$C$68)))</f>
        <v/>
      </c>
      <c r="E1533" s="42" t="str">
        <f t="shared" si="47"/>
        <v/>
      </c>
    </row>
    <row r="1534" spans="2:5" ht="15" customHeight="1" x14ac:dyDescent="0.3">
      <c r="B1534" s="44" t="str">
        <f>IF(OR(LINEAS!$D$28="",DATOS!$C$22="—",ABS(LINEAS!$AQ$28*DATOS!$C$67)&lt;0.00005),"*",LINEAS!$D$28&amp;" UNI G"&amp;DATOS!$C$22&amp;" "&amp;TEXT(LINEAS!$AQ$28*DATOS!$C$67,DATOS!$C$68))</f>
        <v>*</v>
      </c>
      <c r="C1534" s="42" t="str">
        <f t="shared" si="46"/>
        <v/>
      </c>
      <c r="D1534" s="44" t="str">
        <f>IF(PRESIONES!$C$22="NO","",IF(OR(LINEAS!$D$28="",DATOS!$C$22="—",ABS(LINEAS!$BG$28*DATOS!$C$67)&lt;0.00005),"*",LINEAS!$D$28&amp;" UNI G"&amp;DATOS!$C$22&amp;" "&amp;TEXT(LINEAS!$BG$28*DATOS!$C$67,DATOS!$C$68)))</f>
        <v/>
      </c>
      <c r="E1534" s="42" t="str">
        <f t="shared" si="47"/>
        <v/>
      </c>
    </row>
    <row r="1535" spans="2:5" ht="15" customHeight="1" x14ac:dyDescent="0.3">
      <c r="B1535" s="44" t="str">
        <f>IF(OR(LINEAS!$D$29="",ABS(-LINEAS!$AI$29*DATOS!$C$67)&lt;0.00005),"*",LINEAS!$D$29&amp;" UNI GY "&amp;TEXT(-LINEAS!$AI$29*DATOS!$C$67,DATOS!$C$68))</f>
        <v>*</v>
      </c>
      <c r="C1535" s="42" t="str">
        <f t="shared" si="46"/>
        <v/>
      </c>
      <c r="D1535" s="44" t="str">
        <f>IF(PRESIONES!$C$22="NO","",IF(OR(LINEAS!$D$29="",ABS(-LINEAS!$AY$29*DATOS!$C$67)&lt;0.00005),"*",LINEAS!$D$29&amp;" UNI GY "&amp;TEXT(-LINEAS!$AY$29*DATOS!$C$67,DATOS!$C$68)))</f>
        <v/>
      </c>
      <c r="E1535" s="42" t="str">
        <f t="shared" si="47"/>
        <v/>
      </c>
    </row>
    <row r="1536" spans="2:5" ht="15" customHeight="1" x14ac:dyDescent="0.3">
      <c r="B1536" s="44" t="str">
        <f>IF(OR(LINEAS!$D$29="",DATOS!$C$22="—",ABS(LINEAS!$AQ$29*DATOS!$C$67)&lt;0.00005),"*",LINEAS!$D$29&amp;" UNI G"&amp;DATOS!$C$22&amp;" "&amp;TEXT(LINEAS!$AQ$29*DATOS!$C$67,DATOS!$C$68))</f>
        <v>*</v>
      </c>
      <c r="C1536" s="42" t="str">
        <f t="shared" si="46"/>
        <v/>
      </c>
      <c r="D1536" s="44" t="str">
        <f>IF(PRESIONES!$C$22="NO","",IF(OR(LINEAS!$D$29="",DATOS!$C$22="—",ABS(LINEAS!$BG$29*DATOS!$C$67)&lt;0.00005),"*",LINEAS!$D$29&amp;" UNI G"&amp;DATOS!$C$22&amp;" "&amp;TEXT(LINEAS!$BG$29*DATOS!$C$67,DATOS!$C$68)))</f>
        <v/>
      </c>
      <c r="E1536" s="42" t="str">
        <f t="shared" si="47"/>
        <v/>
      </c>
    </row>
    <row r="1537" spans="2:5" ht="15" customHeight="1" x14ac:dyDescent="0.3">
      <c r="B1537" s="44" t="str">
        <f>IF(OR(LINEAS!$D$30="",ABS(-LINEAS!$AI$30*DATOS!$C$67)&lt;0.00005),"*",LINEAS!$D$30&amp;" UNI GY "&amp;TEXT(-LINEAS!$AI$30*DATOS!$C$67,DATOS!$C$68))</f>
        <v>*</v>
      </c>
      <c r="C1537" s="42" t="str">
        <f t="shared" si="46"/>
        <v/>
      </c>
      <c r="D1537" s="44" t="str">
        <f>IF(PRESIONES!$C$22="NO","",IF(OR(LINEAS!$D$30="",ABS(-LINEAS!$AY$30*DATOS!$C$67)&lt;0.00005),"*",LINEAS!$D$30&amp;" UNI GY "&amp;TEXT(-LINEAS!$AY$30*DATOS!$C$67,DATOS!$C$68)))</f>
        <v/>
      </c>
      <c r="E1537" s="42" t="str">
        <f t="shared" si="47"/>
        <v/>
      </c>
    </row>
    <row r="1538" spans="2:5" ht="15" customHeight="1" x14ac:dyDescent="0.3">
      <c r="B1538" s="44" t="str">
        <f>IF(OR(LINEAS!$D$30="",DATOS!$C$22="—",ABS(LINEAS!$AQ$30*DATOS!$C$67)&lt;0.00005),"*",LINEAS!$D$30&amp;" UNI G"&amp;DATOS!$C$22&amp;" "&amp;TEXT(LINEAS!$AQ$30*DATOS!$C$67,DATOS!$C$68))</f>
        <v>*</v>
      </c>
      <c r="C1538" s="42" t="str">
        <f t="shared" si="46"/>
        <v/>
      </c>
      <c r="D1538" s="44" t="str">
        <f>IF(PRESIONES!$C$22="NO","",IF(OR(LINEAS!$D$30="",DATOS!$C$22="—",ABS(LINEAS!$BG$30*DATOS!$C$67)&lt;0.00005),"*",LINEAS!$D$30&amp;" UNI G"&amp;DATOS!$C$22&amp;" "&amp;TEXT(LINEAS!$BG$30*DATOS!$C$67,DATOS!$C$68)))</f>
        <v/>
      </c>
      <c r="E1538" s="42" t="str">
        <f t="shared" si="47"/>
        <v/>
      </c>
    </row>
    <row r="1539" spans="2:5" ht="15" customHeight="1" x14ac:dyDescent="0.3">
      <c r="B1539" s="44" t="str">
        <f>IF(OR(LINEAS!$D$31="",ABS(-LINEAS!$AI$31*DATOS!$C$67)&lt;0.00005),"*",LINEAS!$D$31&amp;" UNI GY "&amp;TEXT(-LINEAS!$AI$31*DATOS!$C$67,DATOS!$C$68))</f>
        <v>*</v>
      </c>
      <c r="C1539" s="42" t="str">
        <f t="shared" si="46"/>
        <v/>
      </c>
      <c r="D1539" s="44" t="str">
        <f>IF(PRESIONES!$C$22="NO","",IF(OR(LINEAS!$D$31="",ABS(-LINEAS!$AY$31*DATOS!$C$67)&lt;0.00005),"*",LINEAS!$D$31&amp;" UNI GY "&amp;TEXT(-LINEAS!$AY$31*DATOS!$C$67,DATOS!$C$68)))</f>
        <v/>
      </c>
      <c r="E1539" s="42" t="str">
        <f t="shared" si="47"/>
        <v/>
      </c>
    </row>
    <row r="1540" spans="2:5" ht="15" customHeight="1" x14ac:dyDescent="0.3">
      <c r="B1540" s="44" t="str">
        <f>IF(OR(LINEAS!$D$31="",DATOS!$C$22="—",ABS(LINEAS!$AQ$31*DATOS!$C$67)&lt;0.00005),"*",LINEAS!$D$31&amp;" UNI G"&amp;DATOS!$C$22&amp;" "&amp;TEXT(LINEAS!$AQ$31*DATOS!$C$67,DATOS!$C$68))</f>
        <v>*</v>
      </c>
      <c r="C1540" s="42" t="str">
        <f t="shared" si="46"/>
        <v/>
      </c>
      <c r="D1540" s="44" t="str">
        <f>IF(PRESIONES!$C$22="NO","",IF(OR(LINEAS!$D$31="",DATOS!$C$22="—",ABS(LINEAS!$BG$31*DATOS!$C$67)&lt;0.00005),"*",LINEAS!$D$31&amp;" UNI G"&amp;DATOS!$C$22&amp;" "&amp;TEXT(LINEAS!$BG$31*DATOS!$C$67,DATOS!$C$68)))</f>
        <v/>
      </c>
      <c r="E1540" s="42" t="str">
        <f t="shared" si="47"/>
        <v/>
      </c>
    </row>
    <row r="1541" spans="2:5" ht="15" customHeight="1" x14ac:dyDescent="0.3">
      <c r="B1541" s="44" t="str">
        <f>IF(OR(LINEAS!$D$32="",ABS(-LINEAS!$AI$32*DATOS!$C$67)&lt;0.00005),"*",LINEAS!$D$32&amp;" UNI GY "&amp;TEXT(-LINEAS!$AI$32*DATOS!$C$67,DATOS!$C$68))</f>
        <v>*</v>
      </c>
      <c r="C1541" s="42" t="str">
        <f t="shared" si="46"/>
        <v/>
      </c>
      <c r="D1541" s="44" t="str">
        <f>IF(PRESIONES!$C$22="NO","",IF(OR(LINEAS!$D$32="",ABS(-LINEAS!$AY$32*DATOS!$C$67)&lt;0.00005),"*",LINEAS!$D$32&amp;" UNI GY "&amp;TEXT(-LINEAS!$AY$32*DATOS!$C$67,DATOS!$C$68)))</f>
        <v/>
      </c>
      <c r="E1541" s="42" t="str">
        <f t="shared" si="47"/>
        <v/>
      </c>
    </row>
    <row r="1542" spans="2:5" ht="15" customHeight="1" x14ac:dyDescent="0.3">
      <c r="B1542" s="44" t="str">
        <f>IF(OR(LINEAS!$D$32="",DATOS!$C$22="—",ABS(LINEAS!$AQ$32*DATOS!$C$67)&lt;0.00005),"*",LINEAS!$D$32&amp;" UNI G"&amp;DATOS!$C$22&amp;" "&amp;TEXT(LINEAS!$AQ$32*DATOS!$C$67,DATOS!$C$68))</f>
        <v>*</v>
      </c>
      <c r="C1542" s="42" t="str">
        <f t="shared" si="46"/>
        <v/>
      </c>
      <c r="D1542" s="44" t="str">
        <f>IF(PRESIONES!$C$22="NO","",IF(OR(LINEAS!$D$32="",DATOS!$C$22="—",ABS(LINEAS!$BG$32*DATOS!$C$67)&lt;0.00005),"*",LINEAS!$D$32&amp;" UNI G"&amp;DATOS!$C$22&amp;" "&amp;TEXT(LINEAS!$BG$32*DATOS!$C$67,DATOS!$C$68)))</f>
        <v/>
      </c>
      <c r="E1542" s="42" t="str">
        <f t="shared" si="47"/>
        <v/>
      </c>
    </row>
    <row r="1543" spans="2:5" ht="15" customHeight="1" x14ac:dyDescent="0.3">
      <c r="B1543" s="44" t="str">
        <f>IF(OR(LINEAS!$D$33="",ABS(-LINEAS!$AI$33*DATOS!$C$67)&lt;0.00005),"*",LINEAS!$D$33&amp;" UNI GY "&amp;TEXT(-LINEAS!$AI$33*DATOS!$C$67,DATOS!$C$68))</f>
        <v>*</v>
      </c>
      <c r="C1543" s="42" t="str">
        <f t="shared" si="46"/>
        <v/>
      </c>
      <c r="D1543" s="44" t="str">
        <f>IF(PRESIONES!$C$22="NO","",IF(OR(LINEAS!$D$33="",ABS(-LINEAS!$AY$33*DATOS!$C$67)&lt;0.00005),"*",LINEAS!$D$33&amp;" UNI GY "&amp;TEXT(-LINEAS!$AY$33*DATOS!$C$67,DATOS!$C$68)))</f>
        <v/>
      </c>
      <c r="E1543" s="42" t="str">
        <f t="shared" si="47"/>
        <v/>
      </c>
    </row>
    <row r="1544" spans="2:5" ht="15" customHeight="1" x14ac:dyDescent="0.3">
      <c r="B1544" s="44" t="str">
        <f>IF(OR(LINEAS!$D$33="",DATOS!$C$22="—",ABS(LINEAS!$AQ$33*DATOS!$C$67)&lt;0.00005),"*",LINEAS!$D$33&amp;" UNI G"&amp;DATOS!$C$22&amp;" "&amp;TEXT(LINEAS!$AQ$33*DATOS!$C$67,DATOS!$C$68))</f>
        <v>*</v>
      </c>
      <c r="C1544" s="42" t="str">
        <f t="shared" si="46"/>
        <v/>
      </c>
      <c r="D1544" s="44" t="str">
        <f>IF(PRESIONES!$C$22="NO","",IF(OR(LINEAS!$D$33="",DATOS!$C$22="—",ABS(LINEAS!$BG$33*DATOS!$C$67)&lt;0.00005),"*",LINEAS!$D$33&amp;" UNI G"&amp;DATOS!$C$22&amp;" "&amp;TEXT(LINEAS!$BG$33*DATOS!$C$67,DATOS!$C$68)))</f>
        <v/>
      </c>
      <c r="E1544" s="42" t="str">
        <f t="shared" si="47"/>
        <v/>
      </c>
    </row>
    <row r="1545" spans="2:5" ht="15" customHeight="1" x14ac:dyDescent="0.3">
      <c r="B1545" s="44" t="str">
        <f>IF(OR(LINEAS!$D$34="",ABS(-LINEAS!$AI$34*DATOS!$C$67)&lt;0.00005),"*",LINEAS!$D$34&amp;" UNI GY "&amp;TEXT(-LINEAS!$AI$34*DATOS!$C$67,DATOS!$C$68))</f>
        <v>*</v>
      </c>
      <c r="C1545" s="42" t="str">
        <f t="shared" ref="C1545:C1608" si="48">IF(LEN($B1545)&gt;79,"MÁS DE 79 CARACTERES","")</f>
        <v/>
      </c>
      <c r="D1545" s="44" t="str">
        <f>IF(PRESIONES!$C$22="NO","",IF(OR(LINEAS!$D$34="",ABS(-LINEAS!$AY$34*DATOS!$C$67)&lt;0.00005),"*",LINEAS!$D$34&amp;" UNI GY "&amp;TEXT(-LINEAS!$AY$34*DATOS!$C$67,DATOS!$C$68)))</f>
        <v/>
      </c>
      <c r="E1545" s="42" t="str">
        <f t="shared" ref="E1545:E1608" si="49">IF(LEN($D1545)&gt;79,"MÁS DE 79 CARACTERES","")</f>
        <v/>
      </c>
    </row>
    <row r="1546" spans="2:5" ht="15" customHeight="1" x14ac:dyDescent="0.3">
      <c r="B1546" s="44" t="str">
        <f>IF(OR(LINEAS!$D$34="",DATOS!$C$22="—",ABS(LINEAS!$AQ$34*DATOS!$C$67)&lt;0.00005),"*",LINEAS!$D$34&amp;" UNI G"&amp;DATOS!$C$22&amp;" "&amp;TEXT(LINEAS!$AQ$34*DATOS!$C$67,DATOS!$C$68))</f>
        <v>*</v>
      </c>
      <c r="C1546" s="42" t="str">
        <f t="shared" si="48"/>
        <v/>
      </c>
      <c r="D1546" s="44" t="str">
        <f>IF(PRESIONES!$C$22="NO","",IF(OR(LINEAS!$D$34="",DATOS!$C$22="—",ABS(LINEAS!$BG$34*DATOS!$C$67)&lt;0.00005),"*",LINEAS!$D$34&amp;" UNI G"&amp;DATOS!$C$22&amp;" "&amp;TEXT(LINEAS!$BG$34*DATOS!$C$67,DATOS!$C$68)))</f>
        <v/>
      </c>
      <c r="E1546" s="42" t="str">
        <f t="shared" si="49"/>
        <v/>
      </c>
    </row>
    <row r="1547" spans="2:5" ht="15" customHeight="1" x14ac:dyDescent="0.3">
      <c r="B1547" s="44" t="str">
        <f>IF(OR(LINEAS!$D$35="",ABS(-LINEAS!$AI$35*DATOS!$C$67)&lt;0.00005),"*",LINEAS!$D$35&amp;" UNI GY "&amp;TEXT(-LINEAS!$AI$35*DATOS!$C$67,DATOS!$C$68))</f>
        <v>*</v>
      </c>
      <c r="C1547" s="42" t="str">
        <f t="shared" si="48"/>
        <v/>
      </c>
      <c r="D1547" s="44" t="str">
        <f>IF(PRESIONES!$C$22="NO","",IF(OR(LINEAS!$D$35="",ABS(-LINEAS!$AY$35*DATOS!$C$67)&lt;0.00005),"*",LINEAS!$D$35&amp;" UNI GY "&amp;TEXT(-LINEAS!$AY$35*DATOS!$C$67,DATOS!$C$68)))</f>
        <v/>
      </c>
      <c r="E1547" s="42" t="str">
        <f t="shared" si="49"/>
        <v/>
      </c>
    </row>
    <row r="1548" spans="2:5" ht="15" customHeight="1" x14ac:dyDescent="0.3">
      <c r="B1548" s="44" t="str">
        <f>IF(OR(LINEAS!$D$35="",DATOS!$C$22="—",ABS(LINEAS!$AQ$35*DATOS!$C$67)&lt;0.00005),"*",LINEAS!$D$35&amp;" UNI G"&amp;DATOS!$C$22&amp;" "&amp;TEXT(LINEAS!$AQ$35*DATOS!$C$67,DATOS!$C$68))</f>
        <v>*</v>
      </c>
      <c r="C1548" s="42" t="str">
        <f t="shared" si="48"/>
        <v/>
      </c>
      <c r="D1548" s="44" t="str">
        <f>IF(PRESIONES!$C$22="NO","",IF(OR(LINEAS!$D$35="",DATOS!$C$22="—",ABS(LINEAS!$BG$35*DATOS!$C$67)&lt;0.00005),"*",LINEAS!$D$35&amp;" UNI G"&amp;DATOS!$C$22&amp;" "&amp;TEXT(LINEAS!$BG$35*DATOS!$C$67,DATOS!$C$68)))</f>
        <v/>
      </c>
      <c r="E1548" s="42" t="str">
        <f t="shared" si="49"/>
        <v/>
      </c>
    </row>
    <row r="1549" spans="2:5" ht="15" customHeight="1" x14ac:dyDescent="0.3">
      <c r="B1549" s="44" t="str">
        <f>IF(OR(LINEAS!$D$36="",ABS(-LINEAS!$AI$36*DATOS!$C$67)&lt;0.00005),"*",LINEAS!$D$36&amp;" UNI GY "&amp;TEXT(-LINEAS!$AI$36*DATOS!$C$67,DATOS!$C$68))</f>
        <v>*</v>
      </c>
      <c r="C1549" s="42" t="str">
        <f t="shared" si="48"/>
        <v/>
      </c>
      <c r="D1549" s="44" t="str">
        <f>IF(PRESIONES!$C$22="NO","",IF(OR(LINEAS!$D$36="",ABS(-LINEAS!$AY$36*DATOS!$C$67)&lt;0.00005),"*",LINEAS!$D$36&amp;" UNI GY "&amp;TEXT(-LINEAS!$AY$36*DATOS!$C$67,DATOS!$C$68)))</f>
        <v/>
      </c>
      <c r="E1549" s="42" t="str">
        <f t="shared" si="49"/>
        <v/>
      </c>
    </row>
    <row r="1550" spans="2:5" ht="15" customHeight="1" x14ac:dyDescent="0.3">
      <c r="B1550" s="44" t="str">
        <f>IF(OR(LINEAS!$D$36="",DATOS!$C$22="—",ABS(LINEAS!$AQ$36*DATOS!$C$67)&lt;0.00005),"*",LINEAS!$D$36&amp;" UNI G"&amp;DATOS!$C$22&amp;" "&amp;TEXT(LINEAS!$AQ$36*DATOS!$C$67,DATOS!$C$68))</f>
        <v>*</v>
      </c>
      <c r="C1550" s="42" t="str">
        <f t="shared" si="48"/>
        <v/>
      </c>
      <c r="D1550" s="44" t="str">
        <f>IF(PRESIONES!$C$22="NO","",IF(OR(LINEAS!$D$36="",DATOS!$C$22="—",ABS(LINEAS!$BG$36*DATOS!$C$67)&lt;0.00005),"*",LINEAS!$D$36&amp;" UNI G"&amp;DATOS!$C$22&amp;" "&amp;TEXT(LINEAS!$BG$36*DATOS!$C$67,DATOS!$C$68)))</f>
        <v/>
      </c>
      <c r="E1550" s="42" t="str">
        <f t="shared" si="49"/>
        <v/>
      </c>
    </row>
    <row r="1551" spans="2:5" ht="15" customHeight="1" x14ac:dyDescent="0.3">
      <c r="B1551" s="44" t="str">
        <f>IF(OR(LINEAS!$D$37="",ABS(-LINEAS!$AI$37*DATOS!$C$67)&lt;0.00005),"*",LINEAS!$D$37&amp;" UNI GY "&amp;TEXT(-LINEAS!$AI$37*DATOS!$C$67,DATOS!$C$68))</f>
        <v>*</v>
      </c>
      <c r="C1551" s="42" t="str">
        <f t="shared" si="48"/>
        <v/>
      </c>
      <c r="D1551" s="44" t="str">
        <f>IF(PRESIONES!$C$22="NO","",IF(OR(LINEAS!$D$37="",ABS(-LINEAS!$AY$37*DATOS!$C$67)&lt;0.00005),"*",LINEAS!$D$37&amp;" UNI GY "&amp;TEXT(-LINEAS!$AY$37*DATOS!$C$67,DATOS!$C$68)))</f>
        <v/>
      </c>
      <c r="E1551" s="42" t="str">
        <f t="shared" si="49"/>
        <v/>
      </c>
    </row>
    <row r="1552" spans="2:5" ht="15" customHeight="1" x14ac:dyDescent="0.3">
      <c r="B1552" s="44" t="str">
        <f>IF(OR(LINEAS!$D$37="",DATOS!$C$22="—",ABS(LINEAS!$AQ$37*DATOS!$C$67)&lt;0.00005),"*",LINEAS!$D$37&amp;" UNI G"&amp;DATOS!$C$22&amp;" "&amp;TEXT(LINEAS!$AQ$37*DATOS!$C$67,DATOS!$C$68))</f>
        <v>*</v>
      </c>
      <c r="C1552" s="42" t="str">
        <f t="shared" si="48"/>
        <v/>
      </c>
      <c r="D1552" s="44" t="str">
        <f>IF(PRESIONES!$C$22="NO","",IF(OR(LINEAS!$D$37="",DATOS!$C$22="—",ABS(LINEAS!$BG$37*DATOS!$C$67)&lt;0.00005),"*",LINEAS!$D$37&amp;" UNI G"&amp;DATOS!$C$22&amp;" "&amp;TEXT(LINEAS!$BG$37*DATOS!$C$67,DATOS!$C$68)))</f>
        <v/>
      </c>
      <c r="E1552" s="42" t="str">
        <f t="shared" si="49"/>
        <v/>
      </c>
    </row>
    <row r="1553" spans="2:5" ht="15" customHeight="1" x14ac:dyDescent="0.3">
      <c r="B1553" s="44" t="str">
        <f>IF(OR(LINEAS!$D$38="",ABS(-LINEAS!$AI$38*DATOS!$C$67)&lt;0.00005),"*",LINEAS!$D$38&amp;" UNI GY "&amp;TEXT(-LINEAS!$AI$38*DATOS!$C$67,DATOS!$C$68))</f>
        <v>*</v>
      </c>
      <c r="C1553" s="42" t="str">
        <f t="shared" si="48"/>
        <v/>
      </c>
      <c r="D1553" s="44" t="str">
        <f>IF(PRESIONES!$C$22="NO","",IF(OR(LINEAS!$D$38="",ABS(-LINEAS!$AY$38*DATOS!$C$67)&lt;0.00005),"*",LINEAS!$D$38&amp;" UNI GY "&amp;TEXT(-LINEAS!$AY$38*DATOS!$C$67,DATOS!$C$68)))</f>
        <v/>
      </c>
      <c r="E1553" s="42" t="str">
        <f t="shared" si="49"/>
        <v/>
      </c>
    </row>
    <row r="1554" spans="2:5" ht="15" customHeight="1" x14ac:dyDescent="0.3">
      <c r="B1554" s="44" t="str">
        <f>IF(OR(LINEAS!$D$38="",DATOS!$C$22="—",ABS(LINEAS!$AQ$38*DATOS!$C$67)&lt;0.00005),"*",LINEAS!$D$38&amp;" UNI G"&amp;DATOS!$C$22&amp;" "&amp;TEXT(LINEAS!$AQ$38*DATOS!$C$67,DATOS!$C$68))</f>
        <v>*</v>
      </c>
      <c r="C1554" s="42" t="str">
        <f t="shared" si="48"/>
        <v/>
      </c>
      <c r="D1554" s="44" t="str">
        <f>IF(PRESIONES!$C$22="NO","",IF(OR(LINEAS!$D$38="",DATOS!$C$22="—",ABS(LINEAS!$BG$38*DATOS!$C$67)&lt;0.00005),"*",LINEAS!$D$38&amp;" UNI G"&amp;DATOS!$C$22&amp;" "&amp;TEXT(LINEAS!$BG$38*DATOS!$C$67,DATOS!$C$68)))</f>
        <v/>
      </c>
      <c r="E1554" s="42" t="str">
        <f t="shared" si="49"/>
        <v/>
      </c>
    </row>
    <row r="1555" spans="2:5" ht="15" customHeight="1" x14ac:dyDescent="0.3">
      <c r="B1555" s="44" t="str">
        <f>IF(OR(LINEAS!$D$45="",LINEAS!$U$45=0,ABS(IF(OR(LINEAS!$U$45=1,LINEAS!$U$45=3),1,-1)*LINEAS!$AI$45*DATOS!$C$67)&lt;0.00005),"*",LINEAS!$D$45&amp;" UNI "&amp;IF(LINEAS!$U$45&lt;=2,"GZ","GX")&amp;" "&amp;TEXT(IF(OR(LINEAS!$U$45=1,LINEAS!$U$45=3),1,-1)*LINEAS!$AI$45*DATOS!$C$67,DATOS!$C$68))</f>
        <v>261 UNI GX -0.8427</v>
      </c>
      <c r="C1555" s="42" t="str">
        <f t="shared" si="48"/>
        <v/>
      </c>
      <c r="D1555" s="44" t="str">
        <f>IF(PRESIONES!$C$22="NO","",IF(OR(LINEAS!$D$45="",LINEAS!$U$45=0,ABS(IF(OR(LINEAS!$U$45=1,LINEAS!$U$45=3),1,-1)*LINEAS!$AI$45*DATOS!$C$67)&lt;0.00005),"*",LINEAS!$D$45&amp;" UNI "&amp;IF(LINEAS!$U$45&lt;=2,"GZ","GX")&amp;" "&amp;TEXT(IF(OR(LINEAS!$U$45=1,LINEAS!$U$45=3),1,-1)*LINEAS!$AI$45*DATOS!$C$67,DATOS!$C$68)))</f>
        <v/>
      </c>
      <c r="E1555" s="42" t="str">
        <f t="shared" si="49"/>
        <v/>
      </c>
    </row>
    <row r="1556" spans="2:5" ht="15" customHeight="1" x14ac:dyDescent="0.3">
      <c r="B1556" s="44" t="str">
        <f>IF(OR(LINEAS!$D$46="",LINEAS!$U$46=0,ABS(IF(OR(LINEAS!$U$46=1,LINEAS!$U$46=3),1,-1)*LINEAS!$AI$46*DATOS!$C$67)&lt;0.00005),"*",LINEAS!$D$46&amp;" UNI "&amp;IF(LINEAS!$U$46&lt;=2,"GZ","GX")&amp;" "&amp;TEXT(IF(OR(LINEAS!$U$46=1,LINEAS!$U$46=3),1,-1)*LINEAS!$AI$46*DATOS!$C$67,DATOS!$C$68))</f>
        <v>260 UNI GX -0.8427</v>
      </c>
      <c r="C1556" s="42" t="str">
        <f t="shared" si="48"/>
        <v/>
      </c>
      <c r="D1556" s="44" t="str">
        <f>IF(PRESIONES!$C$22="NO","",IF(OR(LINEAS!$D$46="",LINEAS!$U$46=0,ABS(IF(OR(LINEAS!$U$46=1,LINEAS!$U$46=3),1,-1)*LINEAS!$AI$46*DATOS!$C$67)&lt;0.00005),"*",LINEAS!$D$46&amp;" UNI "&amp;IF(LINEAS!$U$46&lt;=2,"GZ","GX")&amp;" "&amp;TEXT(IF(OR(LINEAS!$U$46=1,LINEAS!$U$46=3),1,-1)*LINEAS!$AI$46*DATOS!$C$67,DATOS!$C$68)))</f>
        <v/>
      </c>
      <c r="E1556" s="42" t="str">
        <f t="shared" si="49"/>
        <v/>
      </c>
    </row>
    <row r="1557" spans="2:5" ht="15" customHeight="1" x14ac:dyDescent="0.3">
      <c r="B1557" s="44" t="str">
        <f>IF(OR(LINEAS!$D$47="",LINEAS!$U$47=0,ABS(IF(OR(LINEAS!$U$47=1,LINEAS!$U$47=3),1,-1)*LINEAS!$AI$47*DATOS!$C$67)&lt;0.00005),"*",LINEAS!$D$47&amp;" UNI "&amp;IF(LINEAS!$U$47&lt;=2,"GZ","GX")&amp;" "&amp;TEXT(IF(OR(LINEAS!$U$47=1,LINEAS!$U$47=3),1,-1)*LINEAS!$AI$47*DATOS!$C$67,DATOS!$C$68))</f>
        <v>259 UNI GX -0.8427</v>
      </c>
      <c r="C1557" s="42" t="str">
        <f t="shared" si="48"/>
        <v/>
      </c>
      <c r="D1557" s="44" t="str">
        <f>IF(PRESIONES!$C$22="NO","",IF(OR(LINEAS!$D$47="",LINEAS!$U$47=0,ABS(IF(OR(LINEAS!$U$47=1,LINEAS!$U$47=3),1,-1)*LINEAS!$AI$47*DATOS!$C$67)&lt;0.00005),"*",LINEAS!$D$47&amp;" UNI "&amp;IF(LINEAS!$U$47&lt;=2,"GZ","GX")&amp;" "&amp;TEXT(IF(OR(LINEAS!$U$47=1,LINEAS!$U$47=3),1,-1)*LINEAS!$AI$47*DATOS!$C$67,DATOS!$C$68)))</f>
        <v/>
      </c>
      <c r="E1557" s="42" t="str">
        <f t="shared" si="49"/>
        <v/>
      </c>
    </row>
    <row r="1558" spans="2:5" ht="15" customHeight="1" x14ac:dyDescent="0.3">
      <c r="B1558" s="44" t="str">
        <f>IF(OR(LINEAS!$D$48="",LINEAS!$U$48=0,ABS(IF(OR(LINEAS!$U$48=1,LINEAS!$U$48=3),1,-1)*LINEAS!$AI$48*DATOS!$C$67)&lt;0.00005),"*",LINEAS!$D$48&amp;" UNI "&amp;IF(LINEAS!$U$48&lt;=2,"GZ","GX")&amp;" "&amp;TEXT(IF(OR(LINEAS!$U$48=1,LINEAS!$U$48=3),1,-1)*LINEAS!$AI$48*DATOS!$C$67,DATOS!$C$68))</f>
        <v>270 UNI GX -0.8427</v>
      </c>
      <c r="C1558" s="42" t="str">
        <f t="shared" si="48"/>
        <v/>
      </c>
      <c r="D1558" s="44" t="str">
        <f>IF(PRESIONES!$C$22="NO","",IF(OR(LINEAS!$D$48="",LINEAS!$U$48=0,ABS(IF(OR(LINEAS!$U$48=1,LINEAS!$U$48=3),1,-1)*LINEAS!$AI$48*DATOS!$C$67)&lt;0.00005),"*",LINEAS!$D$48&amp;" UNI "&amp;IF(LINEAS!$U$48&lt;=2,"GZ","GX")&amp;" "&amp;TEXT(IF(OR(LINEAS!$U$48=1,LINEAS!$U$48=3),1,-1)*LINEAS!$AI$48*DATOS!$C$67,DATOS!$C$68)))</f>
        <v/>
      </c>
      <c r="E1558" s="42" t="str">
        <f t="shared" si="49"/>
        <v/>
      </c>
    </row>
    <row r="1559" spans="2:5" ht="15" customHeight="1" x14ac:dyDescent="0.3">
      <c r="B1559" s="44" t="str">
        <f>IF(OR(LINEAS!$D$49="",LINEAS!$U$49=0,ABS(IF(OR(LINEAS!$U$49=1,LINEAS!$U$49=3),1,-1)*LINEAS!$AI$49*DATOS!$C$67)&lt;0.00005),"*",LINEAS!$D$49&amp;" UNI "&amp;IF(LINEAS!$U$49&lt;=2,"GZ","GX")&amp;" "&amp;TEXT(IF(OR(LINEAS!$U$49=1,LINEAS!$U$49=3),1,-1)*LINEAS!$AI$49*DATOS!$C$67,DATOS!$C$68))</f>
        <v>269 UNI GX -0.8427</v>
      </c>
      <c r="C1559" s="42" t="str">
        <f t="shared" si="48"/>
        <v/>
      </c>
      <c r="D1559" s="44" t="str">
        <f>IF(PRESIONES!$C$22="NO","",IF(OR(LINEAS!$D$49="",LINEAS!$U$49=0,ABS(IF(OR(LINEAS!$U$49=1,LINEAS!$U$49=3),1,-1)*LINEAS!$AI$49*DATOS!$C$67)&lt;0.00005),"*",LINEAS!$D$49&amp;" UNI "&amp;IF(LINEAS!$U$49&lt;=2,"GZ","GX")&amp;" "&amp;TEXT(IF(OR(LINEAS!$U$49=1,LINEAS!$U$49=3),1,-1)*LINEAS!$AI$49*DATOS!$C$67,DATOS!$C$68)))</f>
        <v/>
      </c>
      <c r="E1559" s="42" t="str">
        <f t="shared" si="49"/>
        <v/>
      </c>
    </row>
    <row r="1560" spans="2:5" ht="15" customHeight="1" x14ac:dyDescent="0.3">
      <c r="B1560" s="44" t="str">
        <f>IF(OR(LINEAS!$D$50="",LINEAS!$U$50=0,ABS(IF(OR(LINEAS!$U$50=1,LINEAS!$U$50=3),1,-1)*LINEAS!$AI$50*DATOS!$C$67)&lt;0.00005),"*",LINEAS!$D$50&amp;" UNI "&amp;IF(LINEAS!$U$50&lt;=2,"GZ","GX")&amp;" "&amp;TEXT(IF(OR(LINEAS!$U$50=1,LINEAS!$U$50=3),1,-1)*LINEAS!$AI$50*DATOS!$C$67,DATOS!$C$68))</f>
        <v>268 UNI GX -0.8427</v>
      </c>
      <c r="C1560" s="42" t="str">
        <f t="shared" si="48"/>
        <v/>
      </c>
      <c r="D1560" s="44" t="str">
        <f>IF(PRESIONES!$C$22="NO","",IF(OR(LINEAS!$D$50="",LINEAS!$U$50=0,ABS(IF(OR(LINEAS!$U$50=1,LINEAS!$U$50=3),1,-1)*LINEAS!$AI$50*DATOS!$C$67)&lt;0.00005),"*",LINEAS!$D$50&amp;" UNI "&amp;IF(LINEAS!$U$50&lt;=2,"GZ","GX")&amp;" "&amp;TEXT(IF(OR(LINEAS!$U$50=1,LINEAS!$U$50=3),1,-1)*LINEAS!$AI$50*DATOS!$C$67,DATOS!$C$68)))</f>
        <v/>
      </c>
      <c r="E1560" s="42" t="str">
        <f t="shared" si="49"/>
        <v/>
      </c>
    </row>
    <row r="1561" spans="2:5" ht="15" customHeight="1" x14ac:dyDescent="0.3">
      <c r="B1561" s="44" t="str">
        <f>IF(OR(LINEAS!$D$51="",LINEAS!$U$51=0,ABS(IF(OR(LINEAS!$U$51=1,LINEAS!$U$51=3),1,-1)*LINEAS!$AI$51*DATOS!$C$67)&lt;0.00005),"*",LINEAS!$D$51&amp;" UNI "&amp;IF(LINEAS!$U$51&lt;=2,"GZ","GX")&amp;" "&amp;TEXT(IF(OR(LINEAS!$U$51=1,LINEAS!$U$51=3),1,-1)*LINEAS!$AI$51*DATOS!$C$67,DATOS!$C$68))</f>
        <v>279 UNI GX -0.8427</v>
      </c>
      <c r="C1561" s="42" t="str">
        <f t="shared" si="48"/>
        <v/>
      </c>
      <c r="D1561" s="44" t="str">
        <f>IF(PRESIONES!$C$22="NO","",IF(OR(LINEAS!$D$51="",LINEAS!$U$51=0,ABS(IF(OR(LINEAS!$U$51=1,LINEAS!$U$51=3),1,-1)*LINEAS!$AI$51*DATOS!$C$67)&lt;0.00005),"*",LINEAS!$D$51&amp;" UNI "&amp;IF(LINEAS!$U$51&lt;=2,"GZ","GX")&amp;" "&amp;TEXT(IF(OR(LINEAS!$U$51=1,LINEAS!$U$51=3),1,-1)*LINEAS!$AI$51*DATOS!$C$67,DATOS!$C$68)))</f>
        <v/>
      </c>
      <c r="E1561" s="42" t="str">
        <f t="shared" si="49"/>
        <v/>
      </c>
    </row>
    <row r="1562" spans="2:5" ht="15" customHeight="1" x14ac:dyDescent="0.3">
      <c r="B1562" s="44" t="str">
        <f>IF(OR(LINEAS!$D$52="",LINEAS!$U$52=0,ABS(IF(OR(LINEAS!$U$52=1,LINEAS!$U$52=3),1,-1)*LINEAS!$AI$52*DATOS!$C$67)&lt;0.00005),"*",LINEAS!$D$52&amp;" UNI "&amp;IF(LINEAS!$U$52&lt;=2,"GZ","GX")&amp;" "&amp;TEXT(IF(OR(LINEAS!$U$52=1,LINEAS!$U$52=3),1,-1)*LINEAS!$AI$52*DATOS!$C$67,DATOS!$C$68))</f>
        <v>278 UNI GX -0.8427</v>
      </c>
      <c r="C1562" s="42" t="str">
        <f t="shared" si="48"/>
        <v/>
      </c>
      <c r="D1562" s="44" t="str">
        <f>IF(PRESIONES!$C$22="NO","",IF(OR(LINEAS!$D$52="",LINEAS!$U$52=0,ABS(IF(OR(LINEAS!$U$52=1,LINEAS!$U$52=3),1,-1)*LINEAS!$AI$52*DATOS!$C$67)&lt;0.00005),"*",LINEAS!$D$52&amp;" UNI "&amp;IF(LINEAS!$U$52&lt;=2,"GZ","GX")&amp;" "&amp;TEXT(IF(OR(LINEAS!$U$52=1,LINEAS!$U$52=3),1,-1)*LINEAS!$AI$52*DATOS!$C$67,DATOS!$C$68)))</f>
        <v/>
      </c>
      <c r="E1562" s="42" t="str">
        <f t="shared" si="49"/>
        <v/>
      </c>
    </row>
    <row r="1563" spans="2:5" ht="15" customHeight="1" x14ac:dyDescent="0.3">
      <c r="B1563" s="44" t="str">
        <f>IF(OR(LINEAS!$D$53="",LINEAS!$U$53=0,ABS(IF(OR(LINEAS!$U$53=1,LINEAS!$U$53=3),1,-1)*LINEAS!$AI$53*DATOS!$C$67)&lt;0.00005),"*",LINEAS!$D$53&amp;" UNI "&amp;IF(LINEAS!$U$53&lt;=2,"GZ","GX")&amp;" "&amp;TEXT(IF(OR(LINEAS!$U$53=1,LINEAS!$U$53=3),1,-1)*LINEAS!$AI$53*DATOS!$C$67,DATOS!$C$68))</f>
        <v>277 UNI GX -0.8427</v>
      </c>
      <c r="C1563" s="42" t="str">
        <f t="shared" si="48"/>
        <v/>
      </c>
      <c r="D1563" s="44" t="str">
        <f>IF(PRESIONES!$C$22="NO","",IF(OR(LINEAS!$D$53="",LINEAS!$U$53=0,ABS(IF(OR(LINEAS!$U$53=1,LINEAS!$U$53=3),1,-1)*LINEAS!$AI$53*DATOS!$C$67)&lt;0.00005),"*",LINEAS!$D$53&amp;" UNI "&amp;IF(LINEAS!$U$53&lt;=2,"GZ","GX")&amp;" "&amp;TEXT(IF(OR(LINEAS!$U$53=1,LINEAS!$U$53=3),1,-1)*LINEAS!$AI$53*DATOS!$C$67,DATOS!$C$68)))</f>
        <v/>
      </c>
      <c r="E1563" s="42" t="str">
        <f t="shared" si="49"/>
        <v/>
      </c>
    </row>
    <row r="1564" spans="2:5" ht="15" customHeight="1" x14ac:dyDescent="0.3">
      <c r="B1564" s="44" t="str">
        <f>IF(OR(LINEAS!$D$54="",LINEAS!$U$54=0,ABS(IF(OR(LINEAS!$U$54=1,LINEAS!$U$54=3),1,-1)*LINEAS!$AI$54*DATOS!$C$67)&lt;0.00005),"*",LINEAS!$D$54&amp;" UNI "&amp;IF(LINEAS!$U$54&lt;=2,"GZ","GX")&amp;" "&amp;TEXT(IF(OR(LINEAS!$U$54=1,LINEAS!$U$54=3),1,-1)*LINEAS!$AI$54*DATOS!$C$67,DATOS!$C$68))</f>
        <v>289 UNI GX -0.8427</v>
      </c>
      <c r="C1564" s="42" t="str">
        <f t="shared" si="48"/>
        <v/>
      </c>
      <c r="D1564" s="44" t="str">
        <f>IF(PRESIONES!$C$22="NO","",IF(OR(LINEAS!$D$54="",LINEAS!$U$54=0,ABS(IF(OR(LINEAS!$U$54=1,LINEAS!$U$54=3),1,-1)*LINEAS!$AI$54*DATOS!$C$67)&lt;0.00005),"*",LINEAS!$D$54&amp;" UNI "&amp;IF(LINEAS!$U$54&lt;=2,"GZ","GX")&amp;" "&amp;TEXT(IF(OR(LINEAS!$U$54=1,LINEAS!$U$54=3),1,-1)*LINEAS!$AI$54*DATOS!$C$67,DATOS!$C$68)))</f>
        <v/>
      </c>
      <c r="E1564" s="42" t="str">
        <f t="shared" si="49"/>
        <v/>
      </c>
    </row>
    <row r="1565" spans="2:5" ht="15" customHeight="1" x14ac:dyDescent="0.3">
      <c r="B1565" s="44" t="str">
        <f>IF(OR(LINEAS!$D$55="",LINEAS!$U$55=0,ABS(IF(OR(LINEAS!$U$55=1,LINEAS!$U$55=3),1,-1)*LINEAS!$AI$55*DATOS!$C$67)&lt;0.00005),"*",LINEAS!$D$55&amp;" UNI "&amp;IF(LINEAS!$U$55&lt;=2,"GZ","GX")&amp;" "&amp;TEXT(IF(OR(LINEAS!$U$55=1,LINEAS!$U$55=3),1,-1)*LINEAS!$AI$55*DATOS!$C$67,DATOS!$C$68))</f>
        <v>288 UNI GX -0.8427</v>
      </c>
      <c r="C1565" s="42" t="str">
        <f t="shared" si="48"/>
        <v/>
      </c>
      <c r="D1565" s="44" t="str">
        <f>IF(PRESIONES!$C$22="NO","",IF(OR(LINEAS!$D$55="",LINEAS!$U$55=0,ABS(IF(OR(LINEAS!$U$55=1,LINEAS!$U$55=3),1,-1)*LINEAS!$AI$55*DATOS!$C$67)&lt;0.00005),"*",LINEAS!$D$55&amp;" UNI "&amp;IF(LINEAS!$U$55&lt;=2,"GZ","GX")&amp;" "&amp;TEXT(IF(OR(LINEAS!$U$55=1,LINEAS!$U$55=3),1,-1)*LINEAS!$AI$55*DATOS!$C$67,DATOS!$C$68)))</f>
        <v/>
      </c>
      <c r="E1565" s="42" t="str">
        <f t="shared" si="49"/>
        <v/>
      </c>
    </row>
    <row r="1566" spans="2:5" ht="15" customHeight="1" x14ac:dyDescent="0.3">
      <c r="B1566" s="44" t="str">
        <f>IF(OR(LINEAS!$D$56="",LINEAS!$U$56=0,ABS(IF(OR(LINEAS!$U$56=1,LINEAS!$U$56=3),1,-1)*LINEAS!$AI$56*DATOS!$C$67)&lt;0.00005),"*",LINEAS!$D$56&amp;" UNI "&amp;IF(LINEAS!$U$56&lt;=2,"GZ","GX")&amp;" "&amp;TEXT(IF(OR(LINEAS!$U$56=1,LINEAS!$U$56=3),1,-1)*LINEAS!$AI$56*DATOS!$C$67,DATOS!$C$68))</f>
        <v>287 UNI GX -0.8427</v>
      </c>
      <c r="C1566" s="42" t="str">
        <f t="shared" si="48"/>
        <v/>
      </c>
      <c r="D1566" s="44" t="str">
        <f>IF(PRESIONES!$C$22="NO","",IF(OR(LINEAS!$D$56="",LINEAS!$U$56=0,ABS(IF(OR(LINEAS!$U$56=1,LINEAS!$U$56=3),1,-1)*LINEAS!$AI$56*DATOS!$C$67)&lt;0.00005),"*",LINEAS!$D$56&amp;" UNI "&amp;IF(LINEAS!$U$56&lt;=2,"GZ","GX")&amp;" "&amp;TEXT(IF(OR(LINEAS!$U$56=1,LINEAS!$U$56=3),1,-1)*LINEAS!$AI$56*DATOS!$C$67,DATOS!$C$68)))</f>
        <v/>
      </c>
      <c r="E1566" s="42" t="str">
        <f t="shared" si="49"/>
        <v/>
      </c>
    </row>
    <row r="1567" spans="2:5" ht="15" customHeight="1" x14ac:dyDescent="0.3">
      <c r="B1567" s="44" t="str">
        <f>IF(OR(LINEAS!$D$57="",LINEAS!$U$57=0,ABS(IF(OR(LINEAS!$U$57=1,LINEAS!$U$57=3),1,-1)*LINEAS!$AI$57*DATOS!$C$67)&lt;0.00005),"*",LINEAS!$D$57&amp;" UNI "&amp;IF(LINEAS!$U$57&lt;=2,"GZ","GX")&amp;" "&amp;TEXT(IF(OR(LINEAS!$U$57=1,LINEAS!$U$57=3),1,-1)*LINEAS!$AI$57*DATOS!$C$67,DATOS!$C$68))</f>
        <v>297 UNI GX -0.8427</v>
      </c>
      <c r="C1567" s="42" t="str">
        <f t="shared" si="48"/>
        <v/>
      </c>
      <c r="D1567" s="44" t="str">
        <f>IF(PRESIONES!$C$22="NO","",IF(OR(LINEAS!$D$57="",LINEAS!$U$57=0,ABS(IF(OR(LINEAS!$U$57=1,LINEAS!$U$57=3),1,-1)*LINEAS!$AI$57*DATOS!$C$67)&lt;0.00005),"*",LINEAS!$D$57&amp;" UNI "&amp;IF(LINEAS!$U$57&lt;=2,"GZ","GX")&amp;" "&amp;TEXT(IF(OR(LINEAS!$U$57=1,LINEAS!$U$57=3),1,-1)*LINEAS!$AI$57*DATOS!$C$67,DATOS!$C$68)))</f>
        <v/>
      </c>
      <c r="E1567" s="42" t="str">
        <f t="shared" si="49"/>
        <v/>
      </c>
    </row>
    <row r="1568" spans="2:5" ht="15" customHeight="1" x14ac:dyDescent="0.3">
      <c r="B1568" s="44" t="str">
        <f>IF(OR(LINEAS!$D$58="",LINEAS!$U$58=0,ABS(IF(OR(LINEAS!$U$58=1,LINEAS!$U$58=3),1,-1)*LINEAS!$AI$58*DATOS!$C$67)&lt;0.00005),"*",LINEAS!$D$58&amp;" UNI "&amp;IF(LINEAS!$U$58&lt;=2,"GZ","GX")&amp;" "&amp;TEXT(IF(OR(LINEAS!$U$58=1,LINEAS!$U$58=3),1,-1)*LINEAS!$AI$58*DATOS!$C$67,DATOS!$C$68))</f>
        <v>296 UNI GX -0.8427</v>
      </c>
      <c r="C1568" s="42" t="str">
        <f t="shared" si="48"/>
        <v/>
      </c>
      <c r="D1568" s="44" t="str">
        <f>IF(PRESIONES!$C$22="NO","",IF(OR(LINEAS!$D$58="",LINEAS!$U$58=0,ABS(IF(OR(LINEAS!$U$58=1,LINEAS!$U$58=3),1,-1)*LINEAS!$AI$58*DATOS!$C$67)&lt;0.00005),"*",LINEAS!$D$58&amp;" UNI "&amp;IF(LINEAS!$U$58&lt;=2,"GZ","GX")&amp;" "&amp;TEXT(IF(OR(LINEAS!$U$58=1,LINEAS!$U$58=3),1,-1)*LINEAS!$AI$58*DATOS!$C$67,DATOS!$C$68)))</f>
        <v/>
      </c>
      <c r="E1568" s="42" t="str">
        <f t="shared" si="49"/>
        <v/>
      </c>
    </row>
    <row r="1569" spans="2:5" ht="15" customHeight="1" x14ac:dyDescent="0.3">
      <c r="B1569" s="44" t="str">
        <f>IF(OR(LINEAS!$D$59="",LINEAS!$U$59=0,ABS(IF(OR(LINEAS!$U$59=1,LINEAS!$U$59=3),1,-1)*LINEAS!$AI$59*DATOS!$C$67)&lt;0.00005),"*",LINEAS!$D$59&amp;" UNI "&amp;IF(LINEAS!$U$59&lt;=2,"GZ","GX")&amp;" "&amp;TEXT(IF(OR(LINEAS!$U$59=1,LINEAS!$U$59=3),1,-1)*LINEAS!$AI$59*DATOS!$C$67,DATOS!$C$68))</f>
        <v>295 UNI GX -0.8427</v>
      </c>
      <c r="C1569" s="42" t="str">
        <f t="shared" si="48"/>
        <v/>
      </c>
      <c r="D1569" s="44" t="str">
        <f>IF(PRESIONES!$C$22="NO","",IF(OR(LINEAS!$D$59="",LINEAS!$U$59=0,ABS(IF(OR(LINEAS!$U$59=1,LINEAS!$U$59=3),1,-1)*LINEAS!$AI$59*DATOS!$C$67)&lt;0.00005),"*",LINEAS!$D$59&amp;" UNI "&amp;IF(LINEAS!$U$59&lt;=2,"GZ","GX")&amp;" "&amp;TEXT(IF(OR(LINEAS!$U$59=1,LINEAS!$U$59=3),1,-1)*LINEAS!$AI$59*DATOS!$C$67,DATOS!$C$68)))</f>
        <v/>
      </c>
      <c r="E1569" s="42" t="str">
        <f t="shared" si="49"/>
        <v/>
      </c>
    </row>
    <row r="1570" spans="2:5" ht="15" customHeight="1" x14ac:dyDescent="0.3">
      <c r="B1570" s="44" t="str">
        <f>IF(OR(LINEAS!$D$60="",LINEAS!$U$60=0,ABS(IF(OR(LINEAS!$U$60=1,LINEAS!$U$60=3),1,-1)*LINEAS!$AI$60*DATOS!$C$67)&lt;0.00005),"*",LINEAS!$D$60&amp;" UNI "&amp;IF(LINEAS!$U$60&lt;=2,"GZ","GX")&amp;" "&amp;TEXT(IF(OR(LINEAS!$U$60=1,LINEAS!$U$60=3),1,-1)*LINEAS!$AI$60*DATOS!$C$67,DATOS!$C$68))</f>
        <v>305 UNI GX -0.8427</v>
      </c>
      <c r="C1570" s="42" t="str">
        <f t="shared" si="48"/>
        <v/>
      </c>
      <c r="D1570" s="44" t="str">
        <f>IF(PRESIONES!$C$22="NO","",IF(OR(LINEAS!$D$60="",LINEAS!$U$60=0,ABS(IF(OR(LINEAS!$U$60=1,LINEAS!$U$60=3),1,-1)*LINEAS!$AI$60*DATOS!$C$67)&lt;0.00005),"*",LINEAS!$D$60&amp;" UNI "&amp;IF(LINEAS!$U$60&lt;=2,"GZ","GX")&amp;" "&amp;TEXT(IF(OR(LINEAS!$U$60=1,LINEAS!$U$60=3),1,-1)*LINEAS!$AI$60*DATOS!$C$67,DATOS!$C$68)))</f>
        <v/>
      </c>
      <c r="E1570" s="42" t="str">
        <f t="shared" si="49"/>
        <v/>
      </c>
    </row>
    <row r="1571" spans="2:5" ht="15" customHeight="1" x14ac:dyDescent="0.3">
      <c r="B1571" s="44" t="str">
        <f>IF(OR(LINEAS!$D$61="",LINEAS!$U$61=0,ABS(IF(OR(LINEAS!$U$61=1,LINEAS!$U$61=3),1,-1)*LINEAS!$AI$61*DATOS!$C$67)&lt;0.00005),"*",LINEAS!$D$61&amp;" UNI "&amp;IF(LINEAS!$U$61&lt;=2,"GZ","GX")&amp;" "&amp;TEXT(IF(OR(LINEAS!$U$61=1,LINEAS!$U$61=3),1,-1)*LINEAS!$AI$61*DATOS!$C$67,DATOS!$C$68))</f>
        <v>304 UNI GX -0.8427</v>
      </c>
      <c r="C1571" s="42" t="str">
        <f t="shared" si="48"/>
        <v/>
      </c>
      <c r="D1571" s="44" t="str">
        <f>IF(PRESIONES!$C$22="NO","",IF(OR(LINEAS!$D$61="",LINEAS!$U$61=0,ABS(IF(OR(LINEAS!$U$61=1,LINEAS!$U$61=3),1,-1)*LINEAS!$AI$61*DATOS!$C$67)&lt;0.00005),"*",LINEAS!$D$61&amp;" UNI "&amp;IF(LINEAS!$U$61&lt;=2,"GZ","GX")&amp;" "&amp;TEXT(IF(OR(LINEAS!$U$61=1,LINEAS!$U$61=3),1,-1)*LINEAS!$AI$61*DATOS!$C$67,DATOS!$C$68)))</f>
        <v/>
      </c>
      <c r="E1571" s="42" t="str">
        <f t="shared" si="49"/>
        <v/>
      </c>
    </row>
    <row r="1572" spans="2:5" ht="15" customHeight="1" x14ac:dyDescent="0.3">
      <c r="B1572" s="44" t="str">
        <f>IF(OR(LINEAS!$D$62="",LINEAS!$U$62=0,ABS(IF(OR(LINEAS!$U$62=1,LINEAS!$U$62=3),1,-1)*LINEAS!$AI$62*DATOS!$C$67)&lt;0.00005),"*",LINEAS!$D$62&amp;" UNI "&amp;IF(LINEAS!$U$62&lt;=2,"GZ","GX")&amp;" "&amp;TEXT(IF(OR(LINEAS!$U$62=1,LINEAS!$U$62=3),1,-1)*LINEAS!$AI$62*DATOS!$C$67,DATOS!$C$68))</f>
        <v>303 UNI GX -0.8427</v>
      </c>
      <c r="C1572" s="42" t="str">
        <f t="shared" si="48"/>
        <v/>
      </c>
      <c r="D1572" s="44" t="str">
        <f>IF(PRESIONES!$C$22="NO","",IF(OR(LINEAS!$D$62="",LINEAS!$U$62=0,ABS(IF(OR(LINEAS!$U$62=1,LINEAS!$U$62=3),1,-1)*LINEAS!$AI$62*DATOS!$C$67)&lt;0.00005),"*",LINEAS!$D$62&amp;" UNI "&amp;IF(LINEAS!$U$62&lt;=2,"GZ","GX")&amp;" "&amp;TEXT(IF(OR(LINEAS!$U$62=1,LINEAS!$U$62=3),1,-1)*LINEAS!$AI$62*DATOS!$C$67,DATOS!$C$68)))</f>
        <v/>
      </c>
      <c r="E1572" s="42" t="str">
        <f t="shared" si="49"/>
        <v/>
      </c>
    </row>
    <row r="1573" spans="2:5" ht="15" customHeight="1" x14ac:dyDescent="0.3">
      <c r="B1573" s="44" t="str">
        <f>IF(OR(LINEAS!$D$63="",LINEAS!$U$63=0,ABS(IF(OR(LINEAS!$U$63=1,LINEAS!$U$63=3),1,-1)*LINEAS!$AI$63*DATOS!$C$67)&lt;0.00005),"*",LINEAS!$D$63&amp;" UNI "&amp;IF(LINEAS!$U$63&lt;=2,"GZ","GX")&amp;" "&amp;TEXT(IF(OR(LINEAS!$U$63=1,LINEAS!$U$63=3),1,-1)*LINEAS!$AI$63*DATOS!$C$67,DATOS!$C$68))</f>
        <v>314 UNI GX -0.8427</v>
      </c>
      <c r="C1573" s="42" t="str">
        <f t="shared" si="48"/>
        <v/>
      </c>
      <c r="D1573" s="44" t="str">
        <f>IF(PRESIONES!$C$22="NO","",IF(OR(LINEAS!$D$63="",LINEAS!$U$63=0,ABS(IF(OR(LINEAS!$U$63=1,LINEAS!$U$63=3),1,-1)*LINEAS!$AI$63*DATOS!$C$67)&lt;0.00005),"*",LINEAS!$D$63&amp;" UNI "&amp;IF(LINEAS!$U$63&lt;=2,"GZ","GX")&amp;" "&amp;TEXT(IF(OR(LINEAS!$U$63=1,LINEAS!$U$63=3),1,-1)*LINEAS!$AI$63*DATOS!$C$67,DATOS!$C$68)))</f>
        <v/>
      </c>
      <c r="E1573" s="42" t="str">
        <f t="shared" si="49"/>
        <v/>
      </c>
    </row>
    <row r="1574" spans="2:5" ht="15" customHeight="1" x14ac:dyDescent="0.3">
      <c r="B1574" s="44" t="str">
        <f>IF(OR(LINEAS!$D$64="",LINEAS!$U$64=0,ABS(IF(OR(LINEAS!$U$64=1,LINEAS!$U$64=3),1,-1)*LINEAS!$AI$64*DATOS!$C$67)&lt;0.00005),"*",LINEAS!$D$64&amp;" UNI "&amp;IF(LINEAS!$U$64&lt;=2,"GZ","GX")&amp;" "&amp;TEXT(IF(OR(LINEAS!$U$64=1,LINEAS!$U$64=3),1,-1)*LINEAS!$AI$64*DATOS!$C$67,DATOS!$C$68))</f>
        <v>313 UNI GX -0.8427</v>
      </c>
      <c r="C1574" s="42" t="str">
        <f t="shared" si="48"/>
        <v/>
      </c>
      <c r="D1574" s="44" t="str">
        <f>IF(PRESIONES!$C$22="NO","",IF(OR(LINEAS!$D$64="",LINEAS!$U$64=0,ABS(IF(OR(LINEAS!$U$64=1,LINEAS!$U$64=3),1,-1)*LINEAS!$AI$64*DATOS!$C$67)&lt;0.00005),"*",LINEAS!$D$64&amp;" UNI "&amp;IF(LINEAS!$U$64&lt;=2,"GZ","GX")&amp;" "&amp;TEXT(IF(OR(LINEAS!$U$64=1,LINEAS!$U$64=3),1,-1)*LINEAS!$AI$64*DATOS!$C$67,DATOS!$C$68)))</f>
        <v/>
      </c>
      <c r="E1574" s="42" t="str">
        <f t="shared" si="49"/>
        <v/>
      </c>
    </row>
    <row r="1575" spans="2:5" ht="15" customHeight="1" x14ac:dyDescent="0.3">
      <c r="B1575" s="44" t="str">
        <f>IF(OR(LINEAS!$D$65="",LINEAS!$U$65=0,ABS(IF(OR(LINEAS!$U$65=1,LINEAS!$U$65=3),1,-1)*LINEAS!$AI$65*DATOS!$C$67)&lt;0.00005),"*",LINEAS!$D$65&amp;" UNI "&amp;IF(LINEAS!$U$65&lt;=2,"GZ","GX")&amp;" "&amp;TEXT(IF(OR(LINEAS!$U$65=1,LINEAS!$U$65=3),1,-1)*LINEAS!$AI$65*DATOS!$C$67,DATOS!$C$68))</f>
        <v>312 UNI GX -0.8427</v>
      </c>
      <c r="C1575" s="42" t="str">
        <f t="shared" si="48"/>
        <v/>
      </c>
      <c r="D1575" s="44" t="str">
        <f>IF(PRESIONES!$C$22="NO","",IF(OR(LINEAS!$D$65="",LINEAS!$U$65=0,ABS(IF(OR(LINEAS!$U$65=1,LINEAS!$U$65=3),1,-1)*LINEAS!$AI$65*DATOS!$C$67)&lt;0.00005),"*",LINEAS!$D$65&amp;" UNI "&amp;IF(LINEAS!$U$65&lt;=2,"GZ","GX")&amp;" "&amp;TEXT(IF(OR(LINEAS!$U$65=1,LINEAS!$U$65=3),1,-1)*LINEAS!$AI$65*DATOS!$C$67,DATOS!$C$68)))</f>
        <v/>
      </c>
      <c r="E1575" s="42" t="str">
        <f t="shared" si="49"/>
        <v/>
      </c>
    </row>
    <row r="1576" spans="2:5" ht="15" customHeight="1" x14ac:dyDescent="0.3">
      <c r="B1576" s="44" t="str">
        <f>IF(OR(LINEAS!$D$66="",LINEAS!$U$66=0,ABS(IF(OR(LINEAS!$U$66=1,LINEAS!$U$66=3),1,-1)*LINEAS!$AI$66*DATOS!$C$67)&lt;0.00005),"*",LINEAS!$D$66&amp;" UNI "&amp;IF(LINEAS!$U$66&lt;=2,"GZ","GX")&amp;" "&amp;TEXT(IF(OR(LINEAS!$U$66=1,LINEAS!$U$66=3),1,-1)*LINEAS!$AI$66*DATOS!$C$67,DATOS!$C$68))</f>
        <v>317 UNI GX -0.7198</v>
      </c>
      <c r="C1576" s="42" t="str">
        <f t="shared" si="48"/>
        <v/>
      </c>
      <c r="D1576" s="44" t="str">
        <f>IF(PRESIONES!$C$22="NO","",IF(OR(LINEAS!$D$66="",LINEAS!$U$66=0,ABS(IF(OR(LINEAS!$U$66=1,LINEAS!$U$66=3),1,-1)*LINEAS!$AI$66*DATOS!$C$67)&lt;0.00005),"*",LINEAS!$D$66&amp;" UNI "&amp;IF(LINEAS!$U$66&lt;=2,"GZ","GX")&amp;" "&amp;TEXT(IF(OR(LINEAS!$U$66=1,LINEAS!$U$66=3),1,-1)*LINEAS!$AI$66*DATOS!$C$67,DATOS!$C$68)))</f>
        <v/>
      </c>
      <c r="E1576" s="42" t="str">
        <f t="shared" si="49"/>
        <v/>
      </c>
    </row>
    <row r="1577" spans="2:5" ht="15" customHeight="1" x14ac:dyDescent="0.3">
      <c r="B1577" s="44" t="str">
        <f>IF(OR(LINEAS!$D$67="",LINEAS!$U$67=0,ABS(IF(OR(LINEAS!$U$67=1,LINEAS!$U$67=3),1,-1)*LINEAS!$AI$67*DATOS!$C$67)&lt;0.00005),"*",LINEAS!$D$67&amp;" UNI "&amp;IF(LINEAS!$U$67&lt;=2,"GZ","GX")&amp;" "&amp;TEXT(IF(OR(LINEAS!$U$67=1,LINEAS!$U$67=3),1,-1)*LINEAS!$AI$67*DATOS!$C$67,DATOS!$C$68))</f>
        <v>316 UNI GX -0.6004</v>
      </c>
      <c r="C1577" s="42" t="str">
        <f t="shared" si="48"/>
        <v/>
      </c>
      <c r="D1577" s="44" t="str">
        <f>IF(PRESIONES!$C$22="NO","",IF(OR(LINEAS!$D$67="",LINEAS!$U$67=0,ABS(IF(OR(LINEAS!$U$67=1,LINEAS!$U$67=3),1,-1)*LINEAS!$AI$67*DATOS!$C$67)&lt;0.00005),"*",LINEAS!$D$67&amp;" UNI "&amp;IF(LINEAS!$U$67&lt;=2,"GZ","GX")&amp;" "&amp;TEXT(IF(OR(LINEAS!$U$67=1,LINEAS!$U$67=3),1,-1)*LINEAS!$AI$67*DATOS!$C$67,DATOS!$C$68)))</f>
        <v/>
      </c>
      <c r="E1577" s="42" t="str">
        <f t="shared" si="49"/>
        <v/>
      </c>
    </row>
    <row r="1578" spans="2:5" ht="15" customHeight="1" x14ac:dyDescent="0.3">
      <c r="B1578" s="44" t="str">
        <f>IF(OR(LINEAS!$D$68="",LINEAS!$U$68=0,ABS(IF(OR(LINEAS!$U$68=1,LINEAS!$U$68=3),1,-1)*LINEAS!$AI$68*DATOS!$C$67)&lt;0.00005),"*",LINEAS!$D$68&amp;" UNI "&amp;IF(LINEAS!$U$68&lt;=2,"GZ","GX")&amp;" "&amp;TEXT(IF(OR(LINEAS!$U$68=1,LINEAS!$U$68=3),1,-1)*LINEAS!$AI$68*DATOS!$C$67,DATOS!$C$68))</f>
        <v>315 UNI GX -0.5197</v>
      </c>
      <c r="C1578" s="42" t="str">
        <f t="shared" si="48"/>
        <v/>
      </c>
      <c r="D1578" s="44" t="str">
        <f>IF(PRESIONES!$C$22="NO","",IF(OR(LINEAS!$D$68="",LINEAS!$U$68=0,ABS(IF(OR(LINEAS!$U$68=1,LINEAS!$U$68=3),1,-1)*LINEAS!$AI$68*DATOS!$C$67)&lt;0.00005),"*",LINEAS!$D$68&amp;" UNI "&amp;IF(LINEAS!$U$68&lt;=2,"GZ","GX")&amp;" "&amp;TEXT(IF(OR(LINEAS!$U$68=1,LINEAS!$U$68=3),1,-1)*LINEAS!$AI$68*DATOS!$C$67,DATOS!$C$68)))</f>
        <v/>
      </c>
      <c r="E1578" s="42" t="str">
        <f t="shared" si="49"/>
        <v/>
      </c>
    </row>
    <row r="1579" spans="2:5" ht="15" customHeight="1" x14ac:dyDescent="0.3">
      <c r="B1579" s="44" t="str">
        <f>IF(OR(LINEAS!$D$69="",LINEAS!$U$69=0,ABS(IF(OR(LINEAS!$U$69=1,LINEAS!$U$69=3),1,-1)*LINEAS!$AI$69*DATOS!$C$67)&lt;0.00005),"*",LINEAS!$D$69&amp;" UNI "&amp;IF(LINEAS!$U$69&lt;=2,"GZ","GX")&amp;" "&amp;TEXT(IF(OR(LINEAS!$U$69=1,LINEAS!$U$69=3),1,-1)*LINEAS!$AI$69*DATOS!$C$67,DATOS!$C$68))</f>
        <v>265 UNI GX 0.8427</v>
      </c>
      <c r="C1579" s="42" t="str">
        <f t="shared" si="48"/>
        <v/>
      </c>
      <c r="D1579" s="44" t="str">
        <f>IF(PRESIONES!$C$22="NO","",IF(OR(LINEAS!$D$69="",LINEAS!$U$69=0,ABS(IF(OR(LINEAS!$U$69=1,LINEAS!$U$69=3),1,-1)*LINEAS!$AI$69*DATOS!$C$67)&lt;0.00005),"*",LINEAS!$D$69&amp;" UNI "&amp;IF(LINEAS!$U$69&lt;=2,"GZ","GX")&amp;" "&amp;TEXT(IF(OR(LINEAS!$U$69=1,LINEAS!$U$69=3),1,-1)*LINEAS!$AI$69*DATOS!$C$67,DATOS!$C$68)))</f>
        <v/>
      </c>
      <c r="E1579" s="42" t="str">
        <f t="shared" si="49"/>
        <v/>
      </c>
    </row>
    <row r="1580" spans="2:5" ht="15" customHeight="1" x14ac:dyDescent="0.3">
      <c r="B1580" s="44" t="str">
        <f>IF(OR(LINEAS!$D$70="",LINEAS!$U$70=0,ABS(IF(OR(LINEAS!$U$70=1,LINEAS!$U$70=3),1,-1)*LINEAS!$AI$70*DATOS!$C$67)&lt;0.00005),"*",LINEAS!$D$70&amp;" UNI "&amp;IF(LINEAS!$U$70&lt;=2,"GZ","GX")&amp;" "&amp;TEXT(IF(OR(LINEAS!$U$70=1,LINEAS!$U$70=3),1,-1)*LINEAS!$AI$70*DATOS!$C$67,DATOS!$C$68))</f>
        <v>266 UNI GX 0.8427</v>
      </c>
      <c r="C1580" s="42" t="str">
        <f t="shared" si="48"/>
        <v/>
      </c>
      <c r="D1580" s="44" t="str">
        <f>IF(PRESIONES!$C$22="NO","",IF(OR(LINEAS!$D$70="",LINEAS!$U$70=0,ABS(IF(OR(LINEAS!$U$70=1,LINEAS!$U$70=3),1,-1)*LINEAS!$AI$70*DATOS!$C$67)&lt;0.00005),"*",LINEAS!$D$70&amp;" UNI "&amp;IF(LINEAS!$U$70&lt;=2,"GZ","GX")&amp;" "&amp;TEXT(IF(OR(LINEAS!$U$70=1,LINEAS!$U$70=3),1,-1)*LINEAS!$AI$70*DATOS!$C$67,DATOS!$C$68)))</f>
        <v/>
      </c>
      <c r="E1580" s="42" t="str">
        <f t="shared" si="49"/>
        <v/>
      </c>
    </row>
    <row r="1581" spans="2:5" ht="15" customHeight="1" x14ac:dyDescent="0.3">
      <c r="B1581" s="44" t="str">
        <f>IF(OR(LINEAS!$D$71="",LINEAS!$U$71=0,ABS(IF(OR(LINEAS!$U$71=1,LINEAS!$U$71=3),1,-1)*LINEAS!$AI$71*DATOS!$C$67)&lt;0.00005),"*",LINEAS!$D$71&amp;" UNI "&amp;IF(LINEAS!$U$71&lt;=2,"GZ","GX")&amp;" "&amp;TEXT(IF(OR(LINEAS!$U$71=1,LINEAS!$U$71=3),1,-1)*LINEAS!$AI$71*DATOS!$C$67,DATOS!$C$68))</f>
        <v>267 UNI GX 0.8427</v>
      </c>
      <c r="C1581" s="42" t="str">
        <f t="shared" si="48"/>
        <v/>
      </c>
      <c r="D1581" s="44" t="str">
        <f>IF(PRESIONES!$C$22="NO","",IF(OR(LINEAS!$D$71="",LINEAS!$U$71=0,ABS(IF(OR(LINEAS!$U$71=1,LINEAS!$U$71=3),1,-1)*LINEAS!$AI$71*DATOS!$C$67)&lt;0.00005),"*",LINEAS!$D$71&amp;" UNI "&amp;IF(LINEAS!$U$71&lt;=2,"GZ","GX")&amp;" "&amp;TEXT(IF(OR(LINEAS!$U$71=1,LINEAS!$U$71=3),1,-1)*LINEAS!$AI$71*DATOS!$C$67,DATOS!$C$68)))</f>
        <v/>
      </c>
      <c r="E1581" s="42" t="str">
        <f t="shared" si="49"/>
        <v/>
      </c>
    </row>
    <row r="1582" spans="2:5" ht="15" customHeight="1" x14ac:dyDescent="0.3">
      <c r="B1582" s="44" t="str">
        <f>IF(OR(LINEAS!$D$72="",LINEAS!$U$72=0,ABS(IF(OR(LINEAS!$U$72=1,LINEAS!$U$72=3),1,-1)*LINEAS!$AI$72*DATOS!$C$67)&lt;0.00005),"*",LINEAS!$D$72&amp;" UNI "&amp;IF(LINEAS!$U$72&lt;=2,"GZ","GX")&amp;" "&amp;TEXT(IF(OR(LINEAS!$U$72=1,LINEAS!$U$72=3),1,-1)*LINEAS!$AI$72*DATOS!$C$67,DATOS!$C$68))</f>
        <v>274 UNI GX 0.8427</v>
      </c>
      <c r="C1582" s="42" t="str">
        <f t="shared" si="48"/>
        <v/>
      </c>
      <c r="D1582" s="44" t="str">
        <f>IF(PRESIONES!$C$22="NO","",IF(OR(LINEAS!$D$72="",LINEAS!$U$72=0,ABS(IF(OR(LINEAS!$U$72=1,LINEAS!$U$72=3),1,-1)*LINEAS!$AI$72*DATOS!$C$67)&lt;0.00005),"*",LINEAS!$D$72&amp;" UNI "&amp;IF(LINEAS!$U$72&lt;=2,"GZ","GX")&amp;" "&amp;TEXT(IF(OR(LINEAS!$U$72=1,LINEAS!$U$72=3),1,-1)*LINEAS!$AI$72*DATOS!$C$67,DATOS!$C$68)))</f>
        <v/>
      </c>
      <c r="E1582" s="42" t="str">
        <f t="shared" si="49"/>
        <v/>
      </c>
    </row>
    <row r="1583" spans="2:5" ht="15" customHeight="1" x14ac:dyDescent="0.3">
      <c r="B1583" s="44" t="str">
        <f>IF(OR(LINEAS!$D$73="",LINEAS!$U$73=0,ABS(IF(OR(LINEAS!$U$73=1,LINEAS!$U$73=3),1,-1)*LINEAS!$AI$73*DATOS!$C$67)&lt;0.00005),"*",LINEAS!$D$73&amp;" UNI "&amp;IF(LINEAS!$U$73&lt;=2,"GZ","GX")&amp;" "&amp;TEXT(IF(OR(LINEAS!$U$73=1,LINEAS!$U$73=3),1,-1)*LINEAS!$AI$73*DATOS!$C$67,DATOS!$C$68))</f>
        <v>275 UNI GX 0.8427</v>
      </c>
      <c r="C1583" s="42" t="str">
        <f t="shared" si="48"/>
        <v/>
      </c>
      <c r="D1583" s="44" t="str">
        <f>IF(PRESIONES!$C$22="NO","",IF(OR(LINEAS!$D$73="",LINEAS!$U$73=0,ABS(IF(OR(LINEAS!$U$73=1,LINEAS!$U$73=3),1,-1)*LINEAS!$AI$73*DATOS!$C$67)&lt;0.00005),"*",LINEAS!$D$73&amp;" UNI "&amp;IF(LINEAS!$U$73&lt;=2,"GZ","GX")&amp;" "&amp;TEXT(IF(OR(LINEAS!$U$73=1,LINEAS!$U$73=3),1,-1)*LINEAS!$AI$73*DATOS!$C$67,DATOS!$C$68)))</f>
        <v/>
      </c>
      <c r="E1583" s="42" t="str">
        <f t="shared" si="49"/>
        <v/>
      </c>
    </row>
    <row r="1584" spans="2:5" ht="15" customHeight="1" x14ac:dyDescent="0.3">
      <c r="B1584" s="44" t="str">
        <f>IF(OR(LINEAS!$D$74="",LINEAS!$U$74=0,ABS(IF(OR(LINEAS!$U$74=1,LINEAS!$U$74=3),1,-1)*LINEAS!$AI$74*DATOS!$C$67)&lt;0.00005),"*",LINEAS!$D$74&amp;" UNI "&amp;IF(LINEAS!$U$74&lt;=2,"GZ","GX")&amp;" "&amp;TEXT(IF(OR(LINEAS!$U$74=1,LINEAS!$U$74=3),1,-1)*LINEAS!$AI$74*DATOS!$C$67,DATOS!$C$68))</f>
        <v>276 UNI GX 0.8427</v>
      </c>
      <c r="C1584" s="42" t="str">
        <f t="shared" si="48"/>
        <v/>
      </c>
      <c r="D1584" s="44" t="str">
        <f>IF(PRESIONES!$C$22="NO","",IF(OR(LINEAS!$D$74="",LINEAS!$U$74=0,ABS(IF(OR(LINEAS!$U$74=1,LINEAS!$U$74=3),1,-1)*LINEAS!$AI$74*DATOS!$C$67)&lt;0.00005),"*",LINEAS!$D$74&amp;" UNI "&amp;IF(LINEAS!$U$74&lt;=2,"GZ","GX")&amp;" "&amp;TEXT(IF(OR(LINEAS!$U$74=1,LINEAS!$U$74=3),1,-1)*LINEAS!$AI$74*DATOS!$C$67,DATOS!$C$68)))</f>
        <v/>
      </c>
      <c r="E1584" s="42" t="str">
        <f t="shared" si="49"/>
        <v/>
      </c>
    </row>
    <row r="1585" spans="2:5" ht="15" customHeight="1" x14ac:dyDescent="0.3">
      <c r="B1585" s="44" t="str">
        <f>IF(OR(LINEAS!$D$75="",LINEAS!$U$75=0,ABS(IF(OR(LINEAS!$U$75=1,LINEAS!$U$75=3),1,-1)*LINEAS!$AI$75*DATOS!$C$67)&lt;0.00005),"*",LINEAS!$D$75&amp;" UNI "&amp;IF(LINEAS!$U$75&lt;=2,"GZ","GX")&amp;" "&amp;TEXT(IF(OR(LINEAS!$U$75=1,LINEAS!$U$75=3),1,-1)*LINEAS!$AI$75*DATOS!$C$67,DATOS!$C$68))</f>
        <v>283 UNI GX 0.8427</v>
      </c>
      <c r="C1585" s="42" t="str">
        <f t="shared" si="48"/>
        <v/>
      </c>
      <c r="D1585" s="44" t="str">
        <f>IF(PRESIONES!$C$22="NO","",IF(OR(LINEAS!$D$75="",LINEAS!$U$75=0,ABS(IF(OR(LINEAS!$U$75=1,LINEAS!$U$75=3),1,-1)*LINEAS!$AI$75*DATOS!$C$67)&lt;0.00005),"*",LINEAS!$D$75&amp;" UNI "&amp;IF(LINEAS!$U$75&lt;=2,"GZ","GX")&amp;" "&amp;TEXT(IF(OR(LINEAS!$U$75=1,LINEAS!$U$75=3),1,-1)*LINEAS!$AI$75*DATOS!$C$67,DATOS!$C$68)))</f>
        <v/>
      </c>
      <c r="E1585" s="42" t="str">
        <f t="shared" si="49"/>
        <v/>
      </c>
    </row>
    <row r="1586" spans="2:5" ht="15" customHeight="1" x14ac:dyDescent="0.3">
      <c r="B1586" s="44" t="str">
        <f>IF(OR(LINEAS!$D$76="",LINEAS!$U$76=0,ABS(IF(OR(LINEAS!$U$76=1,LINEAS!$U$76=3),1,-1)*LINEAS!$AI$76*DATOS!$C$67)&lt;0.00005),"*",LINEAS!$D$76&amp;" UNI "&amp;IF(LINEAS!$U$76&lt;=2,"GZ","GX")&amp;" "&amp;TEXT(IF(OR(LINEAS!$U$76=1,LINEAS!$U$76=3),1,-1)*LINEAS!$AI$76*DATOS!$C$67,DATOS!$C$68))</f>
        <v>284 UNI GX 0.8427</v>
      </c>
      <c r="C1586" s="42" t="str">
        <f t="shared" si="48"/>
        <v/>
      </c>
      <c r="D1586" s="44" t="str">
        <f>IF(PRESIONES!$C$22="NO","",IF(OR(LINEAS!$D$76="",LINEAS!$U$76=0,ABS(IF(OR(LINEAS!$U$76=1,LINEAS!$U$76=3),1,-1)*LINEAS!$AI$76*DATOS!$C$67)&lt;0.00005),"*",LINEAS!$D$76&amp;" UNI "&amp;IF(LINEAS!$U$76&lt;=2,"GZ","GX")&amp;" "&amp;TEXT(IF(OR(LINEAS!$U$76=1,LINEAS!$U$76=3),1,-1)*LINEAS!$AI$76*DATOS!$C$67,DATOS!$C$68)))</f>
        <v/>
      </c>
      <c r="E1586" s="42" t="str">
        <f t="shared" si="49"/>
        <v/>
      </c>
    </row>
    <row r="1587" spans="2:5" ht="15" customHeight="1" x14ac:dyDescent="0.3">
      <c r="B1587" s="44" t="str">
        <f>IF(OR(LINEAS!$D$77="",LINEAS!$U$77=0,ABS(IF(OR(LINEAS!$U$77=1,LINEAS!$U$77=3),1,-1)*LINEAS!$AI$77*DATOS!$C$67)&lt;0.00005),"*",LINEAS!$D$77&amp;" UNI "&amp;IF(LINEAS!$U$77&lt;=2,"GZ","GX")&amp;" "&amp;TEXT(IF(OR(LINEAS!$U$77=1,LINEAS!$U$77=3),1,-1)*LINEAS!$AI$77*DATOS!$C$67,DATOS!$C$68))</f>
        <v>285 UNI GX 0.8427</v>
      </c>
      <c r="C1587" s="42" t="str">
        <f t="shared" si="48"/>
        <v/>
      </c>
      <c r="D1587" s="44" t="str">
        <f>IF(PRESIONES!$C$22="NO","",IF(OR(LINEAS!$D$77="",LINEAS!$U$77=0,ABS(IF(OR(LINEAS!$U$77=1,LINEAS!$U$77=3),1,-1)*LINEAS!$AI$77*DATOS!$C$67)&lt;0.00005),"*",LINEAS!$D$77&amp;" UNI "&amp;IF(LINEAS!$U$77&lt;=2,"GZ","GX")&amp;" "&amp;TEXT(IF(OR(LINEAS!$U$77=1,LINEAS!$U$77=3),1,-1)*LINEAS!$AI$77*DATOS!$C$67,DATOS!$C$68)))</f>
        <v/>
      </c>
      <c r="E1587" s="42" t="str">
        <f t="shared" si="49"/>
        <v/>
      </c>
    </row>
    <row r="1588" spans="2:5" ht="15" customHeight="1" x14ac:dyDescent="0.3">
      <c r="B1588" s="44" t="str">
        <f>IF(OR(LINEAS!$D$78="",LINEAS!$U$78=0,ABS(IF(OR(LINEAS!$U$78=1,LINEAS!$U$78=3),1,-1)*LINEAS!$AI$78*DATOS!$C$67)&lt;0.00005),"*",LINEAS!$D$78&amp;" UNI "&amp;IF(LINEAS!$U$78&lt;=2,"GZ","GX")&amp;" "&amp;TEXT(IF(OR(LINEAS!$U$78=1,LINEAS!$U$78=3),1,-1)*LINEAS!$AI$78*DATOS!$C$67,DATOS!$C$68))</f>
        <v>292 UNI GX 0.8427</v>
      </c>
      <c r="C1588" s="42" t="str">
        <f t="shared" si="48"/>
        <v/>
      </c>
      <c r="D1588" s="44" t="str">
        <f>IF(PRESIONES!$C$22="NO","",IF(OR(LINEAS!$D$78="",LINEAS!$U$78=0,ABS(IF(OR(LINEAS!$U$78=1,LINEAS!$U$78=3),1,-1)*LINEAS!$AI$78*DATOS!$C$67)&lt;0.00005),"*",LINEAS!$D$78&amp;" UNI "&amp;IF(LINEAS!$U$78&lt;=2,"GZ","GX")&amp;" "&amp;TEXT(IF(OR(LINEAS!$U$78=1,LINEAS!$U$78=3),1,-1)*LINEAS!$AI$78*DATOS!$C$67,DATOS!$C$68)))</f>
        <v/>
      </c>
      <c r="E1588" s="42" t="str">
        <f t="shared" si="49"/>
        <v/>
      </c>
    </row>
    <row r="1589" spans="2:5" ht="15" customHeight="1" x14ac:dyDescent="0.3">
      <c r="B1589" s="44" t="str">
        <f>IF(OR(LINEAS!$D$79="",LINEAS!$U$79=0,ABS(IF(OR(LINEAS!$U$79=1,LINEAS!$U$79=3),1,-1)*LINEAS!$AI$79*DATOS!$C$67)&lt;0.00005),"*",LINEAS!$D$79&amp;" UNI "&amp;IF(LINEAS!$U$79&lt;=2,"GZ","GX")&amp;" "&amp;TEXT(IF(OR(LINEAS!$U$79=1,LINEAS!$U$79=3),1,-1)*LINEAS!$AI$79*DATOS!$C$67,DATOS!$C$68))</f>
        <v>293 UNI GX 0.8427</v>
      </c>
      <c r="C1589" s="42" t="str">
        <f t="shared" si="48"/>
        <v/>
      </c>
      <c r="D1589" s="44" t="str">
        <f>IF(PRESIONES!$C$22="NO","",IF(OR(LINEAS!$D$79="",LINEAS!$U$79=0,ABS(IF(OR(LINEAS!$U$79=1,LINEAS!$U$79=3),1,-1)*LINEAS!$AI$79*DATOS!$C$67)&lt;0.00005),"*",LINEAS!$D$79&amp;" UNI "&amp;IF(LINEAS!$U$79&lt;=2,"GZ","GX")&amp;" "&amp;TEXT(IF(OR(LINEAS!$U$79=1,LINEAS!$U$79=3),1,-1)*LINEAS!$AI$79*DATOS!$C$67,DATOS!$C$68)))</f>
        <v/>
      </c>
      <c r="E1589" s="42" t="str">
        <f t="shared" si="49"/>
        <v/>
      </c>
    </row>
    <row r="1590" spans="2:5" ht="15" customHeight="1" x14ac:dyDescent="0.3">
      <c r="B1590" s="44" t="str">
        <f>IF(OR(LINEAS!$D$80="",LINEAS!$U$80=0,ABS(IF(OR(LINEAS!$U$80=1,LINEAS!$U$80=3),1,-1)*LINEAS!$AI$80*DATOS!$C$67)&lt;0.00005),"*",LINEAS!$D$80&amp;" UNI "&amp;IF(LINEAS!$U$80&lt;=2,"GZ","GX")&amp;" "&amp;TEXT(IF(OR(LINEAS!$U$80=1,LINEAS!$U$80=3),1,-1)*LINEAS!$AI$80*DATOS!$C$67,DATOS!$C$68))</f>
        <v>294 UNI GX 0.8427</v>
      </c>
      <c r="C1590" s="42" t="str">
        <f t="shared" si="48"/>
        <v/>
      </c>
      <c r="D1590" s="44" t="str">
        <f>IF(PRESIONES!$C$22="NO","",IF(OR(LINEAS!$D$80="",LINEAS!$U$80=0,ABS(IF(OR(LINEAS!$U$80=1,LINEAS!$U$80=3),1,-1)*LINEAS!$AI$80*DATOS!$C$67)&lt;0.00005),"*",LINEAS!$D$80&amp;" UNI "&amp;IF(LINEAS!$U$80&lt;=2,"GZ","GX")&amp;" "&amp;TEXT(IF(OR(LINEAS!$U$80=1,LINEAS!$U$80=3),1,-1)*LINEAS!$AI$80*DATOS!$C$67,DATOS!$C$68)))</f>
        <v/>
      </c>
      <c r="E1590" s="42" t="str">
        <f t="shared" si="49"/>
        <v/>
      </c>
    </row>
    <row r="1591" spans="2:5" ht="15" customHeight="1" x14ac:dyDescent="0.3">
      <c r="B1591" s="44" t="str">
        <f>IF(OR(LINEAS!$D$81="",LINEAS!$U$81=0,ABS(IF(OR(LINEAS!$U$81=1,LINEAS!$U$81=3),1,-1)*LINEAS!$AI$81*DATOS!$C$67)&lt;0.00005),"*",LINEAS!$D$81&amp;" UNI "&amp;IF(LINEAS!$U$81&lt;=2,"GZ","GX")&amp;" "&amp;TEXT(IF(OR(LINEAS!$U$81=1,LINEAS!$U$81=3),1,-1)*LINEAS!$AI$81*DATOS!$C$67,DATOS!$C$68))</f>
        <v>300 UNI GX 0.8427</v>
      </c>
      <c r="C1591" s="42" t="str">
        <f t="shared" si="48"/>
        <v/>
      </c>
      <c r="D1591" s="44" t="str">
        <f>IF(PRESIONES!$C$22="NO","",IF(OR(LINEAS!$D$81="",LINEAS!$U$81=0,ABS(IF(OR(LINEAS!$U$81=1,LINEAS!$U$81=3),1,-1)*LINEAS!$AI$81*DATOS!$C$67)&lt;0.00005),"*",LINEAS!$D$81&amp;" UNI "&amp;IF(LINEAS!$U$81&lt;=2,"GZ","GX")&amp;" "&amp;TEXT(IF(OR(LINEAS!$U$81=1,LINEAS!$U$81=3),1,-1)*LINEAS!$AI$81*DATOS!$C$67,DATOS!$C$68)))</f>
        <v/>
      </c>
      <c r="E1591" s="42" t="str">
        <f t="shared" si="49"/>
        <v/>
      </c>
    </row>
    <row r="1592" spans="2:5" ht="15" customHeight="1" x14ac:dyDescent="0.3">
      <c r="B1592" s="44" t="str">
        <f>IF(OR(LINEAS!$D$82="",LINEAS!$U$82=0,ABS(IF(OR(LINEAS!$U$82=1,LINEAS!$U$82=3),1,-1)*LINEAS!$AI$82*DATOS!$C$67)&lt;0.00005),"*",LINEAS!$D$82&amp;" UNI "&amp;IF(LINEAS!$U$82&lt;=2,"GZ","GX")&amp;" "&amp;TEXT(IF(OR(LINEAS!$U$82=1,LINEAS!$U$82=3),1,-1)*LINEAS!$AI$82*DATOS!$C$67,DATOS!$C$68))</f>
        <v>301 UNI GX 0.8427</v>
      </c>
      <c r="C1592" s="42" t="str">
        <f t="shared" si="48"/>
        <v/>
      </c>
      <c r="D1592" s="44" t="str">
        <f>IF(PRESIONES!$C$22="NO","",IF(OR(LINEAS!$D$82="",LINEAS!$U$82=0,ABS(IF(OR(LINEAS!$U$82=1,LINEAS!$U$82=3),1,-1)*LINEAS!$AI$82*DATOS!$C$67)&lt;0.00005),"*",LINEAS!$D$82&amp;" UNI "&amp;IF(LINEAS!$U$82&lt;=2,"GZ","GX")&amp;" "&amp;TEXT(IF(OR(LINEAS!$U$82=1,LINEAS!$U$82=3),1,-1)*LINEAS!$AI$82*DATOS!$C$67,DATOS!$C$68)))</f>
        <v/>
      </c>
      <c r="E1592" s="42" t="str">
        <f t="shared" si="49"/>
        <v/>
      </c>
    </row>
    <row r="1593" spans="2:5" ht="15" customHeight="1" x14ac:dyDescent="0.3">
      <c r="B1593" s="44" t="str">
        <f>IF(OR(LINEAS!$D$83="",LINEAS!$U$83=0,ABS(IF(OR(LINEAS!$U$83=1,LINEAS!$U$83=3),1,-1)*LINEAS!$AI$83*DATOS!$C$67)&lt;0.00005),"*",LINEAS!$D$83&amp;" UNI "&amp;IF(LINEAS!$U$83&lt;=2,"GZ","GX")&amp;" "&amp;TEXT(IF(OR(LINEAS!$U$83=1,LINEAS!$U$83=3),1,-1)*LINEAS!$AI$83*DATOS!$C$67,DATOS!$C$68))</f>
        <v>302 UNI GX 0.8427</v>
      </c>
      <c r="C1593" s="42" t="str">
        <f t="shared" si="48"/>
        <v/>
      </c>
      <c r="D1593" s="44" t="str">
        <f>IF(PRESIONES!$C$22="NO","",IF(OR(LINEAS!$D$83="",LINEAS!$U$83=0,ABS(IF(OR(LINEAS!$U$83=1,LINEAS!$U$83=3),1,-1)*LINEAS!$AI$83*DATOS!$C$67)&lt;0.00005),"*",LINEAS!$D$83&amp;" UNI "&amp;IF(LINEAS!$U$83&lt;=2,"GZ","GX")&amp;" "&amp;TEXT(IF(OR(LINEAS!$U$83=1,LINEAS!$U$83=3),1,-1)*LINEAS!$AI$83*DATOS!$C$67,DATOS!$C$68)))</f>
        <v/>
      </c>
      <c r="E1593" s="42" t="str">
        <f t="shared" si="49"/>
        <v/>
      </c>
    </row>
    <row r="1594" spans="2:5" ht="15" customHeight="1" x14ac:dyDescent="0.3">
      <c r="B1594" s="44" t="str">
        <f>IF(OR(LINEAS!$D$84="",LINEAS!$U$84=0,ABS(IF(OR(LINEAS!$U$84=1,LINEAS!$U$84=3),1,-1)*LINEAS!$AI$84*DATOS!$C$67)&lt;0.00005),"*",LINEAS!$D$84&amp;" UNI "&amp;IF(LINEAS!$U$84&lt;=2,"GZ","GX")&amp;" "&amp;TEXT(IF(OR(LINEAS!$U$84=1,LINEAS!$U$84=3),1,-1)*LINEAS!$AI$84*DATOS!$C$67,DATOS!$C$68))</f>
        <v>307 UNI GX 0.8427</v>
      </c>
      <c r="C1594" s="42" t="str">
        <f t="shared" si="48"/>
        <v/>
      </c>
      <c r="D1594" s="44" t="str">
        <f>IF(PRESIONES!$C$22="NO","",IF(OR(LINEAS!$D$84="",LINEAS!$U$84=0,ABS(IF(OR(LINEAS!$U$84=1,LINEAS!$U$84=3),1,-1)*LINEAS!$AI$84*DATOS!$C$67)&lt;0.00005),"*",LINEAS!$D$84&amp;" UNI "&amp;IF(LINEAS!$U$84&lt;=2,"GZ","GX")&amp;" "&amp;TEXT(IF(OR(LINEAS!$U$84=1,LINEAS!$U$84=3),1,-1)*LINEAS!$AI$84*DATOS!$C$67,DATOS!$C$68)))</f>
        <v/>
      </c>
      <c r="E1594" s="42" t="str">
        <f t="shared" si="49"/>
        <v/>
      </c>
    </row>
    <row r="1595" spans="2:5" ht="15" customHeight="1" x14ac:dyDescent="0.3">
      <c r="B1595" s="44" t="str">
        <f>IF(OR(LINEAS!$D$85="",LINEAS!$U$85=0,ABS(IF(OR(LINEAS!$U$85=1,LINEAS!$U$85=3),1,-1)*LINEAS!$AI$85*DATOS!$C$67)&lt;0.00005),"*",LINEAS!$D$85&amp;" UNI "&amp;IF(LINEAS!$U$85&lt;=2,"GZ","GX")&amp;" "&amp;TEXT(IF(OR(LINEAS!$U$85=1,LINEAS!$U$85=3),1,-1)*LINEAS!$AI$85*DATOS!$C$67,DATOS!$C$68))</f>
        <v>308 UNI GX 0.8427</v>
      </c>
      <c r="C1595" s="42" t="str">
        <f t="shared" si="48"/>
        <v/>
      </c>
      <c r="D1595" s="44" t="str">
        <f>IF(PRESIONES!$C$22="NO","",IF(OR(LINEAS!$D$85="",LINEAS!$U$85=0,ABS(IF(OR(LINEAS!$U$85=1,LINEAS!$U$85=3),1,-1)*LINEAS!$AI$85*DATOS!$C$67)&lt;0.00005),"*",LINEAS!$D$85&amp;" UNI "&amp;IF(LINEAS!$U$85&lt;=2,"GZ","GX")&amp;" "&amp;TEXT(IF(OR(LINEAS!$U$85=1,LINEAS!$U$85=3),1,-1)*LINEAS!$AI$85*DATOS!$C$67,DATOS!$C$68)))</f>
        <v/>
      </c>
      <c r="E1595" s="42" t="str">
        <f t="shared" si="49"/>
        <v/>
      </c>
    </row>
    <row r="1596" spans="2:5" ht="15" customHeight="1" x14ac:dyDescent="0.3">
      <c r="B1596" s="44" t="str">
        <f>IF(OR(LINEAS!$D$86="",LINEAS!$U$86=0,ABS(IF(OR(LINEAS!$U$86=1,LINEAS!$U$86=3),1,-1)*LINEAS!$AI$86*DATOS!$C$67)&lt;0.00005),"*",LINEAS!$D$86&amp;" UNI "&amp;IF(LINEAS!$U$86&lt;=2,"GZ","GX")&amp;" "&amp;TEXT(IF(OR(LINEAS!$U$86=1,LINEAS!$U$86=3),1,-1)*LINEAS!$AI$86*DATOS!$C$67,DATOS!$C$68))</f>
        <v>309 UNI GX 0.8427</v>
      </c>
      <c r="C1596" s="42" t="str">
        <f t="shared" si="48"/>
        <v/>
      </c>
      <c r="D1596" s="44" t="str">
        <f>IF(PRESIONES!$C$22="NO","",IF(OR(LINEAS!$D$86="",LINEAS!$U$86=0,ABS(IF(OR(LINEAS!$U$86=1,LINEAS!$U$86=3),1,-1)*LINEAS!$AI$86*DATOS!$C$67)&lt;0.00005),"*",LINEAS!$D$86&amp;" UNI "&amp;IF(LINEAS!$U$86&lt;=2,"GZ","GX")&amp;" "&amp;TEXT(IF(OR(LINEAS!$U$86=1,LINEAS!$U$86=3),1,-1)*LINEAS!$AI$86*DATOS!$C$67,DATOS!$C$68)))</f>
        <v/>
      </c>
      <c r="E1596" s="42" t="str">
        <f t="shared" si="49"/>
        <v/>
      </c>
    </row>
    <row r="1597" spans="2:5" ht="15" customHeight="1" x14ac:dyDescent="0.3">
      <c r="B1597" s="44" t="str">
        <f>IF(OR(LINEAS!$D$87="",LINEAS!$U$87=0,ABS(IF(OR(LINEAS!$U$87=1,LINEAS!$U$87=3),1,-1)*LINEAS!$AI$87*DATOS!$C$67)&lt;0.00005),"*",LINEAS!$D$87&amp;" UNI "&amp;IF(LINEAS!$U$87&lt;=2,"GZ","GX")&amp;" "&amp;TEXT(IF(OR(LINEAS!$U$87=1,LINEAS!$U$87=3),1,-1)*LINEAS!$AI$87*DATOS!$C$67,DATOS!$C$68))</f>
        <v>318 UNI GX 0.8427</v>
      </c>
      <c r="C1597" s="42" t="str">
        <f t="shared" si="48"/>
        <v/>
      </c>
      <c r="D1597" s="44" t="str">
        <f>IF(PRESIONES!$C$22="NO","",IF(OR(LINEAS!$D$87="",LINEAS!$U$87=0,ABS(IF(OR(LINEAS!$U$87=1,LINEAS!$U$87=3),1,-1)*LINEAS!$AI$87*DATOS!$C$67)&lt;0.00005),"*",LINEAS!$D$87&amp;" UNI "&amp;IF(LINEAS!$U$87&lt;=2,"GZ","GX")&amp;" "&amp;TEXT(IF(OR(LINEAS!$U$87=1,LINEAS!$U$87=3),1,-1)*LINEAS!$AI$87*DATOS!$C$67,DATOS!$C$68)))</f>
        <v/>
      </c>
      <c r="E1597" s="42" t="str">
        <f t="shared" si="49"/>
        <v/>
      </c>
    </row>
    <row r="1598" spans="2:5" ht="15" customHeight="1" x14ac:dyDescent="0.3">
      <c r="B1598" s="44" t="str">
        <f>IF(OR(LINEAS!$D$88="",LINEAS!$U$88=0,ABS(IF(OR(LINEAS!$U$88=1,LINEAS!$U$88=3),1,-1)*LINEAS!$AI$88*DATOS!$C$67)&lt;0.00005),"*",LINEAS!$D$88&amp;" UNI "&amp;IF(LINEAS!$U$88&lt;=2,"GZ","GX")&amp;" "&amp;TEXT(IF(OR(LINEAS!$U$88=1,LINEAS!$U$88=3),1,-1)*LINEAS!$AI$88*DATOS!$C$67,DATOS!$C$68))</f>
        <v>311 UNI GX 0.8427</v>
      </c>
      <c r="C1598" s="42" t="str">
        <f t="shared" si="48"/>
        <v/>
      </c>
      <c r="D1598" s="44" t="str">
        <f>IF(PRESIONES!$C$22="NO","",IF(OR(LINEAS!$D$88="",LINEAS!$U$88=0,ABS(IF(OR(LINEAS!$U$88=1,LINEAS!$U$88=3),1,-1)*LINEAS!$AI$88*DATOS!$C$67)&lt;0.00005),"*",LINEAS!$D$88&amp;" UNI "&amp;IF(LINEAS!$U$88&lt;=2,"GZ","GX")&amp;" "&amp;TEXT(IF(OR(LINEAS!$U$88=1,LINEAS!$U$88=3),1,-1)*LINEAS!$AI$88*DATOS!$C$67,DATOS!$C$68)))</f>
        <v/>
      </c>
      <c r="E1598" s="42" t="str">
        <f t="shared" si="49"/>
        <v/>
      </c>
    </row>
    <row r="1599" spans="2:5" ht="15" customHeight="1" x14ac:dyDescent="0.3">
      <c r="B1599" s="44" t="str">
        <f>IF(OR(LINEAS!$D$89="",LINEAS!$U$89=0,ABS(IF(OR(LINEAS!$U$89=1,LINEAS!$U$89=3),1,-1)*LINEAS!$AI$89*DATOS!$C$67)&lt;0.00005),"*",LINEAS!$D$89&amp;" UNI "&amp;IF(LINEAS!$U$89&lt;=2,"GZ","GX")&amp;" "&amp;TEXT(IF(OR(LINEAS!$U$89=1,LINEAS!$U$89=3),1,-1)*LINEAS!$AI$89*DATOS!$C$67,DATOS!$C$68))</f>
        <v>310 UNI GX 0.8427</v>
      </c>
      <c r="C1599" s="42" t="str">
        <f t="shared" si="48"/>
        <v/>
      </c>
      <c r="D1599" s="44" t="str">
        <f>IF(PRESIONES!$C$22="NO","",IF(OR(LINEAS!$D$89="",LINEAS!$U$89=0,ABS(IF(OR(LINEAS!$U$89=1,LINEAS!$U$89=3),1,-1)*LINEAS!$AI$89*DATOS!$C$67)&lt;0.00005),"*",LINEAS!$D$89&amp;" UNI "&amp;IF(LINEAS!$U$89&lt;=2,"GZ","GX")&amp;" "&amp;TEXT(IF(OR(LINEAS!$U$89=1,LINEAS!$U$89=3),1,-1)*LINEAS!$AI$89*DATOS!$C$67,DATOS!$C$68)))</f>
        <v/>
      </c>
      <c r="E1599" s="42" t="str">
        <f t="shared" si="49"/>
        <v/>
      </c>
    </row>
    <row r="1600" spans="2:5" ht="15" customHeight="1" x14ac:dyDescent="0.3">
      <c r="B1600" s="44" t="str">
        <f>IF(OR(LINEAS!$D$90="",LINEAS!$U$90=0,ABS(IF(OR(LINEAS!$U$90=1,LINEAS!$U$90=3),1,-1)*LINEAS!$AI$90*DATOS!$C$67)&lt;0.00005),"*",LINEAS!$D$90&amp;" UNI "&amp;IF(LINEAS!$U$90&lt;=2,"GZ","GX")&amp;" "&amp;TEXT(IF(OR(LINEAS!$U$90=1,LINEAS!$U$90=3),1,-1)*LINEAS!$AI$90*DATOS!$C$67,DATOS!$C$68))</f>
        <v>321 UNI GX 0.7198</v>
      </c>
      <c r="C1600" s="42" t="str">
        <f t="shared" si="48"/>
        <v/>
      </c>
      <c r="D1600" s="44" t="str">
        <f>IF(PRESIONES!$C$22="NO","",IF(OR(LINEAS!$D$90="",LINEAS!$U$90=0,ABS(IF(OR(LINEAS!$U$90=1,LINEAS!$U$90=3),1,-1)*LINEAS!$AI$90*DATOS!$C$67)&lt;0.00005),"*",LINEAS!$D$90&amp;" UNI "&amp;IF(LINEAS!$U$90&lt;=2,"GZ","GX")&amp;" "&amp;TEXT(IF(OR(LINEAS!$U$90=1,LINEAS!$U$90=3),1,-1)*LINEAS!$AI$90*DATOS!$C$67,DATOS!$C$68)))</f>
        <v/>
      </c>
      <c r="E1600" s="42" t="str">
        <f t="shared" si="49"/>
        <v/>
      </c>
    </row>
    <row r="1601" spans="2:5" ht="15" customHeight="1" x14ac:dyDescent="0.3">
      <c r="B1601" s="44" t="str">
        <f>IF(OR(LINEAS!$D$91="",LINEAS!$U$91=0,ABS(IF(OR(LINEAS!$U$91=1,LINEAS!$U$91=3),1,-1)*LINEAS!$AI$91*DATOS!$C$67)&lt;0.00005),"*",LINEAS!$D$91&amp;" UNI "&amp;IF(LINEAS!$U$91&lt;=2,"GZ","GX")&amp;" "&amp;TEXT(IF(OR(LINEAS!$U$91=1,LINEAS!$U$91=3),1,-1)*LINEAS!$AI$91*DATOS!$C$67,DATOS!$C$68))</f>
        <v>320 UNI GX 0.6004</v>
      </c>
      <c r="C1601" s="42" t="str">
        <f t="shared" si="48"/>
        <v/>
      </c>
      <c r="D1601" s="44" t="str">
        <f>IF(PRESIONES!$C$22="NO","",IF(OR(LINEAS!$D$91="",LINEAS!$U$91=0,ABS(IF(OR(LINEAS!$U$91=1,LINEAS!$U$91=3),1,-1)*LINEAS!$AI$91*DATOS!$C$67)&lt;0.00005),"*",LINEAS!$D$91&amp;" UNI "&amp;IF(LINEAS!$U$91&lt;=2,"GZ","GX")&amp;" "&amp;TEXT(IF(OR(LINEAS!$U$91=1,LINEAS!$U$91=3),1,-1)*LINEAS!$AI$91*DATOS!$C$67,DATOS!$C$68)))</f>
        <v/>
      </c>
      <c r="E1601" s="42" t="str">
        <f t="shared" si="49"/>
        <v/>
      </c>
    </row>
    <row r="1602" spans="2:5" ht="15" customHeight="1" x14ac:dyDescent="0.3">
      <c r="B1602" s="44" t="str">
        <f>IF(OR(LINEAS!$D$92="",LINEAS!$U$92=0,ABS(IF(OR(LINEAS!$U$92=1,LINEAS!$U$92=3),1,-1)*LINEAS!$AI$92*DATOS!$C$67)&lt;0.00005),"*",LINEAS!$D$92&amp;" UNI "&amp;IF(LINEAS!$U$92&lt;=2,"GZ","GX")&amp;" "&amp;TEXT(IF(OR(LINEAS!$U$92=1,LINEAS!$U$92=3),1,-1)*LINEAS!$AI$92*DATOS!$C$67,DATOS!$C$68))</f>
        <v>319 UNI GX 0.5197</v>
      </c>
      <c r="C1602" s="42" t="str">
        <f t="shared" si="48"/>
        <v/>
      </c>
      <c r="D1602" s="44" t="str">
        <f>IF(PRESIONES!$C$22="NO","",IF(OR(LINEAS!$D$92="",LINEAS!$U$92=0,ABS(IF(OR(LINEAS!$U$92=1,LINEAS!$U$92=3),1,-1)*LINEAS!$AI$92*DATOS!$C$67)&lt;0.00005),"*",LINEAS!$D$92&amp;" UNI "&amp;IF(LINEAS!$U$92&lt;=2,"GZ","GX")&amp;" "&amp;TEXT(IF(OR(LINEAS!$U$92=1,LINEAS!$U$92=3),1,-1)*LINEAS!$AI$92*DATOS!$C$67,DATOS!$C$68)))</f>
        <v/>
      </c>
      <c r="E1602" s="42" t="str">
        <f t="shared" si="49"/>
        <v/>
      </c>
    </row>
    <row r="1603" spans="2:5" ht="15" customHeight="1" x14ac:dyDescent="0.3">
      <c r="B1603" s="44" t="str">
        <f>IF(OR(LINEAS!$D$93="",LINEAS!$U$93=0,ABS(IF(OR(LINEAS!$U$93=1,LINEAS!$U$93=3),1,-1)*LINEAS!$AI$93*DATOS!$C$67)&lt;0.00005),"*",LINEAS!$D$93&amp;" UNI "&amp;IF(LINEAS!$U$93&lt;=2,"GZ","GX")&amp;" "&amp;TEXT(IF(OR(LINEAS!$U$93=1,LINEAS!$U$93=3),1,-1)*LINEAS!$AI$93*DATOS!$C$67,DATOS!$C$68))</f>
        <v>60 UNI GX -0.3463</v>
      </c>
      <c r="C1603" s="42" t="str">
        <f t="shared" si="48"/>
        <v/>
      </c>
      <c r="D1603" s="44" t="str">
        <f>IF(PRESIONES!$C$22="NO","",IF(OR(LINEAS!$D$93="",LINEAS!$U$93=0,ABS(IF(OR(LINEAS!$U$93=1,LINEAS!$U$93=3),1,-1)*LINEAS!$AI$93*DATOS!$C$67)&lt;0.00005),"*",LINEAS!$D$93&amp;" UNI "&amp;IF(LINEAS!$U$93&lt;=2,"GZ","GX")&amp;" "&amp;TEXT(IF(OR(LINEAS!$U$93=1,LINEAS!$U$93=3),1,-1)*LINEAS!$AI$93*DATOS!$C$67,DATOS!$C$68)))</f>
        <v/>
      </c>
      <c r="E1603" s="42" t="str">
        <f t="shared" si="49"/>
        <v/>
      </c>
    </row>
    <row r="1604" spans="2:5" ht="15" customHeight="1" x14ac:dyDescent="0.3">
      <c r="B1604" s="44" t="str">
        <f>IF(OR(LINEAS!$D$94="",LINEAS!$U$94=0,ABS(IF(OR(LINEAS!$U$94=1,LINEAS!$U$94=3),1,-1)*LINEAS!$AI$94*DATOS!$C$67)&lt;0.00005),"*",LINEAS!$D$94&amp;" UNI "&amp;IF(LINEAS!$U$94&lt;=2,"GZ","GX")&amp;" "&amp;TEXT(IF(OR(LINEAS!$U$94=1,LINEAS!$U$94=3),1,-1)*LINEAS!$AI$94*DATOS!$C$67,DATOS!$C$68))</f>
        <v>59 UNI GX -0.3226</v>
      </c>
      <c r="C1604" s="42" t="str">
        <f t="shared" si="48"/>
        <v/>
      </c>
      <c r="D1604" s="44" t="str">
        <f>IF(PRESIONES!$C$22="NO","",IF(OR(LINEAS!$D$94="",LINEAS!$U$94=0,ABS(IF(OR(LINEAS!$U$94=1,LINEAS!$U$94=3),1,-1)*LINEAS!$AI$94*DATOS!$C$67)&lt;0.00005),"*",LINEAS!$D$94&amp;" UNI "&amp;IF(LINEAS!$U$94&lt;=2,"GZ","GX")&amp;" "&amp;TEXT(IF(OR(LINEAS!$U$94=1,LINEAS!$U$94=3),1,-1)*LINEAS!$AI$94*DATOS!$C$67,DATOS!$C$68)))</f>
        <v/>
      </c>
      <c r="E1604" s="42" t="str">
        <f t="shared" si="49"/>
        <v/>
      </c>
    </row>
    <row r="1605" spans="2:5" ht="15" customHeight="1" x14ac:dyDescent="0.3">
      <c r="B1605" s="44" t="str">
        <f>IF(OR(LINEAS!$D$95="",LINEAS!$U$95=0,ABS(IF(OR(LINEAS!$U$95=1,LINEAS!$U$95=3),1,-1)*LINEAS!$AI$95*DATOS!$C$67)&lt;0.00005),"*",LINEAS!$D$95&amp;" UNI "&amp;IF(LINEAS!$U$95&lt;=2,"GZ","GX")&amp;" "&amp;TEXT(IF(OR(LINEAS!$U$95=1,LINEAS!$U$95=3),1,-1)*LINEAS!$AI$95*DATOS!$C$67,DATOS!$C$68))</f>
        <v>58 UNI GX -0.2989</v>
      </c>
      <c r="C1605" s="42" t="str">
        <f t="shared" si="48"/>
        <v/>
      </c>
      <c r="D1605" s="44" t="str">
        <f>IF(PRESIONES!$C$22="NO","",IF(OR(LINEAS!$D$95="",LINEAS!$U$95=0,ABS(IF(OR(LINEAS!$U$95=1,LINEAS!$U$95=3),1,-1)*LINEAS!$AI$95*DATOS!$C$67)&lt;0.00005),"*",LINEAS!$D$95&amp;" UNI "&amp;IF(LINEAS!$U$95&lt;=2,"GZ","GX")&amp;" "&amp;TEXT(IF(OR(LINEAS!$U$95=1,LINEAS!$U$95=3),1,-1)*LINEAS!$AI$95*DATOS!$C$67,DATOS!$C$68)))</f>
        <v/>
      </c>
      <c r="E1605" s="42" t="str">
        <f t="shared" si="49"/>
        <v/>
      </c>
    </row>
    <row r="1606" spans="2:5" ht="15" customHeight="1" x14ac:dyDescent="0.3">
      <c r="B1606" s="44" t="str">
        <f>IF(OR(LINEAS!$D$96="",LINEAS!$U$96=0,ABS(IF(OR(LINEAS!$U$96=1,LINEAS!$U$96=3),1,-1)*LINEAS!$AI$96*DATOS!$C$67)&lt;0.00005),"*",LINEAS!$D$96&amp;" UNI "&amp;IF(LINEAS!$U$96&lt;=2,"GZ","GX")&amp;" "&amp;TEXT(IF(OR(LINEAS!$U$96=1,LINEAS!$U$96=3),1,-1)*LINEAS!$AI$96*DATOS!$C$67,DATOS!$C$68))</f>
        <v>57 UNI GX -0.2752</v>
      </c>
      <c r="C1606" s="42" t="str">
        <f t="shared" si="48"/>
        <v/>
      </c>
      <c r="D1606" s="44" t="str">
        <f>IF(PRESIONES!$C$22="NO","",IF(OR(LINEAS!$D$96="",LINEAS!$U$96=0,ABS(IF(OR(LINEAS!$U$96=1,LINEAS!$U$96=3),1,-1)*LINEAS!$AI$96*DATOS!$C$67)&lt;0.00005),"*",LINEAS!$D$96&amp;" UNI "&amp;IF(LINEAS!$U$96&lt;=2,"GZ","GX")&amp;" "&amp;TEXT(IF(OR(LINEAS!$U$96=1,LINEAS!$U$96=3),1,-1)*LINEAS!$AI$96*DATOS!$C$67,DATOS!$C$68)))</f>
        <v/>
      </c>
      <c r="E1606" s="42" t="str">
        <f t="shared" si="49"/>
        <v/>
      </c>
    </row>
    <row r="1607" spans="2:5" ht="15" customHeight="1" x14ac:dyDescent="0.3">
      <c r="B1607" s="44" t="str">
        <f>IF(OR(LINEAS!$D$97="",LINEAS!$U$97=0,ABS(IF(OR(LINEAS!$U$97=1,LINEAS!$U$97=3),1,-1)*LINEAS!$AI$97*DATOS!$C$67)&lt;0.00005),"*",LINEAS!$D$97&amp;" UNI "&amp;IF(LINEAS!$U$97&lt;=2,"GZ","GX")&amp;" "&amp;TEXT(IF(OR(LINEAS!$U$97=1,LINEAS!$U$97=3),1,-1)*LINEAS!$AI$97*DATOS!$C$67,DATOS!$C$68))</f>
        <v>10 UNI GX -0.2515</v>
      </c>
      <c r="C1607" s="42" t="str">
        <f t="shared" si="48"/>
        <v/>
      </c>
      <c r="D1607" s="44" t="str">
        <f>IF(PRESIONES!$C$22="NO","",IF(OR(LINEAS!$D$97="",LINEAS!$U$97=0,ABS(IF(OR(LINEAS!$U$97=1,LINEAS!$U$97=3),1,-1)*LINEAS!$AI$97*DATOS!$C$67)&lt;0.00005),"*",LINEAS!$D$97&amp;" UNI "&amp;IF(LINEAS!$U$97&lt;=2,"GZ","GX")&amp;" "&amp;TEXT(IF(OR(LINEAS!$U$97=1,LINEAS!$U$97=3),1,-1)*LINEAS!$AI$97*DATOS!$C$67,DATOS!$C$68)))</f>
        <v/>
      </c>
      <c r="E1607" s="42" t="str">
        <f t="shared" si="49"/>
        <v/>
      </c>
    </row>
    <row r="1608" spans="2:5" ht="15" customHeight="1" x14ac:dyDescent="0.3">
      <c r="B1608" s="44" t="str">
        <f>IF(OR(LINEAS!$D$98="",LINEAS!$U$98=0,ABS(IF(OR(LINEAS!$U$98=1,LINEAS!$U$98=3),1,-1)*LINEAS!$AI$98*DATOS!$C$67)&lt;0.00005),"*",LINEAS!$D$98&amp;" UNI "&amp;IF(LINEAS!$U$98&lt;=2,"GZ","GX")&amp;" "&amp;TEXT(IF(OR(LINEAS!$U$98=1,LINEAS!$U$98=3),1,-1)*LINEAS!$AI$98*DATOS!$C$67,DATOS!$C$68))</f>
        <v>68 UNI GX -0.2278</v>
      </c>
      <c r="C1608" s="42" t="str">
        <f t="shared" si="48"/>
        <v/>
      </c>
      <c r="D1608" s="44" t="str">
        <f>IF(PRESIONES!$C$22="NO","",IF(OR(LINEAS!$D$98="",LINEAS!$U$98=0,ABS(IF(OR(LINEAS!$U$98=1,LINEAS!$U$98=3),1,-1)*LINEAS!$AI$98*DATOS!$C$67)&lt;0.00005),"*",LINEAS!$D$98&amp;" UNI "&amp;IF(LINEAS!$U$98&lt;=2,"GZ","GX")&amp;" "&amp;TEXT(IF(OR(LINEAS!$U$98=1,LINEAS!$U$98=3),1,-1)*LINEAS!$AI$98*DATOS!$C$67,DATOS!$C$68)))</f>
        <v/>
      </c>
      <c r="E1608" s="42" t="str">
        <f t="shared" si="49"/>
        <v/>
      </c>
    </row>
    <row r="1609" spans="2:5" ht="15" customHeight="1" x14ac:dyDescent="0.3">
      <c r="B1609" s="44" t="str">
        <f>IF(OR(LINEAS!$D$99="",LINEAS!$U$99=0,ABS(IF(OR(LINEAS!$U$99=1,LINEAS!$U$99=3),1,-1)*LINEAS!$AI$99*DATOS!$C$67)&lt;0.00005),"*",LINEAS!$D$99&amp;" UNI "&amp;IF(LINEAS!$U$99&lt;=2,"GZ","GX")&amp;" "&amp;TEXT(IF(OR(LINEAS!$U$99=1,LINEAS!$U$99=3),1,-1)*LINEAS!$AI$99*DATOS!$C$67,DATOS!$C$68))</f>
        <v>67 UNI GX -0.2041</v>
      </c>
      <c r="C1609" s="42" t="str">
        <f t="shared" ref="C1609:C1672" si="50">IF(LEN($B1609)&gt;79,"MÁS DE 79 CARACTERES","")</f>
        <v/>
      </c>
      <c r="D1609" s="44" t="str">
        <f>IF(PRESIONES!$C$22="NO","",IF(OR(LINEAS!$D$99="",LINEAS!$U$99=0,ABS(IF(OR(LINEAS!$U$99=1,LINEAS!$U$99=3),1,-1)*LINEAS!$AI$99*DATOS!$C$67)&lt;0.00005),"*",LINEAS!$D$99&amp;" UNI "&amp;IF(LINEAS!$U$99&lt;=2,"GZ","GX")&amp;" "&amp;TEXT(IF(OR(LINEAS!$U$99=1,LINEAS!$U$99=3),1,-1)*LINEAS!$AI$99*DATOS!$C$67,DATOS!$C$68)))</f>
        <v/>
      </c>
      <c r="E1609" s="42" t="str">
        <f t="shared" ref="E1609:E1672" si="51">IF(LEN($D1609)&gt;79,"MÁS DE 79 CARACTERES","")</f>
        <v/>
      </c>
    </row>
    <row r="1610" spans="2:5" ht="15" customHeight="1" x14ac:dyDescent="0.3">
      <c r="B1610" s="44" t="str">
        <f>IF(OR(LINEAS!$D$100="",LINEAS!$U$100=0,ABS(IF(OR(LINEAS!$U$100=1,LINEAS!$U$100=3),1,-1)*LINEAS!$AI$100*DATOS!$C$67)&lt;0.00005),"*",LINEAS!$D$100&amp;" UNI "&amp;IF(LINEAS!$U$100&lt;=2,"GZ","GX")&amp;" "&amp;TEXT(IF(OR(LINEAS!$U$100=1,LINEAS!$U$100=3),1,-1)*LINEAS!$AI$100*DATOS!$C$67,DATOS!$C$68))</f>
        <v>66 UNI GX -0.1804</v>
      </c>
      <c r="C1610" s="42" t="str">
        <f t="shared" si="50"/>
        <v/>
      </c>
      <c r="D1610" s="44" t="str">
        <f>IF(PRESIONES!$C$22="NO","",IF(OR(LINEAS!$D$100="",LINEAS!$U$100=0,ABS(IF(OR(LINEAS!$U$100=1,LINEAS!$U$100=3),1,-1)*LINEAS!$AI$100*DATOS!$C$67)&lt;0.00005),"*",LINEAS!$D$100&amp;" UNI "&amp;IF(LINEAS!$U$100&lt;=2,"GZ","GX")&amp;" "&amp;TEXT(IF(OR(LINEAS!$U$100=1,LINEAS!$U$100=3),1,-1)*LINEAS!$AI$100*DATOS!$C$67,DATOS!$C$68)))</f>
        <v/>
      </c>
      <c r="E1610" s="42" t="str">
        <f t="shared" si="51"/>
        <v/>
      </c>
    </row>
    <row r="1611" spans="2:5" ht="15" customHeight="1" x14ac:dyDescent="0.3">
      <c r="B1611" s="44" t="str">
        <f>IF(OR(LINEAS!$D$101="",LINEAS!$U$101=0,ABS(IF(OR(LINEAS!$U$101=1,LINEAS!$U$101=3),1,-1)*LINEAS!$AI$101*DATOS!$C$67)&lt;0.00005),"*",LINEAS!$D$101&amp;" UNI "&amp;IF(LINEAS!$U$101&lt;=2,"GZ","GX")&amp;" "&amp;TEXT(IF(OR(LINEAS!$U$101=1,LINEAS!$U$101=3),1,-1)*LINEAS!$AI$101*DATOS!$C$67,DATOS!$C$68))</f>
        <v>65 UNI GX -0.1567</v>
      </c>
      <c r="C1611" s="42" t="str">
        <f t="shared" si="50"/>
        <v/>
      </c>
      <c r="D1611" s="44" t="str">
        <f>IF(PRESIONES!$C$22="NO","",IF(OR(LINEAS!$D$101="",LINEAS!$U$101=0,ABS(IF(OR(LINEAS!$U$101=1,LINEAS!$U$101=3),1,-1)*LINEAS!$AI$101*DATOS!$C$67)&lt;0.00005),"*",LINEAS!$D$101&amp;" UNI "&amp;IF(LINEAS!$U$101&lt;=2,"GZ","GX")&amp;" "&amp;TEXT(IF(OR(LINEAS!$U$101=1,LINEAS!$U$101=3),1,-1)*LINEAS!$AI$101*DATOS!$C$67,DATOS!$C$68)))</f>
        <v/>
      </c>
      <c r="E1611" s="42" t="str">
        <f t="shared" si="51"/>
        <v/>
      </c>
    </row>
    <row r="1612" spans="2:5" ht="15" customHeight="1" x14ac:dyDescent="0.3">
      <c r="B1612" s="44" t="str">
        <f>IF(OR(LINEAS!$D$102="",LINEAS!$U$102=0,ABS(IF(OR(LINEAS!$U$102=1,LINEAS!$U$102=3),1,-1)*LINEAS!$AI$102*DATOS!$C$67)&lt;0.00005),"*",LINEAS!$D$102&amp;" UNI "&amp;IF(LINEAS!$U$102&lt;=2,"GZ","GX")&amp;" "&amp;TEXT(IF(OR(LINEAS!$U$102=1,LINEAS!$U$102=3),1,-1)*LINEAS!$AI$102*DATOS!$C$67,DATOS!$C$68))</f>
        <v>43 UNI GX -0.1330</v>
      </c>
      <c r="C1612" s="42" t="str">
        <f t="shared" si="50"/>
        <v/>
      </c>
      <c r="D1612" s="44" t="str">
        <f>IF(PRESIONES!$C$22="NO","",IF(OR(LINEAS!$D$102="",LINEAS!$U$102=0,ABS(IF(OR(LINEAS!$U$102=1,LINEAS!$U$102=3),1,-1)*LINEAS!$AI$102*DATOS!$C$67)&lt;0.00005),"*",LINEAS!$D$102&amp;" UNI "&amp;IF(LINEAS!$U$102&lt;=2,"GZ","GX")&amp;" "&amp;TEXT(IF(OR(LINEAS!$U$102=1,LINEAS!$U$102=3),1,-1)*LINEAS!$AI$102*DATOS!$C$67,DATOS!$C$68)))</f>
        <v/>
      </c>
      <c r="E1612" s="42" t="str">
        <f t="shared" si="51"/>
        <v/>
      </c>
    </row>
    <row r="1613" spans="2:5" ht="15" customHeight="1" x14ac:dyDescent="0.3">
      <c r="B1613" s="44" t="str">
        <f>IF(OR(LINEAS!$D$103="",LINEAS!$U$103=0,ABS(IF(OR(LINEAS!$U$103=1,LINEAS!$U$103=3),1,-1)*LINEAS!$AI$103*DATOS!$C$67)&lt;0.00005),"*",LINEAS!$D$103&amp;" UNI "&amp;IF(LINEAS!$U$103&lt;=2,"GZ","GX")&amp;" "&amp;TEXT(IF(OR(LINEAS!$U$103=1,LINEAS!$U$103=3),1,-1)*LINEAS!$AI$103*DATOS!$C$67,DATOS!$C$68))</f>
        <v>47 UNI GX -0.1101</v>
      </c>
      <c r="C1613" s="42" t="str">
        <f t="shared" si="50"/>
        <v/>
      </c>
      <c r="D1613" s="44" t="str">
        <f>IF(PRESIONES!$C$22="NO","",IF(OR(LINEAS!$D$103="",LINEAS!$U$103=0,ABS(IF(OR(LINEAS!$U$103=1,LINEAS!$U$103=3),1,-1)*LINEAS!$AI$103*DATOS!$C$67)&lt;0.00005),"*",LINEAS!$D$103&amp;" UNI "&amp;IF(LINEAS!$U$103&lt;=2,"GZ","GX")&amp;" "&amp;TEXT(IF(OR(LINEAS!$U$103=1,LINEAS!$U$103=3),1,-1)*LINEAS!$AI$103*DATOS!$C$67,DATOS!$C$68)))</f>
        <v/>
      </c>
      <c r="E1613" s="42" t="str">
        <f t="shared" si="51"/>
        <v/>
      </c>
    </row>
    <row r="1614" spans="2:5" ht="15" customHeight="1" x14ac:dyDescent="0.3">
      <c r="B1614" s="44" t="str">
        <f>IF(OR(LINEAS!$D$104="",LINEAS!$U$104=0,ABS(IF(OR(LINEAS!$U$104=1,LINEAS!$U$104=3),1,-1)*LINEAS!$AI$104*DATOS!$C$67)&lt;0.00005),"*",LINEAS!$D$104&amp;" UNI "&amp;IF(LINEAS!$U$104&lt;=2,"GZ","GX")&amp;" "&amp;TEXT(IF(OR(LINEAS!$U$104=1,LINEAS!$U$104=3),1,-1)*LINEAS!$AI$104*DATOS!$C$67,DATOS!$C$68))</f>
        <v>54 UNI GX -0.0882</v>
      </c>
      <c r="C1614" s="42" t="str">
        <f t="shared" si="50"/>
        <v/>
      </c>
      <c r="D1614" s="44" t="str">
        <f>IF(PRESIONES!$C$22="NO","",IF(OR(LINEAS!$D$104="",LINEAS!$U$104=0,ABS(IF(OR(LINEAS!$U$104=1,LINEAS!$U$104=3),1,-1)*LINEAS!$AI$104*DATOS!$C$67)&lt;0.00005),"*",LINEAS!$D$104&amp;" UNI "&amp;IF(LINEAS!$U$104&lt;=2,"GZ","GX")&amp;" "&amp;TEXT(IF(OR(LINEAS!$U$104=1,LINEAS!$U$104=3),1,-1)*LINEAS!$AI$104*DATOS!$C$67,DATOS!$C$68)))</f>
        <v/>
      </c>
      <c r="E1614" s="42" t="str">
        <f t="shared" si="51"/>
        <v/>
      </c>
    </row>
    <row r="1615" spans="2:5" ht="15" customHeight="1" x14ac:dyDescent="0.3">
      <c r="B1615" s="44" t="str">
        <f>IF(OR(LINEAS!$D$105="",LINEAS!$U$105=0,ABS(IF(OR(LINEAS!$U$105=1,LINEAS!$U$105=3),1,-1)*LINEAS!$AI$105*DATOS!$C$67)&lt;0.00005),"*",LINEAS!$D$105&amp;" UNI "&amp;IF(LINEAS!$U$105&lt;=2,"GZ","GX")&amp;" "&amp;TEXT(IF(OR(LINEAS!$U$105=1,LINEAS!$U$105=3),1,-1)*LINEAS!$AI$105*DATOS!$C$67,DATOS!$C$68))</f>
        <v>64 UNI GX 0.3463</v>
      </c>
      <c r="C1615" s="42" t="str">
        <f t="shared" si="50"/>
        <v/>
      </c>
      <c r="D1615" s="44" t="str">
        <f>IF(PRESIONES!$C$22="NO","",IF(OR(LINEAS!$D$105="",LINEAS!$U$105=0,ABS(IF(OR(LINEAS!$U$105=1,LINEAS!$U$105=3),1,-1)*LINEAS!$AI$105*DATOS!$C$67)&lt;0.00005),"*",LINEAS!$D$105&amp;" UNI "&amp;IF(LINEAS!$U$105&lt;=2,"GZ","GX")&amp;" "&amp;TEXT(IF(OR(LINEAS!$U$105=1,LINEAS!$U$105=3),1,-1)*LINEAS!$AI$105*DATOS!$C$67,DATOS!$C$68)))</f>
        <v/>
      </c>
      <c r="E1615" s="42" t="str">
        <f t="shared" si="51"/>
        <v/>
      </c>
    </row>
    <row r="1616" spans="2:5" ht="15" customHeight="1" x14ac:dyDescent="0.3">
      <c r="B1616" s="44" t="str">
        <f>IF(OR(LINEAS!$D$106="",LINEAS!$U$106=0,ABS(IF(OR(LINEAS!$U$106=1,LINEAS!$U$106=3),1,-1)*LINEAS!$AI$106*DATOS!$C$67)&lt;0.00005),"*",LINEAS!$D$106&amp;" UNI "&amp;IF(LINEAS!$U$106&lt;=2,"GZ","GX")&amp;" "&amp;TEXT(IF(OR(LINEAS!$U$106=1,LINEAS!$U$106=3),1,-1)*LINEAS!$AI$106*DATOS!$C$67,DATOS!$C$68))</f>
        <v>63 UNI GX 0.3226</v>
      </c>
      <c r="C1616" s="42" t="str">
        <f t="shared" si="50"/>
        <v/>
      </c>
      <c r="D1616" s="44" t="str">
        <f>IF(PRESIONES!$C$22="NO","",IF(OR(LINEAS!$D$106="",LINEAS!$U$106=0,ABS(IF(OR(LINEAS!$U$106=1,LINEAS!$U$106=3),1,-1)*LINEAS!$AI$106*DATOS!$C$67)&lt;0.00005),"*",LINEAS!$D$106&amp;" UNI "&amp;IF(LINEAS!$U$106&lt;=2,"GZ","GX")&amp;" "&amp;TEXT(IF(OR(LINEAS!$U$106=1,LINEAS!$U$106=3),1,-1)*LINEAS!$AI$106*DATOS!$C$67,DATOS!$C$68)))</f>
        <v/>
      </c>
      <c r="E1616" s="42" t="str">
        <f t="shared" si="51"/>
        <v/>
      </c>
    </row>
    <row r="1617" spans="2:5" ht="15" customHeight="1" x14ac:dyDescent="0.3">
      <c r="B1617" s="44" t="str">
        <f>IF(OR(LINEAS!$D$107="",LINEAS!$U$107=0,ABS(IF(OR(LINEAS!$U$107=1,LINEAS!$U$107=3),1,-1)*LINEAS!$AI$107*DATOS!$C$67)&lt;0.00005),"*",LINEAS!$D$107&amp;" UNI "&amp;IF(LINEAS!$U$107&lt;=2,"GZ","GX")&amp;" "&amp;TEXT(IF(OR(LINEAS!$U$107=1,LINEAS!$U$107=3),1,-1)*LINEAS!$AI$107*DATOS!$C$67,DATOS!$C$68))</f>
        <v>62 UNI GX 0.2989</v>
      </c>
      <c r="C1617" s="42" t="str">
        <f t="shared" si="50"/>
        <v/>
      </c>
      <c r="D1617" s="44" t="str">
        <f>IF(PRESIONES!$C$22="NO","",IF(OR(LINEAS!$D$107="",LINEAS!$U$107=0,ABS(IF(OR(LINEAS!$U$107=1,LINEAS!$U$107=3),1,-1)*LINEAS!$AI$107*DATOS!$C$67)&lt;0.00005),"*",LINEAS!$D$107&amp;" UNI "&amp;IF(LINEAS!$U$107&lt;=2,"GZ","GX")&amp;" "&amp;TEXT(IF(OR(LINEAS!$U$107=1,LINEAS!$U$107=3),1,-1)*LINEAS!$AI$107*DATOS!$C$67,DATOS!$C$68)))</f>
        <v/>
      </c>
      <c r="E1617" s="42" t="str">
        <f t="shared" si="51"/>
        <v/>
      </c>
    </row>
    <row r="1618" spans="2:5" ht="15" customHeight="1" x14ac:dyDescent="0.3">
      <c r="B1618" s="44" t="str">
        <f>IF(OR(LINEAS!$D$108="",LINEAS!$U$108=0,ABS(IF(OR(LINEAS!$U$108=1,LINEAS!$U$108=3),1,-1)*LINEAS!$AI$108*DATOS!$C$67)&lt;0.00005),"*",LINEAS!$D$108&amp;" UNI "&amp;IF(LINEAS!$U$108&lt;=2,"GZ","GX")&amp;" "&amp;TEXT(IF(OR(LINEAS!$U$108=1,LINEAS!$U$108=3),1,-1)*LINEAS!$AI$108*DATOS!$C$67,DATOS!$C$68))</f>
        <v>61 UNI GX 0.2752</v>
      </c>
      <c r="C1618" s="42" t="str">
        <f t="shared" si="50"/>
        <v/>
      </c>
      <c r="D1618" s="44" t="str">
        <f>IF(PRESIONES!$C$22="NO","",IF(OR(LINEAS!$D$108="",LINEAS!$U$108=0,ABS(IF(OR(LINEAS!$U$108=1,LINEAS!$U$108=3),1,-1)*LINEAS!$AI$108*DATOS!$C$67)&lt;0.00005),"*",LINEAS!$D$108&amp;" UNI "&amp;IF(LINEAS!$U$108&lt;=2,"GZ","GX")&amp;" "&amp;TEXT(IF(OR(LINEAS!$U$108=1,LINEAS!$U$108=3),1,-1)*LINEAS!$AI$108*DATOS!$C$67,DATOS!$C$68)))</f>
        <v/>
      </c>
      <c r="E1618" s="42" t="str">
        <f t="shared" si="51"/>
        <v/>
      </c>
    </row>
    <row r="1619" spans="2:5" ht="15" customHeight="1" x14ac:dyDescent="0.3">
      <c r="B1619" s="44" t="str">
        <f>IF(OR(LINEAS!$D$109="",LINEAS!$U$109=0,ABS(IF(OR(LINEAS!$U$109=1,LINEAS!$U$109=3),1,-1)*LINEAS!$AI$109*DATOS!$C$67)&lt;0.00005),"*",LINEAS!$D$109&amp;" UNI "&amp;IF(LINEAS!$U$109&lt;=2,"GZ","GX")&amp;" "&amp;TEXT(IF(OR(LINEAS!$U$109=1,LINEAS!$U$109=3),1,-1)*LINEAS!$AI$109*DATOS!$C$67,DATOS!$C$68))</f>
        <v>12 UNI GX 0.2515</v>
      </c>
      <c r="C1619" s="42" t="str">
        <f t="shared" si="50"/>
        <v/>
      </c>
      <c r="D1619" s="44" t="str">
        <f>IF(PRESIONES!$C$22="NO","",IF(OR(LINEAS!$D$109="",LINEAS!$U$109=0,ABS(IF(OR(LINEAS!$U$109=1,LINEAS!$U$109=3),1,-1)*LINEAS!$AI$109*DATOS!$C$67)&lt;0.00005),"*",LINEAS!$D$109&amp;" UNI "&amp;IF(LINEAS!$U$109&lt;=2,"GZ","GX")&amp;" "&amp;TEXT(IF(OR(LINEAS!$U$109=1,LINEAS!$U$109=3),1,-1)*LINEAS!$AI$109*DATOS!$C$67,DATOS!$C$68)))</f>
        <v/>
      </c>
      <c r="E1619" s="42" t="str">
        <f t="shared" si="51"/>
        <v/>
      </c>
    </row>
    <row r="1620" spans="2:5" ht="15" customHeight="1" x14ac:dyDescent="0.3">
      <c r="B1620" s="44" t="str">
        <f>IF(OR(LINEAS!$D$110="",LINEAS!$U$110=0,ABS(IF(OR(LINEAS!$U$110=1,LINEAS!$U$110=3),1,-1)*LINEAS!$AI$110*DATOS!$C$67)&lt;0.00005),"*",LINEAS!$D$110&amp;" UNI "&amp;IF(LINEAS!$U$110&lt;=2,"GZ","GX")&amp;" "&amp;TEXT(IF(OR(LINEAS!$U$110=1,LINEAS!$U$110=3),1,-1)*LINEAS!$AI$110*DATOS!$C$67,DATOS!$C$68))</f>
        <v>72 UNI GX 0.2278</v>
      </c>
      <c r="C1620" s="42" t="str">
        <f t="shared" si="50"/>
        <v/>
      </c>
      <c r="D1620" s="44" t="str">
        <f>IF(PRESIONES!$C$22="NO","",IF(OR(LINEAS!$D$110="",LINEAS!$U$110=0,ABS(IF(OR(LINEAS!$U$110=1,LINEAS!$U$110=3),1,-1)*LINEAS!$AI$110*DATOS!$C$67)&lt;0.00005),"*",LINEAS!$D$110&amp;" UNI "&amp;IF(LINEAS!$U$110&lt;=2,"GZ","GX")&amp;" "&amp;TEXT(IF(OR(LINEAS!$U$110=1,LINEAS!$U$110=3),1,-1)*LINEAS!$AI$110*DATOS!$C$67,DATOS!$C$68)))</f>
        <v/>
      </c>
      <c r="E1620" s="42" t="str">
        <f t="shared" si="51"/>
        <v/>
      </c>
    </row>
    <row r="1621" spans="2:5" ht="15" customHeight="1" x14ac:dyDescent="0.3">
      <c r="B1621" s="44" t="str">
        <f>IF(OR(LINEAS!$D$111="",LINEAS!$U$111=0,ABS(IF(OR(LINEAS!$U$111=1,LINEAS!$U$111=3),1,-1)*LINEAS!$AI$111*DATOS!$C$67)&lt;0.00005),"*",LINEAS!$D$111&amp;" UNI "&amp;IF(LINEAS!$U$111&lt;=2,"GZ","GX")&amp;" "&amp;TEXT(IF(OR(LINEAS!$U$111=1,LINEAS!$U$111=3),1,-1)*LINEAS!$AI$111*DATOS!$C$67,DATOS!$C$68))</f>
        <v>71 UNI GX 0.2041</v>
      </c>
      <c r="C1621" s="42" t="str">
        <f t="shared" si="50"/>
        <v/>
      </c>
      <c r="D1621" s="44" t="str">
        <f>IF(PRESIONES!$C$22="NO","",IF(OR(LINEAS!$D$111="",LINEAS!$U$111=0,ABS(IF(OR(LINEAS!$U$111=1,LINEAS!$U$111=3),1,-1)*LINEAS!$AI$111*DATOS!$C$67)&lt;0.00005),"*",LINEAS!$D$111&amp;" UNI "&amp;IF(LINEAS!$U$111&lt;=2,"GZ","GX")&amp;" "&amp;TEXT(IF(OR(LINEAS!$U$111=1,LINEAS!$U$111=3),1,-1)*LINEAS!$AI$111*DATOS!$C$67,DATOS!$C$68)))</f>
        <v/>
      </c>
      <c r="E1621" s="42" t="str">
        <f t="shared" si="51"/>
        <v/>
      </c>
    </row>
    <row r="1622" spans="2:5" ht="15" customHeight="1" x14ac:dyDescent="0.3">
      <c r="B1622" s="44" t="str">
        <f>IF(OR(LINEAS!$D$112="",LINEAS!$U$112=0,ABS(IF(OR(LINEAS!$U$112=1,LINEAS!$U$112=3),1,-1)*LINEAS!$AI$112*DATOS!$C$67)&lt;0.00005),"*",LINEAS!$D$112&amp;" UNI "&amp;IF(LINEAS!$U$112&lt;=2,"GZ","GX")&amp;" "&amp;TEXT(IF(OR(LINEAS!$U$112=1,LINEAS!$U$112=3),1,-1)*LINEAS!$AI$112*DATOS!$C$67,DATOS!$C$68))</f>
        <v>70 UNI GX 0.1804</v>
      </c>
      <c r="C1622" s="42" t="str">
        <f t="shared" si="50"/>
        <v/>
      </c>
      <c r="D1622" s="44" t="str">
        <f>IF(PRESIONES!$C$22="NO","",IF(OR(LINEAS!$D$112="",LINEAS!$U$112=0,ABS(IF(OR(LINEAS!$U$112=1,LINEAS!$U$112=3),1,-1)*LINEAS!$AI$112*DATOS!$C$67)&lt;0.00005),"*",LINEAS!$D$112&amp;" UNI "&amp;IF(LINEAS!$U$112&lt;=2,"GZ","GX")&amp;" "&amp;TEXT(IF(OR(LINEAS!$U$112=1,LINEAS!$U$112=3),1,-1)*LINEAS!$AI$112*DATOS!$C$67,DATOS!$C$68)))</f>
        <v/>
      </c>
      <c r="E1622" s="42" t="str">
        <f t="shared" si="51"/>
        <v/>
      </c>
    </row>
    <row r="1623" spans="2:5" ht="15" customHeight="1" x14ac:dyDescent="0.3">
      <c r="B1623" s="44" t="str">
        <f>IF(OR(LINEAS!$D$113="",LINEAS!$U$113=0,ABS(IF(OR(LINEAS!$U$113=1,LINEAS!$U$113=3),1,-1)*LINEAS!$AI$113*DATOS!$C$67)&lt;0.00005),"*",LINEAS!$D$113&amp;" UNI "&amp;IF(LINEAS!$U$113&lt;=2,"GZ","GX")&amp;" "&amp;TEXT(IF(OR(LINEAS!$U$113=1,LINEAS!$U$113=3),1,-1)*LINEAS!$AI$113*DATOS!$C$67,DATOS!$C$68))</f>
        <v>69 UNI GX 0.1567</v>
      </c>
      <c r="C1623" s="42" t="str">
        <f t="shared" si="50"/>
        <v/>
      </c>
      <c r="D1623" s="44" t="str">
        <f>IF(PRESIONES!$C$22="NO","",IF(OR(LINEAS!$D$113="",LINEAS!$U$113=0,ABS(IF(OR(LINEAS!$U$113=1,LINEAS!$U$113=3),1,-1)*LINEAS!$AI$113*DATOS!$C$67)&lt;0.00005),"*",LINEAS!$D$113&amp;" UNI "&amp;IF(LINEAS!$U$113&lt;=2,"GZ","GX")&amp;" "&amp;TEXT(IF(OR(LINEAS!$U$113=1,LINEAS!$U$113=3),1,-1)*LINEAS!$AI$113*DATOS!$C$67,DATOS!$C$68)))</f>
        <v/>
      </c>
      <c r="E1623" s="42" t="str">
        <f t="shared" si="51"/>
        <v/>
      </c>
    </row>
    <row r="1624" spans="2:5" ht="15" customHeight="1" x14ac:dyDescent="0.3">
      <c r="B1624" s="44" t="str">
        <f>IF(OR(LINEAS!$D$114="",LINEAS!$U$114=0,ABS(IF(OR(LINEAS!$U$114=1,LINEAS!$U$114=3),1,-1)*LINEAS!$AI$114*DATOS!$C$67)&lt;0.00005),"*",LINEAS!$D$114&amp;" UNI "&amp;IF(LINEAS!$U$114&lt;=2,"GZ","GX")&amp;" "&amp;TEXT(IF(OR(LINEAS!$U$114=1,LINEAS!$U$114=3),1,-1)*LINEAS!$AI$114*DATOS!$C$67,DATOS!$C$68))</f>
        <v>50 UNI GX 0.1330</v>
      </c>
      <c r="C1624" s="42" t="str">
        <f t="shared" si="50"/>
        <v/>
      </c>
      <c r="D1624" s="44" t="str">
        <f>IF(PRESIONES!$C$22="NO","",IF(OR(LINEAS!$D$114="",LINEAS!$U$114=0,ABS(IF(OR(LINEAS!$U$114=1,LINEAS!$U$114=3),1,-1)*LINEAS!$AI$114*DATOS!$C$67)&lt;0.00005),"*",LINEAS!$D$114&amp;" UNI "&amp;IF(LINEAS!$U$114&lt;=2,"GZ","GX")&amp;" "&amp;TEXT(IF(OR(LINEAS!$U$114=1,LINEAS!$U$114=3),1,-1)*LINEAS!$AI$114*DATOS!$C$67,DATOS!$C$68)))</f>
        <v/>
      </c>
      <c r="E1624" s="42" t="str">
        <f t="shared" si="51"/>
        <v/>
      </c>
    </row>
    <row r="1625" spans="2:5" ht="15" customHeight="1" x14ac:dyDescent="0.3">
      <c r="B1625" s="44" t="str">
        <f>IF(OR(LINEAS!$D$115="",LINEAS!$U$115=0,ABS(IF(OR(LINEAS!$U$115=1,LINEAS!$U$115=3),1,-1)*LINEAS!$AI$115*DATOS!$C$67)&lt;0.00005),"*",LINEAS!$D$115&amp;" UNI "&amp;IF(LINEAS!$U$115&lt;=2,"GZ","GX")&amp;" "&amp;TEXT(IF(OR(LINEAS!$U$115=1,LINEAS!$U$115=3),1,-1)*LINEAS!$AI$115*DATOS!$C$67,DATOS!$C$68))</f>
        <v>53 UNI GX 0.1101</v>
      </c>
      <c r="C1625" s="42" t="str">
        <f t="shared" si="50"/>
        <v/>
      </c>
      <c r="D1625" s="44" t="str">
        <f>IF(PRESIONES!$C$22="NO","",IF(OR(LINEAS!$D$115="",LINEAS!$U$115=0,ABS(IF(OR(LINEAS!$U$115=1,LINEAS!$U$115=3),1,-1)*LINEAS!$AI$115*DATOS!$C$67)&lt;0.00005),"*",LINEAS!$D$115&amp;" UNI "&amp;IF(LINEAS!$U$115&lt;=2,"GZ","GX")&amp;" "&amp;TEXT(IF(OR(LINEAS!$U$115=1,LINEAS!$U$115=3),1,-1)*LINEAS!$AI$115*DATOS!$C$67,DATOS!$C$68)))</f>
        <v/>
      </c>
      <c r="E1625" s="42" t="str">
        <f t="shared" si="51"/>
        <v/>
      </c>
    </row>
    <row r="1626" spans="2:5" ht="15" customHeight="1" x14ac:dyDescent="0.3">
      <c r="B1626" s="44" t="str">
        <f>IF(OR(LINEAS!$D$116="",LINEAS!$U$116=0,ABS(IF(OR(LINEAS!$U$116=1,LINEAS!$U$116=3),1,-1)*LINEAS!$AI$116*DATOS!$C$67)&lt;0.00005),"*",LINEAS!$D$116&amp;" UNI "&amp;IF(LINEAS!$U$116&lt;=2,"GZ","GX")&amp;" "&amp;TEXT(IF(OR(LINEAS!$U$116=1,LINEAS!$U$116=3),1,-1)*LINEAS!$AI$116*DATOS!$C$67,DATOS!$C$68))</f>
        <v>55 UNI GX 0.0882</v>
      </c>
      <c r="C1626" s="42" t="str">
        <f t="shared" si="50"/>
        <v/>
      </c>
      <c r="D1626" s="44" t="str">
        <f>IF(PRESIONES!$C$22="NO","",IF(OR(LINEAS!$D$116="",LINEAS!$U$116=0,ABS(IF(OR(LINEAS!$U$116=1,LINEAS!$U$116=3),1,-1)*LINEAS!$AI$116*DATOS!$C$67)&lt;0.00005),"*",LINEAS!$D$116&amp;" UNI "&amp;IF(LINEAS!$U$116&lt;=2,"GZ","GX")&amp;" "&amp;TEXT(IF(OR(LINEAS!$U$116=1,LINEAS!$U$116=3),1,-1)*LINEAS!$AI$116*DATOS!$C$67,DATOS!$C$68)))</f>
        <v/>
      </c>
      <c r="E1626" s="42" t="str">
        <f t="shared" si="51"/>
        <v/>
      </c>
    </row>
    <row r="1627" spans="2:5" ht="15" customHeight="1" x14ac:dyDescent="0.3">
      <c r="B1627" s="44" t="str">
        <f>IF(OR(LINEAS!$D$117="",LINEAS!$U$117=0,ABS(IF(OR(LINEAS!$U$117=1,LINEAS!$U$117=3),1,-1)*LINEAS!$AI$117*DATOS!$C$67)&lt;0.00005),"*",LINEAS!$D$117&amp;" UNI "&amp;IF(LINEAS!$U$117&lt;=2,"GZ","GX")&amp;" "&amp;TEXT(IF(OR(LINEAS!$U$117=1,LINEAS!$U$117=3),1,-1)*LINEAS!$AI$117*DATOS!$C$67,DATOS!$C$68))</f>
        <v>262 UNI GZ -0.7275</v>
      </c>
      <c r="C1627" s="42" t="str">
        <f t="shared" si="50"/>
        <v/>
      </c>
      <c r="D1627" s="44" t="str">
        <f>IF(PRESIONES!$C$22="NO","",IF(OR(LINEAS!$D$117="",LINEAS!$U$117=0,ABS(IF(OR(LINEAS!$U$117=1,LINEAS!$U$117=3),1,-1)*LINEAS!$AI$117*DATOS!$C$67)&lt;0.00005),"*",LINEAS!$D$117&amp;" UNI "&amp;IF(LINEAS!$U$117&lt;=2,"GZ","GX")&amp;" "&amp;TEXT(IF(OR(LINEAS!$U$117=1,LINEAS!$U$117=3),1,-1)*LINEAS!$AI$117*DATOS!$C$67,DATOS!$C$68)))</f>
        <v/>
      </c>
      <c r="E1627" s="42" t="str">
        <f t="shared" si="51"/>
        <v/>
      </c>
    </row>
    <row r="1628" spans="2:5" ht="15" customHeight="1" x14ac:dyDescent="0.3">
      <c r="B1628" s="44" t="str">
        <f>IF(OR(LINEAS!$D$118="",LINEAS!$U$118=0,ABS(IF(OR(LINEAS!$U$118=1,LINEAS!$U$118=3),1,-1)*LINEAS!$AI$118*DATOS!$C$67)&lt;0.00005),"*",LINEAS!$D$118&amp;" UNI "&amp;IF(LINEAS!$U$118&lt;=2,"GZ","GX")&amp;" "&amp;TEXT(IF(OR(LINEAS!$U$118=1,LINEAS!$U$118=3),1,-1)*LINEAS!$AI$118*DATOS!$C$67,DATOS!$C$68))</f>
        <v>263 UNI GZ -0.7275</v>
      </c>
      <c r="C1628" s="42" t="str">
        <f t="shared" si="50"/>
        <v/>
      </c>
      <c r="D1628" s="44" t="str">
        <f>IF(PRESIONES!$C$22="NO","",IF(OR(LINEAS!$D$118="",LINEAS!$U$118=0,ABS(IF(OR(LINEAS!$U$118=1,LINEAS!$U$118=3),1,-1)*LINEAS!$AI$118*DATOS!$C$67)&lt;0.00005),"*",LINEAS!$D$118&amp;" UNI "&amp;IF(LINEAS!$U$118&lt;=2,"GZ","GX")&amp;" "&amp;TEXT(IF(OR(LINEAS!$U$118=1,LINEAS!$U$118=3),1,-1)*LINEAS!$AI$118*DATOS!$C$67,DATOS!$C$68)))</f>
        <v/>
      </c>
      <c r="E1628" s="42" t="str">
        <f t="shared" si="51"/>
        <v/>
      </c>
    </row>
    <row r="1629" spans="2:5" ht="15" customHeight="1" x14ac:dyDescent="0.3">
      <c r="B1629" s="44" t="str">
        <f>IF(OR(LINEAS!$D$119="",LINEAS!$U$119=0,ABS(IF(OR(LINEAS!$U$119=1,LINEAS!$U$119=3),1,-1)*LINEAS!$AI$119*DATOS!$C$67)&lt;0.00005),"*",LINEAS!$D$119&amp;" UNI "&amp;IF(LINEAS!$U$119&lt;=2,"GZ","GX")&amp;" "&amp;TEXT(IF(OR(LINEAS!$U$119=1,LINEAS!$U$119=3),1,-1)*LINEAS!$AI$119*DATOS!$C$67,DATOS!$C$68))</f>
        <v>264 UNI GZ -0.7275</v>
      </c>
      <c r="C1629" s="42" t="str">
        <f t="shared" si="50"/>
        <v/>
      </c>
      <c r="D1629" s="44" t="str">
        <f>IF(PRESIONES!$C$22="NO","",IF(OR(LINEAS!$D$119="",LINEAS!$U$119=0,ABS(IF(OR(LINEAS!$U$119=1,LINEAS!$U$119=3),1,-1)*LINEAS!$AI$119*DATOS!$C$67)&lt;0.00005),"*",LINEAS!$D$119&amp;" UNI "&amp;IF(LINEAS!$U$119&lt;=2,"GZ","GX")&amp;" "&amp;TEXT(IF(OR(LINEAS!$U$119=1,LINEAS!$U$119=3),1,-1)*LINEAS!$AI$119*DATOS!$C$67,DATOS!$C$68)))</f>
        <v/>
      </c>
      <c r="E1629" s="42" t="str">
        <f t="shared" si="51"/>
        <v/>
      </c>
    </row>
    <row r="1630" spans="2:5" ht="15" customHeight="1" x14ac:dyDescent="0.3">
      <c r="B1630" s="44" t="str">
        <f>IF(OR(LINEAS!$D$120="",LINEAS!$U$120=0,ABS(IF(OR(LINEAS!$U$120=1,LINEAS!$U$120=3),1,-1)*LINEAS!$AI$120*DATOS!$C$67)&lt;0.00005),"*",LINEAS!$D$120&amp;" UNI "&amp;IF(LINEAS!$U$120&lt;=2,"GZ","GX")&amp;" "&amp;TEXT(IF(OR(LINEAS!$U$120=1,LINEAS!$U$120=3),1,-1)*LINEAS!$AI$120*DATOS!$C$67,DATOS!$C$68))</f>
        <v>271 UNI GZ -0.7275</v>
      </c>
      <c r="C1630" s="42" t="str">
        <f t="shared" si="50"/>
        <v/>
      </c>
      <c r="D1630" s="44" t="str">
        <f>IF(PRESIONES!$C$22="NO","",IF(OR(LINEAS!$D$120="",LINEAS!$U$120=0,ABS(IF(OR(LINEAS!$U$120=1,LINEAS!$U$120=3),1,-1)*LINEAS!$AI$120*DATOS!$C$67)&lt;0.00005),"*",LINEAS!$D$120&amp;" UNI "&amp;IF(LINEAS!$U$120&lt;=2,"GZ","GX")&amp;" "&amp;TEXT(IF(OR(LINEAS!$U$120=1,LINEAS!$U$120=3),1,-1)*LINEAS!$AI$120*DATOS!$C$67,DATOS!$C$68)))</f>
        <v/>
      </c>
      <c r="E1630" s="42" t="str">
        <f t="shared" si="51"/>
        <v/>
      </c>
    </row>
    <row r="1631" spans="2:5" ht="15" customHeight="1" x14ac:dyDescent="0.3">
      <c r="B1631" s="44" t="str">
        <f>IF(OR(LINEAS!$D$121="",LINEAS!$U$121=0,ABS(IF(OR(LINEAS!$U$121=1,LINEAS!$U$121=3),1,-1)*LINEAS!$AI$121*DATOS!$C$67)&lt;0.00005),"*",LINEAS!$D$121&amp;" UNI "&amp;IF(LINEAS!$U$121&lt;=2,"GZ","GX")&amp;" "&amp;TEXT(IF(OR(LINEAS!$U$121=1,LINEAS!$U$121=3),1,-1)*LINEAS!$AI$121*DATOS!$C$67,DATOS!$C$68))</f>
        <v>286 UNI GZ -0.3637</v>
      </c>
      <c r="C1631" s="42" t="str">
        <f t="shared" si="50"/>
        <v/>
      </c>
      <c r="D1631" s="44" t="str">
        <f>IF(PRESIONES!$C$22="NO","",IF(OR(LINEAS!$D$121="",LINEAS!$U$121=0,ABS(IF(OR(LINEAS!$U$121=1,LINEAS!$U$121=3),1,-1)*LINEAS!$AI$121*DATOS!$C$67)&lt;0.00005),"*",LINEAS!$D$121&amp;" UNI "&amp;IF(LINEAS!$U$121&lt;=2,"GZ","GX")&amp;" "&amp;TEXT(IF(OR(LINEAS!$U$121=1,LINEAS!$U$121=3),1,-1)*LINEAS!$AI$121*DATOS!$C$67,DATOS!$C$68)))</f>
        <v/>
      </c>
      <c r="E1631" s="42" t="str">
        <f t="shared" si="51"/>
        <v/>
      </c>
    </row>
    <row r="1632" spans="2:5" ht="15" customHeight="1" x14ac:dyDescent="0.3">
      <c r="B1632" s="44" t="str">
        <f>IF(OR(LINEAS!$D$122="",LINEAS!$U$122=0,ABS(IF(OR(LINEAS!$U$122=1,LINEAS!$U$122=3),1,-1)*LINEAS!$AI$122*DATOS!$C$67)&lt;0.00005),"*",LINEAS!$D$122&amp;" UNI "&amp;IF(LINEAS!$U$122&lt;=2,"GZ","GX")&amp;" "&amp;TEXT(IF(OR(LINEAS!$U$122=1,LINEAS!$U$122=3),1,-1)*LINEAS!$AI$122*DATOS!$C$67,DATOS!$C$68))</f>
        <v>272 UNI GZ -0.7275</v>
      </c>
      <c r="C1632" s="42" t="str">
        <f t="shared" si="50"/>
        <v/>
      </c>
      <c r="D1632" s="44" t="str">
        <f>IF(PRESIONES!$C$22="NO","",IF(OR(LINEAS!$D$122="",LINEAS!$U$122=0,ABS(IF(OR(LINEAS!$U$122=1,LINEAS!$U$122=3),1,-1)*LINEAS!$AI$122*DATOS!$C$67)&lt;0.00005),"*",LINEAS!$D$122&amp;" UNI "&amp;IF(LINEAS!$U$122&lt;=2,"GZ","GX")&amp;" "&amp;TEXT(IF(OR(LINEAS!$U$122=1,LINEAS!$U$122=3),1,-1)*LINEAS!$AI$122*DATOS!$C$67,DATOS!$C$68)))</f>
        <v/>
      </c>
      <c r="E1632" s="42" t="str">
        <f t="shared" si="51"/>
        <v/>
      </c>
    </row>
    <row r="1633" spans="2:5" ht="15" customHeight="1" x14ac:dyDescent="0.3">
      <c r="B1633" s="44" t="str">
        <f>IF(OR(LINEAS!$D$123="",LINEAS!$U$123=0,ABS(IF(OR(LINEAS!$U$123=1,LINEAS!$U$123=3),1,-1)*LINEAS!$AI$123*DATOS!$C$67)&lt;0.00005),"*",LINEAS!$D$123&amp;" UNI "&amp;IF(LINEAS!$U$123&lt;=2,"GZ","GX")&amp;" "&amp;TEXT(IF(OR(LINEAS!$U$123=1,LINEAS!$U$123=3),1,-1)*LINEAS!$AI$123*DATOS!$C$67,DATOS!$C$68))</f>
        <v>273 UNI GZ -0.7275</v>
      </c>
      <c r="C1633" s="42" t="str">
        <f t="shared" si="50"/>
        <v/>
      </c>
      <c r="D1633" s="44" t="str">
        <f>IF(PRESIONES!$C$22="NO","",IF(OR(LINEAS!$D$123="",LINEAS!$U$123=0,ABS(IF(OR(LINEAS!$U$123=1,LINEAS!$U$123=3),1,-1)*LINEAS!$AI$123*DATOS!$C$67)&lt;0.00005),"*",LINEAS!$D$123&amp;" UNI "&amp;IF(LINEAS!$U$123&lt;=2,"GZ","GX")&amp;" "&amp;TEXT(IF(OR(LINEAS!$U$123=1,LINEAS!$U$123=3),1,-1)*LINEAS!$AI$123*DATOS!$C$67,DATOS!$C$68)))</f>
        <v/>
      </c>
      <c r="E1633" s="42" t="str">
        <f t="shared" si="51"/>
        <v/>
      </c>
    </row>
    <row r="1634" spans="2:5" ht="15" customHeight="1" x14ac:dyDescent="0.3">
      <c r="B1634" s="44" t="str">
        <f>IF(OR(LINEAS!$D$124="",LINEAS!$U$124=0,ABS(IF(OR(LINEAS!$U$124=1,LINEAS!$U$124=3),1,-1)*LINEAS!$AI$124*DATOS!$C$67)&lt;0.00005),"*",LINEAS!$D$124&amp;" UNI "&amp;IF(LINEAS!$U$124&lt;=2,"GZ","GX")&amp;" "&amp;TEXT(IF(OR(LINEAS!$U$124=1,LINEAS!$U$124=3),1,-1)*LINEAS!$AI$124*DATOS!$C$67,DATOS!$C$68))</f>
        <v>280 UNI GZ -0.7275</v>
      </c>
      <c r="C1634" s="42" t="str">
        <f t="shared" si="50"/>
        <v/>
      </c>
      <c r="D1634" s="44" t="str">
        <f>IF(PRESIONES!$C$22="NO","",IF(OR(LINEAS!$D$124="",LINEAS!$U$124=0,ABS(IF(OR(LINEAS!$U$124=1,LINEAS!$U$124=3),1,-1)*LINEAS!$AI$124*DATOS!$C$67)&lt;0.00005),"*",LINEAS!$D$124&amp;" UNI "&amp;IF(LINEAS!$U$124&lt;=2,"GZ","GX")&amp;" "&amp;TEXT(IF(OR(LINEAS!$U$124=1,LINEAS!$U$124=3),1,-1)*LINEAS!$AI$124*DATOS!$C$67,DATOS!$C$68)))</f>
        <v/>
      </c>
      <c r="E1634" s="42" t="str">
        <f t="shared" si="51"/>
        <v/>
      </c>
    </row>
    <row r="1635" spans="2:5" ht="15" customHeight="1" x14ac:dyDescent="0.3">
      <c r="B1635" s="44" t="str">
        <f>IF(OR(LINEAS!$D$125="",LINEAS!$U$125=0,ABS(IF(OR(LINEAS!$U$125=1,LINEAS!$U$125=3),1,-1)*LINEAS!$AI$125*DATOS!$C$67)&lt;0.00005),"*",LINEAS!$D$125&amp;" UNI "&amp;IF(LINEAS!$U$125&lt;=2,"GZ","GX")&amp;" "&amp;TEXT(IF(OR(LINEAS!$U$125=1,LINEAS!$U$125=3),1,-1)*LINEAS!$AI$125*DATOS!$C$67,DATOS!$C$68))</f>
        <v>282 UNI GZ -0.7275</v>
      </c>
      <c r="C1635" s="42" t="str">
        <f t="shared" si="50"/>
        <v/>
      </c>
      <c r="D1635" s="44" t="str">
        <f>IF(PRESIONES!$C$22="NO","",IF(OR(LINEAS!$D$125="",LINEAS!$U$125=0,ABS(IF(OR(LINEAS!$U$125=1,LINEAS!$U$125=3),1,-1)*LINEAS!$AI$125*DATOS!$C$67)&lt;0.00005),"*",LINEAS!$D$125&amp;" UNI "&amp;IF(LINEAS!$U$125&lt;=2,"GZ","GX")&amp;" "&amp;TEXT(IF(OR(LINEAS!$U$125=1,LINEAS!$U$125=3),1,-1)*LINEAS!$AI$125*DATOS!$C$67,DATOS!$C$68)))</f>
        <v/>
      </c>
      <c r="E1635" s="42" t="str">
        <f t="shared" si="51"/>
        <v/>
      </c>
    </row>
    <row r="1636" spans="2:5" ht="15" customHeight="1" x14ac:dyDescent="0.3">
      <c r="B1636" s="44" t="str">
        <f>IF(OR(LINEAS!$D$126="",LINEAS!$U$126=0,ABS(IF(OR(LINEAS!$U$126=1,LINEAS!$U$126=3),1,-1)*LINEAS!$AI$126*DATOS!$C$67)&lt;0.00005),"*",LINEAS!$D$126&amp;" UNI "&amp;IF(LINEAS!$U$126&lt;=2,"GZ","GX")&amp;" "&amp;TEXT(IF(OR(LINEAS!$U$126=1,LINEAS!$U$126=3),1,-1)*LINEAS!$AI$126*DATOS!$C$67,DATOS!$C$68))</f>
        <v>290 UNI GZ -0.7275</v>
      </c>
      <c r="C1636" s="42" t="str">
        <f t="shared" si="50"/>
        <v/>
      </c>
      <c r="D1636" s="44" t="str">
        <f>IF(PRESIONES!$C$22="NO","",IF(OR(LINEAS!$D$126="",LINEAS!$U$126=0,ABS(IF(OR(LINEAS!$U$126=1,LINEAS!$U$126=3),1,-1)*LINEAS!$AI$126*DATOS!$C$67)&lt;0.00005),"*",LINEAS!$D$126&amp;" UNI "&amp;IF(LINEAS!$U$126&lt;=2,"GZ","GX")&amp;" "&amp;TEXT(IF(OR(LINEAS!$U$126=1,LINEAS!$U$126=3),1,-1)*LINEAS!$AI$126*DATOS!$C$67,DATOS!$C$68)))</f>
        <v/>
      </c>
      <c r="E1636" s="42" t="str">
        <f t="shared" si="51"/>
        <v/>
      </c>
    </row>
    <row r="1637" spans="2:5" ht="15" customHeight="1" x14ac:dyDescent="0.3">
      <c r="B1637" s="44" t="str">
        <f>IF(OR(LINEAS!$D$127="",LINEAS!$U$127=0,ABS(IF(OR(LINEAS!$U$127=1,LINEAS!$U$127=3),1,-1)*LINEAS!$AI$127*DATOS!$C$67)&lt;0.00005),"*",LINEAS!$D$127&amp;" UNI "&amp;IF(LINEAS!$U$127&lt;=2,"GZ","GX")&amp;" "&amp;TEXT(IF(OR(LINEAS!$U$127=1,LINEAS!$U$127=3),1,-1)*LINEAS!$AI$127*DATOS!$C$67,DATOS!$C$68))</f>
        <v>291 UNI GZ -0.7275</v>
      </c>
      <c r="C1637" s="42" t="str">
        <f t="shared" si="50"/>
        <v/>
      </c>
      <c r="D1637" s="44" t="str">
        <f>IF(PRESIONES!$C$22="NO","",IF(OR(LINEAS!$D$127="",LINEAS!$U$127=0,ABS(IF(OR(LINEAS!$U$127=1,LINEAS!$U$127=3),1,-1)*LINEAS!$AI$127*DATOS!$C$67)&lt;0.00005),"*",LINEAS!$D$127&amp;" UNI "&amp;IF(LINEAS!$U$127&lt;=2,"GZ","GX")&amp;" "&amp;TEXT(IF(OR(LINEAS!$U$127=1,LINEAS!$U$127=3),1,-1)*LINEAS!$AI$127*DATOS!$C$67,DATOS!$C$68)))</f>
        <v/>
      </c>
      <c r="E1637" s="42" t="str">
        <f t="shared" si="51"/>
        <v/>
      </c>
    </row>
    <row r="1638" spans="2:5" ht="15" customHeight="1" x14ac:dyDescent="0.3">
      <c r="B1638" s="44" t="str">
        <f>IF(OR(LINEAS!$D$128="",LINEAS!$U$128=0,ABS(IF(OR(LINEAS!$U$128=1,LINEAS!$U$128=3),1,-1)*LINEAS!$AI$128*DATOS!$C$67)&lt;0.00005),"*",LINEAS!$D$128&amp;" UNI "&amp;IF(LINEAS!$U$128&lt;=2,"GZ","GX")&amp;" "&amp;TEXT(IF(OR(LINEAS!$U$128=1,LINEAS!$U$128=3),1,-1)*LINEAS!$AI$128*DATOS!$C$67,DATOS!$C$68))</f>
        <v>298 UNI GZ -0.4638</v>
      </c>
      <c r="C1638" s="42" t="str">
        <f t="shared" si="50"/>
        <v/>
      </c>
      <c r="D1638" s="44" t="str">
        <f>IF(PRESIONES!$C$22="NO","",IF(OR(LINEAS!$D$128="",LINEAS!$U$128=0,ABS(IF(OR(LINEAS!$U$128=1,LINEAS!$U$128=3),1,-1)*LINEAS!$AI$128*DATOS!$C$67)&lt;0.00005),"*",LINEAS!$D$128&amp;" UNI "&amp;IF(LINEAS!$U$128&lt;=2,"GZ","GX")&amp;" "&amp;TEXT(IF(OR(LINEAS!$U$128=1,LINEAS!$U$128=3),1,-1)*LINEAS!$AI$128*DATOS!$C$67,DATOS!$C$68)))</f>
        <v/>
      </c>
      <c r="E1638" s="42" t="str">
        <f t="shared" si="51"/>
        <v/>
      </c>
    </row>
    <row r="1639" spans="2:5" ht="15" customHeight="1" x14ac:dyDescent="0.3">
      <c r="B1639" s="44" t="str">
        <f>IF(OR(LINEAS!$D$129="",LINEAS!$U$129=0,ABS(IF(OR(LINEAS!$U$129=1,LINEAS!$U$129=3),1,-1)*LINEAS!$AI$129*DATOS!$C$67)&lt;0.00005),"*",LINEAS!$D$129&amp;" UNI "&amp;IF(LINEAS!$U$129&lt;=2,"GZ","GX")&amp;" "&amp;TEXT(IF(OR(LINEAS!$U$129=1,LINEAS!$U$129=3),1,-1)*LINEAS!$AI$129*DATOS!$C$67,DATOS!$C$68))</f>
        <v>299 UNI GZ -0.4638</v>
      </c>
      <c r="C1639" s="42" t="str">
        <f t="shared" si="50"/>
        <v/>
      </c>
      <c r="D1639" s="44" t="str">
        <f>IF(PRESIONES!$C$22="NO","",IF(OR(LINEAS!$D$129="",LINEAS!$U$129=0,ABS(IF(OR(LINEAS!$U$129=1,LINEAS!$U$129=3),1,-1)*LINEAS!$AI$129*DATOS!$C$67)&lt;0.00005),"*",LINEAS!$D$129&amp;" UNI "&amp;IF(LINEAS!$U$129&lt;=2,"GZ","GX")&amp;" "&amp;TEXT(IF(OR(LINEAS!$U$129=1,LINEAS!$U$129=3),1,-1)*LINEAS!$AI$129*DATOS!$C$67,DATOS!$C$68)))</f>
        <v/>
      </c>
      <c r="E1639" s="42" t="str">
        <f t="shared" si="51"/>
        <v/>
      </c>
    </row>
    <row r="1640" spans="2:5" ht="15" customHeight="1" x14ac:dyDescent="0.3">
      <c r="B1640" s="44" t="str">
        <f>IF(OR(LINEAS!$D$130="",LINEAS!$U$130=0,ABS(IF(OR(LINEAS!$U$130=1,LINEAS!$U$130=3),1,-1)*LINEAS!$AI$130*DATOS!$C$67)&lt;0.00005),"*",LINEAS!$D$130&amp;" UNI "&amp;IF(LINEAS!$U$130&lt;=2,"GZ","GX")&amp;" "&amp;TEXT(IF(OR(LINEAS!$U$130=1,LINEAS!$U$130=3),1,-1)*LINEAS!$AI$130*DATOS!$C$67,DATOS!$C$68))</f>
        <v>326 UNI GZ -0.3637</v>
      </c>
      <c r="C1640" s="42" t="str">
        <f t="shared" si="50"/>
        <v/>
      </c>
      <c r="D1640" s="44" t="str">
        <f>IF(PRESIONES!$C$22="NO","",IF(OR(LINEAS!$D$130="",LINEAS!$U$130=0,ABS(IF(OR(LINEAS!$U$130=1,LINEAS!$U$130=3),1,-1)*LINEAS!$AI$130*DATOS!$C$67)&lt;0.00005),"*",LINEAS!$D$130&amp;" UNI "&amp;IF(LINEAS!$U$130&lt;=2,"GZ","GX")&amp;" "&amp;TEXT(IF(OR(LINEAS!$U$130=1,LINEAS!$U$130=3),1,-1)*LINEAS!$AI$130*DATOS!$C$67,DATOS!$C$68)))</f>
        <v/>
      </c>
      <c r="E1640" s="42" t="str">
        <f t="shared" si="51"/>
        <v/>
      </c>
    </row>
    <row r="1641" spans="2:5" ht="15" customHeight="1" x14ac:dyDescent="0.3">
      <c r="B1641" s="44" t="str">
        <f>IF(OR(LINEAS!$D$131="",LINEAS!$U$131=0,ABS(IF(OR(LINEAS!$U$131=1,LINEAS!$U$131=3),1,-1)*LINEAS!$AI$131*DATOS!$C$67)&lt;0.00005),"*",LINEAS!$D$131&amp;" UNI "&amp;IF(LINEAS!$U$131&lt;=2,"GZ","GX")&amp;" "&amp;TEXT(IF(OR(LINEAS!$U$131=1,LINEAS!$U$131=3),1,-1)*LINEAS!$AI$131*DATOS!$C$67,DATOS!$C$68))</f>
        <v>25 UNI GZ -0.2637</v>
      </c>
      <c r="C1641" s="42" t="str">
        <f t="shared" si="50"/>
        <v/>
      </c>
      <c r="D1641" s="44" t="str">
        <f>IF(PRESIONES!$C$22="NO","",IF(OR(LINEAS!$D$131="",LINEAS!$U$131=0,ABS(IF(OR(LINEAS!$U$131=1,LINEAS!$U$131=3),1,-1)*LINEAS!$AI$131*DATOS!$C$67)&lt;0.00005),"*",LINEAS!$D$131&amp;" UNI "&amp;IF(LINEAS!$U$131&lt;=2,"GZ","GX")&amp;" "&amp;TEXT(IF(OR(LINEAS!$U$131=1,LINEAS!$U$131=3),1,-1)*LINEAS!$AI$131*DATOS!$C$67,DATOS!$C$68)))</f>
        <v/>
      </c>
      <c r="E1641" s="42" t="str">
        <f t="shared" si="51"/>
        <v/>
      </c>
    </row>
    <row r="1642" spans="2:5" ht="15" customHeight="1" x14ac:dyDescent="0.3">
      <c r="B1642" s="44" t="str">
        <f>IF(OR(LINEAS!$D$132="",LINEAS!$U$132=0,ABS(IF(OR(LINEAS!$U$132=1,LINEAS!$U$132=3),1,-1)*LINEAS!$AI$132*DATOS!$C$67)&lt;0.00005),"*",LINEAS!$D$132&amp;" UNI "&amp;IF(LINEAS!$U$132&lt;=2,"GZ","GX")&amp;" "&amp;TEXT(IF(OR(LINEAS!$U$132=1,LINEAS!$U$132=3),1,-1)*LINEAS!$AI$132*DATOS!$C$67,DATOS!$C$68))</f>
        <v>327 UNI GZ -0.3637</v>
      </c>
      <c r="C1642" s="42" t="str">
        <f t="shared" si="50"/>
        <v/>
      </c>
      <c r="D1642" s="44" t="str">
        <f>IF(PRESIONES!$C$22="NO","",IF(OR(LINEAS!$D$132="",LINEAS!$U$132=0,ABS(IF(OR(LINEAS!$U$132=1,LINEAS!$U$132=3),1,-1)*LINEAS!$AI$132*DATOS!$C$67)&lt;0.00005),"*",LINEAS!$D$132&amp;" UNI "&amp;IF(LINEAS!$U$132&lt;=2,"GZ","GX")&amp;" "&amp;TEXT(IF(OR(LINEAS!$U$132=1,LINEAS!$U$132=3),1,-1)*LINEAS!$AI$132*DATOS!$C$67,DATOS!$C$68)))</f>
        <v/>
      </c>
      <c r="E1642" s="42" t="str">
        <f t="shared" si="51"/>
        <v/>
      </c>
    </row>
    <row r="1643" spans="2:5" ht="15" customHeight="1" x14ac:dyDescent="0.3">
      <c r="B1643" s="44" t="str">
        <f>IF(OR(LINEAS!$D$133="",LINEAS!$U$133=0,ABS(IF(OR(LINEAS!$U$133=1,LINEAS!$U$133=3),1,-1)*LINEAS!$AI$133*DATOS!$C$67)&lt;0.00005),"*",LINEAS!$D$133&amp;" UNI "&amp;IF(LINEAS!$U$133&lt;=2,"GZ","GX")&amp;" "&amp;TEXT(IF(OR(LINEAS!$U$133=1,LINEAS!$U$133=3),1,-1)*LINEAS!$AI$133*DATOS!$C$67,DATOS!$C$68))</f>
        <v>306 UNI GZ -0.6275</v>
      </c>
      <c r="C1643" s="42" t="str">
        <f t="shared" si="50"/>
        <v/>
      </c>
      <c r="D1643" s="44" t="str">
        <f>IF(PRESIONES!$C$22="NO","",IF(OR(LINEAS!$D$133="",LINEAS!$U$133=0,ABS(IF(OR(LINEAS!$U$133=1,LINEAS!$U$133=3),1,-1)*LINEAS!$AI$133*DATOS!$C$67)&lt;0.00005),"*",LINEAS!$D$133&amp;" UNI "&amp;IF(LINEAS!$U$133&lt;=2,"GZ","GX")&amp;" "&amp;TEXT(IF(OR(LINEAS!$U$133=1,LINEAS!$U$133=3),1,-1)*LINEAS!$AI$133*DATOS!$C$67,DATOS!$C$68)))</f>
        <v/>
      </c>
      <c r="E1643" s="42" t="str">
        <f t="shared" si="51"/>
        <v/>
      </c>
    </row>
    <row r="1644" spans="2:5" ht="15" customHeight="1" x14ac:dyDescent="0.3">
      <c r="B1644" s="44" t="str">
        <f>IF(OR(LINEAS!$D$134="",LINEAS!$U$134=0,ABS(IF(OR(LINEAS!$U$134=1,LINEAS!$U$134=3),1,-1)*LINEAS!$AI$134*DATOS!$C$67)&lt;0.00005),"*",LINEAS!$D$134&amp;" UNI "&amp;IF(LINEAS!$U$134&lt;=2,"GZ","GX")&amp;" "&amp;TEXT(IF(OR(LINEAS!$U$134=1,LINEAS!$U$134=3),1,-1)*LINEAS!$AI$134*DATOS!$C$67,DATOS!$C$68))</f>
        <v>322 UNI GZ -0.7275</v>
      </c>
      <c r="C1644" s="42" t="str">
        <f t="shared" si="50"/>
        <v/>
      </c>
      <c r="D1644" s="44" t="str">
        <f>IF(PRESIONES!$C$22="NO","",IF(OR(LINEAS!$D$134="",LINEAS!$U$134=0,ABS(IF(OR(LINEAS!$U$134=1,LINEAS!$U$134=3),1,-1)*LINEAS!$AI$134*DATOS!$C$67)&lt;0.00005),"*",LINEAS!$D$134&amp;" UNI "&amp;IF(LINEAS!$U$134&lt;=2,"GZ","GX")&amp;" "&amp;TEXT(IF(OR(LINEAS!$U$134=1,LINEAS!$U$134=3),1,-1)*LINEAS!$AI$134*DATOS!$C$67,DATOS!$C$68)))</f>
        <v/>
      </c>
      <c r="E1644" s="42" t="str">
        <f t="shared" si="51"/>
        <v/>
      </c>
    </row>
    <row r="1645" spans="2:5" ht="15" customHeight="1" x14ac:dyDescent="0.3">
      <c r="B1645" s="44" t="str">
        <f>IF(OR(LINEAS!$D$135="",LINEAS!$U$135=0,ABS(IF(OR(LINEAS!$U$135=1,LINEAS!$U$135=3),1,-1)*LINEAS!$AI$135*DATOS!$C$67)&lt;0.00005),"*",LINEAS!$D$135&amp;" UNI "&amp;IF(LINEAS!$U$135&lt;=2,"GZ","GX")&amp;" "&amp;TEXT(IF(OR(LINEAS!$U$135=1,LINEAS!$U$135=3),1,-1)*LINEAS!$AI$135*DATOS!$C$67,DATOS!$C$68))</f>
        <v>323 UNI GZ -0.6729</v>
      </c>
      <c r="C1645" s="42" t="str">
        <f t="shared" si="50"/>
        <v/>
      </c>
      <c r="D1645" s="44" t="str">
        <f>IF(PRESIONES!$C$22="NO","",IF(OR(LINEAS!$D$135="",LINEAS!$U$135=0,ABS(IF(OR(LINEAS!$U$135=1,LINEAS!$U$135=3),1,-1)*LINEAS!$AI$135*DATOS!$C$67)&lt;0.00005),"*",LINEAS!$D$135&amp;" UNI "&amp;IF(LINEAS!$U$135&lt;=2,"GZ","GX")&amp;" "&amp;TEXT(IF(OR(LINEAS!$U$135=1,LINEAS!$U$135=3),1,-1)*LINEAS!$AI$135*DATOS!$C$67,DATOS!$C$68)))</f>
        <v/>
      </c>
      <c r="E1645" s="42" t="str">
        <f t="shared" si="51"/>
        <v/>
      </c>
    </row>
    <row r="1646" spans="2:5" ht="15" customHeight="1" x14ac:dyDescent="0.3">
      <c r="B1646" s="44" t="str">
        <f>IF(OR(LINEAS!$D$136="",LINEAS!$U$136=0,ABS(IF(OR(LINEAS!$U$136=1,LINEAS!$U$136=3),1,-1)*LINEAS!$AI$136*DATOS!$C$67)&lt;0.00005),"*",LINEAS!$D$136&amp;" UNI "&amp;IF(LINEAS!$U$136&lt;=2,"GZ","GX")&amp;" "&amp;TEXT(IF(OR(LINEAS!$U$136=1,LINEAS!$U$136=3),1,-1)*LINEAS!$AI$136*DATOS!$C$67,DATOS!$C$68))</f>
        <v>22 85 TO 88 UNI GZ -0.3092</v>
      </c>
      <c r="C1646" s="42" t="str">
        <f t="shared" si="50"/>
        <v/>
      </c>
      <c r="D1646" s="44" t="str">
        <f>IF(PRESIONES!$C$22="NO","",IF(OR(LINEAS!$D$136="",LINEAS!$U$136=0,ABS(IF(OR(LINEAS!$U$136=1,LINEAS!$U$136=3),1,-1)*LINEAS!$AI$136*DATOS!$C$67)&lt;0.00005),"*",LINEAS!$D$136&amp;" UNI "&amp;IF(LINEAS!$U$136&lt;=2,"GZ","GX")&amp;" "&amp;TEXT(IF(OR(LINEAS!$U$136=1,LINEAS!$U$136=3),1,-1)*LINEAS!$AI$136*DATOS!$C$67,DATOS!$C$68)))</f>
        <v/>
      </c>
      <c r="E1646" s="42" t="str">
        <f t="shared" si="51"/>
        <v/>
      </c>
    </row>
    <row r="1647" spans="2:5" ht="15" customHeight="1" x14ac:dyDescent="0.3">
      <c r="B1647" s="44" t="str">
        <f>IF(OR(LINEAS!$D$137="",LINEAS!$U$137=0,ABS(IF(OR(LINEAS!$U$137=1,LINEAS!$U$137=3),1,-1)*LINEAS!$AI$137*DATOS!$C$67)&lt;0.00005),"*",LINEAS!$D$137&amp;" UNI "&amp;IF(LINEAS!$U$137&lt;=2,"GZ","GX")&amp;" "&amp;TEXT(IF(OR(LINEAS!$U$137=1,LINEAS!$U$137=3),1,-1)*LINEAS!$AI$137*DATOS!$C$67,DATOS!$C$68))</f>
        <v>*</v>
      </c>
      <c r="C1647" s="42" t="str">
        <f t="shared" si="50"/>
        <v/>
      </c>
      <c r="D1647" s="44" t="str">
        <f>IF(PRESIONES!$C$22="NO","",IF(OR(LINEAS!$D$137="",LINEAS!$U$137=0,ABS(IF(OR(LINEAS!$U$137=1,LINEAS!$U$137=3),1,-1)*LINEAS!$AI$137*DATOS!$C$67)&lt;0.00005),"*",LINEAS!$D$137&amp;" UNI "&amp;IF(LINEAS!$U$137&lt;=2,"GZ","GX")&amp;" "&amp;TEXT(IF(OR(LINEAS!$U$137=1,LINEAS!$U$137=3),1,-1)*LINEAS!$AI$137*DATOS!$C$67,DATOS!$C$68)))</f>
        <v/>
      </c>
      <c r="E1647" s="42" t="str">
        <f t="shared" si="51"/>
        <v/>
      </c>
    </row>
    <row r="1648" spans="2:5" ht="15" customHeight="1" x14ac:dyDescent="0.3">
      <c r="B1648" s="44" t="str">
        <f>IF(OR(LINEAS!$D$138="",LINEAS!$U$138=0,ABS(IF(OR(LINEAS!$U$138=1,LINEAS!$U$138=3),1,-1)*LINEAS!$AI$138*DATOS!$C$67)&lt;0.00005),"*",LINEAS!$D$138&amp;" UNI "&amp;IF(LINEAS!$U$138&lt;=2,"GZ","GX")&amp;" "&amp;TEXT(IF(OR(LINEAS!$U$138=1,LINEAS!$U$138=3),1,-1)*LINEAS!$AI$138*DATOS!$C$67,DATOS!$C$68))</f>
        <v>*</v>
      </c>
      <c r="C1648" s="42" t="str">
        <f t="shared" si="50"/>
        <v/>
      </c>
      <c r="D1648" s="44" t="str">
        <f>IF(PRESIONES!$C$22="NO","",IF(OR(LINEAS!$D$138="",LINEAS!$U$138=0,ABS(IF(OR(LINEAS!$U$138=1,LINEAS!$U$138=3),1,-1)*LINEAS!$AI$138*DATOS!$C$67)&lt;0.00005),"*",LINEAS!$D$138&amp;" UNI "&amp;IF(LINEAS!$U$138&lt;=2,"GZ","GX")&amp;" "&amp;TEXT(IF(OR(LINEAS!$U$138=1,LINEAS!$U$138=3),1,-1)*LINEAS!$AI$138*DATOS!$C$67,DATOS!$C$68)))</f>
        <v/>
      </c>
      <c r="E1648" s="42" t="str">
        <f t="shared" si="51"/>
        <v/>
      </c>
    </row>
    <row r="1649" spans="2:5" ht="15" customHeight="1" x14ac:dyDescent="0.3">
      <c r="B1649" s="44" t="str">
        <f>IF(OR(LINEAS!$D$139="",LINEAS!$U$139=0,ABS(IF(OR(LINEAS!$U$139=1,LINEAS!$U$139=3),1,-1)*LINEAS!$AI$139*DATOS!$C$67)&lt;0.00005),"*",LINEAS!$D$139&amp;" UNI "&amp;IF(LINEAS!$U$139&lt;=2,"GZ","GX")&amp;" "&amp;TEXT(IF(OR(LINEAS!$U$139=1,LINEAS!$U$139=3),1,-1)*LINEAS!$AI$139*DATOS!$C$67,DATOS!$C$68))</f>
        <v>*</v>
      </c>
      <c r="C1649" s="42" t="str">
        <f t="shared" si="50"/>
        <v/>
      </c>
      <c r="D1649" s="44" t="str">
        <f>IF(PRESIONES!$C$22="NO","",IF(OR(LINEAS!$D$139="",LINEAS!$U$139=0,ABS(IF(OR(LINEAS!$U$139=1,LINEAS!$U$139=3),1,-1)*LINEAS!$AI$139*DATOS!$C$67)&lt;0.00005),"*",LINEAS!$D$139&amp;" UNI "&amp;IF(LINEAS!$U$139&lt;=2,"GZ","GX")&amp;" "&amp;TEXT(IF(OR(LINEAS!$U$139=1,LINEAS!$U$139=3),1,-1)*LINEAS!$AI$139*DATOS!$C$67,DATOS!$C$68)))</f>
        <v/>
      </c>
      <c r="E1649" s="42" t="str">
        <f t="shared" si="51"/>
        <v/>
      </c>
    </row>
    <row r="1650" spans="2:5" ht="15" customHeight="1" x14ac:dyDescent="0.3">
      <c r="B1650" s="44" t="str">
        <f>IF(OR(LINEAS!$D$140="",LINEAS!$U$140=0,ABS(IF(OR(LINEAS!$U$140=1,LINEAS!$U$140=3),1,-1)*LINEAS!$AI$140*DATOS!$C$67)&lt;0.00005),"*",LINEAS!$D$140&amp;" UNI "&amp;IF(LINEAS!$U$140&lt;=2,"GZ","GX")&amp;" "&amp;TEXT(IF(OR(LINEAS!$U$140=1,LINEAS!$U$140=3),1,-1)*LINEAS!$AI$140*DATOS!$C$67,DATOS!$C$68))</f>
        <v>*</v>
      </c>
      <c r="C1650" s="42" t="str">
        <f t="shared" si="50"/>
        <v/>
      </c>
      <c r="D1650" s="44" t="str">
        <f>IF(PRESIONES!$C$22="NO","",IF(OR(LINEAS!$D$140="",LINEAS!$U$140=0,ABS(IF(OR(LINEAS!$U$140=1,LINEAS!$U$140=3),1,-1)*LINEAS!$AI$140*DATOS!$C$67)&lt;0.00005),"*",LINEAS!$D$140&amp;" UNI "&amp;IF(LINEAS!$U$140&lt;=2,"GZ","GX")&amp;" "&amp;TEXT(IF(OR(LINEAS!$U$140=1,LINEAS!$U$140=3),1,-1)*LINEAS!$AI$140*DATOS!$C$67,DATOS!$C$68)))</f>
        <v/>
      </c>
      <c r="E1650" s="42" t="str">
        <f t="shared" si="51"/>
        <v/>
      </c>
    </row>
    <row r="1651" spans="2:5" ht="15" customHeight="1" x14ac:dyDescent="0.3">
      <c r="B1651" s="44" t="str">
        <f>IF(OR(LINEAS!$D$141="",LINEAS!$U$141=0,ABS(IF(OR(LINEAS!$U$141=1,LINEAS!$U$141=3),1,-1)*LINEAS!$AI$141*DATOS!$C$67)&lt;0.00005),"*",LINEAS!$D$141&amp;" UNI "&amp;IF(LINEAS!$U$141&lt;=2,"GZ","GX")&amp;" "&amp;TEXT(IF(OR(LINEAS!$U$141=1,LINEAS!$U$141=3),1,-1)*LINEAS!$AI$141*DATOS!$C$67,DATOS!$C$68))</f>
        <v>*</v>
      </c>
      <c r="C1651" s="42" t="str">
        <f t="shared" si="50"/>
        <v/>
      </c>
      <c r="D1651" s="44" t="str">
        <f>IF(PRESIONES!$C$22="NO","",IF(OR(LINEAS!$D$141="",LINEAS!$U$141=0,ABS(IF(OR(LINEAS!$U$141=1,LINEAS!$U$141=3),1,-1)*LINEAS!$AI$141*DATOS!$C$67)&lt;0.00005),"*",LINEAS!$D$141&amp;" UNI "&amp;IF(LINEAS!$U$141&lt;=2,"GZ","GX")&amp;" "&amp;TEXT(IF(OR(LINEAS!$U$141=1,LINEAS!$U$141=3),1,-1)*LINEAS!$AI$141*DATOS!$C$67,DATOS!$C$68)))</f>
        <v/>
      </c>
      <c r="E1651" s="42" t="str">
        <f t="shared" si="51"/>
        <v/>
      </c>
    </row>
    <row r="1652" spans="2:5" ht="15" customHeight="1" x14ac:dyDescent="0.3">
      <c r="B1652" s="44" t="str">
        <f>IF(OR(LINEAS!$D$142="",LINEAS!$U$142=0,ABS(IF(OR(LINEAS!$U$142=1,LINEAS!$U$142=3),1,-1)*LINEAS!$AI$142*DATOS!$C$67)&lt;0.00005),"*",LINEAS!$D$142&amp;" UNI "&amp;IF(LINEAS!$U$142&lt;=2,"GZ","GX")&amp;" "&amp;TEXT(IF(OR(LINEAS!$U$142=1,LINEAS!$U$142=3),1,-1)*LINEAS!$AI$142*DATOS!$C$67,DATOS!$C$68))</f>
        <v>*</v>
      </c>
      <c r="C1652" s="42" t="str">
        <f t="shared" si="50"/>
        <v/>
      </c>
      <c r="D1652" s="44" t="str">
        <f>IF(PRESIONES!$C$22="NO","",IF(OR(LINEAS!$D$142="",LINEAS!$U$142=0,ABS(IF(OR(LINEAS!$U$142=1,LINEAS!$U$142=3),1,-1)*LINEAS!$AI$142*DATOS!$C$67)&lt;0.00005),"*",LINEAS!$D$142&amp;" UNI "&amp;IF(LINEAS!$U$142&lt;=2,"GZ","GX")&amp;" "&amp;TEXT(IF(OR(LINEAS!$U$142=1,LINEAS!$U$142=3),1,-1)*LINEAS!$AI$142*DATOS!$C$67,DATOS!$C$68)))</f>
        <v/>
      </c>
      <c r="E1652" s="42" t="str">
        <f t="shared" si="51"/>
        <v/>
      </c>
    </row>
    <row r="1653" spans="2:5" ht="15" customHeight="1" x14ac:dyDescent="0.3">
      <c r="B1653" s="44" t="str">
        <f>IF(OR(LINEAS!$D$143="",LINEAS!$U$143=0,ABS(IF(OR(LINEAS!$U$143=1,LINEAS!$U$143=3),1,-1)*LINEAS!$AI$143*DATOS!$C$67)&lt;0.00005),"*",LINEAS!$D$143&amp;" UNI "&amp;IF(LINEAS!$U$143&lt;=2,"GZ","GX")&amp;" "&amp;TEXT(IF(OR(LINEAS!$U$143=1,LINEAS!$U$143=3),1,-1)*LINEAS!$AI$143*DATOS!$C$67,DATOS!$C$68))</f>
        <v>*</v>
      </c>
      <c r="C1653" s="42" t="str">
        <f t="shared" si="50"/>
        <v/>
      </c>
      <c r="D1653" s="44" t="str">
        <f>IF(PRESIONES!$C$22="NO","",IF(OR(LINEAS!$D$143="",LINEAS!$U$143=0,ABS(IF(OR(LINEAS!$U$143=1,LINEAS!$U$143=3),1,-1)*LINEAS!$AI$143*DATOS!$C$67)&lt;0.00005),"*",LINEAS!$D$143&amp;" UNI "&amp;IF(LINEAS!$U$143&lt;=2,"GZ","GX")&amp;" "&amp;TEXT(IF(OR(LINEAS!$U$143=1,LINEAS!$U$143=3),1,-1)*LINEAS!$AI$143*DATOS!$C$67,DATOS!$C$68)))</f>
        <v/>
      </c>
      <c r="E1653" s="42" t="str">
        <f t="shared" si="51"/>
        <v/>
      </c>
    </row>
    <row r="1654" spans="2:5" ht="15" customHeight="1" x14ac:dyDescent="0.3">
      <c r="B1654" s="44" t="str">
        <f>IF(OR(LINEAS!$D$144="",LINEAS!$U$144=0,ABS(IF(OR(LINEAS!$U$144=1,LINEAS!$U$144=3),1,-1)*LINEAS!$AI$144*DATOS!$C$67)&lt;0.00005),"*",LINEAS!$D$144&amp;" UNI "&amp;IF(LINEAS!$U$144&lt;=2,"GZ","GX")&amp;" "&amp;TEXT(IF(OR(LINEAS!$U$144=1,LINEAS!$U$144=3),1,-1)*LINEAS!$AI$144*DATOS!$C$67,DATOS!$C$68))</f>
        <v>*</v>
      </c>
      <c r="C1654" s="42" t="str">
        <f t="shared" si="50"/>
        <v/>
      </c>
      <c r="D1654" s="44" t="str">
        <f>IF(PRESIONES!$C$22="NO","",IF(OR(LINEAS!$D$144="",LINEAS!$U$144=0,ABS(IF(OR(LINEAS!$U$144=1,LINEAS!$U$144=3),1,-1)*LINEAS!$AI$144*DATOS!$C$67)&lt;0.00005),"*",LINEAS!$D$144&amp;" UNI "&amp;IF(LINEAS!$U$144&lt;=2,"GZ","GX")&amp;" "&amp;TEXT(IF(OR(LINEAS!$U$144=1,LINEAS!$U$144=3),1,-1)*LINEAS!$AI$144*DATOS!$C$67,DATOS!$C$68)))</f>
        <v/>
      </c>
      <c r="E1654" s="42" t="str">
        <f t="shared" si="51"/>
        <v/>
      </c>
    </row>
    <row r="1655" spans="2:5" ht="15" customHeight="1" x14ac:dyDescent="0.3">
      <c r="B1655" s="44" t="str">
        <f>IF(OR(LINEAS!$D$145="",LINEAS!$U$145=0,ABS(IF(OR(LINEAS!$U$145=1,LINEAS!$U$145=3),1,-1)*LINEAS!$AI$145*DATOS!$C$67)&lt;0.00005),"*",LINEAS!$D$145&amp;" UNI "&amp;IF(LINEAS!$U$145&lt;=2,"GZ","GX")&amp;" "&amp;TEXT(IF(OR(LINEAS!$U$145=1,LINEAS!$U$145=3),1,-1)*LINEAS!$AI$145*DATOS!$C$67,DATOS!$C$68))</f>
        <v>*</v>
      </c>
      <c r="C1655" s="42" t="str">
        <f t="shared" si="50"/>
        <v/>
      </c>
      <c r="D1655" s="44" t="str">
        <f>IF(PRESIONES!$C$22="NO","",IF(OR(LINEAS!$D$145="",LINEAS!$U$145=0,ABS(IF(OR(LINEAS!$U$145=1,LINEAS!$U$145=3),1,-1)*LINEAS!$AI$145*DATOS!$C$67)&lt;0.00005),"*",LINEAS!$D$145&amp;" UNI "&amp;IF(LINEAS!$U$145&lt;=2,"GZ","GX")&amp;" "&amp;TEXT(IF(OR(LINEAS!$U$145=1,LINEAS!$U$145=3),1,-1)*LINEAS!$AI$145*DATOS!$C$67,DATOS!$C$68)))</f>
        <v/>
      </c>
      <c r="E1655" s="42" t="str">
        <f t="shared" si="51"/>
        <v/>
      </c>
    </row>
    <row r="1656" spans="2:5" ht="15" customHeight="1" x14ac:dyDescent="0.3">
      <c r="B1656" s="44" t="str">
        <f>IF(OR(LINEAS!$D$146="",LINEAS!$U$146=0,ABS(IF(OR(LINEAS!$U$146=1,LINEAS!$U$146=3),1,-1)*LINEAS!$AI$146*DATOS!$C$67)&lt;0.00005),"*",LINEAS!$D$146&amp;" UNI "&amp;IF(LINEAS!$U$146&lt;=2,"GZ","GX")&amp;" "&amp;TEXT(IF(OR(LINEAS!$U$146=1,LINEAS!$U$146=3),1,-1)*LINEAS!$AI$146*DATOS!$C$67,DATOS!$C$68))</f>
        <v>*</v>
      </c>
      <c r="C1656" s="42" t="str">
        <f t="shared" si="50"/>
        <v/>
      </c>
      <c r="D1656" s="44" t="str">
        <f>IF(PRESIONES!$C$22="NO","",IF(OR(LINEAS!$D$146="",LINEAS!$U$146=0,ABS(IF(OR(LINEAS!$U$146=1,LINEAS!$U$146=3),1,-1)*LINEAS!$AI$146*DATOS!$C$67)&lt;0.00005),"*",LINEAS!$D$146&amp;" UNI "&amp;IF(LINEAS!$U$146&lt;=2,"GZ","GX")&amp;" "&amp;TEXT(IF(OR(LINEAS!$U$146=1,LINEAS!$U$146=3),1,-1)*LINEAS!$AI$146*DATOS!$C$67,DATOS!$C$68)))</f>
        <v/>
      </c>
      <c r="E1656" s="42" t="str">
        <f t="shared" si="51"/>
        <v/>
      </c>
    </row>
    <row r="1657" spans="2:5" ht="15" customHeight="1" x14ac:dyDescent="0.3">
      <c r="B1657" s="44" t="str">
        <f>IF(OR(LINEAS!$D$147="",LINEAS!$U$147=0,ABS(IF(OR(LINEAS!$U$147=1,LINEAS!$U$147=3),1,-1)*LINEAS!$AI$147*DATOS!$C$67)&lt;0.00005),"*",LINEAS!$D$147&amp;" UNI "&amp;IF(LINEAS!$U$147&lt;=2,"GZ","GX")&amp;" "&amp;TEXT(IF(OR(LINEAS!$U$147=1,LINEAS!$U$147=3),1,-1)*LINEAS!$AI$147*DATOS!$C$67,DATOS!$C$68))</f>
        <v>*</v>
      </c>
      <c r="C1657" s="42" t="str">
        <f t="shared" si="50"/>
        <v/>
      </c>
      <c r="D1657" s="44" t="str">
        <f>IF(PRESIONES!$C$22="NO","",IF(OR(LINEAS!$D$147="",LINEAS!$U$147=0,ABS(IF(OR(LINEAS!$U$147=1,LINEAS!$U$147=3),1,-1)*LINEAS!$AI$147*DATOS!$C$67)&lt;0.00005),"*",LINEAS!$D$147&amp;" UNI "&amp;IF(LINEAS!$U$147&lt;=2,"GZ","GX")&amp;" "&amp;TEXT(IF(OR(LINEAS!$U$147=1,LINEAS!$U$147=3),1,-1)*LINEAS!$AI$147*DATOS!$C$67,DATOS!$C$68)))</f>
        <v/>
      </c>
      <c r="E1657" s="42" t="str">
        <f t="shared" si="51"/>
        <v/>
      </c>
    </row>
    <row r="1658" spans="2:5" ht="15" customHeight="1" x14ac:dyDescent="0.3">
      <c r="B1658" s="44" t="str">
        <f>IF(OR(LINEAS!$D$148="",LINEAS!$U$148=0,ABS(IF(OR(LINEAS!$U$148=1,LINEAS!$U$148=3),1,-1)*LINEAS!$AI$148*DATOS!$C$67)&lt;0.00005),"*",LINEAS!$D$148&amp;" UNI "&amp;IF(LINEAS!$U$148&lt;=2,"GZ","GX")&amp;" "&amp;TEXT(IF(OR(LINEAS!$U$148=1,LINEAS!$U$148=3),1,-1)*LINEAS!$AI$148*DATOS!$C$67,DATOS!$C$68))</f>
        <v>*</v>
      </c>
      <c r="C1658" s="42" t="str">
        <f t="shared" si="50"/>
        <v/>
      </c>
      <c r="D1658" s="44" t="str">
        <f>IF(PRESIONES!$C$22="NO","",IF(OR(LINEAS!$D$148="",LINEAS!$U$148=0,ABS(IF(OR(LINEAS!$U$148=1,LINEAS!$U$148=3),1,-1)*LINEAS!$AI$148*DATOS!$C$67)&lt;0.00005),"*",LINEAS!$D$148&amp;" UNI "&amp;IF(LINEAS!$U$148&lt;=2,"GZ","GX")&amp;" "&amp;TEXT(IF(OR(LINEAS!$U$148=1,LINEAS!$U$148=3),1,-1)*LINEAS!$AI$148*DATOS!$C$67,DATOS!$C$68)))</f>
        <v/>
      </c>
      <c r="E1658" s="42" t="str">
        <f t="shared" si="51"/>
        <v/>
      </c>
    </row>
    <row r="1659" spans="2:5" ht="15" customHeight="1" x14ac:dyDescent="0.3">
      <c r="B1659" s="44" t="str">
        <f>IF(OR(LINEAS!$D$149="",LINEAS!$U$149=0,ABS(IF(OR(LINEAS!$U$149=1,LINEAS!$U$149=3),1,-1)*LINEAS!$AI$149*DATOS!$C$67)&lt;0.00005),"*",LINEAS!$D$149&amp;" UNI "&amp;IF(LINEAS!$U$149&lt;=2,"GZ","GX")&amp;" "&amp;TEXT(IF(OR(LINEAS!$U$149=1,LINEAS!$U$149=3),1,-1)*LINEAS!$AI$149*DATOS!$C$67,DATOS!$C$68))</f>
        <v>*</v>
      </c>
      <c r="C1659" s="42" t="str">
        <f t="shared" si="50"/>
        <v/>
      </c>
      <c r="D1659" s="44" t="str">
        <f>IF(PRESIONES!$C$22="NO","",IF(OR(LINEAS!$D$149="",LINEAS!$U$149=0,ABS(IF(OR(LINEAS!$U$149=1,LINEAS!$U$149=3),1,-1)*LINEAS!$AI$149*DATOS!$C$67)&lt;0.00005),"*",LINEAS!$D$149&amp;" UNI "&amp;IF(LINEAS!$U$149&lt;=2,"GZ","GX")&amp;" "&amp;TEXT(IF(OR(LINEAS!$U$149=1,LINEAS!$U$149=3),1,-1)*LINEAS!$AI$149*DATOS!$C$67,DATOS!$C$68)))</f>
        <v/>
      </c>
      <c r="E1659" s="42" t="str">
        <f t="shared" si="51"/>
        <v/>
      </c>
    </row>
    <row r="1660" spans="2:5" ht="15" customHeight="1" x14ac:dyDescent="0.3">
      <c r="B1660" s="44" t="str">
        <f>IF(OR(LINEAS!$D$150="",LINEAS!$U$150=0,ABS(IF(OR(LINEAS!$U$150=1,LINEAS!$U$150=3),1,-1)*LINEAS!$AI$150*DATOS!$C$67)&lt;0.00005),"*",LINEAS!$D$150&amp;" UNI "&amp;IF(LINEAS!$U$150&lt;=2,"GZ","GX")&amp;" "&amp;TEXT(IF(OR(LINEAS!$U$150=1,LINEAS!$U$150=3),1,-1)*LINEAS!$AI$150*DATOS!$C$67,DATOS!$C$68))</f>
        <v>*</v>
      </c>
      <c r="C1660" s="42" t="str">
        <f t="shared" si="50"/>
        <v/>
      </c>
      <c r="D1660" s="44" t="str">
        <f>IF(PRESIONES!$C$22="NO","",IF(OR(LINEAS!$D$150="",LINEAS!$U$150=0,ABS(IF(OR(LINEAS!$U$150=1,LINEAS!$U$150=3),1,-1)*LINEAS!$AI$150*DATOS!$C$67)&lt;0.00005),"*",LINEAS!$D$150&amp;" UNI "&amp;IF(LINEAS!$U$150&lt;=2,"GZ","GX")&amp;" "&amp;TEXT(IF(OR(LINEAS!$U$150=1,LINEAS!$U$150=3),1,-1)*LINEAS!$AI$150*DATOS!$C$67,DATOS!$C$68)))</f>
        <v/>
      </c>
      <c r="E1660" s="42" t="str">
        <f t="shared" si="51"/>
        <v/>
      </c>
    </row>
    <row r="1661" spans="2:5" ht="15" customHeight="1" x14ac:dyDescent="0.3">
      <c r="B1661" s="44" t="str">
        <f>IF(OR(LINEAS!$D$151="",LINEAS!$U$151=0,ABS(IF(OR(LINEAS!$U$151=1,LINEAS!$U$151=3),1,-1)*LINEAS!$AI$151*DATOS!$C$67)&lt;0.00005),"*",LINEAS!$D$151&amp;" UNI "&amp;IF(LINEAS!$U$151&lt;=2,"GZ","GX")&amp;" "&amp;TEXT(IF(OR(LINEAS!$U$151=1,LINEAS!$U$151=3),1,-1)*LINEAS!$AI$151*DATOS!$C$67,DATOS!$C$68))</f>
        <v>*</v>
      </c>
      <c r="C1661" s="42" t="str">
        <f t="shared" si="50"/>
        <v/>
      </c>
      <c r="D1661" s="44" t="str">
        <f>IF(PRESIONES!$C$22="NO","",IF(OR(LINEAS!$D$151="",LINEAS!$U$151=0,ABS(IF(OR(LINEAS!$U$151=1,LINEAS!$U$151=3),1,-1)*LINEAS!$AI$151*DATOS!$C$67)&lt;0.00005),"*",LINEAS!$D$151&amp;" UNI "&amp;IF(LINEAS!$U$151&lt;=2,"GZ","GX")&amp;" "&amp;TEXT(IF(OR(LINEAS!$U$151=1,LINEAS!$U$151=3),1,-1)*LINEAS!$AI$151*DATOS!$C$67,DATOS!$C$68)))</f>
        <v/>
      </c>
      <c r="E1661" s="42" t="str">
        <f t="shared" si="51"/>
        <v/>
      </c>
    </row>
    <row r="1662" spans="2:5" ht="15" customHeight="1" x14ac:dyDescent="0.3">
      <c r="B1662" s="44" t="str">
        <f>IF(OR(LINEAS!$D$152="",LINEAS!$U$152=0,ABS(IF(OR(LINEAS!$U$152=1,LINEAS!$U$152=3),1,-1)*LINEAS!$AI$152*DATOS!$C$67)&lt;0.00005),"*",LINEAS!$D$152&amp;" UNI "&amp;IF(LINEAS!$U$152&lt;=2,"GZ","GX")&amp;" "&amp;TEXT(IF(OR(LINEAS!$U$152=1,LINEAS!$U$152=3),1,-1)*LINEAS!$AI$152*DATOS!$C$67,DATOS!$C$68))</f>
        <v>*</v>
      </c>
      <c r="C1662" s="42" t="str">
        <f t="shared" si="50"/>
        <v/>
      </c>
      <c r="D1662" s="44" t="str">
        <f>IF(PRESIONES!$C$22="NO","",IF(OR(LINEAS!$D$152="",LINEAS!$U$152=0,ABS(IF(OR(LINEAS!$U$152=1,LINEAS!$U$152=3),1,-1)*LINEAS!$AI$152*DATOS!$C$67)&lt;0.00005),"*",LINEAS!$D$152&amp;" UNI "&amp;IF(LINEAS!$U$152&lt;=2,"GZ","GX")&amp;" "&amp;TEXT(IF(OR(LINEAS!$U$152=1,LINEAS!$U$152=3),1,-1)*LINEAS!$AI$152*DATOS!$C$67,DATOS!$C$68)))</f>
        <v/>
      </c>
      <c r="E1662" s="42" t="str">
        <f t="shared" si="51"/>
        <v/>
      </c>
    </row>
    <row r="1663" spans="2:5" ht="15" customHeight="1" x14ac:dyDescent="0.3">
      <c r="B1663" s="44" t="str">
        <f>IF(OR(LINEAS!$D$153="",LINEAS!$U$153=0,ABS(IF(OR(LINEAS!$U$153=1,LINEAS!$U$153=3),1,-1)*LINEAS!$AI$153*DATOS!$C$67)&lt;0.00005),"*",LINEAS!$D$153&amp;" UNI "&amp;IF(LINEAS!$U$153&lt;=2,"GZ","GX")&amp;" "&amp;TEXT(IF(OR(LINEAS!$U$153=1,LINEAS!$U$153=3),1,-1)*LINEAS!$AI$153*DATOS!$C$67,DATOS!$C$68))</f>
        <v>*</v>
      </c>
      <c r="C1663" s="42" t="str">
        <f t="shared" si="50"/>
        <v/>
      </c>
      <c r="D1663" s="44" t="str">
        <f>IF(PRESIONES!$C$22="NO","",IF(OR(LINEAS!$D$153="",LINEAS!$U$153=0,ABS(IF(OR(LINEAS!$U$153=1,LINEAS!$U$153=3),1,-1)*LINEAS!$AI$153*DATOS!$C$67)&lt;0.00005),"*",LINEAS!$D$153&amp;" UNI "&amp;IF(LINEAS!$U$153&lt;=2,"GZ","GX")&amp;" "&amp;TEXT(IF(OR(LINEAS!$U$153=1,LINEAS!$U$153=3),1,-1)*LINEAS!$AI$153*DATOS!$C$67,DATOS!$C$68)))</f>
        <v/>
      </c>
      <c r="E1663" s="42" t="str">
        <f t="shared" si="51"/>
        <v/>
      </c>
    </row>
    <row r="1664" spans="2:5" ht="15" customHeight="1" x14ac:dyDescent="0.3">
      <c r="B1664" s="44" t="str">
        <f>IF(OR(LINEAS!$D$154="",LINEAS!$U$154=0,ABS(IF(OR(LINEAS!$U$154=1,LINEAS!$U$154=3),1,-1)*LINEAS!$AI$154*DATOS!$C$67)&lt;0.00005),"*",LINEAS!$D$154&amp;" UNI "&amp;IF(LINEAS!$U$154&lt;=2,"GZ","GX")&amp;" "&amp;TEXT(IF(OR(LINEAS!$U$154=1,LINEAS!$U$154=3),1,-1)*LINEAS!$AI$154*DATOS!$C$67,DATOS!$C$68))</f>
        <v>*</v>
      </c>
      <c r="C1664" s="42" t="str">
        <f t="shared" si="50"/>
        <v/>
      </c>
      <c r="D1664" s="44" t="str">
        <f>IF(PRESIONES!$C$22="NO","",IF(OR(LINEAS!$D$154="",LINEAS!$U$154=0,ABS(IF(OR(LINEAS!$U$154=1,LINEAS!$U$154=3),1,-1)*LINEAS!$AI$154*DATOS!$C$67)&lt;0.00005),"*",LINEAS!$D$154&amp;" UNI "&amp;IF(LINEAS!$U$154&lt;=2,"GZ","GX")&amp;" "&amp;TEXT(IF(OR(LINEAS!$U$154=1,LINEAS!$U$154=3),1,-1)*LINEAS!$AI$154*DATOS!$C$67,DATOS!$C$68)))</f>
        <v/>
      </c>
      <c r="E1664" s="42" t="str">
        <f t="shared" si="51"/>
        <v/>
      </c>
    </row>
    <row r="1665" spans="2:5" ht="15" customHeight="1" x14ac:dyDescent="0.3">
      <c r="B1665" s="44" t="str">
        <f>IF(OR(LINEAS!$D$155="",LINEAS!$U$155=0,ABS(IF(OR(LINEAS!$U$155=1,LINEAS!$U$155=3),1,-1)*LINEAS!$AI$155*DATOS!$C$67)&lt;0.00005),"*",LINEAS!$D$155&amp;" UNI "&amp;IF(LINEAS!$U$155&lt;=2,"GZ","GX")&amp;" "&amp;TEXT(IF(OR(LINEAS!$U$155=1,LINEAS!$U$155=3),1,-1)*LINEAS!$AI$155*DATOS!$C$67,DATOS!$C$68))</f>
        <v>*</v>
      </c>
      <c r="C1665" s="42" t="str">
        <f t="shared" si="50"/>
        <v/>
      </c>
      <c r="D1665" s="44" t="str">
        <f>IF(PRESIONES!$C$22="NO","",IF(OR(LINEAS!$D$155="",LINEAS!$U$155=0,ABS(IF(OR(LINEAS!$U$155=1,LINEAS!$U$155=3),1,-1)*LINEAS!$AI$155*DATOS!$C$67)&lt;0.00005),"*",LINEAS!$D$155&amp;" UNI "&amp;IF(LINEAS!$U$155&lt;=2,"GZ","GX")&amp;" "&amp;TEXT(IF(OR(LINEAS!$U$155=1,LINEAS!$U$155=3),1,-1)*LINEAS!$AI$155*DATOS!$C$67,DATOS!$C$68)))</f>
        <v/>
      </c>
      <c r="E1665" s="42" t="str">
        <f t="shared" si="51"/>
        <v/>
      </c>
    </row>
    <row r="1666" spans="2:5" ht="15" customHeight="1" x14ac:dyDescent="0.3">
      <c r="B1666" s="44" t="str">
        <f>IF(OR(LINEAS!$D$156="",LINEAS!$U$156=0,ABS(IF(OR(LINEAS!$U$156=1,LINEAS!$U$156=3),1,-1)*LINEAS!$AI$156*DATOS!$C$67)&lt;0.00005),"*",LINEAS!$D$156&amp;" UNI "&amp;IF(LINEAS!$U$156&lt;=2,"GZ","GX")&amp;" "&amp;TEXT(IF(OR(LINEAS!$U$156=1,LINEAS!$U$156=3),1,-1)*LINEAS!$AI$156*DATOS!$C$67,DATOS!$C$68))</f>
        <v>*</v>
      </c>
      <c r="C1666" s="42" t="str">
        <f t="shared" si="50"/>
        <v/>
      </c>
      <c r="D1666" s="44" t="str">
        <f>IF(PRESIONES!$C$22="NO","",IF(OR(LINEAS!$D$156="",LINEAS!$U$156=0,ABS(IF(OR(LINEAS!$U$156=1,LINEAS!$U$156=3),1,-1)*LINEAS!$AI$156*DATOS!$C$67)&lt;0.00005),"*",LINEAS!$D$156&amp;" UNI "&amp;IF(LINEAS!$U$156&lt;=2,"GZ","GX")&amp;" "&amp;TEXT(IF(OR(LINEAS!$U$156=1,LINEAS!$U$156=3),1,-1)*LINEAS!$AI$156*DATOS!$C$67,DATOS!$C$68)))</f>
        <v/>
      </c>
      <c r="E1666" s="42" t="str">
        <f t="shared" si="51"/>
        <v/>
      </c>
    </row>
    <row r="1667" spans="2:5" ht="15" customHeight="1" x14ac:dyDescent="0.3">
      <c r="B1667" s="44" t="str">
        <f>IF(OR(LINEAS!$D$157="",LINEAS!$U$157=0,ABS(IF(OR(LINEAS!$U$157=1,LINEAS!$U$157=3),1,-1)*LINEAS!$AI$157*DATOS!$C$67)&lt;0.00005),"*",LINEAS!$D$157&amp;" UNI "&amp;IF(LINEAS!$U$157&lt;=2,"GZ","GX")&amp;" "&amp;TEXT(IF(OR(LINEAS!$U$157=1,LINEAS!$U$157=3),1,-1)*LINEAS!$AI$157*DATOS!$C$67,DATOS!$C$68))</f>
        <v>*</v>
      </c>
      <c r="C1667" s="42" t="str">
        <f t="shared" si="50"/>
        <v/>
      </c>
      <c r="D1667" s="44" t="str">
        <f>IF(PRESIONES!$C$22="NO","",IF(OR(LINEAS!$D$157="",LINEAS!$U$157=0,ABS(IF(OR(LINEAS!$U$157=1,LINEAS!$U$157=3),1,-1)*LINEAS!$AI$157*DATOS!$C$67)&lt;0.00005),"*",LINEAS!$D$157&amp;" UNI "&amp;IF(LINEAS!$U$157&lt;=2,"GZ","GX")&amp;" "&amp;TEXT(IF(OR(LINEAS!$U$157=1,LINEAS!$U$157=3),1,-1)*LINEAS!$AI$157*DATOS!$C$67,DATOS!$C$68)))</f>
        <v/>
      </c>
      <c r="E1667" s="42" t="str">
        <f t="shared" si="51"/>
        <v/>
      </c>
    </row>
    <row r="1668" spans="2:5" ht="15" customHeight="1" x14ac:dyDescent="0.3">
      <c r="B1668" s="44" t="str">
        <f>IF(OR(LINEAS!$D$158="",LINEAS!$U$158=0,ABS(IF(OR(LINEAS!$U$158=1,LINEAS!$U$158=3),1,-1)*LINEAS!$AI$158*DATOS!$C$67)&lt;0.00005),"*",LINEAS!$D$158&amp;" UNI "&amp;IF(LINEAS!$U$158&lt;=2,"GZ","GX")&amp;" "&amp;TEXT(IF(OR(LINEAS!$U$158=1,LINEAS!$U$158=3),1,-1)*LINEAS!$AI$158*DATOS!$C$67,DATOS!$C$68))</f>
        <v>*</v>
      </c>
      <c r="C1668" s="42" t="str">
        <f t="shared" si="50"/>
        <v/>
      </c>
      <c r="D1668" s="44" t="str">
        <f>IF(PRESIONES!$C$22="NO","",IF(OR(LINEAS!$D$158="",LINEAS!$U$158=0,ABS(IF(OR(LINEAS!$U$158=1,LINEAS!$U$158=3),1,-1)*LINEAS!$AI$158*DATOS!$C$67)&lt;0.00005),"*",LINEAS!$D$158&amp;" UNI "&amp;IF(LINEAS!$U$158&lt;=2,"GZ","GX")&amp;" "&amp;TEXT(IF(OR(LINEAS!$U$158=1,LINEAS!$U$158=3),1,-1)*LINEAS!$AI$158*DATOS!$C$67,DATOS!$C$68)))</f>
        <v/>
      </c>
      <c r="E1668" s="42" t="str">
        <f t="shared" si="51"/>
        <v/>
      </c>
    </row>
    <row r="1669" spans="2:5" ht="15" customHeight="1" x14ac:dyDescent="0.3">
      <c r="B1669" s="44" t="str">
        <f>IF(OR(LINEAS!$D$159="",LINEAS!$U$159=0,ABS(IF(OR(LINEAS!$U$159=1,LINEAS!$U$159=3),1,-1)*LINEAS!$AI$159*DATOS!$C$67)&lt;0.00005),"*",LINEAS!$D$159&amp;" UNI "&amp;IF(LINEAS!$U$159&lt;=2,"GZ","GX")&amp;" "&amp;TEXT(IF(OR(LINEAS!$U$159=1,LINEAS!$U$159=3),1,-1)*LINEAS!$AI$159*DATOS!$C$67,DATOS!$C$68))</f>
        <v>*</v>
      </c>
      <c r="C1669" s="42" t="str">
        <f t="shared" si="50"/>
        <v/>
      </c>
      <c r="D1669" s="44" t="str">
        <f>IF(PRESIONES!$C$22="NO","",IF(OR(LINEAS!$D$159="",LINEAS!$U$159=0,ABS(IF(OR(LINEAS!$U$159=1,LINEAS!$U$159=3),1,-1)*LINEAS!$AI$159*DATOS!$C$67)&lt;0.00005),"*",LINEAS!$D$159&amp;" UNI "&amp;IF(LINEAS!$U$159&lt;=2,"GZ","GX")&amp;" "&amp;TEXT(IF(OR(LINEAS!$U$159=1,LINEAS!$U$159=3),1,-1)*LINEAS!$AI$159*DATOS!$C$67,DATOS!$C$68)))</f>
        <v/>
      </c>
      <c r="E1669" s="42" t="str">
        <f t="shared" si="51"/>
        <v/>
      </c>
    </row>
    <row r="1670" spans="2:5" ht="15" customHeight="1" x14ac:dyDescent="0.3">
      <c r="B1670" s="44" t="str">
        <f>IF(OR(LINEAS!$D$160="",LINEAS!$U$160=0,ABS(IF(OR(LINEAS!$U$160=1,LINEAS!$U$160=3),1,-1)*LINEAS!$AI$160*DATOS!$C$67)&lt;0.00005),"*",LINEAS!$D$160&amp;" UNI "&amp;IF(LINEAS!$U$160&lt;=2,"GZ","GX")&amp;" "&amp;TEXT(IF(OR(LINEAS!$U$160=1,LINEAS!$U$160=3),1,-1)*LINEAS!$AI$160*DATOS!$C$67,DATOS!$C$68))</f>
        <v>*</v>
      </c>
      <c r="C1670" s="42" t="str">
        <f t="shared" si="50"/>
        <v/>
      </c>
      <c r="D1670" s="44" t="str">
        <f>IF(PRESIONES!$C$22="NO","",IF(OR(LINEAS!$D$160="",LINEAS!$U$160=0,ABS(IF(OR(LINEAS!$U$160=1,LINEAS!$U$160=3),1,-1)*LINEAS!$AI$160*DATOS!$C$67)&lt;0.00005),"*",LINEAS!$D$160&amp;" UNI "&amp;IF(LINEAS!$U$160&lt;=2,"GZ","GX")&amp;" "&amp;TEXT(IF(OR(LINEAS!$U$160=1,LINEAS!$U$160=3),1,-1)*LINEAS!$AI$160*DATOS!$C$67,DATOS!$C$68)))</f>
        <v/>
      </c>
      <c r="E1670" s="42" t="str">
        <f t="shared" si="51"/>
        <v/>
      </c>
    </row>
    <row r="1671" spans="2:5" ht="15" customHeight="1" x14ac:dyDescent="0.3">
      <c r="B1671" s="44" t="str">
        <f>IF(OR(LINEAS!$D$161="",LINEAS!$U$161=0,ABS(IF(OR(LINEAS!$U$161=1,LINEAS!$U$161=3),1,-1)*LINEAS!$AI$161*DATOS!$C$67)&lt;0.00005),"*",LINEAS!$D$161&amp;" UNI "&amp;IF(LINEAS!$U$161&lt;=2,"GZ","GX")&amp;" "&amp;TEXT(IF(OR(LINEAS!$U$161=1,LINEAS!$U$161=3),1,-1)*LINEAS!$AI$161*DATOS!$C$67,DATOS!$C$68))</f>
        <v>*</v>
      </c>
      <c r="C1671" s="42" t="str">
        <f t="shared" si="50"/>
        <v/>
      </c>
      <c r="D1671" s="44" t="str">
        <f>IF(PRESIONES!$C$22="NO","",IF(OR(LINEAS!$D$161="",LINEAS!$U$161=0,ABS(IF(OR(LINEAS!$U$161=1,LINEAS!$U$161=3),1,-1)*LINEAS!$AI$161*DATOS!$C$67)&lt;0.00005),"*",LINEAS!$D$161&amp;" UNI "&amp;IF(LINEAS!$U$161&lt;=2,"GZ","GX")&amp;" "&amp;TEXT(IF(OR(LINEAS!$U$161=1,LINEAS!$U$161=3),1,-1)*LINEAS!$AI$161*DATOS!$C$67,DATOS!$C$68)))</f>
        <v/>
      </c>
      <c r="E1671" s="42" t="str">
        <f t="shared" si="51"/>
        <v/>
      </c>
    </row>
    <row r="1672" spans="2:5" ht="15" customHeight="1" x14ac:dyDescent="0.3">
      <c r="B1672" s="44" t="str">
        <f>IF(OR(LINEAS!$D$162="",LINEAS!$U$162=0,ABS(IF(OR(LINEAS!$U$162=1,LINEAS!$U$162=3),1,-1)*LINEAS!$AI$162*DATOS!$C$67)&lt;0.00005),"*",LINEAS!$D$162&amp;" UNI "&amp;IF(LINEAS!$U$162&lt;=2,"GZ","GX")&amp;" "&amp;TEXT(IF(OR(LINEAS!$U$162=1,LINEAS!$U$162=3),1,-1)*LINEAS!$AI$162*DATOS!$C$67,DATOS!$C$68))</f>
        <v>*</v>
      </c>
      <c r="C1672" s="42" t="str">
        <f t="shared" si="50"/>
        <v/>
      </c>
      <c r="D1672" s="44" t="str">
        <f>IF(PRESIONES!$C$22="NO","",IF(OR(LINEAS!$D$162="",LINEAS!$U$162=0,ABS(IF(OR(LINEAS!$U$162=1,LINEAS!$U$162=3),1,-1)*LINEAS!$AI$162*DATOS!$C$67)&lt;0.00005),"*",LINEAS!$D$162&amp;" UNI "&amp;IF(LINEAS!$U$162&lt;=2,"GZ","GX")&amp;" "&amp;TEXT(IF(OR(LINEAS!$U$162=1,LINEAS!$U$162=3),1,-1)*LINEAS!$AI$162*DATOS!$C$67,DATOS!$C$68)))</f>
        <v/>
      </c>
      <c r="E1672" s="42" t="str">
        <f t="shared" si="51"/>
        <v/>
      </c>
    </row>
    <row r="1673" spans="2:5" ht="15" customHeight="1" x14ac:dyDescent="0.3">
      <c r="B1673" s="44" t="str">
        <f>IF(OR(LINEAS!$D$163="",LINEAS!$U$163=0,ABS(IF(OR(LINEAS!$U$163=1,LINEAS!$U$163=3),1,-1)*LINEAS!$AI$163*DATOS!$C$67)&lt;0.00005),"*",LINEAS!$D$163&amp;" UNI "&amp;IF(LINEAS!$U$163&lt;=2,"GZ","GX")&amp;" "&amp;TEXT(IF(OR(LINEAS!$U$163=1,LINEAS!$U$163=3),1,-1)*LINEAS!$AI$163*DATOS!$C$67,DATOS!$C$68))</f>
        <v>*</v>
      </c>
      <c r="C1673" s="42" t="str">
        <f t="shared" ref="C1673:C1705" si="52">IF(LEN($B1673)&gt;79,"MÁS DE 79 CARACTERES","")</f>
        <v/>
      </c>
      <c r="D1673" s="44" t="str">
        <f>IF(PRESIONES!$C$22="NO","",IF(OR(LINEAS!$D$163="",LINEAS!$U$163=0,ABS(IF(OR(LINEAS!$U$163=1,LINEAS!$U$163=3),1,-1)*LINEAS!$AI$163*DATOS!$C$67)&lt;0.00005),"*",LINEAS!$D$163&amp;" UNI "&amp;IF(LINEAS!$U$163&lt;=2,"GZ","GX")&amp;" "&amp;TEXT(IF(OR(LINEAS!$U$163=1,LINEAS!$U$163=3),1,-1)*LINEAS!$AI$163*DATOS!$C$67,DATOS!$C$68)))</f>
        <v/>
      </c>
      <c r="E1673" s="42" t="str">
        <f t="shared" ref="E1673:E1705" si="53">IF(LEN($D1673)&gt;79,"MÁS DE 79 CARACTERES","")</f>
        <v/>
      </c>
    </row>
    <row r="1674" spans="2:5" ht="15" customHeight="1" x14ac:dyDescent="0.3">
      <c r="B1674" s="44" t="str">
        <f>IF(OR(LINEAS!$D$164="",LINEAS!$U$164=0,ABS(IF(OR(LINEAS!$U$164=1,LINEAS!$U$164=3),1,-1)*LINEAS!$AI$164*DATOS!$C$67)&lt;0.00005),"*",LINEAS!$D$164&amp;" UNI "&amp;IF(LINEAS!$U$164&lt;=2,"GZ","GX")&amp;" "&amp;TEXT(IF(OR(LINEAS!$U$164=1,LINEAS!$U$164=3),1,-1)*LINEAS!$AI$164*DATOS!$C$67,DATOS!$C$68))</f>
        <v>*</v>
      </c>
      <c r="C1674" s="42" t="str">
        <f t="shared" si="52"/>
        <v/>
      </c>
      <c r="D1674" s="44" t="str">
        <f>IF(PRESIONES!$C$22="NO","",IF(OR(LINEAS!$D$164="",LINEAS!$U$164=0,ABS(IF(OR(LINEAS!$U$164=1,LINEAS!$U$164=3),1,-1)*LINEAS!$AI$164*DATOS!$C$67)&lt;0.00005),"*",LINEAS!$D$164&amp;" UNI "&amp;IF(LINEAS!$U$164&lt;=2,"GZ","GX")&amp;" "&amp;TEXT(IF(OR(LINEAS!$U$164=1,LINEAS!$U$164=3),1,-1)*LINEAS!$AI$164*DATOS!$C$67,DATOS!$C$68)))</f>
        <v/>
      </c>
      <c r="E1674" s="42" t="str">
        <f t="shared" si="53"/>
        <v/>
      </c>
    </row>
    <row r="1675" spans="2:5" ht="15" customHeight="1" x14ac:dyDescent="0.3">
      <c r="B1675" s="44" t="str">
        <f>IF(OR(LINEAS!$D$165="",LINEAS!$U$165=0,ABS(IF(OR(LINEAS!$U$165=1,LINEAS!$U$165=3),1,-1)*LINEAS!$AI$165*DATOS!$C$67)&lt;0.00005),"*",LINEAS!$D$165&amp;" UNI "&amp;IF(LINEAS!$U$165&lt;=2,"GZ","GX")&amp;" "&amp;TEXT(IF(OR(LINEAS!$U$165=1,LINEAS!$U$165=3),1,-1)*LINEAS!$AI$165*DATOS!$C$67,DATOS!$C$68))</f>
        <v>*</v>
      </c>
      <c r="C1675" s="42" t="str">
        <f t="shared" si="52"/>
        <v/>
      </c>
      <c r="D1675" s="44" t="str">
        <f>IF(PRESIONES!$C$22="NO","",IF(OR(LINEAS!$D$165="",LINEAS!$U$165=0,ABS(IF(OR(LINEAS!$U$165=1,LINEAS!$U$165=3),1,-1)*LINEAS!$AI$165*DATOS!$C$67)&lt;0.00005),"*",LINEAS!$D$165&amp;" UNI "&amp;IF(LINEAS!$U$165&lt;=2,"GZ","GX")&amp;" "&amp;TEXT(IF(OR(LINEAS!$U$165=1,LINEAS!$U$165=3),1,-1)*LINEAS!$AI$165*DATOS!$C$67,DATOS!$C$68)))</f>
        <v/>
      </c>
      <c r="E1675" s="42" t="str">
        <f t="shared" si="53"/>
        <v/>
      </c>
    </row>
    <row r="1676" spans="2:5" ht="15" customHeight="1" x14ac:dyDescent="0.3">
      <c r="B1676" s="44" t="str">
        <f>IF(OR(LINEAS!$D$166="",LINEAS!$U$166=0,ABS(IF(OR(LINEAS!$U$166=1,LINEAS!$U$166=3),1,-1)*LINEAS!$AI$166*DATOS!$C$67)&lt;0.00005),"*",LINEAS!$D$166&amp;" UNI "&amp;IF(LINEAS!$U$166&lt;=2,"GZ","GX")&amp;" "&amp;TEXT(IF(OR(LINEAS!$U$166=1,LINEAS!$U$166=3),1,-1)*LINEAS!$AI$166*DATOS!$C$67,DATOS!$C$68))</f>
        <v>*</v>
      </c>
      <c r="C1676" s="42" t="str">
        <f t="shared" si="52"/>
        <v/>
      </c>
      <c r="D1676" s="44" t="str">
        <f>IF(PRESIONES!$C$22="NO","",IF(OR(LINEAS!$D$166="",LINEAS!$U$166=0,ABS(IF(OR(LINEAS!$U$166=1,LINEAS!$U$166=3),1,-1)*LINEAS!$AI$166*DATOS!$C$67)&lt;0.00005),"*",LINEAS!$D$166&amp;" UNI "&amp;IF(LINEAS!$U$166&lt;=2,"GZ","GX")&amp;" "&amp;TEXT(IF(OR(LINEAS!$U$166=1,LINEAS!$U$166=3),1,-1)*LINEAS!$AI$166*DATOS!$C$67,DATOS!$C$68)))</f>
        <v/>
      </c>
      <c r="E1676" s="42" t="str">
        <f t="shared" si="53"/>
        <v/>
      </c>
    </row>
    <row r="1677" spans="2:5" ht="15" customHeight="1" x14ac:dyDescent="0.3">
      <c r="B1677" s="44" t="str">
        <f>IF(OR(LINEAS!$D$167="",LINEAS!$U$167=0,ABS(IF(OR(LINEAS!$U$167=1,LINEAS!$U$167=3),1,-1)*LINEAS!$AI$167*DATOS!$C$67)&lt;0.00005),"*",LINEAS!$D$167&amp;" UNI "&amp;IF(LINEAS!$U$167&lt;=2,"GZ","GX")&amp;" "&amp;TEXT(IF(OR(LINEAS!$U$167=1,LINEAS!$U$167=3),1,-1)*LINEAS!$AI$167*DATOS!$C$67,DATOS!$C$68))</f>
        <v>*</v>
      </c>
      <c r="C1677" s="42" t="str">
        <f t="shared" si="52"/>
        <v/>
      </c>
      <c r="D1677" s="44" t="str">
        <f>IF(PRESIONES!$C$22="NO","",IF(OR(LINEAS!$D$167="",LINEAS!$U$167=0,ABS(IF(OR(LINEAS!$U$167=1,LINEAS!$U$167=3),1,-1)*LINEAS!$AI$167*DATOS!$C$67)&lt;0.00005),"*",LINEAS!$D$167&amp;" UNI "&amp;IF(LINEAS!$U$167&lt;=2,"GZ","GX")&amp;" "&amp;TEXT(IF(OR(LINEAS!$U$167=1,LINEAS!$U$167=3),1,-1)*LINEAS!$AI$167*DATOS!$C$67,DATOS!$C$68)))</f>
        <v/>
      </c>
      <c r="E1677" s="42" t="str">
        <f t="shared" si="53"/>
        <v/>
      </c>
    </row>
    <row r="1678" spans="2:5" ht="15" customHeight="1" x14ac:dyDescent="0.3">
      <c r="B1678" s="44" t="str">
        <f>IF(OR(LINEAS!$D$168="",LINEAS!$U$168=0,ABS(IF(OR(LINEAS!$U$168=1,LINEAS!$U$168=3),1,-1)*LINEAS!$AI$168*DATOS!$C$67)&lt;0.00005),"*",LINEAS!$D$168&amp;" UNI "&amp;IF(LINEAS!$U$168&lt;=2,"GZ","GX")&amp;" "&amp;TEXT(IF(OR(LINEAS!$U$168=1,LINEAS!$U$168=3),1,-1)*LINEAS!$AI$168*DATOS!$C$67,DATOS!$C$68))</f>
        <v>*</v>
      </c>
      <c r="C1678" s="42" t="str">
        <f t="shared" si="52"/>
        <v/>
      </c>
      <c r="D1678" s="44" t="str">
        <f>IF(PRESIONES!$C$22="NO","",IF(OR(LINEAS!$D$168="",LINEAS!$U$168=0,ABS(IF(OR(LINEAS!$U$168=1,LINEAS!$U$168=3),1,-1)*LINEAS!$AI$168*DATOS!$C$67)&lt;0.00005),"*",LINEAS!$D$168&amp;" UNI "&amp;IF(LINEAS!$U$168&lt;=2,"GZ","GX")&amp;" "&amp;TEXT(IF(OR(LINEAS!$U$168=1,LINEAS!$U$168=3),1,-1)*LINEAS!$AI$168*DATOS!$C$67,DATOS!$C$68)))</f>
        <v/>
      </c>
      <c r="E1678" s="42" t="str">
        <f t="shared" si="53"/>
        <v/>
      </c>
    </row>
    <row r="1679" spans="2:5" ht="15" customHeight="1" x14ac:dyDescent="0.3">
      <c r="B1679" s="44" t="str">
        <f>IF(OR(LINEAS!$D$169="",LINEAS!$U$169=0,ABS(IF(OR(LINEAS!$U$169=1,LINEAS!$U$169=3),1,-1)*LINEAS!$AI$169*DATOS!$C$67)&lt;0.00005),"*",LINEAS!$D$169&amp;" UNI "&amp;IF(LINEAS!$U$169&lt;=2,"GZ","GX")&amp;" "&amp;TEXT(IF(OR(LINEAS!$U$169=1,LINEAS!$U$169=3),1,-1)*LINEAS!$AI$169*DATOS!$C$67,DATOS!$C$68))</f>
        <v>*</v>
      </c>
      <c r="C1679" s="42" t="str">
        <f t="shared" si="52"/>
        <v/>
      </c>
      <c r="D1679" s="44" t="str">
        <f>IF(PRESIONES!$C$22="NO","",IF(OR(LINEAS!$D$169="",LINEAS!$U$169=0,ABS(IF(OR(LINEAS!$U$169=1,LINEAS!$U$169=3),1,-1)*LINEAS!$AI$169*DATOS!$C$67)&lt;0.00005),"*",LINEAS!$D$169&amp;" UNI "&amp;IF(LINEAS!$U$169&lt;=2,"GZ","GX")&amp;" "&amp;TEXT(IF(OR(LINEAS!$U$169=1,LINEAS!$U$169=3),1,-1)*LINEAS!$AI$169*DATOS!$C$67,DATOS!$C$68)))</f>
        <v/>
      </c>
      <c r="E1679" s="42" t="str">
        <f t="shared" si="53"/>
        <v/>
      </c>
    </row>
    <row r="1680" spans="2:5" ht="15" customHeight="1" x14ac:dyDescent="0.3">
      <c r="B1680" s="44" t="str">
        <f>IF(OR(LINEAS!$D$170="",LINEAS!$U$170=0,ABS(IF(OR(LINEAS!$U$170=1,LINEAS!$U$170=3),1,-1)*LINEAS!$AI$170*DATOS!$C$67)&lt;0.00005),"*",LINEAS!$D$170&amp;" UNI "&amp;IF(LINEAS!$U$170&lt;=2,"GZ","GX")&amp;" "&amp;TEXT(IF(OR(LINEAS!$U$170=1,LINEAS!$U$170=3),1,-1)*LINEAS!$AI$170*DATOS!$C$67,DATOS!$C$68))</f>
        <v>*</v>
      </c>
      <c r="C1680" s="42" t="str">
        <f t="shared" si="52"/>
        <v/>
      </c>
      <c r="D1680" s="44" t="str">
        <f>IF(PRESIONES!$C$22="NO","",IF(OR(LINEAS!$D$170="",LINEAS!$U$170=0,ABS(IF(OR(LINEAS!$U$170=1,LINEAS!$U$170=3),1,-1)*LINEAS!$AI$170*DATOS!$C$67)&lt;0.00005),"*",LINEAS!$D$170&amp;" UNI "&amp;IF(LINEAS!$U$170&lt;=2,"GZ","GX")&amp;" "&amp;TEXT(IF(OR(LINEAS!$U$170=1,LINEAS!$U$170=3),1,-1)*LINEAS!$AI$170*DATOS!$C$67,DATOS!$C$68)))</f>
        <v/>
      </c>
      <c r="E1680" s="42" t="str">
        <f t="shared" si="53"/>
        <v/>
      </c>
    </row>
    <row r="1681" spans="2:5" ht="15" customHeight="1" x14ac:dyDescent="0.3">
      <c r="B1681" s="44" t="str">
        <f>IF(OR(LINEAS!$D$171="",LINEAS!$U$171=0,ABS(IF(OR(LINEAS!$U$171=1,LINEAS!$U$171=3),1,-1)*LINEAS!$AI$171*DATOS!$C$67)&lt;0.00005),"*",LINEAS!$D$171&amp;" UNI "&amp;IF(LINEAS!$U$171&lt;=2,"GZ","GX")&amp;" "&amp;TEXT(IF(OR(LINEAS!$U$171=1,LINEAS!$U$171=3),1,-1)*LINEAS!$AI$171*DATOS!$C$67,DATOS!$C$68))</f>
        <v>*</v>
      </c>
      <c r="C1681" s="42" t="str">
        <f t="shared" si="52"/>
        <v/>
      </c>
      <c r="D1681" s="44" t="str">
        <f>IF(PRESIONES!$C$22="NO","",IF(OR(LINEAS!$D$171="",LINEAS!$U$171=0,ABS(IF(OR(LINEAS!$U$171=1,LINEAS!$U$171=3),1,-1)*LINEAS!$AI$171*DATOS!$C$67)&lt;0.00005),"*",LINEAS!$D$171&amp;" UNI "&amp;IF(LINEAS!$U$171&lt;=2,"GZ","GX")&amp;" "&amp;TEXT(IF(OR(LINEAS!$U$171=1,LINEAS!$U$171=3),1,-1)*LINEAS!$AI$171*DATOS!$C$67,DATOS!$C$68)))</f>
        <v/>
      </c>
      <c r="E1681" s="42" t="str">
        <f t="shared" si="53"/>
        <v/>
      </c>
    </row>
    <row r="1682" spans="2:5" ht="15" customHeight="1" x14ac:dyDescent="0.3">
      <c r="B1682" s="44" t="str">
        <f>IF(OR(LINEAS!$D$172="",LINEAS!$U$172=0,ABS(IF(OR(LINEAS!$U$172=1,LINEAS!$U$172=3),1,-1)*LINEAS!$AI$172*DATOS!$C$67)&lt;0.00005),"*",LINEAS!$D$172&amp;" UNI "&amp;IF(LINEAS!$U$172&lt;=2,"GZ","GX")&amp;" "&amp;TEXT(IF(OR(LINEAS!$U$172=1,LINEAS!$U$172=3),1,-1)*LINEAS!$AI$172*DATOS!$C$67,DATOS!$C$68))</f>
        <v>*</v>
      </c>
      <c r="C1682" s="42" t="str">
        <f t="shared" si="52"/>
        <v/>
      </c>
      <c r="D1682" s="44" t="str">
        <f>IF(PRESIONES!$C$22="NO","",IF(OR(LINEAS!$D$172="",LINEAS!$U$172=0,ABS(IF(OR(LINEAS!$U$172=1,LINEAS!$U$172=3),1,-1)*LINEAS!$AI$172*DATOS!$C$67)&lt;0.00005),"*",LINEAS!$D$172&amp;" UNI "&amp;IF(LINEAS!$U$172&lt;=2,"GZ","GX")&amp;" "&amp;TEXT(IF(OR(LINEAS!$U$172=1,LINEAS!$U$172=3),1,-1)*LINEAS!$AI$172*DATOS!$C$67,DATOS!$C$68)))</f>
        <v/>
      </c>
      <c r="E1682" s="42" t="str">
        <f t="shared" si="53"/>
        <v/>
      </c>
    </row>
    <row r="1683" spans="2:5" ht="15" customHeight="1" x14ac:dyDescent="0.3">
      <c r="B1683" s="44" t="str">
        <f>IF(OR(LINEAS!$D$173="",LINEAS!$U$173=0,ABS(IF(OR(LINEAS!$U$173=1,LINEAS!$U$173=3),1,-1)*LINEAS!$AI$173*DATOS!$C$67)&lt;0.00005),"*",LINEAS!$D$173&amp;" UNI "&amp;IF(LINEAS!$U$173&lt;=2,"GZ","GX")&amp;" "&amp;TEXT(IF(OR(LINEAS!$U$173=1,LINEAS!$U$173=3),1,-1)*LINEAS!$AI$173*DATOS!$C$67,DATOS!$C$68))</f>
        <v>*</v>
      </c>
      <c r="C1683" s="42" t="str">
        <f t="shared" si="52"/>
        <v/>
      </c>
      <c r="D1683" s="44" t="str">
        <f>IF(PRESIONES!$C$22="NO","",IF(OR(LINEAS!$D$173="",LINEAS!$U$173=0,ABS(IF(OR(LINEAS!$U$173=1,LINEAS!$U$173=3),1,-1)*LINEAS!$AI$173*DATOS!$C$67)&lt;0.00005),"*",LINEAS!$D$173&amp;" UNI "&amp;IF(LINEAS!$U$173&lt;=2,"GZ","GX")&amp;" "&amp;TEXT(IF(OR(LINEAS!$U$173=1,LINEAS!$U$173=3),1,-1)*LINEAS!$AI$173*DATOS!$C$67,DATOS!$C$68)))</f>
        <v/>
      </c>
      <c r="E1683" s="42" t="str">
        <f t="shared" si="53"/>
        <v/>
      </c>
    </row>
    <row r="1684" spans="2:5" ht="15" customHeight="1" x14ac:dyDescent="0.3">
      <c r="B1684" s="44" t="str">
        <f>IF(OR(LINEAS!$D$174="",LINEAS!$U$174=0,ABS(IF(OR(LINEAS!$U$174=1,LINEAS!$U$174=3),1,-1)*LINEAS!$AI$174*DATOS!$C$67)&lt;0.00005),"*",LINEAS!$D$174&amp;" UNI "&amp;IF(LINEAS!$U$174&lt;=2,"GZ","GX")&amp;" "&amp;TEXT(IF(OR(LINEAS!$U$174=1,LINEAS!$U$174=3),1,-1)*LINEAS!$AI$174*DATOS!$C$67,DATOS!$C$68))</f>
        <v>*</v>
      </c>
      <c r="C1684" s="42" t="str">
        <f t="shared" si="52"/>
        <v/>
      </c>
      <c r="D1684" s="44" t="str">
        <f>IF(PRESIONES!$C$22="NO","",IF(OR(LINEAS!$D$174="",LINEAS!$U$174=0,ABS(IF(OR(LINEAS!$U$174=1,LINEAS!$U$174=3),1,-1)*LINEAS!$AI$174*DATOS!$C$67)&lt;0.00005),"*",LINEAS!$D$174&amp;" UNI "&amp;IF(LINEAS!$U$174&lt;=2,"GZ","GX")&amp;" "&amp;TEXT(IF(OR(LINEAS!$U$174=1,LINEAS!$U$174=3),1,-1)*LINEAS!$AI$174*DATOS!$C$67,DATOS!$C$68)))</f>
        <v/>
      </c>
      <c r="E1684" s="42" t="str">
        <f t="shared" si="53"/>
        <v/>
      </c>
    </row>
    <row r="1685" spans="2:5" ht="15" customHeight="1" x14ac:dyDescent="0.3">
      <c r="B1685" s="44" t="str">
        <f>IF(OR(LINEAS!$D$175="",LINEAS!$U$175=0,ABS(IF(OR(LINEAS!$U$175=1,LINEAS!$U$175=3),1,-1)*LINEAS!$AI$175*DATOS!$C$67)&lt;0.00005),"*",LINEAS!$D$175&amp;" UNI "&amp;IF(LINEAS!$U$175&lt;=2,"GZ","GX")&amp;" "&amp;TEXT(IF(OR(LINEAS!$U$175=1,LINEAS!$U$175=3),1,-1)*LINEAS!$AI$175*DATOS!$C$67,DATOS!$C$68))</f>
        <v>*</v>
      </c>
      <c r="C1685" s="42" t="str">
        <f t="shared" si="52"/>
        <v/>
      </c>
      <c r="D1685" s="44" t="str">
        <f>IF(PRESIONES!$C$22="NO","",IF(OR(LINEAS!$D$175="",LINEAS!$U$175=0,ABS(IF(OR(LINEAS!$U$175=1,LINEAS!$U$175=3),1,-1)*LINEAS!$AI$175*DATOS!$C$67)&lt;0.00005),"*",LINEAS!$D$175&amp;" UNI "&amp;IF(LINEAS!$U$175&lt;=2,"GZ","GX")&amp;" "&amp;TEXT(IF(OR(LINEAS!$U$175=1,LINEAS!$U$175=3),1,-1)*LINEAS!$AI$175*DATOS!$C$67,DATOS!$C$68)))</f>
        <v/>
      </c>
      <c r="E1685" s="42" t="str">
        <f t="shared" si="53"/>
        <v/>
      </c>
    </row>
    <row r="1686" spans="2:5" ht="15" customHeight="1" x14ac:dyDescent="0.3">
      <c r="B1686" s="44" t="str">
        <f>IF(OR(LINEAS!$D$176="",LINEAS!$U$176=0,ABS(IF(OR(LINEAS!$U$176=1,LINEAS!$U$176=3),1,-1)*LINEAS!$AI$176*DATOS!$C$67)&lt;0.00005),"*",LINEAS!$D$176&amp;" UNI "&amp;IF(LINEAS!$U$176&lt;=2,"GZ","GX")&amp;" "&amp;TEXT(IF(OR(LINEAS!$U$176=1,LINEAS!$U$176=3),1,-1)*LINEAS!$AI$176*DATOS!$C$67,DATOS!$C$68))</f>
        <v>*</v>
      </c>
      <c r="C1686" s="42" t="str">
        <f t="shared" si="52"/>
        <v/>
      </c>
      <c r="D1686" s="44" t="str">
        <f>IF(PRESIONES!$C$22="NO","",IF(OR(LINEAS!$D$176="",LINEAS!$U$176=0,ABS(IF(OR(LINEAS!$U$176=1,LINEAS!$U$176=3),1,-1)*LINEAS!$AI$176*DATOS!$C$67)&lt;0.00005),"*",LINEAS!$D$176&amp;" UNI "&amp;IF(LINEAS!$U$176&lt;=2,"GZ","GX")&amp;" "&amp;TEXT(IF(OR(LINEAS!$U$176=1,LINEAS!$U$176=3),1,-1)*LINEAS!$AI$176*DATOS!$C$67,DATOS!$C$68)))</f>
        <v/>
      </c>
      <c r="E1686" s="42" t="str">
        <f t="shared" si="53"/>
        <v/>
      </c>
    </row>
    <row r="1687" spans="2:5" ht="15" customHeight="1" x14ac:dyDescent="0.3">
      <c r="B1687" s="44" t="str">
        <f>IF(OR(LINEAS!$D$177="",LINEAS!$U$177=0,ABS(IF(OR(LINEAS!$U$177=1,LINEAS!$U$177=3),1,-1)*LINEAS!$AI$177*DATOS!$C$67)&lt;0.00005),"*",LINEAS!$D$177&amp;" UNI "&amp;IF(LINEAS!$U$177&lt;=2,"GZ","GX")&amp;" "&amp;TEXT(IF(OR(LINEAS!$U$177=1,LINEAS!$U$177=3),1,-1)*LINEAS!$AI$177*DATOS!$C$67,DATOS!$C$68))</f>
        <v>*</v>
      </c>
      <c r="C1687" s="42" t="str">
        <f t="shared" si="52"/>
        <v/>
      </c>
      <c r="D1687" s="44" t="str">
        <f>IF(PRESIONES!$C$22="NO","",IF(OR(LINEAS!$D$177="",LINEAS!$U$177=0,ABS(IF(OR(LINEAS!$U$177=1,LINEAS!$U$177=3),1,-1)*LINEAS!$AI$177*DATOS!$C$67)&lt;0.00005),"*",LINEAS!$D$177&amp;" UNI "&amp;IF(LINEAS!$U$177&lt;=2,"GZ","GX")&amp;" "&amp;TEXT(IF(OR(LINEAS!$U$177=1,LINEAS!$U$177=3),1,-1)*LINEAS!$AI$177*DATOS!$C$67,DATOS!$C$68)))</f>
        <v/>
      </c>
      <c r="E1687" s="42" t="str">
        <f t="shared" si="53"/>
        <v/>
      </c>
    </row>
    <row r="1688" spans="2:5" ht="15" customHeight="1" x14ac:dyDescent="0.3">
      <c r="B1688" s="44" t="str">
        <f>IF(OR(LINEAS!$D$178="",LINEAS!$U$178=0,ABS(IF(OR(LINEAS!$U$178=1,LINEAS!$U$178=3),1,-1)*LINEAS!$AI$178*DATOS!$C$67)&lt;0.00005),"*",LINEAS!$D$178&amp;" UNI "&amp;IF(LINEAS!$U$178&lt;=2,"GZ","GX")&amp;" "&amp;TEXT(IF(OR(LINEAS!$U$178=1,LINEAS!$U$178=3),1,-1)*LINEAS!$AI$178*DATOS!$C$67,DATOS!$C$68))</f>
        <v>*</v>
      </c>
      <c r="C1688" s="42" t="str">
        <f t="shared" si="52"/>
        <v/>
      </c>
      <c r="D1688" s="44" t="str">
        <f>IF(PRESIONES!$C$22="NO","",IF(OR(LINEAS!$D$178="",LINEAS!$U$178=0,ABS(IF(OR(LINEAS!$U$178=1,LINEAS!$U$178=3),1,-1)*LINEAS!$AI$178*DATOS!$C$67)&lt;0.00005),"*",LINEAS!$D$178&amp;" UNI "&amp;IF(LINEAS!$U$178&lt;=2,"GZ","GX")&amp;" "&amp;TEXT(IF(OR(LINEAS!$U$178=1,LINEAS!$U$178=3),1,-1)*LINEAS!$AI$178*DATOS!$C$67,DATOS!$C$68)))</f>
        <v/>
      </c>
      <c r="E1688" s="42" t="str">
        <f t="shared" si="53"/>
        <v/>
      </c>
    </row>
    <row r="1689" spans="2:5" ht="15" customHeight="1" x14ac:dyDescent="0.3">
      <c r="B1689" s="44" t="str">
        <f>IF(OR(LINEAS!$D$179="",LINEAS!$U$179=0,ABS(IF(OR(LINEAS!$U$179=1,LINEAS!$U$179=3),1,-1)*LINEAS!$AI$179*DATOS!$C$67)&lt;0.00005),"*",LINEAS!$D$179&amp;" UNI "&amp;IF(LINEAS!$U$179&lt;=2,"GZ","GX")&amp;" "&amp;TEXT(IF(OR(LINEAS!$U$179=1,LINEAS!$U$179=3),1,-1)*LINEAS!$AI$179*DATOS!$C$67,DATOS!$C$68))</f>
        <v>*</v>
      </c>
      <c r="C1689" s="42" t="str">
        <f t="shared" si="52"/>
        <v/>
      </c>
      <c r="D1689" s="44" t="str">
        <f>IF(PRESIONES!$C$22="NO","",IF(OR(LINEAS!$D$179="",LINEAS!$U$179=0,ABS(IF(OR(LINEAS!$U$179=1,LINEAS!$U$179=3),1,-1)*LINEAS!$AI$179*DATOS!$C$67)&lt;0.00005),"*",LINEAS!$D$179&amp;" UNI "&amp;IF(LINEAS!$U$179&lt;=2,"GZ","GX")&amp;" "&amp;TEXT(IF(OR(LINEAS!$U$179=1,LINEAS!$U$179=3),1,-1)*LINEAS!$AI$179*DATOS!$C$67,DATOS!$C$68)))</f>
        <v/>
      </c>
      <c r="E1689" s="42" t="str">
        <f t="shared" si="53"/>
        <v/>
      </c>
    </row>
    <row r="1690" spans="2:5" ht="15" customHeight="1" x14ac:dyDescent="0.3">
      <c r="B1690" s="44" t="str">
        <f>IF(OR(LINEAS!$D$180="",LINEAS!$U$180=0,ABS(IF(OR(LINEAS!$U$180=1,LINEAS!$U$180=3),1,-1)*LINEAS!$AI$180*DATOS!$C$67)&lt;0.00005),"*",LINEAS!$D$180&amp;" UNI "&amp;IF(LINEAS!$U$180&lt;=2,"GZ","GX")&amp;" "&amp;TEXT(IF(OR(LINEAS!$U$180=1,LINEAS!$U$180=3),1,-1)*LINEAS!$AI$180*DATOS!$C$67,DATOS!$C$68))</f>
        <v>*</v>
      </c>
      <c r="C1690" s="42" t="str">
        <f t="shared" si="52"/>
        <v/>
      </c>
      <c r="D1690" s="44" t="str">
        <f>IF(PRESIONES!$C$22="NO","",IF(OR(LINEAS!$D$180="",LINEAS!$U$180=0,ABS(IF(OR(LINEAS!$U$180=1,LINEAS!$U$180=3),1,-1)*LINEAS!$AI$180*DATOS!$C$67)&lt;0.00005),"*",LINEAS!$D$180&amp;" UNI "&amp;IF(LINEAS!$U$180&lt;=2,"GZ","GX")&amp;" "&amp;TEXT(IF(OR(LINEAS!$U$180=1,LINEAS!$U$180=3),1,-1)*LINEAS!$AI$180*DATOS!$C$67,DATOS!$C$68)))</f>
        <v/>
      </c>
      <c r="E1690" s="42" t="str">
        <f t="shared" si="53"/>
        <v/>
      </c>
    </row>
    <row r="1691" spans="2:5" ht="15" customHeight="1" x14ac:dyDescent="0.3">
      <c r="B1691" s="44" t="str">
        <f>IF(OR(LINEAS!$D$181="",LINEAS!$U$181=0,ABS(IF(OR(LINEAS!$U$181=1,LINEAS!$U$181=3),1,-1)*LINEAS!$AI$181*DATOS!$C$67)&lt;0.00005),"*",LINEAS!$D$181&amp;" UNI "&amp;IF(LINEAS!$U$181&lt;=2,"GZ","GX")&amp;" "&amp;TEXT(IF(OR(LINEAS!$U$181=1,LINEAS!$U$181=3),1,-1)*LINEAS!$AI$181*DATOS!$C$67,DATOS!$C$68))</f>
        <v>*</v>
      </c>
      <c r="C1691" s="42" t="str">
        <f t="shared" si="52"/>
        <v/>
      </c>
      <c r="D1691" s="44" t="str">
        <f>IF(PRESIONES!$C$22="NO","",IF(OR(LINEAS!$D$181="",LINEAS!$U$181=0,ABS(IF(OR(LINEAS!$U$181=1,LINEAS!$U$181=3),1,-1)*LINEAS!$AI$181*DATOS!$C$67)&lt;0.00005),"*",LINEAS!$D$181&amp;" UNI "&amp;IF(LINEAS!$U$181&lt;=2,"GZ","GX")&amp;" "&amp;TEXT(IF(OR(LINEAS!$U$181=1,LINEAS!$U$181=3),1,-1)*LINEAS!$AI$181*DATOS!$C$67,DATOS!$C$68)))</f>
        <v/>
      </c>
      <c r="E1691" s="42" t="str">
        <f t="shared" si="53"/>
        <v/>
      </c>
    </row>
    <row r="1692" spans="2:5" ht="15" customHeight="1" x14ac:dyDescent="0.3">
      <c r="B1692" s="44" t="str">
        <f>IF(OR(LINEAS!$D$182="",LINEAS!$U$182=0,ABS(IF(OR(LINEAS!$U$182=1,LINEAS!$U$182=3),1,-1)*LINEAS!$AI$182*DATOS!$C$67)&lt;0.00005),"*",LINEAS!$D$182&amp;" UNI "&amp;IF(LINEAS!$U$182&lt;=2,"GZ","GX")&amp;" "&amp;TEXT(IF(OR(LINEAS!$U$182=1,LINEAS!$U$182=3),1,-1)*LINEAS!$AI$182*DATOS!$C$67,DATOS!$C$68))</f>
        <v>*</v>
      </c>
      <c r="C1692" s="42" t="str">
        <f t="shared" si="52"/>
        <v/>
      </c>
      <c r="D1692" s="44" t="str">
        <f>IF(PRESIONES!$C$22="NO","",IF(OR(LINEAS!$D$182="",LINEAS!$U$182=0,ABS(IF(OR(LINEAS!$U$182=1,LINEAS!$U$182=3),1,-1)*LINEAS!$AI$182*DATOS!$C$67)&lt;0.00005),"*",LINEAS!$D$182&amp;" UNI "&amp;IF(LINEAS!$U$182&lt;=2,"GZ","GX")&amp;" "&amp;TEXT(IF(OR(LINEAS!$U$182=1,LINEAS!$U$182=3),1,-1)*LINEAS!$AI$182*DATOS!$C$67,DATOS!$C$68)))</f>
        <v/>
      </c>
      <c r="E1692" s="42" t="str">
        <f t="shared" si="53"/>
        <v/>
      </c>
    </row>
    <row r="1693" spans="2:5" ht="15" customHeight="1" x14ac:dyDescent="0.3">
      <c r="B1693" s="44" t="str">
        <f>IF(OR(LINEAS!$D$183="",LINEAS!$U$183=0,ABS(IF(OR(LINEAS!$U$183=1,LINEAS!$U$183=3),1,-1)*LINEAS!$AI$183*DATOS!$C$67)&lt;0.00005),"*",LINEAS!$D$183&amp;" UNI "&amp;IF(LINEAS!$U$183&lt;=2,"GZ","GX")&amp;" "&amp;TEXT(IF(OR(LINEAS!$U$183=1,LINEAS!$U$183=3),1,-1)*LINEAS!$AI$183*DATOS!$C$67,DATOS!$C$68))</f>
        <v>*</v>
      </c>
      <c r="C1693" s="42" t="str">
        <f t="shared" si="52"/>
        <v/>
      </c>
      <c r="D1693" s="44" t="str">
        <f>IF(PRESIONES!$C$22="NO","",IF(OR(LINEAS!$D$183="",LINEAS!$U$183=0,ABS(IF(OR(LINEAS!$U$183=1,LINEAS!$U$183=3),1,-1)*LINEAS!$AI$183*DATOS!$C$67)&lt;0.00005),"*",LINEAS!$D$183&amp;" UNI "&amp;IF(LINEAS!$U$183&lt;=2,"GZ","GX")&amp;" "&amp;TEXT(IF(OR(LINEAS!$U$183=1,LINEAS!$U$183=3),1,-1)*LINEAS!$AI$183*DATOS!$C$67,DATOS!$C$68)))</f>
        <v/>
      </c>
      <c r="E1693" s="42" t="str">
        <f t="shared" si="53"/>
        <v/>
      </c>
    </row>
    <row r="1694" spans="2:5" ht="15" customHeight="1" x14ac:dyDescent="0.3">
      <c r="B1694" s="44" t="str">
        <f>IF(OR(LINEAS!$D$184="",LINEAS!$U$184=0,ABS(IF(OR(LINEAS!$U$184=1,LINEAS!$U$184=3),1,-1)*LINEAS!$AI$184*DATOS!$C$67)&lt;0.00005),"*",LINEAS!$D$184&amp;" UNI "&amp;IF(LINEAS!$U$184&lt;=2,"GZ","GX")&amp;" "&amp;TEXT(IF(OR(LINEAS!$U$184=1,LINEAS!$U$184=3),1,-1)*LINEAS!$AI$184*DATOS!$C$67,DATOS!$C$68))</f>
        <v>*</v>
      </c>
      <c r="C1694" s="42" t="str">
        <f t="shared" si="52"/>
        <v/>
      </c>
      <c r="D1694" s="44" t="str">
        <f>IF(PRESIONES!$C$22="NO","",IF(OR(LINEAS!$D$184="",LINEAS!$U$184=0,ABS(IF(OR(LINEAS!$U$184=1,LINEAS!$U$184=3),1,-1)*LINEAS!$AI$184*DATOS!$C$67)&lt;0.00005),"*",LINEAS!$D$184&amp;" UNI "&amp;IF(LINEAS!$U$184&lt;=2,"GZ","GX")&amp;" "&amp;TEXT(IF(OR(LINEAS!$U$184=1,LINEAS!$U$184=3),1,-1)*LINEAS!$AI$184*DATOS!$C$67,DATOS!$C$68)))</f>
        <v/>
      </c>
      <c r="E1694" s="42" t="str">
        <f t="shared" si="53"/>
        <v/>
      </c>
    </row>
    <row r="1695" spans="2:5" ht="15" customHeight="1" x14ac:dyDescent="0.3">
      <c r="B1695" s="44" t="str">
        <f>IF(OR(LINEAS!$D$185="",LINEAS!$U$185=0,ABS(IF(OR(LINEAS!$U$185=1,LINEAS!$U$185=3),1,-1)*LINEAS!$AI$185*DATOS!$C$67)&lt;0.00005),"*",LINEAS!$D$185&amp;" UNI "&amp;IF(LINEAS!$U$185&lt;=2,"GZ","GX")&amp;" "&amp;TEXT(IF(OR(LINEAS!$U$185=1,LINEAS!$U$185=3),1,-1)*LINEAS!$AI$185*DATOS!$C$67,DATOS!$C$68))</f>
        <v>*</v>
      </c>
      <c r="C1695" s="42" t="str">
        <f t="shared" si="52"/>
        <v/>
      </c>
      <c r="D1695" s="44" t="str">
        <f>IF(PRESIONES!$C$22="NO","",IF(OR(LINEAS!$D$185="",LINEAS!$U$185=0,ABS(IF(OR(LINEAS!$U$185=1,LINEAS!$U$185=3),1,-1)*LINEAS!$AI$185*DATOS!$C$67)&lt;0.00005),"*",LINEAS!$D$185&amp;" UNI "&amp;IF(LINEAS!$U$185&lt;=2,"GZ","GX")&amp;" "&amp;TEXT(IF(OR(LINEAS!$U$185=1,LINEAS!$U$185=3),1,-1)*LINEAS!$AI$185*DATOS!$C$67,DATOS!$C$68)))</f>
        <v/>
      </c>
      <c r="E1695" s="42" t="str">
        <f t="shared" si="53"/>
        <v/>
      </c>
    </row>
    <row r="1696" spans="2:5" ht="15" customHeight="1" x14ac:dyDescent="0.3">
      <c r="B1696" s="44" t="str">
        <f>IF(OR(LINEAS!$D$186="",LINEAS!$U$186=0,ABS(IF(OR(LINEAS!$U$186=1,LINEAS!$U$186=3),1,-1)*LINEAS!$AI$186*DATOS!$C$67)&lt;0.00005),"*",LINEAS!$D$186&amp;" UNI "&amp;IF(LINEAS!$U$186&lt;=2,"GZ","GX")&amp;" "&amp;TEXT(IF(OR(LINEAS!$U$186=1,LINEAS!$U$186=3),1,-1)*LINEAS!$AI$186*DATOS!$C$67,DATOS!$C$68))</f>
        <v>*</v>
      </c>
      <c r="C1696" s="42" t="str">
        <f t="shared" si="52"/>
        <v/>
      </c>
      <c r="D1696" s="44" t="str">
        <f>IF(PRESIONES!$C$22="NO","",IF(OR(LINEAS!$D$186="",LINEAS!$U$186=0,ABS(IF(OR(LINEAS!$U$186=1,LINEAS!$U$186=3),1,-1)*LINEAS!$AI$186*DATOS!$C$67)&lt;0.00005),"*",LINEAS!$D$186&amp;" UNI "&amp;IF(LINEAS!$U$186&lt;=2,"GZ","GX")&amp;" "&amp;TEXT(IF(OR(LINEAS!$U$186=1,LINEAS!$U$186=3),1,-1)*LINEAS!$AI$186*DATOS!$C$67,DATOS!$C$68)))</f>
        <v/>
      </c>
      <c r="E1696" s="42" t="str">
        <f t="shared" si="53"/>
        <v/>
      </c>
    </row>
    <row r="1697" spans="2:5" ht="15" customHeight="1" x14ac:dyDescent="0.3">
      <c r="B1697" s="44" t="str">
        <f>IF(OR(LINEAS!$D$187="",LINEAS!$U$187=0,ABS(IF(OR(LINEAS!$U$187=1,LINEAS!$U$187=3),1,-1)*LINEAS!$AI$187*DATOS!$C$67)&lt;0.00005),"*",LINEAS!$D$187&amp;" UNI "&amp;IF(LINEAS!$U$187&lt;=2,"GZ","GX")&amp;" "&amp;TEXT(IF(OR(LINEAS!$U$187=1,LINEAS!$U$187=3),1,-1)*LINEAS!$AI$187*DATOS!$C$67,DATOS!$C$68))</f>
        <v>*</v>
      </c>
      <c r="C1697" s="42" t="str">
        <f t="shared" si="52"/>
        <v/>
      </c>
      <c r="D1697" s="44" t="str">
        <f>IF(PRESIONES!$C$22="NO","",IF(OR(LINEAS!$D$187="",LINEAS!$U$187=0,ABS(IF(OR(LINEAS!$U$187=1,LINEAS!$U$187=3),1,-1)*LINEAS!$AI$187*DATOS!$C$67)&lt;0.00005),"*",LINEAS!$D$187&amp;" UNI "&amp;IF(LINEAS!$U$187&lt;=2,"GZ","GX")&amp;" "&amp;TEXT(IF(OR(LINEAS!$U$187=1,LINEAS!$U$187=3),1,-1)*LINEAS!$AI$187*DATOS!$C$67,DATOS!$C$68)))</f>
        <v/>
      </c>
      <c r="E1697" s="42" t="str">
        <f t="shared" si="53"/>
        <v/>
      </c>
    </row>
    <row r="1698" spans="2:5" ht="15" customHeight="1" x14ac:dyDescent="0.3">
      <c r="B1698" s="44" t="str">
        <f>IF(OR(LINEAS!$D$188="",LINEAS!$U$188=0,ABS(IF(OR(LINEAS!$U$188=1,LINEAS!$U$188=3),1,-1)*LINEAS!$AI$188*DATOS!$C$67)&lt;0.00005),"*",LINEAS!$D$188&amp;" UNI "&amp;IF(LINEAS!$U$188&lt;=2,"GZ","GX")&amp;" "&amp;TEXT(IF(OR(LINEAS!$U$188=1,LINEAS!$U$188=3),1,-1)*LINEAS!$AI$188*DATOS!$C$67,DATOS!$C$68))</f>
        <v>*</v>
      </c>
      <c r="C1698" s="42" t="str">
        <f t="shared" si="52"/>
        <v/>
      </c>
      <c r="D1698" s="44" t="str">
        <f>IF(PRESIONES!$C$22="NO","",IF(OR(LINEAS!$D$188="",LINEAS!$U$188=0,ABS(IF(OR(LINEAS!$U$188=1,LINEAS!$U$188=3),1,-1)*LINEAS!$AI$188*DATOS!$C$67)&lt;0.00005),"*",LINEAS!$D$188&amp;" UNI "&amp;IF(LINEAS!$U$188&lt;=2,"GZ","GX")&amp;" "&amp;TEXT(IF(OR(LINEAS!$U$188=1,LINEAS!$U$188=3),1,-1)*LINEAS!$AI$188*DATOS!$C$67,DATOS!$C$68)))</f>
        <v/>
      </c>
      <c r="E1698" s="42" t="str">
        <f t="shared" si="53"/>
        <v/>
      </c>
    </row>
    <row r="1699" spans="2:5" ht="15" customHeight="1" x14ac:dyDescent="0.3">
      <c r="B1699" s="44" t="str">
        <f>IF(OR(LINEAS!$D$189="",LINEAS!$U$189=0,ABS(IF(OR(LINEAS!$U$189=1,LINEAS!$U$189=3),1,-1)*LINEAS!$AI$189*DATOS!$C$67)&lt;0.00005),"*",LINEAS!$D$189&amp;" UNI "&amp;IF(LINEAS!$U$189&lt;=2,"GZ","GX")&amp;" "&amp;TEXT(IF(OR(LINEAS!$U$189=1,LINEAS!$U$189=3),1,-1)*LINEAS!$AI$189*DATOS!$C$67,DATOS!$C$68))</f>
        <v>*</v>
      </c>
      <c r="C1699" s="42" t="str">
        <f t="shared" si="52"/>
        <v/>
      </c>
      <c r="D1699" s="44" t="str">
        <f>IF(PRESIONES!$C$22="NO","",IF(OR(LINEAS!$D$189="",LINEAS!$U$189=0,ABS(IF(OR(LINEAS!$U$189=1,LINEAS!$U$189=3),1,-1)*LINEAS!$AI$189*DATOS!$C$67)&lt;0.00005),"*",LINEAS!$D$189&amp;" UNI "&amp;IF(LINEAS!$U$189&lt;=2,"GZ","GX")&amp;" "&amp;TEXT(IF(OR(LINEAS!$U$189=1,LINEAS!$U$189=3),1,-1)*LINEAS!$AI$189*DATOS!$C$67,DATOS!$C$68)))</f>
        <v/>
      </c>
      <c r="E1699" s="42" t="str">
        <f t="shared" si="53"/>
        <v/>
      </c>
    </row>
    <row r="1700" spans="2:5" ht="15" customHeight="1" x14ac:dyDescent="0.3">
      <c r="B1700" s="44" t="str">
        <f>IF(OR(LINEAS!$D$190="",LINEAS!$U$190=0,ABS(IF(OR(LINEAS!$U$190=1,LINEAS!$U$190=3),1,-1)*LINEAS!$AI$190*DATOS!$C$67)&lt;0.00005),"*",LINEAS!$D$190&amp;" UNI "&amp;IF(LINEAS!$U$190&lt;=2,"GZ","GX")&amp;" "&amp;TEXT(IF(OR(LINEAS!$U$190=1,LINEAS!$U$190=3),1,-1)*LINEAS!$AI$190*DATOS!$C$67,DATOS!$C$68))</f>
        <v>*</v>
      </c>
      <c r="C1700" s="42" t="str">
        <f t="shared" si="52"/>
        <v/>
      </c>
      <c r="D1700" s="44" t="str">
        <f>IF(PRESIONES!$C$22="NO","",IF(OR(LINEAS!$D$190="",LINEAS!$U$190=0,ABS(IF(OR(LINEAS!$U$190=1,LINEAS!$U$190=3),1,-1)*LINEAS!$AI$190*DATOS!$C$67)&lt;0.00005),"*",LINEAS!$D$190&amp;" UNI "&amp;IF(LINEAS!$U$190&lt;=2,"GZ","GX")&amp;" "&amp;TEXT(IF(OR(LINEAS!$U$190=1,LINEAS!$U$190=3),1,-1)*LINEAS!$AI$190*DATOS!$C$67,DATOS!$C$68)))</f>
        <v/>
      </c>
      <c r="E1700" s="42" t="str">
        <f t="shared" si="53"/>
        <v/>
      </c>
    </row>
    <row r="1701" spans="2:5" ht="15" customHeight="1" x14ac:dyDescent="0.3">
      <c r="B1701" s="44" t="str">
        <f>IF(OR(LINEAS!$D$191="",LINEAS!$U$191=0,ABS(IF(OR(LINEAS!$U$191=1,LINEAS!$U$191=3),1,-1)*LINEAS!$AI$191*DATOS!$C$67)&lt;0.00005),"*",LINEAS!$D$191&amp;" UNI "&amp;IF(LINEAS!$U$191&lt;=2,"GZ","GX")&amp;" "&amp;TEXT(IF(OR(LINEAS!$U$191=1,LINEAS!$U$191=3),1,-1)*LINEAS!$AI$191*DATOS!$C$67,DATOS!$C$68))</f>
        <v>*</v>
      </c>
      <c r="C1701" s="42" t="str">
        <f t="shared" si="52"/>
        <v/>
      </c>
      <c r="D1701" s="44" t="str">
        <f>IF(PRESIONES!$C$22="NO","",IF(OR(LINEAS!$D$191="",LINEAS!$U$191=0,ABS(IF(OR(LINEAS!$U$191=1,LINEAS!$U$191=3),1,-1)*LINEAS!$AI$191*DATOS!$C$67)&lt;0.00005),"*",LINEAS!$D$191&amp;" UNI "&amp;IF(LINEAS!$U$191&lt;=2,"GZ","GX")&amp;" "&amp;TEXT(IF(OR(LINEAS!$U$191=1,LINEAS!$U$191=3),1,-1)*LINEAS!$AI$191*DATOS!$C$67,DATOS!$C$68)))</f>
        <v/>
      </c>
      <c r="E1701" s="42" t="str">
        <f t="shared" si="53"/>
        <v/>
      </c>
    </row>
    <row r="1702" spans="2:5" ht="15" customHeight="1" x14ac:dyDescent="0.3">
      <c r="B1702" s="44" t="str">
        <f>IF(OR(LINEAS!$D$192="",LINEAS!$U$192=0,ABS(IF(OR(LINEAS!$U$192=1,LINEAS!$U$192=3),1,-1)*LINEAS!$AI$192*DATOS!$C$67)&lt;0.00005),"*",LINEAS!$D$192&amp;" UNI "&amp;IF(LINEAS!$U$192&lt;=2,"GZ","GX")&amp;" "&amp;TEXT(IF(OR(LINEAS!$U$192=1,LINEAS!$U$192=3),1,-1)*LINEAS!$AI$192*DATOS!$C$67,DATOS!$C$68))</f>
        <v>*</v>
      </c>
      <c r="C1702" s="42" t="str">
        <f t="shared" si="52"/>
        <v/>
      </c>
      <c r="D1702" s="44" t="str">
        <f>IF(PRESIONES!$C$22="NO","",IF(OR(LINEAS!$D$192="",LINEAS!$U$192=0,ABS(IF(OR(LINEAS!$U$192=1,LINEAS!$U$192=3),1,-1)*LINEAS!$AI$192*DATOS!$C$67)&lt;0.00005),"*",LINEAS!$D$192&amp;" UNI "&amp;IF(LINEAS!$U$192&lt;=2,"GZ","GX")&amp;" "&amp;TEXT(IF(OR(LINEAS!$U$192=1,LINEAS!$U$192=3),1,-1)*LINEAS!$AI$192*DATOS!$C$67,DATOS!$C$68)))</f>
        <v/>
      </c>
      <c r="E1702" s="42" t="str">
        <f t="shared" si="53"/>
        <v/>
      </c>
    </row>
    <row r="1703" spans="2:5" ht="15" customHeight="1" x14ac:dyDescent="0.3">
      <c r="B1703" s="44" t="str">
        <f>IF(OR(LINEAS!$D$193="",LINEAS!$U$193=0,ABS(IF(OR(LINEAS!$U$193=1,LINEAS!$U$193=3),1,-1)*LINEAS!$AI$193*DATOS!$C$67)&lt;0.00005),"*",LINEAS!$D$193&amp;" UNI "&amp;IF(LINEAS!$U$193&lt;=2,"GZ","GX")&amp;" "&amp;TEXT(IF(OR(LINEAS!$U$193=1,LINEAS!$U$193=3),1,-1)*LINEAS!$AI$193*DATOS!$C$67,DATOS!$C$68))</f>
        <v>*</v>
      </c>
      <c r="C1703" s="42" t="str">
        <f t="shared" si="52"/>
        <v/>
      </c>
      <c r="D1703" s="44" t="str">
        <f>IF(PRESIONES!$C$22="NO","",IF(OR(LINEAS!$D$193="",LINEAS!$U$193=0,ABS(IF(OR(LINEAS!$U$193=1,LINEAS!$U$193=3),1,-1)*LINEAS!$AI$193*DATOS!$C$67)&lt;0.00005),"*",LINEAS!$D$193&amp;" UNI "&amp;IF(LINEAS!$U$193&lt;=2,"GZ","GX")&amp;" "&amp;TEXT(IF(OR(LINEAS!$U$193=1,LINEAS!$U$193=3),1,-1)*LINEAS!$AI$193*DATOS!$C$67,DATOS!$C$68)))</f>
        <v/>
      </c>
      <c r="E1703" s="42" t="str">
        <f t="shared" si="53"/>
        <v/>
      </c>
    </row>
    <row r="1704" spans="2:5" ht="15" customHeight="1" x14ac:dyDescent="0.3">
      <c r="B1704" s="44" t="str">
        <f>IF(OR(LINEAS!$D$194="",LINEAS!$U$194=0,ABS(IF(OR(LINEAS!$U$194=1,LINEAS!$U$194=3),1,-1)*LINEAS!$AI$194*DATOS!$C$67)&lt;0.00005),"*",LINEAS!$D$194&amp;" UNI "&amp;IF(LINEAS!$U$194&lt;=2,"GZ","GX")&amp;" "&amp;TEXT(IF(OR(LINEAS!$U$194=1,LINEAS!$U$194=3),1,-1)*LINEAS!$AI$194*DATOS!$C$67,DATOS!$C$68))</f>
        <v>*</v>
      </c>
      <c r="C1704" s="42" t="str">
        <f t="shared" si="52"/>
        <v/>
      </c>
      <c r="D1704" s="44" t="str">
        <f>IF(PRESIONES!$C$22="NO","",IF(OR(LINEAS!$D$194="",LINEAS!$U$194=0,ABS(IF(OR(LINEAS!$U$194=1,LINEAS!$U$194=3),1,-1)*LINEAS!$AI$194*DATOS!$C$67)&lt;0.00005),"*",LINEAS!$D$194&amp;" UNI "&amp;IF(LINEAS!$U$194&lt;=2,"GZ","GX")&amp;" "&amp;TEXT(IF(OR(LINEAS!$U$194=1,LINEAS!$U$194=3),1,-1)*LINEAS!$AI$194*DATOS!$C$67,DATOS!$C$68)))</f>
        <v/>
      </c>
      <c r="E1704" s="42" t="str">
        <f t="shared" si="53"/>
        <v/>
      </c>
    </row>
    <row r="1705" spans="2:5" ht="21.75" customHeight="1" x14ac:dyDescent="0.3">
      <c r="B1705" s="44" t="s">
        <v>657</v>
      </c>
      <c r="C1705" s="42" t="str">
        <f t="shared" si="52"/>
        <v>MÁS DE 79 CARACTERES</v>
      </c>
      <c r="E1705" s="42" t="str">
        <f t="shared" si="53"/>
        <v/>
      </c>
    </row>
  </sheetData>
  <mergeCells count="15">
    <mergeCell ref="B1:P1"/>
    <mergeCell ref="B2:P2"/>
    <mergeCell ref="B3:P3"/>
    <mergeCell ref="B5:E5"/>
    <mergeCell ref="G5:P5"/>
    <mergeCell ref="B6:E6"/>
    <mergeCell ref="G16:P16"/>
    <mergeCell ref="G17:P17"/>
    <mergeCell ref="G31:P31"/>
    <mergeCell ref="G33:P33"/>
    <mergeCell ref="G34:P34"/>
    <mergeCell ref="G35:P35"/>
    <mergeCell ref="G36:P36"/>
    <mergeCell ref="G37:P37"/>
    <mergeCell ref="G38:P38"/>
  </mergeCells>
  <conditionalFormatting sqref="C9:C1705">
    <cfRule type="expression" dxfId="3" priority="2">
      <formula>$C9&lt;&gt;""</formula>
    </cfRule>
  </conditionalFormatting>
  <conditionalFormatting sqref="E9:E1705">
    <cfRule type="expression" dxfId="2" priority="3">
      <formula>$E9&lt;&gt;""</formula>
    </cfRule>
  </conditionalFormatting>
  <conditionalFormatting sqref="P7:P14">
    <cfRule type="expression" dxfId="1" priority="4">
      <formula>$P7="OK"</formula>
    </cfRule>
    <cfRule type="expression" dxfId="0" priority="5">
      <formula>$P7&lt;&gt;"OK"</formula>
    </cfRule>
  </conditionalFormatting>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7A1F"/>
  </sheetPr>
  <dimension ref="B1:D633"/>
  <sheetViews>
    <sheetView topLeftCell="A2" zoomScaleNormal="100" workbookViewId="0">
      <selection activeCell="C24" sqref="C24"/>
    </sheetView>
  </sheetViews>
  <sheetFormatPr baseColWidth="10" defaultColWidth="8.5546875" defaultRowHeight="14.4" x14ac:dyDescent="0.3"/>
  <cols>
    <col min="1" max="1" width="1.77734375" customWidth="1"/>
    <col min="2" max="2" width="70" customWidth="1"/>
    <col min="3" max="3" width="16" customWidth="1"/>
    <col min="4" max="4" width="64" customWidth="1"/>
  </cols>
  <sheetData>
    <row r="1" spans="2:4" ht="15.75" customHeight="1" x14ac:dyDescent="0.3">
      <c r="B1" s="51" t="s">
        <v>658</v>
      </c>
      <c r="C1" s="51"/>
      <c r="D1" s="51"/>
    </row>
    <row r="2" spans="2:4" ht="75" customHeight="1" x14ac:dyDescent="0.3">
      <c r="B2" s="53" t="s">
        <v>659</v>
      </c>
      <c r="C2" s="53"/>
      <c r="D2" s="53"/>
    </row>
    <row r="3" spans="2:4" ht="30" customHeight="1" x14ac:dyDescent="0.3">
      <c r="B3" s="53" t="s">
        <v>660</v>
      </c>
      <c r="C3" s="53"/>
      <c r="D3" s="53"/>
    </row>
    <row r="5" spans="2:4" ht="15" customHeight="1" x14ac:dyDescent="0.3">
      <c r="B5" s="2" t="s">
        <v>661</v>
      </c>
      <c r="C5" s="2" t="s">
        <v>630</v>
      </c>
      <c r="D5" s="2" t="s">
        <v>662</v>
      </c>
    </row>
    <row r="6" spans="2:4" ht="15" customHeight="1" x14ac:dyDescent="0.3">
      <c r="B6" s="44" t="str">
        <f>STAAD!B9</f>
        <v>LOAD 8 LOADTYPE Wind  TITLE VIENTO X</v>
      </c>
      <c r="C6" s="42" t="str">
        <f t="shared" ref="C6:C69" si="0">IF(LEN($B6)&gt;79,"MÁS DE 79 CARACTERES","")</f>
        <v/>
      </c>
      <c r="D6" s="42" t="s">
        <v>663</v>
      </c>
    </row>
    <row r="7" spans="2:4" ht="15" customHeight="1" x14ac:dyDescent="0.3">
      <c r="B7" s="44" t="s">
        <v>664</v>
      </c>
      <c r="C7" s="42" t="str">
        <f t="shared" si="0"/>
        <v/>
      </c>
      <c r="D7" s="42"/>
    </row>
    <row r="8" spans="2:4" ht="15" customHeight="1" x14ac:dyDescent="0.3">
      <c r="B8" s="44" t="s">
        <v>665</v>
      </c>
      <c r="C8" s="42" t="str">
        <f t="shared" si="0"/>
        <v/>
      </c>
      <c r="D8" s="42"/>
    </row>
    <row r="9" spans="2:4" ht="15" customHeight="1" x14ac:dyDescent="0.3">
      <c r="B9" s="44" t="s">
        <v>666</v>
      </c>
      <c r="C9" s="42" t="str">
        <f t="shared" si="0"/>
        <v/>
      </c>
      <c r="D9" s="42"/>
    </row>
    <row r="10" spans="2:4" ht="15" customHeight="1" x14ac:dyDescent="0.3">
      <c r="B10" s="44" t="str">
        <f>"_MURO3 ONE "&amp;TEXT(PRESIONES!C$45*IF(DATOS!$C$65="CM KG",0.0001,IF(DATOS!$C$65="METER KG",1,0.00980665)),"0.000000")&amp;" GX"</f>
        <v>_MURO3 ONE 0.006282 GX</v>
      </c>
      <c r="C10" s="42" t="str">
        <f t="shared" si="0"/>
        <v/>
      </c>
      <c r="D10" s="42" t="s">
        <v>667</v>
      </c>
    </row>
    <row r="11" spans="2:4" ht="15" customHeight="1" x14ac:dyDescent="0.3">
      <c r="B11" s="44" t="str">
        <f>"_MURO4 ONE "&amp;TEXT(-PRESIONES!C$46*IF(DATOS!$C$65="CM KG",0.0001,IF(DATOS!$C$65="METER KG",1,0.00980665)),"0.000000")&amp;" GX"</f>
        <v>_MURO4 ONE -0.000042 GX</v>
      </c>
      <c r="C11" s="42" t="str">
        <f t="shared" si="0"/>
        <v/>
      </c>
      <c r="D11" s="42" t="s">
        <v>668</v>
      </c>
    </row>
    <row r="12" spans="2:4" ht="15" customHeight="1" x14ac:dyDescent="0.3">
      <c r="B12" s="44" t="str">
        <f>"_MURO1 ONE "&amp;TEXT(PRESIONES!C$43*IF(DATOS!$C$65="CM KG",0.0001,IF(DATOS!$C$65="METER KG",1,0.00980665)),"0.000000")&amp;" GZ"</f>
        <v>_MURO1 ONE -0.000918 GZ</v>
      </c>
      <c r="C12" s="42" t="str">
        <f t="shared" si="0"/>
        <v/>
      </c>
      <c r="D12" s="42" t="s">
        <v>669</v>
      </c>
    </row>
    <row r="13" spans="2:4" ht="15" customHeight="1" x14ac:dyDescent="0.3">
      <c r="B13" s="44" t="s">
        <v>632</v>
      </c>
      <c r="C13" s="42" t="str">
        <f t="shared" si="0"/>
        <v/>
      </c>
      <c r="D13" s="42"/>
    </row>
    <row r="14" spans="2:4" ht="15" customHeight="1" x14ac:dyDescent="0.3">
      <c r="B14" s="44" t="s">
        <v>670</v>
      </c>
      <c r="C14" s="42" t="str">
        <f t="shared" si="0"/>
        <v/>
      </c>
      <c r="D14" s="42"/>
    </row>
    <row r="15" spans="2:4" ht="15" customHeight="1" x14ac:dyDescent="0.3">
      <c r="B15" s="44" t="str">
        <f>STAAD!B11</f>
        <v>22 85 TO 88 UNI GY 0.0659</v>
      </c>
      <c r="C15" s="42" t="str">
        <f t="shared" si="0"/>
        <v/>
      </c>
      <c r="D15" s="42" t="s">
        <v>671</v>
      </c>
    </row>
    <row r="16" spans="2:4" ht="15" customHeight="1" x14ac:dyDescent="0.3">
      <c r="B16" s="44" t="str">
        <f>STAAD!B12</f>
        <v>22 85 TO 88 UNI GZ 0.0033</v>
      </c>
      <c r="C16" s="42" t="str">
        <f t="shared" si="0"/>
        <v/>
      </c>
      <c r="D16" s="42" t="s">
        <v>671</v>
      </c>
    </row>
    <row r="17" spans="2:4" ht="15" customHeight="1" x14ac:dyDescent="0.3">
      <c r="B17" s="44" t="str">
        <f>STAAD!B13</f>
        <v>80 129 TO 132 UNI GY 0.1318</v>
      </c>
      <c r="C17" s="42" t="str">
        <f t="shared" si="0"/>
        <v/>
      </c>
      <c r="D17" s="42" t="s">
        <v>671</v>
      </c>
    </row>
    <row r="18" spans="2:4" ht="15" customHeight="1" x14ac:dyDescent="0.3">
      <c r="B18" s="44" t="str">
        <f>STAAD!B14</f>
        <v>80 129 TO 132 UNI GZ 0.0066</v>
      </c>
      <c r="C18" s="42" t="str">
        <f t="shared" si="0"/>
        <v/>
      </c>
      <c r="D18" s="42" t="s">
        <v>671</v>
      </c>
    </row>
    <row r="19" spans="2:4" ht="15" customHeight="1" x14ac:dyDescent="0.3">
      <c r="B19" s="44" t="str">
        <f>STAAD!B15</f>
        <v>79 125 TO 128 UNI GY 0.1318</v>
      </c>
      <c r="C19" s="42" t="str">
        <f t="shared" si="0"/>
        <v/>
      </c>
      <c r="D19" s="42" t="s">
        <v>671</v>
      </c>
    </row>
    <row r="20" spans="2:4" ht="15" customHeight="1" x14ac:dyDescent="0.3">
      <c r="B20" s="44" t="str">
        <f>STAAD!B16</f>
        <v>79 125 TO 128 UNI GZ 0.0066</v>
      </c>
      <c r="C20" s="42" t="str">
        <f t="shared" si="0"/>
        <v/>
      </c>
      <c r="D20" s="42" t="s">
        <v>671</v>
      </c>
    </row>
    <row r="21" spans="2:4" ht="15" customHeight="1" x14ac:dyDescent="0.3">
      <c r="B21" s="44" t="str">
        <f>STAAD!B17</f>
        <v>78 121 TO 124 UNI GY 0.1318</v>
      </c>
      <c r="C21" s="42" t="str">
        <f t="shared" si="0"/>
        <v/>
      </c>
      <c r="D21" s="42" t="s">
        <v>671</v>
      </c>
    </row>
    <row r="22" spans="2:4" ht="15" customHeight="1" x14ac:dyDescent="0.3">
      <c r="B22" s="44" t="str">
        <f>STAAD!B18</f>
        <v>78 121 TO 124 UNI GZ 0.0066</v>
      </c>
      <c r="C22" s="42" t="str">
        <f t="shared" si="0"/>
        <v/>
      </c>
      <c r="D22" s="42" t="s">
        <v>671</v>
      </c>
    </row>
    <row r="23" spans="2:4" ht="15" customHeight="1" x14ac:dyDescent="0.3">
      <c r="B23" s="44" t="str">
        <f>STAAD!B19</f>
        <v>77 117 TO 120 UNI GY 0.1318</v>
      </c>
      <c r="C23" s="42" t="str">
        <f t="shared" si="0"/>
        <v/>
      </c>
      <c r="D23" s="42" t="s">
        <v>671</v>
      </c>
    </row>
    <row r="24" spans="2:4" ht="15" customHeight="1" x14ac:dyDescent="0.3">
      <c r="B24" s="44" t="str">
        <f>STAAD!B20</f>
        <v>77 117 TO 120 UNI GZ 0.0066</v>
      </c>
      <c r="C24" s="42" t="str">
        <f t="shared" si="0"/>
        <v/>
      </c>
      <c r="D24" s="42" t="s">
        <v>671</v>
      </c>
    </row>
    <row r="25" spans="2:4" ht="15" customHeight="1" x14ac:dyDescent="0.3">
      <c r="B25" s="44" t="str">
        <f>STAAD!B21</f>
        <v>9 93 TO 96 UNI GY 0.1318</v>
      </c>
      <c r="C25" s="42" t="str">
        <f t="shared" si="0"/>
        <v/>
      </c>
      <c r="D25" s="42" t="s">
        <v>671</v>
      </c>
    </row>
    <row r="26" spans="2:4" ht="15" customHeight="1" x14ac:dyDescent="0.3">
      <c r="B26" s="44" t="str">
        <f>STAAD!B22</f>
        <v>9 93 TO 96 UNI GZ 0.0066</v>
      </c>
      <c r="C26" s="42" t="str">
        <f t="shared" si="0"/>
        <v/>
      </c>
      <c r="D26" s="42" t="s">
        <v>671</v>
      </c>
    </row>
    <row r="27" spans="2:4" ht="15" customHeight="1" x14ac:dyDescent="0.3">
      <c r="B27" s="44" t="str">
        <f>STAAD!B23</f>
        <v>76 113 TO 116 UNI GY 0.1318</v>
      </c>
      <c r="C27" s="42" t="str">
        <f t="shared" si="0"/>
        <v/>
      </c>
      <c r="D27" s="42" t="s">
        <v>671</v>
      </c>
    </row>
    <row r="28" spans="2:4" ht="15" customHeight="1" x14ac:dyDescent="0.3">
      <c r="B28" s="44" t="str">
        <f>STAAD!B24</f>
        <v>76 113 TO 116 UNI GZ 0.0066</v>
      </c>
      <c r="C28" s="42" t="str">
        <f t="shared" si="0"/>
        <v/>
      </c>
      <c r="D28" s="42" t="s">
        <v>671</v>
      </c>
    </row>
    <row r="29" spans="2:4" ht="15" customHeight="1" x14ac:dyDescent="0.3">
      <c r="B29" s="44" t="str">
        <f>STAAD!B25</f>
        <v>75 109 TO 112 UNI GY 0.1318</v>
      </c>
      <c r="C29" s="42" t="str">
        <f t="shared" si="0"/>
        <v/>
      </c>
      <c r="D29" s="42" t="s">
        <v>671</v>
      </c>
    </row>
    <row r="30" spans="2:4" ht="15" customHeight="1" x14ac:dyDescent="0.3">
      <c r="B30" s="44" t="str">
        <f>STAAD!B26</f>
        <v>75 109 TO 112 UNI GZ 0.0066</v>
      </c>
      <c r="C30" s="42" t="str">
        <f t="shared" si="0"/>
        <v/>
      </c>
      <c r="D30" s="42" t="s">
        <v>671</v>
      </c>
    </row>
    <row r="31" spans="2:4" ht="15" customHeight="1" x14ac:dyDescent="0.3">
      <c r="B31" s="44" t="str">
        <f>STAAD!B27</f>
        <v>74 105 TO 108 UNI GY 0.1318</v>
      </c>
      <c r="C31" s="42" t="str">
        <f t="shared" si="0"/>
        <v/>
      </c>
      <c r="D31" s="42" t="s">
        <v>671</v>
      </c>
    </row>
    <row r="32" spans="2:4" ht="15" customHeight="1" x14ac:dyDescent="0.3">
      <c r="B32" s="44" t="str">
        <f>STAAD!B28</f>
        <v>74 105 TO 108 UNI GZ 0.0066</v>
      </c>
      <c r="C32" s="42" t="str">
        <f t="shared" si="0"/>
        <v/>
      </c>
      <c r="D32" s="42" t="s">
        <v>671</v>
      </c>
    </row>
    <row r="33" spans="2:4" ht="15" customHeight="1" x14ac:dyDescent="0.3">
      <c r="B33" s="44" t="str">
        <f>STAAD!B29</f>
        <v>73 101 TO 104 UNI GY 0.1318</v>
      </c>
      <c r="C33" s="42" t="str">
        <f t="shared" si="0"/>
        <v/>
      </c>
      <c r="D33" s="42" t="s">
        <v>671</v>
      </c>
    </row>
    <row r="34" spans="2:4" ht="15" customHeight="1" x14ac:dyDescent="0.3">
      <c r="B34" s="44" t="str">
        <f>STAAD!B30</f>
        <v>73 101 TO 104 UNI GZ 0.0066</v>
      </c>
      <c r="C34" s="42" t="str">
        <f t="shared" si="0"/>
        <v/>
      </c>
      <c r="D34" s="42" t="s">
        <v>671</v>
      </c>
    </row>
    <row r="35" spans="2:4" ht="15" customHeight="1" x14ac:dyDescent="0.3">
      <c r="B35" s="44" t="str">
        <f>STAAD!B31</f>
        <v>8 89 TO 92 UNI GY 0.1270</v>
      </c>
      <c r="C35" s="42" t="str">
        <f t="shared" si="0"/>
        <v/>
      </c>
      <c r="D35" s="42" t="s">
        <v>671</v>
      </c>
    </row>
    <row r="36" spans="2:4" ht="15" customHeight="1" x14ac:dyDescent="0.3">
      <c r="B36" s="44" t="str">
        <f>STAAD!B32</f>
        <v>8 89 TO 92 UNI GZ 0.0063</v>
      </c>
      <c r="C36" s="42" t="str">
        <f t="shared" si="0"/>
        <v/>
      </c>
      <c r="D36" s="42" t="s">
        <v>671</v>
      </c>
    </row>
    <row r="37" spans="2:4" ht="15" customHeight="1" x14ac:dyDescent="0.3">
      <c r="B37" s="44" t="str">
        <f>STAAD!B33</f>
        <v>56 97 TO 100 UNI GY 0.1221</v>
      </c>
      <c r="C37" s="42" t="str">
        <f t="shared" si="0"/>
        <v/>
      </c>
      <c r="D37" s="42" t="s">
        <v>671</v>
      </c>
    </row>
    <row r="38" spans="2:4" ht="15" customHeight="1" x14ac:dyDescent="0.3">
      <c r="B38" s="44" t="str">
        <f>STAAD!B34</f>
        <v>56 97 TO 100 UNI GZ 0.0061</v>
      </c>
      <c r="C38" s="42" t="str">
        <f t="shared" si="0"/>
        <v/>
      </c>
      <c r="D38" s="42" t="s">
        <v>671</v>
      </c>
    </row>
    <row r="39" spans="2:4" ht="15" customHeight="1" x14ac:dyDescent="0.3">
      <c r="B39" s="44" t="str">
        <f>STAAD!B35</f>
        <v>7 81 TO 84 UNI GY 0.0610</v>
      </c>
      <c r="C39" s="42" t="str">
        <f t="shared" si="0"/>
        <v/>
      </c>
      <c r="D39" s="42" t="s">
        <v>671</v>
      </c>
    </row>
    <row r="40" spans="2:4" ht="15" customHeight="1" x14ac:dyDescent="0.3">
      <c r="B40" s="44" t="str">
        <f>STAAD!B36</f>
        <v>7 81 TO 84 UNI GZ 0.0031</v>
      </c>
      <c r="C40" s="42" t="str">
        <f t="shared" si="0"/>
        <v/>
      </c>
      <c r="D40" s="42" t="s">
        <v>671</v>
      </c>
    </row>
    <row r="41" spans="2:4" ht="15" customHeight="1" x14ac:dyDescent="0.3">
      <c r="B41" s="44" t="str">
        <f>STAAD!B37</f>
        <v>*</v>
      </c>
      <c r="C41" s="42" t="str">
        <f t="shared" si="0"/>
        <v/>
      </c>
      <c r="D41" s="42" t="s">
        <v>671</v>
      </c>
    </row>
    <row r="42" spans="2:4" ht="15" customHeight="1" x14ac:dyDescent="0.3">
      <c r="B42" s="44" t="str">
        <f>STAAD!B38</f>
        <v>*</v>
      </c>
      <c r="C42" s="42" t="str">
        <f t="shared" si="0"/>
        <v/>
      </c>
      <c r="D42" s="42" t="s">
        <v>671</v>
      </c>
    </row>
    <row r="43" spans="2:4" ht="15" customHeight="1" x14ac:dyDescent="0.3">
      <c r="B43" s="44" t="str">
        <f>STAAD!B39</f>
        <v>*</v>
      </c>
      <c r="C43" s="42" t="str">
        <f t="shared" si="0"/>
        <v/>
      </c>
      <c r="D43" s="42" t="s">
        <v>671</v>
      </c>
    </row>
    <row r="44" spans="2:4" ht="15" customHeight="1" x14ac:dyDescent="0.3">
      <c r="B44" s="44" t="str">
        <f>STAAD!B40</f>
        <v>*</v>
      </c>
      <c r="C44" s="42" t="str">
        <f t="shared" si="0"/>
        <v/>
      </c>
      <c r="D44" s="42" t="s">
        <v>671</v>
      </c>
    </row>
    <row r="45" spans="2:4" ht="15" customHeight="1" x14ac:dyDescent="0.3">
      <c r="B45" s="44" t="str">
        <f>STAAD!B41</f>
        <v>*</v>
      </c>
      <c r="C45" s="42" t="str">
        <f t="shared" si="0"/>
        <v/>
      </c>
      <c r="D45" s="42" t="s">
        <v>671</v>
      </c>
    </row>
    <row r="46" spans="2:4" ht="15" customHeight="1" x14ac:dyDescent="0.3">
      <c r="B46" s="44" t="str">
        <f>STAAD!B42</f>
        <v>*</v>
      </c>
      <c r="C46" s="42" t="str">
        <f t="shared" si="0"/>
        <v/>
      </c>
      <c r="D46" s="42" t="s">
        <v>671</v>
      </c>
    </row>
    <row r="47" spans="2:4" ht="15" customHeight="1" x14ac:dyDescent="0.3">
      <c r="B47" s="44" t="str">
        <f>STAAD!B43</f>
        <v>*</v>
      </c>
      <c r="C47" s="42" t="str">
        <f t="shared" si="0"/>
        <v/>
      </c>
      <c r="D47" s="42" t="s">
        <v>671</v>
      </c>
    </row>
    <row r="48" spans="2:4" ht="15" customHeight="1" x14ac:dyDescent="0.3">
      <c r="B48" s="44" t="str">
        <f>STAAD!B44</f>
        <v>*</v>
      </c>
      <c r="C48" s="42" t="str">
        <f t="shared" si="0"/>
        <v/>
      </c>
      <c r="D48" s="42" t="s">
        <v>671</v>
      </c>
    </row>
    <row r="49" spans="2:4" ht="15" customHeight="1" x14ac:dyDescent="0.3">
      <c r="B49" s="44" t="str">
        <f>STAAD!B45</f>
        <v>*</v>
      </c>
      <c r="C49" s="42" t="str">
        <f t="shared" si="0"/>
        <v/>
      </c>
      <c r="D49" s="42" t="s">
        <v>671</v>
      </c>
    </row>
    <row r="50" spans="2:4" ht="15" customHeight="1" x14ac:dyDescent="0.3">
      <c r="B50" s="44" t="str">
        <f>STAAD!B46</f>
        <v>*</v>
      </c>
      <c r="C50" s="42" t="str">
        <f t="shared" si="0"/>
        <v/>
      </c>
      <c r="D50" s="42" t="s">
        <v>671</v>
      </c>
    </row>
    <row r="51" spans="2:4" ht="15" customHeight="1" x14ac:dyDescent="0.3">
      <c r="B51" s="44" t="str">
        <f>STAAD!B47</f>
        <v>*</v>
      </c>
      <c r="C51" s="42" t="str">
        <f t="shared" si="0"/>
        <v/>
      </c>
      <c r="D51" s="42" t="s">
        <v>671</v>
      </c>
    </row>
    <row r="52" spans="2:4" ht="15" customHeight="1" x14ac:dyDescent="0.3">
      <c r="B52" s="44" t="str">
        <f>STAAD!B48</f>
        <v>*</v>
      </c>
      <c r="C52" s="42" t="str">
        <f t="shared" si="0"/>
        <v/>
      </c>
      <c r="D52" s="42" t="s">
        <v>671</v>
      </c>
    </row>
    <row r="53" spans="2:4" ht="15" customHeight="1" x14ac:dyDescent="0.3">
      <c r="B53" s="44" t="str">
        <f>STAAD!B49</f>
        <v>*</v>
      </c>
      <c r="C53" s="42" t="str">
        <f t="shared" si="0"/>
        <v/>
      </c>
      <c r="D53" s="42" t="s">
        <v>671</v>
      </c>
    </row>
    <row r="54" spans="2:4" ht="15" customHeight="1" x14ac:dyDescent="0.3">
      <c r="B54" s="44" t="str">
        <f>STAAD!B50</f>
        <v>*</v>
      </c>
      <c r="C54" s="42" t="str">
        <f t="shared" si="0"/>
        <v/>
      </c>
      <c r="D54" s="42" t="s">
        <v>671</v>
      </c>
    </row>
    <row r="55" spans="2:4" ht="15" customHeight="1" x14ac:dyDescent="0.3">
      <c r="B55" s="44" t="str">
        <f>STAAD!B51</f>
        <v>*</v>
      </c>
      <c r="C55" s="42" t="str">
        <f t="shared" si="0"/>
        <v/>
      </c>
      <c r="D55" s="42" t="s">
        <v>671</v>
      </c>
    </row>
    <row r="56" spans="2:4" ht="15" customHeight="1" x14ac:dyDescent="0.3">
      <c r="B56" s="44" t="str">
        <f>STAAD!B52</f>
        <v>*</v>
      </c>
      <c r="C56" s="42" t="str">
        <f t="shared" si="0"/>
        <v/>
      </c>
      <c r="D56" s="42" t="s">
        <v>671</v>
      </c>
    </row>
    <row r="57" spans="2:4" ht="15" customHeight="1" x14ac:dyDescent="0.3">
      <c r="B57" s="44" t="str">
        <f>STAAD!B53</f>
        <v>*</v>
      </c>
      <c r="C57" s="42" t="str">
        <f t="shared" si="0"/>
        <v/>
      </c>
      <c r="D57" s="42" t="s">
        <v>671</v>
      </c>
    </row>
    <row r="58" spans="2:4" ht="15" customHeight="1" x14ac:dyDescent="0.3">
      <c r="B58" s="44" t="str">
        <f>STAAD!B54</f>
        <v>*</v>
      </c>
      <c r="C58" s="42" t="str">
        <f t="shared" si="0"/>
        <v/>
      </c>
      <c r="D58" s="42" t="s">
        <v>671</v>
      </c>
    </row>
    <row r="59" spans="2:4" ht="15" customHeight="1" x14ac:dyDescent="0.3">
      <c r="B59" s="44" t="str">
        <f>STAAD!B55</f>
        <v>*</v>
      </c>
      <c r="C59" s="42" t="str">
        <f t="shared" si="0"/>
        <v/>
      </c>
      <c r="D59" s="42" t="s">
        <v>671</v>
      </c>
    </row>
    <row r="60" spans="2:4" ht="15" customHeight="1" x14ac:dyDescent="0.3">
      <c r="B60" s="44" t="str">
        <f>STAAD!B56</f>
        <v>*</v>
      </c>
      <c r="C60" s="42" t="str">
        <f t="shared" si="0"/>
        <v/>
      </c>
      <c r="D60" s="42" t="s">
        <v>671</v>
      </c>
    </row>
    <row r="61" spans="2:4" ht="15" customHeight="1" x14ac:dyDescent="0.3">
      <c r="B61" s="44" t="str">
        <f>STAAD!B57</f>
        <v>*</v>
      </c>
      <c r="C61" s="42" t="str">
        <f t="shared" si="0"/>
        <v/>
      </c>
      <c r="D61" s="42" t="s">
        <v>671</v>
      </c>
    </row>
    <row r="62" spans="2:4" ht="15" customHeight="1" x14ac:dyDescent="0.3">
      <c r="B62" s="44" t="str">
        <f>STAAD!B58</f>
        <v>*</v>
      </c>
      <c r="C62" s="42" t="str">
        <f t="shared" si="0"/>
        <v/>
      </c>
      <c r="D62" s="42" t="s">
        <v>671</v>
      </c>
    </row>
    <row r="63" spans="2:4" ht="15" customHeight="1" x14ac:dyDescent="0.3">
      <c r="B63" s="44" t="str">
        <f>STAAD!B59</f>
        <v>*</v>
      </c>
      <c r="C63" s="42" t="str">
        <f t="shared" si="0"/>
        <v/>
      </c>
      <c r="D63" s="42" t="s">
        <v>671</v>
      </c>
    </row>
    <row r="64" spans="2:4" ht="15" customHeight="1" x14ac:dyDescent="0.3">
      <c r="B64" s="44" t="str">
        <f>STAAD!B60</f>
        <v>*</v>
      </c>
      <c r="C64" s="42" t="str">
        <f t="shared" si="0"/>
        <v/>
      </c>
      <c r="D64" s="42" t="s">
        <v>671</v>
      </c>
    </row>
    <row r="65" spans="2:4" ht="15" customHeight="1" x14ac:dyDescent="0.3">
      <c r="B65" s="44" t="str">
        <f>STAAD!B61</f>
        <v>*</v>
      </c>
      <c r="C65" s="42" t="str">
        <f t="shared" si="0"/>
        <v/>
      </c>
      <c r="D65" s="42" t="s">
        <v>671</v>
      </c>
    </row>
    <row r="66" spans="2:4" ht="15" customHeight="1" x14ac:dyDescent="0.3">
      <c r="B66" s="44" t="str">
        <f>STAAD!B62</f>
        <v>*</v>
      </c>
      <c r="C66" s="42" t="str">
        <f t="shared" si="0"/>
        <v/>
      </c>
      <c r="D66" s="42" t="s">
        <v>671</v>
      </c>
    </row>
    <row r="67" spans="2:4" ht="15" customHeight="1" x14ac:dyDescent="0.3">
      <c r="B67" s="44" t="str">
        <f>STAAD!B63</f>
        <v>*</v>
      </c>
      <c r="C67" s="42" t="str">
        <f t="shared" si="0"/>
        <v/>
      </c>
      <c r="D67" s="42" t="s">
        <v>671</v>
      </c>
    </row>
    <row r="68" spans="2:4" ht="15" customHeight="1" x14ac:dyDescent="0.3">
      <c r="B68" s="44" t="str">
        <f>STAAD!B64</f>
        <v>*</v>
      </c>
      <c r="C68" s="42" t="str">
        <f t="shared" si="0"/>
        <v/>
      </c>
      <c r="D68" s="42" t="s">
        <v>671</v>
      </c>
    </row>
    <row r="69" spans="2:4" ht="15" customHeight="1" x14ac:dyDescent="0.3">
      <c r="B69" s="44" t="str">
        <f>STAAD!B65</f>
        <v>*</v>
      </c>
      <c r="C69" s="42" t="str">
        <f t="shared" si="0"/>
        <v/>
      </c>
      <c r="D69" s="42" t="s">
        <v>671</v>
      </c>
    </row>
    <row r="70" spans="2:4" ht="15" customHeight="1" x14ac:dyDescent="0.3">
      <c r="B70" s="44" t="str">
        <f>STAAD!B66</f>
        <v>*</v>
      </c>
      <c r="C70" s="42" t="str">
        <f t="shared" ref="C70:C133" si="1">IF(LEN($B70)&gt;79,"MÁS DE 79 CARACTERES","")</f>
        <v/>
      </c>
      <c r="D70" s="42" t="s">
        <v>671</v>
      </c>
    </row>
    <row r="71" spans="2:4" ht="15" customHeight="1" x14ac:dyDescent="0.3">
      <c r="B71" s="44" t="str">
        <f>STAAD!B67</f>
        <v>*</v>
      </c>
      <c r="C71" s="42" t="str">
        <f t="shared" si="1"/>
        <v/>
      </c>
      <c r="D71" s="42" t="s">
        <v>671</v>
      </c>
    </row>
    <row r="72" spans="2:4" ht="15" customHeight="1" x14ac:dyDescent="0.3">
      <c r="B72" s="44" t="str">
        <f>STAAD!B68</f>
        <v>*</v>
      </c>
      <c r="C72" s="42" t="str">
        <f t="shared" si="1"/>
        <v/>
      </c>
      <c r="D72" s="42" t="s">
        <v>671</v>
      </c>
    </row>
    <row r="73" spans="2:4" ht="15" customHeight="1" x14ac:dyDescent="0.3">
      <c r="B73" s="44" t="str">
        <f>STAAD!B69</f>
        <v>*</v>
      </c>
      <c r="C73" s="42" t="str">
        <f t="shared" si="1"/>
        <v/>
      </c>
      <c r="D73" s="42" t="s">
        <v>671</v>
      </c>
    </row>
    <row r="74" spans="2:4" ht="15" customHeight="1" x14ac:dyDescent="0.3">
      <c r="B74" s="44" t="str">
        <f>STAAD!B70</f>
        <v>*</v>
      </c>
      <c r="C74" s="42" t="str">
        <f t="shared" si="1"/>
        <v/>
      </c>
      <c r="D74" s="42" t="s">
        <v>671</v>
      </c>
    </row>
    <row r="75" spans="2:4" ht="15" customHeight="1" x14ac:dyDescent="0.3">
      <c r="B75" s="44" t="s">
        <v>672</v>
      </c>
      <c r="C75" s="42" t="str">
        <f t="shared" si="1"/>
        <v/>
      </c>
      <c r="D75" s="42"/>
    </row>
    <row r="76" spans="2:4" ht="15" customHeight="1" x14ac:dyDescent="0.3">
      <c r="B76" s="44" t="s">
        <v>673</v>
      </c>
      <c r="C76" s="42" t="str">
        <f t="shared" si="1"/>
        <v/>
      </c>
      <c r="D76" s="42"/>
    </row>
    <row r="77" spans="2:4" ht="15" customHeight="1" x14ac:dyDescent="0.3">
      <c r="B77" s="44" t="str">
        <f>"259 260 261 UNI GX "&amp;TEXT(PRESIONES!C$45*0.6*DATOS!$C$67,DATOS!$C$68)</f>
        <v>259 260 261 UNI GX 0.3769</v>
      </c>
      <c r="C77" s="42" t="str">
        <f t="shared" si="1"/>
        <v/>
      </c>
      <c r="D77" s="42" t="s">
        <v>674</v>
      </c>
    </row>
    <row r="78" spans="2:4" ht="15" customHeight="1" x14ac:dyDescent="0.3">
      <c r="B78" s="44" t="str">
        <f>"265 266 267 UNI GX "&amp;TEXT(-PRESIONES!C$46*0.6*DATOS!$C$67,DATOS!$C$68)</f>
        <v>265 266 267 UNI GX -0.0025</v>
      </c>
      <c r="C78" s="42" t="str">
        <f t="shared" si="1"/>
        <v/>
      </c>
      <c r="D78" s="42" t="s">
        <v>675</v>
      </c>
    </row>
    <row r="79" spans="2:4" ht="15" customHeight="1" x14ac:dyDescent="0.3">
      <c r="B79" s="44" t="str">
        <f>"262 263 264 UNI GZ "&amp;TEXT(PRESIONES!C$43*0.6*DATOS!$C$67,DATOS!$C$68)</f>
        <v>262 263 264 UNI GZ -0.0551</v>
      </c>
      <c r="C79" s="42" t="str">
        <f t="shared" si="1"/>
        <v/>
      </c>
      <c r="D79" s="42" t="s">
        <v>676</v>
      </c>
    </row>
    <row r="80" spans="2:4" ht="15" customHeight="1" x14ac:dyDescent="0.3">
      <c r="B80" s="44" t="s">
        <v>677</v>
      </c>
      <c r="C80" s="42" t="str">
        <f t="shared" si="1"/>
        <v/>
      </c>
      <c r="D80" s="42"/>
    </row>
    <row r="81" spans="2:4" ht="15" customHeight="1" x14ac:dyDescent="0.3">
      <c r="B81" s="44" t="str">
        <f>STAAD!B163</f>
        <v>17 191 203 213 223 233 UNI GZ -0.2343</v>
      </c>
      <c r="C81" s="42" t="str">
        <f t="shared" si="1"/>
        <v/>
      </c>
      <c r="D81" s="42" t="s">
        <v>678</v>
      </c>
    </row>
    <row r="82" spans="2:4" ht="15" customHeight="1" x14ac:dyDescent="0.3">
      <c r="B82" s="44" t="str">
        <f>STAAD!B164</f>
        <v>18 192 204 214 224 234 UNI GZ -0.2343</v>
      </c>
      <c r="C82" s="42" t="str">
        <f t="shared" si="1"/>
        <v/>
      </c>
      <c r="D82" s="42" t="s">
        <v>678</v>
      </c>
    </row>
    <row r="83" spans="2:4" ht="15" customHeight="1" x14ac:dyDescent="0.3">
      <c r="B83" s="44" t="s">
        <v>679</v>
      </c>
      <c r="C83" s="42" t="str">
        <f t="shared" si="1"/>
        <v/>
      </c>
      <c r="D83" s="42"/>
    </row>
    <row r="84" spans="2:4" ht="15" customHeight="1" x14ac:dyDescent="0.3">
      <c r="B84" s="44" t="str">
        <f>"15 189 UNI GZ "&amp;TEXT(PRESIONES!C$43*0.65*DATOS!$C$67,DATOS!$C$68)</f>
        <v>15 189 UNI GZ -0.0597</v>
      </c>
      <c r="C84" s="42" t="str">
        <f t="shared" si="1"/>
        <v/>
      </c>
      <c r="D84" s="42" t="s">
        <v>680</v>
      </c>
    </row>
    <row r="85" spans="2:4" ht="15" customHeight="1" x14ac:dyDescent="0.3">
      <c r="B85" s="44" t="str">
        <f>"16 190 UNI GZ "&amp;TEXT(PRESIONES!C$43*0.65*DATOS!$C$67,DATOS!$C$68)</f>
        <v>16 190 UNI GZ -0.0597</v>
      </c>
      <c r="C85" s="42" t="str">
        <f t="shared" si="1"/>
        <v/>
      </c>
      <c r="D85" s="42" t="s">
        <v>681</v>
      </c>
    </row>
    <row r="86" spans="2:4" ht="15" customHeight="1" x14ac:dyDescent="0.3">
      <c r="B86" s="44" t="s">
        <v>682</v>
      </c>
      <c r="C86" s="42" t="str">
        <f t="shared" si="1"/>
        <v/>
      </c>
      <c r="D86" s="42"/>
    </row>
    <row r="87" spans="2:4" ht="15" customHeight="1" x14ac:dyDescent="0.3">
      <c r="B87" s="44" t="str">
        <f>STAAD!B221</f>
        <v>LOAD 9 LOADTYPE Wind  TITLE VIENTO -X</v>
      </c>
      <c r="C87" s="42" t="str">
        <f t="shared" si="1"/>
        <v/>
      </c>
      <c r="D87" s="42" t="s">
        <v>663</v>
      </c>
    </row>
    <row r="88" spans="2:4" ht="15" customHeight="1" x14ac:dyDescent="0.3">
      <c r="B88" s="44" t="s">
        <v>664</v>
      </c>
      <c r="C88" s="42" t="str">
        <f t="shared" si="1"/>
        <v/>
      </c>
      <c r="D88" s="42"/>
    </row>
    <row r="89" spans="2:4" ht="15" customHeight="1" x14ac:dyDescent="0.3">
      <c r="B89" s="44" t="s">
        <v>665</v>
      </c>
      <c r="C89" s="42" t="str">
        <f t="shared" si="1"/>
        <v/>
      </c>
      <c r="D89" s="42"/>
    </row>
    <row r="90" spans="2:4" ht="15" customHeight="1" x14ac:dyDescent="0.3">
      <c r="B90" s="44" t="s">
        <v>666</v>
      </c>
      <c r="C90" s="42" t="str">
        <f t="shared" si="1"/>
        <v/>
      </c>
      <c r="D90" s="42"/>
    </row>
    <row r="91" spans="2:4" ht="15" customHeight="1" x14ac:dyDescent="0.3">
      <c r="B91" s="44" t="str">
        <f>"_MURO3 ONE "&amp;TEXT(PRESIONES!D$45*IF(DATOS!$C$65="CM KG",0.0001,IF(DATOS!$C$65="METER KG",1,0.00980665)),"0.000000")&amp;" GX"</f>
        <v>_MURO3 ONE 0.000042 GX</v>
      </c>
      <c r="C91" s="42" t="str">
        <f t="shared" si="1"/>
        <v/>
      </c>
      <c r="D91" s="42" t="s">
        <v>667</v>
      </c>
    </row>
    <row r="92" spans="2:4" ht="15" customHeight="1" x14ac:dyDescent="0.3">
      <c r="B92" s="44" t="str">
        <f>"_MURO4 ONE "&amp;TEXT(-PRESIONES!D$46*IF(DATOS!$C$65="CM KG",0.0001,IF(DATOS!$C$65="METER KG",1,0.00980665)),"0.000000")&amp;" GX"</f>
        <v>_MURO4 ONE -0.006282 GX</v>
      </c>
      <c r="C92" s="42" t="str">
        <f t="shared" si="1"/>
        <v/>
      </c>
      <c r="D92" s="42" t="s">
        <v>668</v>
      </c>
    </row>
    <row r="93" spans="2:4" ht="15" customHeight="1" x14ac:dyDescent="0.3">
      <c r="B93" s="44" t="str">
        <f>"_MURO1 ONE "&amp;TEXT(PRESIONES!D$43*IF(DATOS!$C$65="CM KG",0.0001,IF(DATOS!$C$65="METER KG",1,0.00980665)),"0.000000")&amp;" GZ"</f>
        <v>_MURO1 ONE -0.000918 GZ</v>
      </c>
      <c r="C93" s="42" t="str">
        <f t="shared" si="1"/>
        <v/>
      </c>
      <c r="D93" s="42" t="s">
        <v>669</v>
      </c>
    </row>
    <row r="94" spans="2:4" ht="15" customHeight="1" x14ac:dyDescent="0.3">
      <c r="B94" s="44" t="s">
        <v>632</v>
      </c>
      <c r="C94" s="42" t="str">
        <f t="shared" si="1"/>
        <v/>
      </c>
      <c r="D94" s="42"/>
    </row>
    <row r="95" spans="2:4" ht="15" customHeight="1" x14ac:dyDescent="0.3">
      <c r="B95" s="44" t="s">
        <v>670</v>
      </c>
      <c r="C95" s="42" t="str">
        <f t="shared" si="1"/>
        <v/>
      </c>
      <c r="D95" s="42"/>
    </row>
    <row r="96" spans="2:4" ht="15" customHeight="1" x14ac:dyDescent="0.3">
      <c r="B96" s="44" t="str">
        <f>STAAD!B223</f>
        <v>22 85 TO 88 UNI GY 0.0659</v>
      </c>
      <c r="C96" s="42" t="str">
        <f t="shared" si="1"/>
        <v/>
      </c>
      <c r="D96" s="42" t="s">
        <v>671</v>
      </c>
    </row>
    <row r="97" spans="2:4" ht="15" customHeight="1" x14ac:dyDescent="0.3">
      <c r="B97" s="44" t="str">
        <f>STAAD!B224</f>
        <v>22 85 TO 88 UNI GZ 0.0033</v>
      </c>
      <c r="C97" s="42" t="str">
        <f t="shared" si="1"/>
        <v/>
      </c>
      <c r="D97" s="42" t="s">
        <v>671</v>
      </c>
    </row>
    <row r="98" spans="2:4" ht="15" customHeight="1" x14ac:dyDescent="0.3">
      <c r="B98" s="44" t="str">
        <f>STAAD!B225</f>
        <v>80 129 TO 132 UNI GY 0.1318</v>
      </c>
      <c r="C98" s="42" t="str">
        <f t="shared" si="1"/>
        <v/>
      </c>
      <c r="D98" s="42" t="s">
        <v>671</v>
      </c>
    </row>
    <row r="99" spans="2:4" ht="15" customHeight="1" x14ac:dyDescent="0.3">
      <c r="B99" s="44" t="str">
        <f>STAAD!B226</f>
        <v>80 129 TO 132 UNI GZ 0.0066</v>
      </c>
      <c r="C99" s="42" t="str">
        <f t="shared" si="1"/>
        <v/>
      </c>
      <c r="D99" s="42" t="s">
        <v>671</v>
      </c>
    </row>
    <row r="100" spans="2:4" ht="15" customHeight="1" x14ac:dyDescent="0.3">
      <c r="B100" s="44" t="str">
        <f>STAAD!B227</f>
        <v>79 125 TO 128 UNI GY 0.1318</v>
      </c>
      <c r="C100" s="42" t="str">
        <f t="shared" si="1"/>
        <v/>
      </c>
      <c r="D100" s="42" t="s">
        <v>671</v>
      </c>
    </row>
    <row r="101" spans="2:4" ht="15" customHeight="1" x14ac:dyDescent="0.3">
      <c r="B101" s="44" t="str">
        <f>STAAD!B228</f>
        <v>79 125 TO 128 UNI GZ 0.0066</v>
      </c>
      <c r="C101" s="42" t="str">
        <f t="shared" si="1"/>
        <v/>
      </c>
      <c r="D101" s="42" t="s">
        <v>671</v>
      </c>
    </row>
    <row r="102" spans="2:4" ht="15" customHeight="1" x14ac:dyDescent="0.3">
      <c r="B102" s="44" t="str">
        <f>STAAD!B229</f>
        <v>78 121 TO 124 UNI GY 0.1318</v>
      </c>
      <c r="C102" s="42" t="str">
        <f t="shared" si="1"/>
        <v/>
      </c>
      <c r="D102" s="42" t="s">
        <v>671</v>
      </c>
    </row>
    <row r="103" spans="2:4" ht="15" customHeight="1" x14ac:dyDescent="0.3">
      <c r="B103" s="44" t="str">
        <f>STAAD!B230</f>
        <v>78 121 TO 124 UNI GZ 0.0066</v>
      </c>
      <c r="C103" s="42" t="str">
        <f t="shared" si="1"/>
        <v/>
      </c>
      <c r="D103" s="42" t="s">
        <v>671</v>
      </c>
    </row>
    <row r="104" spans="2:4" ht="15" customHeight="1" x14ac:dyDescent="0.3">
      <c r="B104" s="44" t="str">
        <f>STAAD!B231</f>
        <v>77 117 TO 120 UNI GY 0.1318</v>
      </c>
      <c r="C104" s="42" t="str">
        <f t="shared" si="1"/>
        <v/>
      </c>
      <c r="D104" s="42" t="s">
        <v>671</v>
      </c>
    </row>
    <row r="105" spans="2:4" ht="15" customHeight="1" x14ac:dyDescent="0.3">
      <c r="B105" s="44" t="str">
        <f>STAAD!B232</f>
        <v>77 117 TO 120 UNI GZ 0.0066</v>
      </c>
      <c r="C105" s="42" t="str">
        <f t="shared" si="1"/>
        <v/>
      </c>
      <c r="D105" s="42" t="s">
        <v>671</v>
      </c>
    </row>
    <row r="106" spans="2:4" ht="15" customHeight="1" x14ac:dyDescent="0.3">
      <c r="B106" s="44" t="str">
        <f>STAAD!B233</f>
        <v>9 93 TO 96 UNI GY 0.1318</v>
      </c>
      <c r="C106" s="42" t="str">
        <f t="shared" si="1"/>
        <v/>
      </c>
      <c r="D106" s="42" t="s">
        <v>671</v>
      </c>
    </row>
    <row r="107" spans="2:4" ht="15" customHeight="1" x14ac:dyDescent="0.3">
      <c r="B107" s="44" t="str">
        <f>STAAD!B234</f>
        <v>9 93 TO 96 UNI GZ 0.0066</v>
      </c>
      <c r="C107" s="42" t="str">
        <f t="shared" si="1"/>
        <v/>
      </c>
      <c r="D107" s="42" t="s">
        <v>671</v>
      </c>
    </row>
    <row r="108" spans="2:4" ht="15" customHeight="1" x14ac:dyDescent="0.3">
      <c r="B108" s="44" t="str">
        <f>STAAD!B235</f>
        <v>76 113 TO 116 UNI GY 0.1318</v>
      </c>
      <c r="C108" s="42" t="str">
        <f t="shared" si="1"/>
        <v/>
      </c>
      <c r="D108" s="42" t="s">
        <v>671</v>
      </c>
    </row>
    <row r="109" spans="2:4" ht="15" customHeight="1" x14ac:dyDescent="0.3">
      <c r="B109" s="44" t="str">
        <f>STAAD!B236</f>
        <v>76 113 TO 116 UNI GZ 0.0066</v>
      </c>
      <c r="C109" s="42" t="str">
        <f t="shared" si="1"/>
        <v/>
      </c>
      <c r="D109" s="42" t="s">
        <v>671</v>
      </c>
    </row>
    <row r="110" spans="2:4" ht="15" customHeight="1" x14ac:dyDescent="0.3">
      <c r="B110" s="44" t="str">
        <f>STAAD!B237</f>
        <v>75 109 TO 112 UNI GY 0.1318</v>
      </c>
      <c r="C110" s="42" t="str">
        <f t="shared" si="1"/>
        <v/>
      </c>
      <c r="D110" s="42" t="s">
        <v>671</v>
      </c>
    </row>
    <row r="111" spans="2:4" ht="15" customHeight="1" x14ac:dyDescent="0.3">
      <c r="B111" s="44" t="str">
        <f>STAAD!B238</f>
        <v>75 109 TO 112 UNI GZ 0.0066</v>
      </c>
      <c r="C111" s="42" t="str">
        <f t="shared" si="1"/>
        <v/>
      </c>
      <c r="D111" s="42" t="s">
        <v>671</v>
      </c>
    </row>
    <row r="112" spans="2:4" ht="15" customHeight="1" x14ac:dyDescent="0.3">
      <c r="B112" s="44" t="str">
        <f>STAAD!B239</f>
        <v>74 105 TO 108 UNI GY 0.1318</v>
      </c>
      <c r="C112" s="42" t="str">
        <f t="shared" si="1"/>
        <v/>
      </c>
      <c r="D112" s="42" t="s">
        <v>671</v>
      </c>
    </row>
    <row r="113" spans="2:4" ht="15" customHeight="1" x14ac:dyDescent="0.3">
      <c r="B113" s="44" t="str">
        <f>STAAD!B240</f>
        <v>74 105 TO 108 UNI GZ 0.0066</v>
      </c>
      <c r="C113" s="42" t="str">
        <f t="shared" si="1"/>
        <v/>
      </c>
      <c r="D113" s="42" t="s">
        <v>671</v>
      </c>
    </row>
    <row r="114" spans="2:4" ht="15" customHeight="1" x14ac:dyDescent="0.3">
      <c r="B114" s="44" t="str">
        <f>STAAD!B241</f>
        <v>73 101 TO 104 UNI GY 0.1318</v>
      </c>
      <c r="C114" s="42" t="str">
        <f t="shared" si="1"/>
        <v/>
      </c>
      <c r="D114" s="42" t="s">
        <v>671</v>
      </c>
    </row>
    <row r="115" spans="2:4" ht="15" customHeight="1" x14ac:dyDescent="0.3">
      <c r="B115" s="44" t="str">
        <f>STAAD!B242</f>
        <v>73 101 TO 104 UNI GZ 0.0066</v>
      </c>
      <c r="C115" s="42" t="str">
        <f t="shared" si="1"/>
        <v/>
      </c>
      <c r="D115" s="42" t="s">
        <v>671</v>
      </c>
    </row>
    <row r="116" spans="2:4" ht="15" customHeight="1" x14ac:dyDescent="0.3">
      <c r="B116" s="44" t="str">
        <f>STAAD!B243</f>
        <v>8 89 TO 92 UNI GY 0.1270</v>
      </c>
      <c r="C116" s="42" t="str">
        <f t="shared" si="1"/>
        <v/>
      </c>
      <c r="D116" s="42" t="s">
        <v>671</v>
      </c>
    </row>
    <row r="117" spans="2:4" ht="15" customHeight="1" x14ac:dyDescent="0.3">
      <c r="B117" s="44" t="str">
        <f>STAAD!B244</f>
        <v>8 89 TO 92 UNI GZ 0.0063</v>
      </c>
      <c r="C117" s="42" t="str">
        <f t="shared" si="1"/>
        <v/>
      </c>
      <c r="D117" s="42" t="s">
        <v>671</v>
      </c>
    </row>
    <row r="118" spans="2:4" ht="15" customHeight="1" x14ac:dyDescent="0.3">
      <c r="B118" s="44" t="str">
        <f>STAAD!B245</f>
        <v>56 97 TO 100 UNI GY 0.1221</v>
      </c>
      <c r="C118" s="42" t="str">
        <f t="shared" si="1"/>
        <v/>
      </c>
      <c r="D118" s="42" t="s">
        <v>671</v>
      </c>
    </row>
    <row r="119" spans="2:4" ht="15" customHeight="1" x14ac:dyDescent="0.3">
      <c r="B119" s="44" t="str">
        <f>STAAD!B246</f>
        <v>56 97 TO 100 UNI GZ 0.0061</v>
      </c>
      <c r="C119" s="42" t="str">
        <f t="shared" si="1"/>
        <v/>
      </c>
      <c r="D119" s="42" t="s">
        <v>671</v>
      </c>
    </row>
    <row r="120" spans="2:4" ht="15" customHeight="1" x14ac:dyDescent="0.3">
      <c r="B120" s="44" t="str">
        <f>STAAD!B247</f>
        <v>7 81 TO 84 UNI GY 0.0610</v>
      </c>
      <c r="C120" s="42" t="str">
        <f t="shared" si="1"/>
        <v/>
      </c>
      <c r="D120" s="42" t="s">
        <v>671</v>
      </c>
    </row>
    <row r="121" spans="2:4" ht="15" customHeight="1" x14ac:dyDescent="0.3">
      <c r="B121" s="44" t="str">
        <f>STAAD!B248</f>
        <v>7 81 TO 84 UNI GZ 0.0031</v>
      </c>
      <c r="C121" s="42" t="str">
        <f t="shared" si="1"/>
        <v/>
      </c>
      <c r="D121" s="42" t="s">
        <v>671</v>
      </c>
    </row>
    <row r="122" spans="2:4" ht="15" customHeight="1" x14ac:dyDescent="0.3">
      <c r="B122" s="44" t="str">
        <f>STAAD!B249</f>
        <v>*</v>
      </c>
      <c r="C122" s="42" t="str">
        <f t="shared" si="1"/>
        <v/>
      </c>
      <c r="D122" s="42" t="s">
        <v>671</v>
      </c>
    </row>
    <row r="123" spans="2:4" ht="15" customHeight="1" x14ac:dyDescent="0.3">
      <c r="B123" s="44" t="str">
        <f>STAAD!B250</f>
        <v>*</v>
      </c>
      <c r="C123" s="42" t="str">
        <f t="shared" si="1"/>
        <v/>
      </c>
      <c r="D123" s="42" t="s">
        <v>671</v>
      </c>
    </row>
    <row r="124" spans="2:4" ht="15" customHeight="1" x14ac:dyDescent="0.3">
      <c r="B124" s="44" t="str">
        <f>STAAD!B251</f>
        <v>*</v>
      </c>
      <c r="C124" s="42" t="str">
        <f t="shared" si="1"/>
        <v/>
      </c>
      <c r="D124" s="42" t="s">
        <v>671</v>
      </c>
    </row>
    <row r="125" spans="2:4" ht="15" customHeight="1" x14ac:dyDescent="0.3">
      <c r="B125" s="44" t="str">
        <f>STAAD!B252</f>
        <v>*</v>
      </c>
      <c r="C125" s="42" t="str">
        <f t="shared" si="1"/>
        <v/>
      </c>
      <c r="D125" s="42" t="s">
        <v>671</v>
      </c>
    </row>
    <row r="126" spans="2:4" ht="15" customHeight="1" x14ac:dyDescent="0.3">
      <c r="B126" s="44" t="str">
        <f>STAAD!B253</f>
        <v>*</v>
      </c>
      <c r="C126" s="42" t="str">
        <f t="shared" si="1"/>
        <v/>
      </c>
      <c r="D126" s="42" t="s">
        <v>671</v>
      </c>
    </row>
    <row r="127" spans="2:4" ht="15" customHeight="1" x14ac:dyDescent="0.3">
      <c r="B127" s="44" t="str">
        <f>STAAD!B254</f>
        <v>*</v>
      </c>
      <c r="C127" s="42" t="str">
        <f t="shared" si="1"/>
        <v/>
      </c>
      <c r="D127" s="42" t="s">
        <v>671</v>
      </c>
    </row>
    <row r="128" spans="2:4" ht="15" customHeight="1" x14ac:dyDescent="0.3">
      <c r="B128" s="44" t="str">
        <f>STAAD!B255</f>
        <v>*</v>
      </c>
      <c r="C128" s="42" t="str">
        <f t="shared" si="1"/>
        <v/>
      </c>
      <c r="D128" s="42" t="s">
        <v>671</v>
      </c>
    </row>
    <row r="129" spans="2:4" ht="15" customHeight="1" x14ac:dyDescent="0.3">
      <c r="B129" s="44" t="str">
        <f>STAAD!B256</f>
        <v>*</v>
      </c>
      <c r="C129" s="42" t="str">
        <f t="shared" si="1"/>
        <v/>
      </c>
      <c r="D129" s="42" t="s">
        <v>671</v>
      </c>
    </row>
    <row r="130" spans="2:4" ht="15" customHeight="1" x14ac:dyDescent="0.3">
      <c r="B130" s="44" t="str">
        <f>STAAD!B257</f>
        <v>*</v>
      </c>
      <c r="C130" s="42" t="str">
        <f t="shared" si="1"/>
        <v/>
      </c>
      <c r="D130" s="42" t="s">
        <v>671</v>
      </c>
    </row>
    <row r="131" spans="2:4" ht="15" customHeight="1" x14ac:dyDescent="0.3">
      <c r="B131" s="44" t="str">
        <f>STAAD!B258</f>
        <v>*</v>
      </c>
      <c r="C131" s="42" t="str">
        <f t="shared" si="1"/>
        <v/>
      </c>
      <c r="D131" s="42" t="s">
        <v>671</v>
      </c>
    </row>
    <row r="132" spans="2:4" ht="15" customHeight="1" x14ac:dyDescent="0.3">
      <c r="B132" s="44" t="str">
        <f>STAAD!B259</f>
        <v>*</v>
      </c>
      <c r="C132" s="42" t="str">
        <f t="shared" si="1"/>
        <v/>
      </c>
      <c r="D132" s="42" t="s">
        <v>671</v>
      </c>
    </row>
    <row r="133" spans="2:4" ht="15" customHeight="1" x14ac:dyDescent="0.3">
      <c r="B133" s="44" t="str">
        <f>STAAD!B260</f>
        <v>*</v>
      </c>
      <c r="C133" s="42" t="str">
        <f t="shared" si="1"/>
        <v/>
      </c>
      <c r="D133" s="42" t="s">
        <v>671</v>
      </c>
    </row>
    <row r="134" spans="2:4" ht="15" customHeight="1" x14ac:dyDescent="0.3">
      <c r="B134" s="44" t="str">
        <f>STAAD!B261</f>
        <v>*</v>
      </c>
      <c r="C134" s="42" t="str">
        <f t="shared" ref="C134:C197" si="2">IF(LEN($B134)&gt;79,"MÁS DE 79 CARACTERES","")</f>
        <v/>
      </c>
      <c r="D134" s="42" t="s">
        <v>671</v>
      </c>
    </row>
    <row r="135" spans="2:4" ht="15" customHeight="1" x14ac:dyDescent="0.3">
      <c r="B135" s="44" t="str">
        <f>STAAD!B262</f>
        <v>*</v>
      </c>
      <c r="C135" s="42" t="str">
        <f t="shared" si="2"/>
        <v/>
      </c>
      <c r="D135" s="42" t="s">
        <v>671</v>
      </c>
    </row>
    <row r="136" spans="2:4" ht="15" customHeight="1" x14ac:dyDescent="0.3">
      <c r="B136" s="44" t="str">
        <f>STAAD!B263</f>
        <v>*</v>
      </c>
      <c r="C136" s="42" t="str">
        <f t="shared" si="2"/>
        <v/>
      </c>
      <c r="D136" s="42" t="s">
        <v>671</v>
      </c>
    </row>
    <row r="137" spans="2:4" ht="15" customHeight="1" x14ac:dyDescent="0.3">
      <c r="B137" s="44" t="str">
        <f>STAAD!B264</f>
        <v>*</v>
      </c>
      <c r="C137" s="42" t="str">
        <f t="shared" si="2"/>
        <v/>
      </c>
      <c r="D137" s="42" t="s">
        <v>671</v>
      </c>
    </row>
    <row r="138" spans="2:4" ht="15" customHeight="1" x14ac:dyDescent="0.3">
      <c r="B138" s="44" t="str">
        <f>STAAD!B265</f>
        <v>*</v>
      </c>
      <c r="C138" s="42" t="str">
        <f t="shared" si="2"/>
        <v/>
      </c>
      <c r="D138" s="42" t="s">
        <v>671</v>
      </c>
    </row>
    <row r="139" spans="2:4" ht="15" customHeight="1" x14ac:dyDescent="0.3">
      <c r="B139" s="44" t="str">
        <f>STAAD!B266</f>
        <v>*</v>
      </c>
      <c r="C139" s="42" t="str">
        <f t="shared" si="2"/>
        <v/>
      </c>
      <c r="D139" s="42" t="s">
        <v>671</v>
      </c>
    </row>
    <row r="140" spans="2:4" ht="15" customHeight="1" x14ac:dyDescent="0.3">
      <c r="B140" s="44" t="str">
        <f>STAAD!B267</f>
        <v>*</v>
      </c>
      <c r="C140" s="42" t="str">
        <f t="shared" si="2"/>
        <v/>
      </c>
      <c r="D140" s="42" t="s">
        <v>671</v>
      </c>
    </row>
    <row r="141" spans="2:4" ht="15" customHeight="1" x14ac:dyDescent="0.3">
      <c r="B141" s="44" t="str">
        <f>STAAD!B268</f>
        <v>*</v>
      </c>
      <c r="C141" s="42" t="str">
        <f t="shared" si="2"/>
        <v/>
      </c>
      <c r="D141" s="42" t="s">
        <v>671</v>
      </c>
    </row>
    <row r="142" spans="2:4" ht="15" customHeight="1" x14ac:dyDescent="0.3">
      <c r="B142" s="44" t="str">
        <f>STAAD!B269</f>
        <v>*</v>
      </c>
      <c r="C142" s="42" t="str">
        <f t="shared" si="2"/>
        <v/>
      </c>
      <c r="D142" s="42" t="s">
        <v>671</v>
      </c>
    </row>
    <row r="143" spans="2:4" ht="15" customHeight="1" x14ac:dyDescent="0.3">
      <c r="B143" s="44" t="str">
        <f>STAAD!B270</f>
        <v>*</v>
      </c>
      <c r="C143" s="42" t="str">
        <f t="shared" si="2"/>
        <v/>
      </c>
      <c r="D143" s="42" t="s">
        <v>671</v>
      </c>
    </row>
    <row r="144" spans="2:4" ht="15" customHeight="1" x14ac:dyDescent="0.3">
      <c r="B144" s="44" t="str">
        <f>STAAD!B271</f>
        <v>*</v>
      </c>
      <c r="C144" s="42" t="str">
        <f t="shared" si="2"/>
        <v/>
      </c>
      <c r="D144" s="42" t="s">
        <v>671</v>
      </c>
    </row>
    <row r="145" spans="2:4" ht="15" customHeight="1" x14ac:dyDescent="0.3">
      <c r="B145" s="44" t="str">
        <f>STAAD!B272</f>
        <v>*</v>
      </c>
      <c r="C145" s="42" t="str">
        <f t="shared" si="2"/>
        <v/>
      </c>
      <c r="D145" s="42" t="s">
        <v>671</v>
      </c>
    </row>
    <row r="146" spans="2:4" ht="15" customHeight="1" x14ac:dyDescent="0.3">
      <c r="B146" s="44" t="str">
        <f>STAAD!B273</f>
        <v>*</v>
      </c>
      <c r="C146" s="42" t="str">
        <f t="shared" si="2"/>
        <v/>
      </c>
      <c r="D146" s="42" t="s">
        <v>671</v>
      </c>
    </row>
    <row r="147" spans="2:4" ht="15" customHeight="1" x14ac:dyDescent="0.3">
      <c r="B147" s="44" t="str">
        <f>STAAD!B274</f>
        <v>*</v>
      </c>
      <c r="C147" s="42" t="str">
        <f t="shared" si="2"/>
        <v/>
      </c>
      <c r="D147" s="42" t="s">
        <v>671</v>
      </c>
    </row>
    <row r="148" spans="2:4" ht="15" customHeight="1" x14ac:dyDescent="0.3">
      <c r="B148" s="44" t="str">
        <f>STAAD!B275</f>
        <v>*</v>
      </c>
      <c r="C148" s="42" t="str">
        <f t="shared" si="2"/>
        <v/>
      </c>
      <c r="D148" s="42" t="s">
        <v>671</v>
      </c>
    </row>
    <row r="149" spans="2:4" ht="15" customHeight="1" x14ac:dyDescent="0.3">
      <c r="B149" s="44" t="str">
        <f>STAAD!B276</f>
        <v>*</v>
      </c>
      <c r="C149" s="42" t="str">
        <f t="shared" si="2"/>
        <v/>
      </c>
      <c r="D149" s="42" t="s">
        <v>671</v>
      </c>
    </row>
    <row r="150" spans="2:4" ht="15" customHeight="1" x14ac:dyDescent="0.3">
      <c r="B150" s="44" t="str">
        <f>STAAD!B277</f>
        <v>*</v>
      </c>
      <c r="C150" s="42" t="str">
        <f t="shared" si="2"/>
        <v/>
      </c>
      <c r="D150" s="42" t="s">
        <v>671</v>
      </c>
    </row>
    <row r="151" spans="2:4" ht="15" customHeight="1" x14ac:dyDescent="0.3">
      <c r="B151" s="44" t="str">
        <f>STAAD!B278</f>
        <v>*</v>
      </c>
      <c r="C151" s="42" t="str">
        <f t="shared" si="2"/>
        <v/>
      </c>
      <c r="D151" s="42" t="s">
        <v>671</v>
      </c>
    </row>
    <row r="152" spans="2:4" ht="15" customHeight="1" x14ac:dyDescent="0.3">
      <c r="B152" s="44" t="str">
        <f>STAAD!B279</f>
        <v>*</v>
      </c>
      <c r="C152" s="42" t="str">
        <f t="shared" si="2"/>
        <v/>
      </c>
      <c r="D152" s="42" t="s">
        <v>671</v>
      </c>
    </row>
    <row r="153" spans="2:4" ht="15" customHeight="1" x14ac:dyDescent="0.3">
      <c r="B153" s="44" t="str">
        <f>STAAD!B280</f>
        <v>*</v>
      </c>
      <c r="C153" s="42" t="str">
        <f t="shared" si="2"/>
        <v/>
      </c>
      <c r="D153" s="42" t="s">
        <v>671</v>
      </c>
    </row>
    <row r="154" spans="2:4" ht="15" customHeight="1" x14ac:dyDescent="0.3">
      <c r="B154" s="44" t="str">
        <f>STAAD!B281</f>
        <v>*</v>
      </c>
      <c r="C154" s="42" t="str">
        <f t="shared" si="2"/>
        <v/>
      </c>
      <c r="D154" s="42" t="s">
        <v>671</v>
      </c>
    </row>
    <row r="155" spans="2:4" ht="15" customHeight="1" x14ac:dyDescent="0.3">
      <c r="B155" s="44" t="str">
        <f>STAAD!B282</f>
        <v>*</v>
      </c>
      <c r="C155" s="42" t="str">
        <f t="shared" si="2"/>
        <v/>
      </c>
      <c r="D155" s="42" t="s">
        <v>671</v>
      </c>
    </row>
    <row r="156" spans="2:4" ht="15" customHeight="1" x14ac:dyDescent="0.3">
      <c r="B156" s="44" t="s">
        <v>672</v>
      </c>
      <c r="C156" s="42" t="str">
        <f t="shared" si="2"/>
        <v/>
      </c>
      <c r="D156" s="42"/>
    </row>
    <row r="157" spans="2:4" ht="15" customHeight="1" x14ac:dyDescent="0.3">
      <c r="B157" s="44" t="s">
        <v>673</v>
      </c>
      <c r="C157" s="42" t="str">
        <f t="shared" si="2"/>
        <v/>
      </c>
      <c r="D157" s="42"/>
    </row>
    <row r="158" spans="2:4" ht="15" customHeight="1" x14ac:dyDescent="0.3">
      <c r="B158" s="44" t="str">
        <f>"259 260 261 UNI GX "&amp;TEXT(PRESIONES!D$45*0.6*DATOS!$C$67,DATOS!$C$68)</f>
        <v>259 260 261 UNI GX 0.0025</v>
      </c>
      <c r="C158" s="42" t="str">
        <f t="shared" si="2"/>
        <v/>
      </c>
      <c r="D158" s="42" t="s">
        <v>674</v>
      </c>
    </row>
    <row r="159" spans="2:4" ht="15" customHeight="1" x14ac:dyDescent="0.3">
      <c r="B159" s="44" t="str">
        <f>"265 266 267 UNI GX "&amp;TEXT(-PRESIONES!D$46*0.6*DATOS!$C$67,DATOS!$C$68)</f>
        <v>265 266 267 UNI GX -0.3769</v>
      </c>
      <c r="C159" s="42" t="str">
        <f t="shared" si="2"/>
        <v/>
      </c>
      <c r="D159" s="42" t="s">
        <v>675</v>
      </c>
    </row>
    <row r="160" spans="2:4" ht="15" customHeight="1" x14ac:dyDescent="0.3">
      <c r="B160" s="44" t="str">
        <f>"262 263 264 UNI GZ "&amp;TEXT(PRESIONES!D$43*0.6*DATOS!$C$67,DATOS!$C$68)</f>
        <v>262 263 264 UNI GZ -0.0551</v>
      </c>
      <c r="C160" s="42" t="str">
        <f t="shared" si="2"/>
        <v/>
      </c>
      <c r="D160" s="42" t="s">
        <v>676</v>
      </c>
    </row>
    <row r="161" spans="2:4" ht="15" customHeight="1" x14ac:dyDescent="0.3">
      <c r="B161" s="44" t="s">
        <v>677</v>
      </c>
      <c r="C161" s="42" t="str">
        <f t="shared" si="2"/>
        <v/>
      </c>
      <c r="D161" s="42"/>
    </row>
    <row r="162" spans="2:4" ht="15" customHeight="1" x14ac:dyDescent="0.3">
      <c r="B162" s="44" t="str">
        <f>STAAD!B375</f>
        <v>17 191 203 213 223 233 UNI GZ -0.2343</v>
      </c>
      <c r="C162" s="42" t="str">
        <f t="shared" si="2"/>
        <v/>
      </c>
      <c r="D162" s="42" t="s">
        <v>678</v>
      </c>
    </row>
    <row r="163" spans="2:4" ht="15" customHeight="1" x14ac:dyDescent="0.3">
      <c r="B163" s="44" t="str">
        <f>STAAD!B376</f>
        <v>18 192 204 214 224 234 UNI GZ -0.2343</v>
      </c>
      <c r="C163" s="42" t="str">
        <f t="shared" si="2"/>
        <v/>
      </c>
      <c r="D163" s="42" t="s">
        <v>678</v>
      </c>
    </row>
    <row r="164" spans="2:4" ht="15" customHeight="1" x14ac:dyDescent="0.3">
      <c r="B164" s="44" t="s">
        <v>679</v>
      </c>
      <c r="C164" s="42" t="str">
        <f t="shared" si="2"/>
        <v/>
      </c>
      <c r="D164" s="42"/>
    </row>
    <row r="165" spans="2:4" ht="15" customHeight="1" x14ac:dyDescent="0.3">
      <c r="B165" s="44" t="str">
        <f>"15 189 UNI GZ "&amp;TEXT(PRESIONES!D$43*0.65*DATOS!$C$67,DATOS!$C$68)</f>
        <v>15 189 UNI GZ -0.0597</v>
      </c>
      <c r="C165" s="42" t="str">
        <f t="shared" si="2"/>
        <v/>
      </c>
      <c r="D165" s="42" t="s">
        <v>680</v>
      </c>
    </row>
    <row r="166" spans="2:4" ht="15" customHeight="1" x14ac:dyDescent="0.3">
      <c r="B166" s="44" t="str">
        <f>"16 190 UNI GZ "&amp;TEXT(PRESIONES!D$43*0.65*DATOS!$C$67,DATOS!$C$68)</f>
        <v>16 190 UNI GZ -0.0597</v>
      </c>
      <c r="C166" s="42" t="str">
        <f t="shared" si="2"/>
        <v/>
      </c>
      <c r="D166" s="42" t="s">
        <v>681</v>
      </c>
    </row>
    <row r="167" spans="2:4" ht="15" customHeight="1" x14ac:dyDescent="0.3">
      <c r="B167" s="44" t="s">
        <v>682</v>
      </c>
      <c r="C167" s="42" t="str">
        <f t="shared" si="2"/>
        <v/>
      </c>
      <c r="D167" s="42"/>
    </row>
    <row r="168" spans="2:4" ht="15" customHeight="1" x14ac:dyDescent="0.3">
      <c r="B168" s="44" t="str">
        <f>STAAD!B433</f>
        <v>LOAD 10 LOADTYPE Wind  TITLE VIENTO Z</v>
      </c>
      <c r="C168" s="42" t="str">
        <f t="shared" si="2"/>
        <v/>
      </c>
      <c r="D168" s="42" t="s">
        <v>663</v>
      </c>
    </row>
    <row r="169" spans="2:4" ht="15" customHeight="1" x14ac:dyDescent="0.3">
      <c r="B169" s="44" t="s">
        <v>664</v>
      </c>
      <c r="C169" s="42" t="str">
        <f t="shared" si="2"/>
        <v/>
      </c>
      <c r="D169" s="42"/>
    </row>
    <row r="170" spans="2:4" ht="15" customHeight="1" x14ac:dyDescent="0.3">
      <c r="B170" s="44" t="s">
        <v>665</v>
      </c>
      <c r="C170" s="42" t="str">
        <f t="shared" si="2"/>
        <v/>
      </c>
      <c r="D170" s="42"/>
    </row>
    <row r="171" spans="2:4" ht="15" customHeight="1" x14ac:dyDescent="0.3">
      <c r="B171" s="44" t="s">
        <v>666</v>
      </c>
      <c r="C171" s="42" t="str">
        <f t="shared" si="2"/>
        <v/>
      </c>
      <c r="D171" s="42"/>
    </row>
    <row r="172" spans="2:4" ht="15" customHeight="1" x14ac:dyDescent="0.3">
      <c r="B172" s="44" t="str">
        <f>"_MURO3 ONE "&amp;TEXT(PRESIONES!E$45*IF(DATOS!$C$65="CM KG",0.0001,IF(DATOS!$C$65="METER KG",1,0.00980665)),"0.000000")&amp;" GX"</f>
        <v>_MURO3 ONE -0.000430 GX</v>
      </c>
      <c r="C172" s="42" t="str">
        <f t="shared" si="2"/>
        <v/>
      </c>
      <c r="D172" s="42" t="s">
        <v>667</v>
      </c>
    </row>
    <row r="173" spans="2:4" ht="15" customHeight="1" x14ac:dyDescent="0.3">
      <c r="B173" s="44" t="str">
        <f>"_MURO4 ONE "&amp;TEXT(-PRESIONES!E$46*IF(DATOS!$C$65="CM KG",0.0001,IF(DATOS!$C$65="METER KG",1,0.00980665)),"0.000000")&amp;" GX"</f>
        <v>_MURO4 ONE 0.000430 GX</v>
      </c>
      <c r="C173" s="42" t="str">
        <f t="shared" si="2"/>
        <v/>
      </c>
      <c r="D173" s="42" t="s">
        <v>668</v>
      </c>
    </row>
    <row r="174" spans="2:4" ht="15" customHeight="1" x14ac:dyDescent="0.3">
      <c r="B174" s="44" t="str">
        <f>"_MURO1 ONE "&amp;TEXT(PRESIONES!E$43*IF(DATOS!$C$65="CM KG",0.0001,IF(DATOS!$C$65="METER KG",1,0.00980665)),"0.000000")&amp;" GZ"</f>
        <v>_MURO1 ONE 0.006770 GZ</v>
      </c>
      <c r="C174" s="42" t="str">
        <f t="shared" si="2"/>
        <v/>
      </c>
      <c r="D174" s="42" t="s">
        <v>669</v>
      </c>
    </row>
    <row r="175" spans="2:4" ht="15" customHeight="1" x14ac:dyDescent="0.3">
      <c r="B175" s="44" t="s">
        <v>632</v>
      </c>
      <c r="C175" s="42" t="str">
        <f t="shared" si="2"/>
        <v/>
      </c>
      <c r="D175" s="42"/>
    </row>
    <row r="176" spans="2:4" ht="15" customHeight="1" x14ac:dyDescent="0.3">
      <c r="B176" s="44" t="s">
        <v>670</v>
      </c>
      <c r="C176" s="42" t="str">
        <f t="shared" si="2"/>
        <v/>
      </c>
      <c r="D176" s="42"/>
    </row>
    <row r="177" spans="2:4" ht="15" customHeight="1" x14ac:dyDescent="0.3">
      <c r="B177" s="44" t="str">
        <f>STAAD!B435</f>
        <v>22 85 TO 88 UNI GY 0.0330</v>
      </c>
      <c r="C177" s="42" t="str">
        <f t="shared" si="2"/>
        <v/>
      </c>
      <c r="D177" s="42" t="s">
        <v>671</v>
      </c>
    </row>
    <row r="178" spans="2:4" ht="15" customHeight="1" x14ac:dyDescent="0.3">
      <c r="B178" s="44" t="str">
        <f>STAAD!B436</f>
        <v>22 85 TO 88 UNI GZ 0.0016</v>
      </c>
      <c r="C178" s="42" t="str">
        <f t="shared" si="2"/>
        <v/>
      </c>
      <c r="D178" s="42" t="s">
        <v>671</v>
      </c>
    </row>
    <row r="179" spans="2:4" ht="15" customHeight="1" x14ac:dyDescent="0.3">
      <c r="B179" s="44" t="str">
        <f>STAAD!B437</f>
        <v>80 129 TO 132 UNI GY 0.0659</v>
      </c>
      <c r="C179" s="42" t="str">
        <f t="shared" si="2"/>
        <v/>
      </c>
      <c r="D179" s="42" t="s">
        <v>671</v>
      </c>
    </row>
    <row r="180" spans="2:4" ht="15" customHeight="1" x14ac:dyDescent="0.3">
      <c r="B180" s="44" t="str">
        <f>STAAD!B438</f>
        <v>80 129 TO 132 UNI GZ 0.0033</v>
      </c>
      <c r="C180" s="42" t="str">
        <f t="shared" si="2"/>
        <v/>
      </c>
      <c r="D180" s="42" t="s">
        <v>671</v>
      </c>
    </row>
    <row r="181" spans="2:4" ht="15" customHeight="1" x14ac:dyDescent="0.3">
      <c r="B181" s="44" t="str">
        <f>STAAD!B439</f>
        <v>79 125 TO 128 UNI GY 0.0659</v>
      </c>
      <c r="C181" s="42" t="str">
        <f t="shared" si="2"/>
        <v/>
      </c>
      <c r="D181" s="42" t="s">
        <v>671</v>
      </c>
    </row>
    <row r="182" spans="2:4" ht="15" customHeight="1" x14ac:dyDescent="0.3">
      <c r="B182" s="44" t="str">
        <f>STAAD!B440</f>
        <v>79 125 TO 128 UNI GZ 0.0033</v>
      </c>
      <c r="C182" s="42" t="str">
        <f t="shared" si="2"/>
        <v/>
      </c>
      <c r="D182" s="42" t="s">
        <v>671</v>
      </c>
    </row>
    <row r="183" spans="2:4" ht="15" customHeight="1" x14ac:dyDescent="0.3">
      <c r="B183" s="44" t="str">
        <f>STAAD!B441</f>
        <v>78 121 TO 124 UNI GY 0.0659</v>
      </c>
      <c r="C183" s="42" t="str">
        <f t="shared" si="2"/>
        <v/>
      </c>
      <c r="D183" s="42" t="s">
        <v>671</v>
      </c>
    </row>
    <row r="184" spans="2:4" ht="15" customHeight="1" x14ac:dyDescent="0.3">
      <c r="B184" s="44" t="str">
        <f>STAAD!B442</f>
        <v>78 121 TO 124 UNI GZ 0.0033</v>
      </c>
      <c r="C184" s="42" t="str">
        <f t="shared" si="2"/>
        <v/>
      </c>
      <c r="D184" s="42" t="s">
        <v>671</v>
      </c>
    </row>
    <row r="185" spans="2:4" ht="15" customHeight="1" x14ac:dyDescent="0.3">
      <c r="B185" s="44" t="str">
        <f>STAAD!B443</f>
        <v>77 117 TO 120 UNI GY 0.0659</v>
      </c>
      <c r="C185" s="42" t="str">
        <f t="shared" si="2"/>
        <v/>
      </c>
      <c r="D185" s="42" t="s">
        <v>671</v>
      </c>
    </row>
    <row r="186" spans="2:4" ht="15" customHeight="1" x14ac:dyDescent="0.3">
      <c r="B186" s="44" t="str">
        <f>STAAD!B444</f>
        <v>77 117 TO 120 UNI GZ 0.0033</v>
      </c>
      <c r="C186" s="42" t="str">
        <f t="shared" si="2"/>
        <v/>
      </c>
      <c r="D186" s="42" t="s">
        <v>671</v>
      </c>
    </row>
    <row r="187" spans="2:4" ht="15" customHeight="1" x14ac:dyDescent="0.3">
      <c r="B187" s="44" t="str">
        <f>STAAD!B445</f>
        <v>9 93 TO 96 UNI GY 0.0659</v>
      </c>
      <c r="C187" s="42" t="str">
        <f t="shared" si="2"/>
        <v/>
      </c>
      <c r="D187" s="42" t="s">
        <v>671</v>
      </c>
    </row>
    <row r="188" spans="2:4" ht="15" customHeight="1" x14ac:dyDescent="0.3">
      <c r="B188" s="44" t="str">
        <f>STAAD!B446</f>
        <v>9 93 TO 96 UNI GZ 0.0033</v>
      </c>
      <c r="C188" s="42" t="str">
        <f t="shared" si="2"/>
        <v/>
      </c>
      <c r="D188" s="42" t="s">
        <v>671</v>
      </c>
    </row>
    <row r="189" spans="2:4" ht="15" customHeight="1" x14ac:dyDescent="0.3">
      <c r="B189" s="44" t="str">
        <f>STAAD!B447</f>
        <v>76 113 TO 116 UNI GY 0.0659</v>
      </c>
      <c r="C189" s="42" t="str">
        <f t="shared" si="2"/>
        <v/>
      </c>
      <c r="D189" s="42" t="s">
        <v>671</v>
      </c>
    </row>
    <row r="190" spans="2:4" ht="15" customHeight="1" x14ac:dyDescent="0.3">
      <c r="B190" s="44" t="str">
        <f>STAAD!B448</f>
        <v>76 113 TO 116 UNI GZ 0.0033</v>
      </c>
      <c r="C190" s="42" t="str">
        <f t="shared" si="2"/>
        <v/>
      </c>
      <c r="D190" s="42" t="s">
        <v>671</v>
      </c>
    </row>
    <row r="191" spans="2:4" ht="15" customHeight="1" x14ac:dyDescent="0.3">
      <c r="B191" s="44" t="str">
        <f>STAAD!B449</f>
        <v>75 109 TO 112 UNI GY 0.0659</v>
      </c>
      <c r="C191" s="42" t="str">
        <f t="shared" si="2"/>
        <v/>
      </c>
      <c r="D191" s="42" t="s">
        <v>671</v>
      </c>
    </row>
    <row r="192" spans="2:4" ht="15" customHeight="1" x14ac:dyDescent="0.3">
      <c r="B192" s="44" t="str">
        <f>STAAD!B450</f>
        <v>75 109 TO 112 UNI GZ 0.0033</v>
      </c>
      <c r="C192" s="42" t="str">
        <f t="shared" si="2"/>
        <v/>
      </c>
      <c r="D192" s="42" t="s">
        <v>671</v>
      </c>
    </row>
    <row r="193" spans="2:4" ht="15" customHeight="1" x14ac:dyDescent="0.3">
      <c r="B193" s="44" t="str">
        <f>STAAD!B451</f>
        <v>74 105 TO 108 UNI GY 0.0659</v>
      </c>
      <c r="C193" s="42" t="str">
        <f t="shared" si="2"/>
        <v/>
      </c>
      <c r="D193" s="42" t="s">
        <v>671</v>
      </c>
    </row>
    <row r="194" spans="2:4" ht="15" customHeight="1" x14ac:dyDescent="0.3">
      <c r="B194" s="44" t="str">
        <f>STAAD!B452</f>
        <v>74 105 TO 108 UNI GZ 0.0033</v>
      </c>
      <c r="C194" s="42" t="str">
        <f t="shared" si="2"/>
        <v/>
      </c>
      <c r="D194" s="42" t="s">
        <v>671</v>
      </c>
    </row>
    <row r="195" spans="2:4" ht="15" customHeight="1" x14ac:dyDescent="0.3">
      <c r="B195" s="44" t="str">
        <f>STAAD!B453</f>
        <v>73 101 TO 104 UNI GY 0.0659</v>
      </c>
      <c r="C195" s="42" t="str">
        <f t="shared" si="2"/>
        <v/>
      </c>
      <c r="D195" s="42" t="s">
        <v>671</v>
      </c>
    </row>
    <row r="196" spans="2:4" ht="15" customHeight="1" x14ac:dyDescent="0.3">
      <c r="B196" s="44" t="str">
        <f>STAAD!B454</f>
        <v>73 101 TO 104 UNI GZ 0.0033</v>
      </c>
      <c r="C196" s="42" t="str">
        <f t="shared" si="2"/>
        <v/>
      </c>
      <c r="D196" s="42" t="s">
        <v>671</v>
      </c>
    </row>
    <row r="197" spans="2:4" ht="15" customHeight="1" x14ac:dyDescent="0.3">
      <c r="B197" s="44" t="str">
        <f>STAAD!B455</f>
        <v>8 89 TO 92 UNI GY 0.0635</v>
      </c>
      <c r="C197" s="42" t="str">
        <f t="shared" si="2"/>
        <v/>
      </c>
      <c r="D197" s="42" t="s">
        <v>671</v>
      </c>
    </row>
    <row r="198" spans="2:4" ht="15" customHeight="1" x14ac:dyDescent="0.3">
      <c r="B198" s="44" t="str">
        <f>STAAD!B456</f>
        <v>8 89 TO 92 UNI GZ 0.0032</v>
      </c>
      <c r="C198" s="42" t="str">
        <f t="shared" ref="C198:C261" si="3">IF(LEN($B198)&gt;79,"MÁS DE 79 CARACTERES","")</f>
        <v/>
      </c>
      <c r="D198" s="42" t="s">
        <v>671</v>
      </c>
    </row>
    <row r="199" spans="2:4" ht="15" customHeight="1" x14ac:dyDescent="0.3">
      <c r="B199" s="44" t="str">
        <f>STAAD!B457</f>
        <v>56 97 TO 100 UNI GY 0.0610</v>
      </c>
      <c r="C199" s="42" t="str">
        <f t="shared" si="3"/>
        <v/>
      </c>
      <c r="D199" s="42" t="s">
        <v>671</v>
      </c>
    </row>
    <row r="200" spans="2:4" ht="15" customHeight="1" x14ac:dyDescent="0.3">
      <c r="B200" s="44" t="str">
        <f>STAAD!B458</f>
        <v>56 97 TO 100 UNI GZ 0.0031</v>
      </c>
      <c r="C200" s="42" t="str">
        <f t="shared" si="3"/>
        <v/>
      </c>
      <c r="D200" s="42" t="s">
        <v>671</v>
      </c>
    </row>
    <row r="201" spans="2:4" ht="15" customHeight="1" x14ac:dyDescent="0.3">
      <c r="B201" s="44" t="str">
        <f>STAAD!B459</f>
        <v>7 81 TO 84 UNI GY 0.0305</v>
      </c>
      <c r="C201" s="42" t="str">
        <f t="shared" si="3"/>
        <v/>
      </c>
      <c r="D201" s="42" t="s">
        <v>671</v>
      </c>
    </row>
    <row r="202" spans="2:4" ht="15" customHeight="1" x14ac:dyDescent="0.3">
      <c r="B202" s="44" t="str">
        <f>STAAD!B460</f>
        <v>7 81 TO 84 UNI GZ 0.0015</v>
      </c>
      <c r="C202" s="42" t="str">
        <f t="shared" si="3"/>
        <v/>
      </c>
      <c r="D202" s="42" t="s">
        <v>671</v>
      </c>
    </row>
    <row r="203" spans="2:4" ht="15" customHeight="1" x14ac:dyDescent="0.3">
      <c r="B203" s="44" t="str">
        <f>STAAD!B461</f>
        <v>*</v>
      </c>
      <c r="C203" s="42" t="str">
        <f t="shared" si="3"/>
        <v/>
      </c>
      <c r="D203" s="42" t="s">
        <v>671</v>
      </c>
    </row>
    <row r="204" spans="2:4" ht="15" customHeight="1" x14ac:dyDescent="0.3">
      <c r="B204" s="44" t="str">
        <f>STAAD!B462</f>
        <v>*</v>
      </c>
      <c r="C204" s="42" t="str">
        <f t="shared" si="3"/>
        <v/>
      </c>
      <c r="D204" s="42" t="s">
        <v>671</v>
      </c>
    </row>
    <row r="205" spans="2:4" ht="15" customHeight="1" x14ac:dyDescent="0.3">
      <c r="B205" s="44" t="str">
        <f>STAAD!B463</f>
        <v>*</v>
      </c>
      <c r="C205" s="42" t="str">
        <f t="shared" si="3"/>
        <v/>
      </c>
      <c r="D205" s="42" t="s">
        <v>671</v>
      </c>
    </row>
    <row r="206" spans="2:4" ht="15" customHeight="1" x14ac:dyDescent="0.3">
      <c r="B206" s="44" t="str">
        <f>STAAD!B464</f>
        <v>*</v>
      </c>
      <c r="C206" s="42" t="str">
        <f t="shared" si="3"/>
        <v/>
      </c>
      <c r="D206" s="42" t="s">
        <v>671</v>
      </c>
    </row>
    <row r="207" spans="2:4" ht="15" customHeight="1" x14ac:dyDescent="0.3">
      <c r="B207" s="44" t="str">
        <f>STAAD!B465</f>
        <v>*</v>
      </c>
      <c r="C207" s="42" t="str">
        <f t="shared" si="3"/>
        <v/>
      </c>
      <c r="D207" s="42" t="s">
        <v>671</v>
      </c>
    </row>
    <row r="208" spans="2:4" ht="15" customHeight="1" x14ac:dyDescent="0.3">
      <c r="B208" s="44" t="str">
        <f>STAAD!B466</f>
        <v>*</v>
      </c>
      <c r="C208" s="42" t="str">
        <f t="shared" si="3"/>
        <v/>
      </c>
      <c r="D208" s="42" t="s">
        <v>671</v>
      </c>
    </row>
    <row r="209" spans="2:4" ht="15" customHeight="1" x14ac:dyDescent="0.3">
      <c r="B209" s="44" t="str">
        <f>STAAD!B467</f>
        <v>*</v>
      </c>
      <c r="C209" s="42" t="str">
        <f t="shared" si="3"/>
        <v/>
      </c>
      <c r="D209" s="42" t="s">
        <v>671</v>
      </c>
    </row>
    <row r="210" spans="2:4" ht="15" customHeight="1" x14ac:dyDescent="0.3">
      <c r="B210" s="44" t="str">
        <f>STAAD!B468</f>
        <v>*</v>
      </c>
      <c r="C210" s="42" t="str">
        <f t="shared" si="3"/>
        <v/>
      </c>
      <c r="D210" s="42" t="s">
        <v>671</v>
      </c>
    </row>
    <row r="211" spans="2:4" ht="15" customHeight="1" x14ac:dyDescent="0.3">
      <c r="B211" s="44" t="str">
        <f>STAAD!B469</f>
        <v>*</v>
      </c>
      <c r="C211" s="42" t="str">
        <f t="shared" si="3"/>
        <v/>
      </c>
      <c r="D211" s="42" t="s">
        <v>671</v>
      </c>
    </row>
    <row r="212" spans="2:4" ht="15" customHeight="1" x14ac:dyDescent="0.3">
      <c r="B212" s="44" t="str">
        <f>STAAD!B470</f>
        <v>*</v>
      </c>
      <c r="C212" s="42" t="str">
        <f t="shared" si="3"/>
        <v/>
      </c>
      <c r="D212" s="42" t="s">
        <v>671</v>
      </c>
    </row>
    <row r="213" spans="2:4" ht="15" customHeight="1" x14ac:dyDescent="0.3">
      <c r="B213" s="44" t="str">
        <f>STAAD!B471</f>
        <v>*</v>
      </c>
      <c r="C213" s="42" t="str">
        <f t="shared" si="3"/>
        <v/>
      </c>
      <c r="D213" s="42" t="s">
        <v>671</v>
      </c>
    </row>
    <row r="214" spans="2:4" ht="15" customHeight="1" x14ac:dyDescent="0.3">
      <c r="B214" s="44" t="str">
        <f>STAAD!B472</f>
        <v>*</v>
      </c>
      <c r="C214" s="42" t="str">
        <f t="shared" si="3"/>
        <v/>
      </c>
      <c r="D214" s="42" t="s">
        <v>671</v>
      </c>
    </row>
    <row r="215" spans="2:4" ht="15" customHeight="1" x14ac:dyDescent="0.3">
      <c r="B215" s="44" t="str">
        <f>STAAD!B473</f>
        <v>*</v>
      </c>
      <c r="C215" s="42" t="str">
        <f t="shared" si="3"/>
        <v/>
      </c>
      <c r="D215" s="42" t="s">
        <v>671</v>
      </c>
    </row>
    <row r="216" spans="2:4" ht="15" customHeight="1" x14ac:dyDescent="0.3">
      <c r="B216" s="44" t="str">
        <f>STAAD!B474</f>
        <v>*</v>
      </c>
      <c r="C216" s="42" t="str">
        <f t="shared" si="3"/>
        <v/>
      </c>
      <c r="D216" s="42" t="s">
        <v>671</v>
      </c>
    </row>
    <row r="217" spans="2:4" ht="15" customHeight="1" x14ac:dyDescent="0.3">
      <c r="B217" s="44" t="str">
        <f>STAAD!B475</f>
        <v>*</v>
      </c>
      <c r="C217" s="42" t="str">
        <f t="shared" si="3"/>
        <v/>
      </c>
      <c r="D217" s="42" t="s">
        <v>671</v>
      </c>
    </row>
    <row r="218" spans="2:4" ht="15" customHeight="1" x14ac:dyDescent="0.3">
      <c r="B218" s="44" t="str">
        <f>STAAD!B476</f>
        <v>*</v>
      </c>
      <c r="C218" s="42" t="str">
        <f t="shared" si="3"/>
        <v/>
      </c>
      <c r="D218" s="42" t="s">
        <v>671</v>
      </c>
    </row>
    <row r="219" spans="2:4" ht="15" customHeight="1" x14ac:dyDescent="0.3">
      <c r="B219" s="44" t="str">
        <f>STAAD!B477</f>
        <v>*</v>
      </c>
      <c r="C219" s="42" t="str">
        <f t="shared" si="3"/>
        <v/>
      </c>
      <c r="D219" s="42" t="s">
        <v>671</v>
      </c>
    </row>
    <row r="220" spans="2:4" ht="15" customHeight="1" x14ac:dyDescent="0.3">
      <c r="B220" s="44" t="str">
        <f>STAAD!B478</f>
        <v>*</v>
      </c>
      <c r="C220" s="42" t="str">
        <f t="shared" si="3"/>
        <v/>
      </c>
      <c r="D220" s="42" t="s">
        <v>671</v>
      </c>
    </row>
    <row r="221" spans="2:4" ht="15" customHeight="1" x14ac:dyDescent="0.3">
      <c r="B221" s="44" t="str">
        <f>STAAD!B479</f>
        <v>*</v>
      </c>
      <c r="C221" s="42" t="str">
        <f t="shared" si="3"/>
        <v/>
      </c>
      <c r="D221" s="42" t="s">
        <v>671</v>
      </c>
    </row>
    <row r="222" spans="2:4" ht="15" customHeight="1" x14ac:dyDescent="0.3">
      <c r="B222" s="44" t="str">
        <f>STAAD!B480</f>
        <v>*</v>
      </c>
      <c r="C222" s="42" t="str">
        <f t="shared" si="3"/>
        <v/>
      </c>
      <c r="D222" s="42" t="s">
        <v>671</v>
      </c>
    </row>
    <row r="223" spans="2:4" ht="15" customHeight="1" x14ac:dyDescent="0.3">
      <c r="B223" s="44" t="str">
        <f>STAAD!B481</f>
        <v>*</v>
      </c>
      <c r="C223" s="42" t="str">
        <f t="shared" si="3"/>
        <v/>
      </c>
      <c r="D223" s="42" t="s">
        <v>671</v>
      </c>
    </row>
    <row r="224" spans="2:4" ht="15" customHeight="1" x14ac:dyDescent="0.3">
      <c r="B224" s="44" t="str">
        <f>STAAD!B482</f>
        <v>*</v>
      </c>
      <c r="C224" s="42" t="str">
        <f t="shared" si="3"/>
        <v/>
      </c>
      <c r="D224" s="42" t="s">
        <v>671</v>
      </c>
    </row>
    <row r="225" spans="2:4" ht="15" customHeight="1" x14ac:dyDescent="0.3">
      <c r="B225" s="44" t="str">
        <f>STAAD!B483</f>
        <v>*</v>
      </c>
      <c r="C225" s="42" t="str">
        <f t="shared" si="3"/>
        <v/>
      </c>
      <c r="D225" s="42" t="s">
        <v>671</v>
      </c>
    </row>
    <row r="226" spans="2:4" ht="15" customHeight="1" x14ac:dyDescent="0.3">
      <c r="B226" s="44" t="str">
        <f>STAAD!B484</f>
        <v>*</v>
      </c>
      <c r="C226" s="42" t="str">
        <f t="shared" si="3"/>
        <v/>
      </c>
      <c r="D226" s="42" t="s">
        <v>671</v>
      </c>
    </row>
    <row r="227" spans="2:4" ht="15" customHeight="1" x14ac:dyDescent="0.3">
      <c r="B227" s="44" t="str">
        <f>STAAD!B485</f>
        <v>*</v>
      </c>
      <c r="C227" s="42" t="str">
        <f t="shared" si="3"/>
        <v/>
      </c>
      <c r="D227" s="42" t="s">
        <v>671</v>
      </c>
    </row>
    <row r="228" spans="2:4" ht="15" customHeight="1" x14ac:dyDescent="0.3">
      <c r="B228" s="44" t="str">
        <f>STAAD!B486</f>
        <v>*</v>
      </c>
      <c r="C228" s="42" t="str">
        <f t="shared" si="3"/>
        <v/>
      </c>
      <c r="D228" s="42" t="s">
        <v>671</v>
      </c>
    </row>
    <row r="229" spans="2:4" ht="15" customHeight="1" x14ac:dyDescent="0.3">
      <c r="B229" s="44" t="str">
        <f>STAAD!B487</f>
        <v>*</v>
      </c>
      <c r="C229" s="42" t="str">
        <f t="shared" si="3"/>
        <v/>
      </c>
      <c r="D229" s="42" t="s">
        <v>671</v>
      </c>
    </row>
    <row r="230" spans="2:4" ht="15" customHeight="1" x14ac:dyDescent="0.3">
      <c r="B230" s="44" t="str">
        <f>STAAD!B488</f>
        <v>*</v>
      </c>
      <c r="C230" s="42" t="str">
        <f t="shared" si="3"/>
        <v/>
      </c>
      <c r="D230" s="42" t="s">
        <v>671</v>
      </c>
    </row>
    <row r="231" spans="2:4" ht="15" customHeight="1" x14ac:dyDescent="0.3">
      <c r="B231" s="44" t="str">
        <f>STAAD!B489</f>
        <v>*</v>
      </c>
      <c r="C231" s="42" t="str">
        <f t="shared" si="3"/>
        <v/>
      </c>
      <c r="D231" s="42" t="s">
        <v>671</v>
      </c>
    </row>
    <row r="232" spans="2:4" ht="15" customHeight="1" x14ac:dyDescent="0.3">
      <c r="B232" s="44" t="str">
        <f>STAAD!B490</f>
        <v>*</v>
      </c>
      <c r="C232" s="42" t="str">
        <f t="shared" si="3"/>
        <v/>
      </c>
      <c r="D232" s="42" t="s">
        <v>671</v>
      </c>
    </row>
    <row r="233" spans="2:4" ht="15" customHeight="1" x14ac:dyDescent="0.3">
      <c r="B233" s="44" t="str">
        <f>STAAD!B491</f>
        <v>*</v>
      </c>
      <c r="C233" s="42" t="str">
        <f t="shared" si="3"/>
        <v/>
      </c>
      <c r="D233" s="42" t="s">
        <v>671</v>
      </c>
    </row>
    <row r="234" spans="2:4" ht="15" customHeight="1" x14ac:dyDescent="0.3">
      <c r="B234" s="44" t="str">
        <f>STAAD!B492</f>
        <v>*</v>
      </c>
      <c r="C234" s="42" t="str">
        <f t="shared" si="3"/>
        <v/>
      </c>
      <c r="D234" s="42" t="s">
        <v>671</v>
      </c>
    </row>
    <row r="235" spans="2:4" ht="15" customHeight="1" x14ac:dyDescent="0.3">
      <c r="B235" s="44" t="str">
        <f>STAAD!B493</f>
        <v>*</v>
      </c>
      <c r="C235" s="42" t="str">
        <f t="shared" si="3"/>
        <v/>
      </c>
      <c r="D235" s="42" t="s">
        <v>671</v>
      </c>
    </row>
    <row r="236" spans="2:4" ht="15" customHeight="1" x14ac:dyDescent="0.3">
      <c r="B236" s="44" t="str">
        <f>STAAD!B494</f>
        <v>*</v>
      </c>
      <c r="C236" s="42" t="str">
        <f t="shared" si="3"/>
        <v/>
      </c>
      <c r="D236" s="42" t="s">
        <v>671</v>
      </c>
    </row>
    <row r="237" spans="2:4" ht="15" customHeight="1" x14ac:dyDescent="0.3">
      <c r="B237" s="44" t="s">
        <v>672</v>
      </c>
      <c r="C237" s="42" t="str">
        <f t="shared" si="3"/>
        <v/>
      </c>
      <c r="D237" s="42"/>
    </row>
    <row r="238" spans="2:4" ht="15" customHeight="1" x14ac:dyDescent="0.3">
      <c r="B238" s="44" t="s">
        <v>673</v>
      </c>
      <c r="C238" s="42" t="str">
        <f t="shared" si="3"/>
        <v/>
      </c>
      <c r="D238" s="42"/>
    </row>
    <row r="239" spans="2:4" ht="15" customHeight="1" x14ac:dyDescent="0.3">
      <c r="B239" s="44" t="str">
        <f>"259 260 261 UNI GX "&amp;TEXT(PRESIONES!E$45*0.6*DATOS!$C$67,DATOS!$C$68)</f>
        <v>259 260 261 UNI GX -0.0258</v>
      </c>
      <c r="C239" s="42" t="str">
        <f t="shared" si="3"/>
        <v/>
      </c>
      <c r="D239" s="42" t="s">
        <v>674</v>
      </c>
    </row>
    <row r="240" spans="2:4" ht="15" customHeight="1" x14ac:dyDescent="0.3">
      <c r="B240" s="44" t="str">
        <f>"265 266 267 UNI GX "&amp;TEXT(-PRESIONES!E$46*0.6*DATOS!$C$67,DATOS!$C$68)</f>
        <v>265 266 267 UNI GX 0.0258</v>
      </c>
      <c r="C240" s="42" t="str">
        <f t="shared" si="3"/>
        <v/>
      </c>
      <c r="D240" s="42" t="s">
        <v>675</v>
      </c>
    </row>
    <row r="241" spans="2:4" ht="15" customHeight="1" x14ac:dyDescent="0.3">
      <c r="B241" s="44" t="str">
        <f>"262 263 264 UNI GZ "&amp;TEXT(PRESIONES!E$43*0.6*DATOS!$C$67,DATOS!$C$68)</f>
        <v>262 263 264 UNI GZ 0.4062</v>
      </c>
      <c r="C241" s="42" t="str">
        <f t="shared" si="3"/>
        <v/>
      </c>
      <c r="D241" s="42" t="s">
        <v>676</v>
      </c>
    </row>
    <row r="242" spans="2:4" ht="15" customHeight="1" x14ac:dyDescent="0.3">
      <c r="B242" s="44" t="s">
        <v>677</v>
      </c>
      <c r="C242" s="42" t="str">
        <f t="shared" si="3"/>
        <v/>
      </c>
      <c r="D242" s="42"/>
    </row>
    <row r="243" spans="2:4" ht="15" customHeight="1" x14ac:dyDescent="0.3">
      <c r="B243" s="44" t="str">
        <f>STAAD!B587</f>
        <v>17 191 203 213 223 233 UNI GZ 1.7269</v>
      </c>
      <c r="C243" s="42" t="str">
        <f t="shared" si="3"/>
        <v/>
      </c>
      <c r="D243" s="42" t="s">
        <v>678</v>
      </c>
    </row>
    <row r="244" spans="2:4" ht="15" customHeight="1" x14ac:dyDescent="0.3">
      <c r="B244" s="44" t="str">
        <f>STAAD!B588</f>
        <v>18 192 204 214 224 234 UNI GZ 1.7269</v>
      </c>
      <c r="C244" s="42" t="str">
        <f t="shared" si="3"/>
        <v/>
      </c>
      <c r="D244" s="42" t="s">
        <v>678</v>
      </c>
    </row>
    <row r="245" spans="2:4" ht="15" customHeight="1" x14ac:dyDescent="0.3">
      <c r="B245" s="44" t="s">
        <v>679</v>
      </c>
      <c r="C245" s="42" t="str">
        <f t="shared" si="3"/>
        <v/>
      </c>
      <c r="D245" s="42"/>
    </row>
    <row r="246" spans="2:4" ht="15" customHeight="1" x14ac:dyDescent="0.3">
      <c r="B246" s="44" t="str">
        <f>"15 189 UNI GZ "&amp;TEXT(PRESIONES!E$43*0.65*DATOS!$C$67,DATOS!$C$68)</f>
        <v>15 189 UNI GZ 0.4400</v>
      </c>
      <c r="C246" s="42" t="str">
        <f t="shared" si="3"/>
        <v/>
      </c>
      <c r="D246" s="42" t="s">
        <v>680</v>
      </c>
    </row>
    <row r="247" spans="2:4" ht="15" customHeight="1" x14ac:dyDescent="0.3">
      <c r="B247" s="44" t="str">
        <f>"16 190 UNI GZ "&amp;TEXT(PRESIONES!E$43*0.65*DATOS!$C$67,DATOS!$C$68)</f>
        <v>16 190 UNI GZ 0.4400</v>
      </c>
      <c r="C247" s="42" t="str">
        <f t="shared" si="3"/>
        <v/>
      </c>
      <c r="D247" s="42" t="s">
        <v>681</v>
      </c>
    </row>
    <row r="248" spans="2:4" ht="15" customHeight="1" x14ac:dyDescent="0.3">
      <c r="B248" s="44" t="s">
        <v>682</v>
      </c>
      <c r="C248" s="42" t="str">
        <f t="shared" si="3"/>
        <v/>
      </c>
      <c r="D248" s="42"/>
    </row>
    <row r="249" spans="2:4" ht="15" customHeight="1" x14ac:dyDescent="0.3">
      <c r="B249" s="44" t="str">
        <f>STAAD!B645</f>
        <v>LOAD 11 LOADTYPE Wind  TITLE VIENTO -Z</v>
      </c>
      <c r="C249" s="42" t="str">
        <f t="shared" si="3"/>
        <v/>
      </c>
      <c r="D249" s="42" t="s">
        <v>663</v>
      </c>
    </row>
    <row r="250" spans="2:4" ht="15" customHeight="1" x14ac:dyDescent="0.3">
      <c r="B250" s="44" t="s">
        <v>664</v>
      </c>
      <c r="C250" s="42" t="str">
        <f t="shared" si="3"/>
        <v/>
      </c>
      <c r="D250" s="42"/>
    </row>
    <row r="251" spans="2:4" ht="15" customHeight="1" x14ac:dyDescent="0.3">
      <c r="B251" s="44" t="s">
        <v>665</v>
      </c>
      <c r="C251" s="42" t="str">
        <f t="shared" si="3"/>
        <v/>
      </c>
      <c r="D251" s="42"/>
    </row>
    <row r="252" spans="2:4" ht="15" customHeight="1" x14ac:dyDescent="0.3">
      <c r="B252" s="44" t="s">
        <v>666</v>
      </c>
      <c r="C252" s="42" t="str">
        <f t="shared" si="3"/>
        <v/>
      </c>
      <c r="D252" s="42"/>
    </row>
    <row r="253" spans="2:4" ht="15" customHeight="1" x14ac:dyDescent="0.3">
      <c r="B253" s="44" t="str">
        <f>"_MURO3 ONE "&amp;TEXT(PRESIONES!F$45*IF(DATOS!$C$65="CM KG",0.0001,IF(DATOS!$C$65="METER KG",1,0.00980665)),"0.000000")&amp;" GX"</f>
        <v>_MURO3 ONE -0.007022 GX</v>
      </c>
      <c r="C253" s="42" t="str">
        <f t="shared" si="3"/>
        <v/>
      </c>
      <c r="D253" s="42" t="s">
        <v>667</v>
      </c>
    </row>
    <row r="254" spans="2:4" ht="15" customHeight="1" x14ac:dyDescent="0.3">
      <c r="B254" s="44" t="str">
        <f>"_MURO4 ONE "&amp;TEXT(-PRESIONES!F$46*IF(DATOS!$C$65="CM KG",0.0001,IF(DATOS!$C$65="METER KG",1,0.00980665)),"0.000000")&amp;" GX"</f>
        <v>_MURO4 ONE 0.007022 GX</v>
      </c>
      <c r="C254" s="42" t="str">
        <f t="shared" si="3"/>
        <v/>
      </c>
      <c r="D254" s="42" t="s">
        <v>668</v>
      </c>
    </row>
    <row r="255" spans="2:4" ht="15" customHeight="1" x14ac:dyDescent="0.3">
      <c r="B255" s="44" t="str">
        <f>"_MURO1 ONE "&amp;TEXT(PRESIONES!F$43*IF(DATOS!$C$65="CM KG",0.0001,IF(DATOS!$C$65="METER KG",1,0.00980665)),"0.000000")&amp;" GZ"</f>
        <v>_MURO1 ONE -0.006062 GZ</v>
      </c>
      <c r="C255" s="42" t="str">
        <f t="shared" si="3"/>
        <v/>
      </c>
      <c r="D255" s="42" t="s">
        <v>669</v>
      </c>
    </row>
    <row r="256" spans="2:4" ht="15" customHeight="1" x14ac:dyDescent="0.3">
      <c r="B256" s="44" t="s">
        <v>632</v>
      </c>
      <c r="C256" s="42" t="str">
        <f t="shared" si="3"/>
        <v/>
      </c>
      <c r="D256" s="42"/>
    </row>
    <row r="257" spans="2:4" ht="15" customHeight="1" x14ac:dyDescent="0.3">
      <c r="B257" s="44" t="s">
        <v>670</v>
      </c>
      <c r="C257" s="42" t="str">
        <f t="shared" si="3"/>
        <v/>
      </c>
      <c r="D257" s="42"/>
    </row>
    <row r="258" spans="2:4" ht="15" customHeight="1" x14ac:dyDescent="0.3">
      <c r="B258" s="44" t="str">
        <f>STAAD!B647</f>
        <v>22 85 TO 88 UNI GY 0.4779</v>
      </c>
      <c r="C258" s="42" t="str">
        <f t="shared" si="3"/>
        <v/>
      </c>
      <c r="D258" s="42" t="s">
        <v>671</v>
      </c>
    </row>
    <row r="259" spans="2:4" ht="15" customHeight="1" x14ac:dyDescent="0.3">
      <c r="B259" s="44" t="str">
        <f>STAAD!B648</f>
        <v>22 85 TO 88 UNI GZ 0.0239</v>
      </c>
      <c r="C259" s="42" t="str">
        <f t="shared" si="3"/>
        <v/>
      </c>
      <c r="D259" s="42" t="s">
        <v>671</v>
      </c>
    </row>
    <row r="260" spans="2:4" ht="15" customHeight="1" x14ac:dyDescent="0.3">
      <c r="B260" s="44" t="str">
        <f>STAAD!B649</f>
        <v>80 129 TO 132 UNI GY 0.9559</v>
      </c>
      <c r="C260" s="42" t="str">
        <f t="shared" si="3"/>
        <v/>
      </c>
      <c r="D260" s="42" t="s">
        <v>671</v>
      </c>
    </row>
    <row r="261" spans="2:4" ht="15" customHeight="1" x14ac:dyDescent="0.3">
      <c r="B261" s="44" t="str">
        <f>STAAD!B650</f>
        <v>80 129 TO 132 UNI GZ 0.0478</v>
      </c>
      <c r="C261" s="42" t="str">
        <f t="shared" si="3"/>
        <v/>
      </c>
      <c r="D261" s="42" t="s">
        <v>671</v>
      </c>
    </row>
    <row r="262" spans="2:4" ht="15" customHeight="1" x14ac:dyDescent="0.3">
      <c r="B262" s="44" t="str">
        <f>STAAD!B651</f>
        <v>79 125 TO 128 UNI GY 0.9559</v>
      </c>
      <c r="C262" s="42" t="str">
        <f t="shared" ref="C262:C325" si="4">IF(LEN($B262)&gt;79,"MÁS DE 79 CARACTERES","")</f>
        <v/>
      </c>
      <c r="D262" s="42" t="s">
        <v>671</v>
      </c>
    </row>
    <row r="263" spans="2:4" ht="15" customHeight="1" x14ac:dyDescent="0.3">
      <c r="B263" s="44" t="str">
        <f>STAAD!B652</f>
        <v>79 125 TO 128 UNI GZ 0.0478</v>
      </c>
      <c r="C263" s="42" t="str">
        <f t="shared" si="4"/>
        <v/>
      </c>
      <c r="D263" s="42" t="s">
        <v>671</v>
      </c>
    </row>
    <row r="264" spans="2:4" ht="15" customHeight="1" x14ac:dyDescent="0.3">
      <c r="B264" s="44" t="str">
        <f>STAAD!B653</f>
        <v>78 121 TO 124 UNI GY 0.9559</v>
      </c>
      <c r="C264" s="42" t="str">
        <f t="shared" si="4"/>
        <v/>
      </c>
      <c r="D264" s="42" t="s">
        <v>671</v>
      </c>
    </row>
    <row r="265" spans="2:4" ht="15" customHeight="1" x14ac:dyDescent="0.3">
      <c r="B265" s="44" t="str">
        <f>STAAD!B654</f>
        <v>78 121 TO 124 UNI GZ 0.0478</v>
      </c>
      <c r="C265" s="42" t="str">
        <f t="shared" si="4"/>
        <v/>
      </c>
      <c r="D265" s="42" t="s">
        <v>671</v>
      </c>
    </row>
    <row r="266" spans="2:4" ht="15" customHeight="1" x14ac:dyDescent="0.3">
      <c r="B266" s="44" t="str">
        <f>STAAD!B655</f>
        <v>77 117 TO 120 UNI GY 0.9559</v>
      </c>
      <c r="C266" s="42" t="str">
        <f t="shared" si="4"/>
        <v/>
      </c>
      <c r="D266" s="42" t="s">
        <v>671</v>
      </c>
    </row>
    <row r="267" spans="2:4" ht="15" customHeight="1" x14ac:dyDescent="0.3">
      <c r="B267" s="44" t="str">
        <f>STAAD!B656</f>
        <v>77 117 TO 120 UNI GZ 0.0478</v>
      </c>
      <c r="C267" s="42" t="str">
        <f t="shared" si="4"/>
        <v/>
      </c>
      <c r="D267" s="42" t="s">
        <v>671</v>
      </c>
    </row>
    <row r="268" spans="2:4" ht="15" customHeight="1" x14ac:dyDescent="0.3">
      <c r="B268" s="44" t="str">
        <f>STAAD!B657</f>
        <v>9 93 TO 96 UNI GY 0.9559</v>
      </c>
      <c r="C268" s="42" t="str">
        <f t="shared" si="4"/>
        <v/>
      </c>
      <c r="D268" s="42" t="s">
        <v>671</v>
      </c>
    </row>
    <row r="269" spans="2:4" ht="15" customHeight="1" x14ac:dyDescent="0.3">
      <c r="B269" s="44" t="str">
        <f>STAAD!B658</f>
        <v>9 93 TO 96 UNI GZ 0.0478</v>
      </c>
      <c r="C269" s="42" t="str">
        <f t="shared" si="4"/>
        <v/>
      </c>
      <c r="D269" s="42" t="s">
        <v>671</v>
      </c>
    </row>
    <row r="270" spans="2:4" ht="15" customHeight="1" x14ac:dyDescent="0.3">
      <c r="B270" s="44" t="str">
        <f>STAAD!B659</f>
        <v>76 113 TO 116 UNI GY 0.9559</v>
      </c>
      <c r="C270" s="42" t="str">
        <f t="shared" si="4"/>
        <v/>
      </c>
      <c r="D270" s="42" t="s">
        <v>671</v>
      </c>
    </row>
    <row r="271" spans="2:4" ht="15" customHeight="1" x14ac:dyDescent="0.3">
      <c r="B271" s="44" t="str">
        <f>STAAD!B660</f>
        <v>76 113 TO 116 UNI GZ 0.0478</v>
      </c>
      <c r="C271" s="42" t="str">
        <f t="shared" si="4"/>
        <v/>
      </c>
      <c r="D271" s="42" t="s">
        <v>671</v>
      </c>
    </row>
    <row r="272" spans="2:4" ht="15" customHeight="1" x14ac:dyDescent="0.3">
      <c r="B272" s="44" t="str">
        <f>STAAD!B661</f>
        <v>75 109 TO 112 UNI GY 0.9559</v>
      </c>
      <c r="C272" s="42" t="str">
        <f t="shared" si="4"/>
        <v/>
      </c>
      <c r="D272" s="42" t="s">
        <v>671</v>
      </c>
    </row>
    <row r="273" spans="2:4" ht="15" customHeight="1" x14ac:dyDescent="0.3">
      <c r="B273" s="44" t="str">
        <f>STAAD!B662</f>
        <v>75 109 TO 112 UNI GZ 0.0478</v>
      </c>
      <c r="C273" s="42" t="str">
        <f t="shared" si="4"/>
        <v/>
      </c>
      <c r="D273" s="42" t="s">
        <v>671</v>
      </c>
    </row>
    <row r="274" spans="2:4" ht="15" customHeight="1" x14ac:dyDescent="0.3">
      <c r="B274" s="44" t="str">
        <f>STAAD!B663</f>
        <v>74 105 TO 108 UNI GY 0.9559</v>
      </c>
      <c r="C274" s="42" t="str">
        <f t="shared" si="4"/>
        <v/>
      </c>
      <c r="D274" s="42" t="s">
        <v>671</v>
      </c>
    </row>
    <row r="275" spans="2:4" ht="15" customHeight="1" x14ac:dyDescent="0.3">
      <c r="B275" s="44" t="str">
        <f>STAAD!B664</f>
        <v>74 105 TO 108 UNI GZ 0.0478</v>
      </c>
      <c r="C275" s="42" t="str">
        <f t="shared" si="4"/>
        <v/>
      </c>
      <c r="D275" s="42" t="s">
        <v>671</v>
      </c>
    </row>
    <row r="276" spans="2:4" ht="15" customHeight="1" x14ac:dyDescent="0.3">
      <c r="B276" s="44" t="str">
        <f>STAAD!B665</f>
        <v>73 101 TO 104 UNI GY 0.9559</v>
      </c>
      <c r="C276" s="42" t="str">
        <f t="shared" si="4"/>
        <v/>
      </c>
      <c r="D276" s="42" t="s">
        <v>671</v>
      </c>
    </row>
    <row r="277" spans="2:4" ht="15" customHeight="1" x14ac:dyDescent="0.3">
      <c r="B277" s="44" t="str">
        <f>STAAD!B666</f>
        <v>73 101 TO 104 UNI GZ 0.0478</v>
      </c>
      <c r="C277" s="42" t="str">
        <f t="shared" si="4"/>
        <v/>
      </c>
      <c r="D277" s="42" t="s">
        <v>671</v>
      </c>
    </row>
    <row r="278" spans="2:4" ht="15" customHeight="1" x14ac:dyDescent="0.3">
      <c r="B278" s="44" t="str">
        <f>STAAD!B667</f>
        <v>8 89 TO 92 UNI GY 0.9205</v>
      </c>
      <c r="C278" s="42" t="str">
        <f t="shared" si="4"/>
        <v/>
      </c>
      <c r="D278" s="42" t="s">
        <v>671</v>
      </c>
    </row>
    <row r="279" spans="2:4" ht="15" customHeight="1" x14ac:dyDescent="0.3">
      <c r="B279" s="44" t="str">
        <f>STAAD!B668</f>
        <v>8 89 TO 92 UNI GZ 0.0460</v>
      </c>
      <c r="C279" s="42" t="str">
        <f t="shared" si="4"/>
        <v/>
      </c>
      <c r="D279" s="42" t="s">
        <v>671</v>
      </c>
    </row>
    <row r="280" spans="2:4" ht="15" customHeight="1" x14ac:dyDescent="0.3">
      <c r="B280" s="44" t="str">
        <f>STAAD!B669</f>
        <v>56 97 TO 100 UNI GY 0.8851</v>
      </c>
      <c r="C280" s="42" t="str">
        <f t="shared" si="4"/>
        <v/>
      </c>
      <c r="D280" s="42" t="s">
        <v>671</v>
      </c>
    </row>
    <row r="281" spans="2:4" ht="15" customHeight="1" x14ac:dyDescent="0.3">
      <c r="B281" s="44" t="str">
        <f>STAAD!B670</f>
        <v>56 97 TO 100 UNI GZ 0.0443</v>
      </c>
      <c r="C281" s="42" t="str">
        <f t="shared" si="4"/>
        <v/>
      </c>
      <c r="D281" s="42" t="s">
        <v>671</v>
      </c>
    </row>
    <row r="282" spans="2:4" ht="15" customHeight="1" x14ac:dyDescent="0.3">
      <c r="B282" s="44" t="str">
        <f>STAAD!B671</f>
        <v>7 81 TO 84 UNI GY 0.4425</v>
      </c>
      <c r="C282" s="42" t="str">
        <f t="shared" si="4"/>
        <v/>
      </c>
      <c r="D282" s="42" t="s">
        <v>671</v>
      </c>
    </row>
    <row r="283" spans="2:4" ht="15" customHeight="1" x14ac:dyDescent="0.3">
      <c r="B283" s="44" t="str">
        <f>STAAD!B672</f>
        <v>7 81 TO 84 UNI GZ 0.0221</v>
      </c>
      <c r="C283" s="42" t="str">
        <f t="shared" si="4"/>
        <v/>
      </c>
      <c r="D283" s="42" t="s">
        <v>671</v>
      </c>
    </row>
    <row r="284" spans="2:4" ht="15" customHeight="1" x14ac:dyDescent="0.3">
      <c r="B284" s="44" t="str">
        <f>STAAD!B673</f>
        <v>*</v>
      </c>
      <c r="C284" s="42" t="str">
        <f t="shared" si="4"/>
        <v/>
      </c>
      <c r="D284" s="42" t="s">
        <v>671</v>
      </c>
    </row>
    <row r="285" spans="2:4" ht="15" customHeight="1" x14ac:dyDescent="0.3">
      <c r="B285" s="44" t="str">
        <f>STAAD!B674</f>
        <v>*</v>
      </c>
      <c r="C285" s="42" t="str">
        <f t="shared" si="4"/>
        <v/>
      </c>
      <c r="D285" s="42" t="s">
        <v>671</v>
      </c>
    </row>
    <row r="286" spans="2:4" ht="15" customHeight="1" x14ac:dyDescent="0.3">
      <c r="B286" s="44" t="str">
        <f>STAAD!B675</f>
        <v>*</v>
      </c>
      <c r="C286" s="42" t="str">
        <f t="shared" si="4"/>
        <v/>
      </c>
      <c r="D286" s="42" t="s">
        <v>671</v>
      </c>
    </row>
    <row r="287" spans="2:4" ht="15" customHeight="1" x14ac:dyDescent="0.3">
      <c r="B287" s="44" t="str">
        <f>STAAD!B676</f>
        <v>*</v>
      </c>
      <c r="C287" s="42" t="str">
        <f t="shared" si="4"/>
        <v/>
      </c>
      <c r="D287" s="42" t="s">
        <v>671</v>
      </c>
    </row>
    <row r="288" spans="2:4" ht="15" customHeight="1" x14ac:dyDescent="0.3">
      <c r="B288" s="44" t="str">
        <f>STAAD!B677</f>
        <v>*</v>
      </c>
      <c r="C288" s="42" t="str">
        <f t="shared" si="4"/>
        <v/>
      </c>
      <c r="D288" s="42" t="s">
        <v>671</v>
      </c>
    </row>
    <row r="289" spans="2:4" ht="15" customHeight="1" x14ac:dyDescent="0.3">
      <c r="B289" s="44" t="str">
        <f>STAAD!B678</f>
        <v>*</v>
      </c>
      <c r="C289" s="42" t="str">
        <f t="shared" si="4"/>
        <v/>
      </c>
      <c r="D289" s="42" t="s">
        <v>671</v>
      </c>
    </row>
    <row r="290" spans="2:4" ht="15" customHeight="1" x14ac:dyDescent="0.3">
      <c r="B290" s="44" t="str">
        <f>STAAD!B679</f>
        <v>*</v>
      </c>
      <c r="C290" s="42" t="str">
        <f t="shared" si="4"/>
        <v/>
      </c>
      <c r="D290" s="42" t="s">
        <v>671</v>
      </c>
    </row>
    <row r="291" spans="2:4" ht="15" customHeight="1" x14ac:dyDescent="0.3">
      <c r="B291" s="44" t="str">
        <f>STAAD!B680</f>
        <v>*</v>
      </c>
      <c r="C291" s="42" t="str">
        <f t="shared" si="4"/>
        <v/>
      </c>
      <c r="D291" s="42" t="s">
        <v>671</v>
      </c>
    </row>
    <row r="292" spans="2:4" ht="15" customHeight="1" x14ac:dyDescent="0.3">
      <c r="B292" s="44" t="str">
        <f>STAAD!B681</f>
        <v>*</v>
      </c>
      <c r="C292" s="42" t="str">
        <f t="shared" si="4"/>
        <v/>
      </c>
      <c r="D292" s="42" t="s">
        <v>671</v>
      </c>
    </row>
    <row r="293" spans="2:4" ht="15" customHeight="1" x14ac:dyDescent="0.3">
      <c r="B293" s="44" t="str">
        <f>STAAD!B682</f>
        <v>*</v>
      </c>
      <c r="C293" s="42" t="str">
        <f t="shared" si="4"/>
        <v/>
      </c>
      <c r="D293" s="42" t="s">
        <v>671</v>
      </c>
    </row>
    <row r="294" spans="2:4" ht="15" customHeight="1" x14ac:dyDescent="0.3">
      <c r="B294" s="44" t="str">
        <f>STAAD!B683</f>
        <v>*</v>
      </c>
      <c r="C294" s="42" t="str">
        <f t="shared" si="4"/>
        <v/>
      </c>
      <c r="D294" s="42" t="s">
        <v>671</v>
      </c>
    </row>
    <row r="295" spans="2:4" ht="15" customHeight="1" x14ac:dyDescent="0.3">
      <c r="B295" s="44" t="str">
        <f>STAAD!B684</f>
        <v>*</v>
      </c>
      <c r="C295" s="42" t="str">
        <f t="shared" si="4"/>
        <v/>
      </c>
      <c r="D295" s="42" t="s">
        <v>671</v>
      </c>
    </row>
    <row r="296" spans="2:4" ht="15" customHeight="1" x14ac:dyDescent="0.3">
      <c r="B296" s="44" t="str">
        <f>STAAD!B685</f>
        <v>*</v>
      </c>
      <c r="C296" s="42" t="str">
        <f t="shared" si="4"/>
        <v/>
      </c>
      <c r="D296" s="42" t="s">
        <v>671</v>
      </c>
    </row>
    <row r="297" spans="2:4" ht="15" customHeight="1" x14ac:dyDescent="0.3">
      <c r="B297" s="44" t="str">
        <f>STAAD!B686</f>
        <v>*</v>
      </c>
      <c r="C297" s="42" t="str">
        <f t="shared" si="4"/>
        <v/>
      </c>
      <c r="D297" s="42" t="s">
        <v>671</v>
      </c>
    </row>
    <row r="298" spans="2:4" ht="15" customHeight="1" x14ac:dyDescent="0.3">
      <c r="B298" s="44" t="str">
        <f>STAAD!B687</f>
        <v>*</v>
      </c>
      <c r="C298" s="42" t="str">
        <f t="shared" si="4"/>
        <v/>
      </c>
      <c r="D298" s="42" t="s">
        <v>671</v>
      </c>
    </row>
    <row r="299" spans="2:4" ht="15" customHeight="1" x14ac:dyDescent="0.3">
      <c r="B299" s="44" t="str">
        <f>STAAD!B688</f>
        <v>*</v>
      </c>
      <c r="C299" s="42" t="str">
        <f t="shared" si="4"/>
        <v/>
      </c>
      <c r="D299" s="42" t="s">
        <v>671</v>
      </c>
    </row>
    <row r="300" spans="2:4" ht="15" customHeight="1" x14ac:dyDescent="0.3">
      <c r="B300" s="44" t="str">
        <f>STAAD!B689</f>
        <v>*</v>
      </c>
      <c r="C300" s="42" t="str">
        <f t="shared" si="4"/>
        <v/>
      </c>
      <c r="D300" s="42" t="s">
        <v>671</v>
      </c>
    </row>
    <row r="301" spans="2:4" ht="15" customHeight="1" x14ac:dyDescent="0.3">
      <c r="B301" s="44" t="str">
        <f>STAAD!B690</f>
        <v>*</v>
      </c>
      <c r="C301" s="42" t="str">
        <f t="shared" si="4"/>
        <v/>
      </c>
      <c r="D301" s="42" t="s">
        <v>671</v>
      </c>
    </row>
    <row r="302" spans="2:4" ht="15" customHeight="1" x14ac:dyDescent="0.3">
      <c r="B302" s="44" t="str">
        <f>STAAD!B691</f>
        <v>*</v>
      </c>
      <c r="C302" s="42" t="str">
        <f t="shared" si="4"/>
        <v/>
      </c>
      <c r="D302" s="42" t="s">
        <v>671</v>
      </c>
    </row>
    <row r="303" spans="2:4" ht="15" customHeight="1" x14ac:dyDescent="0.3">
      <c r="B303" s="44" t="str">
        <f>STAAD!B692</f>
        <v>*</v>
      </c>
      <c r="C303" s="42" t="str">
        <f t="shared" si="4"/>
        <v/>
      </c>
      <c r="D303" s="42" t="s">
        <v>671</v>
      </c>
    </row>
    <row r="304" spans="2:4" ht="15" customHeight="1" x14ac:dyDescent="0.3">
      <c r="B304" s="44" t="str">
        <f>STAAD!B693</f>
        <v>*</v>
      </c>
      <c r="C304" s="42" t="str">
        <f t="shared" si="4"/>
        <v/>
      </c>
      <c r="D304" s="42" t="s">
        <v>671</v>
      </c>
    </row>
    <row r="305" spans="2:4" ht="15" customHeight="1" x14ac:dyDescent="0.3">
      <c r="B305" s="44" t="str">
        <f>STAAD!B694</f>
        <v>*</v>
      </c>
      <c r="C305" s="42" t="str">
        <f t="shared" si="4"/>
        <v/>
      </c>
      <c r="D305" s="42" t="s">
        <v>671</v>
      </c>
    </row>
    <row r="306" spans="2:4" ht="15" customHeight="1" x14ac:dyDescent="0.3">
      <c r="B306" s="44" t="str">
        <f>STAAD!B695</f>
        <v>*</v>
      </c>
      <c r="C306" s="42" t="str">
        <f t="shared" si="4"/>
        <v/>
      </c>
      <c r="D306" s="42" t="s">
        <v>671</v>
      </c>
    </row>
    <row r="307" spans="2:4" ht="15" customHeight="1" x14ac:dyDescent="0.3">
      <c r="B307" s="44" t="str">
        <f>STAAD!B696</f>
        <v>*</v>
      </c>
      <c r="C307" s="42" t="str">
        <f t="shared" si="4"/>
        <v/>
      </c>
      <c r="D307" s="42" t="s">
        <v>671</v>
      </c>
    </row>
    <row r="308" spans="2:4" ht="15" customHeight="1" x14ac:dyDescent="0.3">
      <c r="B308" s="44" t="str">
        <f>STAAD!B697</f>
        <v>*</v>
      </c>
      <c r="C308" s="42" t="str">
        <f t="shared" si="4"/>
        <v/>
      </c>
      <c r="D308" s="42" t="s">
        <v>671</v>
      </c>
    </row>
    <row r="309" spans="2:4" ht="15" customHeight="1" x14ac:dyDescent="0.3">
      <c r="B309" s="44" t="str">
        <f>STAAD!B698</f>
        <v>*</v>
      </c>
      <c r="C309" s="42" t="str">
        <f t="shared" si="4"/>
        <v/>
      </c>
      <c r="D309" s="42" t="s">
        <v>671</v>
      </c>
    </row>
    <row r="310" spans="2:4" ht="15" customHeight="1" x14ac:dyDescent="0.3">
      <c r="B310" s="44" t="str">
        <f>STAAD!B699</f>
        <v>*</v>
      </c>
      <c r="C310" s="42" t="str">
        <f t="shared" si="4"/>
        <v/>
      </c>
      <c r="D310" s="42" t="s">
        <v>671</v>
      </c>
    </row>
    <row r="311" spans="2:4" ht="15" customHeight="1" x14ac:dyDescent="0.3">
      <c r="B311" s="44" t="str">
        <f>STAAD!B700</f>
        <v>*</v>
      </c>
      <c r="C311" s="42" t="str">
        <f t="shared" si="4"/>
        <v/>
      </c>
      <c r="D311" s="42" t="s">
        <v>671</v>
      </c>
    </row>
    <row r="312" spans="2:4" ht="15" customHeight="1" x14ac:dyDescent="0.3">
      <c r="B312" s="44" t="str">
        <f>STAAD!B701</f>
        <v>*</v>
      </c>
      <c r="C312" s="42" t="str">
        <f t="shared" si="4"/>
        <v/>
      </c>
      <c r="D312" s="42" t="s">
        <v>671</v>
      </c>
    </row>
    <row r="313" spans="2:4" ht="15" customHeight="1" x14ac:dyDescent="0.3">
      <c r="B313" s="44" t="str">
        <f>STAAD!B702</f>
        <v>*</v>
      </c>
      <c r="C313" s="42" t="str">
        <f t="shared" si="4"/>
        <v/>
      </c>
      <c r="D313" s="42" t="s">
        <v>671</v>
      </c>
    </row>
    <row r="314" spans="2:4" ht="15" customHeight="1" x14ac:dyDescent="0.3">
      <c r="B314" s="44" t="str">
        <f>STAAD!B703</f>
        <v>*</v>
      </c>
      <c r="C314" s="42" t="str">
        <f t="shared" si="4"/>
        <v/>
      </c>
      <c r="D314" s="42" t="s">
        <v>671</v>
      </c>
    </row>
    <row r="315" spans="2:4" ht="15" customHeight="1" x14ac:dyDescent="0.3">
      <c r="B315" s="44" t="str">
        <f>STAAD!B704</f>
        <v>*</v>
      </c>
      <c r="C315" s="42" t="str">
        <f t="shared" si="4"/>
        <v/>
      </c>
      <c r="D315" s="42" t="s">
        <v>671</v>
      </c>
    </row>
    <row r="316" spans="2:4" ht="15" customHeight="1" x14ac:dyDescent="0.3">
      <c r="B316" s="44" t="str">
        <f>STAAD!B705</f>
        <v>*</v>
      </c>
      <c r="C316" s="42" t="str">
        <f t="shared" si="4"/>
        <v/>
      </c>
      <c r="D316" s="42" t="s">
        <v>671</v>
      </c>
    </row>
    <row r="317" spans="2:4" ht="15" customHeight="1" x14ac:dyDescent="0.3">
      <c r="B317" s="44" t="str">
        <f>STAAD!B706</f>
        <v>*</v>
      </c>
      <c r="C317" s="42" t="str">
        <f t="shared" si="4"/>
        <v/>
      </c>
      <c r="D317" s="42" t="s">
        <v>671</v>
      </c>
    </row>
    <row r="318" spans="2:4" ht="15" customHeight="1" x14ac:dyDescent="0.3">
      <c r="B318" s="44" t="s">
        <v>672</v>
      </c>
      <c r="C318" s="42" t="str">
        <f t="shared" si="4"/>
        <v/>
      </c>
      <c r="D318" s="42"/>
    </row>
    <row r="319" spans="2:4" ht="15" customHeight="1" x14ac:dyDescent="0.3">
      <c r="B319" s="44" t="s">
        <v>673</v>
      </c>
      <c r="C319" s="42" t="str">
        <f t="shared" si="4"/>
        <v/>
      </c>
      <c r="D319" s="42"/>
    </row>
    <row r="320" spans="2:4" ht="15" customHeight="1" x14ac:dyDescent="0.3">
      <c r="B320" s="44" t="str">
        <f>"259 260 261 UNI GX "&amp;TEXT(PRESIONES!F$45*0.6*DATOS!$C$67,DATOS!$C$68)</f>
        <v>259 260 261 UNI GX -0.4213</v>
      </c>
      <c r="C320" s="42" t="str">
        <f t="shared" si="4"/>
        <v/>
      </c>
      <c r="D320" s="42" t="s">
        <v>674</v>
      </c>
    </row>
    <row r="321" spans="2:4" ht="15" customHeight="1" x14ac:dyDescent="0.3">
      <c r="B321" s="44" t="str">
        <f>"265 266 267 UNI GX "&amp;TEXT(-PRESIONES!F$46*0.6*DATOS!$C$67,DATOS!$C$68)</f>
        <v>265 266 267 UNI GX 0.4213</v>
      </c>
      <c r="C321" s="42" t="str">
        <f t="shared" si="4"/>
        <v/>
      </c>
      <c r="D321" s="42" t="s">
        <v>675</v>
      </c>
    </row>
    <row r="322" spans="2:4" ht="15" customHeight="1" x14ac:dyDescent="0.3">
      <c r="B322" s="44" t="str">
        <f>"262 263 264 UNI GZ "&amp;TEXT(PRESIONES!F$43*0.6*DATOS!$C$67,DATOS!$C$68)</f>
        <v>262 263 264 UNI GZ -0.3637</v>
      </c>
      <c r="C322" s="42" t="str">
        <f t="shared" si="4"/>
        <v/>
      </c>
      <c r="D322" s="42" t="s">
        <v>676</v>
      </c>
    </row>
    <row r="323" spans="2:4" ht="15" customHeight="1" x14ac:dyDescent="0.3">
      <c r="B323" s="44" t="s">
        <v>677</v>
      </c>
      <c r="C323" s="42" t="str">
        <f t="shared" si="4"/>
        <v/>
      </c>
      <c r="D323" s="42"/>
    </row>
    <row r="324" spans="2:4" ht="15" customHeight="1" x14ac:dyDescent="0.3">
      <c r="B324" s="44" t="str">
        <f>STAAD!B799</f>
        <v>17 191 203 213 223 233 UNI GZ -1.5464</v>
      </c>
      <c r="C324" s="42" t="str">
        <f t="shared" si="4"/>
        <v/>
      </c>
      <c r="D324" s="42" t="s">
        <v>678</v>
      </c>
    </row>
    <row r="325" spans="2:4" ht="15" customHeight="1" x14ac:dyDescent="0.3">
      <c r="B325" s="44" t="str">
        <f>STAAD!B800</f>
        <v>18 192 204 214 224 234 UNI GZ -1.5464</v>
      </c>
      <c r="C325" s="42" t="str">
        <f t="shared" si="4"/>
        <v/>
      </c>
      <c r="D325" s="42" t="s">
        <v>678</v>
      </c>
    </row>
    <row r="326" spans="2:4" ht="15" customHeight="1" x14ac:dyDescent="0.3">
      <c r="B326" s="44" t="s">
        <v>679</v>
      </c>
      <c r="C326" s="42" t="str">
        <f t="shared" ref="C326:C389" si="5">IF(LEN($B326)&gt;79,"MÁS DE 79 CARACTERES","")</f>
        <v/>
      </c>
      <c r="D326" s="42"/>
    </row>
    <row r="327" spans="2:4" ht="15" customHeight="1" x14ac:dyDescent="0.3">
      <c r="B327" s="44" t="str">
        <f>"15 189 UNI GZ "&amp;TEXT(PRESIONES!F$43*0.65*DATOS!$C$67,DATOS!$C$68)</f>
        <v>15 189 UNI GZ -0.3941</v>
      </c>
      <c r="C327" s="42" t="str">
        <f t="shared" si="5"/>
        <v/>
      </c>
      <c r="D327" s="42" t="s">
        <v>680</v>
      </c>
    </row>
    <row r="328" spans="2:4" ht="15" customHeight="1" x14ac:dyDescent="0.3">
      <c r="B328" s="44" t="str">
        <f>"16 190 UNI GZ "&amp;TEXT(PRESIONES!F$43*0.65*DATOS!$C$67,DATOS!$C$68)</f>
        <v>16 190 UNI GZ -0.3941</v>
      </c>
      <c r="C328" s="42" t="str">
        <f t="shared" si="5"/>
        <v/>
      </c>
      <c r="D328" s="42" t="s">
        <v>681</v>
      </c>
    </row>
    <row r="329" spans="2:4" ht="15" customHeight="1" x14ac:dyDescent="0.3">
      <c r="B329" s="44" t="s">
        <v>682</v>
      </c>
      <c r="C329" s="42" t="str">
        <f t="shared" si="5"/>
        <v/>
      </c>
      <c r="D329" s="42"/>
    </row>
    <row r="330" spans="2:4" ht="15" customHeight="1" x14ac:dyDescent="0.3">
      <c r="B330" s="44" t="str">
        <f>STAAD!B857</f>
        <v>LOAD 12 LOADTYPE Wind  TITLE VIENTO X PA</v>
      </c>
      <c r="C330" s="42" t="str">
        <f t="shared" si="5"/>
        <v/>
      </c>
      <c r="D330" s="42" t="s">
        <v>663</v>
      </c>
    </row>
    <row r="331" spans="2:4" ht="15" customHeight="1" x14ac:dyDescent="0.3">
      <c r="B331" s="44" t="s">
        <v>664</v>
      </c>
      <c r="C331" s="42" t="str">
        <f t="shared" si="5"/>
        <v/>
      </c>
      <c r="D331" s="42"/>
    </row>
    <row r="332" spans="2:4" ht="15" customHeight="1" x14ac:dyDescent="0.3">
      <c r="B332" s="44" t="s">
        <v>665</v>
      </c>
      <c r="C332" s="42" t="str">
        <f t="shared" si="5"/>
        <v/>
      </c>
      <c r="D332" s="42"/>
    </row>
    <row r="333" spans="2:4" ht="15" customHeight="1" x14ac:dyDescent="0.3">
      <c r="B333" s="44" t="s">
        <v>666</v>
      </c>
      <c r="C333" s="42" t="str">
        <f t="shared" si="5"/>
        <v/>
      </c>
      <c r="D333" s="42"/>
    </row>
    <row r="334" spans="2:4" ht="15" customHeight="1" x14ac:dyDescent="0.3">
      <c r="B334" s="44" t="str">
        <f>"_MURO3 ONE "&amp;TEXT(PRESIONES!G$45*IF(DATOS!$C$65="CM KG",0.0001,IF(DATOS!$C$65="METER KG",1,0.00980665)),"0.000000")&amp;" GX"</f>
        <v>_MURO3 ONE 0.006282 GX</v>
      </c>
      <c r="C334" s="42" t="str">
        <f t="shared" si="5"/>
        <v/>
      </c>
      <c r="D334" s="42" t="s">
        <v>667</v>
      </c>
    </row>
    <row r="335" spans="2:4" ht="15" customHeight="1" x14ac:dyDescent="0.3">
      <c r="B335" s="44" t="str">
        <f>"_MURO4 ONE "&amp;TEXT(-PRESIONES!G$46*IF(DATOS!$C$65="CM KG",0.0001,IF(DATOS!$C$65="METER KG",1,0.00980665)),"0.000000")&amp;" GX"</f>
        <v>_MURO4 ONE -0.000042 GX</v>
      </c>
      <c r="C335" s="42" t="str">
        <f t="shared" si="5"/>
        <v/>
      </c>
      <c r="D335" s="42" t="s">
        <v>668</v>
      </c>
    </row>
    <row r="336" spans="2:4" ht="15" customHeight="1" x14ac:dyDescent="0.3">
      <c r="B336" s="44" t="str">
        <f>"_MURO1 ONE "&amp;TEXT(PRESIONES!G$43*IF(DATOS!$C$65="CM KG",0.0001,IF(DATOS!$C$65="METER KG",1,0.00980665)),"0.000000")&amp;" GZ"</f>
        <v>_MURO1 ONE -0.000918 GZ</v>
      </c>
      <c r="C336" s="42" t="str">
        <f t="shared" si="5"/>
        <v/>
      </c>
      <c r="D336" s="42" t="s">
        <v>669</v>
      </c>
    </row>
    <row r="337" spans="2:4" ht="15" customHeight="1" x14ac:dyDescent="0.3">
      <c r="B337" s="44" t="s">
        <v>632</v>
      </c>
      <c r="C337" s="42" t="str">
        <f t="shared" si="5"/>
        <v/>
      </c>
      <c r="D337" s="42"/>
    </row>
    <row r="338" spans="2:4" ht="15" customHeight="1" x14ac:dyDescent="0.3">
      <c r="B338" s="44" t="s">
        <v>670</v>
      </c>
      <c r="C338" s="42" t="str">
        <f t="shared" si="5"/>
        <v/>
      </c>
      <c r="D338" s="42"/>
    </row>
    <row r="339" spans="2:4" ht="15" customHeight="1" x14ac:dyDescent="0.3">
      <c r="B339" s="44" t="str">
        <f>STAAD!B859</f>
        <v>22 85 TO 88 UNI GY 0.0659</v>
      </c>
      <c r="C339" s="42" t="str">
        <f t="shared" si="5"/>
        <v/>
      </c>
      <c r="D339" s="42" t="s">
        <v>671</v>
      </c>
    </row>
    <row r="340" spans="2:4" ht="15" customHeight="1" x14ac:dyDescent="0.3">
      <c r="B340" s="44" t="str">
        <f>STAAD!B860</f>
        <v>22 85 TO 88 UNI GZ 0.0033</v>
      </c>
      <c r="C340" s="42" t="str">
        <f t="shared" si="5"/>
        <v/>
      </c>
      <c r="D340" s="42" t="s">
        <v>671</v>
      </c>
    </row>
    <row r="341" spans="2:4" ht="15" customHeight="1" x14ac:dyDescent="0.3">
      <c r="B341" s="44" t="str">
        <f>STAAD!B861</f>
        <v>80 129 TO 132 UNI GY 0.1318</v>
      </c>
      <c r="C341" s="42" t="str">
        <f t="shared" si="5"/>
        <v/>
      </c>
      <c r="D341" s="42" t="s">
        <v>671</v>
      </c>
    </row>
    <row r="342" spans="2:4" ht="15" customHeight="1" x14ac:dyDescent="0.3">
      <c r="B342" s="44" t="str">
        <f>STAAD!B862</f>
        <v>80 129 TO 132 UNI GZ 0.0066</v>
      </c>
      <c r="C342" s="42" t="str">
        <f t="shared" si="5"/>
        <v/>
      </c>
      <c r="D342" s="42" t="s">
        <v>671</v>
      </c>
    </row>
    <row r="343" spans="2:4" ht="15" customHeight="1" x14ac:dyDescent="0.3">
      <c r="B343" s="44" t="str">
        <f>STAAD!B863</f>
        <v>79 125 TO 128 UNI GY 0.1318</v>
      </c>
      <c r="C343" s="42" t="str">
        <f t="shared" si="5"/>
        <v/>
      </c>
      <c r="D343" s="42" t="s">
        <v>671</v>
      </c>
    </row>
    <row r="344" spans="2:4" ht="15" customHeight="1" x14ac:dyDescent="0.3">
      <c r="B344" s="44" t="str">
        <f>STAAD!B864</f>
        <v>79 125 TO 128 UNI GZ 0.0066</v>
      </c>
      <c r="C344" s="42" t="str">
        <f t="shared" si="5"/>
        <v/>
      </c>
      <c r="D344" s="42" t="s">
        <v>671</v>
      </c>
    </row>
    <row r="345" spans="2:4" ht="15" customHeight="1" x14ac:dyDescent="0.3">
      <c r="B345" s="44" t="str">
        <f>STAAD!B865</f>
        <v>78 121 TO 124 UNI GY 0.1318</v>
      </c>
      <c r="C345" s="42" t="str">
        <f t="shared" si="5"/>
        <v/>
      </c>
      <c r="D345" s="42" t="s">
        <v>671</v>
      </c>
    </row>
    <row r="346" spans="2:4" ht="15" customHeight="1" x14ac:dyDescent="0.3">
      <c r="B346" s="44" t="str">
        <f>STAAD!B866</f>
        <v>78 121 TO 124 UNI GZ 0.0066</v>
      </c>
      <c r="C346" s="42" t="str">
        <f t="shared" si="5"/>
        <v/>
      </c>
      <c r="D346" s="42" t="s">
        <v>671</v>
      </c>
    </row>
    <row r="347" spans="2:4" ht="15" customHeight="1" x14ac:dyDescent="0.3">
      <c r="B347" s="44" t="str">
        <f>STAAD!B867</f>
        <v>77 117 TO 120 UNI GY 0.1318</v>
      </c>
      <c r="C347" s="42" t="str">
        <f t="shared" si="5"/>
        <v/>
      </c>
      <c r="D347" s="42" t="s">
        <v>671</v>
      </c>
    </row>
    <row r="348" spans="2:4" ht="15" customHeight="1" x14ac:dyDescent="0.3">
      <c r="B348" s="44" t="str">
        <f>STAAD!B868</f>
        <v>77 117 TO 120 UNI GZ 0.0066</v>
      </c>
      <c r="C348" s="42" t="str">
        <f t="shared" si="5"/>
        <v/>
      </c>
      <c r="D348" s="42" t="s">
        <v>671</v>
      </c>
    </row>
    <row r="349" spans="2:4" ht="15" customHeight="1" x14ac:dyDescent="0.3">
      <c r="B349" s="44" t="str">
        <f>STAAD!B869</f>
        <v>9 93 TO 96 UNI GY 0.1318</v>
      </c>
      <c r="C349" s="42" t="str">
        <f t="shared" si="5"/>
        <v/>
      </c>
      <c r="D349" s="42" t="s">
        <v>671</v>
      </c>
    </row>
    <row r="350" spans="2:4" ht="15" customHeight="1" x14ac:dyDescent="0.3">
      <c r="B350" s="44" t="str">
        <f>STAAD!B870</f>
        <v>9 93 TO 96 UNI GZ 0.0066</v>
      </c>
      <c r="C350" s="42" t="str">
        <f t="shared" si="5"/>
        <v/>
      </c>
      <c r="D350" s="42" t="s">
        <v>671</v>
      </c>
    </row>
    <row r="351" spans="2:4" ht="15" customHeight="1" x14ac:dyDescent="0.3">
      <c r="B351" s="44" t="str">
        <f>STAAD!B871</f>
        <v>76 113 TO 116 UNI GY 0.1318</v>
      </c>
      <c r="C351" s="42" t="str">
        <f t="shared" si="5"/>
        <v/>
      </c>
      <c r="D351" s="42" t="s">
        <v>671</v>
      </c>
    </row>
    <row r="352" spans="2:4" ht="15" customHeight="1" x14ac:dyDescent="0.3">
      <c r="B352" s="44" t="str">
        <f>STAAD!B872</f>
        <v>76 113 TO 116 UNI GZ 0.0066</v>
      </c>
      <c r="C352" s="42" t="str">
        <f t="shared" si="5"/>
        <v/>
      </c>
      <c r="D352" s="42" t="s">
        <v>671</v>
      </c>
    </row>
    <row r="353" spans="2:4" ht="15" customHeight="1" x14ac:dyDescent="0.3">
      <c r="B353" s="44" t="str">
        <f>STAAD!B873</f>
        <v>75 109 TO 112 UNI GY 0.1318</v>
      </c>
      <c r="C353" s="42" t="str">
        <f t="shared" si="5"/>
        <v/>
      </c>
      <c r="D353" s="42" t="s">
        <v>671</v>
      </c>
    </row>
    <row r="354" spans="2:4" ht="15" customHeight="1" x14ac:dyDescent="0.3">
      <c r="B354" s="44" t="str">
        <f>STAAD!B874</f>
        <v>75 109 TO 112 UNI GZ 0.0066</v>
      </c>
      <c r="C354" s="42" t="str">
        <f t="shared" si="5"/>
        <v/>
      </c>
      <c r="D354" s="42" t="s">
        <v>671</v>
      </c>
    </row>
    <row r="355" spans="2:4" ht="15" customHeight="1" x14ac:dyDescent="0.3">
      <c r="B355" s="44" t="str">
        <f>STAAD!B875</f>
        <v>74 105 TO 108 UNI GY 0.1318</v>
      </c>
      <c r="C355" s="42" t="str">
        <f t="shared" si="5"/>
        <v/>
      </c>
      <c r="D355" s="42" t="s">
        <v>671</v>
      </c>
    </row>
    <row r="356" spans="2:4" ht="15" customHeight="1" x14ac:dyDescent="0.3">
      <c r="B356" s="44" t="str">
        <f>STAAD!B876</f>
        <v>74 105 TO 108 UNI GZ 0.0066</v>
      </c>
      <c r="C356" s="42" t="str">
        <f t="shared" si="5"/>
        <v/>
      </c>
      <c r="D356" s="42" t="s">
        <v>671</v>
      </c>
    </row>
    <row r="357" spans="2:4" ht="15" customHeight="1" x14ac:dyDescent="0.3">
      <c r="B357" s="44" t="str">
        <f>STAAD!B877</f>
        <v>73 101 TO 104 UNI GY 0.1318</v>
      </c>
      <c r="C357" s="42" t="str">
        <f t="shared" si="5"/>
        <v/>
      </c>
      <c r="D357" s="42" t="s">
        <v>671</v>
      </c>
    </row>
    <row r="358" spans="2:4" ht="15" customHeight="1" x14ac:dyDescent="0.3">
      <c r="B358" s="44" t="str">
        <f>STAAD!B878</f>
        <v>73 101 TO 104 UNI GZ 0.0066</v>
      </c>
      <c r="C358" s="42" t="str">
        <f t="shared" si="5"/>
        <v/>
      </c>
      <c r="D358" s="42" t="s">
        <v>671</v>
      </c>
    </row>
    <row r="359" spans="2:4" ht="15" customHeight="1" x14ac:dyDescent="0.3">
      <c r="B359" s="44" t="str">
        <f>STAAD!B879</f>
        <v>8 89 TO 92 UNI GY 0.1270</v>
      </c>
      <c r="C359" s="42" t="str">
        <f t="shared" si="5"/>
        <v/>
      </c>
      <c r="D359" s="42" t="s">
        <v>671</v>
      </c>
    </row>
    <row r="360" spans="2:4" ht="15" customHeight="1" x14ac:dyDescent="0.3">
      <c r="B360" s="44" t="str">
        <f>STAAD!B880</f>
        <v>8 89 TO 92 UNI GZ 0.0063</v>
      </c>
      <c r="C360" s="42" t="str">
        <f t="shared" si="5"/>
        <v/>
      </c>
      <c r="D360" s="42" t="s">
        <v>671</v>
      </c>
    </row>
    <row r="361" spans="2:4" ht="15" customHeight="1" x14ac:dyDescent="0.3">
      <c r="B361" s="44" t="str">
        <f>STAAD!B881</f>
        <v>56 97 TO 100 UNI GY 0.1221</v>
      </c>
      <c r="C361" s="42" t="str">
        <f t="shared" si="5"/>
        <v/>
      </c>
      <c r="D361" s="42" t="s">
        <v>671</v>
      </c>
    </row>
    <row r="362" spans="2:4" ht="15" customHeight="1" x14ac:dyDescent="0.3">
      <c r="B362" s="44" t="str">
        <f>STAAD!B882</f>
        <v>56 97 TO 100 UNI GZ 0.0061</v>
      </c>
      <c r="C362" s="42" t="str">
        <f t="shared" si="5"/>
        <v/>
      </c>
      <c r="D362" s="42" t="s">
        <v>671</v>
      </c>
    </row>
    <row r="363" spans="2:4" ht="15" customHeight="1" x14ac:dyDescent="0.3">
      <c r="B363" s="44" t="str">
        <f>STAAD!B883</f>
        <v>7 81 TO 84 UNI GY 0.0610</v>
      </c>
      <c r="C363" s="42" t="str">
        <f t="shared" si="5"/>
        <v/>
      </c>
      <c r="D363" s="42" t="s">
        <v>671</v>
      </c>
    </row>
    <row r="364" spans="2:4" ht="15" customHeight="1" x14ac:dyDescent="0.3">
      <c r="B364" s="44" t="str">
        <f>STAAD!B884</f>
        <v>7 81 TO 84 UNI GZ 0.0031</v>
      </c>
      <c r="C364" s="42" t="str">
        <f t="shared" si="5"/>
        <v/>
      </c>
      <c r="D364" s="42" t="s">
        <v>671</v>
      </c>
    </row>
    <row r="365" spans="2:4" ht="15" customHeight="1" x14ac:dyDescent="0.3">
      <c r="B365" s="44" t="str">
        <f>STAAD!B885</f>
        <v>*</v>
      </c>
      <c r="C365" s="42" t="str">
        <f t="shared" si="5"/>
        <v/>
      </c>
      <c r="D365" s="42" t="s">
        <v>671</v>
      </c>
    </row>
    <row r="366" spans="2:4" ht="15" customHeight="1" x14ac:dyDescent="0.3">
      <c r="B366" s="44" t="str">
        <f>STAAD!B886</f>
        <v>*</v>
      </c>
      <c r="C366" s="42" t="str">
        <f t="shared" si="5"/>
        <v/>
      </c>
      <c r="D366" s="42" t="s">
        <v>671</v>
      </c>
    </row>
    <row r="367" spans="2:4" ht="15" customHeight="1" x14ac:dyDescent="0.3">
      <c r="B367" s="44" t="str">
        <f>STAAD!B887</f>
        <v>*</v>
      </c>
      <c r="C367" s="42" t="str">
        <f t="shared" si="5"/>
        <v/>
      </c>
      <c r="D367" s="42" t="s">
        <v>671</v>
      </c>
    </row>
    <row r="368" spans="2:4" ht="15" customHeight="1" x14ac:dyDescent="0.3">
      <c r="B368" s="44" t="str">
        <f>STAAD!B888</f>
        <v>*</v>
      </c>
      <c r="C368" s="42" t="str">
        <f t="shared" si="5"/>
        <v/>
      </c>
      <c r="D368" s="42" t="s">
        <v>671</v>
      </c>
    </row>
    <row r="369" spans="2:4" ht="15" customHeight="1" x14ac:dyDescent="0.3">
      <c r="B369" s="44" t="str">
        <f>STAAD!B889</f>
        <v>*</v>
      </c>
      <c r="C369" s="42" t="str">
        <f t="shared" si="5"/>
        <v/>
      </c>
      <c r="D369" s="42" t="s">
        <v>671</v>
      </c>
    </row>
    <row r="370" spans="2:4" ht="15" customHeight="1" x14ac:dyDescent="0.3">
      <c r="B370" s="44" t="str">
        <f>STAAD!B890</f>
        <v>*</v>
      </c>
      <c r="C370" s="42" t="str">
        <f t="shared" si="5"/>
        <v/>
      </c>
      <c r="D370" s="42" t="s">
        <v>671</v>
      </c>
    </row>
    <row r="371" spans="2:4" ht="15" customHeight="1" x14ac:dyDescent="0.3">
      <c r="B371" s="44" t="str">
        <f>STAAD!B891</f>
        <v>*</v>
      </c>
      <c r="C371" s="42" t="str">
        <f t="shared" si="5"/>
        <v/>
      </c>
      <c r="D371" s="42" t="s">
        <v>671</v>
      </c>
    </row>
    <row r="372" spans="2:4" ht="15" customHeight="1" x14ac:dyDescent="0.3">
      <c r="B372" s="44" t="str">
        <f>STAAD!B892</f>
        <v>*</v>
      </c>
      <c r="C372" s="42" t="str">
        <f t="shared" si="5"/>
        <v/>
      </c>
      <c r="D372" s="42" t="s">
        <v>671</v>
      </c>
    </row>
    <row r="373" spans="2:4" ht="15" customHeight="1" x14ac:dyDescent="0.3">
      <c r="B373" s="44" t="str">
        <f>STAAD!B893</f>
        <v>*</v>
      </c>
      <c r="C373" s="42" t="str">
        <f t="shared" si="5"/>
        <v/>
      </c>
      <c r="D373" s="42" t="s">
        <v>671</v>
      </c>
    </row>
    <row r="374" spans="2:4" ht="15" customHeight="1" x14ac:dyDescent="0.3">
      <c r="B374" s="44" t="str">
        <f>STAAD!B894</f>
        <v>*</v>
      </c>
      <c r="C374" s="42" t="str">
        <f t="shared" si="5"/>
        <v/>
      </c>
      <c r="D374" s="42" t="s">
        <v>671</v>
      </c>
    </row>
    <row r="375" spans="2:4" ht="15" customHeight="1" x14ac:dyDescent="0.3">
      <c r="B375" s="44" t="str">
        <f>STAAD!B895</f>
        <v>*</v>
      </c>
      <c r="C375" s="42" t="str">
        <f t="shared" si="5"/>
        <v/>
      </c>
      <c r="D375" s="42" t="s">
        <v>671</v>
      </c>
    </row>
    <row r="376" spans="2:4" ht="15" customHeight="1" x14ac:dyDescent="0.3">
      <c r="B376" s="44" t="str">
        <f>STAAD!B896</f>
        <v>*</v>
      </c>
      <c r="C376" s="42" t="str">
        <f t="shared" si="5"/>
        <v/>
      </c>
      <c r="D376" s="42" t="s">
        <v>671</v>
      </c>
    </row>
    <row r="377" spans="2:4" ht="15" customHeight="1" x14ac:dyDescent="0.3">
      <c r="B377" s="44" t="str">
        <f>STAAD!B897</f>
        <v>*</v>
      </c>
      <c r="C377" s="42" t="str">
        <f t="shared" si="5"/>
        <v/>
      </c>
      <c r="D377" s="42" t="s">
        <v>671</v>
      </c>
    </row>
    <row r="378" spans="2:4" ht="15" customHeight="1" x14ac:dyDescent="0.3">
      <c r="B378" s="44" t="str">
        <f>STAAD!B898</f>
        <v>*</v>
      </c>
      <c r="C378" s="42" t="str">
        <f t="shared" si="5"/>
        <v/>
      </c>
      <c r="D378" s="42" t="s">
        <v>671</v>
      </c>
    </row>
    <row r="379" spans="2:4" ht="15" customHeight="1" x14ac:dyDescent="0.3">
      <c r="B379" s="44" t="str">
        <f>STAAD!B899</f>
        <v>*</v>
      </c>
      <c r="C379" s="42" t="str">
        <f t="shared" si="5"/>
        <v/>
      </c>
      <c r="D379" s="42" t="s">
        <v>671</v>
      </c>
    </row>
    <row r="380" spans="2:4" ht="15" customHeight="1" x14ac:dyDescent="0.3">
      <c r="B380" s="44" t="str">
        <f>STAAD!B900</f>
        <v>*</v>
      </c>
      <c r="C380" s="42" t="str">
        <f t="shared" si="5"/>
        <v/>
      </c>
      <c r="D380" s="42" t="s">
        <v>671</v>
      </c>
    </row>
    <row r="381" spans="2:4" ht="15" customHeight="1" x14ac:dyDescent="0.3">
      <c r="B381" s="44" t="str">
        <f>STAAD!B901</f>
        <v>*</v>
      </c>
      <c r="C381" s="42" t="str">
        <f t="shared" si="5"/>
        <v/>
      </c>
      <c r="D381" s="42" t="s">
        <v>671</v>
      </c>
    </row>
    <row r="382" spans="2:4" ht="15" customHeight="1" x14ac:dyDescent="0.3">
      <c r="B382" s="44" t="str">
        <f>STAAD!B902</f>
        <v>*</v>
      </c>
      <c r="C382" s="42" t="str">
        <f t="shared" si="5"/>
        <v/>
      </c>
      <c r="D382" s="42" t="s">
        <v>671</v>
      </c>
    </row>
    <row r="383" spans="2:4" ht="15" customHeight="1" x14ac:dyDescent="0.3">
      <c r="B383" s="44" t="str">
        <f>STAAD!B903</f>
        <v>*</v>
      </c>
      <c r="C383" s="42" t="str">
        <f t="shared" si="5"/>
        <v/>
      </c>
      <c r="D383" s="42" t="s">
        <v>671</v>
      </c>
    </row>
    <row r="384" spans="2:4" ht="15" customHeight="1" x14ac:dyDescent="0.3">
      <c r="B384" s="44" t="str">
        <f>STAAD!B904</f>
        <v>*</v>
      </c>
      <c r="C384" s="42" t="str">
        <f t="shared" si="5"/>
        <v/>
      </c>
      <c r="D384" s="42" t="s">
        <v>671</v>
      </c>
    </row>
    <row r="385" spans="2:4" ht="15" customHeight="1" x14ac:dyDescent="0.3">
      <c r="B385" s="44" t="str">
        <f>STAAD!B905</f>
        <v>*</v>
      </c>
      <c r="C385" s="42" t="str">
        <f t="shared" si="5"/>
        <v/>
      </c>
      <c r="D385" s="42" t="s">
        <v>671</v>
      </c>
    </row>
    <row r="386" spans="2:4" ht="15" customHeight="1" x14ac:dyDescent="0.3">
      <c r="B386" s="44" t="str">
        <f>STAAD!B906</f>
        <v>*</v>
      </c>
      <c r="C386" s="42" t="str">
        <f t="shared" si="5"/>
        <v/>
      </c>
      <c r="D386" s="42" t="s">
        <v>671</v>
      </c>
    </row>
    <row r="387" spans="2:4" ht="15" customHeight="1" x14ac:dyDescent="0.3">
      <c r="B387" s="44" t="str">
        <f>STAAD!B907</f>
        <v>*</v>
      </c>
      <c r="C387" s="42" t="str">
        <f t="shared" si="5"/>
        <v/>
      </c>
      <c r="D387" s="42" t="s">
        <v>671</v>
      </c>
    </row>
    <row r="388" spans="2:4" ht="15" customHeight="1" x14ac:dyDescent="0.3">
      <c r="B388" s="44" t="str">
        <f>STAAD!B908</f>
        <v>*</v>
      </c>
      <c r="C388" s="42" t="str">
        <f t="shared" si="5"/>
        <v/>
      </c>
      <c r="D388" s="42" t="s">
        <v>671</v>
      </c>
    </row>
    <row r="389" spans="2:4" ht="15" customHeight="1" x14ac:dyDescent="0.3">
      <c r="B389" s="44" t="str">
        <f>STAAD!B909</f>
        <v>*</v>
      </c>
      <c r="C389" s="42" t="str">
        <f t="shared" si="5"/>
        <v/>
      </c>
      <c r="D389" s="42" t="s">
        <v>671</v>
      </c>
    </row>
    <row r="390" spans="2:4" ht="15" customHeight="1" x14ac:dyDescent="0.3">
      <c r="B390" s="44" t="str">
        <f>STAAD!B910</f>
        <v>*</v>
      </c>
      <c r="C390" s="42" t="str">
        <f t="shared" ref="C390:C453" si="6">IF(LEN($B390)&gt;79,"MÁS DE 79 CARACTERES","")</f>
        <v/>
      </c>
      <c r="D390" s="42" t="s">
        <v>671</v>
      </c>
    </row>
    <row r="391" spans="2:4" ht="15" customHeight="1" x14ac:dyDescent="0.3">
      <c r="B391" s="44" t="str">
        <f>STAAD!B911</f>
        <v>*</v>
      </c>
      <c r="C391" s="42" t="str">
        <f t="shared" si="6"/>
        <v/>
      </c>
      <c r="D391" s="42" t="s">
        <v>671</v>
      </c>
    </row>
    <row r="392" spans="2:4" ht="15" customHeight="1" x14ac:dyDescent="0.3">
      <c r="B392" s="44" t="str">
        <f>STAAD!B912</f>
        <v>*</v>
      </c>
      <c r="C392" s="42" t="str">
        <f t="shared" si="6"/>
        <v/>
      </c>
      <c r="D392" s="42" t="s">
        <v>671</v>
      </c>
    </row>
    <row r="393" spans="2:4" ht="15" customHeight="1" x14ac:dyDescent="0.3">
      <c r="B393" s="44" t="str">
        <f>STAAD!B913</f>
        <v>*</v>
      </c>
      <c r="C393" s="42" t="str">
        <f t="shared" si="6"/>
        <v/>
      </c>
      <c r="D393" s="42" t="s">
        <v>671</v>
      </c>
    </row>
    <row r="394" spans="2:4" ht="15" customHeight="1" x14ac:dyDescent="0.3">
      <c r="B394" s="44" t="str">
        <f>STAAD!B914</f>
        <v>*</v>
      </c>
      <c r="C394" s="42" t="str">
        <f t="shared" si="6"/>
        <v/>
      </c>
      <c r="D394" s="42" t="s">
        <v>671</v>
      </c>
    </row>
    <row r="395" spans="2:4" ht="15" customHeight="1" x14ac:dyDescent="0.3">
      <c r="B395" s="44" t="str">
        <f>STAAD!B915</f>
        <v>*</v>
      </c>
      <c r="C395" s="42" t="str">
        <f t="shared" si="6"/>
        <v/>
      </c>
      <c r="D395" s="42" t="s">
        <v>671</v>
      </c>
    </row>
    <row r="396" spans="2:4" ht="15" customHeight="1" x14ac:dyDescent="0.3">
      <c r="B396" s="44" t="str">
        <f>STAAD!B916</f>
        <v>*</v>
      </c>
      <c r="C396" s="42" t="str">
        <f t="shared" si="6"/>
        <v/>
      </c>
      <c r="D396" s="42" t="s">
        <v>671</v>
      </c>
    </row>
    <row r="397" spans="2:4" ht="15" customHeight="1" x14ac:dyDescent="0.3">
      <c r="B397" s="44" t="str">
        <f>STAAD!B917</f>
        <v>*</v>
      </c>
      <c r="C397" s="42" t="str">
        <f t="shared" si="6"/>
        <v/>
      </c>
      <c r="D397" s="42" t="s">
        <v>671</v>
      </c>
    </row>
    <row r="398" spans="2:4" ht="15" customHeight="1" x14ac:dyDescent="0.3">
      <c r="B398" s="44" t="str">
        <f>STAAD!B918</f>
        <v>*</v>
      </c>
      <c r="C398" s="42" t="str">
        <f t="shared" si="6"/>
        <v/>
      </c>
      <c r="D398" s="42" t="s">
        <v>671</v>
      </c>
    </row>
    <row r="399" spans="2:4" ht="15" customHeight="1" x14ac:dyDescent="0.3">
      <c r="B399" s="44" t="s">
        <v>672</v>
      </c>
      <c r="C399" s="42" t="str">
        <f t="shared" si="6"/>
        <v/>
      </c>
      <c r="D399" s="42"/>
    </row>
    <row r="400" spans="2:4" ht="15" customHeight="1" x14ac:dyDescent="0.3">
      <c r="B400" s="44" t="s">
        <v>673</v>
      </c>
      <c r="C400" s="42" t="str">
        <f t="shared" si="6"/>
        <v/>
      </c>
      <c r="D400" s="42"/>
    </row>
    <row r="401" spans="2:4" ht="15" customHeight="1" x14ac:dyDescent="0.3">
      <c r="B401" s="44" t="str">
        <f>"259 260 261 UNI GX "&amp;TEXT(PRESIONES!G$45*0.6*DATOS!$C$67,DATOS!$C$68)</f>
        <v>259 260 261 UNI GX 0.3769</v>
      </c>
      <c r="C401" s="42" t="str">
        <f t="shared" si="6"/>
        <v/>
      </c>
      <c r="D401" s="42" t="s">
        <v>674</v>
      </c>
    </row>
    <row r="402" spans="2:4" ht="15" customHeight="1" x14ac:dyDescent="0.3">
      <c r="B402" s="44" t="str">
        <f>"265 266 267 UNI GX "&amp;TEXT(-PRESIONES!G$46*0.6*DATOS!$C$67,DATOS!$C$68)</f>
        <v>265 266 267 UNI GX -0.0025</v>
      </c>
      <c r="C402" s="42" t="str">
        <f t="shared" si="6"/>
        <v/>
      </c>
      <c r="D402" s="42" t="s">
        <v>675</v>
      </c>
    </row>
    <row r="403" spans="2:4" ht="15" customHeight="1" x14ac:dyDescent="0.3">
      <c r="B403" s="44" t="str">
        <f>"262 263 264 UNI GZ "&amp;TEXT(PRESIONES!G$43*0.6*DATOS!$C$67,DATOS!$C$68)</f>
        <v>262 263 264 UNI GZ -0.0551</v>
      </c>
      <c r="C403" s="42" t="str">
        <f t="shared" si="6"/>
        <v/>
      </c>
      <c r="D403" s="42" t="s">
        <v>676</v>
      </c>
    </row>
    <row r="404" spans="2:4" ht="15" customHeight="1" x14ac:dyDescent="0.3">
      <c r="B404" s="44" t="s">
        <v>683</v>
      </c>
      <c r="C404" s="42" t="str">
        <f t="shared" si="6"/>
        <v/>
      </c>
      <c r="D404" s="42"/>
    </row>
    <row r="405" spans="2:4" ht="15" customHeight="1" x14ac:dyDescent="0.3">
      <c r="B405" s="44" t="s">
        <v>682</v>
      </c>
      <c r="C405" s="42" t="str">
        <f t="shared" si="6"/>
        <v/>
      </c>
      <c r="D405" s="42"/>
    </row>
    <row r="406" spans="2:4" ht="15" customHeight="1" x14ac:dyDescent="0.3">
      <c r="B406" s="44" t="str">
        <f>STAAD!B1069</f>
        <v>LOAD 13 LOADTYPE Wind  TITLE VIENTO -X PA</v>
      </c>
      <c r="C406" s="42" t="str">
        <f t="shared" si="6"/>
        <v/>
      </c>
      <c r="D406" s="42" t="s">
        <v>663</v>
      </c>
    </row>
    <row r="407" spans="2:4" ht="15" customHeight="1" x14ac:dyDescent="0.3">
      <c r="B407" s="44" t="s">
        <v>664</v>
      </c>
      <c r="C407" s="42" t="str">
        <f t="shared" si="6"/>
        <v/>
      </c>
      <c r="D407" s="42"/>
    </row>
    <row r="408" spans="2:4" ht="15" customHeight="1" x14ac:dyDescent="0.3">
      <c r="B408" s="44" t="s">
        <v>665</v>
      </c>
      <c r="C408" s="42" t="str">
        <f t="shared" si="6"/>
        <v/>
      </c>
      <c r="D408" s="42"/>
    </row>
    <row r="409" spans="2:4" ht="15" customHeight="1" x14ac:dyDescent="0.3">
      <c r="B409" s="44" t="s">
        <v>666</v>
      </c>
      <c r="C409" s="42" t="str">
        <f t="shared" si="6"/>
        <v/>
      </c>
      <c r="D409" s="42"/>
    </row>
    <row r="410" spans="2:4" ht="15" customHeight="1" x14ac:dyDescent="0.3">
      <c r="B410" s="44" t="str">
        <f>"_MURO3 ONE "&amp;TEXT(PRESIONES!H$45*IF(DATOS!$C$65="CM KG",0.0001,IF(DATOS!$C$65="METER KG",1,0.00980665)),"0.000000")&amp;" GX"</f>
        <v>_MURO3 ONE 0.000042 GX</v>
      </c>
      <c r="C410" s="42" t="str">
        <f t="shared" si="6"/>
        <v/>
      </c>
      <c r="D410" s="42" t="s">
        <v>667</v>
      </c>
    </row>
    <row r="411" spans="2:4" ht="15" customHeight="1" x14ac:dyDescent="0.3">
      <c r="B411" s="44" t="str">
        <f>"_MURO4 ONE "&amp;TEXT(-PRESIONES!H$46*IF(DATOS!$C$65="CM KG",0.0001,IF(DATOS!$C$65="METER KG",1,0.00980665)),"0.000000")&amp;" GX"</f>
        <v>_MURO4 ONE -0.006282 GX</v>
      </c>
      <c r="C411" s="42" t="str">
        <f t="shared" si="6"/>
        <v/>
      </c>
      <c r="D411" s="42" t="s">
        <v>668</v>
      </c>
    </row>
    <row r="412" spans="2:4" ht="15" customHeight="1" x14ac:dyDescent="0.3">
      <c r="B412" s="44" t="str">
        <f>"_MURO1 ONE "&amp;TEXT(PRESIONES!H$43*IF(DATOS!$C$65="CM KG",0.0001,IF(DATOS!$C$65="METER KG",1,0.00980665)),"0.000000")&amp;" GZ"</f>
        <v>_MURO1 ONE -0.000918 GZ</v>
      </c>
      <c r="C412" s="42" t="str">
        <f t="shared" si="6"/>
        <v/>
      </c>
      <c r="D412" s="42" t="s">
        <v>669</v>
      </c>
    </row>
    <row r="413" spans="2:4" ht="15" customHeight="1" x14ac:dyDescent="0.3">
      <c r="B413" s="44" t="s">
        <v>632</v>
      </c>
      <c r="C413" s="42" t="str">
        <f t="shared" si="6"/>
        <v/>
      </c>
      <c r="D413" s="42"/>
    </row>
    <row r="414" spans="2:4" ht="15" customHeight="1" x14ac:dyDescent="0.3">
      <c r="B414" s="44" t="s">
        <v>670</v>
      </c>
      <c r="C414" s="42" t="str">
        <f t="shared" si="6"/>
        <v/>
      </c>
      <c r="D414" s="42"/>
    </row>
    <row r="415" spans="2:4" ht="15" customHeight="1" x14ac:dyDescent="0.3">
      <c r="B415" s="44" t="str">
        <f>STAAD!B1071</f>
        <v>22 85 TO 88 UNI GY 0.0659</v>
      </c>
      <c r="C415" s="42" t="str">
        <f t="shared" si="6"/>
        <v/>
      </c>
      <c r="D415" s="42" t="s">
        <v>671</v>
      </c>
    </row>
    <row r="416" spans="2:4" ht="15" customHeight="1" x14ac:dyDescent="0.3">
      <c r="B416" s="44" t="str">
        <f>STAAD!B1072</f>
        <v>22 85 TO 88 UNI GZ 0.0033</v>
      </c>
      <c r="C416" s="42" t="str">
        <f t="shared" si="6"/>
        <v/>
      </c>
      <c r="D416" s="42" t="s">
        <v>671</v>
      </c>
    </row>
    <row r="417" spans="2:4" ht="15" customHeight="1" x14ac:dyDescent="0.3">
      <c r="B417" s="44" t="str">
        <f>STAAD!B1073</f>
        <v>80 129 TO 132 UNI GY 0.1318</v>
      </c>
      <c r="C417" s="42" t="str">
        <f t="shared" si="6"/>
        <v/>
      </c>
      <c r="D417" s="42" t="s">
        <v>671</v>
      </c>
    </row>
    <row r="418" spans="2:4" ht="15" customHeight="1" x14ac:dyDescent="0.3">
      <c r="B418" s="44" t="str">
        <f>STAAD!B1074</f>
        <v>80 129 TO 132 UNI GZ 0.0066</v>
      </c>
      <c r="C418" s="42" t="str">
        <f t="shared" si="6"/>
        <v/>
      </c>
      <c r="D418" s="42" t="s">
        <v>671</v>
      </c>
    </row>
    <row r="419" spans="2:4" ht="15" customHeight="1" x14ac:dyDescent="0.3">
      <c r="B419" s="44" t="str">
        <f>STAAD!B1075</f>
        <v>79 125 TO 128 UNI GY 0.1318</v>
      </c>
      <c r="C419" s="42" t="str">
        <f t="shared" si="6"/>
        <v/>
      </c>
      <c r="D419" s="42" t="s">
        <v>671</v>
      </c>
    </row>
    <row r="420" spans="2:4" ht="15" customHeight="1" x14ac:dyDescent="0.3">
      <c r="B420" s="44" t="str">
        <f>STAAD!B1076</f>
        <v>79 125 TO 128 UNI GZ 0.0066</v>
      </c>
      <c r="C420" s="42" t="str">
        <f t="shared" si="6"/>
        <v/>
      </c>
      <c r="D420" s="42" t="s">
        <v>671</v>
      </c>
    </row>
    <row r="421" spans="2:4" ht="15" customHeight="1" x14ac:dyDescent="0.3">
      <c r="B421" s="44" t="str">
        <f>STAAD!B1077</f>
        <v>78 121 TO 124 UNI GY 0.1318</v>
      </c>
      <c r="C421" s="42" t="str">
        <f t="shared" si="6"/>
        <v/>
      </c>
      <c r="D421" s="42" t="s">
        <v>671</v>
      </c>
    </row>
    <row r="422" spans="2:4" ht="15" customHeight="1" x14ac:dyDescent="0.3">
      <c r="B422" s="44" t="str">
        <f>STAAD!B1078</f>
        <v>78 121 TO 124 UNI GZ 0.0066</v>
      </c>
      <c r="C422" s="42" t="str">
        <f t="shared" si="6"/>
        <v/>
      </c>
      <c r="D422" s="42" t="s">
        <v>671</v>
      </c>
    </row>
    <row r="423" spans="2:4" ht="15" customHeight="1" x14ac:dyDescent="0.3">
      <c r="B423" s="44" t="str">
        <f>STAAD!B1079</f>
        <v>77 117 TO 120 UNI GY 0.1318</v>
      </c>
      <c r="C423" s="42" t="str">
        <f t="shared" si="6"/>
        <v/>
      </c>
      <c r="D423" s="42" t="s">
        <v>671</v>
      </c>
    </row>
    <row r="424" spans="2:4" ht="15" customHeight="1" x14ac:dyDescent="0.3">
      <c r="B424" s="44" t="str">
        <f>STAAD!B1080</f>
        <v>77 117 TO 120 UNI GZ 0.0066</v>
      </c>
      <c r="C424" s="42" t="str">
        <f t="shared" si="6"/>
        <v/>
      </c>
      <c r="D424" s="42" t="s">
        <v>671</v>
      </c>
    </row>
    <row r="425" spans="2:4" ht="15" customHeight="1" x14ac:dyDescent="0.3">
      <c r="B425" s="44" t="str">
        <f>STAAD!B1081</f>
        <v>9 93 TO 96 UNI GY 0.1318</v>
      </c>
      <c r="C425" s="42" t="str">
        <f t="shared" si="6"/>
        <v/>
      </c>
      <c r="D425" s="42" t="s">
        <v>671</v>
      </c>
    </row>
    <row r="426" spans="2:4" ht="15" customHeight="1" x14ac:dyDescent="0.3">
      <c r="B426" s="44" t="str">
        <f>STAAD!B1082</f>
        <v>9 93 TO 96 UNI GZ 0.0066</v>
      </c>
      <c r="C426" s="42" t="str">
        <f t="shared" si="6"/>
        <v/>
      </c>
      <c r="D426" s="42" t="s">
        <v>671</v>
      </c>
    </row>
    <row r="427" spans="2:4" ht="15" customHeight="1" x14ac:dyDescent="0.3">
      <c r="B427" s="44" t="str">
        <f>STAAD!B1083</f>
        <v>76 113 TO 116 UNI GY 0.1318</v>
      </c>
      <c r="C427" s="42" t="str">
        <f t="shared" si="6"/>
        <v/>
      </c>
      <c r="D427" s="42" t="s">
        <v>671</v>
      </c>
    </row>
    <row r="428" spans="2:4" ht="15" customHeight="1" x14ac:dyDescent="0.3">
      <c r="B428" s="44" t="str">
        <f>STAAD!B1084</f>
        <v>76 113 TO 116 UNI GZ 0.0066</v>
      </c>
      <c r="C428" s="42" t="str">
        <f t="shared" si="6"/>
        <v/>
      </c>
      <c r="D428" s="42" t="s">
        <v>671</v>
      </c>
    </row>
    <row r="429" spans="2:4" ht="15" customHeight="1" x14ac:dyDescent="0.3">
      <c r="B429" s="44" t="str">
        <f>STAAD!B1085</f>
        <v>75 109 TO 112 UNI GY 0.1318</v>
      </c>
      <c r="C429" s="42" t="str">
        <f t="shared" si="6"/>
        <v/>
      </c>
      <c r="D429" s="42" t="s">
        <v>671</v>
      </c>
    </row>
    <row r="430" spans="2:4" ht="15" customHeight="1" x14ac:dyDescent="0.3">
      <c r="B430" s="44" t="str">
        <f>STAAD!B1086</f>
        <v>75 109 TO 112 UNI GZ 0.0066</v>
      </c>
      <c r="C430" s="42" t="str">
        <f t="shared" si="6"/>
        <v/>
      </c>
      <c r="D430" s="42" t="s">
        <v>671</v>
      </c>
    </row>
    <row r="431" spans="2:4" ht="15" customHeight="1" x14ac:dyDescent="0.3">
      <c r="B431" s="44" t="str">
        <f>STAAD!B1087</f>
        <v>74 105 TO 108 UNI GY 0.1318</v>
      </c>
      <c r="C431" s="42" t="str">
        <f t="shared" si="6"/>
        <v/>
      </c>
      <c r="D431" s="42" t="s">
        <v>671</v>
      </c>
    </row>
    <row r="432" spans="2:4" ht="15" customHeight="1" x14ac:dyDescent="0.3">
      <c r="B432" s="44" t="str">
        <f>STAAD!B1088</f>
        <v>74 105 TO 108 UNI GZ 0.0066</v>
      </c>
      <c r="C432" s="42" t="str">
        <f t="shared" si="6"/>
        <v/>
      </c>
      <c r="D432" s="42" t="s">
        <v>671</v>
      </c>
    </row>
    <row r="433" spans="2:4" ht="15" customHeight="1" x14ac:dyDescent="0.3">
      <c r="B433" s="44" t="str">
        <f>STAAD!B1089</f>
        <v>73 101 TO 104 UNI GY 0.1318</v>
      </c>
      <c r="C433" s="42" t="str">
        <f t="shared" si="6"/>
        <v/>
      </c>
      <c r="D433" s="42" t="s">
        <v>671</v>
      </c>
    </row>
    <row r="434" spans="2:4" ht="15" customHeight="1" x14ac:dyDescent="0.3">
      <c r="B434" s="44" t="str">
        <f>STAAD!B1090</f>
        <v>73 101 TO 104 UNI GZ 0.0066</v>
      </c>
      <c r="C434" s="42" t="str">
        <f t="shared" si="6"/>
        <v/>
      </c>
      <c r="D434" s="42" t="s">
        <v>671</v>
      </c>
    </row>
    <row r="435" spans="2:4" ht="15" customHeight="1" x14ac:dyDescent="0.3">
      <c r="B435" s="44" t="str">
        <f>STAAD!B1091</f>
        <v>8 89 TO 92 UNI GY 0.1270</v>
      </c>
      <c r="C435" s="42" t="str">
        <f t="shared" si="6"/>
        <v/>
      </c>
      <c r="D435" s="42" t="s">
        <v>671</v>
      </c>
    </row>
    <row r="436" spans="2:4" ht="15" customHeight="1" x14ac:dyDescent="0.3">
      <c r="B436" s="44" t="str">
        <f>STAAD!B1092</f>
        <v>8 89 TO 92 UNI GZ 0.0063</v>
      </c>
      <c r="C436" s="42" t="str">
        <f t="shared" si="6"/>
        <v/>
      </c>
      <c r="D436" s="42" t="s">
        <v>671</v>
      </c>
    </row>
    <row r="437" spans="2:4" ht="15" customHeight="1" x14ac:dyDescent="0.3">
      <c r="B437" s="44" t="str">
        <f>STAAD!B1093</f>
        <v>56 97 TO 100 UNI GY 0.1221</v>
      </c>
      <c r="C437" s="42" t="str">
        <f t="shared" si="6"/>
        <v/>
      </c>
      <c r="D437" s="42" t="s">
        <v>671</v>
      </c>
    </row>
    <row r="438" spans="2:4" ht="15" customHeight="1" x14ac:dyDescent="0.3">
      <c r="B438" s="44" t="str">
        <f>STAAD!B1094</f>
        <v>56 97 TO 100 UNI GZ 0.0061</v>
      </c>
      <c r="C438" s="42" t="str">
        <f t="shared" si="6"/>
        <v/>
      </c>
      <c r="D438" s="42" t="s">
        <v>671</v>
      </c>
    </row>
    <row r="439" spans="2:4" ht="15" customHeight="1" x14ac:dyDescent="0.3">
      <c r="B439" s="44" t="str">
        <f>STAAD!B1095</f>
        <v>7 81 TO 84 UNI GY 0.0610</v>
      </c>
      <c r="C439" s="42" t="str">
        <f t="shared" si="6"/>
        <v/>
      </c>
      <c r="D439" s="42" t="s">
        <v>671</v>
      </c>
    </row>
    <row r="440" spans="2:4" ht="15" customHeight="1" x14ac:dyDescent="0.3">
      <c r="B440" s="44" t="str">
        <f>STAAD!B1096</f>
        <v>7 81 TO 84 UNI GZ 0.0031</v>
      </c>
      <c r="C440" s="42" t="str">
        <f t="shared" si="6"/>
        <v/>
      </c>
      <c r="D440" s="42" t="s">
        <v>671</v>
      </c>
    </row>
    <row r="441" spans="2:4" ht="15" customHeight="1" x14ac:dyDescent="0.3">
      <c r="B441" s="44" t="str">
        <f>STAAD!B1097</f>
        <v>*</v>
      </c>
      <c r="C441" s="42" t="str">
        <f t="shared" si="6"/>
        <v/>
      </c>
      <c r="D441" s="42" t="s">
        <v>671</v>
      </c>
    </row>
    <row r="442" spans="2:4" ht="15" customHeight="1" x14ac:dyDescent="0.3">
      <c r="B442" s="44" t="str">
        <f>STAAD!B1098</f>
        <v>*</v>
      </c>
      <c r="C442" s="42" t="str">
        <f t="shared" si="6"/>
        <v/>
      </c>
      <c r="D442" s="42" t="s">
        <v>671</v>
      </c>
    </row>
    <row r="443" spans="2:4" ht="15" customHeight="1" x14ac:dyDescent="0.3">
      <c r="B443" s="44" t="str">
        <f>STAAD!B1099</f>
        <v>*</v>
      </c>
      <c r="C443" s="42" t="str">
        <f t="shared" si="6"/>
        <v/>
      </c>
      <c r="D443" s="42" t="s">
        <v>671</v>
      </c>
    </row>
    <row r="444" spans="2:4" ht="15" customHeight="1" x14ac:dyDescent="0.3">
      <c r="B444" s="44" t="str">
        <f>STAAD!B1100</f>
        <v>*</v>
      </c>
      <c r="C444" s="42" t="str">
        <f t="shared" si="6"/>
        <v/>
      </c>
      <c r="D444" s="42" t="s">
        <v>671</v>
      </c>
    </row>
    <row r="445" spans="2:4" ht="15" customHeight="1" x14ac:dyDescent="0.3">
      <c r="B445" s="44" t="str">
        <f>STAAD!B1101</f>
        <v>*</v>
      </c>
      <c r="C445" s="42" t="str">
        <f t="shared" si="6"/>
        <v/>
      </c>
      <c r="D445" s="42" t="s">
        <v>671</v>
      </c>
    </row>
    <row r="446" spans="2:4" ht="15" customHeight="1" x14ac:dyDescent="0.3">
      <c r="B446" s="44" t="str">
        <f>STAAD!B1102</f>
        <v>*</v>
      </c>
      <c r="C446" s="42" t="str">
        <f t="shared" si="6"/>
        <v/>
      </c>
      <c r="D446" s="42" t="s">
        <v>671</v>
      </c>
    </row>
    <row r="447" spans="2:4" ht="15" customHeight="1" x14ac:dyDescent="0.3">
      <c r="B447" s="44" t="str">
        <f>STAAD!B1103</f>
        <v>*</v>
      </c>
      <c r="C447" s="42" t="str">
        <f t="shared" si="6"/>
        <v/>
      </c>
      <c r="D447" s="42" t="s">
        <v>671</v>
      </c>
    </row>
    <row r="448" spans="2:4" ht="15" customHeight="1" x14ac:dyDescent="0.3">
      <c r="B448" s="44" t="str">
        <f>STAAD!B1104</f>
        <v>*</v>
      </c>
      <c r="C448" s="42" t="str">
        <f t="shared" si="6"/>
        <v/>
      </c>
      <c r="D448" s="42" t="s">
        <v>671</v>
      </c>
    </row>
    <row r="449" spans="2:4" ht="15" customHeight="1" x14ac:dyDescent="0.3">
      <c r="B449" s="44" t="str">
        <f>STAAD!B1105</f>
        <v>*</v>
      </c>
      <c r="C449" s="42" t="str">
        <f t="shared" si="6"/>
        <v/>
      </c>
      <c r="D449" s="42" t="s">
        <v>671</v>
      </c>
    </row>
    <row r="450" spans="2:4" ht="15" customHeight="1" x14ac:dyDescent="0.3">
      <c r="B450" s="44" t="str">
        <f>STAAD!B1106</f>
        <v>*</v>
      </c>
      <c r="C450" s="42" t="str">
        <f t="shared" si="6"/>
        <v/>
      </c>
      <c r="D450" s="42" t="s">
        <v>671</v>
      </c>
    </row>
    <row r="451" spans="2:4" ht="15" customHeight="1" x14ac:dyDescent="0.3">
      <c r="B451" s="44" t="str">
        <f>STAAD!B1107</f>
        <v>*</v>
      </c>
      <c r="C451" s="42" t="str">
        <f t="shared" si="6"/>
        <v/>
      </c>
      <c r="D451" s="42" t="s">
        <v>671</v>
      </c>
    </row>
    <row r="452" spans="2:4" ht="15" customHeight="1" x14ac:dyDescent="0.3">
      <c r="B452" s="44" t="str">
        <f>STAAD!B1108</f>
        <v>*</v>
      </c>
      <c r="C452" s="42" t="str">
        <f t="shared" si="6"/>
        <v/>
      </c>
      <c r="D452" s="42" t="s">
        <v>671</v>
      </c>
    </row>
    <row r="453" spans="2:4" ht="15" customHeight="1" x14ac:dyDescent="0.3">
      <c r="B453" s="44" t="str">
        <f>STAAD!B1109</f>
        <v>*</v>
      </c>
      <c r="C453" s="42" t="str">
        <f t="shared" si="6"/>
        <v/>
      </c>
      <c r="D453" s="42" t="s">
        <v>671</v>
      </c>
    </row>
    <row r="454" spans="2:4" ht="15" customHeight="1" x14ac:dyDescent="0.3">
      <c r="B454" s="44" t="str">
        <f>STAAD!B1110</f>
        <v>*</v>
      </c>
      <c r="C454" s="42" t="str">
        <f t="shared" ref="C454:C517" si="7">IF(LEN($B454)&gt;79,"MÁS DE 79 CARACTERES","")</f>
        <v/>
      </c>
      <c r="D454" s="42" t="s">
        <v>671</v>
      </c>
    </row>
    <row r="455" spans="2:4" ht="15" customHeight="1" x14ac:dyDescent="0.3">
      <c r="B455" s="44" t="str">
        <f>STAAD!B1111</f>
        <v>*</v>
      </c>
      <c r="C455" s="42" t="str">
        <f t="shared" si="7"/>
        <v/>
      </c>
      <c r="D455" s="42" t="s">
        <v>671</v>
      </c>
    </row>
    <row r="456" spans="2:4" ht="15" customHeight="1" x14ac:dyDescent="0.3">
      <c r="B456" s="44" t="str">
        <f>STAAD!B1112</f>
        <v>*</v>
      </c>
      <c r="C456" s="42" t="str">
        <f t="shared" si="7"/>
        <v/>
      </c>
      <c r="D456" s="42" t="s">
        <v>671</v>
      </c>
    </row>
    <row r="457" spans="2:4" ht="15" customHeight="1" x14ac:dyDescent="0.3">
      <c r="B457" s="44" t="str">
        <f>STAAD!B1113</f>
        <v>*</v>
      </c>
      <c r="C457" s="42" t="str">
        <f t="shared" si="7"/>
        <v/>
      </c>
      <c r="D457" s="42" t="s">
        <v>671</v>
      </c>
    </row>
    <row r="458" spans="2:4" ht="15" customHeight="1" x14ac:dyDescent="0.3">
      <c r="B458" s="44" t="str">
        <f>STAAD!B1114</f>
        <v>*</v>
      </c>
      <c r="C458" s="42" t="str">
        <f t="shared" si="7"/>
        <v/>
      </c>
      <c r="D458" s="42" t="s">
        <v>671</v>
      </c>
    </row>
    <row r="459" spans="2:4" ht="15" customHeight="1" x14ac:dyDescent="0.3">
      <c r="B459" s="44" t="str">
        <f>STAAD!B1115</f>
        <v>*</v>
      </c>
      <c r="C459" s="42" t="str">
        <f t="shared" si="7"/>
        <v/>
      </c>
      <c r="D459" s="42" t="s">
        <v>671</v>
      </c>
    </row>
    <row r="460" spans="2:4" ht="15" customHeight="1" x14ac:dyDescent="0.3">
      <c r="B460" s="44" t="str">
        <f>STAAD!B1116</f>
        <v>*</v>
      </c>
      <c r="C460" s="42" t="str">
        <f t="shared" si="7"/>
        <v/>
      </c>
      <c r="D460" s="42" t="s">
        <v>671</v>
      </c>
    </row>
    <row r="461" spans="2:4" ht="15" customHeight="1" x14ac:dyDescent="0.3">
      <c r="B461" s="44" t="str">
        <f>STAAD!B1117</f>
        <v>*</v>
      </c>
      <c r="C461" s="42" t="str">
        <f t="shared" si="7"/>
        <v/>
      </c>
      <c r="D461" s="42" t="s">
        <v>671</v>
      </c>
    </row>
    <row r="462" spans="2:4" ht="15" customHeight="1" x14ac:dyDescent="0.3">
      <c r="B462" s="44" t="str">
        <f>STAAD!B1118</f>
        <v>*</v>
      </c>
      <c r="C462" s="42" t="str">
        <f t="shared" si="7"/>
        <v/>
      </c>
      <c r="D462" s="42" t="s">
        <v>671</v>
      </c>
    </row>
    <row r="463" spans="2:4" ht="15" customHeight="1" x14ac:dyDescent="0.3">
      <c r="B463" s="44" t="str">
        <f>STAAD!B1119</f>
        <v>*</v>
      </c>
      <c r="C463" s="42" t="str">
        <f t="shared" si="7"/>
        <v/>
      </c>
      <c r="D463" s="42" t="s">
        <v>671</v>
      </c>
    </row>
    <row r="464" spans="2:4" ht="15" customHeight="1" x14ac:dyDescent="0.3">
      <c r="B464" s="44" t="str">
        <f>STAAD!B1120</f>
        <v>*</v>
      </c>
      <c r="C464" s="42" t="str">
        <f t="shared" si="7"/>
        <v/>
      </c>
      <c r="D464" s="42" t="s">
        <v>671</v>
      </c>
    </row>
    <row r="465" spans="2:4" ht="15" customHeight="1" x14ac:dyDescent="0.3">
      <c r="B465" s="44" t="str">
        <f>STAAD!B1121</f>
        <v>*</v>
      </c>
      <c r="C465" s="42" t="str">
        <f t="shared" si="7"/>
        <v/>
      </c>
      <c r="D465" s="42" t="s">
        <v>671</v>
      </c>
    </row>
    <row r="466" spans="2:4" ht="15" customHeight="1" x14ac:dyDescent="0.3">
      <c r="B466" s="44" t="str">
        <f>STAAD!B1122</f>
        <v>*</v>
      </c>
      <c r="C466" s="42" t="str">
        <f t="shared" si="7"/>
        <v/>
      </c>
      <c r="D466" s="42" t="s">
        <v>671</v>
      </c>
    </row>
    <row r="467" spans="2:4" ht="15" customHeight="1" x14ac:dyDescent="0.3">
      <c r="B467" s="44" t="str">
        <f>STAAD!B1123</f>
        <v>*</v>
      </c>
      <c r="C467" s="42" t="str">
        <f t="shared" si="7"/>
        <v/>
      </c>
      <c r="D467" s="42" t="s">
        <v>671</v>
      </c>
    </row>
    <row r="468" spans="2:4" ht="15" customHeight="1" x14ac:dyDescent="0.3">
      <c r="B468" s="44" t="str">
        <f>STAAD!B1124</f>
        <v>*</v>
      </c>
      <c r="C468" s="42" t="str">
        <f t="shared" si="7"/>
        <v/>
      </c>
      <c r="D468" s="42" t="s">
        <v>671</v>
      </c>
    </row>
    <row r="469" spans="2:4" ht="15" customHeight="1" x14ac:dyDescent="0.3">
      <c r="B469" s="44" t="str">
        <f>STAAD!B1125</f>
        <v>*</v>
      </c>
      <c r="C469" s="42" t="str">
        <f t="shared" si="7"/>
        <v/>
      </c>
      <c r="D469" s="42" t="s">
        <v>671</v>
      </c>
    </row>
    <row r="470" spans="2:4" ht="15" customHeight="1" x14ac:dyDescent="0.3">
      <c r="B470" s="44" t="str">
        <f>STAAD!B1126</f>
        <v>*</v>
      </c>
      <c r="C470" s="42" t="str">
        <f t="shared" si="7"/>
        <v/>
      </c>
      <c r="D470" s="42" t="s">
        <v>671</v>
      </c>
    </row>
    <row r="471" spans="2:4" ht="15" customHeight="1" x14ac:dyDescent="0.3">
      <c r="B471" s="44" t="str">
        <f>STAAD!B1127</f>
        <v>*</v>
      </c>
      <c r="C471" s="42" t="str">
        <f t="shared" si="7"/>
        <v/>
      </c>
      <c r="D471" s="42" t="s">
        <v>671</v>
      </c>
    </row>
    <row r="472" spans="2:4" ht="15" customHeight="1" x14ac:dyDescent="0.3">
      <c r="B472" s="44" t="str">
        <f>STAAD!B1128</f>
        <v>*</v>
      </c>
      <c r="C472" s="42" t="str">
        <f t="shared" si="7"/>
        <v/>
      </c>
      <c r="D472" s="42" t="s">
        <v>671</v>
      </c>
    </row>
    <row r="473" spans="2:4" ht="15" customHeight="1" x14ac:dyDescent="0.3">
      <c r="B473" s="44" t="str">
        <f>STAAD!B1129</f>
        <v>*</v>
      </c>
      <c r="C473" s="42" t="str">
        <f t="shared" si="7"/>
        <v/>
      </c>
      <c r="D473" s="42" t="s">
        <v>671</v>
      </c>
    </row>
    <row r="474" spans="2:4" ht="15" customHeight="1" x14ac:dyDescent="0.3">
      <c r="B474" s="44" t="str">
        <f>STAAD!B1130</f>
        <v>*</v>
      </c>
      <c r="C474" s="42" t="str">
        <f t="shared" si="7"/>
        <v/>
      </c>
      <c r="D474" s="42" t="s">
        <v>671</v>
      </c>
    </row>
    <row r="475" spans="2:4" ht="15" customHeight="1" x14ac:dyDescent="0.3">
      <c r="B475" s="44" t="s">
        <v>672</v>
      </c>
      <c r="C475" s="42" t="str">
        <f t="shared" si="7"/>
        <v/>
      </c>
      <c r="D475" s="42"/>
    </row>
    <row r="476" spans="2:4" ht="15" customHeight="1" x14ac:dyDescent="0.3">
      <c r="B476" s="44" t="s">
        <v>673</v>
      </c>
      <c r="C476" s="42" t="str">
        <f t="shared" si="7"/>
        <v/>
      </c>
      <c r="D476" s="42"/>
    </row>
    <row r="477" spans="2:4" ht="15" customHeight="1" x14ac:dyDescent="0.3">
      <c r="B477" s="44" t="str">
        <f>"259 260 261 UNI GX "&amp;TEXT(PRESIONES!H$45*0.6*DATOS!$C$67,DATOS!$C$68)</f>
        <v>259 260 261 UNI GX 0.0025</v>
      </c>
      <c r="C477" s="42" t="str">
        <f t="shared" si="7"/>
        <v/>
      </c>
      <c r="D477" s="42" t="s">
        <v>674</v>
      </c>
    </row>
    <row r="478" spans="2:4" ht="15" customHeight="1" x14ac:dyDescent="0.3">
      <c r="B478" s="44" t="str">
        <f>"265 266 267 UNI GX "&amp;TEXT(-PRESIONES!H$46*0.6*DATOS!$C$67,DATOS!$C$68)</f>
        <v>265 266 267 UNI GX -0.3769</v>
      </c>
      <c r="C478" s="42" t="str">
        <f t="shared" si="7"/>
        <v/>
      </c>
      <c r="D478" s="42" t="s">
        <v>675</v>
      </c>
    </row>
    <row r="479" spans="2:4" ht="15" customHeight="1" x14ac:dyDescent="0.3">
      <c r="B479" s="44" t="str">
        <f>"262 263 264 UNI GZ "&amp;TEXT(PRESIONES!H$43*0.6*DATOS!$C$67,DATOS!$C$68)</f>
        <v>262 263 264 UNI GZ -0.0551</v>
      </c>
      <c r="C479" s="42" t="str">
        <f t="shared" si="7"/>
        <v/>
      </c>
      <c r="D479" s="42" t="s">
        <v>676</v>
      </c>
    </row>
    <row r="480" spans="2:4" ht="15" customHeight="1" x14ac:dyDescent="0.3">
      <c r="B480" s="44" t="s">
        <v>683</v>
      </c>
      <c r="C480" s="42" t="str">
        <f t="shared" si="7"/>
        <v/>
      </c>
      <c r="D480" s="42"/>
    </row>
    <row r="481" spans="2:4" ht="15" customHeight="1" x14ac:dyDescent="0.3">
      <c r="B481" s="44" t="s">
        <v>682</v>
      </c>
      <c r="C481" s="42" t="str">
        <f t="shared" si="7"/>
        <v/>
      </c>
      <c r="D481" s="42"/>
    </row>
    <row r="482" spans="2:4" ht="15" customHeight="1" x14ac:dyDescent="0.3">
      <c r="B482" s="44" t="str">
        <f>STAAD!B1281</f>
        <v>LOAD 14 LOADTYPE Wind  TITLE VIENTO Z PA</v>
      </c>
      <c r="C482" s="42" t="str">
        <f t="shared" si="7"/>
        <v/>
      </c>
      <c r="D482" s="42" t="s">
        <v>663</v>
      </c>
    </row>
    <row r="483" spans="2:4" ht="15" customHeight="1" x14ac:dyDescent="0.3">
      <c r="B483" s="44" t="s">
        <v>664</v>
      </c>
      <c r="C483" s="42" t="str">
        <f t="shared" si="7"/>
        <v/>
      </c>
      <c r="D483" s="42"/>
    </row>
    <row r="484" spans="2:4" ht="15" customHeight="1" x14ac:dyDescent="0.3">
      <c r="B484" s="44" t="s">
        <v>665</v>
      </c>
      <c r="C484" s="42" t="str">
        <f t="shared" si="7"/>
        <v/>
      </c>
      <c r="D484" s="42"/>
    </row>
    <row r="485" spans="2:4" ht="15" customHeight="1" x14ac:dyDescent="0.3">
      <c r="B485" s="44" t="s">
        <v>666</v>
      </c>
      <c r="C485" s="42" t="str">
        <f t="shared" si="7"/>
        <v/>
      </c>
      <c r="D485" s="42"/>
    </row>
    <row r="486" spans="2:4" ht="15" customHeight="1" x14ac:dyDescent="0.3">
      <c r="B486" s="44" t="str">
        <f>"_MURO3 ONE "&amp;TEXT(PRESIONES!I$45*IF(DATOS!$C$65="CM KG",0.0001,IF(DATOS!$C$65="METER KG",1,0.00980665)),"0.000000")&amp;" GX"</f>
        <v>_MURO3 ONE -0.000430 GX</v>
      </c>
      <c r="C486" s="42" t="str">
        <f t="shared" si="7"/>
        <v/>
      </c>
      <c r="D486" s="42" t="s">
        <v>667</v>
      </c>
    </row>
    <row r="487" spans="2:4" ht="15" customHeight="1" x14ac:dyDescent="0.3">
      <c r="B487" s="44" t="str">
        <f>"_MURO4 ONE "&amp;TEXT(-PRESIONES!I$46*IF(DATOS!$C$65="CM KG",0.0001,IF(DATOS!$C$65="METER KG",1,0.00980665)),"0.000000")&amp;" GX"</f>
        <v>_MURO4 ONE 0.000430 GX</v>
      </c>
      <c r="C487" s="42" t="str">
        <f t="shared" si="7"/>
        <v/>
      </c>
      <c r="D487" s="42" t="s">
        <v>668</v>
      </c>
    </row>
    <row r="488" spans="2:4" ht="15" customHeight="1" x14ac:dyDescent="0.3">
      <c r="B488" s="44" t="str">
        <f>"_MURO1 ONE "&amp;TEXT(PRESIONES!I$43*IF(DATOS!$C$65="CM KG",0.0001,IF(DATOS!$C$65="METER KG",1,0.00980665)),"0.000000")&amp;" GZ"</f>
        <v>_MURO1 ONE 0.006770 GZ</v>
      </c>
      <c r="C488" s="42" t="str">
        <f t="shared" si="7"/>
        <v/>
      </c>
      <c r="D488" s="42" t="s">
        <v>669</v>
      </c>
    </row>
    <row r="489" spans="2:4" ht="15" customHeight="1" x14ac:dyDescent="0.3">
      <c r="B489" s="44" t="s">
        <v>632</v>
      </c>
      <c r="C489" s="42" t="str">
        <f t="shared" si="7"/>
        <v/>
      </c>
      <c r="D489" s="42"/>
    </row>
    <row r="490" spans="2:4" ht="15" customHeight="1" x14ac:dyDescent="0.3">
      <c r="B490" s="44" t="s">
        <v>670</v>
      </c>
      <c r="C490" s="42" t="str">
        <f t="shared" si="7"/>
        <v/>
      </c>
      <c r="D490" s="42"/>
    </row>
    <row r="491" spans="2:4" ht="15" customHeight="1" x14ac:dyDescent="0.3">
      <c r="B491" s="44" t="str">
        <f>STAAD!B1283</f>
        <v>22 85 TO 88 UNI GY 0.0330</v>
      </c>
      <c r="C491" s="42" t="str">
        <f t="shared" si="7"/>
        <v/>
      </c>
      <c r="D491" s="42" t="s">
        <v>671</v>
      </c>
    </row>
    <row r="492" spans="2:4" ht="15" customHeight="1" x14ac:dyDescent="0.3">
      <c r="B492" s="44" t="str">
        <f>STAAD!B1284</f>
        <v>22 85 TO 88 UNI GZ 0.0016</v>
      </c>
      <c r="C492" s="42" t="str">
        <f t="shared" si="7"/>
        <v/>
      </c>
      <c r="D492" s="42" t="s">
        <v>671</v>
      </c>
    </row>
    <row r="493" spans="2:4" ht="15" customHeight="1" x14ac:dyDescent="0.3">
      <c r="B493" s="44" t="str">
        <f>STAAD!B1285</f>
        <v>80 129 TO 132 UNI GY 0.0659</v>
      </c>
      <c r="C493" s="42" t="str">
        <f t="shared" si="7"/>
        <v/>
      </c>
      <c r="D493" s="42" t="s">
        <v>671</v>
      </c>
    </row>
    <row r="494" spans="2:4" ht="15" customHeight="1" x14ac:dyDescent="0.3">
      <c r="B494" s="44" t="str">
        <f>STAAD!B1286</f>
        <v>80 129 TO 132 UNI GZ 0.0033</v>
      </c>
      <c r="C494" s="42" t="str">
        <f t="shared" si="7"/>
        <v/>
      </c>
      <c r="D494" s="42" t="s">
        <v>671</v>
      </c>
    </row>
    <row r="495" spans="2:4" ht="15" customHeight="1" x14ac:dyDescent="0.3">
      <c r="B495" s="44" t="str">
        <f>STAAD!B1287</f>
        <v>79 125 TO 128 UNI GY 0.0659</v>
      </c>
      <c r="C495" s="42" t="str">
        <f t="shared" si="7"/>
        <v/>
      </c>
      <c r="D495" s="42" t="s">
        <v>671</v>
      </c>
    </row>
    <row r="496" spans="2:4" ht="15" customHeight="1" x14ac:dyDescent="0.3">
      <c r="B496" s="44" t="str">
        <f>STAAD!B1288</f>
        <v>79 125 TO 128 UNI GZ 0.0033</v>
      </c>
      <c r="C496" s="42" t="str">
        <f t="shared" si="7"/>
        <v/>
      </c>
      <c r="D496" s="42" t="s">
        <v>671</v>
      </c>
    </row>
    <row r="497" spans="2:4" ht="15" customHeight="1" x14ac:dyDescent="0.3">
      <c r="B497" s="44" t="str">
        <f>STAAD!B1289</f>
        <v>78 121 TO 124 UNI GY 0.0659</v>
      </c>
      <c r="C497" s="42" t="str">
        <f t="shared" si="7"/>
        <v/>
      </c>
      <c r="D497" s="42" t="s">
        <v>671</v>
      </c>
    </row>
    <row r="498" spans="2:4" ht="15" customHeight="1" x14ac:dyDescent="0.3">
      <c r="B498" s="44" t="str">
        <f>STAAD!B1290</f>
        <v>78 121 TO 124 UNI GZ 0.0033</v>
      </c>
      <c r="C498" s="42" t="str">
        <f t="shared" si="7"/>
        <v/>
      </c>
      <c r="D498" s="42" t="s">
        <v>671</v>
      </c>
    </row>
    <row r="499" spans="2:4" ht="15" customHeight="1" x14ac:dyDescent="0.3">
      <c r="B499" s="44" t="str">
        <f>STAAD!B1291</f>
        <v>77 117 TO 120 UNI GY 0.0659</v>
      </c>
      <c r="C499" s="42" t="str">
        <f t="shared" si="7"/>
        <v/>
      </c>
      <c r="D499" s="42" t="s">
        <v>671</v>
      </c>
    </row>
    <row r="500" spans="2:4" ht="15" customHeight="1" x14ac:dyDescent="0.3">
      <c r="B500" s="44" t="str">
        <f>STAAD!B1292</f>
        <v>77 117 TO 120 UNI GZ 0.0033</v>
      </c>
      <c r="C500" s="42" t="str">
        <f t="shared" si="7"/>
        <v/>
      </c>
      <c r="D500" s="42" t="s">
        <v>671</v>
      </c>
    </row>
    <row r="501" spans="2:4" ht="15" customHeight="1" x14ac:dyDescent="0.3">
      <c r="B501" s="44" t="str">
        <f>STAAD!B1293</f>
        <v>9 93 TO 96 UNI GY 0.0659</v>
      </c>
      <c r="C501" s="42" t="str">
        <f t="shared" si="7"/>
        <v/>
      </c>
      <c r="D501" s="42" t="s">
        <v>671</v>
      </c>
    </row>
    <row r="502" spans="2:4" ht="15" customHeight="1" x14ac:dyDescent="0.3">
      <c r="B502" s="44" t="str">
        <f>STAAD!B1294</f>
        <v>9 93 TO 96 UNI GZ 0.0033</v>
      </c>
      <c r="C502" s="42" t="str">
        <f t="shared" si="7"/>
        <v/>
      </c>
      <c r="D502" s="42" t="s">
        <v>671</v>
      </c>
    </row>
    <row r="503" spans="2:4" ht="15" customHeight="1" x14ac:dyDescent="0.3">
      <c r="B503" s="44" t="str">
        <f>STAAD!B1295</f>
        <v>76 113 TO 116 UNI GY 0.0659</v>
      </c>
      <c r="C503" s="42" t="str">
        <f t="shared" si="7"/>
        <v/>
      </c>
      <c r="D503" s="42" t="s">
        <v>671</v>
      </c>
    </row>
    <row r="504" spans="2:4" ht="15" customHeight="1" x14ac:dyDescent="0.3">
      <c r="B504" s="44" t="str">
        <f>STAAD!B1296</f>
        <v>76 113 TO 116 UNI GZ 0.0033</v>
      </c>
      <c r="C504" s="42" t="str">
        <f t="shared" si="7"/>
        <v/>
      </c>
      <c r="D504" s="42" t="s">
        <v>671</v>
      </c>
    </row>
    <row r="505" spans="2:4" ht="15" customHeight="1" x14ac:dyDescent="0.3">
      <c r="B505" s="44" t="str">
        <f>STAAD!B1297</f>
        <v>75 109 TO 112 UNI GY 0.0659</v>
      </c>
      <c r="C505" s="42" t="str">
        <f t="shared" si="7"/>
        <v/>
      </c>
      <c r="D505" s="42" t="s">
        <v>671</v>
      </c>
    </row>
    <row r="506" spans="2:4" ht="15" customHeight="1" x14ac:dyDescent="0.3">
      <c r="B506" s="44" t="str">
        <f>STAAD!B1298</f>
        <v>75 109 TO 112 UNI GZ 0.0033</v>
      </c>
      <c r="C506" s="42" t="str">
        <f t="shared" si="7"/>
        <v/>
      </c>
      <c r="D506" s="42" t="s">
        <v>671</v>
      </c>
    </row>
    <row r="507" spans="2:4" ht="15" customHeight="1" x14ac:dyDescent="0.3">
      <c r="B507" s="44" t="str">
        <f>STAAD!B1299</f>
        <v>74 105 TO 108 UNI GY 0.0659</v>
      </c>
      <c r="C507" s="42" t="str">
        <f t="shared" si="7"/>
        <v/>
      </c>
      <c r="D507" s="42" t="s">
        <v>671</v>
      </c>
    </row>
    <row r="508" spans="2:4" ht="15" customHeight="1" x14ac:dyDescent="0.3">
      <c r="B508" s="44" t="str">
        <f>STAAD!B1300</f>
        <v>74 105 TO 108 UNI GZ 0.0033</v>
      </c>
      <c r="C508" s="42" t="str">
        <f t="shared" si="7"/>
        <v/>
      </c>
      <c r="D508" s="42" t="s">
        <v>671</v>
      </c>
    </row>
    <row r="509" spans="2:4" ht="15" customHeight="1" x14ac:dyDescent="0.3">
      <c r="B509" s="44" t="str">
        <f>STAAD!B1301</f>
        <v>73 101 TO 104 UNI GY 0.0659</v>
      </c>
      <c r="C509" s="42" t="str">
        <f t="shared" si="7"/>
        <v/>
      </c>
      <c r="D509" s="42" t="s">
        <v>671</v>
      </c>
    </row>
    <row r="510" spans="2:4" ht="15" customHeight="1" x14ac:dyDescent="0.3">
      <c r="B510" s="44" t="str">
        <f>STAAD!B1302</f>
        <v>73 101 TO 104 UNI GZ 0.0033</v>
      </c>
      <c r="C510" s="42" t="str">
        <f t="shared" si="7"/>
        <v/>
      </c>
      <c r="D510" s="42" t="s">
        <v>671</v>
      </c>
    </row>
    <row r="511" spans="2:4" ht="15" customHeight="1" x14ac:dyDescent="0.3">
      <c r="B511" s="44" t="str">
        <f>STAAD!B1303</f>
        <v>8 89 TO 92 UNI GY 0.0635</v>
      </c>
      <c r="C511" s="42" t="str">
        <f t="shared" si="7"/>
        <v/>
      </c>
      <c r="D511" s="42" t="s">
        <v>671</v>
      </c>
    </row>
    <row r="512" spans="2:4" ht="15" customHeight="1" x14ac:dyDescent="0.3">
      <c r="B512" s="44" t="str">
        <f>STAAD!B1304</f>
        <v>8 89 TO 92 UNI GZ 0.0032</v>
      </c>
      <c r="C512" s="42" t="str">
        <f t="shared" si="7"/>
        <v/>
      </c>
      <c r="D512" s="42" t="s">
        <v>671</v>
      </c>
    </row>
    <row r="513" spans="2:4" ht="15" customHeight="1" x14ac:dyDescent="0.3">
      <c r="B513" s="44" t="str">
        <f>STAAD!B1305</f>
        <v>56 97 TO 100 UNI GY 0.0610</v>
      </c>
      <c r="C513" s="42" t="str">
        <f t="shared" si="7"/>
        <v/>
      </c>
      <c r="D513" s="42" t="s">
        <v>671</v>
      </c>
    </row>
    <row r="514" spans="2:4" ht="15" customHeight="1" x14ac:dyDescent="0.3">
      <c r="B514" s="44" t="str">
        <f>STAAD!B1306</f>
        <v>56 97 TO 100 UNI GZ 0.0031</v>
      </c>
      <c r="C514" s="42" t="str">
        <f t="shared" si="7"/>
        <v/>
      </c>
      <c r="D514" s="42" t="s">
        <v>671</v>
      </c>
    </row>
    <row r="515" spans="2:4" ht="15" customHeight="1" x14ac:dyDescent="0.3">
      <c r="B515" s="44" t="str">
        <f>STAAD!B1307</f>
        <v>7 81 TO 84 UNI GY 0.0305</v>
      </c>
      <c r="C515" s="42" t="str">
        <f t="shared" si="7"/>
        <v/>
      </c>
      <c r="D515" s="42" t="s">
        <v>671</v>
      </c>
    </row>
    <row r="516" spans="2:4" ht="15" customHeight="1" x14ac:dyDescent="0.3">
      <c r="B516" s="44" t="str">
        <f>STAAD!B1308</f>
        <v>7 81 TO 84 UNI GZ 0.0015</v>
      </c>
      <c r="C516" s="42" t="str">
        <f t="shared" si="7"/>
        <v/>
      </c>
      <c r="D516" s="42" t="s">
        <v>671</v>
      </c>
    </row>
    <row r="517" spans="2:4" ht="15" customHeight="1" x14ac:dyDescent="0.3">
      <c r="B517" s="44" t="str">
        <f>STAAD!B1309</f>
        <v>*</v>
      </c>
      <c r="C517" s="42" t="str">
        <f t="shared" si="7"/>
        <v/>
      </c>
      <c r="D517" s="42" t="s">
        <v>671</v>
      </c>
    </row>
    <row r="518" spans="2:4" ht="15" customHeight="1" x14ac:dyDescent="0.3">
      <c r="B518" s="44" t="str">
        <f>STAAD!B1310</f>
        <v>*</v>
      </c>
      <c r="C518" s="42" t="str">
        <f t="shared" ref="C518:C581" si="8">IF(LEN($B518)&gt;79,"MÁS DE 79 CARACTERES","")</f>
        <v/>
      </c>
      <c r="D518" s="42" t="s">
        <v>671</v>
      </c>
    </row>
    <row r="519" spans="2:4" ht="15" customHeight="1" x14ac:dyDescent="0.3">
      <c r="B519" s="44" t="str">
        <f>STAAD!B1311</f>
        <v>*</v>
      </c>
      <c r="C519" s="42" t="str">
        <f t="shared" si="8"/>
        <v/>
      </c>
      <c r="D519" s="42" t="s">
        <v>671</v>
      </c>
    </row>
    <row r="520" spans="2:4" ht="15" customHeight="1" x14ac:dyDescent="0.3">
      <c r="B520" s="44" t="str">
        <f>STAAD!B1312</f>
        <v>*</v>
      </c>
      <c r="C520" s="42" t="str">
        <f t="shared" si="8"/>
        <v/>
      </c>
      <c r="D520" s="42" t="s">
        <v>671</v>
      </c>
    </row>
    <row r="521" spans="2:4" ht="15" customHeight="1" x14ac:dyDescent="0.3">
      <c r="B521" s="44" t="str">
        <f>STAAD!B1313</f>
        <v>*</v>
      </c>
      <c r="C521" s="42" t="str">
        <f t="shared" si="8"/>
        <v/>
      </c>
      <c r="D521" s="42" t="s">
        <v>671</v>
      </c>
    </row>
    <row r="522" spans="2:4" ht="15" customHeight="1" x14ac:dyDescent="0.3">
      <c r="B522" s="44" t="str">
        <f>STAAD!B1314</f>
        <v>*</v>
      </c>
      <c r="C522" s="42" t="str">
        <f t="shared" si="8"/>
        <v/>
      </c>
      <c r="D522" s="42" t="s">
        <v>671</v>
      </c>
    </row>
    <row r="523" spans="2:4" ht="15" customHeight="1" x14ac:dyDescent="0.3">
      <c r="B523" s="44" t="str">
        <f>STAAD!B1315</f>
        <v>*</v>
      </c>
      <c r="C523" s="42" t="str">
        <f t="shared" si="8"/>
        <v/>
      </c>
      <c r="D523" s="42" t="s">
        <v>671</v>
      </c>
    </row>
    <row r="524" spans="2:4" ht="15" customHeight="1" x14ac:dyDescent="0.3">
      <c r="B524" s="44" t="str">
        <f>STAAD!B1316</f>
        <v>*</v>
      </c>
      <c r="C524" s="42" t="str">
        <f t="shared" si="8"/>
        <v/>
      </c>
      <c r="D524" s="42" t="s">
        <v>671</v>
      </c>
    </row>
    <row r="525" spans="2:4" ht="15" customHeight="1" x14ac:dyDescent="0.3">
      <c r="B525" s="44" t="str">
        <f>STAAD!B1317</f>
        <v>*</v>
      </c>
      <c r="C525" s="42" t="str">
        <f t="shared" si="8"/>
        <v/>
      </c>
      <c r="D525" s="42" t="s">
        <v>671</v>
      </c>
    </row>
    <row r="526" spans="2:4" ht="15" customHeight="1" x14ac:dyDescent="0.3">
      <c r="B526" s="44" t="str">
        <f>STAAD!B1318</f>
        <v>*</v>
      </c>
      <c r="C526" s="42" t="str">
        <f t="shared" si="8"/>
        <v/>
      </c>
      <c r="D526" s="42" t="s">
        <v>671</v>
      </c>
    </row>
    <row r="527" spans="2:4" ht="15" customHeight="1" x14ac:dyDescent="0.3">
      <c r="B527" s="44" t="str">
        <f>STAAD!B1319</f>
        <v>*</v>
      </c>
      <c r="C527" s="42" t="str">
        <f t="shared" si="8"/>
        <v/>
      </c>
      <c r="D527" s="42" t="s">
        <v>671</v>
      </c>
    </row>
    <row r="528" spans="2:4" ht="15" customHeight="1" x14ac:dyDescent="0.3">
      <c r="B528" s="44" t="str">
        <f>STAAD!B1320</f>
        <v>*</v>
      </c>
      <c r="C528" s="42" t="str">
        <f t="shared" si="8"/>
        <v/>
      </c>
      <c r="D528" s="42" t="s">
        <v>671</v>
      </c>
    </row>
    <row r="529" spans="2:4" ht="15" customHeight="1" x14ac:dyDescent="0.3">
      <c r="B529" s="44" t="str">
        <f>STAAD!B1321</f>
        <v>*</v>
      </c>
      <c r="C529" s="42" t="str">
        <f t="shared" si="8"/>
        <v/>
      </c>
      <c r="D529" s="42" t="s">
        <v>671</v>
      </c>
    </row>
    <row r="530" spans="2:4" ht="15" customHeight="1" x14ac:dyDescent="0.3">
      <c r="B530" s="44" t="str">
        <f>STAAD!B1322</f>
        <v>*</v>
      </c>
      <c r="C530" s="42" t="str">
        <f t="shared" si="8"/>
        <v/>
      </c>
      <c r="D530" s="42" t="s">
        <v>671</v>
      </c>
    </row>
    <row r="531" spans="2:4" ht="15" customHeight="1" x14ac:dyDescent="0.3">
      <c r="B531" s="44" t="str">
        <f>STAAD!B1323</f>
        <v>*</v>
      </c>
      <c r="C531" s="42" t="str">
        <f t="shared" si="8"/>
        <v/>
      </c>
      <c r="D531" s="42" t="s">
        <v>671</v>
      </c>
    </row>
    <row r="532" spans="2:4" ht="15" customHeight="1" x14ac:dyDescent="0.3">
      <c r="B532" s="44" t="str">
        <f>STAAD!B1324</f>
        <v>*</v>
      </c>
      <c r="C532" s="42" t="str">
        <f t="shared" si="8"/>
        <v/>
      </c>
      <c r="D532" s="42" t="s">
        <v>671</v>
      </c>
    </row>
    <row r="533" spans="2:4" ht="15" customHeight="1" x14ac:dyDescent="0.3">
      <c r="B533" s="44" t="str">
        <f>STAAD!B1325</f>
        <v>*</v>
      </c>
      <c r="C533" s="42" t="str">
        <f t="shared" si="8"/>
        <v/>
      </c>
      <c r="D533" s="42" t="s">
        <v>671</v>
      </c>
    </row>
    <row r="534" spans="2:4" ht="15" customHeight="1" x14ac:dyDescent="0.3">
      <c r="B534" s="44" t="str">
        <f>STAAD!B1326</f>
        <v>*</v>
      </c>
      <c r="C534" s="42" t="str">
        <f t="shared" si="8"/>
        <v/>
      </c>
      <c r="D534" s="42" t="s">
        <v>671</v>
      </c>
    </row>
    <row r="535" spans="2:4" ht="15" customHeight="1" x14ac:dyDescent="0.3">
      <c r="B535" s="44" t="str">
        <f>STAAD!B1327</f>
        <v>*</v>
      </c>
      <c r="C535" s="42" t="str">
        <f t="shared" si="8"/>
        <v/>
      </c>
      <c r="D535" s="42" t="s">
        <v>671</v>
      </c>
    </row>
    <row r="536" spans="2:4" ht="15" customHeight="1" x14ac:dyDescent="0.3">
      <c r="B536" s="44" t="str">
        <f>STAAD!B1328</f>
        <v>*</v>
      </c>
      <c r="C536" s="42" t="str">
        <f t="shared" si="8"/>
        <v/>
      </c>
      <c r="D536" s="42" t="s">
        <v>671</v>
      </c>
    </row>
    <row r="537" spans="2:4" ht="15" customHeight="1" x14ac:dyDescent="0.3">
      <c r="B537" s="44" t="str">
        <f>STAAD!B1329</f>
        <v>*</v>
      </c>
      <c r="C537" s="42" t="str">
        <f t="shared" si="8"/>
        <v/>
      </c>
      <c r="D537" s="42" t="s">
        <v>671</v>
      </c>
    </row>
    <row r="538" spans="2:4" ht="15" customHeight="1" x14ac:dyDescent="0.3">
      <c r="B538" s="44" t="str">
        <f>STAAD!B1330</f>
        <v>*</v>
      </c>
      <c r="C538" s="42" t="str">
        <f t="shared" si="8"/>
        <v/>
      </c>
      <c r="D538" s="42" t="s">
        <v>671</v>
      </c>
    </row>
    <row r="539" spans="2:4" ht="15" customHeight="1" x14ac:dyDescent="0.3">
      <c r="B539" s="44" t="str">
        <f>STAAD!B1331</f>
        <v>*</v>
      </c>
      <c r="C539" s="42" t="str">
        <f t="shared" si="8"/>
        <v/>
      </c>
      <c r="D539" s="42" t="s">
        <v>671</v>
      </c>
    </row>
    <row r="540" spans="2:4" ht="15" customHeight="1" x14ac:dyDescent="0.3">
      <c r="B540" s="44" t="str">
        <f>STAAD!B1332</f>
        <v>*</v>
      </c>
      <c r="C540" s="42" t="str">
        <f t="shared" si="8"/>
        <v/>
      </c>
      <c r="D540" s="42" t="s">
        <v>671</v>
      </c>
    </row>
    <row r="541" spans="2:4" ht="15" customHeight="1" x14ac:dyDescent="0.3">
      <c r="B541" s="44" t="str">
        <f>STAAD!B1333</f>
        <v>*</v>
      </c>
      <c r="C541" s="42" t="str">
        <f t="shared" si="8"/>
        <v/>
      </c>
      <c r="D541" s="42" t="s">
        <v>671</v>
      </c>
    </row>
    <row r="542" spans="2:4" ht="15" customHeight="1" x14ac:dyDescent="0.3">
      <c r="B542" s="44" t="str">
        <f>STAAD!B1334</f>
        <v>*</v>
      </c>
      <c r="C542" s="42" t="str">
        <f t="shared" si="8"/>
        <v/>
      </c>
      <c r="D542" s="42" t="s">
        <v>671</v>
      </c>
    </row>
    <row r="543" spans="2:4" ht="15" customHeight="1" x14ac:dyDescent="0.3">
      <c r="B543" s="44" t="str">
        <f>STAAD!B1335</f>
        <v>*</v>
      </c>
      <c r="C543" s="42" t="str">
        <f t="shared" si="8"/>
        <v/>
      </c>
      <c r="D543" s="42" t="s">
        <v>671</v>
      </c>
    </row>
    <row r="544" spans="2:4" ht="15" customHeight="1" x14ac:dyDescent="0.3">
      <c r="B544" s="44" t="str">
        <f>STAAD!B1336</f>
        <v>*</v>
      </c>
      <c r="C544" s="42" t="str">
        <f t="shared" si="8"/>
        <v/>
      </c>
      <c r="D544" s="42" t="s">
        <v>671</v>
      </c>
    </row>
    <row r="545" spans="2:4" ht="15" customHeight="1" x14ac:dyDescent="0.3">
      <c r="B545" s="44" t="str">
        <f>STAAD!B1337</f>
        <v>*</v>
      </c>
      <c r="C545" s="42" t="str">
        <f t="shared" si="8"/>
        <v/>
      </c>
      <c r="D545" s="42" t="s">
        <v>671</v>
      </c>
    </row>
    <row r="546" spans="2:4" ht="15" customHeight="1" x14ac:dyDescent="0.3">
      <c r="B546" s="44" t="str">
        <f>STAAD!B1338</f>
        <v>*</v>
      </c>
      <c r="C546" s="42" t="str">
        <f t="shared" si="8"/>
        <v/>
      </c>
      <c r="D546" s="42" t="s">
        <v>671</v>
      </c>
    </row>
    <row r="547" spans="2:4" ht="15" customHeight="1" x14ac:dyDescent="0.3">
      <c r="B547" s="44" t="str">
        <f>STAAD!B1339</f>
        <v>*</v>
      </c>
      <c r="C547" s="42" t="str">
        <f t="shared" si="8"/>
        <v/>
      </c>
      <c r="D547" s="42" t="s">
        <v>671</v>
      </c>
    </row>
    <row r="548" spans="2:4" ht="15" customHeight="1" x14ac:dyDescent="0.3">
      <c r="B548" s="44" t="str">
        <f>STAAD!B1340</f>
        <v>*</v>
      </c>
      <c r="C548" s="42" t="str">
        <f t="shared" si="8"/>
        <v/>
      </c>
      <c r="D548" s="42" t="s">
        <v>671</v>
      </c>
    </row>
    <row r="549" spans="2:4" ht="15" customHeight="1" x14ac:dyDescent="0.3">
      <c r="B549" s="44" t="str">
        <f>STAAD!B1341</f>
        <v>*</v>
      </c>
      <c r="C549" s="42" t="str">
        <f t="shared" si="8"/>
        <v/>
      </c>
      <c r="D549" s="42" t="s">
        <v>671</v>
      </c>
    </row>
    <row r="550" spans="2:4" ht="15" customHeight="1" x14ac:dyDescent="0.3">
      <c r="B550" s="44" t="str">
        <f>STAAD!B1342</f>
        <v>*</v>
      </c>
      <c r="C550" s="42" t="str">
        <f t="shared" si="8"/>
        <v/>
      </c>
      <c r="D550" s="42" t="s">
        <v>671</v>
      </c>
    </row>
    <row r="551" spans="2:4" ht="15" customHeight="1" x14ac:dyDescent="0.3">
      <c r="B551" s="44" t="s">
        <v>672</v>
      </c>
      <c r="C551" s="42" t="str">
        <f t="shared" si="8"/>
        <v/>
      </c>
      <c r="D551" s="42"/>
    </row>
    <row r="552" spans="2:4" ht="15" customHeight="1" x14ac:dyDescent="0.3">
      <c r="B552" s="44" t="s">
        <v>673</v>
      </c>
      <c r="C552" s="42" t="str">
        <f t="shared" si="8"/>
        <v/>
      </c>
      <c r="D552" s="42"/>
    </row>
    <row r="553" spans="2:4" ht="15" customHeight="1" x14ac:dyDescent="0.3">
      <c r="B553" s="44" t="str">
        <f>"259 260 261 UNI GX "&amp;TEXT(PRESIONES!I$45*0.6*DATOS!$C$67,DATOS!$C$68)</f>
        <v>259 260 261 UNI GX -0.0258</v>
      </c>
      <c r="C553" s="42" t="str">
        <f t="shared" si="8"/>
        <v/>
      </c>
      <c r="D553" s="42" t="s">
        <v>674</v>
      </c>
    </row>
    <row r="554" spans="2:4" ht="15" customHeight="1" x14ac:dyDescent="0.3">
      <c r="B554" s="44" t="str">
        <f>"265 266 267 UNI GX "&amp;TEXT(-PRESIONES!I$46*0.6*DATOS!$C$67,DATOS!$C$68)</f>
        <v>265 266 267 UNI GX 0.0258</v>
      </c>
      <c r="C554" s="42" t="str">
        <f t="shared" si="8"/>
        <v/>
      </c>
      <c r="D554" s="42" t="s">
        <v>675</v>
      </c>
    </row>
    <row r="555" spans="2:4" ht="15" customHeight="1" x14ac:dyDescent="0.3">
      <c r="B555" s="44" t="str">
        <f>"262 263 264 UNI GZ "&amp;TEXT(PRESIONES!I$43*0.6*DATOS!$C$67,DATOS!$C$68)</f>
        <v>262 263 264 UNI GZ 0.4062</v>
      </c>
      <c r="C555" s="42" t="str">
        <f t="shared" si="8"/>
        <v/>
      </c>
      <c r="D555" s="42" t="s">
        <v>676</v>
      </c>
    </row>
    <row r="556" spans="2:4" ht="15" customHeight="1" x14ac:dyDescent="0.3">
      <c r="B556" s="44" t="s">
        <v>683</v>
      </c>
      <c r="C556" s="42" t="str">
        <f t="shared" si="8"/>
        <v/>
      </c>
      <c r="D556" s="42"/>
    </row>
    <row r="557" spans="2:4" ht="15" customHeight="1" x14ac:dyDescent="0.3">
      <c r="B557" s="44" t="s">
        <v>682</v>
      </c>
      <c r="C557" s="42" t="str">
        <f t="shared" si="8"/>
        <v/>
      </c>
      <c r="D557" s="42"/>
    </row>
    <row r="558" spans="2:4" ht="15" customHeight="1" x14ac:dyDescent="0.3">
      <c r="B558" s="44" t="str">
        <f>STAAD!B1493</f>
        <v>LOAD 15 LOADTYPE Wind  TITLE VIENTO -Z PA</v>
      </c>
      <c r="C558" s="42" t="str">
        <f t="shared" si="8"/>
        <v/>
      </c>
      <c r="D558" s="42" t="s">
        <v>663</v>
      </c>
    </row>
    <row r="559" spans="2:4" ht="15" customHeight="1" x14ac:dyDescent="0.3">
      <c r="B559" s="44" t="s">
        <v>664</v>
      </c>
      <c r="C559" s="42" t="str">
        <f t="shared" si="8"/>
        <v/>
      </c>
      <c r="D559" s="42"/>
    </row>
    <row r="560" spans="2:4" ht="15" customHeight="1" x14ac:dyDescent="0.3">
      <c r="B560" s="44" t="s">
        <v>665</v>
      </c>
      <c r="C560" s="42" t="str">
        <f t="shared" si="8"/>
        <v/>
      </c>
      <c r="D560" s="42"/>
    </row>
    <row r="561" spans="2:4" ht="15" customHeight="1" x14ac:dyDescent="0.3">
      <c r="B561" s="44" t="s">
        <v>666</v>
      </c>
      <c r="C561" s="42" t="str">
        <f t="shared" si="8"/>
        <v/>
      </c>
      <c r="D561" s="42"/>
    </row>
    <row r="562" spans="2:4" ht="15" customHeight="1" x14ac:dyDescent="0.3">
      <c r="B562" s="44" t="str">
        <f>"_MURO3 ONE "&amp;TEXT(PRESIONES!J$45*IF(DATOS!$C$65="CM KG",0.0001,IF(DATOS!$C$65="METER KG",1,0.00980665)),"0.000000")&amp;" GX"</f>
        <v>_MURO3 ONE -0.007022 GX</v>
      </c>
      <c r="C562" s="42" t="str">
        <f t="shared" si="8"/>
        <v/>
      </c>
      <c r="D562" s="42" t="s">
        <v>667</v>
      </c>
    </row>
    <row r="563" spans="2:4" ht="15" customHeight="1" x14ac:dyDescent="0.3">
      <c r="B563" s="44" t="str">
        <f>"_MURO4 ONE "&amp;TEXT(-PRESIONES!J$46*IF(DATOS!$C$65="CM KG",0.0001,IF(DATOS!$C$65="METER KG",1,0.00980665)),"0.000000")&amp;" GX"</f>
        <v>_MURO4 ONE 0.007022 GX</v>
      </c>
      <c r="C563" s="42" t="str">
        <f t="shared" si="8"/>
        <v/>
      </c>
      <c r="D563" s="42" t="s">
        <v>668</v>
      </c>
    </row>
    <row r="564" spans="2:4" ht="15" customHeight="1" x14ac:dyDescent="0.3">
      <c r="B564" s="44" t="str">
        <f>"_MURO1 ONE "&amp;TEXT(PRESIONES!J$43*IF(DATOS!$C$65="CM KG",0.0001,IF(DATOS!$C$65="METER KG",1,0.00980665)),"0.000000")&amp;" GZ"</f>
        <v>_MURO1 ONE -0.006062 GZ</v>
      </c>
      <c r="C564" s="42" t="str">
        <f t="shared" si="8"/>
        <v/>
      </c>
      <c r="D564" s="42" t="s">
        <v>669</v>
      </c>
    </row>
    <row r="565" spans="2:4" ht="15" customHeight="1" x14ac:dyDescent="0.3">
      <c r="B565" s="44" t="s">
        <v>632</v>
      </c>
      <c r="C565" s="42" t="str">
        <f t="shared" si="8"/>
        <v/>
      </c>
      <c r="D565" s="42"/>
    </row>
    <row r="566" spans="2:4" ht="15" customHeight="1" x14ac:dyDescent="0.3">
      <c r="B566" s="44" t="s">
        <v>670</v>
      </c>
      <c r="C566" s="42" t="str">
        <f t="shared" si="8"/>
        <v/>
      </c>
      <c r="D566" s="42"/>
    </row>
    <row r="567" spans="2:4" ht="15" customHeight="1" x14ac:dyDescent="0.3">
      <c r="B567" s="44" t="str">
        <f>STAAD!B1495</f>
        <v>22 85 TO 88 UNI GY 0.4779</v>
      </c>
      <c r="C567" s="42" t="str">
        <f t="shared" si="8"/>
        <v/>
      </c>
      <c r="D567" s="42" t="s">
        <v>671</v>
      </c>
    </row>
    <row r="568" spans="2:4" ht="15" customHeight="1" x14ac:dyDescent="0.3">
      <c r="B568" s="44" t="str">
        <f>STAAD!B1496</f>
        <v>22 85 TO 88 UNI GZ 0.0239</v>
      </c>
      <c r="C568" s="42" t="str">
        <f t="shared" si="8"/>
        <v/>
      </c>
      <c r="D568" s="42" t="s">
        <v>671</v>
      </c>
    </row>
    <row r="569" spans="2:4" ht="15" customHeight="1" x14ac:dyDescent="0.3">
      <c r="B569" s="44" t="str">
        <f>STAAD!B1497</f>
        <v>80 129 TO 132 UNI GY 0.9559</v>
      </c>
      <c r="C569" s="42" t="str">
        <f t="shared" si="8"/>
        <v/>
      </c>
      <c r="D569" s="42" t="s">
        <v>671</v>
      </c>
    </row>
    <row r="570" spans="2:4" ht="15" customHeight="1" x14ac:dyDescent="0.3">
      <c r="B570" s="44" t="str">
        <f>STAAD!B1498</f>
        <v>80 129 TO 132 UNI GZ 0.0478</v>
      </c>
      <c r="C570" s="42" t="str">
        <f t="shared" si="8"/>
        <v/>
      </c>
      <c r="D570" s="42" t="s">
        <v>671</v>
      </c>
    </row>
    <row r="571" spans="2:4" ht="15" customHeight="1" x14ac:dyDescent="0.3">
      <c r="B571" s="44" t="str">
        <f>STAAD!B1499</f>
        <v>79 125 TO 128 UNI GY 0.9559</v>
      </c>
      <c r="C571" s="42" t="str">
        <f t="shared" si="8"/>
        <v/>
      </c>
      <c r="D571" s="42" t="s">
        <v>671</v>
      </c>
    </row>
    <row r="572" spans="2:4" ht="15" customHeight="1" x14ac:dyDescent="0.3">
      <c r="B572" s="44" t="str">
        <f>STAAD!B1500</f>
        <v>79 125 TO 128 UNI GZ 0.0478</v>
      </c>
      <c r="C572" s="42" t="str">
        <f t="shared" si="8"/>
        <v/>
      </c>
      <c r="D572" s="42" t="s">
        <v>671</v>
      </c>
    </row>
    <row r="573" spans="2:4" ht="15" customHeight="1" x14ac:dyDescent="0.3">
      <c r="B573" s="44" t="str">
        <f>STAAD!B1501</f>
        <v>78 121 TO 124 UNI GY 0.9559</v>
      </c>
      <c r="C573" s="42" t="str">
        <f t="shared" si="8"/>
        <v/>
      </c>
      <c r="D573" s="42" t="s">
        <v>671</v>
      </c>
    </row>
    <row r="574" spans="2:4" ht="15" customHeight="1" x14ac:dyDescent="0.3">
      <c r="B574" s="44" t="str">
        <f>STAAD!B1502</f>
        <v>78 121 TO 124 UNI GZ 0.0478</v>
      </c>
      <c r="C574" s="42" t="str">
        <f t="shared" si="8"/>
        <v/>
      </c>
      <c r="D574" s="42" t="s">
        <v>671</v>
      </c>
    </row>
    <row r="575" spans="2:4" ht="15" customHeight="1" x14ac:dyDescent="0.3">
      <c r="B575" s="44" t="str">
        <f>STAAD!B1503</f>
        <v>77 117 TO 120 UNI GY 0.9559</v>
      </c>
      <c r="C575" s="42" t="str">
        <f t="shared" si="8"/>
        <v/>
      </c>
      <c r="D575" s="42" t="s">
        <v>671</v>
      </c>
    </row>
    <row r="576" spans="2:4" ht="15" customHeight="1" x14ac:dyDescent="0.3">
      <c r="B576" s="44" t="str">
        <f>STAAD!B1504</f>
        <v>77 117 TO 120 UNI GZ 0.0478</v>
      </c>
      <c r="C576" s="42" t="str">
        <f t="shared" si="8"/>
        <v/>
      </c>
      <c r="D576" s="42" t="s">
        <v>671</v>
      </c>
    </row>
    <row r="577" spans="2:4" ht="15" customHeight="1" x14ac:dyDescent="0.3">
      <c r="B577" s="44" t="str">
        <f>STAAD!B1505</f>
        <v>9 93 TO 96 UNI GY 0.9559</v>
      </c>
      <c r="C577" s="42" t="str">
        <f t="shared" si="8"/>
        <v/>
      </c>
      <c r="D577" s="42" t="s">
        <v>671</v>
      </c>
    </row>
    <row r="578" spans="2:4" ht="15" customHeight="1" x14ac:dyDescent="0.3">
      <c r="B578" s="44" t="str">
        <f>STAAD!B1506</f>
        <v>9 93 TO 96 UNI GZ 0.0478</v>
      </c>
      <c r="C578" s="42" t="str">
        <f t="shared" si="8"/>
        <v/>
      </c>
      <c r="D578" s="42" t="s">
        <v>671</v>
      </c>
    </row>
    <row r="579" spans="2:4" ht="15" customHeight="1" x14ac:dyDescent="0.3">
      <c r="B579" s="44" t="str">
        <f>STAAD!B1507</f>
        <v>76 113 TO 116 UNI GY 0.9559</v>
      </c>
      <c r="C579" s="42" t="str">
        <f t="shared" si="8"/>
        <v/>
      </c>
      <c r="D579" s="42" t="s">
        <v>671</v>
      </c>
    </row>
    <row r="580" spans="2:4" ht="15" customHeight="1" x14ac:dyDescent="0.3">
      <c r="B580" s="44" t="str">
        <f>STAAD!B1508</f>
        <v>76 113 TO 116 UNI GZ 0.0478</v>
      </c>
      <c r="C580" s="42" t="str">
        <f t="shared" si="8"/>
        <v/>
      </c>
      <c r="D580" s="42" t="s">
        <v>671</v>
      </c>
    </row>
    <row r="581" spans="2:4" ht="15" customHeight="1" x14ac:dyDescent="0.3">
      <c r="B581" s="44" t="str">
        <f>STAAD!B1509</f>
        <v>75 109 TO 112 UNI GY 0.9559</v>
      </c>
      <c r="C581" s="42" t="str">
        <f t="shared" si="8"/>
        <v/>
      </c>
      <c r="D581" s="42" t="s">
        <v>671</v>
      </c>
    </row>
    <row r="582" spans="2:4" ht="15" customHeight="1" x14ac:dyDescent="0.3">
      <c r="B582" s="44" t="str">
        <f>STAAD!B1510</f>
        <v>75 109 TO 112 UNI GZ 0.0478</v>
      </c>
      <c r="C582" s="42" t="str">
        <f t="shared" ref="C582:C633" si="9">IF(LEN($B582)&gt;79,"MÁS DE 79 CARACTERES","")</f>
        <v/>
      </c>
      <c r="D582" s="42" t="s">
        <v>671</v>
      </c>
    </row>
    <row r="583" spans="2:4" ht="15" customHeight="1" x14ac:dyDescent="0.3">
      <c r="B583" s="44" t="str">
        <f>STAAD!B1511</f>
        <v>74 105 TO 108 UNI GY 0.9559</v>
      </c>
      <c r="C583" s="42" t="str">
        <f t="shared" si="9"/>
        <v/>
      </c>
      <c r="D583" s="42" t="s">
        <v>671</v>
      </c>
    </row>
    <row r="584" spans="2:4" ht="15" customHeight="1" x14ac:dyDescent="0.3">
      <c r="B584" s="44" t="str">
        <f>STAAD!B1512</f>
        <v>74 105 TO 108 UNI GZ 0.0478</v>
      </c>
      <c r="C584" s="42" t="str">
        <f t="shared" si="9"/>
        <v/>
      </c>
      <c r="D584" s="42" t="s">
        <v>671</v>
      </c>
    </row>
    <row r="585" spans="2:4" ht="15" customHeight="1" x14ac:dyDescent="0.3">
      <c r="B585" s="44" t="str">
        <f>STAAD!B1513</f>
        <v>73 101 TO 104 UNI GY 0.9559</v>
      </c>
      <c r="C585" s="42" t="str">
        <f t="shared" si="9"/>
        <v/>
      </c>
      <c r="D585" s="42" t="s">
        <v>671</v>
      </c>
    </row>
    <row r="586" spans="2:4" ht="15" customHeight="1" x14ac:dyDescent="0.3">
      <c r="B586" s="44" t="str">
        <f>STAAD!B1514</f>
        <v>73 101 TO 104 UNI GZ 0.0478</v>
      </c>
      <c r="C586" s="42" t="str">
        <f t="shared" si="9"/>
        <v/>
      </c>
      <c r="D586" s="42" t="s">
        <v>671</v>
      </c>
    </row>
    <row r="587" spans="2:4" ht="15" customHeight="1" x14ac:dyDescent="0.3">
      <c r="B587" s="44" t="str">
        <f>STAAD!B1515</f>
        <v>8 89 TO 92 UNI GY 0.9205</v>
      </c>
      <c r="C587" s="42" t="str">
        <f t="shared" si="9"/>
        <v/>
      </c>
      <c r="D587" s="42" t="s">
        <v>671</v>
      </c>
    </row>
    <row r="588" spans="2:4" ht="15" customHeight="1" x14ac:dyDescent="0.3">
      <c r="B588" s="44" t="str">
        <f>STAAD!B1516</f>
        <v>8 89 TO 92 UNI GZ 0.0460</v>
      </c>
      <c r="C588" s="42" t="str">
        <f t="shared" si="9"/>
        <v/>
      </c>
      <c r="D588" s="42" t="s">
        <v>671</v>
      </c>
    </row>
    <row r="589" spans="2:4" ht="15" customHeight="1" x14ac:dyDescent="0.3">
      <c r="B589" s="44" t="str">
        <f>STAAD!B1517</f>
        <v>56 97 TO 100 UNI GY 0.8851</v>
      </c>
      <c r="C589" s="42" t="str">
        <f t="shared" si="9"/>
        <v/>
      </c>
      <c r="D589" s="42" t="s">
        <v>671</v>
      </c>
    </row>
    <row r="590" spans="2:4" ht="15" customHeight="1" x14ac:dyDescent="0.3">
      <c r="B590" s="44" t="str">
        <f>STAAD!B1518</f>
        <v>56 97 TO 100 UNI GZ 0.0443</v>
      </c>
      <c r="C590" s="42" t="str">
        <f t="shared" si="9"/>
        <v/>
      </c>
      <c r="D590" s="42" t="s">
        <v>671</v>
      </c>
    </row>
    <row r="591" spans="2:4" ht="15" customHeight="1" x14ac:dyDescent="0.3">
      <c r="B591" s="44" t="str">
        <f>STAAD!B1519</f>
        <v>7 81 TO 84 UNI GY 0.4425</v>
      </c>
      <c r="C591" s="42" t="str">
        <f t="shared" si="9"/>
        <v/>
      </c>
      <c r="D591" s="42" t="s">
        <v>671</v>
      </c>
    </row>
    <row r="592" spans="2:4" ht="15" customHeight="1" x14ac:dyDescent="0.3">
      <c r="B592" s="44" t="str">
        <f>STAAD!B1520</f>
        <v>7 81 TO 84 UNI GZ 0.0221</v>
      </c>
      <c r="C592" s="42" t="str">
        <f t="shared" si="9"/>
        <v/>
      </c>
      <c r="D592" s="42" t="s">
        <v>671</v>
      </c>
    </row>
    <row r="593" spans="2:4" ht="15" customHeight="1" x14ac:dyDescent="0.3">
      <c r="B593" s="44" t="str">
        <f>STAAD!B1521</f>
        <v>*</v>
      </c>
      <c r="C593" s="42" t="str">
        <f t="shared" si="9"/>
        <v/>
      </c>
      <c r="D593" s="42" t="s">
        <v>671</v>
      </c>
    </row>
    <row r="594" spans="2:4" ht="15" customHeight="1" x14ac:dyDescent="0.3">
      <c r="B594" s="44" t="str">
        <f>STAAD!B1522</f>
        <v>*</v>
      </c>
      <c r="C594" s="42" t="str">
        <f t="shared" si="9"/>
        <v/>
      </c>
      <c r="D594" s="42" t="s">
        <v>671</v>
      </c>
    </row>
    <row r="595" spans="2:4" ht="15" customHeight="1" x14ac:dyDescent="0.3">
      <c r="B595" s="44" t="str">
        <f>STAAD!B1523</f>
        <v>*</v>
      </c>
      <c r="C595" s="42" t="str">
        <f t="shared" si="9"/>
        <v/>
      </c>
      <c r="D595" s="42" t="s">
        <v>671</v>
      </c>
    </row>
    <row r="596" spans="2:4" ht="15" customHeight="1" x14ac:dyDescent="0.3">
      <c r="B596" s="44" t="str">
        <f>STAAD!B1524</f>
        <v>*</v>
      </c>
      <c r="C596" s="42" t="str">
        <f t="shared" si="9"/>
        <v/>
      </c>
      <c r="D596" s="42" t="s">
        <v>671</v>
      </c>
    </row>
    <row r="597" spans="2:4" ht="15" customHeight="1" x14ac:dyDescent="0.3">
      <c r="B597" s="44" t="str">
        <f>STAAD!B1525</f>
        <v>*</v>
      </c>
      <c r="C597" s="42" t="str">
        <f t="shared" si="9"/>
        <v/>
      </c>
      <c r="D597" s="42" t="s">
        <v>671</v>
      </c>
    </row>
    <row r="598" spans="2:4" ht="15" customHeight="1" x14ac:dyDescent="0.3">
      <c r="B598" s="44" t="str">
        <f>STAAD!B1526</f>
        <v>*</v>
      </c>
      <c r="C598" s="42" t="str">
        <f t="shared" si="9"/>
        <v/>
      </c>
      <c r="D598" s="42" t="s">
        <v>671</v>
      </c>
    </row>
    <row r="599" spans="2:4" ht="15" customHeight="1" x14ac:dyDescent="0.3">
      <c r="B599" s="44" t="str">
        <f>STAAD!B1527</f>
        <v>*</v>
      </c>
      <c r="C599" s="42" t="str">
        <f t="shared" si="9"/>
        <v/>
      </c>
      <c r="D599" s="42" t="s">
        <v>671</v>
      </c>
    </row>
    <row r="600" spans="2:4" ht="15" customHeight="1" x14ac:dyDescent="0.3">
      <c r="B600" s="44" t="str">
        <f>STAAD!B1528</f>
        <v>*</v>
      </c>
      <c r="C600" s="42" t="str">
        <f t="shared" si="9"/>
        <v/>
      </c>
      <c r="D600" s="42" t="s">
        <v>671</v>
      </c>
    </row>
    <row r="601" spans="2:4" ht="15" customHeight="1" x14ac:dyDescent="0.3">
      <c r="B601" s="44" t="str">
        <f>STAAD!B1529</f>
        <v>*</v>
      </c>
      <c r="C601" s="42" t="str">
        <f t="shared" si="9"/>
        <v/>
      </c>
      <c r="D601" s="42" t="s">
        <v>671</v>
      </c>
    </row>
    <row r="602" spans="2:4" ht="15" customHeight="1" x14ac:dyDescent="0.3">
      <c r="B602" s="44" t="str">
        <f>STAAD!B1530</f>
        <v>*</v>
      </c>
      <c r="C602" s="42" t="str">
        <f t="shared" si="9"/>
        <v/>
      </c>
      <c r="D602" s="42" t="s">
        <v>671</v>
      </c>
    </row>
    <row r="603" spans="2:4" ht="15" customHeight="1" x14ac:dyDescent="0.3">
      <c r="B603" s="44" t="str">
        <f>STAAD!B1531</f>
        <v>*</v>
      </c>
      <c r="C603" s="42" t="str">
        <f t="shared" si="9"/>
        <v/>
      </c>
      <c r="D603" s="42" t="s">
        <v>671</v>
      </c>
    </row>
    <row r="604" spans="2:4" ht="15" customHeight="1" x14ac:dyDescent="0.3">
      <c r="B604" s="44" t="str">
        <f>STAAD!B1532</f>
        <v>*</v>
      </c>
      <c r="C604" s="42" t="str">
        <f t="shared" si="9"/>
        <v/>
      </c>
      <c r="D604" s="42" t="s">
        <v>671</v>
      </c>
    </row>
    <row r="605" spans="2:4" ht="15" customHeight="1" x14ac:dyDescent="0.3">
      <c r="B605" s="44" t="str">
        <f>STAAD!B1533</f>
        <v>*</v>
      </c>
      <c r="C605" s="42" t="str">
        <f t="shared" si="9"/>
        <v/>
      </c>
      <c r="D605" s="42" t="s">
        <v>671</v>
      </c>
    </row>
    <row r="606" spans="2:4" ht="15" customHeight="1" x14ac:dyDescent="0.3">
      <c r="B606" s="44" t="str">
        <f>STAAD!B1534</f>
        <v>*</v>
      </c>
      <c r="C606" s="42" t="str">
        <f t="shared" si="9"/>
        <v/>
      </c>
      <c r="D606" s="42" t="s">
        <v>671</v>
      </c>
    </row>
    <row r="607" spans="2:4" ht="15" customHeight="1" x14ac:dyDescent="0.3">
      <c r="B607" s="44" t="str">
        <f>STAAD!B1535</f>
        <v>*</v>
      </c>
      <c r="C607" s="42" t="str">
        <f t="shared" si="9"/>
        <v/>
      </c>
      <c r="D607" s="42" t="s">
        <v>671</v>
      </c>
    </row>
    <row r="608" spans="2:4" ht="15" customHeight="1" x14ac:dyDescent="0.3">
      <c r="B608" s="44" t="str">
        <f>STAAD!B1536</f>
        <v>*</v>
      </c>
      <c r="C608" s="42" t="str">
        <f t="shared" si="9"/>
        <v/>
      </c>
      <c r="D608" s="42" t="s">
        <v>671</v>
      </c>
    </row>
    <row r="609" spans="2:4" ht="15" customHeight="1" x14ac:dyDescent="0.3">
      <c r="B609" s="44" t="str">
        <f>STAAD!B1537</f>
        <v>*</v>
      </c>
      <c r="C609" s="42" t="str">
        <f t="shared" si="9"/>
        <v/>
      </c>
      <c r="D609" s="42" t="s">
        <v>671</v>
      </c>
    </row>
    <row r="610" spans="2:4" ht="15" customHeight="1" x14ac:dyDescent="0.3">
      <c r="B610" s="44" t="str">
        <f>STAAD!B1538</f>
        <v>*</v>
      </c>
      <c r="C610" s="42" t="str">
        <f t="shared" si="9"/>
        <v/>
      </c>
      <c r="D610" s="42" t="s">
        <v>671</v>
      </c>
    </row>
    <row r="611" spans="2:4" ht="15" customHeight="1" x14ac:dyDescent="0.3">
      <c r="B611" s="44" t="str">
        <f>STAAD!B1539</f>
        <v>*</v>
      </c>
      <c r="C611" s="42" t="str">
        <f t="shared" si="9"/>
        <v/>
      </c>
      <c r="D611" s="42" t="s">
        <v>671</v>
      </c>
    </row>
    <row r="612" spans="2:4" ht="15" customHeight="1" x14ac:dyDescent="0.3">
      <c r="B612" s="44" t="str">
        <f>STAAD!B1540</f>
        <v>*</v>
      </c>
      <c r="C612" s="42" t="str">
        <f t="shared" si="9"/>
        <v/>
      </c>
      <c r="D612" s="42" t="s">
        <v>671</v>
      </c>
    </row>
    <row r="613" spans="2:4" ht="15" customHeight="1" x14ac:dyDescent="0.3">
      <c r="B613" s="44" t="str">
        <f>STAAD!B1541</f>
        <v>*</v>
      </c>
      <c r="C613" s="42" t="str">
        <f t="shared" si="9"/>
        <v/>
      </c>
      <c r="D613" s="42" t="s">
        <v>671</v>
      </c>
    </row>
    <row r="614" spans="2:4" ht="15" customHeight="1" x14ac:dyDescent="0.3">
      <c r="B614" s="44" t="str">
        <f>STAAD!B1542</f>
        <v>*</v>
      </c>
      <c r="C614" s="42" t="str">
        <f t="shared" si="9"/>
        <v/>
      </c>
      <c r="D614" s="42" t="s">
        <v>671</v>
      </c>
    </row>
    <row r="615" spans="2:4" ht="15" customHeight="1" x14ac:dyDescent="0.3">
      <c r="B615" s="44" t="str">
        <f>STAAD!B1543</f>
        <v>*</v>
      </c>
      <c r="C615" s="42" t="str">
        <f t="shared" si="9"/>
        <v/>
      </c>
      <c r="D615" s="42" t="s">
        <v>671</v>
      </c>
    </row>
    <row r="616" spans="2:4" ht="15" customHeight="1" x14ac:dyDescent="0.3">
      <c r="B616" s="44" t="str">
        <f>STAAD!B1544</f>
        <v>*</v>
      </c>
      <c r="C616" s="42" t="str">
        <f t="shared" si="9"/>
        <v/>
      </c>
      <c r="D616" s="42" t="s">
        <v>671</v>
      </c>
    </row>
    <row r="617" spans="2:4" ht="15" customHeight="1" x14ac:dyDescent="0.3">
      <c r="B617" s="44" t="str">
        <f>STAAD!B1545</f>
        <v>*</v>
      </c>
      <c r="C617" s="42" t="str">
        <f t="shared" si="9"/>
        <v/>
      </c>
      <c r="D617" s="42" t="s">
        <v>671</v>
      </c>
    </row>
    <row r="618" spans="2:4" ht="15" customHeight="1" x14ac:dyDescent="0.3">
      <c r="B618" s="44" t="str">
        <f>STAAD!B1546</f>
        <v>*</v>
      </c>
      <c r="C618" s="42" t="str">
        <f t="shared" si="9"/>
        <v/>
      </c>
      <c r="D618" s="42" t="s">
        <v>671</v>
      </c>
    </row>
    <row r="619" spans="2:4" ht="15" customHeight="1" x14ac:dyDescent="0.3">
      <c r="B619" s="44" t="str">
        <f>STAAD!B1547</f>
        <v>*</v>
      </c>
      <c r="C619" s="42" t="str">
        <f t="shared" si="9"/>
        <v/>
      </c>
      <c r="D619" s="42" t="s">
        <v>671</v>
      </c>
    </row>
    <row r="620" spans="2:4" ht="15" customHeight="1" x14ac:dyDescent="0.3">
      <c r="B620" s="44" t="str">
        <f>STAAD!B1548</f>
        <v>*</v>
      </c>
      <c r="C620" s="42" t="str">
        <f t="shared" si="9"/>
        <v/>
      </c>
      <c r="D620" s="42" t="s">
        <v>671</v>
      </c>
    </row>
    <row r="621" spans="2:4" ht="15" customHeight="1" x14ac:dyDescent="0.3">
      <c r="B621" s="44" t="str">
        <f>STAAD!B1549</f>
        <v>*</v>
      </c>
      <c r="C621" s="42" t="str">
        <f t="shared" si="9"/>
        <v/>
      </c>
      <c r="D621" s="42" t="s">
        <v>671</v>
      </c>
    </row>
    <row r="622" spans="2:4" ht="15" customHeight="1" x14ac:dyDescent="0.3">
      <c r="B622" s="44" t="str">
        <f>STAAD!B1550</f>
        <v>*</v>
      </c>
      <c r="C622" s="42" t="str">
        <f t="shared" si="9"/>
        <v/>
      </c>
      <c r="D622" s="42" t="s">
        <v>671</v>
      </c>
    </row>
    <row r="623" spans="2:4" ht="15" customHeight="1" x14ac:dyDescent="0.3">
      <c r="B623" s="44" t="str">
        <f>STAAD!B1551</f>
        <v>*</v>
      </c>
      <c r="C623" s="42" t="str">
        <f t="shared" si="9"/>
        <v/>
      </c>
      <c r="D623" s="42" t="s">
        <v>671</v>
      </c>
    </row>
    <row r="624" spans="2:4" ht="15" customHeight="1" x14ac:dyDescent="0.3">
      <c r="B624" s="44" t="str">
        <f>STAAD!B1552</f>
        <v>*</v>
      </c>
      <c r="C624" s="42" t="str">
        <f t="shared" si="9"/>
        <v/>
      </c>
      <c r="D624" s="42" t="s">
        <v>671</v>
      </c>
    </row>
    <row r="625" spans="2:4" ht="15" customHeight="1" x14ac:dyDescent="0.3">
      <c r="B625" s="44" t="str">
        <f>STAAD!B1553</f>
        <v>*</v>
      </c>
      <c r="C625" s="42" t="str">
        <f t="shared" si="9"/>
        <v/>
      </c>
      <c r="D625" s="42" t="s">
        <v>671</v>
      </c>
    </row>
    <row r="626" spans="2:4" ht="15" customHeight="1" x14ac:dyDescent="0.3">
      <c r="B626" s="44" t="str">
        <f>STAAD!B1554</f>
        <v>*</v>
      </c>
      <c r="C626" s="42" t="str">
        <f t="shared" si="9"/>
        <v/>
      </c>
      <c r="D626" s="42" t="s">
        <v>671</v>
      </c>
    </row>
    <row r="627" spans="2:4" ht="15" customHeight="1" x14ac:dyDescent="0.3">
      <c r="B627" s="44" t="s">
        <v>672</v>
      </c>
      <c r="C627" s="42" t="str">
        <f t="shared" si="9"/>
        <v/>
      </c>
      <c r="D627" s="42"/>
    </row>
    <row r="628" spans="2:4" ht="15" customHeight="1" x14ac:dyDescent="0.3">
      <c r="B628" s="44" t="s">
        <v>673</v>
      </c>
      <c r="C628" s="42" t="str">
        <f t="shared" si="9"/>
        <v/>
      </c>
      <c r="D628" s="42"/>
    </row>
    <row r="629" spans="2:4" ht="15" customHeight="1" x14ac:dyDescent="0.3">
      <c r="B629" s="44" t="str">
        <f>"259 260 261 UNI GX "&amp;TEXT(PRESIONES!J$45*0.6*DATOS!$C$67,DATOS!$C$68)</f>
        <v>259 260 261 UNI GX -0.4213</v>
      </c>
      <c r="C629" s="42" t="str">
        <f t="shared" si="9"/>
        <v/>
      </c>
      <c r="D629" s="42" t="s">
        <v>674</v>
      </c>
    </row>
    <row r="630" spans="2:4" ht="15" customHeight="1" x14ac:dyDescent="0.3">
      <c r="B630" s="44" t="str">
        <f>"265 266 267 UNI GX "&amp;TEXT(-PRESIONES!J$46*0.6*DATOS!$C$67,DATOS!$C$68)</f>
        <v>265 266 267 UNI GX 0.4213</v>
      </c>
      <c r="C630" s="42" t="str">
        <f t="shared" si="9"/>
        <v/>
      </c>
      <c r="D630" s="42" t="s">
        <v>675</v>
      </c>
    </row>
    <row r="631" spans="2:4" ht="15" customHeight="1" x14ac:dyDescent="0.3">
      <c r="B631" s="44" t="str">
        <f>"262 263 264 UNI GZ "&amp;TEXT(PRESIONES!J$43*0.6*DATOS!$C$67,DATOS!$C$68)</f>
        <v>262 263 264 UNI GZ -0.3637</v>
      </c>
      <c r="C631" s="42" t="str">
        <f t="shared" si="9"/>
        <v/>
      </c>
      <c r="D631" s="42" t="s">
        <v>676</v>
      </c>
    </row>
    <row r="632" spans="2:4" ht="15" customHeight="1" x14ac:dyDescent="0.3">
      <c r="B632" s="44" t="s">
        <v>683</v>
      </c>
      <c r="C632" s="42" t="str">
        <f t="shared" si="9"/>
        <v/>
      </c>
      <c r="D632" s="42"/>
    </row>
    <row r="633" spans="2:4" ht="15" customHeight="1" x14ac:dyDescent="0.3">
      <c r="B633" s="44" t="s">
        <v>682</v>
      </c>
      <c r="C633" s="42" t="str">
        <f t="shared" si="9"/>
        <v/>
      </c>
      <c r="D633" s="42"/>
    </row>
  </sheetData>
  <mergeCells count="3">
    <mergeCell ref="B1:D1"/>
    <mergeCell ref="B2:D2"/>
    <mergeCell ref="B3:D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82"/>
  <sheetViews>
    <sheetView topLeftCell="A13" zoomScaleNormal="100" workbookViewId="0">
      <selection activeCell="B21" sqref="B21"/>
    </sheetView>
  </sheetViews>
  <sheetFormatPr baseColWidth="10" defaultColWidth="8.6640625" defaultRowHeight="14.4" x14ac:dyDescent="0.3"/>
  <cols>
    <col min="1" max="1" width="1.77734375" customWidth="1"/>
    <col min="2" max="2" width="78" customWidth="1"/>
    <col min="3" max="3" width="14" customWidth="1"/>
    <col min="4" max="4" width="62" customWidth="1"/>
  </cols>
  <sheetData>
    <row r="1" spans="2:4" ht="16.8" x14ac:dyDescent="0.3">
      <c r="B1" s="7" t="s">
        <v>684</v>
      </c>
    </row>
    <row r="2" spans="2:4" ht="48" x14ac:dyDescent="0.3">
      <c r="B2" s="5" t="s">
        <v>685</v>
      </c>
    </row>
    <row r="4" spans="2:4" x14ac:dyDescent="0.3">
      <c r="B4" s="2" t="s">
        <v>686</v>
      </c>
      <c r="C4" s="2" t="s">
        <v>72</v>
      </c>
      <c r="D4" s="2" t="s">
        <v>687</v>
      </c>
    </row>
    <row r="5" spans="2:4" x14ac:dyDescent="0.3">
      <c r="B5" s="44" t="s">
        <v>688</v>
      </c>
      <c r="C5" s="44">
        <v>1.35</v>
      </c>
      <c r="D5" s="42" t="s">
        <v>689</v>
      </c>
    </row>
    <row r="6" spans="2:4" x14ac:dyDescent="0.3">
      <c r="B6" s="44" t="s">
        <v>690</v>
      </c>
      <c r="C6" s="44">
        <v>1.3</v>
      </c>
      <c r="D6" s="42" t="s">
        <v>691</v>
      </c>
    </row>
    <row r="7" spans="2:4" x14ac:dyDescent="0.3">
      <c r="B7" s="44" t="s">
        <v>692</v>
      </c>
      <c r="C7" s="44">
        <v>1.25</v>
      </c>
      <c r="D7" s="42" t="s">
        <v>693</v>
      </c>
    </row>
    <row r="8" spans="2:4" x14ac:dyDescent="0.3">
      <c r="B8" s="44" t="s">
        <v>694</v>
      </c>
      <c r="C8" s="44">
        <v>0.67500000000000004</v>
      </c>
      <c r="D8" s="42" t="s">
        <v>695</v>
      </c>
    </row>
    <row r="9" spans="2:4" x14ac:dyDescent="0.3">
      <c r="B9" s="44" t="s">
        <v>696</v>
      </c>
      <c r="C9" s="44">
        <v>0.625</v>
      </c>
      <c r="D9" s="42" t="s">
        <v>697</v>
      </c>
    </row>
    <row r="10" spans="2:4" x14ac:dyDescent="0.3">
      <c r="B10" s="44" t="s">
        <v>698</v>
      </c>
      <c r="C10" s="44">
        <v>0.6</v>
      </c>
      <c r="D10" s="42" t="s">
        <v>699</v>
      </c>
    </row>
    <row r="11" spans="2:4" x14ac:dyDescent="0.3">
      <c r="B11" s="44" t="s">
        <v>700</v>
      </c>
      <c r="C11" s="44">
        <v>2.5508000000000002</v>
      </c>
      <c r="D11" s="42" t="s">
        <v>701</v>
      </c>
    </row>
    <row r="12" spans="2:4" x14ac:dyDescent="0.3">
      <c r="B12" s="44" t="s">
        <v>702</v>
      </c>
      <c r="C12" s="44">
        <v>0.65</v>
      </c>
      <c r="D12" s="42" t="s">
        <v>703</v>
      </c>
    </row>
    <row r="14" spans="2:4" x14ac:dyDescent="0.3">
      <c r="B14" s="2" t="s">
        <v>661</v>
      </c>
      <c r="C14" s="2" t="s">
        <v>72</v>
      </c>
      <c r="D14" s="2" t="s">
        <v>662</v>
      </c>
    </row>
    <row r="15" spans="2:4" x14ac:dyDescent="0.3">
      <c r="B15" s="44" t="s">
        <v>704</v>
      </c>
      <c r="C15" s="44"/>
      <c r="D15" s="42" t="s">
        <v>705</v>
      </c>
    </row>
    <row r="16" spans="2:4" x14ac:dyDescent="0.3">
      <c r="B16" s="44" t="s">
        <v>666</v>
      </c>
      <c r="C16" s="44"/>
      <c r="D16" s="42"/>
    </row>
    <row r="17" spans="2:4" x14ac:dyDescent="0.3">
      <c r="B17" s="44" t="str">
        <f>"_MURO3 ONE "&amp;TEXT(PRESIONES!C45/10000,"0.000000")&amp;" GX"</f>
        <v>_MURO3 ONE 0.006282 GX</v>
      </c>
      <c r="C17" s="46">
        <f>PRESIONES!C45</f>
        <v>62.816049084443769</v>
      </c>
      <c r="D17" s="42" t="s">
        <v>706</v>
      </c>
    </row>
    <row r="18" spans="2:4" x14ac:dyDescent="0.3">
      <c r="B18" s="44" t="str">
        <f>"_MURO4 ONE "&amp;TEXT(-PRESIONES!C46/10000,"0.000000")&amp;" GX"</f>
        <v>_MURO4 ONE -0.000042 GX</v>
      </c>
      <c r="C18" s="46">
        <f>PRESIONES!C46</f>
        <v>0.41604908444376321</v>
      </c>
      <c r="D18" s="42" t="s">
        <v>707</v>
      </c>
    </row>
    <row r="19" spans="2:4" x14ac:dyDescent="0.3">
      <c r="B19" s="44" t="str">
        <f>"_MURO1 ONE "&amp;TEXT(PRESIONES!C43/10000,"0.000000")&amp;" GZ"</f>
        <v>_MURO1 ONE -0.000918 GZ</v>
      </c>
      <c r="C19" s="46">
        <f>PRESIONES!C43</f>
        <v>-9.1839509155562311</v>
      </c>
      <c r="D19" s="42" t="s">
        <v>708</v>
      </c>
    </row>
    <row r="20" spans="2:4" x14ac:dyDescent="0.3">
      <c r="B20" s="44" t="s">
        <v>632</v>
      </c>
      <c r="C20" s="44"/>
      <c r="D20" s="42"/>
    </row>
    <row r="21" spans="2:4" x14ac:dyDescent="0.3">
      <c r="B21" s="44" t="str">
        <f>"9 73 TO 80 93 TO 96 101 TO 132 UNI GY "&amp;TEXT(-MIN(PRESIONES!C51:C54)*$C$5/100,"0.0000")</f>
        <v>9 73 TO 80 93 TO 96 101 TO 132 UNI GY 0.1318</v>
      </c>
      <c r="C21" s="44">
        <f>MIN(PRESIONES!C51:C54)</f>
        <v>-9.7664196337775024</v>
      </c>
      <c r="D21" s="42" t="s">
        <v>709</v>
      </c>
    </row>
    <row r="22" spans="2:4" x14ac:dyDescent="0.3">
      <c r="B22" s="44" t="str">
        <f>"8 89 TO 92 UNI GY "&amp;TEXT(-MIN(PRESIONES!C51:C54)*$C$6/100,"0.0000")</f>
        <v>8 89 TO 92 UNI GY 0.1270</v>
      </c>
      <c r="C22" s="44">
        <f>MIN(PRESIONES!C51:C54)</f>
        <v>-9.7664196337775024</v>
      </c>
      <c r="D22" s="42" t="s">
        <v>709</v>
      </c>
    </row>
    <row r="23" spans="2:4" x14ac:dyDescent="0.3">
      <c r="B23" s="44" t="str">
        <f>"56 97 TO 100 UNI GY "&amp;TEXT(-MIN(PRESIONES!C51:C54)*$C$7/100,"0.0000")</f>
        <v>56 97 TO 100 UNI GY 0.1221</v>
      </c>
      <c r="C23" s="44">
        <f>MIN(PRESIONES!C51:C54)</f>
        <v>-9.7664196337775024</v>
      </c>
      <c r="D23" s="42" t="s">
        <v>709</v>
      </c>
    </row>
    <row r="24" spans="2:4" x14ac:dyDescent="0.3">
      <c r="B24" s="44" t="str">
        <f>"22 85 TO 88 UNI GY "&amp;TEXT(-MIN(PRESIONES!C51:C54)*$C$8/100,"0.0000")</f>
        <v>22 85 TO 88 UNI GY 0.0659</v>
      </c>
      <c r="C24" s="44">
        <f>MIN(PRESIONES!C51:C54)</f>
        <v>-9.7664196337775024</v>
      </c>
      <c r="D24" s="42" t="s">
        <v>709</v>
      </c>
    </row>
    <row r="25" spans="2:4" x14ac:dyDescent="0.3">
      <c r="B25" s="44" t="str">
        <f>"7 81 TO 84 UNI GY "&amp;TEXT(-MIN(PRESIONES!C51:C54)*$C$9/100,"0.0000")</f>
        <v>7 81 TO 84 UNI GY 0.0610</v>
      </c>
      <c r="C25" s="44">
        <f>MIN(PRESIONES!C51:C54)</f>
        <v>-9.7664196337775024</v>
      </c>
      <c r="D25" s="42" t="s">
        <v>709</v>
      </c>
    </row>
    <row r="26" spans="2:4" x14ac:dyDescent="0.3">
      <c r="B26" s="44" t="str">
        <f>"259 TO 261 UNI GX "&amp;TEXT($C$10*PRESIONES!C45/100,"0.0000")</f>
        <v>259 TO 261 UNI GX 0.3769</v>
      </c>
      <c r="C26" s="44"/>
      <c r="D26" s="42" t="s">
        <v>710</v>
      </c>
    </row>
    <row r="27" spans="2:4" x14ac:dyDescent="0.3">
      <c r="B27" s="44" t="str">
        <f>"265 TO 267 UNI GX "&amp;TEXT(-$C$10*PRESIONES!C46/100,"0.0000")</f>
        <v>265 TO 267 UNI GX -0.0025</v>
      </c>
      <c r="C27" s="44"/>
      <c r="D27" s="42" t="s">
        <v>711</v>
      </c>
    </row>
    <row r="28" spans="2:4" x14ac:dyDescent="0.3">
      <c r="B28" s="44" t="str">
        <f>"262 TO 264 UNI GZ "&amp;TEXT($C$10*PRESIONES!C43/100,"0.0000")</f>
        <v>262 TO 264 UNI GZ -0.0551</v>
      </c>
      <c r="C28" s="44"/>
      <c r="D28" s="42" t="s">
        <v>712</v>
      </c>
    </row>
    <row r="29" spans="2:4" x14ac:dyDescent="0.3">
      <c r="B29" s="44" t="str">
        <f>"17 18 191 192 203 204 213 214 223 224 233 234 UNI GZ "&amp;TEXT($C$11*PRESIONES!C43/100,"0.0000")</f>
        <v>17 18 191 192 203 204 213 214 223 224 233 234 UNI GZ -0.2343</v>
      </c>
      <c r="C29" s="44"/>
      <c r="D29" s="42" t="s">
        <v>713</v>
      </c>
    </row>
    <row r="30" spans="2:4" x14ac:dyDescent="0.3">
      <c r="B30" s="44" t="str">
        <f>"15 16 189 190 UNI GZ "&amp;TEXT($C$12*PRESIONES!C43/100,"0.0000")</f>
        <v>15 16 189 190 UNI GZ -0.0597</v>
      </c>
      <c r="C30" s="44"/>
      <c r="D30" s="42" t="s">
        <v>714</v>
      </c>
    </row>
    <row r="31" spans="2:4" x14ac:dyDescent="0.3">
      <c r="B31" s="44" t="s">
        <v>682</v>
      </c>
      <c r="C31" s="44"/>
      <c r="D31" s="42"/>
    </row>
    <row r="32" spans="2:4" x14ac:dyDescent="0.3">
      <c r="B32" s="44" t="s">
        <v>715</v>
      </c>
      <c r="C32" s="44"/>
      <c r="D32" s="42" t="s">
        <v>716</v>
      </c>
    </row>
    <row r="33" spans="2:4" x14ac:dyDescent="0.3">
      <c r="B33" s="44" t="s">
        <v>666</v>
      </c>
      <c r="C33" s="44"/>
      <c r="D33" s="42"/>
    </row>
    <row r="34" spans="2:4" x14ac:dyDescent="0.3">
      <c r="B34" s="44" t="str">
        <f>"_MURO3 ONE "&amp;TEXT(PRESIONES!D45/10000,"0.000000")&amp;" GX"</f>
        <v>_MURO3 ONE 0.000042 GX</v>
      </c>
      <c r="C34" s="46">
        <f>PRESIONES!D45</f>
        <v>0.41604908444376321</v>
      </c>
      <c r="D34" s="42" t="s">
        <v>706</v>
      </c>
    </row>
    <row r="35" spans="2:4" x14ac:dyDescent="0.3">
      <c r="B35" s="44" t="str">
        <f>"_MURO4 ONE "&amp;TEXT(-PRESIONES!D46/10000,"0.000000")&amp;" GX"</f>
        <v>_MURO4 ONE -0.006282 GX</v>
      </c>
      <c r="C35" s="46">
        <f>PRESIONES!D46</f>
        <v>62.816049084443769</v>
      </c>
      <c r="D35" s="42" t="s">
        <v>707</v>
      </c>
    </row>
    <row r="36" spans="2:4" x14ac:dyDescent="0.3">
      <c r="B36" s="44" t="str">
        <f>"_MURO1 ONE "&amp;TEXT(PRESIONES!D43/10000,"0.000000")&amp;" GZ"</f>
        <v>_MURO1 ONE -0.000918 GZ</v>
      </c>
      <c r="C36" s="46">
        <f>PRESIONES!D43</f>
        <v>-9.1839509155562311</v>
      </c>
      <c r="D36" s="42" t="s">
        <v>708</v>
      </c>
    </row>
    <row r="37" spans="2:4" x14ac:dyDescent="0.3">
      <c r="B37" s="44" t="s">
        <v>632</v>
      </c>
      <c r="C37" s="44"/>
      <c r="D37" s="42"/>
    </row>
    <row r="38" spans="2:4" x14ac:dyDescent="0.3">
      <c r="B38" s="44" t="str">
        <f>"9 73 TO 80 93 TO 96 101 TO 132 UNI GY "&amp;TEXT(-MIN(PRESIONES!D51:D54)*$C$5/100,"0.0000")</f>
        <v>9 73 TO 80 93 TO 96 101 TO 132 UNI GY 0.1318</v>
      </c>
      <c r="C38" s="44">
        <f>MIN(PRESIONES!D51:D54)</f>
        <v>-9.7664196337775024</v>
      </c>
      <c r="D38" s="42" t="s">
        <v>709</v>
      </c>
    </row>
    <row r="39" spans="2:4" x14ac:dyDescent="0.3">
      <c r="B39" s="44" t="str">
        <f>"8 89 TO 92 UNI GY "&amp;TEXT(-MIN(PRESIONES!D51:D54)*$C$6/100,"0.0000")</f>
        <v>8 89 TO 92 UNI GY 0.1270</v>
      </c>
      <c r="C39" s="44">
        <f>MIN(PRESIONES!D51:D54)</f>
        <v>-9.7664196337775024</v>
      </c>
      <c r="D39" s="42" t="s">
        <v>709</v>
      </c>
    </row>
    <row r="40" spans="2:4" x14ac:dyDescent="0.3">
      <c r="B40" s="44" t="str">
        <f>"56 97 TO 100 UNI GY "&amp;TEXT(-MIN(PRESIONES!D51:D54)*$C$7/100,"0.0000")</f>
        <v>56 97 TO 100 UNI GY 0.1221</v>
      </c>
      <c r="C40" s="44">
        <f>MIN(PRESIONES!D51:D54)</f>
        <v>-9.7664196337775024</v>
      </c>
      <c r="D40" s="42" t="s">
        <v>709</v>
      </c>
    </row>
    <row r="41" spans="2:4" x14ac:dyDescent="0.3">
      <c r="B41" s="44" t="str">
        <f>"22 85 TO 88 UNI GY "&amp;TEXT(-MIN(PRESIONES!D51:D54)*$C$8/100,"0.0000")</f>
        <v>22 85 TO 88 UNI GY 0.0659</v>
      </c>
      <c r="C41" s="44">
        <f>MIN(PRESIONES!D51:D54)</f>
        <v>-9.7664196337775024</v>
      </c>
      <c r="D41" s="42" t="s">
        <v>709</v>
      </c>
    </row>
    <row r="42" spans="2:4" x14ac:dyDescent="0.3">
      <c r="B42" s="44" t="str">
        <f>"7 81 TO 84 UNI GY "&amp;TEXT(-MIN(PRESIONES!D51:D54)*$C$9/100,"0.0000")</f>
        <v>7 81 TO 84 UNI GY 0.0610</v>
      </c>
      <c r="C42" s="44">
        <f>MIN(PRESIONES!D51:D54)</f>
        <v>-9.7664196337775024</v>
      </c>
      <c r="D42" s="42" t="s">
        <v>709</v>
      </c>
    </row>
    <row r="43" spans="2:4" x14ac:dyDescent="0.3">
      <c r="B43" s="44" t="str">
        <f>"259 TO 261 UNI GX "&amp;TEXT($C$10*PRESIONES!D45/100,"0.0000")</f>
        <v>259 TO 261 UNI GX 0.0025</v>
      </c>
      <c r="C43" s="44"/>
      <c r="D43" s="42" t="s">
        <v>710</v>
      </c>
    </row>
    <row r="44" spans="2:4" x14ac:dyDescent="0.3">
      <c r="B44" s="44" t="str">
        <f>"265 TO 267 UNI GX "&amp;TEXT(-$C$10*PRESIONES!D46/100,"0.0000")</f>
        <v>265 TO 267 UNI GX -0.3769</v>
      </c>
      <c r="C44" s="44"/>
      <c r="D44" s="42" t="s">
        <v>711</v>
      </c>
    </row>
    <row r="45" spans="2:4" x14ac:dyDescent="0.3">
      <c r="B45" s="44" t="str">
        <f>"262 TO 264 UNI GZ "&amp;TEXT($C$10*PRESIONES!D43/100,"0.0000")</f>
        <v>262 TO 264 UNI GZ -0.0551</v>
      </c>
      <c r="C45" s="44"/>
      <c r="D45" s="42" t="s">
        <v>712</v>
      </c>
    </row>
    <row r="46" spans="2:4" x14ac:dyDescent="0.3">
      <c r="B46" s="44" t="str">
        <f>"17 18 191 192 203 204 213 214 223 224 233 234 UNI GZ "&amp;TEXT($C$11*PRESIONES!D43/100,"0.0000")</f>
        <v>17 18 191 192 203 204 213 214 223 224 233 234 UNI GZ -0.2343</v>
      </c>
      <c r="C46" s="44"/>
      <c r="D46" s="42" t="s">
        <v>713</v>
      </c>
    </row>
    <row r="47" spans="2:4" x14ac:dyDescent="0.3">
      <c r="B47" s="44" t="str">
        <f>"15 16 189 190 UNI GZ "&amp;TEXT($C$12*PRESIONES!D43/100,"0.0000")</f>
        <v>15 16 189 190 UNI GZ -0.0597</v>
      </c>
      <c r="C47" s="44"/>
      <c r="D47" s="42" t="s">
        <v>714</v>
      </c>
    </row>
    <row r="48" spans="2:4" x14ac:dyDescent="0.3">
      <c r="B48" s="44" t="s">
        <v>682</v>
      </c>
      <c r="C48" s="44"/>
      <c r="D48" s="42"/>
    </row>
    <row r="49" spans="2:4" x14ac:dyDescent="0.3">
      <c r="B49" s="44" t="s">
        <v>717</v>
      </c>
      <c r="C49" s="44"/>
      <c r="D49" s="42" t="s">
        <v>718</v>
      </c>
    </row>
    <row r="50" spans="2:4" x14ac:dyDescent="0.3">
      <c r="B50" s="44" t="s">
        <v>666</v>
      </c>
      <c r="C50" s="44"/>
      <c r="D50" s="42"/>
    </row>
    <row r="51" spans="2:4" x14ac:dyDescent="0.3">
      <c r="B51" s="44" t="str">
        <f>"_MURO3 ONE "&amp;TEXT(PRESIONES!E45/10000,"0.000000")&amp;" GX"</f>
        <v>_MURO3 ONE -0.000430 GX</v>
      </c>
      <c r="C51" s="46">
        <f>PRESIONES!E45</f>
        <v>-4.3007410986674799</v>
      </c>
      <c r="D51" s="42" t="s">
        <v>706</v>
      </c>
    </row>
    <row r="52" spans="2:4" x14ac:dyDescent="0.3">
      <c r="B52" s="44" t="str">
        <f>"_MURO4 ONE "&amp;TEXT(-PRESIONES!E46/10000,"0.000000")&amp;" GX"</f>
        <v>_MURO4 ONE 0.000430 GX</v>
      </c>
      <c r="C52" s="46">
        <f>PRESIONES!E46</f>
        <v>-4.3007410986674799</v>
      </c>
      <c r="D52" s="42" t="s">
        <v>707</v>
      </c>
    </row>
    <row r="53" spans="2:4" x14ac:dyDescent="0.3">
      <c r="B53" s="44" t="str">
        <f>"_MURO1 ONE "&amp;TEXT(PRESIONES!E43/10000,"0.000000")&amp;" GZ"</f>
        <v>_MURO1 ONE 0.006770 GZ</v>
      </c>
      <c r="C53" s="46">
        <f>PRESIONES!E43</f>
        <v>67.699258901332513</v>
      </c>
      <c r="D53" s="42" t="s">
        <v>708</v>
      </c>
    </row>
    <row r="54" spans="2:4" x14ac:dyDescent="0.3">
      <c r="B54" s="44" t="s">
        <v>632</v>
      </c>
      <c r="C54" s="44"/>
      <c r="D54" s="42"/>
    </row>
    <row r="55" spans="2:4" x14ac:dyDescent="0.3">
      <c r="B55" s="44" t="str">
        <f>"9 73 TO 80 93 TO 96 101 TO 132 UNI GY "&amp;TEXT(-MIN(PRESIONES!E51:E54)*$C$5/100,"0.0000")</f>
        <v>9 73 TO 80 93 TO 96 101 TO 132 UNI GY 0.0659</v>
      </c>
      <c r="C55" s="44">
        <f>MIN(PRESIONES!E51:E54)</f>
        <v>-4.8832098168887512</v>
      </c>
      <c r="D55" s="42" t="s">
        <v>709</v>
      </c>
    </row>
    <row r="56" spans="2:4" x14ac:dyDescent="0.3">
      <c r="B56" s="44" t="str">
        <f>"8 89 TO 92 UNI GY "&amp;TEXT(-MIN(PRESIONES!E51:E54)*$C$6/100,"0.0000")</f>
        <v>8 89 TO 92 UNI GY 0.0635</v>
      </c>
      <c r="C56" s="44">
        <f>MIN(PRESIONES!E51:E54)</f>
        <v>-4.8832098168887512</v>
      </c>
      <c r="D56" s="42" t="s">
        <v>709</v>
      </c>
    </row>
    <row r="57" spans="2:4" x14ac:dyDescent="0.3">
      <c r="B57" s="44" t="str">
        <f>"56 97 TO 100 UNI GY "&amp;TEXT(-MIN(PRESIONES!E51:E54)*$C$7/100,"0.0000")</f>
        <v>56 97 TO 100 UNI GY 0.0610</v>
      </c>
      <c r="C57" s="44">
        <f>MIN(PRESIONES!E51:E54)</f>
        <v>-4.8832098168887512</v>
      </c>
      <c r="D57" s="42" t="s">
        <v>709</v>
      </c>
    </row>
    <row r="58" spans="2:4" x14ac:dyDescent="0.3">
      <c r="B58" s="44" t="str">
        <f>"22 85 TO 88 UNI GY "&amp;TEXT(-MIN(PRESIONES!E51:E54)*$C$8/100,"0.0000")</f>
        <v>22 85 TO 88 UNI GY 0.0330</v>
      </c>
      <c r="C58" s="44">
        <f>MIN(PRESIONES!E51:E54)</f>
        <v>-4.8832098168887512</v>
      </c>
      <c r="D58" s="42" t="s">
        <v>709</v>
      </c>
    </row>
    <row r="59" spans="2:4" x14ac:dyDescent="0.3">
      <c r="B59" s="44" t="str">
        <f>"7 81 TO 84 UNI GY "&amp;TEXT(-MIN(PRESIONES!E51:E54)*$C$9/100,"0.0000")</f>
        <v>7 81 TO 84 UNI GY 0.0305</v>
      </c>
      <c r="C59" s="44">
        <f>MIN(PRESIONES!E51:E54)</f>
        <v>-4.8832098168887512</v>
      </c>
      <c r="D59" s="42" t="s">
        <v>709</v>
      </c>
    </row>
    <row r="60" spans="2:4" x14ac:dyDescent="0.3">
      <c r="B60" s="44" t="str">
        <f>"259 TO 261 UNI GX "&amp;TEXT($C$10*PRESIONES!E45/100,"0.0000")</f>
        <v>259 TO 261 UNI GX -0.0258</v>
      </c>
      <c r="C60" s="44"/>
      <c r="D60" s="42" t="s">
        <v>710</v>
      </c>
    </row>
    <row r="61" spans="2:4" x14ac:dyDescent="0.3">
      <c r="B61" s="44" t="str">
        <f>"265 TO 267 UNI GX "&amp;TEXT(-$C$10*PRESIONES!E46/100,"0.0000")</f>
        <v>265 TO 267 UNI GX 0.0258</v>
      </c>
      <c r="C61" s="44"/>
      <c r="D61" s="42" t="s">
        <v>711</v>
      </c>
    </row>
    <row r="62" spans="2:4" x14ac:dyDescent="0.3">
      <c r="B62" s="44" t="str">
        <f>"262 TO 264 UNI GZ "&amp;TEXT($C$10*PRESIONES!E43/100,"0.0000")</f>
        <v>262 TO 264 UNI GZ 0.4062</v>
      </c>
      <c r="C62" s="44"/>
      <c r="D62" s="42" t="s">
        <v>712</v>
      </c>
    </row>
    <row r="63" spans="2:4" x14ac:dyDescent="0.3">
      <c r="B63" s="44" t="str">
        <f>"17 18 191 192 203 204 213 214 223 224 233 234 UNI GZ "&amp;TEXT($C$11*PRESIONES!E43/100,"0.0000")</f>
        <v>17 18 191 192 203 204 213 214 223 224 233 234 UNI GZ 1.7269</v>
      </c>
      <c r="C63" s="44"/>
      <c r="D63" s="42" t="s">
        <v>713</v>
      </c>
    </row>
    <row r="64" spans="2:4" x14ac:dyDescent="0.3">
      <c r="B64" s="44" t="str">
        <f>"15 16 189 190 UNI GZ "&amp;TEXT($C$12*PRESIONES!E43/100,"0.0000")</f>
        <v>15 16 189 190 UNI GZ 0.4400</v>
      </c>
      <c r="C64" s="44"/>
      <c r="D64" s="42" t="s">
        <v>714</v>
      </c>
    </row>
    <row r="65" spans="2:4" x14ac:dyDescent="0.3">
      <c r="B65" s="44" t="s">
        <v>682</v>
      </c>
      <c r="C65" s="44"/>
      <c r="D65" s="42"/>
    </row>
    <row r="66" spans="2:4" x14ac:dyDescent="0.3">
      <c r="B66" s="44" t="s">
        <v>719</v>
      </c>
      <c r="C66" s="44"/>
      <c r="D66" s="42" t="s">
        <v>720</v>
      </c>
    </row>
    <row r="67" spans="2:4" x14ac:dyDescent="0.3">
      <c r="B67" s="44" t="s">
        <v>666</v>
      </c>
      <c r="C67" s="44"/>
      <c r="D67" s="42"/>
    </row>
    <row r="68" spans="2:4" x14ac:dyDescent="0.3">
      <c r="B68" s="44" t="str">
        <f>"_MURO3 ONE "&amp;TEXT(PRESIONES!F45/10000,"0.000000")&amp;" GX"</f>
        <v>_MURO3 ONE -0.007022 GX</v>
      </c>
      <c r="C68" s="46">
        <f>PRESIONES!F45</f>
        <v>-70.224073626665643</v>
      </c>
      <c r="D68" s="42" t="s">
        <v>706</v>
      </c>
    </row>
    <row r="69" spans="2:4" x14ac:dyDescent="0.3">
      <c r="B69" s="44" t="str">
        <f>"_MURO4 ONE "&amp;TEXT(-PRESIONES!F46/10000,"0.000000")&amp;" GX"</f>
        <v>_MURO4 ONE 0.007022 GX</v>
      </c>
      <c r="C69" s="46">
        <f>PRESIONES!F46</f>
        <v>-70.224073626665643</v>
      </c>
      <c r="D69" s="42" t="s">
        <v>707</v>
      </c>
    </row>
    <row r="70" spans="2:4" x14ac:dyDescent="0.3">
      <c r="B70" s="44" t="str">
        <f>"_MURO1 ONE "&amp;TEXT(PRESIONES!F43/10000,"0.000000")&amp;" GZ"</f>
        <v>_MURO1 ONE -0.006062 GZ</v>
      </c>
      <c r="C70" s="46">
        <f>PRESIONES!F43</f>
        <v>-60.624073626665648</v>
      </c>
      <c r="D70" s="42" t="s">
        <v>708</v>
      </c>
    </row>
    <row r="71" spans="2:4" x14ac:dyDescent="0.3">
      <c r="B71" s="44" t="s">
        <v>632</v>
      </c>
      <c r="C71" s="44"/>
      <c r="D71" s="42"/>
    </row>
    <row r="72" spans="2:4" x14ac:dyDescent="0.3">
      <c r="B72" s="44" t="str">
        <f>"9 73 TO 80 93 TO 96 101 TO 132 UNI GY "&amp;TEXT(-MIN(PRESIONES!F51:F54)*$C$5/100,"0.0000")</f>
        <v>9 73 TO 80 93 TO 96 101 TO 132 UNI GY 0.9559</v>
      </c>
      <c r="C72" s="44">
        <f>MIN(PRESIONES!F51:F54)</f>
        <v>-70.806542344886907</v>
      </c>
      <c r="D72" s="42" t="s">
        <v>709</v>
      </c>
    </row>
    <row r="73" spans="2:4" x14ac:dyDescent="0.3">
      <c r="B73" s="44" t="str">
        <f>"8 89 TO 92 UNI GY "&amp;TEXT(-MIN(PRESIONES!F51:F54)*$C$6/100,"0.0000")</f>
        <v>8 89 TO 92 UNI GY 0.9205</v>
      </c>
      <c r="C73" s="44">
        <f>MIN(PRESIONES!F51:F54)</f>
        <v>-70.806542344886907</v>
      </c>
      <c r="D73" s="42" t="s">
        <v>709</v>
      </c>
    </row>
    <row r="74" spans="2:4" x14ac:dyDescent="0.3">
      <c r="B74" s="44" t="str">
        <f>"56 97 TO 100 UNI GY "&amp;TEXT(-MIN(PRESIONES!F51:F54)*$C$7/100,"0.0000")</f>
        <v>56 97 TO 100 UNI GY 0.8851</v>
      </c>
      <c r="C74" s="44">
        <f>MIN(PRESIONES!F51:F54)</f>
        <v>-70.806542344886907</v>
      </c>
      <c r="D74" s="42" t="s">
        <v>709</v>
      </c>
    </row>
    <row r="75" spans="2:4" x14ac:dyDescent="0.3">
      <c r="B75" s="44" t="str">
        <f>"22 85 TO 88 UNI GY "&amp;TEXT(-MIN(PRESIONES!F51:F54)*$C$8/100,"0.0000")</f>
        <v>22 85 TO 88 UNI GY 0.4779</v>
      </c>
      <c r="C75" s="44">
        <f>MIN(PRESIONES!F51:F54)</f>
        <v>-70.806542344886907</v>
      </c>
      <c r="D75" s="42" t="s">
        <v>709</v>
      </c>
    </row>
    <row r="76" spans="2:4" x14ac:dyDescent="0.3">
      <c r="B76" s="44" t="str">
        <f>"7 81 TO 84 UNI GY "&amp;TEXT(-MIN(PRESIONES!F51:F54)*$C$9/100,"0.0000")</f>
        <v>7 81 TO 84 UNI GY 0.4425</v>
      </c>
      <c r="C76" s="44">
        <f>MIN(PRESIONES!F51:F54)</f>
        <v>-70.806542344886907</v>
      </c>
      <c r="D76" s="42" t="s">
        <v>709</v>
      </c>
    </row>
    <row r="77" spans="2:4" x14ac:dyDescent="0.3">
      <c r="B77" s="44" t="str">
        <f>"259 TO 261 UNI GX "&amp;TEXT($C$10*PRESIONES!F45/100,"0.0000")</f>
        <v>259 TO 261 UNI GX -0.4213</v>
      </c>
      <c r="C77" s="44"/>
      <c r="D77" s="42" t="s">
        <v>710</v>
      </c>
    </row>
    <row r="78" spans="2:4" x14ac:dyDescent="0.3">
      <c r="B78" s="44" t="str">
        <f>"265 TO 267 UNI GX "&amp;TEXT(-$C$10*PRESIONES!F46/100,"0.0000")</f>
        <v>265 TO 267 UNI GX 0.4213</v>
      </c>
      <c r="C78" s="44"/>
      <c r="D78" s="42" t="s">
        <v>711</v>
      </c>
    </row>
    <row r="79" spans="2:4" x14ac:dyDescent="0.3">
      <c r="B79" s="44" t="str">
        <f>"262 TO 264 UNI GZ "&amp;TEXT($C$10*PRESIONES!F43/100,"0.0000")</f>
        <v>262 TO 264 UNI GZ -0.3637</v>
      </c>
      <c r="C79" s="44"/>
      <c r="D79" s="42" t="s">
        <v>712</v>
      </c>
    </row>
    <row r="80" spans="2:4" x14ac:dyDescent="0.3">
      <c r="B80" s="44" t="str">
        <f>"17 18 191 192 203 204 213 214 223 224 233 234 UNI GZ "&amp;TEXT($C$11*PRESIONES!F43/100,"0.0000")</f>
        <v>17 18 191 192 203 204 213 214 223 224 233 234 UNI GZ -1.5464</v>
      </c>
      <c r="C80" s="44"/>
      <c r="D80" s="42" t="s">
        <v>713</v>
      </c>
    </row>
    <row r="81" spans="2:4" x14ac:dyDescent="0.3">
      <c r="B81" s="44" t="str">
        <f>"15 16 189 190 UNI GZ "&amp;TEXT($C$12*PRESIONES!F43/100,"0.0000")</f>
        <v>15 16 189 190 UNI GZ -0.3941</v>
      </c>
      <c r="C81" s="44"/>
      <c r="D81" s="42" t="s">
        <v>714</v>
      </c>
    </row>
    <row r="82" spans="2:4" x14ac:dyDescent="0.3">
      <c r="B82" s="44" t="s">
        <v>682</v>
      </c>
      <c r="C82" s="44"/>
      <c r="D82" s="42"/>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27"/>
  <sheetViews>
    <sheetView showGridLines="0" zoomScale="90" zoomScaleNormal="90" workbookViewId="0"/>
  </sheetViews>
  <sheetFormatPr baseColWidth="10" defaultColWidth="8.6640625" defaultRowHeight="14.4" x14ac:dyDescent="0.3"/>
  <cols>
    <col min="1" max="1" width="1.77734375" customWidth="1"/>
    <col min="2" max="2" width="42" customWidth="1"/>
    <col min="3" max="3" width="16" customWidth="1"/>
    <col min="4" max="4" width="9" customWidth="1"/>
    <col min="5" max="5" width="10" customWidth="1"/>
    <col min="6" max="6" width="7" customWidth="1"/>
    <col min="7" max="10" width="9" customWidth="1"/>
    <col min="11" max="14" width="10" customWidth="1"/>
    <col min="15" max="15" width="30" customWidth="1"/>
  </cols>
  <sheetData>
    <row r="1" spans="2:15" ht="25.5" customHeight="1" x14ac:dyDescent="0.3">
      <c r="B1" s="51" t="s">
        <v>721</v>
      </c>
      <c r="C1" s="51"/>
      <c r="D1" s="51"/>
      <c r="E1" s="51"/>
      <c r="F1" s="51"/>
      <c r="G1" s="51"/>
      <c r="H1" s="51"/>
      <c r="I1" s="51"/>
      <c r="J1" s="51"/>
      <c r="K1" s="51"/>
      <c r="L1" s="51"/>
      <c r="M1" s="51"/>
      <c r="N1" s="51"/>
      <c r="O1" s="51"/>
    </row>
    <row r="2" spans="2:15" ht="30" customHeight="1" x14ac:dyDescent="0.3">
      <c r="B2" s="52" t="s">
        <v>722</v>
      </c>
      <c r="C2" s="52"/>
      <c r="D2" s="52"/>
      <c r="E2" s="52"/>
      <c r="F2" s="52"/>
      <c r="G2" s="52"/>
      <c r="H2" s="52"/>
      <c r="I2" s="52"/>
      <c r="J2" s="52"/>
      <c r="K2" s="52"/>
      <c r="L2" s="52"/>
      <c r="M2" s="52"/>
      <c r="N2" s="52"/>
      <c r="O2" s="52"/>
    </row>
    <row r="3" spans="2:15" ht="45" customHeight="1" x14ac:dyDescent="0.3">
      <c r="B3" s="53" t="s">
        <v>723</v>
      </c>
      <c r="C3" s="53"/>
      <c r="D3" s="53"/>
      <c r="E3" s="53"/>
      <c r="F3" s="53"/>
      <c r="G3" s="53"/>
      <c r="H3" s="53"/>
      <c r="I3" s="53"/>
      <c r="J3" s="53"/>
      <c r="K3" s="53"/>
      <c r="L3" s="53"/>
      <c r="M3" s="53"/>
      <c r="N3" s="53"/>
      <c r="O3" s="53"/>
    </row>
    <row r="4" spans="2:15" ht="6" customHeight="1" x14ac:dyDescent="0.3"/>
    <row r="5" spans="2:15" ht="21" customHeight="1" x14ac:dyDescent="0.3">
      <c r="B5" s="49" t="s">
        <v>724</v>
      </c>
      <c r="C5" s="49"/>
      <c r="D5" s="49"/>
      <c r="E5" s="49"/>
      <c r="F5" s="49"/>
      <c r="G5" s="49"/>
      <c r="H5" s="49"/>
      <c r="I5" s="49"/>
      <c r="J5" s="49"/>
      <c r="K5" s="49"/>
      <c r="L5" s="49"/>
      <c r="M5" s="49"/>
      <c r="N5" s="49"/>
      <c r="O5" s="49"/>
    </row>
    <row r="6" spans="2:15" ht="30" customHeight="1" x14ac:dyDescent="0.3">
      <c r="B6" s="2" t="s">
        <v>71</v>
      </c>
      <c r="C6" s="2" t="s">
        <v>72</v>
      </c>
      <c r="D6" s="2" t="s">
        <v>73</v>
      </c>
      <c r="E6" s="55" t="s">
        <v>273</v>
      </c>
      <c r="F6" s="55"/>
      <c r="G6" s="55"/>
      <c r="H6" s="55"/>
      <c r="I6" s="55"/>
      <c r="J6" s="55"/>
      <c r="K6" s="55"/>
      <c r="L6" s="55"/>
      <c r="M6" s="55"/>
      <c r="N6" s="55"/>
      <c r="O6" s="2" t="s">
        <v>75</v>
      </c>
    </row>
    <row r="7" spans="2:15" ht="16.5" customHeight="1" x14ac:dyDescent="0.3">
      <c r="B7" s="1" t="s">
        <v>725</v>
      </c>
      <c r="C7" s="16">
        <f>MIN(DATOS!$C$12,DATOS!$C$13)</f>
        <v>10.08</v>
      </c>
      <c r="D7" s="14" t="s">
        <v>89</v>
      </c>
      <c r="E7" s="52" t="s">
        <v>278</v>
      </c>
      <c r="F7" s="52"/>
      <c r="G7" s="52"/>
      <c r="H7" s="52"/>
      <c r="I7" s="52"/>
      <c r="J7" s="52"/>
      <c r="K7" s="52"/>
      <c r="L7" s="52"/>
      <c r="M7" s="52"/>
      <c r="N7" s="52"/>
      <c r="O7" s="12" t="s">
        <v>726</v>
      </c>
    </row>
    <row r="8" spans="2:15" ht="16.5" customHeight="1" x14ac:dyDescent="0.3">
      <c r="B8" s="1" t="s">
        <v>727</v>
      </c>
      <c r="C8" s="16">
        <f>$C$7/10</f>
        <v>1.008</v>
      </c>
      <c r="D8" s="14" t="s">
        <v>89</v>
      </c>
      <c r="E8" s="52" t="s">
        <v>728</v>
      </c>
      <c r="F8" s="52"/>
      <c r="G8" s="52"/>
      <c r="H8" s="52"/>
      <c r="I8" s="52"/>
      <c r="J8" s="52"/>
      <c r="K8" s="52"/>
      <c r="L8" s="52"/>
      <c r="M8" s="52"/>
      <c r="N8" s="52"/>
      <c r="O8" s="12" t="s">
        <v>729</v>
      </c>
    </row>
    <row r="9" spans="2:15" ht="16.5" customHeight="1" x14ac:dyDescent="0.3">
      <c r="B9" s="1" t="s">
        <v>277</v>
      </c>
      <c r="C9" s="16">
        <f>DATOS!$C$21</f>
        <v>10.62</v>
      </c>
      <c r="D9" s="14" t="s">
        <v>89</v>
      </c>
      <c r="E9" s="52" t="s">
        <v>730</v>
      </c>
      <c r="F9" s="52"/>
      <c r="G9" s="52"/>
      <c r="H9" s="52"/>
      <c r="I9" s="52"/>
      <c r="J9" s="52"/>
      <c r="K9" s="52"/>
      <c r="L9" s="52"/>
      <c r="M9" s="52"/>
      <c r="N9" s="52"/>
      <c r="O9" s="12" t="s">
        <v>731</v>
      </c>
    </row>
    <row r="10" spans="2:15" ht="16.5" customHeight="1" x14ac:dyDescent="0.3">
      <c r="B10" s="1" t="s">
        <v>732</v>
      </c>
      <c r="C10" s="21" t="str">
        <f>IF($C$9&lt;20,"SÍ","NO: usa la Tabla A.1")</f>
        <v>SÍ</v>
      </c>
      <c r="D10" s="14" t="s">
        <v>80</v>
      </c>
      <c r="E10" s="52" t="s">
        <v>116</v>
      </c>
      <c r="F10" s="52"/>
      <c r="G10" s="52"/>
      <c r="H10" s="52"/>
      <c r="I10" s="52"/>
      <c r="J10" s="52"/>
      <c r="K10" s="52"/>
      <c r="L10" s="52"/>
      <c r="M10" s="52"/>
      <c r="N10" s="52"/>
      <c r="O10" s="12" t="s">
        <v>726</v>
      </c>
    </row>
    <row r="11" spans="2:15" ht="16.5" customHeight="1" x14ac:dyDescent="0.3">
      <c r="B11" s="1" t="s">
        <v>125</v>
      </c>
      <c r="C11" s="16">
        <f>DATOS!$C$26</f>
        <v>2.8624052261117439</v>
      </c>
      <c r="D11" s="14" t="s">
        <v>126</v>
      </c>
      <c r="E11" s="52" t="s">
        <v>733</v>
      </c>
      <c r="F11" s="52"/>
      <c r="G11" s="52"/>
      <c r="H11" s="52"/>
      <c r="I11" s="52"/>
      <c r="J11" s="52"/>
      <c r="K11" s="52"/>
      <c r="L11" s="52"/>
      <c r="M11" s="52"/>
      <c r="N11" s="52"/>
      <c r="O11" s="12" t="s">
        <v>729</v>
      </c>
    </row>
    <row r="12" spans="2:15" ht="16.5" customHeight="1" x14ac:dyDescent="0.3">
      <c r="B12" s="1" t="s">
        <v>734</v>
      </c>
      <c r="C12" s="16">
        <f>PRESIONES!$C$12</f>
        <v>48.832098168887526</v>
      </c>
      <c r="D12" s="14" t="s">
        <v>145</v>
      </c>
      <c r="E12" s="52" t="s">
        <v>735</v>
      </c>
      <c r="F12" s="52"/>
      <c r="G12" s="52"/>
      <c r="H12" s="52"/>
      <c r="I12" s="52"/>
      <c r="J12" s="52"/>
      <c r="K12" s="52"/>
      <c r="L12" s="52"/>
      <c r="M12" s="52"/>
      <c r="N12" s="52"/>
      <c r="O12" s="12" t="s">
        <v>284</v>
      </c>
    </row>
    <row r="13" spans="2:15" ht="27" customHeight="1" x14ac:dyDescent="0.3">
      <c r="B13" s="1" t="s">
        <v>736</v>
      </c>
      <c r="C13" s="34">
        <f>MAX(0.25*(COUNTIF(ABERTURAS!$I$60:$I$67,"NO")&gt;0),MAX(ABERTURAS!$L$60:$L$67))</f>
        <v>0.75</v>
      </c>
      <c r="D13" s="14" t="s">
        <v>80</v>
      </c>
      <c r="E13" s="52" t="s">
        <v>737</v>
      </c>
      <c r="F13" s="52"/>
      <c r="G13" s="52"/>
      <c r="H13" s="52"/>
      <c r="I13" s="52"/>
      <c r="J13" s="52"/>
      <c r="K13" s="52"/>
      <c r="L13" s="52"/>
      <c r="M13" s="52"/>
      <c r="N13" s="52"/>
      <c r="O13" s="12" t="s">
        <v>738</v>
      </c>
    </row>
    <row r="14" spans="2:15" ht="24.75" customHeight="1" x14ac:dyDescent="0.3">
      <c r="B14" s="1" t="s">
        <v>739</v>
      </c>
      <c r="C14" s="34">
        <f>MIN(-0.25*(COUNTIF(ABERTURAS!$I$60:$I$67,"NO")&gt;0),MIN(ABERTURAS!$L$60:$L$67))</f>
        <v>-0.6</v>
      </c>
      <c r="D14" s="14" t="s">
        <v>80</v>
      </c>
      <c r="E14" s="52" t="s">
        <v>740</v>
      </c>
      <c r="F14" s="52"/>
      <c r="G14" s="52"/>
      <c r="H14" s="52"/>
      <c r="I14" s="52"/>
      <c r="J14" s="52"/>
      <c r="K14" s="52"/>
      <c r="L14" s="52"/>
      <c r="M14" s="52"/>
      <c r="N14" s="52"/>
      <c r="O14" s="12" t="s">
        <v>738</v>
      </c>
    </row>
    <row r="15" spans="2:15" ht="15" customHeight="1" x14ac:dyDescent="0.3"/>
    <row r="16" spans="2:15" ht="21" customHeight="1" x14ac:dyDescent="0.3">
      <c r="B16" s="49" t="s">
        <v>741</v>
      </c>
      <c r="C16" s="49"/>
      <c r="D16" s="49"/>
      <c r="E16" s="49"/>
      <c r="F16" s="49"/>
      <c r="G16" s="49"/>
      <c r="H16" s="49"/>
      <c r="I16" s="49"/>
      <c r="J16" s="49"/>
      <c r="K16" s="49"/>
      <c r="L16" s="49"/>
      <c r="M16" s="49"/>
      <c r="N16" s="49"/>
      <c r="O16" s="49"/>
    </row>
    <row r="17" spans="2:15" ht="42" customHeight="1" x14ac:dyDescent="0.3">
      <c r="B17" s="2" t="s">
        <v>363</v>
      </c>
      <c r="C17" s="2" t="s">
        <v>742</v>
      </c>
      <c r="D17" s="2" t="s">
        <v>743</v>
      </c>
      <c r="E17" s="2" t="s">
        <v>744</v>
      </c>
      <c r="F17" s="2" t="s">
        <v>745</v>
      </c>
      <c r="G17" s="2" t="s">
        <v>746</v>
      </c>
      <c r="H17" s="2" t="s">
        <v>747</v>
      </c>
      <c r="I17" s="2" t="s">
        <v>748</v>
      </c>
      <c r="J17" s="2" t="s">
        <v>749</v>
      </c>
      <c r="K17" s="2" t="s">
        <v>750</v>
      </c>
      <c r="L17" s="2" t="s">
        <v>751</v>
      </c>
      <c r="M17" s="2" t="s">
        <v>752</v>
      </c>
      <c r="N17" s="2" t="s">
        <v>753</v>
      </c>
      <c r="O17" s="2" t="s">
        <v>75</v>
      </c>
    </row>
    <row r="18" spans="2:15" ht="24.75" customHeight="1" x14ac:dyDescent="0.3">
      <c r="B18" s="4" t="s">
        <v>754</v>
      </c>
      <c r="C18" s="15" t="s">
        <v>755</v>
      </c>
      <c r="D18" s="13">
        <v>1</v>
      </c>
      <c r="E18" s="25">
        <v>1</v>
      </c>
      <c r="F18" s="47">
        <f t="shared" ref="F18:F25" si="0">IF($C18="","",IF($C18="MURO",1,IF($C18="TECHO INTERIOR",IF($C$11&lt;=30,2,4),IF($C$11&lt;=30,3,5))))</f>
        <v>1</v>
      </c>
      <c r="G18" s="34">
        <f t="shared" ref="G18:G25" si="1">IF($F18="","",CHOOSE($F18,MIN(-2+$D18/50,-1.1),MIN(-1.4+$D18/50,-1.2),MIN(-3+$D18/10,-2),MIN(-1.4+$D18/50,-1.2),MIN(-1.7+$D18/35,-1.4)))</f>
        <v>-1.98</v>
      </c>
      <c r="H18" s="34">
        <f t="shared" ref="H18:H25" si="2">IF($F18="","",CHOOSE($F18,MAX(1.5-$D18/100,0.8),"—","—",MAX(1.3-$D18/50,1.1),MAX(1.3-$D18/50,1.1)))</f>
        <v>1.49</v>
      </c>
      <c r="I18" s="34">
        <f t="shared" ref="I18:I25" si="3">IF($F18="","",$G18-$C$13)</f>
        <v>-2.73</v>
      </c>
      <c r="J18" s="34">
        <f t="shared" ref="J18:J25" si="4">IF(OR($F18="",$H18="—"),"—",$H18-$C$14)</f>
        <v>2.09</v>
      </c>
      <c r="K18" s="35">
        <f t="shared" ref="K18:K25" si="5">IF($F18="","",$I18*$C$12)</f>
        <v>-133.31162800106296</v>
      </c>
      <c r="L18" s="35">
        <f t="shared" ref="L18:L25" si="6">IF(OR($F18="",$J18="—"),"—",$J18*$C$12)</f>
        <v>102.05908517297492</v>
      </c>
      <c r="M18" s="36">
        <f t="shared" ref="M18:M25" si="7">IF($F18="","",$K18*$E18)</f>
        <v>-133.31162800106296</v>
      </c>
      <c r="N18" s="36">
        <f t="shared" ref="N18:N25" si="8">IF(OR($F18="",$L18="—"),"—",$L18*$E18)</f>
        <v>102.05908517297492</v>
      </c>
      <c r="O18" s="12" t="s">
        <v>756</v>
      </c>
    </row>
    <row r="19" spans="2:15" ht="29.25" customHeight="1" x14ac:dyDescent="0.3">
      <c r="B19" s="4" t="s">
        <v>757</v>
      </c>
      <c r="C19" s="15" t="s">
        <v>755</v>
      </c>
      <c r="D19" s="13">
        <v>8.1</v>
      </c>
      <c r="E19" s="25">
        <v>1.2</v>
      </c>
      <c r="F19" s="47">
        <f t="shared" si="0"/>
        <v>1</v>
      </c>
      <c r="G19" s="34">
        <f t="shared" si="1"/>
        <v>-1.8380000000000001</v>
      </c>
      <c r="H19" s="34">
        <f t="shared" si="2"/>
        <v>1.419</v>
      </c>
      <c r="I19" s="34">
        <f t="shared" si="3"/>
        <v>-2.5880000000000001</v>
      </c>
      <c r="J19" s="34">
        <f t="shared" si="4"/>
        <v>2.0190000000000001</v>
      </c>
      <c r="K19" s="35">
        <f t="shared" si="5"/>
        <v>-126.37747006108093</v>
      </c>
      <c r="L19" s="35">
        <f t="shared" si="6"/>
        <v>98.592006202983924</v>
      </c>
      <c r="M19" s="36">
        <f t="shared" si="7"/>
        <v>-151.65296407329711</v>
      </c>
      <c r="N19" s="36">
        <f t="shared" si="8"/>
        <v>118.3104074435807</v>
      </c>
      <c r="O19" s="12" t="s">
        <v>756</v>
      </c>
    </row>
    <row r="20" spans="2:15" ht="29.25" customHeight="1" x14ac:dyDescent="0.3">
      <c r="B20" s="4" t="s">
        <v>758</v>
      </c>
      <c r="C20" s="15" t="s">
        <v>755</v>
      </c>
      <c r="D20" s="13">
        <v>3</v>
      </c>
      <c r="E20" s="25">
        <v>1.2</v>
      </c>
      <c r="F20" s="47">
        <f t="shared" si="0"/>
        <v>1</v>
      </c>
      <c r="G20" s="34">
        <f t="shared" si="1"/>
        <v>-1.94</v>
      </c>
      <c r="H20" s="34">
        <f t="shared" si="2"/>
        <v>1.47</v>
      </c>
      <c r="I20" s="34">
        <f t="shared" si="3"/>
        <v>-2.69</v>
      </c>
      <c r="J20" s="34">
        <f t="shared" si="4"/>
        <v>2.0699999999999998</v>
      </c>
      <c r="K20" s="35">
        <f t="shared" si="5"/>
        <v>-131.35834407430744</v>
      </c>
      <c r="L20" s="35">
        <f t="shared" si="6"/>
        <v>101.08244320959717</v>
      </c>
      <c r="M20" s="36">
        <f t="shared" si="7"/>
        <v>-157.63001288916891</v>
      </c>
      <c r="N20" s="36">
        <f t="shared" si="8"/>
        <v>121.2989318515166</v>
      </c>
      <c r="O20" s="12" t="s">
        <v>756</v>
      </c>
    </row>
    <row r="21" spans="2:15" ht="24.75" customHeight="1" x14ac:dyDescent="0.3">
      <c r="B21" s="4" t="s">
        <v>759</v>
      </c>
      <c r="C21" s="15" t="s">
        <v>760</v>
      </c>
      <c r="D21" s="13">
        <v>1</v>
      </c>
      <c r="E21" s="25">
        <v>1</v>
      </c>
      <c r="F21" s="47">
        <f t="shared" si="0"/>
        <v>2</v>
      </c>
      <c r="G21" s="34">
        <f t="shared" si="1"/>
        <v>-1.38</v>
      </c>
      <c r="H21" s="34" t="str">
        <f t="shared" si="2"/>
        <v>—</v>
      </c>
      <c r="I21" s="34">
        <f t="shared" si="3"/>
        <v>-2.13</v>
      </c>
      <c r="J21" s="34" t="str">
        <f t="shared" si="4"/>
        <v>—</v>
      </c>
      <c r="K21" s="35">
        <f t="shared" si="5"/>
        <v>-104.01236909973042</v>
      </c>
      <c r="L21" s="35" t="str">
        <f t="shared" si="6"/>
        <v>—</v>
      </c>
      <c r="M21" s="36">
        <f t="shared" si="7"/>
        <v>-104.01236909973042</v>
      </c>
      <c r="N21" s="36" t="str">
        <f t="shared" si="8"/>
        <v>—</v>
      </c>
      <c r="O21" s="12" t="s">
        <v>756</v>
      </c>
    </row>
    <row r="22" spans="2:15" ht="29.25" customHeight="1" x14ac:dyDescent="0.3">
      <c r="B22" s="4" t="s">
        <v>761</v>
      </c>
      <c r="C22" s="15" t="s">
        <v>760</v>
      </c>
      <c r="D22" s="13">
        <v>13.61</v>
      </c>
      <c r="E22" s="25">
        <v>1.35</v>
      </c>
      <c r="F22" s="47">
        <f t="shared" si="0"/>
        <v>2</v>
      </c>
      <c r="G22" s="34">
        <f t="shared" si="1"/>
        <v>-1.2</v>
      </c>
      <c r="H22" s="34" t="str">
        <f t="shared" si="2"/>
        <v>—</v>
      </c>
      <c r="I22" s="34">
        <f t="shared" si="3"/>
        <v>-1.95</v>
      </c>
      <c r="J22" s="34" t="str">
        <f t="shared" si="4"/>
        <v>—</v>
      </c>
      <c r="K22" s="35">
        <f t="shared" si="5"/>
        <v>-95.222591429330677</v>
      </c>
      <c r="L22" s="35" t="str">
        <f t="shared" si="6"/>
        <v>—</v>
      </c>
      <c r="M22" s="36">
        <f t="shared" si="7"/>
        <v>-128.55049842959642</v>
      </c>
      <c r="N22" s="36" t="str">
        <f t="shared" si="8"/>
        <v>—</v>
      </c>
      <c r="O22" s="12" t="s">
        <v>756</v>
      </c>
    </row>
    <row r="23" spans="2:15" ht="24.75" customHeight="1" x14ac:dyDescent="0.3">
      <c r="B23" s="4" t="s">
        <v>762</v>
      </c>
      <c r="C23" s="15" t="s">
        <v>763</v>
      </c>
      <c r="D23" s="13">
        <v>1</v>
      </c>
      <c r="E23" s="25">
        <v>1</v>
      </c>
      <c r="F23" s="47">
        <f t="shared" si="0"/>
        <v>3</v>
      </c>
      <c r="G23" s="34">
        <f t="shared" si="1"/>
        <v>-2.9</v>
      </c>
      <c r="H23" s="34" t="str">
        <f t="shared" si="2"/>
        <v>—</v>
      </c>
      <c r="I23" s="34">
        <f t="shared" si="3"/>
        <v>-3.65</v>
      </c>
      <c r="J23" s="34" t="str">
        <f t="shared" si="4"/>
        <v>—</v>
      </c>
      <c r="K23" s="35">
        <f t="shared" si="5"/>
        <v>-178.23715831643946</v>
      </c>
      <c r="L23" s="35" t="str">
        <f t="shared" si="6"/>
        <v>—</v>
      </c>
      <c r="M23" s="36">
        <f t="shared" si="7"/>
        <v>-178.23715831643946</v>
      </c>
      <c r="N23" s="36" t="str">
        <f t="shared" si="8"/>
        <v>—</v>
      </c>
      <c r="O23" s="12" t="s">
        <v>756</v>
      </c>
    </row>
    <row r="24" spans="2:15" ht="29.25" customHeight="1" x14ac:dyDescent="0.3">
      <c r="B24" s="4" t="s">
        <v>764</v>
      </c>
      <c r="C24" s="15" t="s">
        <v>763</v>
      </c>
      <c r="D24" s="13">
        <v>6.8</v>
      </c>
      <c r="E24" s="25">
        <v>0.67500000000000004</v>
      </c>
      <c r="F24" s="47">
        <f t="shared" si="0"/>
        <v>3</v>
      </c>
      <c r="G24" s="34">
        <f t="shared" si="1"/>
        <v>-2.3200000000000003</v>
      </c>
      <c r="H24" s="34" t="str">
        <f t="shared" si="2"/>
        <v>—</v>
      </c>
      <c r="I24" s="34">
        <f t="shared" si="3"/>
        <v>-3.0700000000000003</v>
      </c>
      <c r="J24" s="34" t="str">
        <f t="shared" si="4"/>
        <v>—</v>
      </c>
      <c r="K24" s="35">
        <f t="shared" si="5"/>
        <v>-149.91454137848473</v>
      </c>
      <c r="L24" s="35" t="str">
        <f t="shared" si="6"/>
        <v>—</v>
      </c>
      <c r="M24" s="36">
        <f t="shared" si="7"/>
        <v>-101.19231543047719</v>
      </c>
      <c r="N24" s="36" t="str">
        <f t="shared" si="8"/>
        <v>—</v>
      </c>
      <c r="O24" s="12" t="s">
        <v>756</v>
      </c>
    </row>
    <row r="25" spans="2:15" ht="24.75" customHeight="1" x14ac:dyDescent="0.3">
      <c r="B25" s="4"/>
      <c r="C25" s="15"/>
      <c r="D25" s="13"/>
      <c r="E25" s="25"/>
      <c r="F25" s="47" t="str">
        <f t="shared" si="0"/>
        <v/>
      </c>
      <c r="G25" s="34" t="str">
        <f t="shared" si="1"/>
        <v/>
      </c>
      <c r="H25" s="34" t="str">
        <f t="shared" si="2"/>
        <v/>
      </c>
      <c r="I25" s="34" t="str">
        <f t="shared" si="3"/>
        <v/>
      </c>
      <c r="J25" s="34" t="str">
        <f t="shared" si="4"/>
        <v>—</v>
      </c>
      <c r="K25" s="35" t="str">
        <f t="shared" si="5"/>
        <v/>
      </c>
      <c r="L25" s="35" t="str">
        <f t="shared" si="6"/>
        <v>—</v>
      </c>
      <c r="M25" s="36" t="str">
        <f t="shared" si="7"/>
        <v/>
      </c>
      <c r="N25" s="36" t="str">
        <f t="shared" si="8"/>
        <v>—</v>
      </c>
      <c r="O25" s="12" t="s">
        <v>756</v>
      </c>
    </row>
    <row r="26" spans="2:15" ht="15" customHeight="1" x14ac:dyDescent="0.3"/>
    <row r="27" spans="2:15" ht="45" customHeight="1" x14ac:dyDescent="0.3">
      <c r="B27" s="50" t="s">
        <v>765</v>
      </c>
      <c r="C27" s="50"/>
      <c r="D27" s="50"/>
      <c r="E27" s="50"/>
      <c r="F27" s="50"/>
      <c r="G27" s="50"/>
      <c r="H27" s="50"/>
      <c r="I27" s="50"/>
      <c r="J27" s="50"/>
      <c r="K27" s="50"/>
      <c r="L27" s="50"/>
      <c r="M27" s="50"/>
      <c r="N27" s="50"/>
      <c r="O27" s="50"/>
    </row>
  </sheetData>
  <mergeCells count="15">
    <mergeCell ref="B1:O1"/>
    <mergeCell ref="B2:O2"/>
    <mergeCell ref="B3:O3"/>
    <mergeCell ref="B5:O5"/>
    <mergeCell ref="E6:N6"/>
    <mergeCell ref="E7:N7"/>
    <mergeCell ref="E8:N8"/>
    <mergeCell ref="E9:N9"/>
    <mergeCell ref="E10:N10"/>
    <mergeCell ref="E11:N11"/>
    <mergeCell ref="E12:N12"/>
    <mergeCell ref="E13:N13"/>
    <mergeCell ref="E14:N14"/>
    <mergeCell ref="B16:O16"/>
    <mergeCell ref="B27:O27"/>
  </mergeCells>
  <dataValidations count="1">
    <dataValidation type="list" allowBlank="1" errorTitle="Valor no válido" error="Elige una opción de la lista." sqref="C18:C25" xr:uid="{00000000-0002-0000-0700-000000000000}">
      <formula1>"MURO,TECHO INTERIOR,TECHO ORILLA"</formula1>
      <formula2>0</formula2>
    </dataValidation>
  </dataValidation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F60"/>
  <sheetViews>
    <sheetView showGridLines="0" topLeftCell="A6" zoomScale="90" zoomScaleNormal="90" workbookViewId="0">
      <selection activeCell="D14" sqref="D14"/>
    </sheetView>
  </sheetViews>
  <sheetFormatPr baseColWidth="10" defaultColWidth="8.6640625" defaultRowHeight="14.4" x14ac:dyDescent="0.3"/>
  <cols>
    <col min="1" max="1" width="1.77734375" customWidth="1"/>
    <col min="2" max="2" width="30" customWidth="1"/>
    <col min="3" max="3" width="62" customWidth="1"/>
    <col min="4" max="4" width="20" customWidth="1"/>
    <col min="5" max="6" width="14" customWidth="1"/>
  </cols>
  <sheetData>
    <row r="1" spans="2:6" ht="25.5" customHeight="1" x14ac:dyDescent="0.3">
      <c r="B1" s="51" t="s">
        <v>766</v>
      </c>
      <c r="C1" s="51"/>
      <c r="D1" s="51"/>
      <c r="E1" s="51"/>
      <c r="F1" s="51"/>
    </row>
    <row r="2" spans="2:6" ht="30" customHeight="1" x14ac:dyDescent="0.3">
      <c r="B2" s="52" t="s">
        <v>767</v>
      </c>
      <c r="C2" s="52"/>
      <c r="D2" s="52"/>
      <c r="E2" s="52"/>
      <c r="F2" s="52"/>
    </row>
    <row r="4" spans="2:6" ht="21" customHeight="1" x14ac:dyDescent="0.3">
      <c r="B4" s="49" t="s">
        <v>768</v>
      </c>
      <c r="C4" s="49"/>
      <c r="D4" s="49"/>
      <c r="E4" s="49"/>
      <c r="F4" s="49"/>
    </row>
    <row r="5" spans="2:6" ht="30" customHeight="1" x14ac:dyDescent="0.3">
      <c r="B5" s="50" t="s">
        <v>769</v>
      </c>
      <c r="C5" s="50"/>
      <c r="D5" s="50"/>
      <c r="E5" s="50"/>
      <c r="F5" s="50"/>
    </row>
    <row r="6" spans="2:6" ht="30" customHeight="1" x14ac:dyDescent="0.3">
      <c r="B6" s="2" t="s">
        <v>745</v>
      </c>
      <c r="C6" s="2" t="s">
        <v>203</v>
      </c>
      <c r="D6" s="2" t="s">
        <v>770</v>
      </c>
      <c r="E6" s="2" t="s">
        <v>771</v>
      </c>
    </row>
    <row r="7" spans="2:6" ht="29.25" customHeight="1" x14ac:dyDescent="0.3">
      <c r="B7" s="14" t="s">
        <v>772</v>
      </c>
      <c r="C7" s="1" t="s">
        <v>773</v>
      </c>
      <c r="D7" s="16">
        <v>0.65</v>
      </c>
      <c r="E7" s="19">
        <v>3.6</v>
      </c>
    </row>
    <row r="8" spans="2:6" ht="29.25" customHeight="1" x14ac:dyDescent="0.3">
      <c r="B8" s="14" t="s">
        <v>774</v>
      </c>
      <c r="C8" s="1" t="s">
        <v>775</v>
      </c>
      <c r="D8" s="16">
        <v>1</v>
      </c>
      <c r="E8" s="19">
        <v>4.5</v>
      </c>
    </row>
    <row r="9" spans="2:6" ht="29.25" customHeight="1" x14ac:dyDescent="0.3">
      <c r="B9" s="14" t="s">
        <v>136</v>
      </c>
      <c r="C9" s="1" t="s">
        <v>776</v>
      </c>
      <c r="D9" s="16">
        <v>1.6</v>
      </c>
      <c r="E9" s="19">
        <v>7</v>
      </c>
    </row>
    <row r="10" spans="2:6" ht="15" customHeight="1" x14ac:dyDescent="0.3"/>
    <row r="11" spans="2:6" ht="21" customHeight="1" x14ac:dyDescent="0.3">
      <c r="B11" s="49" t="s">
        <v>777</v>
      </c>
      <c r="C11" s="49"/>
      <c r="D11" s="49"/>
      <c r="E11" s="49"/>
      <c r="F11" s="49"/>
    </row>
    <row r="12" spans="2:6" ht="30" customHeight="1" x14ac:dyDescent="0.3">
      <c r="B12" s="50" t="s">
        <v>778</v>
      </c>
      <c r="C12" s="50"/>
      <c r="D12" s="50"/>
      <c r="E12" s="50"/>
      <c r="F12" s="50"/>
    </row>
    <row r="13" spans="2:6" ht="30" customHeight="1" x14ac:dyDescent="0.3">
      <c r="B13" s="2" t="s">
        <v>309</v>
      </c>
      <c r="C13" s="2" t="s">
        <v>779</v>
      </c>
      <c r="D13" s="2" t="s">
        <v>780</v>
      </c>
    </row>
    <row r="14" spans="2:6" ht="16.5" customHeight="1" x14ac:dyDescent="0.3">
      <c r="B14" s="14" t="s">
        <v>261</v>
      </c>
      <c r="C14" s="1" t="s">
        <v>781</v>
      </c>
      <c r="D14" s="34">
        <v>0.8</v>
      </c>
    </row>
    <row r="15" spans="2:6" ht="16.5" customHeight="1" x14ac:dyDescent="0.3">
      <c r="B15" s="14" t="s">
        <v>262</v>
      </c>
      <c r="C15" s="1" t="s">
        <v>782</v>
      </c>
      <c r="D15" s="34">
        <v>-0.5</v>
      </c>
    </row>
    <row r="16" spans="2:6" ht="16.5" customHeight="1" x14ac:dyDescent="0.3">
      <c r="B16" s="14" t="s">
        <v>783</v>
      </c>
      <c r="C16" s="1" t="s">
        <v>782</v>
      </c>
      <c r="D16" s="34">
        <v>-0.7</v>
      </c>
    </row>
    <row r="17" spans="2:6" ht="16.5" customHeight="1" x14ac:dyDescent="0.3">
      <c r="B17" s="14" t="s">
        <v>784</v>
      </c>
      <c r="C17" s="1" t="s">
        <v>785</v>
      </c>
      <c r="D17" s="34">
        <v>-0.7</v>
      </c>
    </row>
    <row r="18" spans="2:6" ht="16.5" customHeight="1" x14ac:dyDescent="0.3">
      <c r="B18" s="14" t="s">
        <v>786</v>
      </c>
      <c r="C18" s="1" t="s">
        <v>787</v>
      </c>
      <c r="D18" s="34">
        <v>-0.7</v>
      </c>
    </row>
    <row r="19" spans="2:6" ht="16.5" customHeight="1" x14ac:dyDescent="0.3">
      <c r="B19" s="14" t="s">
        <v>788</v>
      </c>
      <c r="C19" s="1" t="s">
        <v>789</v>
      </c>
      <c r="D19" s="34">
        <v>-0.7</v>
      </c>
    </row>
    <row r="20" spans="2:6" ht="16.5" customHeight="1" x14ac:dyDescent="0.3">
      <c r="B20" s="14" t="s">
        <v>788</v>
      </c>
      <c r="C20" s="1" t="s">
        <v>790</v>
      </c>
      <c r="D20" s="34">
        <v>-0.7</v>
      </c>
    </row>
    <row r="21" spans="2:6" ht="29.25" customHeight="1" x14ac:dyDescent="0.3">
      <c r="B21" s="14" t="s">
        <v>788</v>
      </c>
      <c r="C21" s="1" t="s">
        <v>791</v>
      </c>
      <c r="D21" s="14" t="s">
        <v>792</v>
      </c>
    </row>
    <row r="22" spans="2:6" ht="16.5" customHeight="1" x14ac:dyDescent="0.3">
      <c r="B22" s="14" t="s">
        <v>788</v>
      </c>
      <c r="C22" s="1" t="s">
        <v>793</v>
      </c>
      <c r="D22" s="34">
        <v>0.8</v>
      </c>
    </row>
    <row r="23" spans="2:6" ht="15" customHeight="1" x14ac:dyDescent="0.3"/>
    <row r="24" spans="2:6" ht="21" customHeight="1" x14ac:dyDescent="0.3">
      <c r="B24" s="49" t="s">
        <v>794</v>
      </c>
      <c r="C24" s="49"/>
      <c r="D24" s="49"/>
      <c r="E24" s="49"/>
      <c r="F24" s="49"/>
    </row>
    <row r="25" spans="2:6" ht="30" customHeight="1" x14ac:dyDescent="0.3">
      <c r="B25" s="50" t="s">
        <v>795</v>
      </c>
      <c r="C25" s="50"/>
      <c r="D25" s="50"/>
      <c r="E25" s="50"/>
      <c r="F25" s="50"/>
    </row>
    <row r="26" spans="2:6" ht="30" customHeight="1" x14ac:dyDescent="0.3">
      <c r="B26" s="2" t="s">
        <v>796</v>
      </c>
      <c r="C26" s="2" t="s">
        <v>797</v>
      </c>
      <c r="D26" s="2" t="s">
        <v>798</v>
      </c>
      <c r="E26" s="2" t="s">
        <v>799</v>
      </c>
    </row>
    <row r="27" spans="2:6" ht="16.5" customHeight="1" x14ac:dyDescent="0.3">
      <c r="B27" s="14" t="s">
        <v>800</v>
      </c>
      <c r="C27" s="1" t="s">
        <v>801</v>
      </c>
      <c r="D27" s="14" t="s">
        <v>802</v>
      </c>
      <c r="E27" s="14" t="s">
        <v>803</v>
      </c>
    </row>
    <row r="28" spans="2:6" ht="16.5" customHeight="1" x14ac:dyDescent="0.3">
      <c r="B28" s="14" t="s">
        <v>804</v>
      </c>
      <c r="C28" s="1" t="s">
        <v>805</v>
      </c>
      <c r="D28" s="14" t="s">
        <v>802</v>
      </c>
      <c r="E28" s="14" t="s">
        <v>803</v>
      </c>
    </row>
    <row r="29" spans="2:6" ht="16.5" customHeight="1" x14ac:dyDescent="0.3">
      <c r="B29" s="14" t="s">
        <v>806</v>
      </c>
      <c r="C29" s="1" t="s">
        <v>807</v>
      </c>
      <c r="D29" s="14" t="s">
        <v>802</v>
      </c>
      <c r="E29" s="14" t="s">
        <v>803</v>
      </c>
    </row>
    <row r="30" spans="2:6" ht="16.5" customHeight="1" x14ac:dyDescent="0.3">
      <c r="B30" s="14" t="s">
        <v>808</v>
      </c>
      <c r="C30" s="1" t="s">
        <v>809</v>
      </c>
      <c r="D30" s="14" t="s">
        <v>810</v>
      </c>
      <c r="E30" s="14" t="s">
        <v>810</v>
      </c>
    </row>
    <row r="31" spans="2:6" ht="15" customHeight="1" x14ac:dyDescent="0.3"/>
    <row r="32" spans="2:6" ht="21" customHeight="1" x14ac:dyDescent="0.3">
      <c r="B32" s="49" t="s">
        <v>811</v>
      </c>
      <c r="C32" s="49"/>
      <c r="D32" s="49"/>
      <c r="E32" s="49"/>
      <c r="F32" s="49"/>
    </row>
    <row r="33" spans="2:6" ht="30" customHeight="1" x14ac:dyDescent="0.3">
      <c r="B33" s="50" t="s">
        <v>812</v>
      </c>
      <c r="C33" s="50"/>
      <c r="D33" s="50"/>
      <c r="E33" s="50"/>
      <c r="F33" s="50"/>
    </row>
    <row r="34" spans="2:6" ht="30" customHeight="1" x14ac:dyDescent="0.3">
      <c r="B34" s="2" t="s">
        <v>813</v>
      </c>
      <c r="C34" s="2" t="s">
        <v>779</v>
      </c>
      <c r="D34" s="2" t="s">
        <v>268</v>
      </c>
    </row>
    <row r="35" spans="2:6" ht="16.5" customHeight="1" x14ac:dyDescent="0.3">
      <c r="B35" s="14" t="s">
        <v>814</v>
      </c>
      <c r="C35" s="1" t="s">
        <v>815</v>
      </c>
      <c r="D35" s="34">
        <v>0.75</v>
      </c>
    </row>
    <row r="36" spans="2:6" ht="16.5" customHeight="1" x14ac:dyDescent="0.3">
      <c r="B36" s="14" t="s">
        <v>816</v>
      </c>
      <c r="C36" s="1" t="s">
        <v>817</v>
      </c>
      <c r="D36" s="34">
        <v>-0.6</v>
      </c>
    </row>
    <row r="37" spans="2:6" ht="16.5" customHeight="1" x14ac:dyDescent="0.3">
      <c r="B37" s="14" t="s">
        <v>818</v>
      </c>
      <c r="C37" s="1" t="s">
        <v>819</v>
      </c>
      <c r="D37" s="34">
        <v>-0.5</v>
      </c>
    </row>
    <row r="38" spans="2:6" ht="16.5" customHeight="1" x14ac:dyDescent="0.3">
      <c r="B38" s="14" t="s">
        <v>820</v>
      </c>
      <c r="C38" s="1" t="s">
        <v>821</v>
      </c>
      <c r="D38" s="34">
        <v>-0.3</v>
      </c>
    </row>
    <row r="39" spans="2:6" ht="15" customHeight="1" x14ac:dyDescent="0.3"/>
    <row r="40" spans="2:6" ht="21" customHeight="1" x14ac:dyDescent="0.3">
      <c r="B40" s="49" t="s">
        <v>822</v>
      </c>
      <c r="C40" s="49"/>
      <c r="D40" s="49"/>
      <c r="E40" s="49"/>
      <c r="F40" s="49"/>
    </row>
    <row r="41" spans="2:6" ht="30" customHeight="1" x14ac:dyDescent="0.3">
      <c r="B41" s="50" t="s">
        <v>823</v>
      </c>
      <c r="C41" s="50"/>
      <c r="D41" s="50"/>
      <c r="E41" s="50"/>
      <c r="F41" s="50"/>
    </row>
    <row r="42" spans="2:6" ht="30" customHeight="1" x14ac:dyDescent="0.3">
      <c r="B42" s="2" t="s">
        <v>205</v>
      </c>
      <c r="C42" s="2" t="s">
        <v>824</v>
      </c>
      <c r="D42" s="2" t="s">
        <v>825</v>
      </c>
    </row>
    <row r="43" spans="2:6" ht="29.25" customHeight="1" x14ac:dyDescent="0.3">
      <c r="B43" s="14" t="s">
        <v>826</v>
      </c>
      <c r="C43" s="1" t="s">
        <v>827</v>
      </c>
      <c r="D43" s="14" t="s">
        <v>828</v>
      </c>
    </row>
    <row r="44" spans="2:6" ht="16.5" customHeight="1" x14ac:dyDescent="0.3">
      <c r="B44" s="14" t="s">
        <v>829</v>
      </c>
      <c r="C44" s="1" t="s">
        <v>830</v>
      </c>
      <c r="D44" s="14" t="s">
        <v>831</v>
      </c>
    </row>
    <row r="45" spans="2:6" ht="29.25" customHeight="1" x14ac:dyDescent="0.3">
      <c r="B45" s="14" t="s">
        <v>832</v>
      </c>
      <c r="C45" s="1" t="s">
        <v>833</v>
      </c>
      <c r="D45" s="14" t="s">
        <v>834</v>
      </c>
    </row>
    <row r="46" spans="2:6" ht="15" customHeight="1" x14ac:dyDescent="0.3"/>
    <row r="47" spans="2:6" ht="21" customHeight="1" x14ac:dyDescent="0.3">
      <c r="B47" s="49" t="s">
        <v>835</v>
      </c>
      <c r="C47" s="49"/>
      <c r="D47" s="49"/>
      <c r="E47" s="49"/>
      <c r="F47" s="49"/>
    </row>
    <row r="48" spans="2:6" ht="30" customHeight="1" x14ac:dyDescent="0.3">
      <c r="B48" s="50" t="s">
        <v>836</v>
      </c>
      <c r="C48" s="50"/>
      <c r="D48" s="50"/>
      <c r="E48" s="50"/>
      <c r="F48" s="50"/>
    </row>
    <row r="49" spans="2:6" ht="30" customHeight="1" x14ac:dyDescent="0.3">
      <c r="B49" s="2" t="s">
        <v>837</v>
      </c>
      <c r="C49" s="2" t="s">
        <v>838</v>
      </c>
      <c r="D49" s="2" t="s">
        <v>839</v>
      </c>
    </row>
    <row r="50" spans="2:6" ht="29.25" customHeight="1" x14ac:dyDescent="0.3">
      <c r="B50" s="14" t="s">
        <v>840</v>
      </c>
      <c r="C50" s="1" t="s">
        <v>841</v>
      </c>
      <c r="D50" s="31">
        <v>1.2763</v>
      </c>
    </row>
    <row r="51" spans="2:6" ht="16.5" customHeight="1" x14ac:dyDescent="0.3">
      <c r="B51" s="14" t="s">
        <v>842</v>
      </c>
      <c r="C51" s="1" t="s">
        <v>843</v>
      </c>
      <c r="D51" s="31">
        <v>1.3012999999999999</v>
      </c>
    </row>
    <row r="52" spans="2:6" ht="15" customHeight="1" x14ac:dyDescent="0.3"/>
    <row r="53" spans="2:6" ht="21" customHeight="1" x14ac:dyDescent="0.3">
      <c r="B53" s="49" t="s">
        <v>844</v>
      </c>
      <c r="C53" s="49"/>
      <c r="D53" s="49"/>
      <c r="E53" s="49"/>
      <c r="F53" s="49"/>
    </row>
    <row r="54" spans="2:6" ht="30" customHeight="1" x14ac:dyDescent="0.3">
      <c r="B54" s="50" t="s">
        <v>845</v>
      </c>
      <c r="C54" s="50"/>
      <c r="D54" s="50"/>
      <c r="E54" s="50"/>
      <c r="F54" s="50"/>
    </row>
    <row r="55" spans="2:6" ht="30" customHeight="1" x14ac:dyDescent="0.3">
      <c r="B55" s="2" t="s">
        <v>745</v>
      </c>
      <c r="C55" s="2" t="s">
        <v>742</v>
      </c>
      <c r="D55" s="2" t="s">
        <v>846</v>
      </c>
      <c r="E55" s="2" t="s">
        <v>847</v>
      </c>
    </row>
    <row r="56" spans="2:6" ht="29.25" customHeight="1" x14ac:dyDescent="0.3">
      <c r="B56" s="14" t="s">
        <v>848</v>
      </c>
      <c r="C56" s="1" t="s">
        <v>849</v>
      </c>
      <c r="D56" s="14" t="s">
        <v>850</v>
      </c>
      <c r="E56" s="14" t="s">
        <v>851</v>
      </c>
    </row>
    <row r="57" spans="2:6" ht="16.5" customHeight="1" x14ac:dyDescent="0.3">
      <c r="B57" s="14" t="s">
        <v>852</v>
      </c>
      <c r="C57" s="1" t="s">
        <v>853</v>
      </c>
      <c r="D57" s="14" t="s">
        <v>854</v>
      </c>
      <c r="E57" s="14" t="s">
        <v>80</v>
      </c>
    </row>
    <row r="58" spans="2:6" ht="16.5" customHeight="1" x14ac:dyDescent="0.3">
      <c r="B58" s="14" t="s">
        <v>855</v>
      </c>
      <c r="C58" s="1" t="s">
        <v>856</v>
      </c>
      <c r="D58" s="14" t="s">
        <v>857</v>
      </c>
      <c r="E58" s="14" t="s">
        <v>80</v>
      </c>
    </row>
    <row r="59" spans="2:6" ht="29.25" customHeight="1" x14ac:dyDescent="0.3">
      <c r="B59" s="14" t="s">
        <v>858</v>
      </c>
      <c r="C59" s="1" t="s">
        <v>859</v>
      </c>
      <c r="D59" s="14" t="s">
        <v>854</v>
      </c>
      <c r="E59" s="14" t="s">
        <v>860</v>
      </c>
    </row>
    <row r="60" spans="2:6" ht="29.25" customHeight="1" x14ac:dyDescent="0.3">
      <c r="B60" s="14" t="s">
        <v>861</v>
      </c>
      <c r="C60" s="1" t="s">
        <v>862</v>
      </c>
      <c r="D60" s="14" t="s">
        <v>863</v>
      </c>
      <c r="E60" s="14" t="s">
        <v>860</v>
      </c>
    </row>
  </sheetData>
  <mergeCells count="16">
    <mergeCell ref="B1:F1"/>
    <mergeCell ref="B2:F2"/>
    <mergeCell ref="B4:F4"/>
    <mergeCell ref="B5:F5"/>
    <mergeCell ref="B11:F11"/>
    <mergeCell ref="B12:F12"/>
    <mergeCell ref="B24:F24"/>
    <mergeCell ref="B25:F25"/>
    <mergeCell ref="B32:F32"/>
    <mergeCell ref="B33:F33"/>
    <mergeCell ref="B54:F54"/>
    <mergeCell ref="B40:F40"/>
    <mergeCell ref="B41:F41"/>
    <mergeCell ref="B47:F47"/>
    <mergeCell ref="B48:F48"/>
    <mergeCell ref="B53:F53"/>
  </mergeCell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E31"/>
  <sheetViews>
    <sheetView showGridLines="0" zoomScale="90" zoomScaleNormal="90" workbookViewId="0"/>
  </sheetViews>
  <sheetFormatPr baseColWidth="10" defaultColWidth="8.6640625" defaultRowHeight="14.4" x14ac:dyDescent="0.3"/>
  <cols>
    <col min="1" max="1" width="1.77734375" customWidth="1"/>
    <col min="2" max="2" width="40" customWidth="1"/>
    <col min="3" max="3" width="10" customWidth="1"/>
    <col min="4" max="4" width="70" customWidth="1"/>
    <col min="5" max="5" width="26" customWidth="1"/>
  </cols>
  <sheetData>
    <row r="1" spans="2:5" ht="25.5" customHeight="1" x14ac:dyDescent="0.3">
      <c r="B1" s="51" t="s">
        <v>864</v>
      </c>
      <c r="C1" s="51"/>
      <c r="D1" s="51"/>
      <c r="E1" s="51"/>
    </row>
    <row r="2" spans="2:5" ht="30" customHeight="1" x14ac:dyDescent="0.3">
      <c r="B2" s="52" t="s">
        <v>865</v>
      </c>
      <c r="C2" s="52"/>
      <c r="D2" s="52"/>
      <c r="E2" s="52"/>
    </row>
    <row r="4" spans="2:5" ht="21" customHeight="1" x14ac:dyDescent="0.3">
      <c r="B4" s="49" t="s">
        <v>866</v>
      </c>
      <c r="C4" s="49"/>
      <c r="D4" s="49"/>
      <c r="E4" s="49"/>
    </row>
    <row r="5" spans="2:5" ht="30" customHeight="1" x14ac:dyDescent="0.3">
      <c r="B5" s="2" t="s">
        <v>867</v>
      </c>
      <c r="C5" s="2" t="s">
        <v>868</v>
      </c>
      <c r="D5" s="2" t="s">
        <v>869</v>
      </c>
      <c r="E5" s="2" t="s">
        <v>870</v>
      </c>
    </row>
    <row r="6" spans="2:5" ht="29.25" customHeight="1" x14ac:dyDescent="0.3">
      <c r="B6" s="1" t="s">
        <v>871</v>
      </c>
      <c r="C6" s="14" t="s">
        <v>848</v>
      </c>
      <c r="D6" s="1" t="s">
        <v>872</v>
      </c>
      <c r="E6" s="12" t="s">
        <v>873</v>
      </c>
    </row>
    <row r="7" spans="2:5" ht="29.25" customHeight="1" x14ac:dyDescent="0.3">
      <c r="B7" s="1" t="s">
        <v>874</v>
      </c>
      <c r="C7" s="14" t="s">
        <v>852</v>
      </c>
      <c r="D7" s="1" t="s">
        <v>875</v>
      </c>
      <c r="E7" s="12" t="s">
        <v>876</v>
      </c>
    </row>
    <row r="8" spans="2:5" ht="16.5" customHeight="1" x14ac:dyDescent="0.3">
      <c r="B8" s="1" t="s">
        <v>877</v>
      </c>
      <c r="C8" s="14" t="s">
        <v>855</v>
      </c>
      <c r="D8" s="1" t="s">
        <v>878</v>
      </c>
      <c r="E8" s="12" t="s">
        <v>879</v>
      </c>
    </row>
    <row r="9" spans="2:5" ht="16.5" customHeight="1" x14ac:dyDescent="0.3">
      <c r="B9" s="1" t="s">
        <v>880</v>
      </c>
      <c r="C9" s="14" t="s">
        <v>861</v>
      </c>
      <c r="D9" s="1" t="s">
        <v>881</v>
      </c>
      <c r="E9" s="12" t="s">
        <v>882</v>
      </c>
    </row>
    <row r="10" spans="2:5" ht="16.5" customHeight="1" x14ac:dyDescent="0.3">
      <c r="B10" s="1" t="s">
        <v>883</v>
      </c>
      <c r="C10" s="14" t="s">
        <v>861</v>
      </c>
      <c r="D10" s="1" t="s">
        <v>884</v>
      </c>
      <c r="E10" s="12" t="s">
        <v>885</v>
      </c>
    </row>
    <row r="11" spans="2:5" ht="16.5" customHeight="1" x14ac:dyDescent="0.3">
      <c r="B11" s="1" t="s">
        <v>886</v>
      </c>
      <c r="C11" s="14" t="s">
        <v>861</v>
      </c>
      <c r="D11" s="1" t="s">
        <v>887</v>
      </c>
      <c r="E11" s="12" t="s">
        <v>888</v>
      </c>
    </row>
    <row r="12" spans="2:5" ht="16.5" customHeight="1" x14ac:dyDescent="0.3">
      <c r="B12" s="1" t="s">
        <v>889</v>
      </c>
      <c r="C12" s="14" t="s">
        <v>890</v>
      </c>
      <c r="D12" s="1" t="s">
        <v>891</v>
      </c>
      <c r="E12" s="12" t="s">
        <v>888</v>
      </c>
    </row>
    <row r="13" spans="2:5" ht="16.5" customHeight="1" x14ac:dyDescent="0.3">
      <c r="B13" s="1" t="s">
        <v>892</v>
      </c>
      <c r="C13" s="14" t="s">
        <v>893</v>
      </c>
      <c r="D13" s="1" t="s">
        <v>894</v>
      </c>
      <c r="E13" s="12" t="s">
        <v>895</v>
      </c>
    </row>
    <row r="14" spans="2:5" ht="29.25" customHeight="1" x14ac:dyDescent="0.3">
      <c r="B14" s="1" t="s">
        <v>896</v>
      </c>
      <c r="C14" s="14" t="s">
        <v>893</v>
      </c>
      <c r="D14" s="1" t="s">
        <v>897</v>
      </c>
      <c r="E14" s="12" t="s">
        <v>882</v>
      </c>
    </row>
    <row r="15" spans="2:5" ht="16.5" customHeight="1" x14ac:dyDescent="0.3">
      <c r="B15" s="1" t="s">
        <v>898</v>
      </c>
      <c r="C15" s="14" t="s">
        <v>893</v>
      </c>
      <c r="D15" s="1" t="s">
        <v>899</v>
      </c>
      <c r="E15" s="12" t="s">
        <v>879</v>
      </c>
    </row>
    <row r="16" spans="2:5" ht="29.25" customHeight="1" x14ac:dyDescent="0.3">
      <c r="B16" s="1" t="s">
        <v>900</v>
      </c>
      <c r="C16" s="14" t="s">
        <v>901</v>
      </c>
      <c r="D16" s="1" t="s">
        <v>902</v>
      </c>
      <c r="E16" s="12" t="s">
        <v>903</v>
      </c>
    </row>
    <row r="17" spans="2:5" ht="29.25" customHeight="1" x14ac:dyDescent="0.3">
      <c r="B17" s="1" t="s">
        <v>904</v>
      </c>
      <c r="C17" s="14" t="s">
        <v>905</v>
      </c>
      <c r="D17" s="1" t="s">
        <v>906</v>
      </c>
      <c r="E17" s="12" t="s">
        <v>888</v>
      </c>
    </row>
    <row r="18" spans="2:5" ht="16.5" customHeight="1" x14ac:dyDescent="0.3">
      <c r="B18" s="1" t="s">
        <v>907</v>
      </c>
      <c r="C18" s="14" t="s">
        <v>908</v>
      </c>
      <c r="D18" s="1" t="s">
        <v>909</v>
      </c>
      <c r="E18" s="12" t="s">
        <v>910</v>
      </c>
    </row>
    <row r="19" spans="2:5" ht="16.5" customHeight="1" x14ac:dyDescent="0.3">
      <c r="B19" s="1" t="s">
        <v>911</v>
      </c>
      <c r="C19" s="14" t="s">
        <v>535</v>
      </c>
      <c r="D19" s="1" t="s">
        <v>912</v>
      </c>
      <c r="E19" s="12" t="s">
        <v>913</v>
      </c>
    </row>
    <row r="20" spans="2:5" ht="15" customHeight="1" x14ac:dyDescent="0.3"/>
    <row r="21" spans="2:5" ht="21" customHeight="1" x14ac:dyDescent="0.3">
      <c r="B21" s="49" t="s">
        <v>914</v>
      </c>
      <c r="C21" s="49"/>
      <c r="D21" s="49"/>
      <c r="E21" s="49"/>
    </row>
    <row r="22" spans="2:5" ht="30" customHeight="1" x14ac:dyDescent="0.3">
      <c r="B22" s="54" t="s">
        <v>915</v>
      </c>
      <c r="C22" s="54"/>
      <c r="D22" s="54"/>
      <c r="E22" s="54"/>
    </row>
    <row r="23" spans="2:5" ht="30" customHeight="1" x14ac:dyDescent="0.3">
      <c r="B23" s="54" t="s">
        <v>916</v>
      </c>
      <c r="C23" s="54"/>
      <c r="D23" s="54"/>
      <c r="E23" s="54"/>
    </row>
    <row r="24" spans="2:5" ht="30" customHeight="1" x14ac:dyDescent="0.3">
      <c r="B24" s="54" t="s">
        <v>917</v>
      </c>
      <c r="C24" s="54"/>
      <c r="D24" s="54"/>
      <c r="E24" s="54"/>
    </row>
    <row r="25" spans="2:5" ht="30" customHeight="1" x14ac:dyDescent="0.3">
      <c r="B25" s="54" t="s">
        <v>918</v>
      </c>
      <c r="C25" s="54"/>
      <c r="D25" s="54"/>
      <c r="E25" s="54"/>
    </row>
    <row r="26" spans="2:5" ht="30" customHeight="1" x14ac:dyDescent="0.3">
      <c r="B26" s="54" t="s">
        <v>919</v>
      </c>
      <c r="C26" s="54"/>
      <c r="D26" s="54"/>
      <c r="E26" s="54"/>
    </row>
    <row r="27" spans="2:5" ht="30" customHeight="1" x14ac:dyDescent="0.3">
      <c r="B27" s="54" t="s">
        <v>920</v>
      </c>
      <c r="C27" s="54"/>
      <c r="D27" s="54"/>
      <c r="E27" s="54"/>
    </row>
    <row r="28" spans="2:5" ht="30" customHeight="1" x14ac:dyDescent="0.3">
      <c r="B28" s="54" t="s">
        <v>921</v>
      </c>
      <c r="C28" s="54"/>
      <c r="D28" s="54"/>
      <c r="E28" s="54"/>
    </row>
    <row r="29" spans="2:5" ht="30" customHeight="1" x14ac:dyDescent="0.3">
      <c r="B29" s="54" t="s">
        <v>922</v>
      </c>
      <c r="C29" s="54"/>
      <c r="D29" s="54"/>
      <c r="E29" s="54"/>
    </row>
    <row r="30" spans="2:5" ht="30" customHeight="1" x14ac:dyDescent="0.3">
      <c r="B30" s="54" t="s">
        <v>923</v>
      </c>
      <c r="C30" s="54"/>
      <c r="D30" s="54"/>
      <c r="E30" s="54"/>
    </row>
    <row r="31" spans="2:5" ht="30" customHeight="1" x14ac:dyDescent="0.3">
      <c r="B31" s="54" t="s">
        <v>924</v>
      </c>
      <c r="C31" s="54"/>
      <c r="D31" s="54"/>
      <c r="E31" s="54"/>
    </row>
  </sheetData>
  <mergeCells count="14">
    <mergeCell ref="B1:E1"/>
    <mergeCell ref="B2:E2"/>
    <mergeCell ref="B4:E4"/>
    <mergeCell ref="B21:E21"/>
    <mergeCell ref="B22:E22"/>
    <mergeCell ref="B28:E28"/>
    <mergeCell ref="B29:E29"/>
    <mergeCell ref="B30:E30"/>
    <mergeCell ref="B31:E31"/>
    <mergeCell ref="B23:E23"/>
    <mergeCell ref="B24:E24"/>
    <mergeCell ref="B25:E25"/>
    <mergeCell ref="B26:E26"/>
    <mergeCell ref="B27:E27"/>
  </mergeCell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DATOS</vt:lpstr>
      <vt:lpstr>ABERTURAS</vt:lpstr>
      <vt:lpstr>PRESIONES</vt:lpstr>
      <vt:lpstr>LINEAS</vt:lpstr>
      <vt:lpstr>STAAD</vt:lpstr>
      <vt:lpstr>STAAD_ONEWAY</vt:lpstr>
      <vt:lpstr>STAAD_R2.1</vt:lpstr>
      <vt:lpstr>RECUBRIMIENTO</vt:lpstr>
      <vt:lpstr>TABLAS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Diego Espinosa Ramos</cp:lastModifiedBy>
  <cp:revision>2</cp:revision>
  <dcterms:created xsi:type="dcterms:W3CDTF">2026-09-24T00:39:49Z</dcterms:created>
  <dcterms:modified xsi:type="dcterms:W3CDTF">2026-09-29T16:15:51Z</dcterms:modified>
  <dc:language>en-US</dc:language>
</cp:coreProperties>
</file>